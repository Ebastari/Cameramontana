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B11C71A-2403-4734-BA51-0B6DE1E16E76}" xr6:coauthVersionLast="47" xr6:coauthVersionMax="47" xr10:uidLastSave="{00000000-0000-0000-0000-000000000000}"/>
  <bookViews>
    <workbookView xWindow="-108" yWindow="-108" windowWidth="23256" windowHeight="12456" activeTab="3" xr2:uid="{8AAF1455-23D8-4D94-980E-F70CB7C99C53}"/>
  </bookViews>
  <sheets>
    <sheet name="Sheet2" sheetId="2" r:id="rId1"/>
    <sheet name="Sheet4" sheetId="4" r:id="rId2"/>
    <sheet name="Sheet1" sheetId="1" r:id="rId3"/>
    <sheet name="Sheet3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E9" i="3"/>
  <c r="F5" i="3"/>
  <c r="F6" i="3"/>
  <c r="F7" i="3"/>
  <c r="F8" i="3"/>
  <c r="F4" i="3"/>
  <c r="E5" i="3"/>
  <c r="E6" i="3"/>
  <c r="E7" i="3"/>
  <c r="E8" i="3"/>
  <c r="E4" i="3"/>
  <c r="D6" i="3"/>
  <c r="D7" i="3"/>
  <c r="D8" i="3"/>
  <c r="D5" i="3"/>
</calcChain>
</file>

<file path=xl/sharedStrings.xml><?xml version="1.0" encoding="utf-8"?>
<sst xmlns="http://schemas.openxmlformats.org/spreadsheetml/2006/main" count="840" uniqueCount="84">
  <si>
    <t>FID</t>
  </si>
  <si>
    <t>Shape *</t>
  </si>
  <si>
    <t>OBJECTID</t>
  </si>
  <si>
    <t>Id</t>
  </si>
  <si>
    <t>Ket_1</t>
  </si>
  <si>
    <t>Id_12</t>
  </si>
  <si>
    <t>Realisasi_</t>
  </si>
  <si>
    <t>Luas</t>
  </si>
  <si>
    <t>AREA_1</t>
  </si>
  <si>
    <t>Keterangan</t>
  </si>
  <si>
    <t>Shape_Leng</t>
  </si>
  <si>
    <t>Shape_Area</t>
  </si>
  <si>
    <t>Update</t>
  </si>
  <si>
    <t>Kawasan</t>
  </si>
  <si>
    <t>Progres</t>
  </si>
  <si>
    <t>Tes</t>
  </si>
  <si>
    <t>Polygon</t>
  </si>
  <si>
    <t>Area Terganggu</t>
  </si>
  <si>
    <t>OPD BLOK 3</t>
  </si>
  <si>
    <t>Tanam Full</t>
  </si>
  <si>
    <t>APL</t>
  </si>
  <si>
    <t>Closed</t>
  </si>
  <si>
    <t>OPD BLOK 3 (CK)</t>
  </si>
  <si>
    <t>S/D 2016</t>
  </si>
  <si>
    <t>OPD BLOK 2</t>
  </si>
  <si>
    <t>Area Tersisa</t>
  </si>
  <si>
    <t>IPD Blok 1</t>
  </si>
  <si>
    <t>KAWASAN HUTAN</t>
  </si>
  <si>
    <t>OPD BLOK 1</t>
  </si>
  <si>
    <t>OPD BLOK 3(GMT)</t>
  </si>
  <si>
    <t>IPD AB BLOK 1</t>
  </si>
  <si>
    <t>IPD  AB BLOK 1</t>
  </si>
  <si>
    <t>OPD Blok 2</t>
  </si>
  <si>
    <t>s/d 2016</t>
  </si>
  <si>
    <t>OPD Blok 1</t>
  </si>
  <si>
    <t>Blok 3</t>
  </si>
  <si>
    <t>WS HRS/PMA</t>
  </si>
  <si>
    <t>Rumput Gajah</t>
  </si>
  <si>
    <t>Tanam full</t>
  </si>
  <si>
    <t>Covercorp</t>
  </si>
  <si>
    <t>Jalan Kabupaten</t>
  </si>
  <si>
    <t>OPD Blok 3</t>
  </si>
  <si>
    <t>Tanam Belum Covercorp</t>
  </si>
  <si>
    <t xml:space="preserve"> </t>
  </si>
  <si>
    <t>Rencana</t>
  </si>
  <si>
    <t>Row Labels</t>
  </si>
  <si>
    <t>Grand Total</t>
  </si>
  <si>
    <t>Sum of Luas2</t>
  </si>
  <si>
    <t>Sudah Covercorp</t>
  </si>
  <si>
    <t>Penanaman Mahoni</t>
  </si>
  <si>
    <t>Target</t>
  </si>
  <si>
    <t xml:space="preserve"> Penanaman Potting</t>
  </si>
  <si>
    <t xml:space="preserve">Realisasi </t>
  </si>
  <si>
    <t>Keberhasilan</t>
  </si>
  <si>
    <t>Penanaman LCC</t>
  </si>
  <si>
    <t>Penanaman Nangka</t>
  </si>
  <si>
    <t>Penanaman Rumput Gajah</t>
  </si>
  <si>
    <t>Rata- rata Kerja</t>
  </si>
  <si>
    <t>Kegiatan</t>
  </si>
  <si>
    <t>Evaluasi CV KBS</t>
  </si>
  <si>
    <t>% Target</t>
  </si>
  <si>
    <t xml:space="preserve">% keberhasilan </t>
  </si>
  <si>
    <t>No</t>
  </si>
  <si>
    <t>Realisasi</t>
  </si>
  <si>
    <t>Keberhasilan Hidup</t>
  </si>
  <si>
    <t>% Realisasi terhadap Target</t>
  </si>
  <si>
    <t>% Keberhasilan Hidup</t>
  </si>
  <si>
    <t>Harga</t>
  </si>
  <si>
    <t>(Bibit + Pupuk + Ajir + Jasa )</t>
  </si>
  <si>
    <t>Penanaman Potting (tanpa soil blok 3)</t>
  </si>
  <si>
    <t>29.195 Bibit</t>
  </si>
  <si>
    <t>26.330 Bibit</t>
  </si>
  <si>
    <t>19.276 Bibit</t>
  </si>
  <si>
    <t>Penanaman Covercrop (LCC)</t>
  </si>
  <si>
    <t>46 Ha</t>
  </si>
  <si>
    <t>10,95 Ha</t>
  </si>
  <si>
    <t>3,88 Ha</t>
  </si>
  <si>
    <t>10.270 Bibit</t>
  </si>
  <si>
    <t>270 Bibit</t>
  </si>
  <si>
    <t>Uraian</t>
  </si>
  <si>
    <t>Nilai</t>
  </si>
  <si>
    <t>Plan Pekerjaan</t>
  </si>
  <si>
    <t>Terealisasi Pekerjaan</t>
  </si>
  <si>
    <t>Realisasi Biaya Pekerjaan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</si>
</sst>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" xfId="0" applyBorder="1"/>
    <xf numFmtId="10" fontId="0" fillId="0" borderId="1" xfId="1" applyNumberFormat="1" applyFont="1" applyBorder="1"/>
    <xf numFmtId="3" fontId="0" fillId="0" borderId="1" xfId="0" applyNumberFormat="1" applyBorder="1"/>
    <xf numFmtId="10" fontId="0" fillId="0" borderId="1" xfId="0" applyNumberFormat="1" applyBorder="1"/>
    <xf numFmtId="0" fontId="0" fillId="0" borderId="0" xfId="0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0" fontId="3" fillId="0" borderId="5" xfId="0" applyNumberFormat="1" applyFont="1" applyBorder="1" applyAlignment="1">
      <alignment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ung Laksono" refreshedDate="45999.652155902775" createdVersion="8" refreshedVersion="8" minRefreshableVersion="3" recordCount="125" xr:uid="{38C9BD33-B3E5-4DE7-B278-5266675C860D}">
  <cacheSource type="worksheet">
    <worksheetSource ref="A1:Q126" sheet="Sheet1"/>
  </cacheSource>
  <cacheFields count="17">
    <cacheField name="FID" numFmtId="0">
      <sharedItems containsSemiMixedTypes="0" containsString="0" containsNumber="1" containsInteger="1" minValue="0" maxValue="124"/>
    </cacheField>
    <cacheField name="Shape *" numFmtId="0">
      <sharedItems/>
    </cacheField>
    <cacheField name="OBJECTID" numFmtId="0">
      <sharedItems containsSemiMixedTypes="0" containsString="0" containsNumber="1" containsInteger="1" minValue="0" maxValue="78"/>
    </cacheField>
    <cacheField name="Id" numFmtId="0">
      <sharedItems containsSemiMixedTypes="0" containsString="0" containsNumber="1" containsInteger="1" minValue="0" maxValue="0"/>
    </cacheField>
    <cacheField name="Ket_1" numFmtId="0">
      <sharedItems/>
    </cacheField>
    <cacheField name="Id_12" numFmtId="0">
      <sharedItems containsSemiMixedTypes="0" containsString="0" containsNumber="1" containsInteger="1" minValue="0" maxValue="0"/>
    </cacheField>
    <cacheField name="Realisasi_" numFmtId="0">
      <sharedItems containsMixedTypes="1" containsNumber="1" containsInteger="1" minValue="2017" maxValue="2025" count="12">
        <n v="2020"/>
        <n v="2021"/>
        <n v="2022"/>
        <s v="S/D 2016"/>
        <n v="2018"/>
        <n v="2019"/>
        <n v="2023"/>
        <n v="2017"/>
        <n v="2024"/>
        <s v="Rumput Gajah"/>
        <n v="2025"/>
        <s v=" "/>
      </sharedItems>
    </cacheField>
    <cacheField name="Luas" numFmtId="0">
      <sharedItems containsSemiMixedTypes="0" containsString="0" containsNumber="1" minValue="0" maxValue="36.115200000000002"/>
    </cacheField>
    <cacheField name="AREA_1" numFmtId="0">
      <sharedItems/>
    </cacheField>
    <cacheField name="Keterangan" numFmtId="0">
      <sharedItems containsBlank="1" count="7">
        <s v="Tanam Full"/>
        <s v="Rumput Gajah"/>
        <s v="Covercorp"/>
        <s v="Tanam Belum Covercorp"/>
        <m/>
        <s v="Sudah Covercorp"/>
        <s v="Penanaman Mahoni"/>
      </sharedItems>
    </cacheField>
    <cacheField name="Shape_Leng" numFmtId="0">
      <sharedItems containsSemiMixedTypes="0" containsString="0" containsNumber="1" minValue="0" maxValue="3775.1715239999999"/>
    </cacheField>
    <cacheField name="Shape_Area" numFmtId="0">
      <sharedItems containsSemiMixedTypes="0" containsString="0" containsNumber="1" minValue="0" maxValue="36.115172999999999"/>
    </cacheField>
    <cacheField name="Update" numFmtId="0">
      <sharedItems containsSemiMixedTypes="0" containsNonDate="0" containsDate="1" containsString="0" minDate="1899-12-30T00:00:00" maxDate="2025-03-25T00:00:00"/>
    </cacheField>
    <cacheField name="Kawasan" numFmtId="0">
      <sharedItems/>
    </cacheField>
    <cacheField name="Progres" numFmtId="0">
      <sharedItems/>
    </cacheField>
    <cacheField name="Tes" numFmtId="0">
      <sharedItems containsMixedTypes="1" containsNumber="1" containsInteger="1" minValue="1" maxValue="1"/>
    </cacheField>
    <cacheField name="Luas2" numFmtId="0">
      <sharedItems containsSemiMixedTypes="0" containsString="0" containsNumber="1" minValue="0" maxValue="36.115172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0"/>
    <s v="Polygon"/>
    <n v="19"/>
    <n v="0"/>
    <s v="Area Terganggu"/>
    <n v="0"/>
    <x v="0"/>
    <n v="0.56164199999999997"/>
    <s v="OPD BLOK 3"/>
    <x v="0"/>
    <n v="519.40662799999996"/>
    <n v="0.56164199999999997"/>
    <d v="2025-03-24T00:00:00"/>
    <s v="APL"/>
    <s v="Closed"/>
    <n v="1"/>
    <n v="0.56164199999999997"/>
  </r>
  <r>
    <n v="1"/>
    <s v="Polygon"/>
    <n v="21"/>
    <n v="0"/>
    <s v="Area Terganggu"/>
    <n v="0"/>
    <x v="1"/>
    <n v="0.24521200000000001"/>
    <s v="OPD BLOK 3 (CK)"/>
    <x v="0"/>
    <n v="419.59402999999998"/>
    <n v="0.24521200000000001"/>
    <d v="2025-03-24T00:00:00"/>
    <s v="APL"/>
    <s v="Closed"/>
    <n v="1"/>
    <n v="0.24521200000000001"/>
  </r>
  <r>
    <n v="2"/>
    <s v="Polygon"/>
    <n v="22"/>
    <n v="0"/>
    <s v="Area Terganggu"/>
    <n v="0"/>
    <x v="2"/>
    <n v="0.63167600000000002"/>
    <s v="OPD BLOK 3"/>
    <x v="0"/>
    <n v="536.52076199999999"/>
    <n v="0.63167600000000002"/>
    <d v="2025-03-24T00:00:00"/>
    <s v="APL"/>
    <s v="Closed"/>
    <n v="1"/>
    <n v="0.63167600000000002"/>
  </r>
  <r>
    <n v="3"/>
    <s v="Polygon"/>
    <n v="27"/>
    <n v="0"/>
    <s v="Area Terganggu"/>
    <n v="0"/>
    <x v="3"/>
    <n v="4.3201299999999998"/>
    <s v="OPD BLOK 2"/>
    <x v="0"/>
    <n v="847.63743399999998"/>
    <n v="4.3201330000000002"/>
    <d v="2025-03-24T00:00:00"/>
    <s v="APL"/>
    <s v="Closed"/>
    <n v="1"/>
    <n v="4.3201330000000002"/>
  </r>
  <r>
    <n v="4"/>
    <s v="Polygon"/>
    <n v="34"/>
    <n v="0"/>
    <s v="Area Tersisa"/>
    <n v="0"/>
    <x v="4"/>
    <n v="2.3034500000000002"/>
    <s v="IPD Blok 1"/>
    <x v="0"/>
    <n v="888.05217500000003"/>
    <n v="2.3034479999999999"/>
    <d v="2025-03-24T00:00:00"/>
    <s v="KAWASAN HUTAN"/>
    <s v="Closed"/>
    <n v="1"/>
    <n v="2.3034479999999999"/>
  </r>
  <r>
    <n v="5"/>
    <s v="Polygon"/>
    <n v="35"/>
    <n v="0"/>
    <s v="Area Tersisa"/>
    <n v="0"/>
    <x v="5"/>
    <n v="6.2319899999999997"/>
    <s v="OPD BLOK 1"/>
    <x v="0"/>
    <n v="2834.2623570000001"/>
    <n v="6.2319870000000002"/>
    <d v="2025-03-24T00:00:00"/>
    <s v="APL"/>
    <s v="Closed"/>
    <n v="1"/>
    <n v="6.2319870000000002"/>
  </r>
  <r>
    <n v="6"/>
    <s v="Polygon"/>
    <n v="37"/>
    <n v="0"/>
    <s v="Area Tersisa"/>
    <n v="0"/>
    <x v="5"/>
    <n v="0.93876499999999996"/>
    <s v="OPD BLOK 3"/>
    <x v="0"/>
    <n v="699.14495299999999"/>
    <n v="0.93876499999999996"/>
    <d v="2025-03-24T00:00:00"/>
    <s v="APL"/>
    <s v="Closed"/>
    <n v="1"/>
    <n v="0.93876499999999996"/>
  </r>
  <r>
    <n v="7"/>
    <s v="Polygon"/>
    <n v="45"/>
    <n v="0"/>
    <s v="Area Tersisa"/>
    <n v="0"/>
    <x v="0"/>
    <n v="24.581600000000002"/>
    <s v="OPD BLOK 1"/>
    <x v="0"/>
    <n v="2830.3775959999998"/>
    <n v="24.581567"/>
    <d v="2025-03-24T00:00:00"/>
    <s v="APL"/>
    <s v="Closed"/>
    <n v="1"/>
    <n v="24.581567"/>
  </r>
  <r>
    <n v="8"/>
    <s v="Polygon"/>
    <n v="48"/>
    <n v="0"/>
    <s v="Area Tersisa"/>
    <n v="0"/>
    <x v="0"/>
    <n v="16.9406"/>
    <s v="OPD BLOK 1"/>
    <x v="0"/>
    <n v="3775.1715239999999"/>
    <n v="16.940624"/>
    <d v="2025-03-24T00:00:00"/>
    <s v="APL"/>
    <s v="Closed"/>
    <n v="1"/>
    <n v="16.940624"/>
  </r>
  <r>
    <n v="9"/>
    <s v="Polygon"/>
    <n v="49"/>
    <n v="0"/>
    <s v="Area Tersisa"/>
    <n v="0"/>
    <x v="0"/>
    <n v="0.61873100000000003"/>
    <s v="OPD BLOK 3"/>
    <x v="0"/>
    <n v="430.00243599999999"/>
    <n v="0.61873100000000003"/>
    <d v="2025-03-24T00:00:00"/>
    <s v="APL"/>
    <s v="Closed"/>
    <n v="1"/>
    <n v="0.61873100000000003"/>
  </r>
  <r>
    <n v="10"/>
    <s v="Polygon"/>
    <n v="50"/>
    <n v="0"/>
    <s v="Area Tersisa"/>
    <n v="0"/>
    <x v="0"/>
    <n v="6.3482500000000002"/>
    <s v="IPD Blok 1"/>
    <x v="0"/>
    <n v="1073.371676"/>
    <n v="6.3482519999999996"/>
    <d v="2025-03-24T00:00:00"/>
    <s v="KAWASAN HUTAN"/>
    <s v="Closed"/>
    <n v="1"/>
    <n v="6.3482519999999996"/>
  </r>
  <r>
    <n v="11"/>
    <s v="Polygon"/>
    <n v="51"/>
    <n v="0"/>
    <s v="Area Tersisa"/>
    <n v="0"/>
    <x v="0"/>
    <n v="5.1536799999999996"/>
    <s v="IPD Blok 1"/>
    <x v="0"/>
    <n v="1131.857516"/>
    <n v="5.1536799999999996"/>
    <d v="2025-03-24T00:00:00"/>
    <s v="KAWASAN HUTAN"/>
    <s v="Closed"/>
    <n v="1"/>
    <n v="5.1536799999999996"/>
  </r>
  <r>
    <n v="12"/>
    <s v="Polygon"/>
    <n v="55"/>
    <n v="0"/>
    <s v="Area Tersisa"/>
    <n v="0"/>
    <x v="0"/>
    <n v="0.57448299999999997"/>
    <s v="OPD BLOK 3"/>
    <x v="0"/>
    <n v="887.218075"/>
    <n v="0.57448299999999997"/>
    <d v="2025-03-24T00:00:00"/>
    <s v="APL"/>
    <s v="Closed"/>
    <n v="1"/>
    <n v="0.57448299999999997"/>
  </r>
  <r>
    <n v="13"/>
    <s v="Polygon"/>
    <n v="56"/>
    <n v="0"/>
    <s v="Area Tersisa"/>
    <n v="0"/>
    <x v="0"/>
    <n v="9.5290300000000006"/>
    <s v="OPD BLOK 1"/>
    <x v="0"/>
    <n v="2239.2354679999999"/>
    <n v="9.5290350000000004"/>
    <d v="2025-03-24T00:00:00"/>
    <s v="APL"/>
    <s v="Closed"/>
    <n v="1"/>
    <n v="9.5290350000000004"/>
  </r>
  <r>
    <n v="14"/>
    <s v="Polygon"/>
    <n v="59"/>
    <n v="0"/>
    <s v="Area Tersisa"/>
    <n v="0"/>
    <x v="0"/>
    <n v="1.1405000000000001"/>
    <s v="IPD Blok 1"/>
    <x v="0"/>
    <n v="1141.3952220000001"/>
    <n v="1.140503"/>
    <d v="2025-03-24T00:00:00"/>
    <s v="KAWASAN HUTAN"/>
    <s v="Closed"/>
    <n v="1"/>
    <n v="1.140503"/>
  </r>
  <r>
    <n v="15"/>
    <s v="Polygon"/>
    <n v="60"/>
    <n v="0"/>
    <s v="Area Tersisa"/>
    <n v="0"/>
    <x v="0"/>
    <n v="2.31724"/>
    <s v="IPD Blok 1"/>
    <x v="0"/>
    <n v="934.81567700000005"/>
    <n v="2.3172440000000001"/>
    <d v="2025-03-24T00:00:00"/>
    <s v="KAWASAN HUTAN"/>
    <s v="Closed"/>
    <n v="1"/>
    <n v="2.3172440000000001"/>
  </r>
  <r>
    <n v="16"/>
    <s v="Polygon"/>
    <n v="62"/>
    <n v="0"/>
    <s v="Area Terganggu"/>
    <n v="0"/>
    <x v="1"/>
    <n v="0.493979"/>
    <s v="OPD BLOK 3(GMT)"/>
    <x v="0"/>
    <n v="567.92747299999996"/>
    <n v="0.493979"/>
    <d v="2025-03-24T00:00:00"/>
    <s v="APL"/>
    <s v="Closed"/>
    <n v="1"/>
    <n v="0.493979"/>
  </r>
  <r>
    <n v="17"/>
    <s v="Polygon"/>
    <n v="63"/>
    <n v="0"/>
    <s v="Area Tersisa"/>
    <n v="0"/>
    <x v="2"/>
    <n v="0.822322"/>
    <s v="OPD BLOK 3 (CK)"/>
    <x v="0"/>
    <n v="586.93762100000004"/>
    <n v="0.822322"/>
    <d v="2025-03-24T00:00:00"/>
    <s v="APL"/>
    <s v="Closed"/>
    <n v="1"/>
    <n v="0.822322"/>
  </r>
  <r>
    <n v="18"/>
    <s v="Polygon"/>
    <n v="66"/>
    <n v="0"/>
    <s v="Area Tersisa"/>
    <n v="0"/>
    <x v="2"/>
    <n v="0.56001999999999996"/>
    <s v="OPD BLOK 3"/>
    <x v="0"/>
    <n v="337.94129099999998"/>
    <n v="0.56001999999999996"/>
    <d v="2025-03-24T00:00:00"/>
    <s v="APL"/>
    <s v="Closed"/>
    <n v="1"/>
    <n v="0.56001999999999996"/>
  </r>
  <r>
    <n v="19"/>
    <s v="Polygon"/>
    <n v="69"/>
    <n v="0"/>
    <s v="Area Tersisa"/>
    <n v="0"/>
    <x v="2"/>
    <n v="0.45024799999999998"/>
    <s v="OPD BLOK 3"/>
    <x v="0"/>
    <n v="433.17727300000001"/>
    <n v="0.45024799999999998"/>
    <d v="2025-03-24T00:00:00"/>
    <s v="APL"/>
    <s v="Closed"/>
    <n v="1"/>
    <n v="0.45024799999999998"/>
  </r>
  <r>
    <n v="20"/>
    <s v="Polygon"/>
    <n v="70"/>
    <n v="0"/>
    <s v="Area Tersisa"/>
    <n v="0"/>
    <x v="1"/>
    <n v="0.71166200000000002"/>
    <s v="OPD BLOK 3 (CK)"/>
    <x v="0"/>
    <n v="443.19782300000003"/>
    <n v="0.71166200000000002"/>
    <d v="2025-03-24T00:00:00"/>
    <s v="APL"/>
    <s v="Closed"/>
    <n v="1"/>
    <n v="0.71166200000000002"/>
  </r>
  <r>
    <n v="21"/>
    <s v="Polygon"/>
    <n v="78"/>
    <n v="0"/>
    <s v="Area Tersisa"/>
    <n v="0"/>
    <x v="0"/>
    <n v="7.8104999999999994E-2"/>
    <s v="OPD BLOK 3"/>
    <x v="0"/>
    <n v="178.10929899999999"/>
    <n v="7.8105999999999995E-2"/>
    <d v="2025-03-24T00:00:00"/>
    <s v="APL"/>
    <s v="Closed"/>
    <n v="1"/>
    <n v="7.8105999999999995E-2"/>
  </r>
  <r>
    <n v="22"/>
    <s v="Polygon"/>
    <n v="0"/>
    <n v="0"/>
    <s v="Area Tersisa"/>
    <n v="0"/>
    <x v="6"/>
    <n v="10.484299999999999"/>
    <s v="IPD AB BLOK 1"/>
    <x v="0"/>
    <n v="1736.7893630000001"/>
    <n v="10.484318"/>
    <d v="2025-03-24T00:00:00"/>
    <s v="KAWASAN HUTAN"/>
    <s v="Closed"/>
    <n v="1"/>
    <n v="10.484318"/>
  </r>
  <r>
    <n v="23"/>
    <s v="Polygon"/>
    <n v="0"/>
    <n v="0"/>
    <s v="Area Tersisa"/>
    <n v="0"/>
    <x v="6"/>
    <n v="1.7026600000000001"/>
    <s v="IPD  AB BLOK 1"/>
    <x v="0"/>
    <n v="599.68705"/>
    <n v="1.7026600000000001"/>
    <d v="2025-03-24T00:00:00"/>
    <s v="APL"/>
    <s v="Closed"/>
    <n v="1"/>
    <n v="1.7026600000000001"/>
  </r>
  <r>
    <n v="24"/>
    <s v="Polygon"/>
    <n v="0"/>
    <n v="0"/>
    <s v="Area Tersisa"/>
    <n v="0"/>
    <x v="6"/>
    <n v="1.2561199999999999"/>
    <s v="OPD BLOK 3"/>
    <x v="0"/>
    <n v="708.672774"/>
    <n v="1.256119"/>
    <d v="2025-03-24T00:00:00"/>
    <s v="APL"/>
    <s v="Closed"/>
    <n v="1"/>
    <n v="1.256119"/>
  </r>
  <r>
    <n v="25"/>
    <s v="Polygon"/>
    <n v="0"/>
    <n v="0"/>
    <s v="Area Terganggu"/>
    <n v="0"/>
    <x v="6"/>
    <n v="1.57077"/>
    <s v="OPD BLOK 3"/>
    <x v="0"/>
    <n v="746.27423599999997"/>
    <n v="1.570773"/>
    <d v="2025-03-24T00:00:00"/>
    <s v="APL"/>
    <s v="Closed"/>
    <n v="1"/>
    <n v="1.570773"/>
  </r>
  <r>
    <n v="26"/>
    <s v="Polygon"/>
    <n v="0"/>
    <n v="0"/>
    <s v="Area Tersisa"/>
    <n v="0"/>
    <x v="6"/>
    <n v="1.4642999999999999"/>
    <s v="OPD BLOK 3"/>
    <x v="0"/>
    <n v="661.47731699999997"/>
    <n v="1.464297"/>
    <d v="2025-03-24T00:00:00"/>
    <s v="APL"/>
    <s v="Closed"/>
    <n v="1"/>
    <n v="1.464297"/>
  </r>
  <r>
    <n v="27"/>
    <s v="Polygon"/>
    <n v="0"/>
    <n v="0"/>
    <s v="Area Terganggu"/>
    <n v="0"/>
    <x v="2"/>
    <n v="2.3213999999999999E-2"/>
    <s v="OPD BLOK 3"/>
    <x v="0"/>
    <n v="71.672212999999999"/>
    <n v="2.3213999999999999E-2"/>
    <d v="2025-03-24T00:00:00"/>
    <s v="APL"/>
    <s v="Closed"/>
    <n v="1"/>
    <n v="2.3213999999999999E-2"/>
  </r>
  <r>
    <n v="28"/>
    <s v="Polygon"/>
    <n v="0"/>
    <n v="0"/>
    <s v="Area Terganggu"/>
    <n v="0"/>
    <x v="2"/>
    <n v="0.140483"/>
    <s v="OPD BLOK 3"/>
    <x v="0"/>
    <n v="378.96254299999998"/>
    <n v="0.140483"/>
    <d v="2025-03-24T00:00:00"/>
    <s v="APL"/>
    <s v="Closed"/>
    <n v="1"/>
    <n v="0.140483"/>
  </r>
  <r>
    <n v="29"/>
    <s v="Polygon"/>
    <n v="0"/>
    <n v="0"/>
    <s v="Area Terganggu"/>
    <n v="0"/>
    <x v="2"/>
    <n v="1.10727"/>
    <s v="OPD BLOK 3"/>
    <x v="0"/>
    <n v="745.79039299999999"/>
    <n v="1.10727"/>
    <d v="2025-03-24T00:00:00"/>
    <s v="APL"/>
    <s v="Closed"/>
    <n v="1"/>
    <n v="1.10727"/>
  </r>
  <r>
    <n v="30"/>
    <s v="Polygon"/>
    <n v="0"/>
    <n v="0"/>
    <s v="Area Terganggu"/>
    <n v="0"/>
    <x v="2"/>
    <n v="3.12758"/>
    <s v="OPD BLOK 3"/>
    <x v="0"/>
    <n v="1056.0200620000001"/>
    <n v="3.1275789999999999"/>
    <d v="2025-03-24T00:00:00"/>
    <s v="APL"/>
    <s v="Closed"/>
    <n v="1"/>
    <n v="3.1275789999999999"/>
  </r>
  <r>
    <n v="31"/>
    <s v="Polygon"/>
    <n v="0"/>
    <n v="0"/>
    <s v="Area Tersisa"/>
    <n v="0"/>
    <x v="2"/>
    <n v="1.5989500000000001"/>
    <s v="OPD BLOK 3"/>
    <x v="0"/>
    <n v="872.84380199999998"/>
    <n v="1.598949"/>
    <d v="2025-03-24T00:00:00"/>
    <s v="APL"/>
    <s v="Closed"/>
    <n v="1"/>
    <n v="1.598949"/>
  </r>
  <r>
    <n v="32"/>
    <s v="Polygon"/>
    <n v="0"/>
    <n v="0"/>
    <s v="Area Terganggu"/>
    <n v="0"/>
    <x v="2"/>
    <n v="9.4676600000000004"/>
    <s v="OPD BLOK 3"/>
    <x v="0"/>
    <n v="1740.583648"/>
    <n v="9.4676639999999992"/>
    <d v="2025-03-24T00:00:00"/>
    <s v="APL"/>
    <s v="Closed"/>
    <n v="1"/>
    <n v="9.4676639999999992"/>
  </r>
  <r>
    <n v="33"/>
    <s v="Polygon"/>
    <n v="0"/>
    <n v="0"/>
    <s v="Area Terganggu"/>
    <n v="0"/>
    <x v="5"/>
    <n v="3.29331"/>
    <s v="OPD BLOK 3"/>
    <x v="0"/>
    <n v="1434.78253"/>
    <n v="3.2933119999999998"/>
    <d v="2025-03-24T00:00:00"/>
    <s v="APL"/>
    <s v="Closed"/>
    <n v="1"/>
    <n v="3.2933119999999998"/>
  </r>
  <r>
    <n v="34"/>
    <s v="Polygon"/>
    <n v="0"/>
    <n v="0"/>
    <s v="Area Terganggu"/>
    <n v="0"/>
    <x v="0"/>
    <n v="3.7616499999999999"/>
    <s v="OPD BLOK 3"/>
    <x v="0"/>
    <n v="1772.956925"/>
    <n v="3.7616510000000001"/>
    <d v="2025-03-24T00:00:00"/>
    <s v="APL"/>
    <s v="Closed"/>
    <n v="1"/>
    <n v="3.7616510000000001"/>
  </r>
  <r>
    <n v="35"/>
    <s v="Polygon"/>
    <n v="0"/>
    <n v="0"/>
    <s v="Area Terganggu"/>
    <n v="0"/>
    <x v="0"/>
    <n v="1.6634899999999999"/>
    <s v="OPD BLOK 3"/>
    <x v="0"/>
    <n v="681.43269899999996"/>
    <n v="1.663492"/>
    <d v="2025-03-24T00:00:00"/>
    <s v="APL"/>
    <s v="Closed"/>
    <n v="1"/>
    <n v="1.663492"/>
  </r>
  <r>
    <n v="36"/>
    <s v="Polygon"/>
    <n v="0"/>
    <n v="0"/>
    <s v="Area Terganggu"/>
    <n v="0"/>
    <x v="0"/>
    <n v="0.75355799999999995"/>
    <s v="OPD BLOK 3"/>
    <x v="0"/>
    <n v="777.42753700000003"/>
    <n v="0.75355799999999995"/>
    <d v="2025-03-24T00:00:00"/>
    <s v="APL"/>
    <s v="Closed"/>
    <n v="1"/>
    <n v="0.75355799999999995"/>
  </r>
  <r>
    <n v="37"/>
    <s v="Polygon"/>
    <n v="0"/>
    <n v="0"/>
    <s v="Area Terganggu"/>
    <n v="0"/>
    <x v="3"/>
    <n v="6.1974400000000003"/>
    <s v="OPD BLOK 2"/>
    <x v="0"/>
    <n v="1740.3163529999999"/>
    <n v="6.1974400000000003"/>
    <d v="2025-03-24T00:00:00"/>
    <s v="APL"/>
    <s v="Closed"/>
    <n v="1"/>
    <n v="6.1974400000000003"/>
  </r>
  <r>
    <n v="38"/>
    <s v="Polygon"/>
    <n v="0"/>
    <n v="0"/>
    <s v="Area Terganggu"/>
    <n v="0"/>
    <x v="3"/>
    <n v="23.7532"/>
    <s v="OPD BLOK 2"/>
    <x v="0"/>
    <n v="3606.1642700000002"/>
    <n v="23.753246000000001"/>
    <d v="2025-03-24T00:00:00"/>
    <s v="APL"/>
    <s v="Closed"/>
    <n v="1"/>
    <n v="23.753246000000001"/>
  </r>
  <r>
    <n v="39"/>
    <s v="Polygon"/>
    <n v="0"/>
    <n v="0"/>
    <s v="Area Tersisa"/>
    <n v="0"/>
    <x v="7"/>
    <n v="4.0822399999999996"/>
    <s v="OPD BLOK 1"/>
    <x v="0"/>
    <n v="897.177865"/>
    <n v="4.0822440000000002"/>
    <d v="2025-03-24T00:00:00"/>
    <s v="APL"/>
    <s v="Closed"/>
    <n v="1"/>
    <n v="4.0822440000000002"/>
  </r>
  <r>
    <n v="40"/>
    <s v="Polygon"/>
    <n v="0"/>
    <n v="0"/>
    <s v="Area Terganggu"/>
    <n v="0"/>
    <x v="7"/>
    <n v="1.02389"/>
    <s v="OPD BLOK 2"/>
    <x v="0"/>
    <n v="944.50662999999997"/>
    <n v="1.02389"/>
    <d v="2025-03-24T00:00:00"/>
    <s v="APL"/>
    <s v="Closed"/>
    <n v="1"/>
    <n v="1.02389"/>
  </r>
  <r>
    <n v="41"/>
    <s v="Polygon"/>
    <n v="0"/>
    <n v="0"/>
    <s v="Area Terganggu"/>
    <n v="0"/>
    <x v="4"/>
    <n v="0.76672799999999997"/>
    <s v="OPD BLOK 2"/>
    <x v="0"/>
    <n v="524.55962199999999"/>
    <n v="0.76672799999999997"/>
    <d v="2025-03-24T00:00:00"/>
    <s v="APL"/>
    <s v="Closed"/>
    <n v="1"/>
    <n v="0.76672799999999997"/>
  </r>
  <r>
    <n v="42"/>
    <s v="Polygon"/>
    <n v="0"/>
    <n v="0"/>
    <s v="Area Terganggu"/>
    <n v="0"/>
    <x v="4"/>
    <n v="3.9060800000000002"/>
    <s v="OPD BLOK 2"/>
    <x v="0"/>
    <n v="1095.9969189999999"/>
    <n v="3.9060809999999999"/>
    <d v="2025-03-24T00:00:00"/>
    <s v="APL"/>
    <s v="Closed"/>
    <n v="1"/>
    <n v="3.9060809999999999"/>
  </r>
  <r>
    <n v="43"/>
    <s v="Polygon"/>
    <n v="0"/>
    <n v="0"/>
    <s v="Area Terganggu"/>
    <n v="0"/>
    <x v="5"/>
    <n v="2.0079500000000001"/>
    <s v="OPD BLOK 2"/>
    <x v="0"/>
    <n v="885.49394400000006"/>
    <n v="2.0079509999999998"/>
    <d v="2025-03-24T00:00:00"/>
    <s v="APL"/>
    <s v="Closed"/>
    <n v="1"/>
    <n v="2.0079509999999998"/>
  </r>
  <r>
    <n v="44"/>
    <s v="Polygon"/>
    <n v="0"/>
    <n v="0"/>
    <s v="Area Tersisa"/>
    <n v="0"/>
    <x v="5"/>
    <n v="12.983499999999999"/>
    <s v="IPD Blok 1"/>
    <x v="0"/>
    <n v="1883.8924199999999"/>
    <n v="12.983511"/>
    <d v="2025-03-24T00:00:00"/>
    <s v="KAWASAN HUTAN"/>
    <s v="Closed"/>
    <n v="1"/>
    <n v="12.983511"/>
  </r>
  <r>
    <n v="45"/>
    <s v="Polygon"/>
    <n v="0"/>
    <n v="0"/>
    <s v="Area Terganggu"/>
    <n v="0"/>
    <x v="5"/>
    <n v="0.39918300000000001"/>
    <s v="IPD Blok 1"/>
    <x v="0"/>
    <n v="373.17927300000002"/>
    <n v="0.39918300000000001"/>
    <d v="2025-03-24T00:00:00"/>
    <s v="KAWASAN HUTAN"/>
    <s v="Closed"/>
    <n v="1"/>
    <n v="0.39918300000000001"/>
  </r>
  <r>
    <n v="46"/>
    <s v="Polygon"/>
    <n v="0"/>
    <n v="0"/>
    <s v="Area Terganggu"/>
    <n v="0"/>
    <x v="5"/>
    <n v="4.0682999999999998"/>
    <s v="OPD BLOK 2"/>
    <x v="0"/>
    <n v="1281.6145939999999"/>
    <n v="4.0683040000000004"/>
    <d v="2025-03-24T00:00:00"/>
    <s v="KAWASAN HUTAN"/>
    <s v="Closed"/>
    <n v="1"/>
    <n v="4.0683040000000004"/>
  </r>
  <r>
    <n v="47"/>
    <s v="Polygon"/>
    <n v="0"/>
    <n v="0"/>
    <s v="Area Terganggu"/>
    <n v="0"/>
    <x v="5"/>
    <n v="0.379693"/>
    <s v="OPD BLOK 2"/>
    <x v="0"/>
    <n v="816.95134199999995"/>
    <n v="0.379693"/>
    <d v="2025-03-24T00:00:00"/>
    <s v="KAWASAN HUTAN"/>
    <s v="Closed"/>
    <n v="1"/>
    <n v="0.379693"/>
  </r>
  <r>
    <n v="48"/>
    <s v="Polygon"/>
    <n v="0"/>
    <n v="0"/>
    <s v="Area Terganggu"/>
    <n v="0"/>
    <x v="5"/>
    <n v="1.61547"/>
    <s v="OPD BLOK 2"/>
    <x v="0"/>
    <n v="707.98981100000003"/>
    <n v="1.61547"/>
    <d v="2025-03-24T00:00:00"/>
    <s v="KAWASAN HUTAN"/>
    <s v="Closed"/>
    <n v="1"/>
    <n v="1.61547"/>
  </r>
  <r>
    <n v="49"/>
    <s v="Polygon"/>
    <n v="0"/>
    <n v="0"/>
    <s v="Area Terganggu"/>
    <n v="0"/>
    <x v="0"/>
    <n v="0.67450900000000003"/>
    <s v="OPD BLOK 2"/>
    <x v="0"/>
    <n v="386.23541299999999"/>
    <n v="0.67450900000000003"/>
    <d v="2025-03-24T00:00:00"/>
    <s v="KAWASAN HUTAN"/>
    <s v="Closed"/>
    <n v="1"/>
    <n v="0.67450900000000003"/>
  </r>
  <r>
    <n v="50"/>
    <s v="Polygon"/>
    <n v="0"/>
    <n v="0"/>
    <s v="Area Terganggu"/>
    <n v="0"/>
    <x v="0"/>
    <n v="1.3311599999999999"/>
    <s v="OPD BLOK 2"/>
    <x v="0"/>
    <n v="542.99092099999996"/>
    <n v="1.331159"/>
    <d v="2025-03-24T00:00:00"/>
    <s v="APL"/>
    <s v="Closed"/>
    <n v="1"/>
    <n v="1.331159"/>
  </r>
  <r>
    <n v="51"/>
    <s v="Polygon"/>
    <n v="0"/>
    <n v="0"/>
    <s v="Area Terganggu"/>
    <n v="0"/>
    <x v="0"/>
    <n v="4.4319199999999999"/>
    <s v="OPD BLOK 2"/>
    <x v="0"/>
    <n v="851.548134"/>
    <n v="4.4319230000000003"/>
    <d v="2025-03-24T00:00:00"/>
    <s v="APL"/>
    <s v="Closed"/>
    <n v="1"/>
    <n v="4.4319230000000003"/>
  </r>
  <r>
    <n v="52"/>
    <s v="Polygon"/>
    <n v="0"/>
    <n v="0"/>
    <s v="Area Terganggu"/>
    <n v="0"/>
    <x v="0"/>
    <n v="12.9527"/>
    <s v="OPD BLOK 2"/>
    <x v="0"/>
    <n v="2240.9842199999998"/>
    <n v="12.952696"/>
    <d v="2025-03-24T00:00:00"/>
    <s v="APL"/>
    <s v="Closed"/>
    <n v="1"/>
    <n v="12.952696"/>
  </r>
  <r>
    <n v="53"/>
    <s v="Polygon"/>
    <n v="0"/>
    <n v="0"/>
    <s v="Area Terganggu"/>
    <n v="0"/>
    <x v="1"/>
    <n v="0.80001999999999995"/>
    <s v="OPD BLOK 2"/>
    <x v="0"/>
    <n v="435.72961800000002"/>
    <n v="0.80001999999999995"/>
    <d v="2025-03-24T00:00:00"/>
    <s v="APL"/>
    <s v="Closed"/>
    <n v="1"/>
    <n v="0.80001999999999995"/>
  </r>
  <r>
    <n v="54"/>
    <s v="Polygon"/>
    <n v="0"/>
    <n v="0"/>
    <s v="Area Terganggu"/>
    <n v="0"/>
    <x v="0"/>
    <n v="2.4253499999999999"/>
    <s v="OPD BLOK 2"/>
    <x v="0"/>
    <n v="877.06241899999998"/>
    <n v="2.4253469999999999"/>
    <d v="2025-03-24T00:00:00"/>
    <s v="APL"/>
    <s v="Closed"/>
    <n v="1"/>
    <n v="2.4253469999999999"/>
  </r>
  <r>
    <n v="55"/>
    <s v="Polygon"/>
    <n v="0"/>
    <n v="0"/>
    <s v="Area Terganggu"/>
    <n v="0"/>
    <x v="0"/>
    <n v="3.7718600000000002"/>
    <s v="OPD BLOK 2"/>
    <x v="0"/>
    <n v="831.52675599999998"/>
    <n v="3.7718579999999999"/>
    <d v="2025-03-24T00:00:00"/>
    <s v="APL"/>
    <s v="Closed"/>
    <n v="1"/>
    <n v="3.7718579999999999"/>
  </r>
  <r>
    <n v="56"/>
    <s v="Polygon"/>
    <n v="0"/>
    <n v="0"/>
    <s v="Area Terganggu"/>
    <n v="0"/>
    <x v="0"/>
    <n v="0.67022499999999996"/>
    <s v="OPD BLOK 2"/>
    <x v="0"/>
    <n v="485.58041600000001"/>
    <n v="0.67022499999999996"/>
    <d v="2025-03-24T00:00:00"/>
    <s v="APL"/>
    <s v="Closed"/>
    <n v="1"/>
    <n v="0.67022499999999996"/>
  </r>
  <r>
    <n v="57"/>
    <s v="Polygon"/>
    <n v="0"/>
    <n v="0"/>
    <s v="Area Terganggu"/>
    <n v="0"/>
    <x v="0"/>
    <n v="0.316575"/>
    <s v="OPD BLOK 2"/>
    <x v="0"/>
    <n v="607.50880700000005"/>
    <n v="0.316575"/>
    <d v="2025-03-24T00:00:00"/>
    <s v="APL"/>
    <s v="Closed"/>
    <n v="1"/>
    <n v="0.316575"/>
  </r>
  <r>
    <n v="58"/>
    <s v="Polygon"/>
    <n v="0"/>
    <n v="0"/>
    <s v="Area Terganggu"/>
    <n v="0"/>
    <x v="4"/>
    <n v="1.1855599999999999"/>
    <s v="OPD BLOK 2"/>
    <x v="0"/>
    <n v="548.80289300000004"/>
    <n v="1.185562"/>
    <d v="2025-03-24T00:00:00"/>
    <s v="APL"/>
    <s v="Closed"/>
    <n v="1"/>
    <n v="1.185562"/>
  </r>
  <r>
    <n v="59"/>
    <s v="Polygon"/>
    <n v="0"/>
    <n v="0"/>
    <s v="Area Terganggu"/>
    <n v="0"/>
    <x v="4"/>
    <n v="0.64601699999999995"/>
    <s v="OPD BLOK 2"/>
    <x v="0"/>
    <n v="410.126777"/>
    <n v="0.64601699999999995"/>
    <d v="2025-03-24T00:00:00"/>
    <s v="APL"/>
    <s v="Closed"/>
    <n v="1"/>
    <n v="0.64601699999999995"/>
  </r>
  <r>
    <n v="60"/>
    <s v="Polygon"/>
    <n v="0"/>
    <n v="0"/>
    <s v="Area Terganggu"/>
    <n v="0"/>
    <x v="3"/>
    <n v="1.69442"/>
    <s v="OPD BLOK 2"/>
    <x v="0"/>
    <n v="635.17454099999998"/>
    <n v="1.694418"/>
    <d v="2025-03-24T00:00:00"/>
    <s v="APL"/>
    <s v="Closed"/>
    <n v="1"/>
    <n v="1.694418"/>
  </r>
  <r>
    <n v="61"/>
    <s v="Polygon"/>
    <n v="0"/>
    <n v="0"/>
    <s v="Area Terganggu"/>
    <n v="0"/>
    <x v="3"/>
    <n v="0.77192899999999998"/>
    <s v="OPD BLOK 2"/>
    <x v="0"/>
    <n v="644.674263"/>
    <n v="0.77192899999999998"/>
    <d v="2025-03-24T00:00:00"/>
    <s v="KAWASAN HUTAN"/>
    <s v="Closed"/>
    <n v="1"/>
    <n v="0.77192899999999998"/>
  </r>
  <r>
    <n v="62"/>
    <s v="Polygon"/>
    <n v="0"/>
    <n v="0"/>
    <s v="Area Terganggu"/>
    <n v="0"/>
    <x v="5"/>
    <n v="5.1402999999999997E-2"/>
    <s v="OPD BLOK 1"/>
    <x v="0"/>
    <n v="119.375277"/>
    <n v="5.1402999999999997E-2"/>
    <d v="2025-03-24T00:00:00"/>
    <s v="KAWASAN HUTAN"/>
    <s v="Closed"/>
    <n v="1"/>
    <n v="5.1402999999999997E-2"/>
  </r>
  <r>
    <n v="63"/>
    <s v="Polygon"/>
    <n v="0"/>
    <n v="0"/>
    <s v="Area Terganggu"/>
    <n v="0"/>
    <x v="5"/>
    <n v="2.22573"/>
    <s v="OPD BLOK 1"/>
    <x v="0"/>
    <n v="1361.8702189999999"/>
    <n v="2.2257340000000001"/>
    <d v="2025-03-24T00:00:00"/>
    <s v="KAWASAN HUTAN"/>
    <s v="Closed"/>
    <n v="1"/>
    <n v="2.2257340000000001"/>
  </r>
  <r>
    <n v="64"/>
    <s v="Polygon"/>
    <n v="0"/>
    <n v="0"/>
    <s v="Area Terganggu"/>
    <n v="0"/>
    <x v="5"/>
    <n v="0.23088500000000001"/>
    <s v="OPD BLOK 1"/>
    <x v="0"/>
    <n v="257.63546000000002"/>
    <n v="0.23088500000000001"/>
    <d v="2025-03-24T00:00:00"/>
    <s v="KAWASAN HUTAN"/>
    <s v="Closed"/>
    <n v="1"/>
    <n v="0.23088500000000001"/>
  </r>
  <r>
    <n v="65"/>
    <s v="Polygon"/>
    <n v="0"/>
    <n v="0"/>
    <s v="Area Terganggu"/>
    <n v="0"/>
    <x v="5"/>
    <n v="2.1465000000000001"/>
    <s v="OPD BLOK 2"/>
    <x v="0"/>
    <n v="756.69504400000005"/>
    <n v="2.146503"/>
    <d v="2025-03-24T00:00:00"/>
    <s v="KAWASAN HUTAN"/>
    <s v="Closed"/>
    <n v="1"/>
    <n v="2.146503"/>
  </r>
  <r>
    <n v="66"/>
    <s v="Polygon"/>
    <n v="0"/>
    <n v="0"/>
    <s v="Area Terganggu"/>
    <n v="0"/>
    <x v="5"/>
    <n v="0.25728099999999998"/>
    <s v="OPD BLOK 2"/>
    <x v="0"/>
    <n v="370.94662499999998"/>
    <n v="0.25728099999999998"/>
    <d v="2025-03-24T00:00:00"/>
    <s v="KAWASAN HUTAN"/>
    <s v="Closed"/>
    <n v="1"/>
    <n v="0.25728099999999998"/>
  </r>
  <r>
    <n v="67"/>
    <s v="Polygon"/>
    <n v="0"/>
    <n v="0"/>
    <s v="Area Terganggu"/>
    <n v="0"/>
    <x v="5"/>
    <n v="1.70472"/>
    <s v="OPD BLOK 1"/>
    <x v="0"/>
    <n v="826.28302599999995"/>
    <n v="1.704718"/>
    <d v="2025-03-24T00:00:00"/>
    <s v="KAWASAN HUTAN"/>
    <s v="Closed"/>
    <n v="1"/>
    <n v="1.704718"/>
  </r>
  <r>
    <n v="68"/>
    <s v="Polygon"/>
    <n v="0"/>
    <n v="0"/>
    <s v="Area Terganggu"/>
    <n v="0"/>
    <x v="7"/>
    <n v="0.67876000000000003"/>
    <s v="OPD BLOK 2"/>
    <x v="0"/>
    <n v="457.26601900000003"/>
    <n v="0.67876000000000003"/>
    <d v="2025-03-24T00:00:00"/>
    <s v="APL"/>
    <s v="Closed"/>
    <n v="1"/>
    <n v="0.67876000000000003"/>
  </r>
  <r>
    <n v="69"/>
    <s v="Polygon"/>
    <n v="0"/>
    <n v="0"/>
    <s v="Area Terganggu"/>
    <n v="0"/>
    <x v="0"/>
    <n v="0.28946300000000003"/>
    <s v="OPD BLOK 2"/>
    <x v="0"/>
    <n v="396.86200600000001"/>
    <n v="0.28946300000000003"/>
    <d v="2025-03-24T00:00:00"/>
    <s v="KAWASAN HUTAN"/>
    <s v="Closed"/>
    <n v="1"/>
    <n v="0.28946300000000003"/>
  </r>
  <r>
    <n v="70"/>
    <s v="Polygon"/>
    <n v="0"/>
    <n v="0"/>
    <s v="Area Terganggu"/>
    <n v="0"/>
    <x v="0"/>
    <n v="0.39565899999999998"/>
    <s v="OPD BLOK 2"/>
    <x v="0"/>
    <n v="467.165459"/>
    <n v="0.39565899999999998"/>
    <d v="2025-03-24T00:00:00"/>
    <s v="KAWASAN HUTAN"/>
    <s v="Closed"/>
    <n v="1"/>
    <n v="0.39565899999999998"/>
  </r>
  <r>
    <n v="71"/>
    <s v="Polygon"/>
    <n v="0"/>
    <n v="0"/>
    <s v="Area Terganggu"/>
    <n v="0"/>
    <x v="6"/>
    <n v="1.1335"/>
    <s v="OPD BLOK 3"/>
    <x v="0"/>
    <n v="590.21848999999997"/>
    <n v="1.133499"/>
    <d v="2025-03-24T00:00:00"/>
    <s v="APL"/>
    <s v="Closed"/>
    <n v="1"/>
    <n v="1.133499"/>
  </r>
  <r>
    <n v="72"/>
    <s v="Polygon"/>
    <n v="0"/>
    <n v="0"/>
    <s v="Area Terganggu"/>
    <n v="0"/>
    <x v="3"/>
    <n v="2.3581799999999999"/>
    <s v="OPD BLOK 2"/>
    <x v="0"/>
    <n v="794.41887099999997"/>
    <n v="2.3581789999999998"/>
    <d v="2025-03-24T00:00:00"/>
    <s v="APL"/>
    <s v="Closed"/>
    <n v="1"/>
    <n v="2.3581789999999998"/>
  </r>
  <r>
    <n v="73"/>
    <s v="Polygon"/>
    <n v="0"/>
    <n v="0"/>
    <s v="Area Terganggu"/>
    <n v="0"/>
    <x v="4"/>
    <n v="0.79569100000000004"/>
    <s v="OPD BLOK 2"/>
    <x v="0"/>
    <n v="529.27037800000005"/>
    <n v="0.79569100000000004"/>
    <d v="2025-03-24T00:00:00"/>
    <s v="APL"/>
    <s v="Closed"/>
    <n v="1"/>
    <n v="0.79569100000000004"/>
  </r>
  <r>
    <n v="74"/>
    <s v="Polygon"/>
    <n v="0"/>
    <n v="0"/>
    <s v="Area Terganggu"/>
    <n v="0"/>
    <x v="0"/>
    <n v="1.16743"/>
    <s v="OPD BLOK 2"/>
    <x v="0"/>
    <n v="491.80954300000002"/>
    <n v="1.1674260000000001"/>
    <d v="2025-03-24T00:00:00"/>
    <s v="APL"/>
    <s v="Closed"/>
    <n v="1"/>
    <n v="1.1674260000000001"/>
  </r>
  <r>
    <n v="75"/>
    <s v="Polygon"/>
    <n v="0"/>
    <n v="0"/>
    <s v="Area Terganggu"/>
    <n v="0"/>
    <x v="0"/>
    <n v="0.68645900000000004"/>
    <s v="Blok 3"/>
    <x v="0"/>
    <n v="517.37971700000003"/>
    <n v="0.68645900000000004"/>
    <d v="2025-03-24T00:00:00"/>
    <s v="APL"/>
    <s v="Closed"/>
    <n v="1"/>
    <n v="0.68645900000000004"/>
  </r>
  <r>
    <n v="76"/>
    <s v="Polygon"/>
    <n v="0"/>
    <n v="0"/>
    <s v="Area Tersisa"/>
    <n v="0"/>
    <x v="0"/>
    <n v="0.96015300000000003"/>
    <s v="WS HRS/PMA"/>
    <x v="0"/>
    <n v="437.83718800000003"/>
    <n v="0.96015300000000003"/>
    <d v="2025-03-24T00:00:00"/>
    <s v="APL"/>
    <s v="Closed"/>
    <n v="1"/>
    <n v="0.96015300000000003"/>
  </r>
  <r>
    <n v="77"/>
    <s v="Polygon"/>
    <n v="0"/>
    <n v="0"/>
    <s v="Area Tersisa"/>
    <n v="0"/>
    <x v="0"/>
    <n v="11.038399999999999"/>
    <s v="OPD BLOK 1"/>
    <x v="0"/>
    <n v="2917.0755349999999"/>
    <n v="11.038357"/>
    <d v="2025-03-24T00:00:00"/>
    <s v="KAWASAN HUTAN"/>
    <s v="Closed"/>
    <n v="1"/>
    <n v="11.038357"/>
  </r>
  <r>
    <n v="78"/>
    <s v="Polygon"/>
    <n v="0"/>
    <n v="0"/>
    <s v="Progres"/>
    <n v="0"/>
    <x v="0"/>
    <n v="36.115200000000002"/>
    <s v="OPD BLOK 1"/>
    <x v="0"/>
    <n v="2533.890977"/>
    <n v="36.115172999999999"/>
    <d v="2025-03-24T00:00:00"/>
    <s v="KAWASAN HUTAN"/>
    <s v="Closed"/>
    <n v="1"/>
    <n v="36.115172999999999"/>
  </r>
  <r>
    <n v="79"/>
    <s v="Polygon"/>
    <n v="48"/>
    <n v="0"/>
    <s v="Area Tersisa"/>
    <n v="0"/>
    <x v="0"/>
    <n v="0.51960499999999998"/>
    <s v="OPD BLOK 1"/>
    <x v="0"/>
    <n v="443.05878000000001"/>
    <n v="0.51960499999999998"/>
    <d v="2025-03-24T00:00:00"/>
    <s v="KAWASAN HUTAN"/>
    <s v="Closed"/>
    <n v="1"/>
    <n v="0.51960499999999998"/>
  </r>
  <r>
    <n v="80"/>
    <s v="Polygon"/>
    <n v="0"/>
    <n v="0"/>
    <s v="Area Tersisa"/>
    <n v="0"/>
    <x v="7"/>
    <n v="0.84735300000000002"/>
    <s v="OPD BLOK 1"/>
    <x v="0"/>
    <n v="372.621621"/>
    <n v="0.84735300000000002"/>
    <d v="2025-03-24T00:00:00"/>
    <s v="KAWASAN HUTAN"/>
    <s v="Closed"/>
    <n v="1"/>
    <n v="0.84735300000000002"/>
  </r>
  <r>
    <n v="81"/>
    <s v="Polygon"/>
    <n v="0"/>
    <n v="0"/>
    <s v="Area Tersisa"/>
    <n v="0"/>
    <x v="0"/>
    <n v="3.8635999999999997E-2"/>
    <s v="WS HRS/PMA"/>
    <x v="0"/>
    <n v="97.641170000000002"/>
    <n v="3.8635999999999997E-2"/>
    <d v="2025-03-24T00:00:00"/>
    <s v="KAWASAN HUTAN"/>
    <s v="Closed"/>
    <n v="1"/>
    <n v="3.8635999999999997E-2"/>
  </r>
  <r>
    <n v="82"/>
    <s v="Polygon"/>
    <n v="35"/>
    <n v="0"/>
    <s v="Area Tersisa"/>
    <n v="0"/>
    <x v="5"/>
    <n v="0.89909499999999998"/>
    <s v="OPD BLOK 1"/>
    <x v="0"/>
    <n v="473.41900500000003"/>
    <n v="0.89909499999999998"/>
    <d v="2025-03-24T00:00:00"/>
    <s v="KAWASAN HUTAN"/>
    <s v="Closed"/>
    <n v="1"/>
    <n v="0.89909499999999998"/>
  </r>
  <r>
    <n v="83"/>
    <s v="Polygon"/>
    <n v="0"/>
    <n v="0"/>
    <s v="Area Tersisa"/>
    <n v="0"/>
    <x v="0"/>
    <n v="7.9880899999999997"/>
    <s v="OPD BLOK 1"/>
    <x v="0"/>
    <n v="1291.739098"/>
    <n v="7.9880890000000004"/>
    <d v="2025-03-24T00:00:00"/>
    <s v="KAWASAN HUTAN"/>
    <s v="Closed"/>
    <n v="1"/>
    <n v="7.9880890000000004"/>
  </r>
  <r>
    <n v="84"/>
    <s v="Polygon"/>
    <n v="0"/>
    <n v="0"/>
    <s v="Area Terganggu"/>
    <n v="0"/>
    <x v="3"/>
    <n v="0.95125000000000004"/>
    <s v="OPD BLOK 2"/>
    <x v="0"/>
    <n v="514.61879199999998"/>
    <n v="0.95125000000000004"/>
    <d v="2025-03-24T00:00:00"/>
    <s v="KAWASAN HUTAN"/>
    <s v="Closed"/>
    <n v="1"/>
    <n v="0.95125000000000004"/>
  </r>
  <r>
    <n v="85"/>
    <s v="Polygon"/>
    <n v="0"/>
    <n v="0"/>
    <s v="Area Terganggu"/>
    <n v="0"/>
    <x v="7"/>
    <n v="0.29969600000000002"/>
    <s v="OPD BLOK 2"/>
    <x v="0"/>
    <n v="283.008848"/>
    <n v="0.29969600000000002"/>
    <d v="2025-03-24T00:00:00"/>
    <s v="KAWASAN HUTAN"/>
    <s v="Closed"/>
    <n v="1"/>
    <n v="0.29969600000000002"/>
  </r>
  <r>
    <n v="86"/>
    <s v="Polygon"/>
    <n v="0"/>
    <n v="0"/>
    <s v="Area Terganggu"/>
    <n v="0"/>
    <x v="3"/>
    <n v="0.68407799999999996"/>
    <s v="OPD BLOK 2"/>
    <x v="0"/>
    <n v="505.44561199999998"/>
    <n v="0.68407799999999996"/>
    <d v="2025-03-24T00:00:00"/>
    <s v="APL"/>
    <s v="Closed"/>
    <n v="1"/>
    <n v="0.68407799999999996"/>
  </r>
  <r>
    <n v="87"/>
    <s v="Polygon"/>
    <n v="0"/>
    <n v="0"/>
    <s v="Area Tersisa"/>
    <n v="0"/>
    <x v="6"/>
    <n v="0.70251399999999997"/>
    <s v="IPD  AB BLOK 1"/>
    <x v="0"/>
    <n v="716.29841199999998"/>
    <n v="0.70251399999999997"/>
    <d v="2025-03-24T00:00:00"/>
    <s v="KAWASAN HUTAN"/>
    <s v="Closed"/>
    <n v="1"/>
    <n v="0.70251399999999997"/>
  </r>
  <r>
    <n v="88"/>
    <s v="Polygon"/>
    <n v="0"/>
    <n v="0"/>
    <s v="Area Tersisa"/>
    <n v="0"/>
    <x v="6"/>
    <n v="0.820855"/>
    <s v="IPD  AB BLOK 1"/>
    <x v="0"/>
    <n v="540.021435"/>
    <n v="0.820855"/>
    <d v="2025-03-24T00:00:00"/>
    <s v="KAWASAN HUTAN"/>
    <s v="Closed"/>
    <n v="1"/>
    <n v="0.820855"/>
  </r>
  <r>
    <n v="89"/>
    <s v="Polygon"/>
    <n v="1"/>
    <n v="0"/>
    <s v="Area Tersisa"/>
    <n v="0"/>
    <x v="8"/>
    <n v="15.791600000000001"/>
    <s v="OPD BLOK 3"/>
    <x v="0"/>
    <n v="2217.0775629999998"/>
    <n v="15.791553"/>
    <d v="2025-03-24T00:00:00"/>
    <s v="APL"/>
    <s v="Closed"/>
    <n v="1"/>
    <n v="15.791553"/>
  </r>
  <r>
    <n v="90"/>
    <s v="Polygon"/>
    <n v="0"/>
    <n v="0"/>
    <s v="Area Tersisa"/>
    <n v="0"/>
    <x v="9"/>
    <n v="0.68329799999999996"/>
    <s v="OPD BLOK 3"/>
    <x v="1"/>
    <n v="421.56336700000003"/>
    <n v="0.68329799999999996"/>
    <d v="2025-03-24T00:00:00"/>
    <s v="APL"/>
    <s v="Closed"/>
    <n v="1"/>
    <n v="0.68329799999999996"/>
  </r>
  <r>
    <n v="91"/>
    <s v="Polygon"/>
    <n v="0"/>
    <n v="0"/>
    <s v="Area Tersisa"/>
    <n v="0"/>
    <x v="9"/>
    <n v="3.0613899999999998"/>
    <s v="OPD BLOK 3"/>
    <x v="1"/>
    <n v="1144.374922"/>
    <n v="3.0613869999999999"/>
    <d v="2025-03-24T00:00:00"/>
    <s v="APL"/>
    <s v="Closed"/>
    <n v="1"/>
    <n v="3.0613869999999999"/>
  </r>
  <r>
    <n v="92"/>
    <s v="Polygon"/>
    <n v="0"/>
    <n v="0"/>
    <s v="Area Tersisa"/>
    <n v="0"/>
    <x v="9"/>
    <n v="1.04512"/>
    <s v="OPD BLOK 3"/>
    <x v="1"/>
    <n v="560.52313500000002"/>
    <n v="1.0451159999999999"/>
    <d v="2025-03-24T00:00:00"/>
    <s v="APL"/>
    <s v="Closed"/>
    <n v="1"/>
    <n v="1.0451159999999999"/>
  </r>
  <r>
    <n v="93"/>
    <s v="Polygon"/>
    <n v="0"/>
    <n v="0"/>
    <s v="Area Tersisa"/>
    <n v="0"/>
    <x v="9"/>
    <n v="0.60267099999999996"/>
    <s v="OPD BLOK 3"/>
    <x v="1"/>
    <n v="379.48840799999999"/>
    <n v="0.60267099999999996"/>
    <d v="2025-03-24T00:00:00"/>
    <s v="APL"/>
    <s v="Closed"/>
    <n v="1"/>
    <n v="0.60267099999999996"/>
  </r>
  <r>
    <n v="94"/>
    <s v="Polygon"/>
    <n v="5"/>
    <n v="0"/>
    <s v="Area Tersisa"/>
    <n v="0"/>
    <x v="8"/>
    <n v="4.6673400000000003"/>
    <s v="OPD BLOK 3"/>
    <x v="0"/>
    <n v="1303.5484060000001"/>
    <n v="4.6673419999999997"/>
    <d v="2025-03-24T00:00:00"/>
    <s v="APL"/>
    <s v="Closed"/>
    <n v="1"/>
    <n v="4.6673419999999997"/>
  </r>
  <r>
    <n v="95"/>
    <s v="Polygon"/>
    <n v="7"/>
    <n v="0"/>
    <s v="Area Tersisa"/>
    <n v="0"/>
    <x v="8"/>
    <n v="2.1327699999999998"/>
    <s v="OPD BLOK 3"/>
    <x v="0"/>
    <n v="797.56355499999995"/>
    <n v="2.132765"/>
    <d v="2025-03-24T00:00:00"/>
    <s v="APL"/>
    <s v="Closed"/>
    <n v="1"/>
    <n v="2.132765"/>
  </r>
  <r>
    <n v="96"/>
    <s v="Polygon"/>
    <n v="8"/>
    <n v="0"/>
    <s v="Area Tersisa"/>
    <n v="0"/>
    <x v="8"/>
    <n v="1.2636499999999999"/>
    <s v="OPD BLOK 3"/>
    <x v="0"/>
    <n v="658.72732399999995"/>
    <n v="1.2636449999999999"/>
    <d v="2025-03-24T00:00:00"/>
    <s v="APL"/>
    <s v="Closed"/>
    <n v="1"/>
    <n v="1.2636449999999999"/>
  </r>
  <r>
    <n v="97"/>
    <s v="Polygon"/>
    <n v="9"/>
    <n v="0"/>
    <s v="Area Tersisa"/>
    <n v="0"/>
    <x v="8"/>
    <n v="12.7958"/>
    <s v="OPD BLOK 3"/>
    <x v="0"/>
    <n v="1865.6979610000001"/>
    <n v="12.7958"/>
    <d v="2025-03-24T00:00:00"/>
    <s v="APL"/>
    <s v="Closed"/>
    <n v="1"/>
    <n v="12.7958"/>
  </r>
  <r>
    <n v="98"/>
    <s v="Polygon"/>
    <n v="0"/>
    <n v="0"/>
    <s v="Area Tersisa"/>
    <n v="0"/>
    <x v="8"/>
    <n v="5.8395400000000004"/>
    <s v="OPD BLOK 3"/>
    <x v="0"/>
    <n v="1280.050782"/>
    <n v="5.8395400000000004"/>
    <d v="2025-03-24T00:00:00"/>
    <s v="APL"/>
    <s v="Closed"/>
    <n v="1"/>
    <n v="5.8395400000000004"/>
  </r>
  <r>
    <n v="99"/>
    <s v="Polygon"/>
    <n v="6"/>
    <n v="0"/>
    <s v="Area Tersisa"/>
    <n v="0"/>
    <x v="8"/>
    <n v="2.32375"/>
    <s v="OPD BLOK 3"/>
    <x v="0"/>
    <n v="916.448261"/>
    <n v="2.3237549999999998"/>
    <d v="2025-03-24T00:00:00"/>
    <s v="APL"/>
    <s v="Closed"/>
    <n v="1"/>
    <n v="2.3237549999999998"/>
  </r>
  <r>
    <n v="100"/>
    <s v="Polygon"/>
    <n v="0"/>
    <n v="0"/>
    <s v="Area Tersisa"/>
    <n v="0"/>
    <x v="8"/>
    <n v="2.8582200000000002"/>
    <s v="OPD BLOK 3"/>
    <x v="2"/>
    <n v="1021.967048"/>
    <n v="2.8582190000000001"/>
    <d v="2025-03-24T00:00:00"/>
    <s v="APL"/>
    <s v="Closed"/>
    <n v="1"/>
    <n v="2.8582190000000001"/>
  </r>
  <r>
    <n v="101"/>
    <s v="Polygon"/>
    <n v="0"/>
    <n v="0"/>
    <s v="Area Tersisa"/>
    <n v="0"/>
    <x v="9"/>
    <n v="0.298647"/>
    <s v="OPD BLOK 3"/>
    <x v="1"/>
    <n v="273.75606099999999"/>
    <n v="0.298647"/>
    <d v="2025-03-24T00:00:00"/>
    <s v="APL"/>
    <s v="Closed"/>
    <n v="1"/>
    <n v="0.298647"/>
  </r>
  <r>
    <n v="102"/>
    <s v="Polygon"/>
    <n v="0"/>
    <n v="0"/>
    <s v="Area Tersisa"/>
    <n v="0"/>
    <x v="8"/>
    <n v="2.0824400000000001"/>
    <s v="Jalan Kabupaten"/>
    <x v="2"/>
    <n v="792.13541899999996"/>
    <n v="2.0824400000000001"/>
    <d v="2025-03-24T00:00:00"/>
    <s v="KAWASAN HUTAN"/>
    <s v="Closed"/>
    <n v="1"/>
    <n v="2.0824400000000001"/>
  </r>
  <r>
    <n v="103"/>
    <s v="Polygon"/>
    <n v="1"/>
    <n v="0"/>
    <s v="Area Tersisa"/>
    <n v="0"/>
    <x v="8"/>
    <n v="3.37432"/>
    <s v="OPD BLOK 3"/>
    <x v="0"/>
    <n v="1503.8608839999999"/>
    <n v="3.3743219999999998"/>
    <d v="2025-03-24T00:00:00"/>
    <s v="APL"/>
    <s v="Closed"/>
    <n v="1"/>
    <n v="3.3743219999999998"/>
  </r>
  <r>
    <n v="104"/>
    <s v="Polygon"/>
    <n v="1"/>
    <n v="0"/>
    <s v="Area Tersisa"/>
    <n v="0"/>
    <x v="8"/>
    <n v="9.3359999999999999E-2"/>
    <s v="OPD BLOK 3"/>
    <x v="0"/>
    <n v="156.447598"/>
    <n v="9.3359999999999999E-2"/>
    <d v="2025-03-24T00:00:00"/>
    <s v="APL"/>
    <s v="Closed"/>
    <n v="1"/>
    <n v="9.3359999999999999E-2"/>
  </r>
  <r>
    <n v="105"/>
    <s v="Polygon"/>
    <n v="1"/>
    <n v="0"/>
    <s v="Area Tersisa"/>
    <n v="0"/>
    <x v="8"/>
    <n v="9.8725999999999994E-2"/>
    <s v="OPD BLOK 3"/>
    <x v="0"/>
    <n v="171.58114699999999"/>
    <n v="9.8725999999999994E-2"/>
    <d v="2025-03-24T00:00:00"/>
    <s v="APL"/>
    <s v="Closed"/>
    <n v="1"/>
    <n v="9.8725999999999994E-2"/>
  </r>
  <r>
    <n v="106"/>
    <s v="Polygon"/>
    <n v="1"/>
    <n v="0"/>
    <s v="Area Tersisa"/>
    <n v="0"/>
    <x v="8"/>
    <n v="0.20752799999999999"/>
    <s v="OPD BLOK 3"/>
    <x v="0"/>
    <n v="218.88473099999999"/>
    <n v="0.191353"/>
    <d v="2025-03-24T00:00:00"/>
    <s v="APL"/>
    <s v="Closed"/>
    <n v="1"/>
    <n v="0.20752799999999999"/>
  </r>
  <r>
    <n v="107"/>
    <s v="Polygon"/>
    <n v="1"/>
    <n v="0"/>
    <s v="Area Tersisa"/>
    <n v="0"/>
    <x v="8"/>
    <n v="3.323"/>
    <s v="OPD BLOK 3"/>
    <x v="0"/>
    <n v="1522.3887119999999"/>
    <n v="3.3230050000000002"/>
    <d v="2025-03-24T00:00:00"/>
    <s v="APL"/>
    <s v="Closed"/>
    <n v="1"/>
    <n v="3.3230050000000002"/>
  </r>
  <r>
    <n v="108"/>
    <s v="Polygon"/>
    <n v="0"/>
    <n v="0"/>
    <s v="Area Tersisa"/>
    <n v="0"/>
    <x v="10"/>
    <n v="2.1247799999999999"/>
    <s v="OPD BLOK 3"/>
    <x v="1"/>
    <n v="793.16351099999997"/>
    <n v="2.124784"/>
    <d v="1899-12-30T00:00:00"/>
    <s v="APL"/>
    <s v="Progres"/>
    <n v="1"/>
    <n v="2.124784"/>
  </r>
  <r>
    <n v="111"/>
    <s v="Polygon"/>
    <n v="0"/>
    <n v="0"/>
    <s v="Area Tersisa"/>
    <n v="0"/>
    <x v="6"/>
    <n v="4.0270999999999999"/>
    <s v="IPD AB BLOK 1"/>
    <x v="0"/>
    <n v="1007.548679"/>
    <n v="4.0270999999999999"/>
    <d v="2025-03-24T00:00:00"/>
    <s v="KAWASAN HUTAN"/>
    <s v="Closed"/>
    <n v="1"/>
    <n v="4.0270999999999999"/>
  </r>
  <r>
    <n v="112"/>
    <s v="Polygon"/>
    <n v="0"/>
    <n v="0"/>
    <s v="Area Terganggu"/>
    <n v="0"/>
    <x v="6"/>
    <n v="0.36572500000000002"/>
    <s v="IPD AB BLOK 1"/>
    <x v="0"/>
    <n v="1021.0083509999999"/>
    <n v="0.36572500000000002"/>
    <d v="2025-03-24T00:00:00"/>
    <s v="KAWASAN HUTAN"/>
    <s v="Closed"/>
    <n v="1"/>
    <n v="0.36572500000000002"/>
  </r>
  <r>
    <n v="113"/>
    <s v="Polygon"/>
    <n v="0"/>
    <n v="0"/>
    <s v="Area Tersisa"/>
    <n v="0"/>
    <x v="10"/>
    <n v="16.610700000000001"/>
    <s v="OPD BLOK 3"/>
    <x v="3"/>
    <n v="3555.1606400000001"/>
    <n v="16.594856"/>
    <d v="1899-12-30T00:00:00"/>
    <s v="APL"/>
    <s v="Closed"/>
    <n v="1"/>
    <n v="16.610664"/>
  </r>
  <r>
    <n v="114"/>
    <s v="Polygon"/>
    <n v="11"/>
    <n v="0"/>
    <s v="Area Tersisa"/>
    <n v="0"/>
    <x v="8"/>
    <n v="2.52075"/>
    <s v="OPD BLOK 3"/>
    <x v="0"/>
    <n v="800.89504299999999"/>
    <n v="2.5207470000000001"/>
    <d v="2025-03-24T00:00:00"/>
    <s v="APL"/>
    <s v="Closed"/>
    <n v="1"/>
    <n v="2.5207470000000001"/>
  </r>
  <r>
    <n v="115"/>
    <s v="Polygon"/>
    <n v="0"/>
    <n v="0"/>
    <s v="Area Tersisa"/>
    <n v="0"/>
    <x v="10"/>
    <n v="8.8308499999999999"/>
    <s v="OPD BLOK 3"/>
    <x v="3"/>
    <n v="0"/>
    <n v="0"/>
    <d v="1899-12-30T00:00:00"/>
    <s v="APL"/>
    <s v=" "/>
    <s v=" "/>
    <n v="8.8308529999999994"/>
  </r>
  <r>
    <n v="116"/>
    <s v="Polygon"/>
    <n v="0"/>
    <n v="0"/>
    <s v="Area Tersisa"/>
    <n v="0"/>
    <x v="10"/>
    <n v="3.1259000000000001"/>
    <s v="OPD BLOK 3"/>
    <x v="1"/>
    <n v="0"/>
    <n v="0"/>
    <d v="1899-12-30T00:00:00"/>
    <s v="APL"/>
    <s v=" "/>
    <s v=" "/>
    <n v="3.1258970000000001"/>
  </r>
  <r>
    <n v="117"/>
    <s v="Polygon"/>
    <n v="0"/>
    <n v="0"/>
    <s v="Area Tersisa"/>
    <n v="0"/>
    <x v="10"/>
    <n v="4.9438500000000003"/>
    <s v="OPD BLOK 3"/>
    <x v="1"/>
    <n v="0"/>
    <n v="0"/>
    <d v="1899-12-30T00:00:00"/>
    <s v="APL"/>
    <s v=" "/>
    <s v=" "/>
    <n v="4.9438469999999999"/>
  </r>
  <r>
    <n v="118"/>
    <s v="Polygon"/>
    <n v="0"/>
    <n v="0"/>
    <s v="Area Tersisa"/>
    <n v="0"/>
    <x v="10"/>
    <n v="21.062899999999999"/>
    <s v="OPD BLOK 3"/>
    <x v="3"/>
    <n v="0"/>
    <n v="0"/>
    <d v="1899-12-30T00:00:00"/>
    <s v="APL"/>
    <s v=" "/>
    <s v=" "/>
    <n v="21.062868999999999"/>
  </r>
  <r>
    <n v="119"/>
    <s v="Polygon"/>
    <n v="0"/>
    <n v="0"/>
    <s v="Rencana"/>
    <n v="0"/>
    <x v="10"/>
    <n v="3.4568500000000002"/>
    <s v="OPD BLOK 3"/>
    <x v="1"/>
    <n v="0"/>
    <n v="0"/>
    <d v="1899-12-30T00:00:00"/>
    <s v=" "/>
    <s v=" "/>
    <s v=" "/>
    <n v="3.4568530000000002"/>
  </r>
  <r>
    <n v="120"/>
    <s v="Polygon"/>
    <n v="0"/>
    <n v="0"/>
    <s v="Area Tersisa"/>
    <n v="0"/>
    <x v="10"/>
    <n v="4.0537900000000002"/>
    <s v="OPD BLOK 3"/>
    <x v="3"/>
    <n v="0"/>
    <n v="0"/>
    <d v="1899-12-30T00:00:00"/>
    <s v=" "/>
    <s v=" "/>
    <s v=" "/>
    <n v="4.0537929999999998"/>
  </r>
  <r>
    <n v="121"/>
    <s v="Polygon"/>
    <n v="0"/>
    <n v="0"/>
    <s v="Area Tersisa"/>
    <n v="0"/>
    <x v="10"/>
    <n v="0.76315599999999995"/>
    <s v="OPD BLOK 3"/>
    <x v="3"/>
    <n v="0"/>
    <n v="0"/>
    <d v="1899-12-30T00:00:00"/>
    <s v=" "/>
    <s v=" "/>
    <s v=" "/>
    <n v="0.76315599999999995"/>
  </r>
  <r>
    <n v="122"/>
    <s v="Polygon"/>
    <n v="0"/>
    <n v="0"/>
    <s v="Area Tersisa"/>
    <n v="0"/>
    <x v="10"/>
    <n v="0.14188500000000001"/>
    <s v="OPD BLOK 3"/>
    <x v="1"/>
    <n v="0"/>
    <n v="0"/>
    <d v="1899-12-30T00:00:00"/>
    <s v=" "/>
    <s v=" "/>
    <s v=" "/>
    <n v="0.14188500000000001"/>
  </r>
  <r>
    <n v="123"/>
    <s v="Polygon"/>
    <n v="0"/>
    <n v="0"/>
    <s v="Area Tersisa"/>
    <n v="0"/>
    <x v="10"/>
    <n v="0.12472999999999999"/>
    <s v="OPD BLOK 3"/>
    <x v="1"/>
    <n v="0"/>
    <n v="0"/>
    <d v="1899-12-30T00:00:00"/>
    <s v=" "/>
    <s v=" "/>
    <s v=" "/>
    <n v="0.12472999999999999"/>
  </r>
  <r>
    <n v="124"/>
    <s v="Polygon"/>
    <n v="0"/>
    <n v="0"/>
    <s v=" "/>
    <n v="0"/>
    <x v="11"/>
    <n v="0"/>
    <s v=" "/>
    <x v="4"/>
    <n v="0"/>
    <n v="0"/>
    <d v="1899-12-30T00:00:00"/>
    <s v=" "/>
    <s v=" "/>
    <s v=" "/>
    <n v="0"/>
  </r>
  <r>
    <n v="110"/>
    <s v="Polygon"/>
    <n v="0"/>
    <n v="0"/>
    <s v="Area Tersisa"/>
    <n v="0"/>
    <x v="10"/>
    <n v="0.75295800000000002"/>
    <s v="OPD BLOK 3"/>
    <x v="5"/>
    <n v="403.37897800000002"/>
    <n v="0.75295800000000002"/>
    <d v="1899-12-30T00:00:00"/>
    <s v="APL"/>
    <s v="Closed"/>
    <n v="1"/>
    <n v="0.75295800000000002"/>
  </r>
  <r>
    <n v="109"/>
    <s v="Polygon"/>
    <n v="0"/>
    <n v="0"/>
    <s v="Area Tersisa"/>
    <n v="0"/>
    <x v="10"/>
    <n v="3.8751600000000002"/>
    <s v="OPD BLOK 3"/>
    <x v="6"/>
    <n v="1089.3401779999999"/>
    <n v="3.8751609999999999"/>
    <d v="1899-12-30T00:00:00"/>
    <s v="APL"/>
    <s v="Closed"/>
    <n v="1"/>
    <n v="3.875160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8A8FF-2F45-4CCB-BED8-8DBEFEF132B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13">
        <item h="1" x="7"/>
        <item h="1" x="4"/>
        <item h="1" x="5"/>
        <item h="1" x="0"/>
        <item h="1" x="1"/>
        <item h="1" x="2"/>
        <item h="1" x="6"/>
        <item h="1" x="8"/>
        <item x="10"/>
        <item h="1" x="9"/>
        <item h="1" x="3"/>
        <item h="1" x="11"/>
        <item t="default"/>
      </items>
    </pivotField>
    <pivotField showAll="0"/>
    <pivotField showAll="0"/>
    <pivotField axis="axisRow" showAll="0">
      <items count="8">
        <item x="2"/>
        <item x="1"/>
        <item x="3"/>
        <item x="0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6"/>
    <field x="9"/>
  </rowFields>
  <rowItems count="6">
    <i>
      <x v="8"/>
    </i>
    <i r="1">
      <x v="1"/>
    </i>
    <i r="1">
      <x v="2"/>
    </i>
    <i r="1">
      <x v="5"/>
    </i>
    <i r="1">
      <x v="6"/>
    </i>
    <i t="grand">
      <x/>
    </i>
  </rowItems>
  <colItems count="1">
    <i/>
  </colItems>
  <dataFields count="1">
    <dataField name="Sum of Luas2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7A95-3AE7-4875-99E5-2BAC66890E61}">
  <dimension ref="A3:B9"/>
  <sheetViews>
    <sheetView workbookViewId="0">
      <selection activeCell="G20" sqref="G20"/>
    </sheetView>
  </sheetViews>
  <sheetFormatPr defaultRowHeight="14.4" x14ac:dyDescent="0.3"/>
  <cols>
    <col min="1" max="1" width="24" bestFit="1" customWidth="1"/>
    <col min="2" max="2" width="11.77734375" bestFit="1" customWidth="1"/>
  </cols>
  <sheetData>
    <row r="3" spans="1:2" x14ac:dyDescent="0.3">
      <c r="A3" s="3" t="s">
        <v>45</v>
      </c>
      <c r="B3" t="s">
        <v>47</v>
      </c>
    </row>
    <row r="4" spans="1:2" x14ac:dyDescent="0.3">
      <c r="A4" s="4">
        <v>2025</v>
      </c>
      <c r="B4">
        <v>69.867450000000005</v>
      </c>
    </row>
    <row r="5" spans="1:2" x14ac:dyDescent="0.3">
      <c r="A5" s="5" t="s">
        <v>37</v>
      </c>
      <c r="B5">
        <v>13.917996</v>
      </c>
    </row>
    <row r="6" spans="1:2" x14ac:dyDescent="0.3">
      <c r="A6" s="5" t="s">
        <v>42</v>
      </c>
      <c r="B6">
        <v>51.321334999999998</v>
      </c>
    </row>
    <row r="7" spans="1:2" x14ac:dyDescent="0.3">
      <c r="A7" s="5" t="s">
        <v>48</v>
      </c>
      <c r="B7">
        <v>0.75295800000000002</v>
      </c>
    </row>
    <row r="8" spans="1:2" x14ac:dyDescent="0.3">
      <c r="A8" s="5" t="s">
        <v>49</v>
      </c>
      <c r="B8">
        <v>3.8751609999999999</v>
      </c>
    </row>
    <row r="9" spans="1:2" x14ac:dyDescent="0.3">
      <c r="A9" s="4" t="s">
        <v>46</v>
      </c>
      <c r="B9">
        <v>69.867450000000005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6085-D850-4934-95FF-18F0497D0135}">
  <dimension ref="A1:B4"/>
  <sheetViews>
    <sheetView workbookViewId="0">
      <selection sqref="A1:B4"/>
    </sheetView>
  </sheetViews>
  <sheetFormatPr defaultRowHeight="14.4" x14ac:dyDescent="0.3"/>
  <cols>
    <col min="1" max="1" width="16.6640625" customWidth="1"/>
    <col min="2" max="2" width="18.21875" customWidth="1"/>
  </cols>
  <sheetData>
    <row r="1" spans="1:2" x14ac:dyDescent="0.3">
      <c r="A1" s="18" t="s">
        <v>79</v>
      </c>
      <c r="B1" s="19" t="s">
        <v>80</v>
      </c>
    </row>
    <row r="2" spans="1:2" ht="43.2" x14ac:dyDescent="0.3">
      <c r="A2" s="10" t="s">
        <v>81</v>
      </c>
      <c r="B2" s="20">
        <v>29195</v>
      </c>
    </row>
    <row r="3" spans="1:2" ht="57.6" x14ac:dyDescent="0.3">
      <c r="A3" s="10" t="s">
        <v>82</v>
      </c>
      <c r="B3" s="20">
        <v>22000</v>
      </c>
    </row>
    <row r="4" spans="1:2" ht="57.6" x14ac:dyDescent="0.3">
      <c r="A4" s="10" t="s">
        <v>83</v>
      </c>
      <c r="B4" s="20">
        <v>264000000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BC69-1B2E-401E-86CC-3B596CBE0B4F}">
  <dimension ref="A1:Q126"/>
  <sheetViews>
    <sheetView workbookViewId="0">
      <selection sqref="A1:Q127"/>
    </sheetView>
  </sheetViews>
  <sheetFormatPr defaultRowHeight="14.4" x14ac:dyDescent="0.3"/>
  <cols>
    <col min="13" max="13" width="34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</v>
      </c>
    </row>
    <row r="2" spans="1:17" x14ac:dyDescent="0.3">
      <c r="A2">
        <v>0</v>
      </c>
      <c r="B2" t="s">
        <v>16</v>
      </c>
      <c r="C2">
        <v>19</v>
      </c>
      <c r="D2">
        <v>0</v>
      </c>
      <c r="E2" t="s">
        <v>17</v>
      </c>
      <c r="F2">
        <v>0</v>
      </c>
      <c r="G2">
        <v>2020</v>
      </c>
      <c r="H2">
        <v>0.56164199999999997</v>
      </c>
      <c r="I2" t="s">
        <v>18</v>
      </c>
      <c r="J2" t="s">
        <v>19</v>
      </c>
      <c r="K2">
        <v>519.40662799999996</v>
      </c>
      <c r="L2">
        <v>0.56164199999999997</v>
      </c>
      <c r="M2" s="1">
        <v>45740</v>
      </c>
      <c r="N2" t="s">
        <v>20</v>
      </c>
      <c r="O2" t="s">
        <v>21</v>
      </c>
      <c r="P2">
        <v>1</v>
      </c>
      <c r="Q2">
        <v>0.56164199999999997</v>
      </c>
    </row>
    <row r="3" spans="1:17" x14ac:dyDescent="0.3">
      <c r="A3">
        <v>1</v>
      </c>
      <c r="B3" t="s">
        <v>16</v>
      </c>
      <c r="C3">
        <v>21</v>
      </c>
      <c r="D3">
        <v>0</v>
      </c>
      <c r="E3" t="s">
        <v>17</v>
      </c>
      <c r="F3">
        <v>0</v>
      </c>
      <c r="G3">
        <v>2021</v>
      </c>
      <c r="H3">
        <v>0.24521200000000001</v>
      </c>
      <c r="I3" t="s">
        <v>22</v>
      </c>
      <c r="J3" t="s">
        <v>19</v>
      </c>
      <c r="K3">
        <v>419.59402999999998</v>
      </c>
      <c r="L3">
        <v>0.24521200000000001</v>
      </c>
      <c r="M3" s="1">
        <v>45740</v>
      </c>
      <c r="N3" t="s">
        <v>20</v>
      </c>
      <c r="O3" t="s">
        <v>21</v>
      </c>
      <c r="P3">
        <v>1</v>
      </c>
      <c r="Q3">
        <v>0.24521200000000001</v>
      </c>
    </row>
    <row r="4" spans="1:17" x14ac:dyDescent="0.3">
      <c r="A4">
        <v>2</v>
      </c>
      <c r="B4" t="s">
        <v>16</v>
      </c>
      <c r="C4">
        <v>22</v>
      </c>
      <c r="D4">
        <v>0</v>
      </c>
      <c r="E4" t="s">
        <v>17</v>
      </c>
      <c r="F4">
        <v>0</v>
      </c>
      <c r="G4">
        <v>2022</v>
      </c>
      <c r="H4">
        <v>0.63167600000000002</v>
      </c>
      <c r="I4" t="s">
        <v>18</v>
      </c>
      <c r="J4" t="s">
        <v>19</v>
      </c>
      <c r="K4">
        <v>536.52076199999999</v>
      </c>
      <c r="L4">
        <v>0.63167600000000002</v>
      </c>
      <c r="M4" s="1">
        <v>45740</v>
      </c>
      <c r="N4" t="s">
        <v>20</v>
      </c>
      <c r="O4" t="s">
        <v>21</v>
      </c>
      <c r="P4">
        <v>1</v>
      </c>
      <c r="Q4">
        <v>0.63167600000000002</v>
      </c>
    </row>
    <row r="5" spans="1:17" x14ac:dyDescent="0.3">
      <c r="A5">
        <v>3</v>
      </c>
      <c r="B5" t="s">
        <v>16</v>
      </c>
      <c r="C5">
        <v>27</v>
      </c>
      <c r="D5">
        <v>0</v>
      </c>
      <c r="E5" t="s">
        <v>17</v>
      </c>
      <c r="F5">
        <v>0</v>
      </c>
      <c r="G5" t="s">
        <v>23</v>
      </c>
      <c r="H5">
        <v>4.3201299999999998</v>
      </c>
      <c r="I5" t="s">
        <v>24</v>
      </c>
      <c r="J5" t="s">
        <v>19</v>
      </c>
      <c r="K5">
        <v>847.63743399999998</v>
      </c>
      <c r="L5">
        <v>4.3201330000000002</v>
      </c>
      <c r="M5" s="1">
        <v>45740</v>
      </c>
      <c r="N5" t="s">
        <v>20</v>
      </c>
      <c r="O5" t="s">
        <v>21</v>
      </c>
      <c r="P5">
        <v>1</v>
      </c>
      <c r="Q5">
        <v>4.3201330000000002</v>
      </c>
    </row>
    <row r="6" spans="1:17" x14ac:dyDescent="0.3">
      <c r="A6">
        <v>4</v>
      </c>
      <c r="B6" t="s">
        <v>16</v>
      </c>
      <c r="C6">
        <v>34</v>
      </c>
      <c r="D6">
        <v>0</v>
      </c>
      <c r="E6" t="s">
        <v>25</v>
      </c>
      <c r="F6">
        <v>0</v>
      </c>
      <c r="G6">
        <v>2018</v>
      </c>
      <c r="H6">
        <v>2.3034500000000002</v>
      </c>
      <c r="I6" t="s">
        <v>26</v>
      </c>
      <c r="J6" t="s">
        <v>19</v>
      </c>
      <c r="K6">
        <v>888.05217500000003</v>
      </c>
      <c r="L6">
        <v>2.3034479999999999</v>
      </c>
      <c r="M6" s="1">
        <v>45740</v>
      </c>
      <c r="N6" t="s">
        <v>27</v>
      </c>
      <c r="O6" t="s">
        <v>21</v>
      </c>
      <c r="P6">
        <v>1</v>
      </c>
      <c r="Q6">
        <v>2.3034479999999999</v>
      </c>
    </row>
    <row r="7" spans="1:17" x14ac:dyDescent="0.3">
      <c r="A7">
        <v>5</v>
      </c>
      <c r="B7" t="s">
        <v>16</v>
      </c>
      <c r="C7">
        <v>35</v>
      </c>
      <c r="D7">
        <v>0</v>
      </c>
      <c r="E7" t="s">
        <v>25</v>
      </c>
      <c r="F7">
        <v>0</v>
      </c>
      <c r="G7">
        <v>2019</v>
      </c>
      <c r="H7">
        <v>6.2319899999999997</v>
      </c>
      <c r="I7" t="s">
        <v>28</v>
      </c>
      <c r="J7" t="s">
        <v>19</v>
      </c>
      <c r="K7">
        <v>2834.2623570000001</v>
      </c>
      <c r="L7">
        <v>6.2319870000000002</v>
      </c>
      <c r="M7" s="1">
        <v>45740</v>
      </c>
      <c r="N7" t="s">
        <v>20</v>
      </c>
      <c r="O7" t="s">
        <v>21</v>
      </c>
      <c r="P7">
        <v>1</v>
      </c>
      <c r="Q7">
        <v>6.2319870000000002</v>
      </c>
    </row>
    <row r="8" spans="1:17" x14ac:dyDescent="0.3">
      <c r="A8">
        <v>6</v>
      </c>
      <c r="B8" t="s">
        <v>16</v>
      </c>
      <c r="C8">
        <v>37</v>
      </c>
      <c r="D8">
        <v>0</v>
      </c>
      <c r="E8" t="s">
        <v>25</v>
      </c>
      <c r="F8">
        <v>0</v>
      </c>
      <c r="G8">
        <v>2019</v>
      </c>
      <c r="H8">
        <v>0.93876499999999996</v>
      </c>
      <c r="I8" t="s">
        <v>18</v>
      </c>
      <c r="J8" t="s">
        <v>19</v>
      </c>
      <c r="K8">
        <v>699.14495299999999</v>
      </c>
      <c r="L8">
        <v>0.93876499999999996</v>
      </c>
      <c r="M8" s="1">
        <v>45740</v>
      </c>
      <c r="N8" t="s">
        <v>20</v>
      </c>
      <c r="O8" t="s">
        <v>21</v>
      </c>
      <c r="P8">
        <v>1</v>
      </c>
      <c r="Q8">
        <v>0.93876499999999996</v>
      </c>
    </row>
    <row r="9" spans="1:17" x14ac:dyDescent="0.3">
      <c r="A9">
        <v>7</v>
      </c>
      <c r="B9" t="s">
        <v>16</v>
      </c>
      <c r="C9">
        <v>45</v>
      </c>
      <c r="D9">
        <v>0</v>
      </c>
      <c r="E9" t="s">
        <v>25</v>
      </c>
      <c r="F9">
        <v>0</v>
      </c>
      <c r="G9">
        <v>2020</v>
      </c>
      <c r="H9">
        <v>24.581600000000002</v>
      </c>
      <c r="I9" t="s">
        <v>28</v>
      </c>
      <c r="J9" t="s">
        <v>19</v>
      </c>
      <c r="K9">
        <v>2830.3775959999998</v>
      </c>
      <c r="L9">
        <v>24.581567</v>
      </c>
      <c r="M9" s="1">
        <v>45740</v>
      </c>
      <c r="N9" t="s">
        <v>20</v>
      </c>
      <c r="O9" t="s">
        <v>21</v>
      </c>
      <c r="P9">
        <v>1</v>
      </c>
      <c r="Q9">
        <v>24.581567</v>
      </c>
    </row>
    <row r="10" spans="1:17" x14ac:dyDescent="0.3">
      <c r="A10">
        <v>8</v>
      </c>
      <c r="B10" t="s">
        <v>16</v>
      </c>
      <c r="C10">
        <v>48</v>
      </c>
      <c r="D10">
        <v>0</v>
      </c>
      <c r="E10" t="s">
        <v>25</v>
      </c>
      <c r="F10">
        <v>0</v>
      </c>
      <c r="G10">
        <v>2020</v>
      </c>
      <c r="H10">
        <v>16.9406</v>
      </c>
      <c r="I10" t="s">
        <v>28</v>
      </c>
      <c r="J10" t="s">
        <v>19</v>
      </c>
      <c r="K10">
        <v>3775.1715239999999</v>
      </c>
      <c r="L10">
        <v>16.940624</v>
      </c>
      <c r="M10" s="1">
        <v>45740</v>
      </c>
      <c r="N10" t="s">
        <v>20</v>
      </c>
      <c r="O10" t="s">
        <v>21</v>
      </c>
      <c r="P10">
        <v>1</v>
      </c>
      <c r="Q10">
        <v>16.940624</v>
      </c>
    </row>
    <row r="11" spans="1:17" x14ac:dyDescent="0.3">
      <c r="A11">
        <v>9</v>
      </c>
      <c r="B11" t="s">
        <v>16</v>
      </c>
      <c r="C11">
        <v>49</v>
      </c>
      <c r="D11">
        <v>0</v>
      </c>
      <c r="E11" t="s">
        <v>25</v>
      </c>
      <c r="F11">
        <v>0</v>
      </c>
      <c r="G11">
        <v>2020</v>
      </c>
      <c r="H11">
        <v>0.61873100000000003</v>
      </c>
      <c r="I11" t="s">
        <v>18</v>
      </c>
      <c r="J11" t="s">
        <v>19</v>
      </c>
      <c r="K11">
        <v>430.00243599999999</v>
      </c>
      <c r="L11">
        <v>0.61873100000000003</v>
      </c>
      <c r="M11" s="1">
        <v>45740</v>
      </c>
      <c r="N11" t="s">
        <v>20</v>
      </c>
      <c r="O11" t="s">
        <v>21</v>
      </c>
      <c r="P11">
        <v>1</v>
      </c>
      <c r="Q11">
        <v>0.61873100000000003</v>
      </c>
    </row>
    <row r="12" spans="1:17" x14ac:dyDescent="0.3">
      <c r="A12">
        <v>10</v>
      </c>
      <c r="B12" t="s">
        <v>16</v>
      </c>
      <c r="C12">
        <v>50</v>
      </c>
      <c r="D12">
        <v>0</v>
      </c>
      <c r="E12" t="s">
        <v>25</v>
      </c>
      <c r="F12">
        <v>0</v>
      </c>
      <c r="G12">
        <v>2020</v>
      </c>
      <c r="H12">
        <v>6.3482500000000002</v>
      </c>
      <c r="I12" t="s">
        <v>26</v>
      </c>
      <c r="J12" t="s">
        <v>19</v>
      </c>
      <c r="K12">
        <v>1073.371676</v>
      </c>
      <c r="L12">
        <v>6.3482519999999996</v>
      </c>
      <c r="M12" s="1">
        <v>45740</v>
      </c>
      <c r="N12" t="s">
        <v>27</v>
      </c>
      <c r="O12" t="s">
        <v>21</v>
      </c>
      <c r="P12">
        <v>1</v>
      </c>
      <c r="Q12">
        <v>6.3482519999999996</v>
      </c>
    </row>
    <row r="13" spans="1:17" x14ac:dyDescent="0.3">
      <c r="A13">
        <v>11</v>
      </c>
      <c r="B13" t="s">
        <v>16</v>
      </c>
      <c r="C13">
        <v>51</v>
      </c>
      <c r="D13">
        <v>0</v>
      </c>
      <c r="E13" t="s">
        <v>25</v>
      </c>
      <c r="F13">
        <v>0</v>
      </c>
      <c r="G13">
        <v>2020</v>
      </c>
      <c r="H13">
        <v>5.1536799999999996</v>
      </c>
      <c r="I13" t="s">
        <v>26</v>
      </c>
      <c r="J13" t="s">
        <v>19</v>
      </c>
      <c r="K13">
        <v>1131.857516</v>
      </c>
      <c r="L13">
        <v>5.1536799999999996</v>
      </c>
      <c r="M13" s="1">
        <v>45740</v>
      </c>
      <c r="N13" t="s">
        <v>27</v>
      </c>
      <c r="O13" t="s">
        <v>21</v>
      </c>
      <c r="P13">
        <v>1</v>
      </c>
      <c r="Q13">
        <v>5.1536799999999996</v>
      </c>
    </row>
    <row r="14" spans="1:17" x14ac:dyDescent="0.3">
      <c r="A14">
        <v>12</v>
      </c>
      <c r="B14" t="s">
        <v>16</v>
      </c>
      <c r="C14">
        <v>55</v>
      </c>
      <c r="D14">
        <v>0</v>
      </c>
      <c r="E14" t="s">
        <v>25</v>
      </c>
      <c r="F14">
        <v>0</v>
      </c>
      <c r="G14">
        <v>2020</v>
      </c>
      <c r="H14">
        <v>0.57448299999999997</v>
      </c>
      <c r="I14" t="s">
        <v>18</v>
      </c>
      <c r="J14" t="s">
        <v>19</v>
      </c>
      <c r="K14">
        <v>887.218075</v>
      </c>
      <c r="L14">
        <v>0.57448299999999997</v>
      </c>
      <c r="M14" s="1">
        <v>45740</v>
      </c>
      <c r="N14" t="s">
        <v>20</v>
      </c>
      <c r="O14" t="s">
        <v>21</v>
      </c>
      <c r="P14">
        <v>1</v>
      </c>
      <c r="Q14">
        <v>0.57448299999999997</v>
      </c>
    </row>
    <row r="15" spans="1:17" x14ac:dyDescent="0.3">
      <c r="A15">
        <v>13</v>
      </c>
      <c r="B15" t="s">
        <v>16</v>
      </c>
      <c r="C15">
        <v>56</v>
      </c>
      <c r="D15">
        <v>0</v>
      </c>
      <c r="E15" t="s">
        <v>25</v>
      </c>
      <c r="F15">
        <v>0</v>
      </c>
      <c r="G15">
        <v>2020</v>
      </c>
      <c r="H15">
        <v>9.5290300000000006</v>
      </c>
      <c r="I15" t="s">
        <v>28</v>
      </c>
      <c r="J15" t="s">
        <v>19</v>
      </c>
      <c r="K15">
        <v>2239.2354679999999</v>
      </c>
      <c r="L15">
        <v>9.5290350000000004</v>
      </c>
      <c r="M15" s="1">
        <v>45740</v>
      </c>
      <c r="N15" t="s">
        <v>20</v>
      </c>
      <c r="O15" t="s">
        <v>21</v>
      </c>
      <c r="P15">
        <v>1</v>
      </c>
      <c r="Q15">
        <v>9.5290350000000004</v>
      </c>
    </row>
    <row r="16" spans="1:17" x14ac:dyDescent="0.3">
      <c r="A16">
        <v>14</v>
      </c>
      <c r="B16" t="s">
        <v>16</v>
      </c>
      <c r="C16">
        <v>59</v>
      </c>
      <c r="D16">
        <v>0</v>
      </c>
      <c r="E16" t="s">
        <v>25</v>
      </c>
      <c r="F16">
        <v>0</v>
      </c>
      <c r="G16">
        <v>2020</v>
      </c>
      <c r="H16">
        <v>1.1405000000000001</v>
      </c>
      <c r="I16" t="s">
        <v>26</v>
      </c>
      <c r="J16" t="s">
        <v>19</v>
      </c>
      <c r="K16">
        <v>1141.3952220000001</v>
      </c>
      <c r="L16">
        <v>1.140503</v>
      </c>
      <c r="M16" s="1">
        <v>45740</v>
      </c>
      <c r="N16" t="s">
        <v>27</v>
      </c>
      <c r="O16" t="s">
        <v>21</v>
      </c>
      <c r="P16">
        <v>1</v>
      </c>
      <c r="Q16">
        <v>1.140503</v>
      </c>
    </row>
    <row r="17" spans="1:17" x14ac:dyDescent="0.3">
      <c r="A17">
        <v>15</v>
      </c>
      <c r="B17" t="s">
        <v>16</v>
      </c>
      <c r="C17">
        <v>60</v>
      </c>
      <c r="D17">
        <v>0</v>
      </c>
      <c r="E17" t="s">
        <v>25</v>
      </c>
      <c r="F17">
        <v>0</v>
      </c>
      <c r="G17">
        <v>2020</v>
      </c>
      <c r="H17">
        <v>2.31724</v>
      </c>
      <c r="I17" t="s">
        <v>26</v>
      </c>
      <c r="J17" t="s">
        <v>19</v>
      </c>
      <c r="K17">
        <v>934.81567700000005</v>
      </c>
      <c r="L17">
        <v>2.3172440000000001</v>
      </c>
      <c r="M17" s="1">
        <v>45740</v>
      </c>
      <c r="N17" t="s">
        <v>27</v>
      </c>
      <c r="O17" t="s">
        <v>21</v>
      </c>
      <c r="P17">
        <v>1</v>
      </c>
      <c r="Q17">
        <v>2.3172440000000001</v>
      </c>
    </row>
    <row r="18" spans="1:17" x14ac:dyDescent="0.3">
      <c r="A18">
        <v>16</v>
      </c>
      <c r="B18" t="s">
        <v>16</v>
      </c>
      <c r="C18">
        <v>62</v>
      </c>
      <c r="D18">
        <v>0</v>
      </c>
      <c r="E18" t="s">
        <v>17</v>
      </c>
      <c r="F18">
        <v>0</v>
      </c>
      <c r="G18">
        <v>2021</v>
      </c>
      <c r="H18">
        <v>0.493979</v>
      </c>
      <c r="I18" t="s">
        <v>29</v>
      </c>
      <c r="J18" t="s">
        <v>19</v>
      </c>
      <c r="K18">
        <v>567.92747299999996</v>
      </c>
      <c r="L18">
        <v>0.493979</v>
      </c>
      <c r="M18" s="1">
        <v>45740</v>
      </c>
      <c r="N18" t="s">
        <v>20</v>
      </c>
      <c r="O18" t="s">
        <v>21</v>
      </c>
      <c r="P18">
        <v>1</v>
      </c>
      <c r="Q18">
        <v>0.493979</v>
      </c>
    </row>
    <row r="19" spans="1:17" x14ac:dyDescent="0.3">
      <c r="A19">
        <v>17</v>
      </c>
      <c r="B19" t="s">
        <v>16</v>
      </c>
      <c r="C19">
        <v>63</v>
      </c>
      <c r="D19">
        <v>0</v>
      </c>
      <c r="E19" t="s">
        <v>25</v>
      </c>
      <c r="F19">
        <v>0</v>
      </c>
      <c r="G19">
        <v>2022</v>
      </c>
      <c r="H19">
        <v>0.822322</v>
      </c>
      <c r="I19" t="s">
        <v>22</v>
      </c>
      <c r="J19" t="s">
        <v>19</v>
      </c>
      <c r="K19">
        <v>586.93762100000004</v>
      </c>
      <c r="L19">
        <v>0.822322</v>
      </c>
      <c r="M19" s="1">
        <v>45740</v>
      </c>
      <c r="N19" t="s">
        <v>20</v>
      </c>
      <c r="O19" t="s">
        <v>21</v>
      </c>
      <c r="P19">
        <v>1</v>
      </c>
      <c r="Q19">
        <v>0.822322</v>
      </c>
    </row>
    <row r="20" spans="1:17" x14ac:dyDescent="0.3">
      <c r="A20">
        <v>18</v>
      </c>
      <c r="B20" t="s">
        <v>16</v>
      </c>
      <c r="C20">
        <v>66</v>
      </c>
      <c r="D20">
        <v>0</v>
      </c>
      <c r="E20" t="s">
        <v>25</v>
      </c>
      <c r="F20">
        <v>0</v>
      </c>
      <c r="G20">
        <v>2022</v>
      </c>
      <c r="H20">
        <v>0.56001999999999996</v>
      </c>
      <c r="I20" t="s">
        <v>18</v>
      </c>
      <c r="J20" t="s">
        <v>19</v>
      </c>
      <c r="K20">
        <v>337.94129099999998</v>
      </c>
      <c r="L20">
        <v>0.56001999999999996</v>
      </c>
      <c r="M20" s="1">
        <v>45740</v>
      </c>
      <c r="N20" t="s">
        <v>20</v>
      </c>
      <c r="O20" t="s">
        <v>21</v>
      </c>
      <c r="P20">
        <v>1</v>
      </c>
      <c r="Q20">
        <v>0.56001999999999996</v>
      </c>
    </row>
    <row r="21" spans="1:17" x14ac:dyDescent="0.3">
      <c r="A21">
        <v>19</v>
      </c>
      <c r="B21" t="s">
        <v>16</v>
      </c>
      <c r="C21">
        <v>69</v>
      </c>
      <c r="D21">
        <v>0</v>
      </c>
      <c r="E21" t="s">
        <v>25</v>
      </c>
      <c r="F21">
        <v>0</v>
      </c>
      <c r="G21">
        <v>2022</v>
      </c>
      <c r="H21">
        <v>0.45024799999999998</v>
      </c>
      <c r="I21" t="s">
        <v>18</v>
      </c>
      <c r="J21" t="s">
        <v>19</v>
      </c>
      <c r="K21">
        <v>433.17727300000001</v>
      </c>
      <c r="L21">
        <v>0.45024799999999998</v>
      </c>
      <c r="M21" s="1">
        <v>45740</v>
      </c>
      <c r="N21" t="s">
        <v>20</v>
      </c>
      <c r="O21" t="s">
        <v>21</v>
      </c>
      <c r="P21">
        <v>1</v>
      </c>
      <c r="Q21">
        <v>0.45024799999999998</v>
      </c>
    </row>
    <row r="22" spans="1:17" x14ac:dyDescent="0.3">
      <c r="A22">
        <v>20</v>
      </c>
      <c r="B22" t="s">
        <v>16</v>
      </c>
      <c r="C22">
        <v>70</v>
      </c>
      <c r="D22">
        <v>0</v>
      </c>
      <c r="E22" t="s">
        <v>25</v>
      </c>
      <c r="F22">
        <v>0</v>
      </c>
      <c r="G22">
        <v>2021</v>
      </c>
      <c r="H22">
        <v>0.71166200000000002</v>
      </c>
      <c r="I22" t="s">
        <v>22</v>
      </c>
      <c r="J22" t="s">
        <v>19</v>
      </c>
      <c r="K22">
        <v>443.19782300000003</v>
      </c>
      <c r="L22">
        <v>0.71166200000000002</v>
      </c>
      <c r="M22" s="1">
        <v>45740</v>
      </c>
      <c r="N22" t="s">
        <v>20</v>
      </c>
      <c r="O22" t="s">
        <v>21</v>
      </c>
      <c r="P22">
        <v>1</v>
      </c>
      <c r="Q22">
        <v>0.71166200000000002</v>
      </c>
    </row>
    <row r="23" spans="1:17" x14ac:dyDescent="0.3">
      <c r="A23">
        <v>21</v>
      </c>
      <c r="B23" t="s">
        <v>16</v>
      </c>
      <c r="C23">
        <v>78</v>
      </c>
      <c r="D23">
        <v>0</v>
      </c>
      <c r="E23" t="s">
        <v>25</v>
      </c>
      <c r="F23">
        <v>0</v>
      </c>
      <c r="G23">
        <v>2020</v>
      </c>
      <c r="H23">
        <v>7.8104999999999994E-2</v>
      </c>
      <c r="I23" t="s">
        <v>18</v>
      </c>
      <c r="J23" t="s">
        <v>19</v>
      </c>
      <c r="K23">
        <v>178.10929899999999</v>
      </c>
      <c r="L23">
        <v>7.8105999999999995E-2</v>
      </c>
      <c r="M23" s="1">
        <v>45740</v>
      </c>
      <c r="N23" t="s">
        <v>20</v>
      </c>
      <c r="O23" t="s">
        <v>21</v>
      </c>
      <c r="P23">
        <v>1</v>
      </c>
      <c r="Q23">
        <v>7.8105999999999995E-2</v>
      </c>
    </row>
    <row r="24" spans="1:17" x14ac:dyDescent="0.3">
      <c r="A24">
        <v>22</v>
      </c>
      <c r="B24" t="s">
        <v>16</v>
      </c>
      <c r="C24">
        <v>0</v>
      </c>
      <c r="D24">
        <v>0</v>
      </c>
      <c r="E24" t="s">
        <v>25</v>
      </c>
      <c r="F24">
        <v>0</v>
      </c>
      <c r="G24">
        <v>2023</v>
      </c>
      <c r="H24">
        <v>10.484299999999999</v>
      </c>
      <c r="I24" t="s">
        <v>30</v>
      </c>
      <c r="J24" t="s">
        <v>19</v>
      </c>
      <c r="K24">
        <v>1736.7893630000001</v>
      </c>
      <c r="L24">
        <v>10.484318</v>
      </c>
      <c r="M24" s="1">
        <v>45740</v>
      </c>
      <c r="N24" t="s">
        <v>27</v>
      </c>
      <c r="O24" t="s">
        <v>21</v>
      </c>
      <c r="P24">
        <v>1</v>
      </c>
      <c r="Q24">
        <v>10.484318</v>
      </c>
    </row>
    <row r="25" spans="1:17" x14ac:dyDescent="0.3">
      <c r="A25">
        <v>23</v>
      </c>
      <c r="B25" t="s">
        <v>16</v>
      </c>
      <c r="C25">
        <v>0</v>
      </c>
      <c r="D25">
        <v>0</v>
      </c>
      <c r="E25" t="s">
        <v>25</v>
      </c>
      <c r="F25">
        <v>0</v>
      </c>
      <c r="G25">
        <v>2023</v>
      </c>
      <c r="H25">
        <v>1.7026600000000001</v>
      </c>
      <c r="I25" t="s">
        <v>31</v>
      </c>
      <c r="J25" t="s">
        <v>19</v>
      </c>
      <c r="K25">
        <v>599.68705</v>
      </c>
      <c r="L25">
        <v>1.7026600000000001</v>
      </c>
      <c r="M25" s="1">
        <v>45740</v>
      </c>
      <c r="N25" t="s">
        <v>20</v>
      </c>
      <c r="O25" t="s">
        <v>21</v>
      </c>
      <c r="P25">
        <v>1</v>
      </c>
      <c r="Q25">
        <v>1.7026600000000001</v>
      </c>
    </row>
    <row r="26" spans="1:17" x14ac:dyDescent="0.3">
      <c r="A26">
        <v>24</v>
      </c>
      <c r="B26" t="s">
        <v>16</v>
      </c>
      <c r="C26">
        <v>0</v>
      </c>
      <c r="D26">
        <v>0</v>
      </c>
      <c r="E26" t="s">
        <v>25</v>
      </c>
      <c r="F26">
        <v>0</v>
      </c>
      <c r="G26">
        <v>2023</v>
      </c>
      <c r="H26">
        <v>1.2561199999999999</v>
      </c>
      <c r="I26" t="s">
        <v>18</v>
      </c>
      <c r="J26" t="s">
        <v>19</v>
      </c>
      <c r="K26">
        <v>708.672774</v>
      </c>
      <c r="L26">
        <v>1.256119</v>
      </c>
      <c r="M26" s="1">
        <v>45740</v>
      </c>
      <c r="N26" t="s">
        <v>20</v>
      </c>
      <c r="O26" t="s">
        <v>21</v>
      </c>
      <c r="P26">
        <v>1</v>
      </c>
      <c r="Q26">
        <v>1.256119</v>
      </c>
    </row>
    <row r="27" spans="1:17" x14ac:dyDescent="0.3">
      <c r="A27">
        <v>25</v>
      </c>
      <c r="B27" t="s">
        <v>16</v>
      </c>
      <c r="C27">
        <v>0</v>
      </c>
      <c r="D27">
        <v>0</v>
      </c>
      <c r="E27" t="s">
        <v>17</v>
      </c>
      <c r="F27">
        <v>0</v>
      </c>
      <c r="G27">
        <v>2023</v>
      </c>
      <c r="H27">
        <v>1.57077</v>
      </c>
      <c r="I27" t="s">
        <v>18</v>
      </c>
      <c r="J27" t="s">
        <v>19</v>
      </c>
      <c r="K27">
        <v>746.27423599999997</v>
      </c>
      <c r="L27">
        <v>1.570773</v>
      </c>
      <c r="M27" s="1">
        <v>45740</v>
      </c>
      <c r="N27" t="s">
        <v>20</v>
      </c>
      <c r="O27" t="s">
        <v>21</v>
      </c>
      <c r="P27">
        <v>1</v>
      </c>
      <c r="Q27">
        <v>1.570773</v>
      </c>
    </row>
    <row r="28" spans="1:17" x14ac:dyDescent="0.3">
      <c r="A28">
        <v>26</v>
      </c>
      <c r="B28" t="s">
        <v>16</v>
      </c>
      <c r="C28">
        <v>0</v>
      </c>
      <c r="D28">
        <v>0</v>
      </c>
      <c r="E28" t="s">
        <v>25</v>
      </c>
      <c r="F28">
        <v>0</v>
      </c>
      <c r="G28">
        <v>2023</v>
      </c>
      <c r="H28">
        <v>1.4642999999999999</v>
      </c>
      <c r="I28" t="s">
        <v>18</v>
      </c>
      <c r="J28" t="s">
        <v>19</v>
      </c>
      <c r="K28">
        <v>661.47731699999997</v>
      </c>
      <c r="L28">
        <v>1.464297</v>
      </c>
      <c r="M28" s="1">
        <v>45740</v>
      </c>
      <c r="N28" t="s">
        <v>20</v>
      </c>
      <c r="O28" t="s">
        <v>21</v>
      </c>
      <c r="P28">
        <v>1</v>
      </c>
      <c r="Q28">
        <v>1.464297</v>
      </c>
    </row>
    <row r="29" spans="1:17" x14ac:dyDescent="0.3">
      <c r="A29">
        <v>27</v>
      </c>
      <c r="B29" t="s">
        <v>16</v>
      </c>
      <c r="C29">
        <v>0</v>
      </c>
      <c r="D29">
        <v>0</v>
      </c>
      <c r="E29" t="s">
        <v>17</v>
      </c>
      <c r="F29">
        <v>0</v>
      </c>
      <c r="G29">
        <v>2022</v>
      </c>
      <c r="H29">
        <v>2.3213999999999999E-2</v>
      </c>
      <c r="I29" t="s">
        <v>18</v>
      </c>
      <c r="J29" t="s">
        <v>19</v>
      </c>
      <c r="K29">
        <v>71.672212999999999</v>
      </c>
      <c r="L29">
        <v>2.3213999999999999E-2</v>
      </c>
      <c r="M29" s="1">
        <v>45740</v>
      </c>
      <c r="N29" t="s">
        <v>20</v>
      </c>
      <c r="O29" t="s">
        <v>21</v>
      </c>
      <c r="P29">
        <v>1</v>
      </c>
      <c r="Q29">
        <v>2.3213999999999999E-2</v>
      </c>
    </row>
    <row r="30" spans="1:17" x14ac:dyDescent="0.3">
      <c r="A30">
        <v>28</v>
      </c>
      <c r="B30" t="s">
        <v>16</v>
      </c>
      <c r="C30">
        <v>0</v>
      </c>
      <c r="D30">
        <v>0</v>
      </c>
      <c r="E30" t="s">
        <v>17</v>
      </c>
      <c r="F30">
        <v>0</v>
      </c>
      <c r="G30">
        <v>2022</v>
      </c>
      <c r="H30">
        <v>0.140483</v>
      </c>
      <c r="I30" t="s">
        <v>18</v>
      </c>
      <c r="J30" t="s">
        <v>19</v>
      </c>
      <c r="K30">
        <v>378.96254299999998</v>
      </c>
      <c r="L30">
        <v>0.140483</v>
      </c>
      <c r="M30" s="1">
        <v>45740</v>
      </c>
      <c r="N30" t="s">
        <v>20</v>
      </c>
      <c r="O30" t="s">
        <v>21</v>
      </c>
      <c r="P30">
        <v>1</v>
      </c>
      <c r="Q30">
        <v>0.140483</v>
      </c>
    </row>
    <row r="31" spans="1:17" x14ac:dyDescent="0.3">
      <c r="A31">
        <v>29</v>
      </c>
      <c r="B31" t="s">
        <v>16</v>
      </c>
      <c r="C31">
        <v>0</v>
      </c>
      <c r="D31">
        <v>0</v>
      </c>
      <c r="E31" t="s">
        <v>17</v>
      </c>
      <c r="F31">
        <v>0</v>
      </c>
      <c r="G31">
        <v>2022</v>
      </c>
      <c r="H31">
        <v>1.10727</v>
      </c>
      <c r="I31" t="s">
        <v>18</v>
      </c>
      <c r="J31" t="s">
        <v>19</v>
      </c>
      <c r="K31">
        <v>745.79039299999999</v>
      </c>
      <c r="L31">
        <v>1.10727</v>
      </c>
      <c r="M31" s="1">
        <v>45740</v>
      </c>
      <c r="N31" t="s">
        <v>20</v>
      </c>
      <c r="O31" t="s">
        <v>21</v>
      </c>
      <c r="P31">
        <v>1</v>
      </c>
      <c r="Q31">
        <v>1.10727</v>
      </c>
    </row>
    <row r="32" spans="1:17" x14ac:dyDescent="0.3">
      <c r="A32">
        <v>30</v>
      </c>
      <c r="B32" t="s">
        <v>16</v>
      </c>
      <c r="C32">
        <v>0</v>
      </c>
      <c r="D32">
        <v>0</v>
      </c>
      <c r="E32" t="s">
        <v>17</v>
      </c>
      <c r="F32">
        <v>0</v>
      </c>
      <c r="G32">
        <v>2022</v>
      </c>
      <c r="H32">
        <v>3.12758</v>
      </c>
      <c r="I32" t="s">
        <v>18</v>
      </c>
      <c r="J32" t="s">
        <v>19</v>
      </c>
      <c r="K32">
        <v>1056.0200620000001</v>
      </c>
      <c r="L32">
        <v>3.1275789999999999</v>
      </c>
      <c r="M32" s="1">
        <v>45740</v>
      </c>
      <c r="N32" t="s">
        <v>20</v>
      </c>
      <c r="O32" t="s">
        <v>21</v>
      </c>
      <c r="P32">
        <v>1</v>
      </c>
      <c r="Q32">
        <v>3.1275789999999999</v>
      </c>
    </row>
    <row r="33" spans="1:17" x14ac:dyDescent="0.3">
      <c r="A33">
        <v>31</v>
      </c>
      <c r="B33" t="s">
        <v>16</v>
      </c>
      <c r="C33">
        <v>0</v>
      </c>
      <c r="D33">
        <v>0</v>
      </c>
      <c r="E33" t="s">
        <v>25</v>
      </c>
      <c r="F33">
        <v>0</v>
      </c>
      <c r="G33">
        <v>2022</v>
      </c>
      <c r="H33">
        <v>1.5989500000000001</v>
      </c>
      <c r="I33" t="s">
        <v>18</v>
      </c>
      <c r="J33" t="s">
        <v>19</v>
      </c>
      <c r="K33">
        <v>872.84380199999998</v>
      </c>
      <c r="L33">
        <v>1.598949</v>
      </c>
      <c r="M33" s="1">
        <v>45740</v>
      </c>
      <c r="N33" t="s">
        <v>20</v>
      </c>
      <c r="O33" t="s">
        <v>21</v>
      </c>
      <c r="P33">
        <v>1</v>
      </c>
      <c r="Q33">
        <v>1.598949</v>
      </c>
    </row>
    <row r="34" spans="1:17" x14ac:dyDescent="0.3">
      <c r="A34">
        <v>32</v>
      </c>
      <c r="B34" t="s">
        <v>16</v>
      </c>
      <c r="C34">
        <v>0</v>
      </c>
      <c r="D34">
        <v>0</v>
      </c>
      <c r="E34" t="s">
        <v>17</v>
      </c>
      <c r="F34">
        <v>0</v>
      </c>
      <c r="G34">
        <v>2022</v>
      </c>
      <c r="H34">
        <v>9.4676600000000004</v>
      </c>
      <c r="I34" t="s">
        <v>18</v>
      </c>
      <c r="J34" t="s">
        <v>19</v>
      </c>
      <c r="K34">
        <v>1740.583648</v>
      </c>
      <c r="L34">
        <v>9.4676639999999992</v>
      </c>
      <c r="M34" s="1">
        <v>45740</v>
      </c>
      <c r="N34" t="s">
        <v>20</v>
      </c>
      <c r="O34" t="s">
        <v>21</v>
      </c>
      <c r="P34">
        <v>1</v>
      </c>
      <c r="Q34">
        <v>9.4676639999999992</v>
      </c>
    </row>
    <row r="35" spans="1:17" x14ac:dyDescent="0.3">
      <c r="A35">
        <v>33</v>
      </c>
      <c r="B35" t="s">
        <v>16</v>
      </c>
      <c r="C35">
        <v>0</v>
      </c>
      <c r="D35">
        <v>0</v>
      </c>
      <c r="E35" t="s">
        <v>17</v>
      </c>
      <c r="F35">
        <v>0</v>
      </c>
      <c r="G35">
        <v>2019</v>
      </c>
      <c r="H35">
        <v>3.29331</v>
      </c>
      <c r="I35" t="s">
        <v>18</v>
      </c>
      <c r="J35" t="s">
        <v>19</v>
      </c>
      <c r="K35">
        <v>1434.78253</v>
      </c>
      <c r="L35">
        <v>3.2933119999999998</v>
      </c>
      <c r="M35" s="1">
        <v>45740</v>
      </c>
      <c r="N35" t="s">
        <v>20</v>
      </c>
      <c r="O35" t="s">
        <v>21</v>
      </c>
      <c r="P35">
        <v>1</v>
      </c>
      <c r="Q35">
        <v>3.2933119999999998</v>
      </c>
    </row>
    <row r="36" spans="1:17" x14ac:dyDescent="0.3">
      <c r="A36">
        <v>34</v>
      </c>
      <c r="B36" t="s">
        <v>16</v>
      </c>
      <c r="C36">
        <v>0</v>
      </c>
      <c r="D36">
        <v>0</v>
      </c>
      <c r="E36" t="s">
        <v>17</v>
      </c>
      <c r="F36">
        <v>0</v>
      </c>
      <c r="G36">
        <v>2020</v>
      </c>
      <c r="H36">
        <v>3.7616499999999999</v>
      </c>
      <c r="I36" t="s">
        <v>18</v>
      </c>
      <c r="J36" t="s">
        <v>19</v>
      </c>
      <c r="K36">
        <v>1772.956925</v>
      </c>
      <c r="L36">
        <v>3.7616510000000001</v>
      </c>
      <c r="M36" s="1">
        <v>45740</v>
      </c>
      <c r="N36" t="s">
        <v>20</v>
      </c>
      <c r="O36" t="s">
        <v>21</v>
      </c>
      <c r="P36">
        <v>1</v>
      </c>
      <c r="Q36">
        <v>3.7616510000000001</v>
      </c>
    </row>
    <row r="37" spans="1:17" x14ac:dyDescent="0.3">
      <c r="A37">
        <v>35</v>
      </c>
      <c r="B37" t="s">
        <v>16</v>
      </c>
      <c r="C37">
        <v>0</v>
      </c>
      <c r="D37">
        <v>0</v>
      </c>
      <c r="E37" t="s">
        <v>17</v>
      </c>
      <c r="F37">
        <v>0</v>
      </c>
      <c r="G37">
        <v>2020</v>
      </c>
      <c r="H37">
        <v>1.6634899999999999</v>
      </c>
      <c r="I37" t="s">
        <v>18</v>
      </c>
      <c r="J37" t="s">
        <v>19</v>
      </c>
      <c r="K37">
        <v>681.43269899999996</v>
      </c>
      <c r="L37">
        <v>1.663492</v>
      </c>
      <c r="M37" s="1">
        <v>45740</v>
      </c>
      <c r="N37" t="s">
        <v>20</v>
      </c>
      <c r="O37" t="s">
        <v>21</v>
      </c>
      <c r="P37">
        <v>1</v>
      </c>
      <c r="Q37">
        <v>1.663492</v>
      </c>
    </row>
    <row r="38" spans="1:17" x14ac:dyDescent="0.3">
      <c r="A38">
        <v>36</v>
      </c>
      <c r="B38" t="s">
        <v>16</v>
      </c>
      <c r="C38">
        <v>0</v>
      </c>
      <c r="D38">
        <v>0</v>
      </c>
      <c r="E38" t="s">
        <v>17</v>
      </c>
      <c r="F38">
        <v>0</v>
      </c>
      <c r="G38">
        <v>2020</v>
      </c>
      <c r="H38">
        <v>0.75355799999999995</v>
      </c>
      <c r="I38" t="s">
        <v>18</v>
      </c>
      <c r="J38" t="s">
        <v>19</v>
      </c>
      <c r="K38">
        <v>777.42753700000003</v>
      </c>
      <c r="L38">
        <v>0.75355799999999995</v>
      </c>
      <c r="M38" s="1">
        <v>45740</v>
      </c>
      <c r="N38" t="s">
        <v>20</v>
      </c>
      <c r="O38" t="s">
        <v>21</v>
      </c>
      <c r="P38">
        <v>1</v>
      </c>
      <c r="Q38">
        <v>0.75355799999999995</v>
      </c>
    </row>
    <row r="39" spans="1:17" x14ac:dyDescent="0.3">
      <c r="A39">
        <v>37</v>
      </c>
      <c r="B39" t="s">
        <v>16</v>
      </c>
      <c r="C39">
        <v>0</v>
      </c>
      <c r="D39">
        <v>0</v>
      </c>
      <c r="E39" t="s">
        <v>17</v>
      </c>
      <c r="F39">
        <v>0</v>
      </c>
      <c r="G39" t="s">
        <v>23</v>
      </c>
      <c r="H39">
        <v>6.1974400000000003</v>
      </c>
      <c r="I39" t="s">
        <v>32</v>
      </c>
      <c r="J39" t="s">
        <v>19</v>
      </c>
      <c r="K39">
        <v>1740.3163529999999</v>
      </c>
      <c r="L39">
        <v>6.1974400000000003</v>
      </c>
      <c r="M39" s="1">
        <v>45740</v>
      </c>
      <c r="N39" t="s">
        <v>20</v>
      </c>
      <c r="O39" t="s">
        <v>21</v>
      </c>
      <c r="P39">
        <v>1</v>
      </c>
      <c r="Q39">
        <v>6.1974400000000003</v>
      </c>
    </row>
    <row r="40" spans="1:17" x14ac:dyDescent="0.3">
      <c r="A40">
        <v>38</v>
      </c>
      <c r="B40" t="s">
        <v>16</v>
      </c>
      <c r="C40">
        <v>0</v>
      </c>
      <c r="D40">
        <v>0</v>
      </c>
      <c r="E40" t="s">
        <v>17</v>
      </c>
      <c r="F40">
        <v>0</v>
      </c>
      <c r="G40" t="s">
        <v>23</v>
      </c>
      <c r="H40">
        <v>23.7532</v>
      </c>
      <c r="I40" t="s">
        <v>32</v>
      </c>
      <c r="J40" t="s">
        <v>19</v>
      </c>
      <c r="K40">
        <v>3606.1642700000002</v>
      </c>
      <c r="L40">
        <v>23.753246000000001</v>
      </c>
      <c r="M40" s="1">
        <v>45740</v>
      </c>
      <c r="N40" t="s">
        <v>20</v>
      </c>
      <c r="O40" t="s">
        <v>21</v>
      </c>
      <c r="P40">
        <v>1</v>
      </c>
      <c r="Q40">
        <v>23.753246000000001</v>
      </c>
    </row>
    <row r="41" spans="1:17" x14ac:dyDescent="0.3">
      <c r="A41">
        <v>39</v>
      </c>
      <c r="B41" t="s">
        <v>16</v>
      </c>
      <c r="C41">
        <v>0</v>
      </c>
      <c r="D41">
        <v>0</v>
      </c>
      <c r="E41" t="s">
        <v>25</v>
      </c>
      <c r="F41">
        <v>0</v>
      </c>
      <c r="G41">
        <v>2017</v>
      </c>
      <c r="H41">
        <v>4.0822399999999996</v>
      </c>
      <c r="I41" t="s">
        <v>28</v>
      </c>
      <c r="J41" t="s">
        <v>19</v>
      </c>
      <c r="K41">
        <v>897.177865</v>
      </c>
      <c r="L41">
        <v>4.0822440000000002</v>
      </c>
      <c r="M41" s="1">
        <v>45740</v>
      </c>
      <c r="N41" t="s">
        <v>20</v>
      </c>
      <c r="O41" t="s">
        <v>21</v>
      </c>
      <c r="P41">
        <v>1</v>
      </c>
      <c r="Q41">
        <v>4.0822440000000002</v>
      </c>
    </row>
    <row r="42" spans="1:17" x14ac:dyDescent="0.3">
      <c r="A42">
        <v>40</v>
      </c>
      <c r="B42" t="s">
        <v>16</v>
      </c>
      <c r="C42">
        <v>0</v>
      </c>
      <c r="D42">
        <v>0</v>
      </c>
      <c r="E42" t="s">
        <v>17</v>
      </c>
      <c r="F42">
        <v>0</v>
      </c>
      <c r="G42">
        <v>2017</v>
      </c>
      <c r="H42">
        <v>1.02389</v>
      </c>
      <c r="I42" t="s">
        <v>32</v>
      </c>
      <c r="J42" t="s">
        <v>19</v>
      </c>
      <c r="K42">
        <v>944.50662999999997</v>
      </c>
      <c r="L42">
        <v>1.02389</v>
      </c>
      <c r="M42" s="1">
        <v>45740</v>
      </c>
      <c r="N42" t="s">
        <v>20</v>
      </c>
      <c r="O42" t="s">
        <v>21</v>
      </c>
      <c r="P42">
        <v>1</v>
      </c>
      <c r="Q42">
        <v>1.02389</v>
      </c>
    </row>
    <row r="43" spans="1:17" x14ac:dyDescent="0.3">
      <c r="A43">
        <v>41</v>
      </c>
      <c r="B43" t="s">
        <v>16</v>
      </c>
      <c r="C43">
        <v>0</v>
      </c>
      <c r="D43">
        <v>0</v>
      </c>
      <c r="E43" t="s">
        <v>17</v>
      </c>
      <c r="F43">
        <v>0</v>
      </c>
      <c r="G43">
        <v>2018</v>
      </c>
      <c r="H43">
        <v>0.76672799999999997</v>
      </c>
      <c r="I43" t="s">
        <v>32</v>
      </c>
      <c r="J43" t="s">
        <v>19</v>
      </c>
      <c r="K43">
        <v>524.55962199999999</v>
      </c>
      <c r="L43">
        <v>0.76672799999999997</v>
      </c>
      <c r="M43" s="1">
        <v>45740</v>
      </c>
      <c r="N43" t="s">
        <v>20</v>
      </c>
      <c r="O43" t="s">
        <v>21</v>
      </c>
      <c r="P43">
        <v>1</v>
      </c>
      <c r="Q43">
        <v>0.76672799999999997</v>
      </c>
    </row>
    <row r="44" spans="1:17" x14ac:dyDescent="0.3">
      <c r="A44">
        <v>42</v>
      </c>
      <c r="B44" t="s">
        <v>16</v>
      </c>
      <c r="C44">
        <v>0</v>
      </c>
      <c r="D44">
        <v>0</v>
      </c>
      <c r="E44" t="s">
        <v>17</v>
      </c>
      <c r="F44">
        <v>0</v>
      </c>
      <c r="G44">
        <v>2018</v>
      </c>
      <c r="H44">
        <v>3.9060800000000002</v>
      </c>
      <c r="I44" t="s">
        <v>32</v>
      </c>
      <c r="J44" t="s">
        <v>19</v>
      </c>
      <c r="K44">
        <v>1095.9969189999999</v>
      </c>
      <c r="L44">
        <v>3.9060809999999999</v>
      </c>
      <c r="M44" s="1">
        <v>45740</v>
      </c>
      <c r="N44" t="s">
        <v>20</v>
      </c>
      <c r="O44" t="s">
        <v>21</v>
      </c>
      <c r="P44">
        <v>1</v>
      </c>
      <c r="Q44">
        <v>3.9060809999999999</v>
      </c>
    </row>
    <row r="45" spans="1:17" x14ac:dyDescent="0.3">
      <c r="A45">
        <v>43</v>
      </c>
      <c r="B45" t="s">
        <v>16</v>
      </c>
      <c r="C45">
        <v>0</v>
      </c>
      <c r="D45">
        <v>0</v>
      </c>
      <c r="E45" t="s">
        <v>17</v>
      </c>
      <c r="F45">
        <v>0</v>
      </c>
      <c r="G45">
        <v>2019</v>
      </c>
      <c r="H45">
        <v>2.0079500000000001</v>
      </c>
      <c r="I45" t="s">
        <v>32</v>
      </c>
      <c r="J45" t="s">
        <v>19</v>
      </c>
      <c r="K45">
        <v>885.49394400000006</v>
      </c>
      <c r="L45">
        <v>2.0079509999999998</v>
      </c>
      <c r="M45" s="1">
        <v>45740</v>
      </c>
      <c r="N45" t="s">
        <v>20</v>
      </c>
      <c r="O45" t="s">
        <v>21</v>
      </c>
      <c r="P45">
        <v>1</v>
      </c>
      <c r="Q45">
        <v>2.0079509999999998</v>
      </c>
    </row>
    <row r="46" spans="1:17" x14ac:dyDescent="0.3">
      <c r="A46">
        <v>44</v>
      </c>
      <c r="B46" t="s">
        <v>16</v>
      </c>
      <c r="C46">
        <v>0</v>
      </c>
      <c r="D46">
        <v>0</v>
      </c>
      <c r="E46" t="s">
        <v>25</v>
      </c>
      <c r="F46">
        <v>0</v>
      </c>
      <c r="G46">
        <v>2019</v>
      </c>
      <c r="H46">
        <v>12.983499999999999</v>
      </c>
      <c r="I46" t="s">
        <v>26</v>
      </c>
      <c r="J46" t="s">
        <v>19</v>
      </c>
      <c r="K46">
        <v>1883.8924199999999</v>
      </c>
      <c r="L46">
        <v>12.983511</v>
      </c>
      <c r="M46" s="1">
        <v>45740</v>
      </c>
      <c r="N46" t="s">
        <v>27</v>
      </c>
      <c r="O46" t="s">
        <v>21</v>
      </c>
      <c r="P46">
        <v>1</v>
      </c>
      <c r="Q46">
        <v>12.983511</v>
      </c>
    </row>
    <row r="47" spans="1:17" x14ac:dyDescent="0.3">
      <c r="A47">
        <v>45</v>
      </c>
      <c r="B47" t="s">
        <v>16</v>
      </c>
      <c r="C47">
        <v>0</v>
      </c>
      <c r="D47">
        <v>0</v>
      </c>
      <c r="E47" t="s">
        <v>17</v>
      </c>
      <c r="F47">
        <v>0</v>
      </c>
      <c r="G47">
        <v>2019</v>
      </c>
      <c r="H47">
        <v>0.39918300000000001</v>
      </c>
      <c r="I47" t="s">
        <v>26</v>
      </c>
      <c r="J47" t="s">
        <v>19</v>
      </c>
      <c r="K47">
        <v>373.17927300000002</v>
      </c>
      <c r="L47">
        <v>0.39918300000000001</v>
      </c>
      <c r="M47" s="1">
        <v>45740</v>
      </c>
      <c r="N47" t="s">
        <v>27</v>
      </c>
      <c r="O47" t="s">
        <v>21</v>
      </c>
      <c r="P47">
        <v>1</v>
      </c>
      <c r="Q47">
        <v>0.39918300000000001</v>
      </c>
    </row>
    <row r="48" spans="1:17" x14ac:dyDescent="0.3">
      <c r="A48">
        <v>46</v>
      </c>
      <c r="B48" t="s">
        <v>16</v>
      </c>
      <c r="C48">
        <v>0</v>
      </c>
      <c r="D48">
        <v>0</v>
      </c>
      <c r="E48" t="s">
        <v>17</v>
      </c>
      <c r="F48">
        <v>0</v>
      </c>
      <c r="G48">
        <v>2019</v>
      </c>
      <c r="H48">
        <v>4.0682999999999998</v>
      </c>
      <c r="I48" t="s">
        <v>32</v>
      </c>
      <c r="J48" t="s">
        <v>19</v>
      </c>
      <c r="K48">
        <v>1281.6145939999999</v>
      </c>
      <c r="L48">
        <v>4.0683040000000004</v>
      </c>
      <c r="M48" s="1">
        <v>45740</v>
      </c>
      <c r="N48" t="s">
        <v>27</v>
      </c>
      <c r="O48" t="s">
        <v>21</v>
      </c>
      <c r="P48">
        <v>1</v>
      </c>
      <c r="Q48">
        <v>4.0683040000000004</v>
      </c>
    </row>
    <row r="49" spans="1:17" x14ac:dyDescent="0.3">
      <c r="A49">
        <v>47</v>
      </c>
      <c r="B49" t="s">
        <v>16</v>
      </c>
      <c r="C49">
        <v>0</v>
      </c>
      <c r="D49">
        <v>0</v>
      </c>
      <c r="E49" t="s">
        <v>17</v>
      </c>
      <c r="F49">
        <v>0</v>
      </c>
      <c r="G49">
        <v>2019</v>
      </c>
      <c r="H49">
        <v>0.379693</v>
      </c>
      <c r="I49" t="s">
        <v>32</v>
      </c>
      <c r="J49" t="s">
        <v>19</v>
      </c>
      <c r="K49">
        <v>816.95134199999995</v>
      </c>
      <c r="L49">
        <v>0.379693</v>
      </c>
      <c r="M49" s="1">
        <v>45740</v>
      </c>
      <c r="N49" t="s">
        <v>27</v>
      </c>
      <c r="O49" t="s">
        <v>21</v>
      </c>
      <c r="P49">
        <v>1</v>
      </c>
      <c r="Q49">
        <v>0.379693</v>
      </c>
    </row>
    <row r="50" spans="1:17" x14ac:dyDescent="0.3">
      <c r="A50">
        <v>48</v>
      </c>
      <c r="B50" t="s">
        <v>16</v>
      </c>
      <c r="C50">
        <v>0</v>
      </c>
      <c r="D50">
        <v>0</v>
      </c>
      <c r="E50" t="s">
        <v>17</v>
      </c>
      <c r="F50">
        <v>0</v>
      </c>
      <c r="G50">
        <v>2019</v>
      </c>
      <c r="H50">
        <v>1.61547</v>
      </c>
      <c r="I50" t="s">
        <v>32</v>
      </c>
      <c r="J50" t="s">
        <v>19</v>
      </c>
      <c r="K50">
        <v>707.98981100000003</v>
      </c>
      <c r="L50">
        <v>1.61547</v>
      </c>
      <c r="M50" s="1">
        <v>45740</v>
      </c>
      <c r="N50" t="s">
        <v>27</v>
      </c>
      <c r="O50" t="s">
        <v>21</v>
      </c>
      <c r="P50">
        <v>1</v>
      </c>
      <c r="Q50">
        <v>1.61547</v>
      </c>
    </row>
    <row r="51" spans="1:17" x14ac:dyDescent="0.3">
      <c r="A51">
        <v>49</v>
      </c>
      <c r="B51" t="s">
        <v>16</v>
      </c>
      <c r="C51">
        <v>0</v>
      </c>
      <c r="D51">
        <v>0</v>
      </c>
      <c r="E51" t="s">
        <v>17</v>
      </c>
      <c r="F51">
        <v>0</v>
      </c>
      <c r="G51">
        <v>2020</v>
      </c>
      <c r="H51">
        <v>0.67450900000000003</v>
      </c>
      <c r="I51" t="s">
        <v>32</v>
      </c>
      <c r="J51" t="s">
        <v>19</v>
      </c>
      <c r="K51">
        <v>386.23541299999999</v>
      </c>
      <c r="L51">
        <v>0.67450900000000003</v>
      </c>
      <c r="M51" s="1">
        <v>45740</v>
      </c>
      <c r="N51" t="s">
        <v>27</v>
      </c>
      <c r="O51" t="s">
        <v>21</v>
      </c>
      <c r="P51">
        <v>1</v>
      </c>
      <c r="Q51">
        <v>0.67450900000000003</v>
      </c>
    </row>
    <row r="52" spans="1:17" x14ac:dyDescent="0.3">
      <c r="A52">
        <v>50</v>
      </c>
      <c r="B52" t="s">
        <v>16</v>
      </c>
      <c r="C52">
        <v>0</v>
      </c>
      <c r="D52">
        <v>0</v>
      </c>
      <c r="E52" t="s">
        <v>17</v>
      </c>
      <c r="F52">
        <v>0</v>
      </c>
      <c r="G52">
        <v>2020</v>
      </c>
      <c r="H52">
        <v>1.3311599999999999</v>
      </c>
      <c r="I52" t="s">
        <v>32</v>
      </c>
      <c r="J52" t="s">
        <v>19</v>
      </c>
      <c r="K52">
        <v>542.99092099999996</v>
      </c>
      <c r="L52">
        <v>1.331159</v>
      </c>
      <c r="M52" s="1">
        <v>45740</v>
      </c>
      <c r="N52" t="s">
        <v>20</v>
      </c>
      <c r="O52" t="s">
        <v>21</v>
      </c>
      <c r="P52">
        <v>1</v>
      </c>
      <c r="Q52">
        <v>1.331159</v>
      </c>
    </row>
    <row r="53" spans="1:17" x14ac:dyDescent="0.3">
      <c r="A53">
        <v>51</v>
      </c>
      <c r="B53" t="s">
        <v>16</v>
      </c>
      <c r="C53">
        <v>0</v>
      </c>
      <c r="D53">
        <v>0</v>
      </c>
      <c r="E53" t="s">
        <v>17</v>
      </c>
      <c r="F53">
        <v>0</v>
      </c>
      <c r="G53">
        <v>2020</v>
      </c>
      <c r="H53">
        <v>4.4319199999999999</v>
      </c>
      <c r="I53" t="s">
        <v>32</v>
      </c>
      <c r="J53" t="s">
        <v>19</v>
      </c>
      <c r="K53">
        <v>851.548134</v>
      </c>
      <c r="L53">
        <v>4.4319230000000003</v>
      </c>
      <c r="M53" s="1">
        <v>45740</v>
      </c>
      <c r="N53" t="s">
        <v>20</v>
      </c>
      <c r="O53" t="s">
        <v>21</v>
      </c>
      <c r="P53">
        <v>1</v>
      </c>
      <c r="Q53">
        <v>4.4319230000000003</v>
      </c>
    </row>
    <row r="54" spans="1:17" x14ac:dyDescent="0.3">
      <c r="A54">
        <v>52</v>
      </c>
      <c r="B54" t="s">
        <v>16</v>
      </c>
      <c r="C54">
        <v>0</v>
      </c>
      <c r="D54">
        <v>0</v>
      </c>
      <c r="E54" t="s">
        <v>17</v>
      </c>
      <c r="F54">
        <v>0</v>
      </c>
      <c r="G54">
        <v>2020</v>
      </c>
      <c r="H54">
        <v>12.9527</v>
      </c>
      <c r="I54" t="s">
        <v>32</v>
      </c>
      <c r="J54" t="s">
        <v>19</v>
      </c>
      <c r="K54">
        <v>2240.9842199999998</v>
      </c>
      <c r="L54">
        <v>12.952696</v>
      </c>
      <c r="M54" s="1">
        <v>45740</v>
      </c>
      <c r="N54" t="s">
        <v>20</v>
      </c>
      <c r="O54" t="s">
        <v>21</v>
      </c>
      <c r="P54">
        <v>1</v>
      </c>
      <c r="Q54">
        <v>12.952696</v>
      </c>
    </row>
    <row r="55" spans="1:17" x14ac:dyDescent="0.3">
      <c r="A55">
        <v>53</v>
      </c>
      <c r="B55" t="s">
        <v>16</v>
      </c>
      <c r="C55">
        <v>0</v>
      </c>
      <c r="D55">
        <v>0</v>
      </c>
      <c r="E55" t="s">
        <v>17</v>
      </c>
      <c r="F55">
        <v>0</v>
      </c>
      <c r="G55">
        <v>2021</v>
      </c>
      <c r="H55">
        <v>0.80001999999999995</v>
      </c>
      <c r="I55" t="s">
        <v>32</v>
      </c>
      <c r="J55" t="s">
        <v>19</v>
      </c>
      <c r="K55">
        <v>435.72961800000002</v>
      </c>
      <c r="L55">
        <v>0.80001999999999995</v>
      </c>
      <c r="M55" s="1">
        <v>45740</v>
      </c>
      <c r="N55" t="s">
        <v>20</v>
      </c>
      <c r="O55" t="s">
        <v>21</v>
      </c>
      <c r="P55">
        <v>1</v>
      </c>
      <c r="Q55">
        <v>0.80001999999999995</v>
      </c>
    </row>
    <row r="56" spans="1:17" x14ac:dyDescent="0.3">
      <c r="A56">
        <v>54</v>
      </c>
      <c r="B56" t="s">
        <v>16</v>
      </c>
      <c r="C56">
        <v>0</v>
      </c>
      <c r="D56">
        <v>0</v>
      </c>
      <c r="E56" t="s">
        <v>17</v>
      </c>
      <c r="F56">
        <v>0</v>
      </c>
      <c r="G56">
        <v>2020</v>
      </c>
      <c r="H56">
        <v>2.4253499999999999</v>
      </c>
      <c r="I56" t="s">
        <v>32</v>
      </c>
      <c r="J56" t="s">
        <v>19</v>
      </c>
      <c r="K56">
        <v>877.06241899999998</v>
      </c>
      <c r="L56">
        <v>2.4253469999999999</v>
      </c>
      <c r="M56" s="1">
        <v>45740</v>
      </c>
      <c r="N56" t="s">
        <v>20</v>
      </c>
      <c r="O56" t="s">
        <v>21</v>
      </c>
      <c r="P56">
        <v>1</v>
      </c>
      <c r="Q56">
        <v>2.4253469999999999</v>
      </c>
    </row>
    <row r="57" spans="1:17" x14ac:dyDescent="0.3">
      <c r="A57">
        <v>55</v>
      </c>
      <c r="B57" t="s">
        <v>16</v>
      </c>
      <c r="C57">
        <v>0</v>
      </c>
      <c r="D57">
        <v>0</v>
      </c>
      <c r="E57" t="s">
        <v>17</v>
      </c>
      <c r="F57">
        <v>0</v>
      </c>
      <c r="G57">
        <v>2020</v>
      </c>
      <c r="H57">
        <v>3.7718600000000002</v>
      </c>
      <c r="I57" t="s">
        <v>32</v>
      </c>
      <c r="J57" t="s">
        <v>19</v>
      </c>
      <c r="K57">
        <v>831.52675599999998</v>
      </c>
      <c r="L57">
        <v>3.7718579999999999</v>
      </c>
      <c r="M57" s="1">
        <v>45740</v>
      </c>
      <c r="N57" t="s">
        <v>20</v>
      </c>
      <c r="O57" t="s">
        <v>21</v>
      </c>
      <c r="P57">
        <v>1</v>
      </c>
      <c r="Q57">
        <v>3.7718579999999999</v>
      </c>
    </row>
    <row r="58" spans="1:17" x14ac:dyDescent="0.3">
      <c r="A58">
        <v>56</v>
      </c>
      <c r="B58" t="s">
        <v>16</v>
      </c>
      <c r="C58">
        <v>0</v>
      </c>
      <c r="D58">
        <v>0</v>
      </c>
      <c r="E58" t="s">
        <v>17</v>
      </c>
      <c r="F58">
        <v>0</v>
      </c>
      <c r="G58">
        <v>2020</v>
      </c>
      <c r="H58">
        <v>0.67022499999999996</v>
      </c>
      <c r="I58" t="s">
        <v>32</v>
      </c>
      <c r="J58" t="s">
        <v>19</v>
      </c>
      <c r="K58">
        <v>485.58041600000001</v>
      </c>
      <c r="L58">
        <v>0.67022499999999996</v>
      </c>
      <c r="M58" s="1">
        <v>45740</v>
      </c>
      <c r="N58" t="s">
        <v>20</v>
      </c>
      <c r="O58" t="s">
        <v>21</v>
      </c>
      <c r="P58">
        <v>1</v>
      </c>
      <c r="Q58">
        <v>0.67022499999999996</v>
      </c>
    </row>
    <row r="59" spans="1:17" x14ac:dyDescent="0.3">
      <c r="A59">
        <v>57</v>
      </c>
      <c r="B59" t="s">
        <v>16</v>
      </c>
      <c r="C59">
        <v>0</v>
      </c>
      <c r="D59">
        <v>0</v>
      </c>
      <c r="E59" t="s">
        <v>17</v>
      </c>
      <c r="F59">
        <v>0</v>
      </c>
      <c r="G59">
        <v>2020</v>
      </c>
      <c r="H59">
        <v>0.316575</v>
      </c>
      <c r="I59" t="s">
        <v>32</v>
      </c>
      <c r="J59" t="s">
        <v>19</v>
      </c>
      <c r="K59">
        <v>607.50880700000005</v>
      </c>
      <c r="L59">
        <v>0.316575</v>
      </c>
      <c r="M59" s="1">
        <v>45740</v>
      </c>
      <c r="N59" t="s">
        <v>20</v>
      </c>
      <c r="O59" t="s">
        <v>21</v>
      </c>
      <c r="P59">
        <v>1</v>
      </c>
      <c r="Q59">
        <v>0.316575</v>
      </c>
    </row>
    <row r="60" spans="1:17" x14ac:dyDescent="0.3">
      <c r="A60">
        <v>58</v>
      </c>
      <c r="B60" t="s">
        <v>16</v>
      </c>
      <c r="C60">
        <v>0</v>
      </c>
      <c r="D60">
        <v>0</v>
      </c>
      <c r="E60" t="s">
        <v>17</v>
      </c>
      <c r="F60">
        <v>0</v>
      </c>
      <c r="G60">
        <v>2018</v>
      </c>
      <c r="H60">
        <v>1.1855599999999999</v>
      </c>
      <c r="I60" t="s">
        <v>32</v>
      </c>
      <c r="J60" t="s">
        <v>19</v>
      </c>
      <c r="K60">
        <v>548.80289300000004</v>
      </c>
      <c r="L60">
        <v>1.185562</v>
      </c>
      <c r="M60" s="1">
        <v>45740</v>
      </c>
      <c r="N60" t="s">
        <v>20</v>
      </c>
      <c r="O60" t="s">
        <v>21</v>
      </c>
      <c r="P60">
        <v>1</v>
      </c>
      <c r="Q60">
        <v>1.185562</v>
      </c>
    </row>
    <row r="61" spans="1:17" x14ac:dyDescent="0.3">
      <c r="A61">
        <v>59</v>
      </c>
      <c r="B61" t="s">
        <v>16</v>
      </c>
      <c r="C61">
        <v>0</v>
      </c>
      <c r="D61">
        <v>0</v>
      </c>
      <c r="E61" t="s">
        <v>17</v>
      </c>
      <c r="F61">
        <v>0</v>
      </c>
      <c r="G61">
        <v>2018</v>
      </c>
      <c r="H61">
        <v>0.64601699999999995</v>
      </c>
      <c r="I61" t="s">
        <v>32</v>
      </c>
      <c r="J61" t="s">
        <v>19</v>
      </c>
      <c r="K61">
        <v>410.126777</v>
      </c>
      <c r="L61">
        <v>0.64601699999999995</v>
      </c>
      <c r="M61" s="1">
        <v>45740</v>
      </c>
      <c r="N61" t="s">
        <v>20</v>
      </c>
      <c r="O61" t="s">
        <v>21</v>
      </c>
      <c r="P61">
        <v>1</v>
      </c>
      <c r="Q61">
        <v>0.64601699999999995</v>
      </c>
    </row>
    <row r="62" spans="1:17" x14ac:dyDescent="0.3">
      <c r="A62">
        <v>60</v>
      </c>
      <c r="B62" t="s">
        <v>16</v>
      </c>
      <c r="C62">
        <v>0</v>
      </c>
      <c r="D62">
        <v>0</v>
      </c>
      <c r="E62" t="s">
        <v>17</v>
      </c>
      <c r="F62">
        <v>0</v>
      </c>
      <c r="G62" t="s">
        <v>33</v>
      </c>
      <c r="H62">
        <v>1.69442</v>
      </c>
      <c r="I62" t="s">
        <v>32</v>
      </c>
      <c r="J62" t="s">
        <v>19</v>
      </c>
      <c r="K62">
        <v>635.17454099999998</v>
      </c>
      <c r="L62">
        <v>1.694418</v>
      </c>
      <c r="M62" s="1">
        <v>45740</v>
      </c>
      <c r="N62" t="s">
        <v>20</v>
      </c>
      <c r="O62" t="s">
        <v>21</v>
      </c>
      <c r="P62">
        <v>1</v>
      </c>
      <c r="Q62">
        <v>1.694418</v>
      </c>
    </row>
    <row r="63" spans="1:17" x14ac:dyDescent="0.3">
      <c r="A63">
        <v>61</v>
      </c>
      <c r="B63" t="s">
        <v>16</v>
      </c>
      <c r="C63">
        <v>0</v>
      </c>
      <c r="D63">
        <v>0</v>
      </c>
      <c r="E63" t="s">
        <v>17</v>
      </c>
      <c r="F63">
        <v>0</v>
      </c>
      <c r="G63" t="s">
        <v>23</v>
      </c>
      <c r="H63">
        <v>0.77192899999999998</v>
      </c>
      <c r="I63" t="s">
        <v>32</v>
      </c>
      <c r="J63" t="s">
        <v>19</v>
      </c>
      <c r="K63">
        <v>644.674263</v>
      </c>
      <c r="L63">
        <v>0.77192899999999998</v>
      </c>
      <c r="M63" s="1">
        <v>45740</v>
      </c>
      <c r="N63" t="s">
        <v>27</v>
      </c>
      <c r="O63" t="s">
        <v>21</v>
      </c>
      <c r="P63">
        <v>1</v>
      </c>
      <c r="Q63">
        <v>0.77192899999999998</v>
      </c>
    </row>
    <row r="64" spans="1:17" x14ac:dyDescent="0.3">
      <c r="A64">
        <v>62</v>
      </c>
      <c r="B64" t="s">
        <v>16</v>
      </c>
      <c r="C64">
        <v>0</v>
      </c>
      <c r="D64">
        <v>0</v>
      </c>
      <c r="E64" t="s">
        <v>17</v>
      </c>
      <c r="F64">
        <v>0</v>
      </c>
      <c r="G64">
        <v>2019</v>
      </c>
      <c r="H64">
        <v>5.1402999999999997E-2</v>
      </c>
      <c r="I64" t="s">
        <v>34</v>
      </c>
      <c r="J64" t="s">
        <v>19</v>
      </c>
      <c r="K64">
        <v>119.375277</v>
      </c>
      <c r="L64">
        <v>5.1402999999999997E-2</v>
      </c>
      <c r="M64" s="1">
        <v>45740</v>
      </c>
      <c r="N64" t="s">
        <v>27</v>
      </c>
      <c r="O64" t="s">
        <v>21</v>
      </c>
      <c r="P64">
        <v>1</v>
      </c>
      <c r="Q64">
        <v>5.1402999999999997E-2</v>
      </c>
    </row>
    <row r="65" spans="1:17" x14ac:dyDescent="0.3">
      <c r="A65">
        <v>63</v>
      </c>
      <c r="B65" t="s">
        <v>16</v>
      </c>
      <c r="C65">
        <v>0</v>
      </c>
      <c r="D65">
        <v>0</v>
      </c>
      <c r="E65" t="s">
        <v>17</v>
      </c>
      <c r="F65">
        <v>0</v>
      </c>
      <c r="G65">
        <v>2019</v>
      </c>
      <c r="H65">
        <v>2.22573</v>
      </c>
      <c r="I65" t="s">
        <v>34</v>
      </c>
      <c r="J65" t="s">
        <v>19</v>
      </c>
      <c r="K65">
        <v>1361.8702189999999</v>
      </c>
      <c r="L65">
        <v>2.2257340000000001</v>
      </c>
      <c r="M65" s="1">
        <v>45740</v>
      </c>
      <c r="N65" t="s">
        <v>27</v>
      </c>
      <c r="O65" t="s">
        <v>21</v>
      </c>
      <c r="P65">
        <v>1</v>
      </c>
      <c r="Q65">
        <v>2.2257340000000001</v>
      </c>
    </row>
    <row r="66" spans="1:17" x14ac:dyDescent="0.3">
      <c r="A66">
        <v>64</v>
      </c>
      <c r="B66" t="s">
        <v>16</v>
      </c>
      <c r="C66">
        <v>0</v>
      </c>
      <c r="D66">
        <v>0</v>
      </c>
      <c r="E66" t="s">
        <v>17</v>
      </c>
      <c r="F66">
        <v>0</v>
      </c>
      <c r="G66">
        <v>2019</v>
      </c>
      <c r="H66">
        <v>0.23088500000000001</v>
      </c>
      <c r="I66" t="s">
        <v>34</v>
      </c>
      <c r="J66" t="s">
        <v>19</v>
      </c>
      <c r="K66">
        <v>257.63546000000002</v>
      </c>
      <c r="L66">
        <v>0.23088500000000001</v>
      </c>
      <c r="M66" s="1">
        <v>45740</v>
      </c>
      <c r="N66" t="s">
        <v>27</v>
      </c>
      <c r="O66" t="s">
        <v>21</v>
      </c>
      <c r="P66">
        <v>1</v>
      </c>
      <c r="Q66">
        <v>0.23088500000000001</v>
      </c>
    </row>
    <row r="67" spans="1:17" x14ac:dyDescent="0.3">
      <c r="A67">
        <v>65</v>
      </c>
      <c r="B67" t="s">
        <v>16</v>
      </c>
      <c r="C67">
        <v>0</v>
      </c>
      <c r="D67">
        <v>0</v>
      </c>
      <c r="E67" t="s">
        <v>17</v>
      </c>
      <c r="F67">
        <v>0</v>
      </c>
      <c r="G67">
        <v>2019</v>
      </c>
      <c r="H67">
        <v>2.1465000000000001</v>
      </c>
      <c r="I67" t="s">
        <v>32</v>
      </c>
      <c r="J67" t="s">
        <v>19</v>
      </c>
      <c r="K67">
        <v>756.69504400000005</v>
      </c>
      <c r="L67">
        <v>2.146503</v>
      </c>
      <c r="M67" s="1">
        <v>45740</v>
      </c>
      <c r="N67" t="s">
        <v>27</v>
      </c>
      <c r="O67" t="s">
        <v>21</v>
      </c>
      <c r="P67">
        <v>1</v>
      </c>
      <c r="Q67">
        <v>2.146503</v>
      </c>
    </row>
    <row r="68" spans="1:17" x14ac:dyDescent="0.3">
      <c r="A68">
        <v>66</v>
      </c>
      <c r="B68" t="s">
        <v>16</v>
      </c>
      <c r="C68">
        <v>0</v>
      </c>
      <c r="D68">
        <v>0</v>
      </c>
      <c r="E68" t="s">
        <v>17</v>
      </c>
      <c r="F68">
        <v>0</v>
      </c>
      <c r="G68">
        <v>2019</v>
      </c>
      <c r="H68">
        <v>0.25728099999999998</v>
      </c>
      <c r="I68" t="s">
        <v>32</v>
      </c>
      <c r="J68" t="s">
        <v>19</v>
      </c>
      <c r="K68">
        <v>370.94662499999998</v>
      </c>
      <c r="L68">
        <v>0.25728099999999998</v>
      </c>
      <c r="M68" s="1">
        <v>45740</v>
      </c>
      <c r="N68" t="s">
        <v>27</v>
      </c>
      <c r="O68" t="s">
        <v>21</v>
      </c>
      <c r="P68">
        <v>1</v>
      </c>
      <c r="Q68">
        <v>0.25728099999999998</v>
      </c>
    </row>
    <row r="69" spans="1:17" x14ac:dyDescent="0.3">
      <c r="A69">
        <v>67</v>
      </c>
      <c r="B69" t="s">
        <v>16</v>
      </c>
      <c r="C69">
        <v>0</v>
      </c>
      <c r="D69">
        <v>0</v>
      </c>
      <c r="E69" t="s">
        <v>17</v>
      </c>
      <c r="F69">
        <v>0</v>
      </c>
      <c r="G69">
        <v>2019</v>
      </c>
      <c r="H69">
        <v>1.70472</v>
      </c>
      <c r="I69" t="s">
        <v>34</v>
      </c>
      <c r="J69" t="s">
        <v>19</v>
      </c>
      <c r="K69">
        <v>826.28302599999995</v>
      </c>
      <c r="L69">
        <v>1.704718</v>
      </c>
      <c r="M69" s="1">
        <v>45740</v>
      </c>
      <c r="N69" t="s">
        <v>27</v>
      </c>
      <c r="O69" t="s">
        <v>21</v>
      </c>
      <c r="P69">
        <v>1</v>
      </c>
      <c r="Q69">
        <v>1.704718</v>
      </c>
    </row>
    <row r="70" spans="1:17" x14ac:dyDescent="0.3">
      <c r="A70">
        <v>68</v>
      </c>
      <c r="B70" t="s">
        <v>16</v>
      </c>
      <c r="C70">
        <v>0</v>
      </c>
      <c r="D70">
        <v>0</v>
      </c>
      <c r="E70" t="s">
        <v>17</v>
      </c>
      <c r="F70">
        <v>0</v>
      </c>
      <c r="G70">
        <v>2017</v>
      </c>
      <c r="H70">
        <v>0.67876000000000003</v>
      </c>
      <c r="I70" t="s">
        <v>32</v>
      </c>
      <c r="J70" t="s">
        <v>19</v>
      </c>
      <c r="K70">
        <v>457.26601900000003</v>
      </c>
      <c r="L70">
        <v>0.67876000000000003</v>
      </c>
      <c r="M70" s="1">
        <v>45740</v>
      </c>
      <c r="N70" t="s">
        <v>20</v>
      </c>
      <c r="O70" t="s">
        <v>21</v>
      </c>
      <c r="P70">
        <v>1</v>
      </c>
      <c r="Q70">
        <v>0.67876000000000003</v>
      </c>
    </row>
    <row r="71" spans="1:17" x14ac:dyDescent="0.3">
      <c r="A71">
        <v>69</v>
      </c>
      <c r="B71" t="s">
        <v>16</v>
      </c>
      <c r="C71">
        <v>0</v>
      </c>
      <c r="D71">
        <v>0</v>
      </c>
      <c r="E71" t="s">
        <v>17</v>
      </c>
      <c r="F71">
        <v>0</v>
      </c>
      <c r="G71">
        <v>2020</v>
      </c>
      <c r="H71">
        <v>0.28946300000000003</v>
      </c>
      <c r="I71" t="s">
        <v>32</v>
      </c>
      <c r="J71" t="s">
        <v>19</v>
      </c>
      <c r="K71">
        <v>396.86200600000001</v>
      </c>
      <c r="L71">
        <v>0.28946300000000003</v>
      </c>
      <c r="M71" s="1">
        <v>45740</v>
      </c>
      <c r="N71" t="s">
        <v>27</v>
      </c>
      <c r="O71" t="s">
        <v>21</v>
      </c>
      <c r="P71">
        <v>1</v>
      </c>
      <c r="Q71">
        <v>0.28946300000000003</v>
      </c>
    </row>
    <row r="72" spans="1:17" x14ac:dyDescent="0.3">
      <c r="A72">
        <v>70</v>
      </c>
      <c r="B72" t="s">
        <v>16</v>
      </c>
      <c r="C72">
        <v>0</v>
      </c>
      <c r="D72">
        <v>0</v>
      </c>
      <c r="E72" t="s">
        <v>17</v>
      </c>
      <c r="F72">
        <v>0</v>
      </c>
      <c r="G72">
        <v>2020</v>
      </c>
      <c r="H72">
        <v>0.39565899999999998</v>
      </c>
      <c r="I72" t="s">
        <v>32</v>
      </c>
      <c r="J72" t="s">
        <v>19</v>
      </c>
      <c r="K72">
        <v>467.165459</v>
      </c>
      <c r="L72">
        <v>0.39565899999999998</v>
      </c>
      <c r="M72" s="1">
        <v>45740</v>
      </c>
      <c r="N72" t="s">
        <v>27</v>
      </c>
      <c r="O72" t="s">
        <v>21</v>
      </c>
      <c r="P72">
        <v>1</v>
      </c>
      <c r="Q72">
        <v>0.39565899999999998</v>
      </c>
    </row>
    <row r="73" spans="1:17" x14ac:dyDescent="0.3">
      <c r="A73">
        <v>71</v>
      </c>
      <c r="B73" t="s">
        <v>16</v>
      </c>
      <c r="C73">
        <v>0</v>
      </c>
      <c r="D73">
        <v>0</v>
      </c>
      <c r="E73" t="s">
        <v>17</v>
      </c>
      <c r="F73">
        <v>0</v>
      </c>
      <c r="G73">
        <v>2023</v>
      </c>
      <c r="H73">
        <v>1.1335</v>
      </c>
      <c r="I73" t="s">
        <v>18</v>
      </c>
      <c r="J73" t="s">
        <v>19</v>
      </c>
      <c r="K73">
        <v>590.21848999999997</v>
      </c>
      <c r="L73">
        <v>1.133499</v>
      </c>
      <c r="M73" s="1">
        <v>45740</v>
      </c>
      <c r="N73" t="s">
        <v>20</v>
      </c>
      <c r="O73" t="s">
        <v>21</v>
      </c>
      <c r="P73">
        <v>1</v>
      </c>
      <c r="Q73">
        <v>1.133499</v>
      </c>
    </row>
    <row r="74" spans="1:17" x14ac:dyDescent="0.3">
      <c r="A74">
        <v>72</v>
      </c>
      <c r="B74" t="s">
        <v>16</v>
      </c>
      <c r="C74">
        <v>0</v>
      </c>
      <c r="D74">
        <v>0</v>
      </c>
      <c r="E74" t="s">
        <v>17</v>
      </c>
      <c r="F74">
        <v>0</v>
      </c>
      <c r="G74" t="s">
        <v>23</v>
      </c>
      <c r="H74">
        <v>2.3581799999999999</v>
      </c>
      <c r="I74" t="s">
        <v>32</v>
      </c>
      <c r="J74" t="s">
        <v>19</v>
      </c>
      <c r="K74">
        <v>794.41887099999997</v>
      </c>
      <c r="L74">
        <v>2.3581789999999998</v>
      </c>
      <c r="M74" s="1">
        <v>45740</v>
      </c>
      <c r="N74" t="s">
        <v>20</v>
      </c>
      <c r="O74" t="s">
        <v>21</v>
      </c>
      <c r="P74">
        <v>1</v>
      </c>
      <c r="Q74">
        <v>2.3581789999999998</v>
      </c>
    </row>
    <row r="75" spans="1:17" x14ac:dyDescent="0.3">
      <c r="A75">
        <v>73</v>
      </c>
      <c r="B75" t="s">
        <v>16</v>
      </c>
      <c r="C75">
        <v>0</v>
      </c>
      <c r="D75">
        <v>0</v>
      </c>
      <c r="E75" t="s">
        <v>17</v>
      </c>
      <c r="F75">
        <v>0</v>
      </c>
      <c r="G75">
        <v>2018</v>
      </c>
      <c r="H75">
        <v>0.79569100000000004</v>
      </c>
      <c r="I75" t="s">
        <v>32</v>
      </c>
      <c r="J75" t="s">
        <v>19</v>
      </c>
      <c r="K75">
        <v>529.27037800000005</v>
      </c>
      <c r="L75">
        <v>0.79569100000000004</v>
      </c>
      <c r="M75" s="1">
        <v>45740</v>
      </c>
      <c r="N75" t="s">
        <v>20</v>
      </c>
      <c r="O75" t="s">
        <v>21</v>
      </c>
      <c r="P75">
        <v>1</v>
      </c>
      <c r="Q75">
        <v>0.79569100000000004</v>
      </c>
    </row>
    <row r="76" spans="1:17" x14ac:dyDescent="0.3">
      <c r="A76">
        <v>74</v>
      </c>
      <c r="B76" t="s">
        <v>16</v>
      </c>
      <c r="C76">
        <v>0</v>
      </c>
      <c r="D76">
        <v>0</v>
      </c>
      <c r="E76" t="s">
        <v>17</v>
      </c>
      <c r="F76">
        <v>0</v>
      </c>
      <c r="G76">
        <v>2020</v>
      </c>
      <c r="H76">
        <v>1.16743</v>
      </c>
      <c r="I76" t="s">
        <v>32</v>
      </c>
      <c r="J76" t="s">
        <v>19</v>
      </c>
      <c r="K76">
        <v>491.80954300000002</v>
      </c>
      <c r="L76">
        <v>1.1674260000000001</v>
      </c>
      <c r="M76" s="1">
        <v>45740</v>
      </c>
      <c r="N76" t="s">
        <v>20</v>
      </c>
      <c r="O76" t="s">
        <v>21</v>
      </c>
      <c r="P76">
        <v>1</v>
      </c>
      <c r="Q76">
        <v>1.1674260000000001</v>
      </c>
    </row>
    <row r="77" spans="1:17" x14ac:dyDescent="0.3">
      <c r="A77">
        <v>75</v>
      </c>
      <c r="B77" t="s">
        <v>16</v>
      </c>
      <c r="C77">
        <v>0</v>
      </c>
      <c r="D77">
        <v>0</v>
      </c>
      <c r="E77" t="s">
        <v>17</v>
      </c>
      <c r="F77">
        <v>0</v>
      </c>
      <c r="G77">
        <v>2020</v>
      </c>
      <c r="H77">
        <v>0.68645900000000004</v>
      </c>
      <c r="I77" t="s">
        <v>35</v>
      </c>
      <c r="J77" t="s">
        <v>19</v>
      </c>
      <c r="K77">
        <v>517.37971700000003</v>
      </c>
      <c r="L77">
        <v>0.68645900000000004</v>
      </c>
      <c r="M77" s="1">
        <v>45740</v>
      </c>
      <c r="N77" t="s">
        <v>20</v>
      </c>
      <c r="O77" t="s">
        <v>21</v>
      </c>
      <c r="P77">
        <v>1</v>
      </c>
      <c r="Q77">
        <v>0.68645900000000004</v>
      </c>
    </row>
    <row r="78" spans="1:17" x14ac:dyDescent="0.3">
      <c r="A78">
        <v>76</v>
      </c>
      <c r="B78" t="s">
        <v>16</v>
      </c>
      <c r="C78">
        <v>0</v>
      </c>
      <c r="D78">
        <v>0</v>
      </c>
      <c r="E78" t="s">
        <v>25</v>
      </c>
      <c r="F78">
        <v>0</v>
      </c>
      <c r="G78">
        <v>2020</v>
      </c>
      <c r="H78">
        <v>0.96015300000000003</v>
      </c>
      <c r="I78" t="s">
        <v>36</v>
      </c>
      <c r="J78" t="s">
        <v>19</v>
      </c>
      <c r="K78">
        <v>437.83718800000003</v>
      </c>
      <c r="L78">
        <v>0.96015300000000003</v>
      </c>
      <c r="M78" s="1">
        <v>45740</v>
      </c>
      <c r="N78" t="s">
        <v>20</v>
      </c>
      <c r="O78" t="s">
        <v>21</v>
      </c>
      <c r="P78">
        <v>1</v>
      </c>
      <c r="Q78">
        <v>0.96015300000000003</v>
      </c>
    </row>
    <row r="79" spans="1:17" x14ac:dyDescent="0.3">
      <c r="A79">
        <v>77</v>
      </c>
      <c r="B79" t="s">
        <v>16</v>
      </c>
      <c r="C79">
        <v>0</v>
      </c>
      <c r="D79">
        <v>0</v>
      </c>
      <c r="E79" t="s">
        <v>25</v>
      </c>
      <c r="F79">
        <v>0</v>
      </c>
      <c r="G79">
        <v>2020</v>
      </c>
      <c r="H79">
        <v>11.038399999999999</v>
      </c>
      <c r="I79" t="s">
        <v>34</v>
      </c>
      <c r="J79" t="s">
        <v>19</v>
      </c>
      <c r="K79">
        <v>2917.0755349999999</v>
      </c>
      <c r="L79">
        <v>11.038357</v>
      </c>
      <c r="M79" s="1">
        <v>45740</v>
      </c>
      <c r="N79" t="s">
        <v>27</v>
      </c>
      <c r="O79" t="s">
        <v>21</v>
      </c>
      <c r="P79">
        <v>1</v>
      </c>
      <c r="Q79">
        <v>11.038357</v>
      </c>
    </row>
    <row r="80" spans="1:17" x14ac:dyDescent="0.3">
      <c r="A80">
        <v>78</v>
      </c>
      <c r="B80" t="s">
        <v>16</v>
      </c>
      <c r="C80">
        <v>0</v>
      </c>
      <c r="D80">
        <v>0</v>
      </c>
      <c r="E80" t="s">
        <v>14</v>
      </c>
      <c r="F80">
        <v>0</v>
      </c>
      <c r="G80">
        <v>2020</v>
      </c>
      <c r="H80">
        <v>36.115200000000002</v>
      </c>
      <c r="I80" t="s">
        <v>34</v>
      </c>
      <c r="J80" t="s">
        <v>19</v>
      </c>
      <c r="K80">
        <v>2533.890977</v>
      </c>
      <c r="L80">
        <v>36.115172999999999</v>
      </c>
      <c r="M80" s="1">
        <v>45740</v>
      </c>
      <c r="N80" t="s">
        <v>27</v>
      </c>
      <c r="O80" t="s">
        <v>21</v>
      </c>
      <c r="P80">
        <v>1</v>
      </c>
      <c r="Q80">
        <v>36.115172999999999</v>
      </c>
    </row>
    <row r="81" spans="1:17" x14ac:dyDescent="0.3">
      <c r="A81">
        <v>79</v>
      </c>
      <c r="B81" t="s">
        <v>16</v>
      </c>
      <c r="C81">
        <v>48</v>
      </c>
      <c r="D81">
        <v>0</v>
      </c>
      <c r="E81" t="s">
        <v>25</v>
      </c>
      <c r="F81">
        <v>0</v>
      </c>
      <c r="G81">
        <v>2020</v>
      </c>
      <c r="H81">
        <v>0.51960499999999998</v>
      </c>
      <c r="I81" t="s">
        <v>28</v>
      </c>
      <c r="J81" t="s">
        <v>19</v>
      </c>
      <c r="K81">
        <v>443.05878000000001</v>
      </c>
      <c r="L81">
        <v>0.51960499999999998</v>
      </c>
      <c r="M81" s="1">
        <v>45740</v>
      </c>
      <c r="N81" t="s">
        <v>27</v>
      </c>
      <c r="O81" t="s">
        <v>21</v>
      </c>
      <c r="P81">
        <v>1</v>
      </c>
      <c r="Q81">
        <v>0.51960499999999998</v>
      </c>
    </row>
    <row r="82" spans="1:17" x14ac:dyDescent="0.3">
      <c r="A82">
        <v>80</v>
      </c>
      <c r="B82" t="s">
        <v>16</v>
      </c>
      <c r="C82">
        <v>0</v>
      </c>
      <c r="D82">
        <v>0</v>
      </c>
      <c r="E82" t="s">
        <v>25</v>
      </c>
      <c r="F82">
        <v>0</v>
      </c>
      <c r="G82">
        <v>2017</v>
      </c>
      <c r="H82">
        <v>0.84735300000000002</v>
      </c>
      <c r="I82" t="s">
        <v>28</v>
      </c>
      <c r="J82" t="s">
        <v>19</v>
      </c>
      <c r="K82">
        <v>372.621621</v>
      </c>
      <c r="L82">
        <v>0.84735300000000002</v>
      </c>
      <c r="M82" s="1">
        <v>45740</v>
      </c>
      <c r="N82" t="s">
        <v>27</v>
      </c>
      <c r="O82" t="s">
        <v>21</v>
      </c>
      <c r="P82">
        <v>1</v>
      </c>
      <c r="Q82">
        <v>0.84735300000000002</v>
      </c>
    </row>
    <row r="83" spans="1:17" x14ac:dyDescent="0.3">
      <c r="A83">
        <v>81</v>
      </c>
      <c r="B83" t="s">
        <v>16</v>
      </c>
      <c r="C83">
        <v>0</v>
      </c>
      <c r="D83">
        <v>0</v>
      </c>
      <c r="E83" t="s">
        <v>25</v>
      </c>
      <c r="F83">
        <v>0</v>
      </c>
      <c r="G83">
        <v>2020</v>
      </c>
      <c r="H83">
        <v>3.8635999999999997E-2</v>
      </c>
      <c r="I83" t="s">
        <v>36</v>
      </c>
      <c r="J83" t="s">
        <v>19</v>
      </c>
      <c r="K83">
        <v>97.641170000000002</v>
      </c>
      <c r="L83">
        <v>3.8635999999999997E-2</v>
      </c>
      <c r="M83" s="1">
        <v>45740</v>
      </c>
      <c r="N83" t="s">
        <v>27</v>
      </c>
      <c r="O83" t="s">
        <v>21</v>
      </c>
      <c r="P83">
        <v>1</v>
      </c>
      <c r="Q83">
        <v>3.8635999999999997E-2</v>
      </c>
    </row>
    <row r="84" spans="1:17" x14ac:dyDescent="0.3">
      <c r="A84">
        <v>82</v>
      </c>
      <c r="B84" t="s">
        <v>16</v>
      </c>
      <c r="C84">
        <v>35</v>
      </c>
      <c r="D84">
        <v>0</v>
      </c>
      <c r="E84" t="s">
        <v>25</v>
      </c>
      <c r="F84">
        <v>0</v>
      </c>
      <c r="G84">
        <v>2019</v>
      </c>
      <c r="H84">
        <v>0.89909499999999998</v>
      </c>
      <c r="I84" t="s">
        <v>28</v>
      </c>
      <c r="J84" t="s">
        <v>19</v>
      </c>
      <c r="K84">
        <v>473.41900500000003</v>
      </c>
      <c r="L84">
        <v>0.89909499999999998</v>
      </c>
      <c r="M84" s="1">
        <v>45740</v>
      </c>
      <c r="N84" t="s">
        <v>27</v>
      </c>
      <c r="O84" t="s">
        <v>21</v>
      </c>
      <c r="P84">
        <v>1</v>
      </c>
      <c r="Q84">
        <v>0.89909499999999998</v>
      </c>
    </row>
    <row r="85" spans="1:17" x14ac:dyDescent="0.3">
      <c r="A85">
        <v>83</v>
      </c>
      <c r="B85" t="s">
        <v>16</v>
      </c>
      <c r="C85">
        <v>0</v>
      </c>
      <c r="D85">
        <v>0</v>
      </c>
      <c r="E85" t="s">
        <v>25</v>
      </c>
      <c r="F85">
        <v>0</v>
      </c>
      <c r="G85">
        <v>2020</v>
      </c>
      <c r="H85">
        <v>7.9880899999999997</v>
      </c>
      <c r="I85" t="s">
        <v>28</v>
      </c>
      <c r="J85" t="s">
        <v>19</v>
      </c>
      <c r="K85">
        <v>1291.739098</v>
      </c>
      <c r="L85">
        <v>7.9880890000000004</v>
      </c>
      <c r="M85" s="1">
        <v>45740</v>
      </c>
      <c r="N85" t="s">
        <v>27</v>
      </c>
      <c r="O85" t="s">
        <v>21</v>
      </c>
      <c r="P85">
        <v>1</v>
      </c>
      <c r="Q85">
        <v>7.9880890000000004</v>
      </c>
    </row>
    <row r="86" spans="1:17" x14ac:dyDescent="0.3">
      <c r="A86">
        <v>84</v>
      </c>
      <c r="B86" t="s">
        <v>16</v>
      </c>
      <c r="C86">
        <v>0</v>
      </c>
      <c r="D86">
        <v>0</v>
      </c>
      <c r="E86" t="s">
        <v>17</v>
      </c>
      <c r="F86">
        <v>0</v>
      </c>
      <c r="G86" t="s">
        <v>23</v>
      </c>
      <c r="H86">
        <v>0.95125000000000004</v>
      </c>
      <c r="I86" t="s">
        <v>32</v>
      </c>
      <c r="J86" t="s">
        <v>19</v>
      </c>
      <c r="K86">
        <v>514.61879199999998</v>
      </c>
      <c r="L86">
        <v>0.95125000000000004</v>
      </c>
      <c r="M86" s="1">
        <v>45740</v>
      </c>
      <c r="N86" t="s">
        <v>27</v>
      </c>
      <c r="O86" t="s">
        <v>21</v>
      </c>
      <c r="P86">
        <v>1</v>
      </c>
      <c r="Q86">
        <v>0.95125000000000004</v>
      </c>
    </row>
    <row r="87" spans="1:17" x14ac:dyDescent="0.3">
      <c r="A87">
        <v>85</v>
      </c>
      <c r="B87" t="s">
        <v>16</v>
      </c>
      <c r="C87">
        <v>0</v>
      </c>
      <c r="D87">
        <v>0</v>
      </c>
      <c r="E87" t="s">
        <v>17</v>
      </c>
      <c r="F87">
        <v>0</v>
      </c>
      <c r="G87">
        <v>2017</v>
      </c>
      <c r="H87">
        <v>0.29969600000000002</v>
      </c>
      <c r="I87" t="s">
        <v>32</v>
      </c>
      <c r="J87" t="s">
        <v>19</v>
      </c>
      <c r="K87">
        <v>283.008848</v>
      </c>
      <c r="L87">
        <v>0.29969600000000002</v>
      </c>
      <c r="M87" s="1">
        <v>45740</v>
      </c>
      <c r="N87" t="s">
        <v>27</v>
      </c>
      <c r="O87" t="s">
        <v>21</v>
      </c>
      <c r="P87">
        <v>1</v>
      </c>
      <c r="Q87">
        <v>0.29969600000000002</v>
      </c>
    </row>
    <row r="88" spans="1:17" x14ac:dyDescent="0.3">
      <c r="A88">
        <v>86</v>
      </c>
      <c r="B88" t="s">
        <v>16</v>
      </c>
      <c r="C88">
        <v>0</v>
      </c>
      <c r="D88">
        <v>0</v>
      </c>
      <c r="E88" t="s">
        <v>17</v>
      </c>
      <c r="F88">
        <v>0</v>
      </c>
      <c r="G88" t="s">
        <v>23</v>
      </c>
      <c r="H88">
        <v>0.68407799999999996</v>
      </c>
      <c r="I88" t="s">
        <v>32</v>
      </c>
      <c r="J88" t="s">
        <v>19</v>
      </c>
      <c r="K88">
        <v>505.44561199999998</v>
      </c>
      <c r="L88">
        <v>0.68407799999999996</v>
      </c>
      <c r="M88" s="1">
        <v>45740</v>
      </c>
      <c r="N88" t="s">
        <v>20</v>
      </c>
      <c r="O88" t="s">
        <v>21</v>
      </c>
      <c r="P88">
        <v>1</v>
      </c>
      <c r="Q88">
        <v>0.68407799999999996</v>
      </c>
    </row>
    <row r="89" spans="1:17" x14ac:dyDescent="0.3">
      <c r="A89">
        <v>87</v>
      </c>
      <c r="B89" t="s">
        <v>16</v>
      </c>
      <c r="C89">
        <v>0</v>
      </c>
      <c r="D89">
        <v>0</v>
      </c>
      <c r="E89" t="s">
        <v>25</v>
      </c>
      <c r="F89">
        <v>0</v>
      </c>
      <c r="G89">
        <v>2023</v>
      </c>
      <c r="H89">
        <v>0.70251399999999997</v>
      </c>
      <c r="I89" t="s">
        <v>31</v>
      </c>
      <c r="J89" t="s">
        <v>19</v>
      </c>
      <c r="K89">
        <v>716.29841199999998</v>
      </c>
      <c r="L89">
        <v>0.70251399999999997</v>
      </c>
      <c r="M89" s="1">
        <v>45740</v>
      </c>
      <c r="N89" t="s">
        <v>27</v>
      </c>
      <c r="O89" t="s">
        <v>21</v>
      </c>
      <c r="P89">
        <v>1</v>
      </c>
      <c r="Q89">
        <v>0.70251399999999997</v>
      </c>
    </row>
    <row r="90" spans="1:17" x14ac:dyDescent="0.3">
      <c r="A90">
        <v>88</v>
      </c>
      <c r="B90" t="s">
        <v>16</v>
      </c>
      <c r="C90">
        <v>0</v>
      </c>
      <c r="D90">
        <v>0</v>
      </c>
      <c r="E90" t="s">
        <v>25</v>
      </c>
      <c r="F90">
        <v>0</v>
      </c>
      <c r="G90">
        <v>2023</v>
      </c>
      <c r="H90">
        <v>0.820855</v>
      </c>
      <c r="I90" t="s">
        <v>31</v>
      </c>
      <c r="J90" t="s">
        <v>19</v>
      </c>
      <c r="K90">
        <v>540.021435</v>
      </c>
      <c r="L90">
        <v>0.820855</v>
      </c>
      <c r="M90" s="1">
        <v>45740</v>
      </c>
      <c r="N90" t="s">
        <v>27</v>
      </c>
      <c r="O90" t="s">
        <v>21</v>
      </c>
      <c r="P90">
        <v>1</v>
      </c>
      <c r="Q90">
        <v>0.820855</v>
      </c>
    </row>
    <row r="91" spans="1:17" x14ac:dyDescent="0.3">
      <c r="A91">
        <v>89</v>
      </c>
      <c r="B91" t="s">
        <v>16</v>
      </c>
      <c r="C91">
        <v>1</v>
      </c>
      <c r="D91">
        <v>0</v>
      </c>
      <c r="E91" t="s">
        <v>25</v>
      </c>
      <c r="F91">
        <v>0</v>
      </c>
      <c r="G91">
        <v>2024</v>
      </c>
      <c r="H91">
        <v>15.791600000000001</v>
      </c>
      <c r="I91" t="s">
        <v>18</v>
      </c>
      <c r="J91" t="s">
        <v>19</v>
      </c>
      <c r="K91">
        <v>2217.0775629999998</v>
      </c>
      <c r="L91">
        <v>15.791553</v>
      </c>
      <c r="M91" s="1">
        <v>45740</v>
      </c>
      <c r="N91" t="s">
        <v>20</v>
      </c>
      <c r="O91" t="s">
        <v>21</v>
      </c>
      <c r="P91">
        <v>1</v>
      </c>
      <c r="Q91">
        <v>15.791553</v>
      </c>
    </row>
    <row r="92" spans="1:17" x14ac:dyDescent="0.3">
      <c r="A92">
        <v>90</v>
      </c>
      <c r="B92" t="s">
        <v>16</v>
      </c>
      <c r="C92">
        <v>0</v>
      </c>
      <c r="D92">
        <v>0</v>
      </c>
      <c r="E92" t="s">
        <v>25</v>
      </c>
      <c r="F92">
        <v>0</v>
      </c>
      <c r="G92" t="s">
        <v>37</v>
      </c>
      <c r="H92">
        <v>0.68329799999999996</v>
      </c>
      <c r="I92" t="s">
        <v>18</v>
      </c>
      <c r="J92" t="s">
        <v>37</v>
      </c>
      <c r="K92">
        <v>421.56336700000003</v>
      </c>
      <c r="L92">
        <v>0.68329799999999996</v>
      </c>
      <c r="M92" s="1">
        <v>45740</v>
      </c>
      <c r="N92" t="s">
        <v>20</v>
      </c>
      <c r="O92" t="s">
        <v>21</v>
      </c>
      <c r="P92">
        <v>1</v>
      </c>
      <c r="Q92">
        <v>0.68329799999999996</v>
      </c>
    </row>
    <row r="93" spans="1:17" x14ac:dyDescent="0.3">
      <c r="A93">
        <v>91</v>
      </c>
      <c r="B93" t="s">
        <v>16</v>
      </c>
      <c r="C93">
        <v>0</v>
      </c>
      <c r="D93">
        <v>0</v>
      </c>
      <c r="E93" t="s">
        <v>25</v>
      </c>
      <c r="F93">
        <v>0</v>
      </c>
      <c r="G93" t="s">
        <v>37</v>
      </c>
      <c r="H93">
        <v>3.0613899999999998</v>
      </c>
      <c r="I93" t="s">
        <v>18</v>
      </c>
      <c r="J93" t="s">
        <v>37</v>
      </c>
      <c r="K93">
        <v>1144.374922</v>
      </c>
      <c r="L93">
        <v>3.0613869999999999</v>
      </c>
      <c r="M93" s="1">
        <v>45740</v>
      </c>
      <c r="N93" t="s">
        <v>20</v>
      </c>
      <c r="O93" t="s">
        <v>21</v>
      </c>
      <c r="P93">
        <v>1</v>
      </c>
      <c r="Q93">
        <v>3.0613869999999999</v>
      </c>
    </row>
    <row r="94" spans="1:17" x14ac:dyDescent="0.3">
      <c r="A94">
        <v>92</v>
      </c>
      <c r="B94" t="s">
        <v>16</v>
      </c>
      <c r="C94">
        <v>0</v>
      </c>
      <c r="D94">
        <v>0</v>
      </c>
      <c r="E94" t="s">
        <v>25</v>
      </c>
      <c r="F94">
        <v>0</v>
      </c>
      <c r="G94" t="s">
        <v>37</v>
      </c>
      <c r="H94">
        <v>1.04512</v>
      </c>
      <c r="I94" t="s">
        <v>18</v>
      </c>
      <c r="J94" t="s">
        <v>37</v>
      </c>
      <c r="K94">
        <v>560.52313500000002</v>
      </c>
      <c r="L94">
        <v>1.0451159999999999</v>
      </c>
      <c r="M94" s="1">
        <v>45740</v>
      </c>
      <c r="N94" t="s">
        <v>20</v>
      </c>
      <c r="O94" t="s">
        <v>21</v>
      </c>
      <c r="P94">
        <v>1</v>
      </c>
      <c r="Q94">
        <v>1.0451159999999999</v>
      </c>
    </row>
    <row r="95" spans="1:17" x14ac:dyDescent="0.3">
      <c r="A95">
        <v>93</v>
      </c>
      <c r="B95" t="s">
        <v>16</v>
      </c>
      <c r="C95">
        <v>0</v>
      </c>
      <c r="D95">
        <v>0</v>
      </c>
      <c r="E95" t="s">
        <v>25</v>
      </c>
      <c r="F95">
        <v>0</v>
      </c>
      <c r="G95" t="s">
        <v>37</v>
      </c>
      <c r="H95">
        <v>0.60267099999999996</v>
      </c>
      <c r="I95" t="s">
        <v>18</v>
      </c>
      <c r="J95" t="s">
        <v>37</v>
      </c>
      <c r="K95">
        <v>379.48840799999999</v>
      </c>
      <c r="L95">
        <v>0.60267099999999996</v>
      </c>
      <c r="M95" s="1">
        <v>45740</v>
      </c>
      <c r="N95" t="s">
        <v>20</v>
      </c>
      <c r="O95" t="s">
        <v>21</v>
      </c>
      <c r="P95">
        <v>1</v>
      </c>
      <c r="Q95">
        <v>0.60267099999999996</v>
      </c>
    </row>
    <row r="96" spans="1:17" x14ac:dyDescent="0.3">
      <c r="A96">
        <v>94</v>
      </c>
      <c r="B96" t="s">
        <v>16</v>
      </c>
      <c r="C96">
        <v>5</v>
      </c>
      <c r="D96">
        <v>0</v>
      </c>
      <c r="E96" t="s">
        <v>25</v>
      </c>
      <c r="F96">
        <v>0</v>
      </c>
      <c r="G96">
        <v>2024</v>
      </c>
      <c r="H96">
        <v>4.6673400000000003</v>
      </c>
      <c r="I96" t="s">
        <v>18</v>
      </c>
      <c r="J96" t="s">
        <v>38</v>
      </c>
      <c r="K96">
        <v>1303.5484060000001</v>
      </c>
      <c r="L96">
        <v>4.6673419999999997</v>
      </c>
      <c r="M96" s="1">
        <v>45740</v>
      </c>
      <c r="N96" t="s">
        <v>20</v>
      </c>
      <c r="O96" t="s">
        <v>21</v>
      </c>
      <c r="P96">
        <v>1</v>
      </c>
      <c r="Q96">
        <v>4.6673419999999997</v>
      </c>
    </row>
    <row r="97" spans="1:17" x14ac:dyDescent="0.3">
      <c r="A97">
        <v>95</v>
      </c>
      <c r="B97" t="s">
        <v>16</v>
      </c>
      <c r="C97">
        <v>7</v>
      </c>
      <c r="D97">
        <v>0</v>
      </c>
      <c r="E97" t="s">
        <v>25</v>
      </c>
      <c r="F97">
        <v>0</v>
      </c>
      <c r="G97">
        <v>2024</v>
      </c>
      <c r="H97">
        <v>2.1327699999999998</v>
      </c>
      <c r="I97" t="s">
        <v>18</v>
      </c>
      <c r="J97" t="s">
        <v>38</v>
      </c>
      <c r="K97">
        <v>797.56355499999995</v>
      </c>
      <c r="L97">
        <v>2.132765</v>
      </c>
      <c r="M97" s="1">
        <v>45740</v>
      </c>
      <c r="N97" t="s">
        <v>20</v>
      </c>
      <c r="O97" t="s">
        <v>21</v>
      </c>
      <c r="P97">
        <v>1</v>
      </c>
      <c r="Q97">
        <v>2.132765</v>
      </c>
    </row>
    <row r="98" spans="1:17" x14ac:dyDescent="0.3">
      <c r="A98">
        <v>96</v>
      </c>
      <c r="B98" t="s">
        <v>16</v>
      </c>
      <c r="C98">
        <v>8</v>
      </c>
      <c r="D98">
        <v>0</v>
      </c>
      <c r="E98" t="s">
        <v>25</v>
      </c>
      <c r="F98">
        <v>0</v>
      </c>
      <c r="G98">
        <v>2024</v>
      </c>
      <c r="H98">
        <v>1.2636499999999999</v>
      </c>
      <c r="I98" t="s">
        <v>18</v>
      </c>
      <c r="J98" t="s">
        <v>19</v>
      </c>
      <c r="K98">
        <v>658.72732399999995</v>
      </c>
      <c r="L98">
        <v>1.2636449999999999</v>
      </c>
      <c r="M98" s="1">
        <v>45740</v>
      </c>
      <c r="N98" t="s">
        <v>20</v>
      </c>
      <c r="O98" t="s">
        <v>21</v>
      </c>
      <c r="P98">
        <v>1</v>
      </c>
      <c r="Q98">
        <v>1.2636449999999999</v>
      </c>
    </row>
    <row r="99" spans="1:17" x14ac:dyDescent="0.3">
      <c r="A99">
        <v>97</v>
      </c>
      <c r="B99" t="s">
        <v>16</v>
      </c>
      <c r="C99">
        <v>9</v>
      </c>
      <c r="D99">
        <v>0</v>
      </c>
      <c r="E99" t="s">
        <v>25</v>
      </c>
      <c r="F99">
        <v>0</v>
      </c>
      <c r="G99">
        <v>2024</v>
      </c>
      <c r="H99">
        <v>12.7958</v>
      </c>
      <c r="I99" t="s">
        <v>18</v>
      </c>
      <c r="J99" t="s">
        <v>19</v>
      </c>
      <c r="K99">
        <v>1865.6979610000001</v>
      </c>
      <c r="L99">
        <v>12.7958</v>
      </c>
      <c r="M99" s="1">
        <v>45740</v>
      </c>
      <c r="N99" t="s">
        <v>20</v>
      </c>
      <c r="O99" t="s">
        <v>21</v>
      </c>
      <c r="P99">
        <v>1</v>
      </c>
      <c r="Q99">
        <v>12.7958</v>
      </c>
    </row>
    <row r="100" spans="1:17" x14ac:dyDescent="0.3">
      <c r="A100">
        <v>98</v>
      </c>
      <c r="B100" t="s">
        <v>16</v>
      </c>
      <c r="C100">
        <v>0</v>
      </c>
      <c r="D100">
        <v>0</v>
      </c>
      <c r="E100" t="s">
        <v>25</v>
      </c>
      <c r="F100">
        <v>0</v>
      </c>
      <c r="G100">
        <v>2024</v>
      </c>
      <c r="H100">
        <v>5.8395400000000004</v>
      </c>
      <c r="I100" t="s">
        <v>18</v>
      </c>
      <c r="J100" t="s">
        <v>19</v>
      </c>
      <c r="K100">
        <v>1280.050782</v>
      </c>
      <c r="L100">
        <v>5.8395400000000004</v>
      </c>
      <c r="M100" s="1">
        <v>45740</v>
      </c>
      <c r="N100" t="s">
        <v>20</v>
      </c>
      <c r="O100" t="s">
        <v>21</v>
      </c>
      <c r="P100">
        <v>1</v>
      </c>
      <c r="Q100">
        <v>5.8395400000000004</v>
      </c>
    </row>
    <row r="101" spans="1:17" x14ac:dyDescent="0.3">
      <c r="A101">
        <v>99</v>
      </c>
      <c r="B101" t="s">
        <v>16</v>
      </c>
      <c r="C101">
        <v>6</v>
      </c>
      <c r="D101">
        <v>0</v>
      </c>
      <c r="E101" t="s">
        <v>25</v>
      </c>
      <c r="F101">
        <v>0</v>
      </c>
      <c r="G101">
        <v>2024</v>
      </c>
      <c r="H101">
        <v>2.32375</v>
      </c>
      <c r="I101" t="s">
        <v>18</v>
      </c>
      <c r="J101" t="s">
        <v>38</v>
      </c>
      <c r="K101">
        <v>916.448261</v>
      </c>
      <c r="L101">
        <v>2.3237549999999998</v>
      </c>
      <c r="M101" s="1">
        <v>45740</v>
      </c>
      <c r="N101" t="s">
        <v>20</v>
      </c>
      <c r="O101" t="s">
        <v>21</v>
      </c>
      <c r="P101">
        <v>1</v>
      </c>
      <c r="Q101">
        <v>2.3237549999999998</v>
      </c>
    </row>
    <row r="102" spans="1:17" x14ac:dyDescent="0.3">
      <c r="A102">
        <v>100</v>
      </c>
      <c r="B102" t="s">
        <v>16</v>
      </c>
      <c r="C102">
        <v>0</v>
      </c>
      <c r="D102">
        <v>0</v>
      </c>
      <c r="E102" t="s">
        <v>25</v>
      </c>
      <c r="F102">
        <v>0</v>
      </c>
      <c r="G102">
        <v>2024</v>
      </c>
      <c r="H102">
        <v>2.8582200000000002</v>
      </c>
      <c r="I102" t="s">
        <v>18</v>
      </c>
      <c r="J102" t="s">
        <v>39</v>
      </c>
      <c r="K102">
        <v>1021.967048</v>
      </c>
      <c r="L102">
        <v>2.8582190000000001</v>
      </c>
      <c r="M102" s="1">
        <v>45740</v>
      </c>
      <c r="N102" t="s">
        <v>20</v>
      </c>
      <c r="O102" t="s">
        <v>21</v>
      </c>
      <c r="P102">
        <v>1</v>
      </c>
      <c r="Q102">
        <v>2.8582190000000001</v>
      </c>
    </row>
    <row r="103" spans="1:17" x14ac:dyDescent="0.3">
      <c r="A103">
        <v>101</v>
      </c>
      <c r="B103" t="s">
        <v>16</v>
      </c>
      <c r="C103">
        <v>0</v>
      </c>
      <c r="D103">
        <v>0</v>
      </c>
      <c r="E103" t="s">
        <v>25</v>
      </c>
      <c r="F103">
        <v>0</v>
      </c>
      <c r="G103" t="s">
        <v>37</v>
      </c>
      <c r="H103">
        <v>0.298647</v>
      </c>
      <c r="I103" t="s">
        <v>18</v>
      </c>
      <c r="J103" t="s">
        <v>37</v>
      </c>
      <c r="K103">
        <v>273.75606099999999</v>
      </c>
      <c r="L103">
        <v>0.298647</v>
      </c>
      <c r="M103" s="1">
        <v>45740</v>
      </c>
      <c r="N103" t="s">
        <v>20</v>
      </c>
      <c r="O103" t="s">
        <v>21</v>
      </c>
      <c r="P103">
        <v>1</v>
      </c>
      <c r="Q103">
        <v>0.298647</v>
      </c>
    </row>
    <row r="104" spans="1:17" x14ac:dyDescent="0.3">
      <c r="A104">
        <v>102</v>
      </c>
      <c r="B104" t="s">
        <v>16</v>
      </c>
      <c r="C104">
        <v>0</v>
      </c>
      <c r="D104">
        <v>0</v>
      </c>
      <c r="E104" t="s">
        <v>25</v>
      </c>
      <c r="F104">
        <v>0</v>
      </c>
      <c r="G104">
        <v>2024</v>
      </c>
      <c r="H104">
        <v>2.0824400000000001</v>
      </c>
      <c r="I104" t="s">
        <v>40</v>
      </c>
      <c r="J104" t="s">
        <v>39</v>
      </c>
      <c r="K104">
        <v>792.13541899999996</v>
      </c>
      <c r="L104">
        <v>2.0824400000000001</v>
      </c>
      <c r="M104" s="1">
        <v>45740</v>
      </c>
      <c r="N104" t="s">
        <v>27</v>
      </c>
      <c r="O104" t="s">
        <v>21</v>
      </c>
      <c r="P104">
        <v>1</v>
      </c>
      <c r="Q104">
        <v>2.0824400000000001</v>
      </c>
    </row>
    <row r="105" spans="1:17" x14ac:dyDescent="0.3">
      <c r="A105">
        <v>103</v>
      </c>
      <c r="B105" t="s">
        <v>16</v>
      </c>
      <c r="C105">
        <v>1</v>
      </c>
      <c r="D105">
        <v>0</v>
      </c>
      <c r="E105" t="s">
        <v>25</v>
      </c>
      <c r="F105">
        <v>0</v>
      </c>
      <c r="G105">
        <v>2024</v>
      </c>
      <c r="H105">
        <v>3.37432</v>
      </c>
      <c r="I105" t="s">
        <v>18</v>
      </c>
      <c r="J105" t="s">
        <v>19</v>
      </c>
      <c r="K105">
        <v>1503.8608839999999</v>
      </c>
      <c r="L105">
        <v>3.3743219999999998</v>
      </c>
      <c r="M105" s="1">
        <v>45740</v>
      </c>
      <c r="N105" t="s">
        <v>20</v>
      </c>
      <c r="O105" t="s">
        <v>21</v>
      </c>
      <c r="P105">
        <v>1</v>
      </c>
      <c r="Q105">
        <v>3.3743219999999998</v>
      </c>
    </row>
    <row r="106" spans="1:17" x14ac:dyDescent="0.3">
      <c r="A106">
        <v>104</v>
      </c>
      <c r="B106" t="s">
        <v>16</v>
      </c>
      <c r="C106">
        <v>1</v>
      </c>
      <c r="D106">
        <v>0</v>
      </c>
      <c r="E106" t="s">
        <v>25</v>
      </c>
      <c r="F106">
        <v>0</v>
      </c>
      <c r="G106">
        <v>2024</v>
      </c>
      <c r="H106">
        <v>9.3359999999999999E-2</v>
      </c>
      <c r="I106" t="s">
        <v>18</v>
      </c>
      <c r="J106" t="s">
        <v>19</v>
      </c>
      <c r="K106">
        <v>156.447598</v>
      </c>
      <c r="L106">
        <v>9.3359999999999999E-2</v>
      </c>
      <c r="M106" s="1">
        <v>45740</v>
      </c>
      <c r="N106" t="s">
        <v>20</v>
      </c>
      <c r="O106" t="s">
        <v>21</v>
      </c>
      <c r="P106">
        <v>1</v>
      </c>
      <c r="Q106">
        <v>9.3359999999999999E-2</v>
      </c>
    </row>
    <row r="107" spans="1:17" x14ac:dyDescent="0.3">
      <c r="A107">
        <v>105</v>
      </c>
      <c r="B107" t="s">
        <v>16</v>
      </c>
      <c r="C107">
        <v>1</v>
      </c>
      <c r="D107">
        <v>0</v>
      </c>
      <c r="E107" t="s">
        <v>25</v>
      </c>
      <c r="F107">
        <v>0</v>
      </c>
      <c r="G107">
        <v>2024</v>
      </c>
      <c r="H107">
        <v>9.8725999999999994E-2</v>
      </c>
      <c r="I107" t="s">
        <v>18</v>
      </c>
      <c r="J107" t="s">
        <v>19</v>
      </c>
      <c r="K107">
        <v>171.58114699999999</v>
      </c>
      <c r="L107">
        <v>9.8725999999999994E-2</v>
      </c>
      <c r="M107" s="1">
        <v>45740</v>
      </c>
      <c r="N107" t="s">
        <v>20</v>
      </c>
      <c r="O107" t="s">
        <v>21</v>
      </c>
      <c r="P107">
        <v>1</v>
      </c>
      <c r="Q107">
        <v>9.8725999999999994E-2</v>
      </c>
    </row>
    <row r="108" spans="1:17" x14ac:dyDescent="0.3">
      <c r="A108">
        <v>106</v>
      </c>
      <c r="B108" t="s">
        <v>16</v>
      </c>
      <c r="C108">
        <v>1</v>
      </c>
      <c r="D108">
        <v>0</v>
      </c>
      <c r="E108" t="s">
        <v>25</v>
      </c>
      <c r="F108">
        <v>0</v>
      </c>
      <c r="G108">
        <v>2024</v>
      </c>
      <c r="H108">
        <v>0.20752799999999999</v>
      </c>
      <c r="I108" t="s">
        <v>18</v>
      </c>
      <c r="J108" t="s">
        <v>19</v>
      </c>
      <c r="K108">
        <v>218.88473099999999</v>
      </c>
      <c r="L108">
        <v>0.191353</v>
      </c>
      <c r="M108" s="1">
        <v>45740</v>
      </c>
      <c r="N108" t="s">
        <v>20</v>
      </c>
      <c r="O108" t="s">
        <v>21</v>
      </c>
      <c r="P108">
        <v>1</v>
      </c>
      <c r="Q108">
        <v>0.20752799999999999</v>
      </c>
    </row>
    <row r="109" spans="1:17" x14ac:dyDescent="0.3">
      <c r="A109">
        <v>107</v>
      </c>
      <c r="B109" t="s">
        <v>16</v>
      </c>
      <c r="C109">
        <v>1</v>
      </c>
      <c r="D109">
        <v>0</v>
      </c>
      <c r="E109" t="s">
        <v>25</v>
      </c>
      <c r="F109">
        <v>0</v>
      </c>
      <c r="G109">
        <v>2024</v>
      </c>
      <c r="H109">
        <v>3.323</v>
      </c>
      <c r="I109" t="s">
        <v>18</v>
      </c>
      <c r="J109" t="s">
        <v>19</v>
      </c>
      <c r="K109">
        <v>1522.3887119999999</v>
      </c>
      <c r="L109">
        <v>3.3230050000000002</v>
      </c>
      <c r="M109" s="1">
        <v>45740</v>
      </c>
      <c r="N109" t="s">
        <v>20</v>
      </c>
      <c r="O109" t="s">
        <v>21</v>
      </c>
      <c r="P109">
        <v>1</v>
      </c>
      <c r="Q109">
        <v>3.3230050000000002</v>
      </c>
    </row>
    <row r="110" spans="1:17" x14ac:dyDescent="0.3">
      <c r="A110">
        <v>108</v>
      </c>
      <c r="B110" t="s">
        <v>16</v>
      </c>
      <c r="C110">
        <v>0</v>
      </c>
      <c r="D110">
        <v>0</v>
      </c>
      <c r="E110" t="s">
        <v>25</v>
      </c>
      <c r="F110">
        <v>0</v>
      </c>
      <c r="G110">
        <v>2025</v>
      </c>
      <c r="H110">
        <v>2.1247799999999999</v>
      </c>
      <c r="I110" t="s">
        <v>18</v>
      </c>
      <c r="J110" t="s">
        <v>37</v>
      </c>
      <c r="K110">
        <v>793.16351099999997</v>
      </c>
      <c r="L110">
        <v>2.124784</v>
      </c>
      <c r="M110" s="2">
        <v>0</v>
      </c>
      <c r="N110" t="s">
        <v>20</v>
      </c>
      <c r="O110" t="s">
        <v>14</v>
      </c>
      <c r="P110">
        <v>1</v>
      </c>
      <c r="Q110">
        <v>2.124784</v>
      </c>
    </row>
    <row r="111" spans="1:17" x14ac:dyDescent="0.3">
      <c r="A111">
        <v>111</v>
      </c>
      <c r="B111" t="s">
        <v>16</v>
      </c>
      <c r="C111">
        <v>0</v>
      </c>
      <c r="D111">
        <v>0</v>
      </c>
      <c r="E111" t="s">
        <v>25</v>
      </c>
      <c r="F111">
        <v>0</v>
      </c>
      <c r="G111">
        <v>2023</v>
      </c>
      <c r="H111">
        <v>4.0270999999999999</v>
      </c>
      <c r="I111" t="s">
        <v>30</v>
      </c>
      <c r="J111" t="s">
        <v>19</v>
      </c>
      <c r="K111">
        <v>1007.548679</v>
      </c>
      <c r="L111">
        <v>4.0270999999999999</v>
      </c>
      <c r="M111" s="1">
        <v>45740</v>
      </c>
      <c r="N111" t="s">
        <v>27</v>
      </c>
      <c r="O111" t="s">
        <v>21</v>
      </c>
      <c r="P111">
        <v>1</v>
      </c>
      <c r="Q111">
        <v>4.0270999999999999</v>
      </c>
    </row>
    <row r="112" spans="1:17" x14ac:dyDescent="0.3">
      <c r="A112">
        <v>112</v>
      </c>
      <c r="B112" t="s">
        <v>16</v>
      </c>
      <c r="C112">
        <v>0</v>
      </c>
      <c r="D112">
        <v>0</v>
      </c>
      <c r="E112" t="s">
        <v>17</v>
      </c>
      <c r="F112">
        <v>0</v>
      </c>
      <c r="G112">
        <v>2023</v>
      </c>
      <c r="H112">
        <v>0.36572500000000002</v>
      </c>
      <c r="I112" t="s">
        <v>30</v>
      </c>
      <c r="J112" t="s">
        <v>19</v>
      </c>
      <c r="K112">
        <v>1021.0083509999999</v>
      </c>
      <c r="L112">
        <v>0.36572500000000002</v>
      </c>
      <c r="M112" s="1">
        <v>45740</v>
      </c>
      <c r="N112" t="s">
        <v>27</v>
      </c>
      <c r="O112" t="s">
        <v>21</v>
      </c>
      <c r="P112">
        <v>1</v>
      </c>
      <c r="Q112">
        <v>0.36572500000000002</v>
      </c>
    </row>
    <row r="113" spans="1:17" x14ac:dyDescent="0.3">
      <c r="A113">
        <v>113</v>
      </c>
      <c r="B113" t="s">
        <v>16</v>
      </c>
      <c r="C113">
        <v>0</v>
      </c>
      <c r="D113">
        <v>0</v>
      </c>
      <c r="E113" t="s">
        <v>25</v>
      </c>
      <c r="F113">
        <v>0</v>
      </c>
      <c r="G113">
        <v>2025</v>
      </c>
      <c r="H113">
        <v>16.610700000000001</v>
      </c>
      <c r="I113" t="s">
        <v>18</v>
      </c>
      <c r="J113" t="s">
        <v>42</v>
      </c>
      <c r="K113">
        <v>3555.1606400000001</v>
      </c>
      <c r="L113">
        <v>16.594856</v>
      </c>
      <c r="M113" s="2">
        <v>0</v>
      </c>
      <c r="N113" t="s">
        <v>20</v>
      </c>
      <c r="O113" t="s">
        <v>21</v>
      </c>
      <c r="P113">
        <v>1</v>
      </c>
      <c r="Q113">
        <v>16.610664</v>
      </c>
    </row>
    <row r="114" spans="1:17" x14ac:dyDescent="0.3">
      <c r="A114">
        <v>114</v>
      </c>
      <c r="B114" t="s">
        <v>16</v>
      </c>
      <c r="C114">
        <v>11</v>
      </c>
      <c r="D114">
        <v>0</v>
      </c>
      <c r="E114" t="s">
        <v>25</v>
      </c>
      <c r="F114">
        <v>0</v>
      </c>
      <c r="G114">
        <v>2024</v>
      </c>
      <c r="H114">
        <v>2.52075</v>
      </c>
      <c r="I114" t="s">
        <v>18</v>
      </c>
      <c r="J114" t="s">
        <v>19</v>
      </c>
      <c r="K114">
        <v>800.89504299999999</v>
      </c>
      <c r="L114">
        <v>2.5207470000000001</v>
      </c>
      <c r="M114" s="1">
        <v>45740</v>
      </c>
      <c r="N114" t="s">
        <v>20</v>
      </c>
      <c r="O114" t="s">
        <v>21</v>
      </c>
      <c r="P114">
        <v>1</v>
      </c>
      <c r="Q114">
        <v>2.5207470000000001</v>
      </c>
    </row>
    <row r="115" spans="1:17" x14ac:dyDescent="0.3">
      <c r="A115">
        <v>115</v>
      </c>
      <c r="B115" t="s">
        <v>16</v>
      </c>
      <c r="C115">
        <v>0</v>
      </c>
      <c r="D115">
        <v>0</v>
      </c>
      <c r="E115" t="s">
        <v>25</v>
      </c>
      <c r="F115">
        <v>0</v>
      </c>
      <c r="G115">
        <v>2025</v>
      </c>
      <c r="H115">
        <v>8.8308499999999999</v>
      </c>
      <c r="I115" t="s">
        <v>41</v>
      </c>
      <c r="J115" t="s">
        <v>42</v>
      </c>
      <c r="K115">
        <v>0</v>
      </c>
      <c r="L115">
        <v>0</v>
      </c>
      <c r="M115" s="2">
        <v>0</v>
      </c>
      <c r="N115" t="s">
        <v>20</v>
      </c>
      <c r="O115" t="s">
        <v>43</v>
      </c>
      <c r="P115" t="s">
        <v>43</v>
      </c>
      <c r="Q115">
        <v>8.8308529999999994</v>
      </c>
    </row>
    <row r="116" spans="1:17" x14ac:dyDescent="0.3">
      <c r="A116">
        <v>116</v>
      </c>
      <c r="B116" t="s">
        <v>16</v>
      </c>
      <c r="C116">
        <v>0</v>
      </c>
      <c r="D116">
        <v>0</v>
      </c>
      <c r="E116" t="s">
        <v>25</v>
      </c>
      <c r="F116">
        <v>0</v>
      </c>
      <c r="G116">
        <v>2025</v>
      </c>
      <c r="H116">
        <v>3.1259000000000001</v>
      </c>
      <c r="I116" t="s">
        <v>41</v>
      </c>
      <c r="J116" t="s">
        <v>37</v>
      </c>
      <c r="K116">
        <v>0</v>
      </c>
      <c r="L116">
        <v>0</v>
      </c>
      <c r="M116" s="2">
        <v>0</v>
      </c>
      <c r="N116" t="s">
        <v>20</v>
      </c>
      <c r="O116" t="s">
        <v>43</v>
      </c>
      <c r="P116" t="s">
        <v>43</v>
      </c>
      <c r="Q116">
        <v>3.1258970000000001</v>
      </c>
    </row>
    <row r="117" spans="1:17" x14ac:dyDescent="0.3">
      <c r="A117">
        <v>117</v>
      </c>
      <c r="B117" t="s">
        <v>16</v>
      </c>
      <c r="C117">
        <v>0</v>
      </c>
      <c r="D117">
        <v>0</v>
      </c>
      <c r="E117" t="s">
        <v>25</v>
      </c>
      <c r="F117">
        <v>0</v>
      </c>
      <c r="G117">
        <v>2025</v>
      </c>
      <c r="H117">
        <v>4.9438500000000003</v>
      </c>
      <c r="I117" t="s">
        <v>41</v>
      </c>
      <c r="J117" t="s">
        <v>37</v>
      </c>
      <c r="K117">
        <v>0</v>
      </c>
      <c r="L117">
        <v>0</v>
      </c>
      <c r="M117" s="2">
        <v>0</v>
      </c>
      <c r="N117" t="s">
        <v>20</v>
      </c>
      <c r="O117" t="s">
        <v>43</v>
      </c>
      <c r="P117" t="s">
        <v>43</v>
      </c>
      <c r="Q117">
        <v>4.9438469999999999</v>
      </c>
    </row>
    <row r="118" spans="1:17" x14ac:dyDescent="0.3">
      <c r="A118">
        <v>118</v>
      </c>
      <c r="B118" t="s">
        <v>16</v>
      </c>
      <c r="C118">
        <v>0</v>
      </c>
      <c r="D118">
        <v>0</v>
      </c>
      <c r="E118" t="s">
        <v>25</v>
      </c>
      <c r="F118">
        <v>0</v>
      </c>
      <c r="G118">
        <v>2025</v>
      </c>
      <c r="H118">
        <v>21.062899999999999</v>
      </c>
      <c r="I118" t="s">
        <v>41</v>
      </c>
      <c r="J118" t="s">
        <v>42</v>
      </c>
      <c r="K118">
        <v>0</v>
      </c>
      <c r="L118">
        <v>0</v>
      </c>
      <c r="M118" s="2">
        <v>0</v>
      </c>
      <c r="N118" t="s">
        <v>20</v>
      </c>
      <c r="O118" t="s">
        <v>43</v>
      </c>
      <c r="P118" t="s">
        <v>43</v>
      </c>
      <c r="Q118">
        <v>21.062868999999999</v>
      </c>
    </row>
    <row r="119" spans="1:17" x14ac:dyDescent="0.3">
      <c r="A119">
        <v>119</v>
      </c>
      <c r="B119" t="s">
        <v>16</v>
      </c>
      <c r="C119">
        <v>0</v>
      </c>
      <c r="D119">
        <v>0</v>
      </c>
      <c r="E119" t="s">
        <v>44</v>
      </c>
      <c r="F119">
        <v>0</v>
      </c>
      <c r="G119">
        <v>2025</v>
      </c>
      <c r="H119">
        <v>3.4568500000000002</v>
      </c>
      <c r="I119" t="s">
        <v>41</v>
      </c>
      <c r="J119" t="s">
        <v>37</v>
      </c>
      <c r="K119">
        <v>0</v>
      </c>
      <c r="L119">
        <v>0</v>
      </c>
      <c r="M119" s="2">
        <v>0</v>
      </c>
      <c r="N119" t="s">
        <v>43</v>
      </c>
      <c r="O119" t="s">
        <v>43</v>
      </c>
      <c r="P119" t="s">
        <v>43</v>
      </c>
      <c r="Q119">
        <v>3.4568530000000002</v>
      </c>
    </row>
    <row r="120" spans="1:17" x14ac:dyDescent="0.3">
      <c r="A120">
        <v>120</v>
      </c>
      <c r="B120" t="s">
        <v>16</v>
      </c>
      <c r="C120">
        <v>0</v>
      </c>
      <c r="D120">
        <v>0</v>
      </c>
      <c r="E120" t="s">
        <v>25</v>
      </c>
      <c r="F120">
        <v>0</v>
      </c>
      <c r="G120">
        <v>2025</v>
      </c>
      <c r="H120">
        <v>4.0537900000000002</v>
      </c>
      <c r="I120" t="s">
        <v>41</v>
      </c>
      <c r="J120" t="s">
        <v>42</v>
      </c>
      <c r="K120">
        <v>0</v>
      </c>
      <c r="L120">
        <v>0</v>
      </c>
      <c r="M120" s="2">
        <v>0</v>
      </c>
      <c r="N120" t="s">
        <v>43</v>
      </c>
      <c r="O120" t="s">
        <v>43</v>
      </c>
      <c r="P120" t="s">
        <v>43</v>
      </c>
      <c r="Q120">
        <v>4.0537929999999998</v>
      </c>
    </row>
    <row r="121" spans="1:17" x14ac:dyDescent="0.3">
      <c r="A121">
        <v>121</v>
      </c>
      <c r="B121" t="s">
        <v>16</v>
      </c>
      <c r="C121">
        <v>0</v>
      </c>
      <c r="D121">
        <v>0</v>
      </c>
      <c r="E121" t="s">
        <v>25</v>
      </c>
      <c r="F121">
        <v>0</v>
      </c>
      <c r="G121">
        <v>2025</v>
      </c>
      <c r="H121">
        <v>0.76315599999999995</v>
      </c>
      <c r="I121" t="s">
        <v>41</v>
      </c>
      <c r="J121" t="s">
        <v>42</v>
      </c>
      <c r="K121">
        <v>0</v>
      </c>
      <c r="L121">
        <v>0</v>
      </c>
      <c r="M121" s="2">
        <v>0</v>
      </c>
      <c r="N121" t="s">
        <v>43</v>
      </c>
      <c r="O121" t="s">
        <v>43</v>
      </c>
      <c r="P121" t="s">
        <v>43</v>
      </c>
      <c r="Q121">
        <v>0.76315599999999995</v>
      </c>
    </row>
    <row r="122" spans="1:17" x14ac:dyDescent="0.3">
      <c r="A122">
        <v>122</v>
      </c>
      <c r="B122" t="s">
        <v>16</v>
      </c>
      <c r="C122">
        <v>0</v>
      </c>
      <c r="D122">
        <v>0</v>
      </c>
      <c r="E122" t="s">
        <v>25</v>
      </c>
      <c r="F122">
        <v>0</v>
      </c>
      <c r="G122">
        <v>2025</v>
      </c>
      <c r="H122">
        <v>0.14188500000000001</v>
      </c>
      <c r="I122" t="s">
        <v>41</v>
      </c>
      <c r="J122" t="s">
        <v>37</v>
      </c>
      <c r="K122">
        <v>0</v>
      </c>
      <c r="L122">
        <v>0</v>
      </c>
      <c r="M122" s="2">
        <v>0</v>
      </c>
      <c r="N122" t="s">
        <v>43</v>
      </c>
      <c r="O122" t="s">
        <v>43</v>
      </c>
      <c r="P122" t="s">
        <v>43</v>
      </c>
      <c r="Q122">
        <v>0.14188500000000001</v>
      </c>
    </row>
    <row r="123" spans="1:17" x14ac:dyDescent="0.3">
      <c r="A123">
        <v>123</v>
      </c>
      <c r="B123" t="s">
        <v>16</v>
      </c>
      <c r="C123">
        <v>0</v>
      </c>
      <c r="D123">
        <v>0</v>
      </c>
      <c r="E123" t="s">
        <v>25</v>
      </c>
      <c r="F123">
        <v>0</v>
      </c>
      <c r="G123">
        <v>2025</v>
      </c>
      <c r="H123">
        <v>0.12472999999999999</v>
      </c>
      <c r="I123" t="s">
        <v>41</v>
      </c>
      <c r="J123" t="s">
        <v>37</v>
      </c>
      <c r="K123">
        <v>0</v>
      </c>
      <c r="L123">
        <v>0</v>
      </c>
      <c r="M123" s="2">
        <v>0</v>
      </c>
      <c r="N123" t="s">
        <v>43</v>
      </c>
      <c r="O123" t="s">
        <v>43</v>
      </c>
      <c r="P123" t="s">
        <v>43</v>
      </c>
      <c r="Q123">
        <v>0.12472999999999999</v>
      </c>
    </row>
    <row r="124" spans="1:17" x14ac:dyDescent="0.3">
      <c r="A124">
        <v>124</v>
      </c>
      <c r="B124" t="s">
        <v>16</v>
      </c>
      <c r="C124">
        <v>0</v>
      </c>
      <c r="D124">
        <v>0</v>
      </c>
      <c r="E124" t="s">
        <v>43</v>
      </c>
      <c r="F124">
        <v>0</v>
      </c>
      <c r="G124" t="s">
        <v>43</v>
      </c>
      <c r="H124">
        <v>0</v>
      </c>
      <c r="I124" t="s">
        <v>43</v>
      </c>
      <c r="K124">
        <v>0</v>
      </c>
      <c r="L124">
        <v>0</v>
      </c>
      <c r="M124" s="2">
        <v>0</v>
      </c>
      <c r="N124" t="s">
        <v>43</v>
      </c>
      <c r="O124" t="s">
        <v>43</v>
      </c>
      <c r="P124" t="s">
        <v>43</v>
      </c>
      <c r="Q124">
        <v>0</v>
      </c>
    </row>
    <row r="125" spans="1:17" x14ac:dyDescent="0.3">
      <c r="A125">
        <v>110</v>
      </c>
      <c r="B125" t="s">
        <v>16</v>
      </c>
      <c r="C125">
        <v>0</v>
      </c>
      <c r="D125">
        <v>0</v>
      </c>
      <c r="E125" t="s">
        <v>25</v>
      </c>
      <c r="F125">
        <v>0</v>
      </c>
      <c r="G125">
        <v>2025</v>
      </c>
      <c r="H125">
        <v>0.75295800000000002</v>
      </c>
      <c r="I125" t="s">
        <v>18</v>
      </c>
      <c r="J125" t="s">
        <v>48</v>
      </c>
      <c r="K125">
        <v>403.37897800000002</v>
      </c>
      <c r="L125">
        <v>0.75295800000000002</v>
      </c>
      <c r="M125" s="2">
        <v>0</v>
      </c>
      <c r="N125" t="s">
        <v>20</v>
      </c>
      <c r="O125" t="s">
        <v>21</v>
      </c>
      <c r="P125">
        <v>1</v>
      </c>
      <c r="Q125">
        <v>0.75295800000000002</v>
      </c>
    </row>
    <row r="126" spans="1:17" x14ac:dyDescent="0.3">
      <c r="A126">
        <v>109</v>
      </c>
      <c r="B126" t="s">
        <v>16</v>
      </c>
      <c r="C126">
        <v>0</v>
      </c>
      <c r="D126">
        <v>0</v>
      </c>
      <c r="E126" t="s">
        <v>25</v>
      </c>
      <c r="F126">
        <v>0</v>
      </c>
      <c r="G126">
        <v>2025</v>
      </c>
      <c r="H126">
        <v>3.8751600000000002</v>
      </c>
      <c r="I126" t="s">
        <v>18</v>
      </c>
      <c r="J126" t="s">
        <v>49</v>
      </c>
      <c r="K126">
        <v>1089.3401779999999</v>
      </c>
      <c r="L126">
        <v>3.8751609999999999</v>
      </c>
      <c r="M126" s="2">
        <v>0</v>
      </c>
      <c r="N126" t="s">
        <v>20</v>
      </c>
      <c r="O126" t="s">
        <v>21</v>
      </c>
      <c r="P126">
        <v>1</v>
      </c>
      <c r="Q126">
        <v>3.8751609999999999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9F51-9B42-4E49-8723-C57C5C1C5041}">
  <dimension ref="A2:H16"/>
  <sheetViews>
    <sheetView tabSelected="1" workbookViewId="0">
      <selection activeCell="A2" sqref="A2:F9"/>
    </sheetView>
  </sheetViews>
  <sheetFormatPr defaultRowHeight="14.4" x14ac:dyDescent="0.3"/>
  <cols>
    <col min="1" max="1" width="31.21875" customWidth="1"/>
    <col min="2" max="2" width="20.88671875" customWidth="1"/>
    <col min="3" max="3" width="11.88671875" customWidth="1"/>
    <col min="4" max="4" width="12.88671875" customWidth="1"/>
    <col min="5" max="5" width="21.77734375" customWidth="1"/>
    <col min="6" max="6" width="18.5546875" customWidth="1"/>
    <col min="7" max="7" width="14.6640625" customWidth="1"/>
  </cols>
  <sheetData>
    <row r="2" spans="1:8" x14ac:dyDescent="0.3">
      <c r="A2" s="23" t="s">
        <v>59</v>
      </c>
      <c r="B2" s="23"/>
      <c r="C2" s="23"/>
      <c r="D2" s="23"/>
      <c r="E2" s="23"/>
      <c r="F2" s="23"/>
    </row>
    <row r="3" spans="1:8" x14ac:dyDescent="0.3">
      <c r="A3" s="6" t="s">
        <v>58</v>
      </c>
      <c r="B3" s="6" t="s">
        <v>50</v>
      </c>
      <c r="C3" s="6" t="s">
        <v>52</v>
      </c>
      <c r="D3" s="6" t="s">
        <v>53</v>
      </c>
      <c r="E3" s="6" t="s">
        <v>60</v>
      </c>
      <c r="F3" s="6" t="s">
        <v>61</v>
      </c>
    </row>
    <row r="4" spans="1:8" x14ac:dyDescent="0.3">
      <c r="A4" s="6" t="s">
        <v>51</v>
      </c>
      <c r="B4" s="6">
        <v>29195</v>
      </c>
      <c r="C4" s="6">
        <v>26330</v>
      </c>
      <c r="D4" s="6">
        <v>19276</v>
      </c>
      <c r="E4" s="7">
        <f>C4/B4</f>
        <v>0.90186675800650795</v>
      </c>
      <c r="F4" s="7">
        <f>D4/B4</f>
        <v>0.66025004281555055</v>
      </c>
    </row>
    <row r="5" spans="1:8" x14ac:dyDescent="0.3">
      <c r="A5" s="6" t="s">
        <v>54</v>
      </c>
      <c r="B5" s="6">
        <v>46</v>
      </c>
      <c r="C5" s="6">
        <v>10.95</v>
      </c>
      <c r="D5" s="6">
        <f>C5</f>
        <v>10.95</v>
      </c>
      <c r="E5" s="7">
        <f t="shared" ref="E5:E8" si="0">C5/B5</f>
        <v>0.23804347826086955</v>
      </c>
      <c r="F5" s="7">
        <f t="shared" ref="F5:F8" si="1">D5/B5</f>
        <v>0.23804347826086955</v>
      </c>
    </row>
    <row r="6" spans="1:8" x14ac:dyDescent="0.3">
      <c r="A6" s="6" t="s">
        <v>49</v>
      </c>
      <c r="B6" s="6">
        <v>3.88</v>
      </c>
      <c r="C6" s="6">
        <v>3.88</v>
      </c>
      <c r="D6" s="6">
        <f t="shared" ref="D6:D8" si="2">C6</f>
        <v>3.88</v>
      </c>
      <c r="E6" s="7">
        <f t="shared" si="0"/>
        <v>1</v>
      </c>
      <c r="F6" s="7">
        <f t="shared" si="1"/>
        <v>1</v>
      </c>
    </row>
    <row r="7" spans="1:8" x14ac:dyDescent="0.3">
      <c r="A7" s="6" t="s">
        <v>55</v>
      </c>
      <c r="B7" s="8">
        <v>10270</v>
      </c>
      <c r="C7" s="6">
        <v>270</v>
      </c>
      <c r="D7" s="6">
        <f t="shared" si="2"/>
        <v>270</v>
      </c>
      <c r="E7" s="7">
        <f t="shared" si="0"/>
        <v>2.6290165530671861E-2</v>
      </c>
      <c r="F7" s="7">
        <f t="shared" si="1"/>
        <v>2.6290165530671861E-2</v>
      </c>
    </row>
    <row r="8" spans="1:8" x14ac:dyDescent="0.3">
      <c r="A8" s="6" t="s">
        <v>56</v>
      </c>
      <c r="B8" s="6">
        <v>12.12</v>
      </c>
      <c r="C8" s="6">
        <v>13.91</v>
      </c>
      <c r="D8" s="6">
        <f t="shared" si="2"/>
        <v>13.91</v>
      </c>
      <c r="E8" s="7">
        <f t="shared" si="0"/>
        <v>1.1476897689768977</v>
      </c>
      <c r="F8" s="7">
        <f t="shared" si="1"/>
        <v>1.1476897689768977</v>
      </c>
    </row>
    <row r="9" spans="1:8" x14ac:dyDescent="0.3">
      <c r="A9" s="23" t="s">
        <v>57</v>
      </c>
      <c r="B9" s="23"/>
      <c r="C9" s="23"/>
      <c r="D9" s="23"/>
      <c r="E9" s="9">
        <f t="shared" ref="E9" si="3">AVERAGE(E4:E8)</f>
        <v>0.66277803415498937</v>
      </c>
      <c r="F9" s="9">
        <f>AVERAGE(F4:F8)</f>
        <v>0.61445469111679785</v>
      </c>
    </row>
    <row r="10" spans="1:8" ht="15" thickBot="1" x14ac:dyDescent="0.35"/>
    <row r="11" spans="1:8" x14ac:dyDescent="0.3">
      <c r="A11" s="24" t="s">
        <v>62</v>
      </c>
      <c r="B11" s="24" t="s">
        <v>58</v>
      </c>
      <c r="C11" s="24" t="s">
        <v>50</v>
      </c>
      <c r="D11" s="24" t="s">
        <v>63</v>
      </c>
      <c r="E11" s="24" t="s">
        <v>64</v>
      </c>
      <c r="F11" s="21" t="s">
        <v>65</v>
      </c>
      <c r="G11" s="21" t="s">
        <v>66</v>
      </c>
      <c r="H11" s="11" t="s">
        <v>67</v>
      </c>
    </row>
    <row r="12" spans="1:8" ht="58.2" thickBot="1" x14ac:dyDescent="0.35">
      <c r="A12" s="25"/>
      <c r="B12" s="25"/>
      <c r="C12" s="25"/>
      <c r="D12" s="25"/>
      <c r="E12" s="25"/>
      <c r="F12" s="22"/>
      <c r="G12" s="22"/>
      <c r="H12" s="12" t="s">
        <v>68</v>
      </c>
    </row>
    <row r="13" spans="1:8" ht="29.4" thickBot="1" x14ac:dyDescent="0.35">
      <c r="A13" s="13">
        <v>1</v>
      </c>
      <c r="B13" s="14" t="s">
        <v>69</v>
      </c>
      <c r="C13" s="14" t="s">
        <v>70</v>
      </c>
      <c r="D13" s="14" t="s">
        <v>71</v>
      </c>
      <c r="E13" s="14" t="s">
        <v>72</v>
      </c>
      <c r="F13" s="15">
        <v>0.90190000000000003</v>
      </c>
      <c r="G13" s="16">
        <v>0.6603</v>
      </c>
      <c r="H13" s="17"/>
    </row>
    <row r="14" spans="1:8" ht="29.4" thickBot="1" x14ac:dyDescent="0.35">
      <c r="A14" s="13">
        <v>2</v>
      </c>
      <c r="B14" s="14" t="s">
        <v>73</v>
      </c>
      <c r="C14" s="14" t="s">
        <v>74</v>
      </c>
      <c r="D14" s="14" t="s">
        <v>75</v>
      </c>
      <c r="E14" s="14" t="s">
        <v>75</v>
      </c>
      <c r="F14" s="15">
        <v>0.23799999999999999</v>
      </c>
      <c r="G14" s="16">
        <v>0.23799999999999999</v>
      </c>
      <c r="H14" s="17"/>
    </row>
    <row r="15" spans="1:8" ht="15" thickBot="1" x14ac:dyDescent="0.35">
      <c r="A15" s="13">
        <v>3</v>
      </c>
      <c r="B15" s="14" t="s">
        <v>49</v>
      </c>
      <c r="C15" s="14" t="s">
        <v>76</v>
      </c>
      <c r="D15" s="14" t="s">
        <v>76</v>
      </c>
      <c r="E15" s="14" t="s">
        <v>76</v>
      </c>
      <c r="F15" s="15">
        <v>1</v>
      </c>
      <c r="G15" s="16">
        <v>1</v>
      </c>
      <c r="H15" s="17"/>
    </row>
    <row r="16" spans="1:8" ht="15" thickBot="1" x14ac:dyDescent="0.35">
      <c r="A16" s="13">
        <v>4</v>
      </c>
      <c r="B16" s="14" t="s">
        <v>55</v>
      </c>
      <c r="C16" s="14" t="s">
        <v>77</v>
      </c>
      <c r="D16" s="14" t="s">
        <v>78</v>
      </c>
      <c r="E16" s="14" t="s">
        <v>78</v>
      </c>
      <c r="F16" s="15">
        <v>2.63E-2</v>
      </c>
      <c r="G16" s="16">
        <v>2.63E-2</v>
      </c>
      <c r="H16" s="17"/>
    </row>
  </sheetData>
  <mergeCells count="9">
    <mergeCell ref="G11:G12"/>
    <mergeCell ref="A9:D9"/>
    <mergeCell ref="A2:F2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Laksono</dc:creator>
  <cp:lastModifiedBy>Agung Laksono</cp:lastModifiedBy>
  <dcterms:created xsi:type="dcterms:W3CDTF">2025-12-08T07:20:54Z</dcterms:created>
  <dcterms:modified xsi:type="dcterms:W3CDTF">2025-12-10T09:12:40Z</dcterms:modified>
</cp:coreProperties>
</file>