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harts/chart25.xml" ContentType="application/vnd.openxmlformats-officedocument.drawingml.chart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charts/chart26.xml" ContentType="application/vnd.openxmlformats-officedocument.drawingml.chart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27.xml" ContentType="application/vnd.openxmlformats-officedocument.drawingml.chart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harts/chart28.xml" ContentType="application/vnd.openxmlformats-officedocument.drawingml.chart+xml"/>
  <Override PartName="/xl/drawings/drawing6.xml" ContentType="application/vnd.openxmlformats-officedocument.drawing+xml"/>
  <Override PartName="/xl/comments6.xml" ContentType="application/vnd.openxmlformats-officedocument.spreadsheetml.comments+xml"/>
  <Override PartName="/xl/charts/chart29.xml" ContentType="application/vnd.openxmlformats-officedocument.drawingml.chart+xml"/>
  <Override PartName="/xl/drawings/drawing7.xml" ContentType="application/vnd.openxmlformats-officedocument.drawing+xml"/>
  <Override PartName="/xl/comments7.xml" ContentType="application/vnd.openxmlformats-officedocument.spreadsheetml.comments+xml"/>
  <Override PartName="/xl/charts/chart30.xml" ContentType="application/vnd.openxmlformats-officedocument.drawingml.chart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charts/chart31.xml" ContentType="application/vnd.openxmlformats-officedocument.drawingml.chart+xml"/>
  <Override PartName="/xl/drawings/drawing9.xml" ContentType="application/vnd.openxmlformats-officedocument.drawing+xml"/>
  <Override PartName="/xl/comments9.xml" ContentType="application/vnd.openxmlformats-officedocument.spreadsheetml.comments+xml"/>
  <Override PartName="/xl/charts/chart32.xml" ContentType="application/vnd.openxmlformats-officedocument.drawingml.chart+xml"/>
  <Override PartName="/xl/drawings/drawing10.xml" ContentType="application/vnd.openxmlformats-officedocument.drawing+xml"/>
  <Override PartName="/xl/comments10.xml" ContentType="application/vnd.openxmlformats-officedocument.spreadsheetml.comments+xml"/>
  <Override PartName="/xl/charts/chart33.xml" ContentType="application/vnd.openxmlformats-officedocument.drawingml.chart+xml"/>
  <Override PartName="/xl/drawings/drawing11.xml" ContentType="application/vnd.openxmlformats-officedocument.drawing+xml"/>
  <Override PartName="/xl/comments11.xml" ContentType="application/vnd.openxmlformats-officedocument.spreadsheetml.comments+xml"/>
  <Override PartName="/xl/charts/chart34.xml" ContentType="application/vnd.openxmlformats-officedocument.drawingml.chart+xml"/>
  <Override PartName="/xl/drawings/drawing12.xml" ContentType="application/vnd.openxmlformats-officedocument.drawing+xml"/>
  <Override PartName="/xl/comments12.xml" ContentType="application/vnd.openxmlformats-officedocument.spreadsheetml.comments+xml"/>
  <Override PartName="/xl/charts/chart35.xml" ContentType="application/vnd.openxmlformats-officedocument.drawingml.chart+xml"/>
  <Override PartName="/xl/drawings/drawing13.xml" ContentType="application/vnd.openxmlformats-officedocument.drawing+xml"/>
  <Override PartName="/xl/comments13.xml" ContentType="application/vnd.openxmlformats-officedocument.spreadsheetml.comments+xml"/>
  <Override PartName="/xl/charts/chart36.xml" ContentType="application/vnd.openxmlformats-officedocument.drawingml.chart+xml"/>
  <Override PartName="/xl/drawings/drawing14.xml" ContentType="application/vnd.openxmlformats-officedocument.drawing+xml"/>
  <Override PartName="/xl/comments14.xml" ContentType="application/vnd.openxmlformats-officedocument.spreadsheetml.comments+xml"/>
  <Override PartName="/xl/charts/chart37.xml" ContentType="application/vnd.openxmlformats-officedocument.drawingml.chart+xml"/>
  <Override PartName="/xl/drawings/drawing15.xml" ContentType="application/vnd.openxmlformats-officedocument.drawing+xml"/>
  <Override PartName="/xl/comments15.xml" ContentType="application/vnd.openxmlformats-officedocument.spreadsheetml.comments+xml"/>
  <Override PartName="/xl/charts/chart38.xml" ContentType="application/vnd.openxmlformats-officedocument.drawingml.chart+xml"/>
  <Override PartName="/xl/drawings/drawing16.xml" ContentType="application/vnd.openxmlformats-officedocument.drawing+xml"/>
  <Override PartName="/xl/comments16.xml" ContentType="application/vnd.openxmlformats-officedocument.spreadsheetml.comments+xml"/>
  <Override PartName="/xl/charts/chart39.xml" ContentType="application/vnd.openxmlformats-officedocument.drawingml.chart+xml"/>
  <Override PartName="/xl/drawings/drawing17.xml" ContentType="application/vnd.openxmlformats-officedocument.drawing+xml"/>
  <Override PartName="/xl/comments17.xml" ContentType="application/vnd.openxmlformats-officedocument.spreadsheetml.comments+xml"/>
  <Override PartName="/xl/charts/chart40.xml" ContentType="application/vnd.openxmlformats-officedocument.drawingml.chart+xml"/>
  <Override PartName="/xl/drawings/drawing18.xml" ContentType="application/vnd.openxmlformats-officedocument.drawing+xml"/>
  <Override PartName="/xl/comments18.xml" ContentType="application/vnd.openxmlformats-officedocument.spreadsheetml.comments+xml"/>
  <Override PartName="/xl/charts/chart41.xml" ContentType="application/vnd.openxmlformats-officedocument.drawingml.chart+xml"/>
  <Override PartName="/xl/drawings/drawing19.xml" ContentType="application/vnd.openxmlformats-officedocument.drawing+xml"/>
  <Override PartName="/xl/comments19.xml" ContentType="application/vnd.openxmlformats-officedocument.spreadsheetml.comments+xml"/>
  <Override PartName="/xl/charts/chart42.xml" ContentType="application/vnd.openxmlformats-officedocument.drawingml.chart+xml"/>
  <Override PartName="/xl/drawings/drawing20.xml" ContentType="application/vnd.openxmlformats-officedocument.drawing+xml"/>
  <Override PartName="/xl/comments20.xml" ContentType="application/vnd.openxmlformats-officedocument.spreadsheetml.comments+xml"/>
  <Override PartName="/xl/charts/chart43.xml" ContentType="application/vnd.openxmlformats-officedocument.drawingml.chart+xml"/>
  <Override PartName="/xl/drawings/drawing21.xml" ContentType="application/vnd.openxmlformats-officedocument.drawing+xml"/>
  <Override PartName="/xl/comments21.xml" ContentType="application/vnd.openxmlformats-officedocument.spreadsheetml.comments+xml"/>
  <Override PartName="/xl/charts/chart44.xml" ContentType="application/vnd.openxmlformats-officedocument.drawingml.chart+xml"/>
  <Override PartName="/xl/drawings/drawing22.xml" ContentType="application/vnd.openxmlformats-officedocument.drawing+xml"/>
  <Override PartName="/xl/comments22.xml" ContentType="application/vnd.openxmlformats-officedocument.spreadsheetml.comments+xml"/>
  <Override PartName="/xl/charts/chart45.xml" ContentType="application/vnd.openxmlformats-officedocument.drawingml.chart+xml"/>
  <Override PartName="/xl/drawings/drawing23.xml" ContentType="application/vnd.openxmlformats-officedocument.drawing+xml"/>
  <Override PartName="/xl/comments23.xml" ContentType="application/vnd.openxmlformats-officedocument.spreadsheetml.comments+xml"/>
  <Override PartName="/xl/charts/chart46.xml" ContentType="application/vnd.openxmlformats-officedocument.drawingml.chart+xml"/>
  <Override PartName="/xl/drawings/drawing24.xml" ContentType="application/vnd.openxmlformats-officedocument.drawing+xml"/>
  <Override PartName="/xl/comments24.xml" ContentType="application/vnd.openxmlformats-officedocument.spreadsheetml.comments+xml"/>
  <Override PartName="/xl/charts/chart47.xml" ContentType="application/vnd.openxmlformats-officedocument.drawingml.chart+xml"/>
  <Override PartName="/xl/drawings/drawing25.xml" ContentType="application/vnd.openxmlformats-officedocument.drawing+xml"/>
  <Override PartName="/xl/comments25.xml" ContentType="application/vnd.openxmlformats-officedocument.spreadsheetml.comments+xml"/>
  <Override PartName="/xl/charts/chart48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ownloads\"/>
    </mc:Choice>
  </mc:AlternateContent>
  <xr:revisionPtr revIDLastSave="0" documentId="8_{0CA83C10-B71B-4623-B843-54488FEDEA33}" xr6:coauthVersionLast="47" xr6:coauthVersionMax="47" xr10:uidLastSave="{00000000-0000-0000-0000-000000000000}"/>
  <bookViews>
    <workbookView xWindow="-120" yWindow="-120" windowWidth="20730" windowHeight="11040" tabRatio="802" xr2:uid="{00000000-000D-0000-FFFF-FFFF00000000}"/>
  </bookViews>
  <sheets>
    <sheet name="DashBoard" sheetId="2" r:id="rId1"/>
    <sheet name="Data Entry" sheetId="1" r:id="rId2"/>
    <sheet name="Chart 1" sheetId="3" r:id="rId3"/>
    <sheet name="Chart 2" sheetId="4" r:id="rId4"/>
    <sheet name="Chart 3" sheetId="5" r:id="rId5"/>
    <sheet name="Chart 4" sheetId="6" r:id="rId6"/>
    <sheet name="Chart 5" sheetId="7" r:id="rId7"/>
    <sheet name="Chart 6" sheetId="8" r:id="rId8"/>
    <sheet name="Chart 7" sheetId="9" r:id="rId9"/>
    <sheet name="Chart 8" sheetId="10" r:id="rId10"/>
    <sheet name="Chart 9" sheetId="11" r:id="rId11"/>
    <sheet name="Chart 10" sheetId="12" r:id="rId12"/>
    <sheet name="Chart 11" sheetId="13" r:id="rId13"/>
    <sheet name="Chart 12" sheetId="14" r:id="rId14"/>
    <sheet name="Chart 13" sheetId="15" r:id="rId15"/>
    <sheet name="Chart 14" sheetId="16" r:id="rId16"/>
    <sheet name="Chart 15" sheetId="17" r:id="rId17"/>
    <sheet name="Chart 16" sheetId="18" r:id="rId18"/>
    <sheet name="Chart 17" sheetId="19" r:id="rId19"/>
    <sheet name="Chart 18" sheetId="20" r:id="rId20"/>
    <sheet name="Chart 19" sheetId="21" r:id="rId21"/>
    <sheet name="Chart 20" sheetId="22" r:id="rId22"/>
    <sheet name="Chart 21" sheetId="23" r:id="rId23"/>
    <sheet name="Chart 22" sheetId="24" r:id="rId24"/>
    <sheet name="Chart 23" sheetId="25" r:id="rId25"/>
    <sheet name="Chart 24" sheetId="26" r:id="rId26"/>
  </sheets>
  <definedNames>
    <definedName name="__IntlFixup" hidden="1">TRUE</definedName>
    <definedName name="__IntlFixupTable" hidden="1">#REF!</definedName>
    <definedName name="_Order1" hidden="1">0</definedName>
    <definedName name="AA.Report.Files" hidden="1">#REF!</definedName>
    <definedName name="AA.Reports.Available" hidden="1">#REF!</definedName>
    <definedName name="Data.Dump" hidden="1">OFFSET([0]!Data.Top.Left,1,0)</definedName>
    <definedName name="Database.File" hidden="1">#REF!</definedName>
    <definedName name="File.Type" hidden="1">#REF!</definedName>
    <definedName name="HTML_CodePage" hidden="1">1252</definedName>
    <definedName name="HTML_Control" hidden="1">{"'Leverage'!$B$2:$M$418"}</definedName>
    <definedName name="HTML_Description" hidden="1">""</definedName>
    <definedName name="HTML_Email" hidden="1">""</definedName>
    <definedName name="HTML_Header" hidden="1">"Leverage"</definedName>
    <definedName name="HTML_LastUpdate" hidden="1">"8/21/00"</definedName>
    <definedName name="HTML_LineAfter" hidden="1">FALSE</definedName>
    <definedName name="HTML_LineBefore" hidden="1">FALSE</definedName>
    <definedName name="HTML_Name" hidden="1">"Frank Vickers"</definedName>
    <definedName name="HTML_OBDlg2" hidden="1">TRUE</definedName>
    <definedName name="HTML_OBDlg4" hidden="1">TRUE</definedName>
    <definedName name="HTML_OS" hidden="1">0</definedName>
    <definedName name="HTML_PathFile" hidden="1">"C:\my documents\lever.htm"</definedName>
    <definedName name="HTML_Title" hidden="1">"leverage"</definedName>
    <definedName name="Macro1">[0]!Macro1</definedName>
    <definedName name="Macro2">[0]!Macro2</definedName>
    <definedName name="Ownership" hidden="1">OFFSET([0]!Data.Top.Left,1,0)</definedName>
    <definedName name="_xlnm.Print_Area" localSheetId="2">'Chart 1'!$A$1:$S$34</definedName>
    <definedName name="_xlnm.Print_Area" localSheetId="11">'Chart 10'!$A$1:$S$33</definedName>
    <definedName name="_xlnm.Print_Area" localSheetId="12">'Chart 11'!$A$1:$S$33</definedName>
    <definedName name="_xlnm.Print_Area" localSheetId="13">'Chart 12'!$A$1:$S$33</definedName>
    <definedName name="_xlnm.Print_Area" localSheetId="14">'Chart 13'!$A$1:$S$33</definedName>
    <definedName name="_xlnm.Print_Area" localSheetId="15">'Chart 14'!$A$1:$S$33</definedName>
    <definedName name="_xlnm.Print_Area" localSheetId="16">'Chart 15'!$A$1:$S$33</definedName>
    <definedName name="_xlnm.Print_Area" localSheetId="17">'Chart 16'!$A$1:$S$33</definedName>
    <definedName name="_xlnm.Print_Area" localSheetId="18">'Chart 17'!$A$1:$S$33</definedName>
    <definedName name="_xlnm.Print_Area" localSheetId="19">'Chart 18'!$A$1:$S$33</definedName>
    <definedName name="_xlnm.Print_Area" localSheetId="20">'Chart 19'!$A$1:$S$33</definedName>
    <definedName name="_xlnm.Print_Area" localSheetId="3">'Chart 2'!$A$1:$S$33</definedName>
    <definedName name="_xlnm.Print_Area" localSheetId="21">'Chart 20'!$A$1:$S$33</definedName>
    <definedName name="_xlnm.Print_Area" localSheetId="22">'Chart 21'!$A$1:$S$33</definedName>
    <definedName name="_xlnm.Print_Area" localSheetId="23">'Chart 22'!$A$1:$S$33</definedName>
    <definedName name="_xlnm.Print_Area" localSheetId="24">'Chart 23'!$A$1:$S$33</definedName>
    <definedName name="_xlnm.Print_Area" localSheetId="25">'Chart 24'!$A$1:$S$33</definedName>
    <definedName name="_xlnm.Print_Area" localSheetId="4">'Chart 3'!$A$1:$S$33</definedName>
    <definedName name="_xlnm.Print_Area" localSheetId="5">'Chart 4'!$A$1:$S$33</definedName>
    <definedName name="_xlnm.Print_Area" localSheetId="6">'Chart 5'!$A$1:$S$33</definedName>
    <definedName name="_xlnm.Print_Area" localSheetId="7">'Chart 6'!$A$1:$S$33</definedName>
    <definedName name="_xlnm.Print_Area" localSheetId="8">'Chart 7'!$A$1:$S$33</definedName>
    <definedName name="_xlnm.Print_Area" localSheetId="9">'Chart 8'!$A$1:$S$33</definedName>
    <definedName name="_xlnm.Print_Area" localSheetId="10">'Chart 9'!$A$1:$S$33</definedName>
    <definedName name="_xlnm.Print_Area" localSheetId="0">DashBoard!$A$1:$AH$167</definedName>
    <definedName name="_xlnm.Print_Area" localSheetId="1">'Data Entry'!$B$1:$O$121</definedName>
    <definedName name="Show.Acct.Update.Warning" hidden="1">#REF!</definedName>
    <definedName name="Show.MDB.Update.Warning" hidden="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D2" i="1" l="1"/>
  <c r="E2" i="1" s="1"/>
  <c r="F2" i="1" s="1"/>
  <c r="G2" i="1" s="1"/>
  <c r="H2" i="1" s="1"/>
  <c r="I2" i="1" s="1"/>
  <c r="J2" i="1" s="1"/>
  <c r="K2" i="1" s="1"/>
  <c r="L2" i="1" s="1"/>
  <c r="M2" i="1" s="1"/>
  <c r="N2" i="1" s="1"/>
  <c r="J65" i="1"/>
  <c r="J79" i="1"/>
  <c r="J93" i="1"/>
  <c r="J95" i="1" s="1"/>
  <c r="J107" i="1"/>
  <c r="J113" i="1"/>
  <c r="J29" i="1"/>
  <c r="K65" i="1"/>
  <c r="K112" i="1" s="1"/>
  <c r="K114" i="1" s="1"/>
  <c r="K116" i="1" s="1"/>
  <c r="K122" i="1" s="1"/>
  <c r="K126" i="1" s="1"/>
  <c r="K79" i="1"/>
  <c r="K93" i="1"/>
  <c r="K107" i="1"/>
  <c r="K113" i="1"/>
  <c r="K29" i="1"/>
  <c r="L65" i="1"/>
  <c r="L67" i="1" s="1"/>
  <c r="L79" i="1"/>
  <c r="L112" i="1" s="1"/>
  <c r="L114" i="1" s="1"/>
  <c r="L93" i="1"/>
  <c r="L107" i="1"/>
  <c r="L113" i="1"/>
  <c r="L29" i="1"/>
  <c r="L116" i="1" s="1"/>
  <c r="M65" i="1"/>
  <c r="M79" i="1"/>
  <c r="M93" i="1"/>
  <c r="M107" i="1"/>
  <c r="M113" i="1"/>
  <c r="M29" i="1"/>
  <c r="N65" i="1"/>
  <c r="N79" i="1"/>
  <c r="N112" i="1" s="1"/>
  <c r="N114" i="1" s="1"/>
  <c r="N93" i="1"/>
  <c r="N107" i="1"/>
  <c r="N113" i="1"/>
  <c r="N29" i="1"/>
  <c r="F65" i="1"/>
  <c r="F79" i="1"/>
  <c r="F93" i="1"/>
  <c r="F95" i="1" s="1"/>
  <c r="F107" i="1"/>
  <c r="F109" i="1" s="1"/>
  <c r="F113" i="1"/>
  <c r="F29" i="1"/>
  <c r="G65" i="1"/>
  <c r="G67" i="1" s="1"/>
  <c r="G79" i="1"/>
  <c r="G93" i="1"/>
  <c r="G107" i="1"/>
  <c r="G113" i="1"/>
  <c r="G29" i="1"/>
  <c r="G31" i="1" s="1"/>
  <c r="H65" i="1"/>
  <c r="H79" i="1"/>
  <c r="H93" i="1"/>
  <c r="H107" i="1"/>
  <c r="H109" i="1" s="1"/>
  <c r="H113" i="1"/>
  <c r="H29" i="1"/>
  <c r="I65" i="1"/>
  <c r="I79" i="1"/>
  <c r="I93" i="1"/>
  <c r="I107" i="1"/>
  <c r="I113" i="1"/>
  <c r="I29" i="1"/>
  <c r="I31" i="1" s="1"/>
  <c r="E65" i="1"/>
  <c r="E79" i="1"/>
  <c r="E93" i="1"/>
  <c r="E107" i="1"/>
  <c r="E113" i="1"/>
  <c r="E29" i="1"/>
  <c r="D65" i="1"/>
  <c r="D79" i="1"/>
  <c r="O79" i="1" s="1"/>
  <c r="D93" i="1"/>
  <c r="D107" i="1"/>
  <c r="D113" i="1"/>
  <c r="O113" i="1" s="1"/>
  <c r="D29" i="1"/>
  <c r="C65" i="1"/>
  <c r="C79" i="1"/>
  <c r="C93" i="1"/>
  <c r="C107" i="1"/>
  <c r="O107" i="1" s="1"/>
  <c r="C113" i="1"/>
  <c r="C29" i="1"/>
  <c r="C120" i="1"/>
  <c r="D120" i="1"/>
  <c r="E120" i="1"/>
  <c r="F120" i="1"/>
  <c r="G120" i="1"/>
  <c r="H120" i="1"/>
  <c r="I120" i="1"/>
  <c r="J120" i="1"/>
  <c r="K120" i="1"/>
  <c r="L120" i="1"/>
  <c r="M120" i="1"/>
  <c r="N120" i="1"/>
  <c r="O124" i="1"/>
  <c r="O119" i="1"/>
  <c r="O118" i="1"/>
  <c r="O103" i="1"/>
  <c r="O104" i="1"/>
  <c r="N105" i="1"/>
  <c r="M105" i="1"/>
  <c r="L105" i="1"/>
  <c r="K105" i="1"/>
  <c r="J105" i="1"/>
  <c r="I105" i="1"/>
  <c r="H105" i="1"/>
  <c r="G105" i="1"/>
  <c r="F105" i="1"/>
  <c r="E105" i="1"/>
  <c r="D105" i="1"/>
  <c r="C105" i="1"/>
  <c r="O99" i="1"/>
  <c r="O100" i="1"/>
  <c r="N101" i="1"/>
  <c r="M101" i="1"/>
  <c r="L101" i="1"/>
  <c r="K101" i="1"/>
  <c r="J101" i="1"/>
  <c r="I101" i="1"/>
  <c r="H101" i="1"/>
  <c r="G101" i="1"/>
  <c r="F101" i="1"/>
  <c r="E101" i="1"/>
  <c r="D101" i="1"/>
  <c r="C101" i="1"/>
  <c r="C108" i="1"/>
  <c r="D108" i="1"/>
  <c r="D109" i="1" s="1"/>
  <c r="E108" i="1"/>
  <c r="F108" i="1"/>
  <c r="G108" i="1"/>
  <c r="G109" i="1" s="1"/>
  <c r="H108" i="1"/>
  <c r="I108" i="1"/>
  <c r="I109" i="1" s="1"/>
  <c r="J108" i="1"/>
  <c r="J109" i="1" s="1"/>
  <c r="K108" i="1"/>
  <c r="L108" i="1"/>
  <c r="L109" i="1"/>
  <c r="M108" i="1"/>
  <c r="N108" i="1"/>
  <c r="C94" i="1"/>
  <c r="O94" i="1" s="1"/>
  <c r="C95" i="1"/>
  <c r="D94" i="1"/>
  <c r="D95" i="1"/>
  <c r="E94" i="1"/>
  <c r="F94" i="1"/>
  <c r="G94" i="1"/>
  <c r="G95" i="1"/>
  <c r="H94" i="1"/>
  <c r="I94" i="1"/>
  <c r="I95" i="1"/>
  <c r="J94" i="1"/>
  <c r="K94" i="1"/>
  <c r="K95" i="1"/>
  <c r="L94" i="1"/>
  <c r="L95" i="1" s="1"/>
  <c r="M94" i="1"/>
  <c r="M95" i="1"/>
  <c r="N94" i="1"/>
  <c r="N95" i="1" s="1"/>
  <c r="O89" i="1"/>
  <c r="O90" i="1"/>
  <c r="N91" i="1"/>
  <c r="M91" i="1"/>
  <c r="L91" i="1"/>
  <c r="K91" i="1"/>
  <c r="J91" i="1"/>
  <c r="I91" i="1"/>
  <c r="H91" i="1"/>
  <c r="G91" i="1"/>
  <c r="F91" i="1"/>
  <c r="E91" i="1"/>
  <c r="D91" i="1"/>
  <c r="C91" i="1"/>
  <c r="O85" i="1"/>
  <c r="O86" i="1"/>
  <c r="N87" i="1"/>
  <c r="M87" i="1"/>
  <c r="L87" i="1"/>
  <c r="K87" i="1"/>
  <c r="J87" i="1"/>
  <c r="I87" i="1"/>
  <c r="H87" i="1"/>
  <c r="G87" i="1"/>
  <c r="F87" i="1"/>
  <c r="E87" i="1"/>
  <c r="D87" i="1"/>
  <c r="C87" i="1"/>
  <c r="C80" i="1"/>
  <c r="C81" i="1" s="1"/>
  <c r="D80" i="1"/>
  <c r="E80" i="1"/>
  <c r="F80" i="1"/>
  <c r="G80" i="1"/>
  <c r="G81" i="1" s="1"/>
  <c r="H80" i="1"/>
  <c r="I80" i="1"/>
  <c r="J80" i="1"/>
  <c r="K80" i="1"/>
  <c r="K81" i="1" s="1"/>
  <c r="L80" i="1"/>
  <c r="M80" i="1"/>
  <c r="N80" i="1"/>
  <c r="O80" i="1"/>
  <c r="E81" i="1"/>
  <c r="H81" i="1"/>
  <c r="J81" i="1"/>
  <c r="M81" i="1"/>
  <c r="O75" i="1"/>
  <c r="O76" i="1"/>
  <c r="N77" i="1"/>
  <c r="M77" i="1"/>
  <c r="L77" i="1"/>
  <c r="K77" i="1"/>
  <c r="J77" i="1"/>
  <c r="I77" i="1"/>
  <c r="H77" i="1"/>
  <c r="G77" i="1"/>
  <c r="F77" i="1"/>
  <c r="E77" i="1"/>
  <c r="D77" i="1"/>
  <c r="C77" i="1"/>
  <c r="O71" i="1"/>
  <c r="O72" i="1"/>
  <c r="N73" i="1"/>
  <c r="M73" i="1"/>
  <c r="L73" i="1"/>
  <c r="K73" i="1"/>
  <c r="J73" i="1"/>
  <c r="I73" i="1"/>
  <c r="H73" i="1"/>
  <c r="G73" i="1"/>
  <c r="F73" i="1"/>
  <c r="E73" i="1"/>
  <c r="D73" i="1"/>
  <c r="C73" i="1"/>
  <c r="C66" i="1"/>
  <c r="D66" i="1"/>
  <c r="E66" i="1"/>
  <c r="F66" i="1"/>
  <c r="F67" i="1" s="1"/>
  <c r="G66" i="1"/>
  <c r="H66" i="1"/>
  <c r="H67" i="1" s="1"/>
  <c r="I66" i="1"/>
  <c r="J66" i="1"/>
  <c r="K66" i="1"/>
  <c r="L66" i="1"/>
  <c r="M66" i="1"/>
  <c r="M67" i="1" s="1"/>
  <c r="N66" i="1"/>
  <c r="C67" i="1"/>
  <c r="D67" i="1"/>
  <c r="E67" i="1"/>
  <c r="C50" i="1"/>
  <c r="C52" i="1" s="1"/>
  <c r="C51" i="1"/>
  <c r="D50" i="1"/>
  <c r="D51" i="1"/>
  <c r="E50" i="1"/>
  <c r="E52" i="1" s="1"/>
  <c r="E51" i="1"/>
  <c r="F50" i="1"/>
  <c r="F51" i="1"/>
  <c r="F52" i="1" s="1"/>
  <c r="G50" i="1"/>
  <c r="G51" i="1"/>
  <c r="H50" i="1"/>
  <c r="H51" i="1"/>
  <c r="I50" i="1"/>
  <c r="I52" i="1" s="1"/>
  <c r="I51" i="1"/>
  <c r="J50" i="1"/>
  <c r="J51" i="1"/>
  <c r="J52" i="1" s="1"/>
  <c r="K50" i="1"/>
  <c r="K51" i="1"/>
  <c r="L50" i="1"/>
  <c r="L51" i="1"/>
  <c r="M50" i="1"/>
  <c r="M51" i="1"/>
  <c r="N50" i="1"/>
  <c r="N51" i="1"/>
  <c r="O61" i="1"/>
  <c r="O62" i="1"/>
  <c r="O57" i="1"/>
  <c r="O58" i="1"/>
  <c r="O59" i="1" s="1"/>
  <c r="C63" i="1"/>
  <c r="D63" i="1"/>
  <c r="E63" i="1"/>
  <c r="F63" i="1"/>
  <c r="G63" i="1"/>
  <c r="H63" i="1"/>
  <c r="I63" i="1"/>
  <c r="J63" i="1"/>
  <c r="K63" i="1"/>
  <c r="L63" i="1"/>
  <c r="M63" i="1"/>
  <c r="N63" i="1"/>
  <c r="C59" i="1"/>
  <c r="D59" i="1"/>
  <c r="E59" i="1"/>
  <c r="F59" i="1"/>
  <c r="G59" i="1"/>
  <c r="H59" i="1"/>
  <c r="I59" i="1"/>
  <c r="J59" i="1"/>
  <c r="K59" i="1"/>
  <c r="L59" i="1"/>
  <c r="M59" i="1"/>
  <c r="N59" i="1"/>
  <c r="C48" i="1"/>
  <c r="D48" i="1"/>
  <c r="E48" i="1"/>
  <c r="F48" i="1"/>
  <c r="G48" i="1"/>
  <c r="H48" i="1"/>
  <c r="I48" i="1"/>
  <c r="J48" i="1"/>
  <c r="K48" i="1"/>
  <c r="L48" i="1"/>
  <c r="M48" i="1"/>
  <c r="N48" i="1"/>
  <c r="O47" i="1"/>
  <c r="O46" i="1"/>
  <c r="C44" i="1"/>
  <c r="D44" i="1"/>
  <c r="E44" i="1"/>
  <c r="F44" i="1"/>
  <c r="G44" i="1"/>
  <c r="H44" i="1"/>
  <c r="I44" i="1"/>
  <c r="J44" i="1"/>
  <c r="K44" i="1"/>
  <c r="L44" i="1"/>
  <c r="M44" i="1"/>
  <c r="N44" i="1"/>
  <c r="O43" i="1"/>
  <c r="O42" i="1"/>
  <c r="C40" i="1"/>
  <c r="D40" i="1"/>
  <c r="E40" i="1"/>
  <c r="F40" i="1"/>
  <c r="G40" i="1"/>
  <c r="H40" i="1"/>
  <c r="I40" i="1"/>
  <c r="J40" i="1"/>
  <c r="K40" i="1"/>
  <c r="L40" i="1"/>
  <c r="M40" i="1"/>
  <c r="N40" i="1"/>
  <c r="O39" i="1"/>
  <c r="O38" i="1"/>
  <c r="C36" i="1"/>
  <c r="D36" i="1"/>
  <c r="E36" i="1"/>
  <c r="F36" i="1"/>
  <c r="G36" i="1"/>
  <c r="H36" i="1"/>
  <c r="I36" i="1"/>
  <c r="J36" i="1"/>
  <c r="K36" i="1"/>
  <c r="L36" i="1"/>
  <c r="M36" i="1"/>
  <c r="N36" i="1"/>
  <c r="O35" i="1"/>
  <c r="O34" i="1"/>
  <c r="C30" i="1"/>
  <c r="C31" i="1" s="1"/>
  <c r="D30" i="1"/>
  <c r="D31" i="1"/>
  <c r="E30" i="1"/>
  <c r="E31" i="1" s="1"/>
  <c r="F30" i="1"/>
  <c r="F31" i="1"/>
  <c r="G30" i="1"/>
  <c r="H30" i="1"/>
  <c r="H31" i="1"/>
  <c r="I30" i="1"/>
  <c r="J30" i="1"/>
  <c r="J31" i="1"/>
  <c r="K30" i="1"/>
  <c r="K31" i="1" s="1"/>
  <c r="L30" i="1"/>
  <c r="L31" i="1"/>
  <c r="M30" i="1"/>
  <c r="M31" i="1" s="1"/>
  <c r="N30" i="1"/>
  <c r="N31" i="1"/>
  <c r="N27" i="1"/>
  <c r="M27" i="1"/>
  <c r="L27" i="1"/>
  <c r="K27" i="1"/>
  <c r="J27" i="1"/>
  <c r="I27" i="1"/>
  <c r="H27" i="1"/>
  <c r="G27" i="1"/>
  <c r="F27" i="1"/>
  <c r="E27" i="1"/>
  <c r="D27" i="1"/>
  <c r="C27" i="1"/>
  <c r="O27" i="1" s="1"/>
  <c r="N23" i="1"/>
  <c r="M23" i="1"/>
  <c r="L23" i="1"/>
  <c r="K23" i="1"/>
  <c r="J23" i="1"/>
  <c r="I23" i="1"/>
  <c r="H23" i="1"/>
  <c r="G23" i="1"/>
  <c r="F23" i="1"/>
  <c r="E23" i="1"/>
  <c r="D23" i="1"/>
  <c r="C23" i="1"/>
  <c r="N19" i="1"/>
  <c r="M19" i="1"/>
  <c r="L19" i="1"/>
  <c r="K19" i="1"/>
  <c r="J19" i="1"/>
  <c r="I19" i="1"/>
  <c r="H19" i="1"/>
  <c r="G19" i="1"/>
  <c r="F19" i="1"/>
  <c r="E19" i="1"/>
  <c r="D19" i="1"/>
  <c r="C19" i="1"/>
  <c r="N15" i="1"/>
  <c r="M15" i="1"/>
  <c r="L15" i="1"/>
  <c r="K15" i="1"/>
  <c r="J15" i="1"/>
  <c r="I15" i="1"/>
  <c r="H15" i="1"/>
  <c r="G15" i="1"/>
  <c r="F15" i="1"/>
  <c r="E15" i="1"/>
  <c r="D15" i="1"/>
  <c r="C15" i="1"/>
  <c r="O15" i="1" s="1"/>
  <c r="N11" i="1"/>
  <c r="M11" i="1"/>
  <c r="L11" i="1"/>
  <c r="K11" i="1"/>
  <c r="J11" i="1"/>
  <c r="I11" i="1"/>
  <c r="H11" i="1"/>
  <c r="G11" i="1"/>
  <c r="F11" i="1"/>
  <c r="E11" i="1"/>
  <c r="D11" i="1"/>
  <c r="C11" i="1"/>
  <c r="K7" i="1"/>
  <c r="L7" i="1"/>
  <c r="M7" i="1"/>
  <c r="N7" i="1"/>
  <c r="D7" i="1"/>
  <c r="E7" i="1"/>
  <c r="F7" i="1"/>
  <c r="G7" i="1"/>
  <c r="H7" i="1"/>
  <c r="I7" i="1"/>
  <c r="J7" i="1"/>
  <c r="C7" i="1"/>
  <c r="O6" i="1"/>
  <c r="O7" i="1" s="1"/>
  <c r="O5" i="1"/>
  <c r="O26" i="1"/>
  <c r="O25" i="1"/>
  <c r="O22" i="1"/>
  <c r="O21" i="1"/>
  <c r="O18" i="1"/>
  <c r="O17" i="1"/>
  <c r="O14" i="1"/>
  <c r="O13" i="1"/>
  <c r="O10" i="1"/>
  <c r="O9" i="1"/>
  <c r="N116" i="1" l="1"/>
  <c r="O11" i="1"/>
  <c r="O23" i="1"/>
  <c r="N52" i="1"/>
  <c r="C109" i="1"/>
  <c r="O105" i="1"/>
  <c r="H112" i="1"/>
  <c r="H114" i="1" s="1"/>
  <c r="H116" i="1" s="1"/>
  <c r="H122" i="1" s="1"/>
  <c r="H126" i="1" s="1"/>
  <c r="M52" i="1"/>
  <c r="D52" i="1"/>
  <c r="K67" i="1"/>
  <c r="I81" i="1"/>
  <c r="E109" i="1"/>
  <c r="O109" i="1" s="1"/>
  <c r="O29" i="1"/>
  <c r="F112" i="1"/>
  <c r="F114" i="1" s="1"/>
  <c r="F116" i="1" s="1"/>
  <c r="F122" i="1" s="1"/>
  <c r="F126" i="1" s="1"/>
  <c r="N109" i="1"/>
  <c r="H52" i="1"/>
  <c r="O93" i="1"/>
  <c r="E112" i="1"/>
  <c r="E114" i="1" s="1"/>
  <c r="E116" i="1" s="1"/>
  <c r="E122" i="1" s="1"/>
  <c r="E126" i="1" s="1"/>
  <c r="I67" i="1"/>
  <c r="O44" i="1"/>
  <c r="G52" i="1"/>
  <c r="N67" i="1"/>
  <c r="O73" i="1"/>
  <c r="O91" i="1"/>
  <c r="H95" i="1"/>
  <c r="K109" i="1"/>
  <c r="O65" i="1"/>
  <c r="N122" i="1"/>
  <c r="N126" i="1" s="1"/>
  <c r="L122" i="1"/>
  <c r="L126" i="1" s="1"/>
  <c r="O30" i="1"/>
  <c r="O63" i="1"/>
  <c r="L52" i="1"/>
  <c r="J67" i="1"/>
  <c r="O77" i="1"/>
  <c r="L81" i="1"/>
  <c r="F81" i="1"/>
  <c r="O87" i="1"/>
  <c r="M112" i="1"/>
  <c r="M114" i="1" s="1"/>
  <c r="M116" i="1" s="1"/>
  <c r="M122" i="1" s="1"/>
  <c r="M126" i="1" s="1"/>
  <c r="J112" i="1"/>
  <c r="J114" i="1" s="1"/>
  <c r="J116" i="1" s="1"/>
  <c r="J122" i="1" s="1"/>
  <c r="J126" i="1" s="1"/>
  <c r="O31" i="1"/>
  <c r="O40" i="1"/>
  <c r="E95" i="1"/>
  <c r="O95" i="1"/>
  <c r="D112" i="1"/>
  <c r="D114" i="1" s="1"/>
  <c r="D116" i="1" s="1"/>
  <c r="D122" i="1" s="1"/>
  <c r="D126" i="1" s="1"/>
  <c r="O19" i="1"/>
  <c r="O36" i="1"/>
  <c r="O48" i="1"/>
  <c r="K52" i="1"/>
  <c r="O51" i="1"/>
  <c r="O66" i="1"/>
  <c r="N81" i="1"/>
  <c r="D81" i="1"/>
  <c r="O81" i="1" s="1"/>
  <c r="M109" i="1"/>
  <c r="O101" i="1"/>
  <c r="O120" i="1"/>
  <c r="C112" i="1"/>
  <c r="C114" i="1" s="1"/>
  <c r="I112" i="1"/>
  <c r="I114" i="1" s="1"/>
  <c r="I116" i="1" s="1"/>
  <c r="I122" i="1" s="1"/>
  <c r="I126" i="1" s="1"/>
  <c r="G112" i="1"/>
  <c r="G114" i="1" s="1"/>
  <c r="G116" i="1" s="1"/>
  <c r="G122" i="1" s="1"/>
  <c r="G126" i="1" s="1"/>
  <c r="O67" i="1"/>
  <c r="O108" i="1"/>
  <c r="O50" i="1"/>
  <c r="O52" i="1" l="1"/>
  <c r="O112" i="1"/>
  <c r="O114" i="1"/>
  <c r="C116" i="1"/>
  <c r="O116" i="1" l="1"/>
  <c r="C122" i="1"/>
  <c r="O122" i="1" l="1"/>
  <c r="O126" i="1" s="1"/>
  <c r="C126" i="1"/>
  <c r="C128" i="1" s="1"/>
  <c r="D128" i="1" s="1"/>
  <c r="E128" i="1" s="1"/>
  <c r="F128" i="1" s="1"/>
  <c r="G128" i="1" s="1"/>
  <c r="H128" i="1" s="1"/>
  <c r="I128" i="1" s="1"/>
  <c r="J128" i="1" s="1"/>
  <c r="K128" i="1" s="1"/>
  <c r="L128" i="1" s="1"/>
  <c r="M128" i="1" s="1"/>
  <c r="N128" i="1" s="1"/>
  <c r="O128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6" authorId="0" shapeId="0" xr:uid="{00000000-0006-0000-0000-000001000000}">
      <text>
        <r>
          <rPr>
            <b/>
            <sz val="26"/>
            <color indexed="81"/>
            <rFont val="Arial"/>
            <family val="2"/>
          </rPr>
          <t xml:space="preserve">This workbook is </t>
        </r>
        <r>
          <rPr>
            <b/>
            <sz val="26"/>
            <color indexed="10"/>
            <rFont val="Arial"/>
            <family val="2"/>
          </rPr>
          <t>unprotected</t>
        </r>
        <r>
          <rPr>
            <b/>
            <sz val="26"/>
            <color indexed="81"/>
            <rFont val="Arial"/>
            <family val="2"/>
          </rPr>
          <t xml:space="preserve"> and </t>
        </r>
        <r>
          <rPr>
            <b/>
            <sz val="26"/>
            <color indexed="10"/>
            <rFont val="Arial"/>
            <family val="2"/>
          </rPr>
          <t>fully functional</t>
        </r>
        <r>
          <rPr>
            <b/>
            <sz val="26"/>
            <color indexed="81"/>
            <rFont val="Arial"/>
            <family val="2"/>
          </rPr>
          <t xml:space="preserve">. Be careful! shaded cells are linked.
</t>
        </r>
      </text>
    </comment>
    <comment ref="B10" authorId="0" shapeId="0" xr:uid="{00000000-0006-0000-0000-000002000000}">
      <text>
        <r>
          <rPr>
            <b/>
            <sz val="26"/>
            <color indexed="81"/>
            <rFont val="Arial"/>
            <family val="2"/>
          </rPr>
          <t xml:space="preserve">Use the </t>
        </r>
        <r>
          <rPr>
            <b/>
            <sz val="26"/>
            <color indexed="10"/>
            <rFont val="Arial"/>
            <family val="2"/>
          </rPr>
          <t>Page Up</t>
        </r>
        <r>
          <rPr>
            <b/>
            <sz val="26"/>
            <color indexed="81"/>
            <rFont val="Arial"/>
            <family val="2"/>
          </rPr>
          <t xml:space="preserve"> and </t>
        </r>
        <r>
          <rPr>
            <b/>
            <sz val="26"/>
            <color indexed="10"/>
            <rFont val="Arial"/>
            <family val="2"/>
          </rPr>
          <t>Page Down</t>
        </r>
        <r>
          <rPr>
            <b/>
            <sz val="26"/>
            <color indexed="81"/>
            <rFont val="Arial"/>
            <family val="2"/>
          </rPr>
          <t xml:space="preserve"> buttons to navigate quickly.</t>
        </r>
      </text>
    </comment>
    <comment ref="B14" authorId="0" shapeId="0" xr:uid="{00000000-0006-0000-0000-000003000000}">
      <text>
        <r>
          <rPr>
            <b/>
            <sz val="26"/>
            <color indexed="81"/>
            <rFont val="Arial"/>
            <family val="2"/>
          </rPr>
          <t>Click on each chart for an enlarged view.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2" authorId="0" shapeId="0" xr:uid="{00000000-0006-0000-0200-000001000000}">
      <text>
        <r>
          <rPr>
            <b/>
            <sz val="14"/>
            <color indexed="81"/>
            <rFont val="Arial"/>
            <family val="2"/>
          </rPr>
          <t>Click on chart to return to The DashBoard.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2" authorId="0" shapeId="0" xr:uid="{00000000-0006-0000-0300-000001000000}">
      <text>
        <r>
          <rPr>
            <b/>
            <sz val="14"/>
            <color indexed="81"/>
            <rFont val="Arial"/>
            <family val="2"/>
          </rPr>
          <t>Click on chart to return to The DashBoard.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2" authorId="0" shapeId="0" xr:uid="{00000000-0006-0000-0400-000001000000}">
      <text>
        <r>
          <rPr>
            <b/>
            <sz val="14"/>
            <color indexed="81"/>
            <rFont val="Arial"/>
            <family val="2"/>
          </rPr>
          <t>Click on chart to return to The DashBoard.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2" authorId="0" shapeId="0" xr:uid="{00000000-0006-0000-0500-000001000000}">
      <text>
        <r>
          <rPr>
            <b/>
            <sz val="14"/>
            <color indexed="81"/>
            <rFont val="Arial"/>
            <family val="2"/>
          </rPr>
          <t>Click on chart to return to The DashBoard.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2" authorId="0" shapeId="0" xr:uid="{00000000-0006-0000-0600-000001000000}">
      <text>
        <r>
          <rPr>
            <b/>
            <sz val="14"/>
            <color indexed="81"/>
            <rFont val="Arial"/>
            <family val="2"/>
          </rPr>
          <t>Click on chart to return to The DashBoard.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2" authorId="0" shapeId="0" xr:uid="{00000000-0006-0000-0700-000001000000}">
      <text>
        <r>
          <rPr>
            <b/>
            <sz val="14"/>
            <color indexed="81"/>
            <rFont val="Arial"/>
            <family val="2"/>
          </rPr>
          <t>Click on chart to return to The DashBoard.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2" authorId="0" shapeId="0" xr:uid="{00000000-0006-0000-0800-000001000000}">
      <text>
        <r>
          <rPr>
            <b/>
            <sz val="14"/>
            <color indexed="81"/>
            <rFont val="Arial"/>
            <family val="2"/>
          </rPr>
          <t>Click on chart to return to The DashBoard.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2" authorId="0" shapeId="0" xr:uid="{00000000-0006-0000-0900-000001000000}">
      <text>
        <r>
          <rPr>
            <b/>
            <sz val="14"/>
            <color indexed="81"/>
            <rFont val="Arial"/>
            <family val="2"/>
          </rPr>
          <t>Click on chart to return to The DashBoard.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2" authorId="0" shapeId="0" xr:uid="{00000000-0006-0000-0A00-000001000000}">
      <text>
        <r>
          <rPr>
            <b/>
            <sz val="14"/>
            <color indexed="81"/>
            <rFont val="Arial"/>
            <family val="2"/>
          </rPr>
          <t>Click on chart to return to The DashBoard.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2" authorId="0" shapeId="0" xr:uid="{00000000-0006-0000-0B00-000001000000}">
      <text>
        <r>
          <rPr>
            <b/>
            <sz val="14"/>
            <color indexed="81"/>
            <rFont val="Arial"/>
            <family val="2"/>
          </rPr>
          <t>Click on chart to return to The DashBoard.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2" authorId="0" shapeId="0" xr:uid="{00000000-0006-0000-0C00-000001000000}">
      <text>
        <r>
          <rPr>
            <b/>
            <sz val="14"/>
            <color indexed="81"/>
            <rFont val="Arial"/>
            <family val="2"/>
          </rPr>
          <t>Click on chart to return to The DashBoard.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2" authorId="0" shapeId="0" xr:uid="{00000000-0006-0000-0D00-000001000000}">
      <text>
        <r>
          <rPr>
            <b/>
            <sz val="14"/>
            <color indexed="81"/>
            <rFont val="Arial"/>
            <family val="2"/>
          </rPr>
          <t>Click on chart to return to The DashBoard.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2" authorId="0" shapeId="0" xr:uid="{00000000-0006-0000-0E00-000001000000}">
      <text>
        <r>
          <rPr>
            <b/>
            <sz val="14"/>
            <color indexed="81"/>
            <rFont val="Arial"/>
            <family val="2"/>
          </rPr>
          <t>Click on chart to return to The DashBoard.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2" authorId="0" shapeId="0" xr:uid="{00000000-0006-0000-0F00-000001000000}">
      <text>
        <r>
          <rPr>
            <b/>
            <sz val="14"/>
            <color indexed="81"/>
            <rFont val="Arial"/>
            <family val="2"/>
          </rPr>
          <t>Click on chart to return to The DashBoard.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2" authorId="0" shapeId="0" xr:uid="{00000000-0006-0000-1000-000001000000}">
      <text>
        <r>
          <rPr>
            <b/>
            <sz val="14"/>
            <color indexed="81"/>
            <rFont val="Arial"/>
            <family val="2"/>
          </rPr>
          <t>Click on chart to return to The DashBoard.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2" authorId="0" shapeId="0" xr:uid="{00000000-0006-0000-1100-000001000000}">
      <text>
        <r>
          <rPr>
            <b/>
            <sz val="14"/>
            <color indexed="81"/>
            <rFont val="Arial"/>
            <family val="2"/>
          </rPr>
          <t>Click on chart to return to The DashBoard.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2" authorId="0" shapeId="0" xr:uid="{00000000-0006-0000-1200-000001000000}">
      <text>
        <r>
          <rPr>
            <b/>
            <sz val="14"/>
            <color indexed="81"/>
            <rFont val="Arial"/>
            <family val="2"/>
          </rPr>
          <t>Click on chart to return to The DashBoard.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2" authorId="0" shapeId="0" xr:uid="{00000000-0006-0000-1300-000001000000}">
      <text>
        <r>
          <rPr>
            <b/>
            <sz val="14"/>
            <color indexed="81"/>
            <rFont val="Arial"/>
            <family val="2"/>
          </rPr>
          <t>Click on chart to return to The DashBoard.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2" authorId="0" shapeId="0" xr:uid="{00000000-0006-0000-1400-000001000000}">
      <text>
        <r>
          <rPr>
            <b/>
            <sz val="14"/>
            <color indexed="81"/>
            <rFont val="Arial"/>
            <family val="2"/>
          </rPr>
          <t>Click on chart to return to The DashBoard.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2" authorId="0" shapeId="0" xr:uid="{00000000-0006-0000-1500-000001000000}">
      <text>
        <r>
          <rPr>
            <b/>
            <sz val="14"/>
            <color indexed="81"/>
            <rFont val="Arial"/>
            <family val="2"/>
          </rPr>
          <t>Click on chart to return to The DashBoard.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2" authorId="0" shapeId="0" xr:uid="{00000000-0006-0000-1600-000001000000}">
      <text>
        <r>
          <rPr>
            <b/>
            <sz val="14"/>
            <color indexed="81"/>
            <rFont val="Arial"/>
            <family val="2"/>
          </rPr>
          <t>Click on chart to return to The DashBoard.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2" authorId="0" shapeId="0" xr:uid="{00000000-0006-0000-1700-000001000000}">
      <text>
        <r>
          <rPr>
            <b/>
            <sz val="14"/>
            <color indexed="81"/>
            <rFont val="Arial"/>
            <family val="2"/>
          </rPr>
          <t>Click on chart to return to The DashBoard.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2" authorId="0" shapeId="0" xr:uid="{00000000-0006-0000-1800-000001000000}">
      <text>
        <r>
          <rPr>
            <b/>
            <sz val="14"/>
            <color indexed="81"/>
            <rFont val="Arial"/>
            <family val="2"/>
          </rPr>
          <t>Click on chart to return to The DashBoard.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ref="B2" authorId="0" shapeId="0" xr:uid="{00000000-0006-0000-1900-000001000000}">
      <text>
        <r>
          <rPr>
            <b/>
            <sz val="14"/>
            <color indexed="81"/>
            <rFont val="Arial"/>
            <family val="2"/>
          </rPr>
          <t>Click on chart to return to The DashBoard.</t>
        </r>
      </text>
    </comment>
  </commentList>
</comments>
</file>

<file path=xl/sharedStrings.xml><?xml version="1.0" encoding="utf-8"?>
<sst xmlns="http://schemas.openxmlformats.org/spreadsheetml/2006/main" count="93" uniqueCount="48">
  <si>
    <t>Period Starting:</t>
  </si>
  <si>
    <t>Totals</t>
  </si>
  <si>
    <t>Sales</t>
  </si>
  <si>
    <t>Other</t>
  </si>
  <si>
    <t>Total Sales</t>
  </si>
  <si>
    <t>Materials</t>
  </si>
  <si>
    <t>Labor</t>
  </si>
  <si>
    <t>Overhead</t>
  </si>
  <si>
    <t>Total Cost of Goods Sold</t>
  </si>
  <si>
    <t>Operating Expenses</t>
  </si>
  <si>
    <t>Total Operating Expenses</t>
  </si>
  <si>
    <t>Interest income (expense)</t>
  </si>
  <si>
    <t>Other income (expense)</t>
  </si>
  <si>
    <t>Income (Loss) Before Taxes</t>
  </si>
  <si>
    <t>Income Taxes</t>
  </si>
  <si>
    <t>Net Income (Loss)</t>
  </si>
  <si>
    <t>Cumulative Net Income (Loss)</t>
  </si>
  <si>
    <t>G&amp;A Expenses</t>
  </si>
  <si>
    <t xml:space="preserve">     Operating Expenses</t>
  </si>
  <si>
    <t xml:space="preserve">     Payroll Salaries</t>
  </si>
  <si>
    <t>Sales Expenses</t>
  </si>
  <si>
    <t>Total Sales Expenses</t>
  </si>
  <si>
    <t>Total  G&amp;A Expenses</t>
  </si>
  <si>
    <t>Marketing Expenses</t>
  </si>
  <si>
    <t>Total Marketing Expenses</t>
  </si>
  <si>
    <t>Research &amp; Development Expenses</t>
  </si>
  <si>
    <t>Total  Research &amp; Development Expenses</t>
  </si>
  <si>
    <t>Total Payroll Salaries</t>
  </si>
  <si>
    <t>EBIT</t>
  </si>
  <si>
    <t>Budget</t>
  </si>
  <si>
    <t>Total Sales Budget</t>
  </si>
  <si>
    <t>Less Cost of Goods Sold</t>
  </si>
  <si>
    <t>Sales by Product Line 1</t>
  </si>
  <si>
    <t>Sales by Product Line 2</t>
  </si>
  <si>
    <t>Sales by Product Line 3</t>
  </si>
  <si>
    <t>Sales by Product Line 4</t>
  </si>
  <si>
    <t>Sales by Product Line 5</t>
  </si>
  <si>
    <t>Sales by Product Line 6</t>
  </si>
  <si>
    <t>Over / (Under Budget)</t>
  </si>
  <si>
    <t>Total Over / (Under Budget)</t>
  </si>
  <si>
    <t>Total  G&amp;A Budget</t>
  </si>
  <si>
    <t>Total COG Budget</t>
  </si>
  <si>
    <t>Total Sales Expense Budget</t>
  </si>
  <si>
    <t>Total  R&amp;D Expenses Budget</t>
  </si>
  <si>
    <t>Total All Operating Expenses</t>
  </si>
  <si>
    <t>Total Nonoperating Income (expense)</t>
  </si>
  <si>
    <t>Financial Dashboard</t>
  </si>
  <si>
    <t>Total Marketing Expense Budget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</si>
</sst>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5" formatCode="&quot;$&quot;#,##0_);\(&quot;$&quot;#,##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£&quot;#,##0.00;\-&quot;£&quot;#,##0.00"/>
    <numFmt numFmtId="165" formatCode="_-&quot;£&quot;* #,##0_-;\-&quot;£&quot;* #,##0_-;_-&quot;£&quot;* &quot;-&quot;_-;_-@_-"/>
    <numFmt numFmtId="166" formatCode="_-* #,##0_-;\-* #,##0_-;_-* &quot;-&quot;_-;_-@_-"/>
    <numFmt numFmtId="167" formatCode="_-&quot;£&quot;* #,##0.00_-;\-&quot;£&quot;* #,##0.00_-;_-&quot;£&quot;* &quot;-&quot;??_-;_-@_-"/>
    <numFmt numFmtId="168" formatCode="_-* #,##0.00_-;\-* #,##0.00_-;_-* &quot;-&quot;??_-;_-@_-"/>
    <numFmt numFmtId="169" formatCode="mmm"/>
    <numFmt numFmtId="170" formatCode="_(* #,##0_);_(* \(#,##0\);_(* &quot;-&quot;??_);_(@_)"/>
    <numFmt numFmtId="171" formatCode="0.00%_);[Red]\(0.00%\)"/>
    <numFmt numFmtId="172" formatCode="0%_);[Red]\(0%\)"/>
  </numFmts>
  <fonts count="50" x14ac:knownFonts="1">
    <font>
      <sz val="10"/>
      <name val="Arial"/>
    </font>
    <font>
      <sz val="10"/>
      <name val="Arial"/>
      <family val="2"/>
    </font>
    <font>
      <sz val="8"/>
      <name val="Tahoma"/>
      <family val="2"/>
    </font>
    <font>
      <sz val="8"/>
      <name val="Verdana"/>
      <family val="2"/>
    </font>
    <font>
      <b/>
      <sz val="8"/>
      <color indexed="9"/>
      <name val="Tahoma"/>
      <family val="2"/>
    </font>
    <font>
      <b/>
      <sz val="8"/>
      <color indexed="8"/>
      <name val="Tahoma"/>
      <family val="2"/>
    </font>
    <font>
      <b/>
      <u/>
      <sz val="8"/>
      <color indexed="8"/>
      <name val="Tahoma"/>
      <family val="2"/>
    </font>
    <font>
      <b/>
      <u/>
      <sz val="8"/>
      <color indexed="9"/>
      <name val="Verdana"/>
      <family val="2"/>
    </font>
    <font>
      <b/>
      <sz val="8"/>
      <color indexed="23"/>
      <name val="Verdana"/>
      <family val="2"/>
    </font>
    <font>
      <sz val="16"/>
      <color indexed="9"/>
      <name val="Tahoma"/>
      <family val="2"/>
    </font>
    <font>
      <b/>
      <sz val="8"/>
      <color indexed="63"/>
      <name val="Verdana"/>
      <family val="2"/>
    </font>
    <font>
      <b/>
      <sz val="16"/>
      <color indexed="9"/>
      <name val="Tahoma"/>
      <family val="2"/>
    </font>
    <font>
      <sz val="10"/>
      <color indexed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sz val="10"/>
      <color indexed="10"/>
      <name val="Arial"/>
      <family val="2"/>
    </font>
    <font>
      <b/>
      <i/>
      <sz val="10"/>
      <name val="Arial"/>
      <family val="2"/>
    </font>
    <font>
      <b/>
      <sz val="10"/>
      <name val="Tahoma"/>
      <family val="2"/>
    </font>
    <font>
      <b/>
      <sz val="26"/>
      <color indexed="81"/>
      <name val="Arial"/>
      <family val="2"/>
    </font>
    <font>
      <b/>
      <sz val="26"/>
      <color indexed="10"/>
      <name val="Arial"/>
      <family val="2"/>
    </font>
    <font>
      <b/>
      <sz val="14"/>
      <color indexed="81"/>
      <name val="Arial"/>
      <family val="2"/>
    </font>
    <font>
      <b/>
      <sz val="26"/>
      <name val="Arial"/>
      <family val="2"/>
    </font>
    <font>
      <u/>
      <sz val="26"/>
      <color indexed="9"/>
      <name val="Verdana"/>
      <family val="2"/>
    </font>
    <font>
      <u/>
      <sz val="12"/>
      <color indexed="12"/>
      <name val="Arial"/>
      <family val="2"/>
    </font>
    <font>
      <b/>
      <u/>
      <sz val="14"/>
      <color indexed="9"/>
      <name val="Arial"/>
      <family val="2"/>
    </font>
    <font>
      <sz val="8"/>
      <name val="Times New Roman"/>
      <family val="1"/>
    </font>
    <font>
      <sz val="10"/>
      <name val="Helv"/>
    </font>
    <font>
      <b/>
      <sz val="9"/>
      <name val="Arial"/>
      <family val="2"/>
    </font>
    <font>
      <b/>
      <sz val="18"/>
      <name val="Arial"/>
      <family val="2"/>
    </font>
    <font>
      <b/>
      <sz val="12"/>
      <name val="Arial"/>
      <family val="2"/>
    </font>
    <font>
      <sz val="10"/>
      <color indexed="10"/>
      <name val="Helv"/>
    </font>
    <font>
      <sz val="8"/>
      <name val="Arial"/>
      <family val="2"/>
    </font>
    <font>
      <sz val="9"/>
      <color indexed="10"/>
      <name val="Arial"/>
      <family val="2"/>
    </font>
    <font>
      <i/>
      <sz val="10"/>
      <color indexed="12"/>
      <name val="Tms Rmn"/>
    </font>
    <font>
      <b/>
      <sz val="10"/>
      <color indexed="8"/>
      <name val="Tms Rmn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61"/>
      <name val="Calibri"/>
      <family val="2"/>
    </font>
    <font>
      <b/>
      <sz val="11"/>
      <color indexed="46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46"/>
      <name val="Calibri"/>
      <family val="2"/>
    </font>
    <font>
      <sz val="11"/>
      <color indexed="19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i/>
      <sz val="72"/>
      <color theme="0"/>
      <name val="Arial"/>
      <family val="2"/>
    </font>
  </fonts>
  <fills count="29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3"/>
      </patternFill>
    </fill>
    <fill>
      <patternFill patternType="solid">
        <fgColor indexed="27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50"/>
      </patternFill>
    </fill>
    <fill>
      <patternFill patternType="solid">
        <fgColor indexed="29"/>
      </patternFill>
    </fill>
    <fill>
      <patternFill patternType="solid">
        <fgColor indexed="56"/>
      </patternFill>
    </fill>
    <fill>
      <patternFill patternType="solid">
        <fgColor indexed="53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46"/>
      </patternFill>
    </fill>
    <fill>
      <patternFill patternType="solid">
        <fgColor indexed="9"/>
        <bgColor indexed="64"/>
      </patternFill>
    </fill>
    <fill>
      <patternFill patternType="solid">
        <fgColor indexed="14"/>
      </patternFill>
    </fill>
    <fill>
      <patternFill patternType="solid">
        <fgColor indexed="55"/>
        <bgColor indexed="64"/>
      </patternFill>
    </fill>
    <fill>
      <patternFill patternType="solid">
        <fgColor indexed="55"/>
      </patternFill>
    </fill>
    <fill>
      <patternFill patternType="lightGray">
        <fgColor indexed="13"/>
        <bgColor indexed="13"/>
      </patternFill>
    </fill>
    <fill>
      <patternFill patternType="darkGray">
        <fgColor indexed="22"/>
        <bgColor indexed="13"/>
      </patternFill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9"/>
      </patternFill>
    </fill>
    <fill>
      <patternFill patternType="solid">
        <fgColor indexed="22"/>
        <bgColor indexed="22"/>
      </patternFill>
    </fill>
    <fill>
      <patternFill patternType="solid">
        <fgColor indexed="58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6"/>
        <bgColor indexed="64"/>
      </patternFill>
    </fill>
  </fills>
  <borders count="2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medium">
        <color indexed="18"/>
      </left>
      <right style="medium">
        <color indexed="18"/>
      </right>
      <top style="medium">
        <color indexed="18"/>
      </top>
      <bottom style="medium">
        <color indexed="18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thin">
        <color indexed="55"/>
      </right>
      <top/>
      <bottom/>
      <diagonal/>
    </border>
    <border>
      <left/>
      <right/>
      <top/>
      <bottom style="medium">
        <color indexed="27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double">
        <color indexed="46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9"/>
      </left>
      <right/>
      <top style="thin">
        <color indexed="9"/>
      </top>
      <bottom style="thin">
        <color indexed="9"/>
      </bottom>
      <diagonal/>
    </border>
    <border>
      <left/>
      <right/>
      <top style="double">
        <color indexed="0"/>
      </top>
      <bottom/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78">
    <xf numFmtId="0" fontId="0" fillId="0" borderId="0"/>
    <xf numFmtId="0" fontId="36" fillId="2" borderId="0" applyNumberFormat="0" applyBorder="0" applyAlignment="0" applyProtection="0"/>
    <xf numFmtId="0" fontId="36" fillId="3" borderId="0" applyNumberFormat="0" applyBorder="0" applyAlignment="0" applyProtection="0"/>
    <xf numFmtId="0" fontId="36" fillId="3" borderId="0" applyNumberFormat="0" applyBorder="0" applyAlignment="0" applyProtection="0"/>
    <xf numFmtId="0" fontId="36" fillId="4" borderId="0" applyNumberFormat="0" applyBorder="0" applyAlignment="0" applyProtection="0"/>
    <xf numFmtId="0" fontId="36" fillId="2" borderId="0" applyNumberFormat="0" applyBorder="0" applyAlignment="0" applyProtection="0"/>
    <xf numFmtId="0" fontId="36" fillId="5" borderId="0" applyNumberFormat="0" applyBorder="0" applyAlignment="0" applyProtection="0"/>
    <xf numFmtId="0" fontId="36" fillId="6" borderId="0" applyNumberFormat="0" applyBorder="0" applyAlignment="0" applyProtection="0"/>
    <xf numFmtId="0" fontId="36" fillId="3" borderId="0" applyNumberFormat="0" applyBorder="0" applyAlignment="0" applyProtection="0"/>
    <xf numFmtId="0" fontId="36" fillId="7" borderId="0" applyNumberFormat="0" applyBorder="0" applyAlignment="0" applyProtection="0"/>
    <xf numFmtId="0" fontId="36" fillId="8" borderId="0" applyNumberFormat="0" applyBorder="0" applyAlignment="0" applyProtection="0"/>
    <xf numFmtId="0" fontId="36" fillId="6" borderId="0" applyNumberFormat="0" applyBorder="0" applyAlignment="0" applyProtection="0"/>
    <xf numFmtId="0" fontId="36" fillId="7" borderId="0" applyNumberFormat="0" applyBorder="0" applyAlignment="0" applyProtection="0"/>
    <xf numFmtId="0" fontId="37" fillId="6" borderId="0" applyNumberFormat="0" applyBorder="0" applyAlignment="0" applyProtection="0"/>
    <xf numFmtId="0" fontId="37" fillId="3" borderId="0" applyNumberFormat="0" applyBorder="0" applyAlignment="0" applyProtection="0"/>
    <xf numFmtId="0" fontId="37" fillId="9" borderId="0" applyNumberFormat="0" applyBorder="0" applyAlignment="0" applyProtection="0"/>
    <xf numFmtId="0" fontId="37" fillId="8" borderId="0" applyNumberFormat="0" applyBorder="0" applyAlignment="0" applyProtection="0"/>
    <xf numFmtId="0" fontId="37" fillId="6" borderId="0" applyNumberFormat="0" applyBorder="0" applyAlignment="0" applyProtection="0"/>
    <xf numFmtId="0" fontId="37" fillId="10" borderId="0" applyNumberFormat="0" applyBorder="0" applyAlignment="0" applyProtection="0"/>
    <xf numFmtId="0" fontId="37" fillId="11" borderId="0" applyNumberFormat="0" applyBorder="0" applyAlignment="0" applyProtection="0"/>
    <xf numFmtId="0" fontId="37" fillId="12" borderId="0" applyNumberFormat="0" applyBorder="0" applyAlignment="0" applyProtection="0"/>
    <xf numFmtId="0" fontId="37" fillId="9" borderId="0" applyNumberFormat="0" applyBorder="0" applyAlignment="0" applyProtection="0"/>
    <xf numFmtId="0" fontId="37" fillId="13" borderId="0" applyNumberFormat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37" fontId="2" fillId="16" borderId="1" applyBorder="0" applyProtection="0">
      <alignment vertical="center"/>
    </xf>
    <xf numFmtId="0" fontId="38" fillId="17" borderId="0" applyNumberFormat="0" applyBorder="0" applyAlignment="0" applyProtection="0"/>
    <xf numFmtId="5" fontId="26" fillId="0" borderId="2">
      <protection locked="0"/>
    </xf>
    <xf numFmtId="0" fontId="3" fillId="18" borderId="0" applyBorder="0">
      <alignment horizontal="left" vertical="center" indent="1"/>
    </xf>
    <xf numFmtId="0" fontId="39" fillId="4" borderId="3" applyNumberFormat="0" applyAlignment="0" applyProtection="0"/>
    <xf numFmtId="0" fontId="40" fillId="19" borderId="4" applyNumberFormat="0" applyAlignment="0" applyProtection="0"/>
    <xf numFmtId="43" fontId="1" fillId="0" borderId="0" applyFont="0" applyFill="0" applyBorder="0" applyAlignment="0" applyProtection="0"/>
    <xf numFmtId="3" fontId="1" fillId="0" borderId="0" applyFont="0" applyFill="0" applyBorder="0" applyAlignment="0" applyProtection="0"/>
    <xf numFmtId="5" fontId="1" fillId="0" borderId="0" applyFont="0" applyFill="0" applyBorder="0" applyAlignment="0" applyProtection="0"/>
    <xf numFmtId="0" fontId="27" fillId="0" borderId="5"/>
    <xf numFmtId="4" fontId="26" fillId="20" borderId="5">
      <protection locked="0"/>
    </xf>
    <xf numFmtId="0" fontId="1" fillId="0" borderId="0" applyFont="0" applyFill="0" applyBorder="0" applyAlignment="0" applyProtection="0"/>
    <xf numFmtId="166" fontId="1" fillId="0" borderId="0" applyFont="0" applyFill="0" applyBorder="0" applyAlignment="0" applyProtection="0"/>
    <xf numFmtId="168" fontId="1" fillId="0" borderId="0" applyFont="0" applyFill="0" applyBorder="0" applyAlignment="0" applyProtection="0"/>
    <xf numFmtId="0" fontId="41" fillId="0" borderId="0" applyNumberFormat="0" applyFill="0" applyBorder="0" applyAlignment="0" applyProtection="0"/>
    <xf numFmtId="2" fontId="1" fillId="0" borderId="0" applyFont="0" applyFill="0" applyBorder="0" applyAlignment="0" applyProtection="0"/>
    <xf numFmtId="0" fontId="42" fillId="6" borderId="0" applyNumberFormat="0" applyBorder="0" applyAlignment="0" applyProtection="0"/>
    <xf numFmtId="4" fontId="26" fillId="21" borderId="5"/>
    <xf numFmtId="43" fontId="28" fillId="0" borderId="6"/>
    <xf numFmtId="37" fontId="4" fillId="22" borderId="2" applyBorder="0">
      <alignment horizontal="left" vertical="center" indent="1"/>
    </xf>
    <xf numFmtId="37" fontId="5" fillId="23" borderId="7" applyFill="0">
      <alignment vertical="center"/>
    </xf>
    <xf numFmtId="0" fontId="5" fillId="24" borderId="8" applyNumberFormat="0">
      <alignment horizontal="left" vertical="top" indent="1"/>
    </xf>
    <xf numFmtId="0" fontId="5" fillId="16" borderId="0" applyBorder="0">
      <alignment horizontal="left" vertical="center" indent="1"/>
    </xf>
    <xf numFmtId="0" fontId="5" fillId="0" borderId="8" applyNumberFormat="0" applyFill="0">
      <alignment horizontal="centerContinuous" vertical="top"/>
    </xf>
    <xf numFmtId="0" fontId="6" fillId="16" borderId="9" applyNumberFormat="0" applyBorder="0">
      <alignment horizontal="left" vertical="center" indent="1"/>
    </xf>
    <xf numFmtId="0" fontId="29" fillId="0" borderId="0" applyNumberFormat="0" applyFont="0" applyFill="0" applyAlignment="0" applyProtection="0"/>
    <xf numFmtId="0" fontId="30" fillId="0" borderId="0" applyNumberFormat="0" applyFont="0" applyFill="0" applyAlignment="0" applyProtection="0"/>
    <xf numFmtId="0" fontId="43" fillId="0" borderId="10" applyNumberFormat="0" applyFill="0" applyAlignment="0" applyProtection="0"/>
    <xf numFmtId="0" fontId="43" fillId="0" borderId="0" applyNumberFormat="0" applyFill="0" applyBorder="0" applyAlignment="0" applyProtection="0"/>
    <xf numFmtId="0" fontId="7" fillId="18" borderId="0" applyNumberFormat="0" applyProtection="0">
      <alignment horizontal="left" vertical="center" indent="1"/>
      <protection locked="0"/>
    </xf>
    <xf numFmtId="0" fontId="44" fillId="10" borderId="3" applyNumberFormat="0" applyAlignment="0" applyProtection="0"/>
    <xf numFmtId="43" fontId="28" fillId="0" borderId="11"/>
    <xf numFmtId="0" fontId="45" fillId="0" borderId="12" applyNumberFormat="0" applyFill="0" applyAlignment="0" applyProtection="0"/>
    <xf numFmtId="44" fontId="28" fillId="0" borderId="13"/>
    <xf numFmtId="0" fontId="46" fillId="7" borderId="0" applyNumberFormat="0" applyBorder="0" applyAlignment="0" applyProtection="0"/>
    <xf numFmtId="0" fontId="8" fillId="23" borderId="0">
      <alignment horizontal="left" indent="1"/>
    </xf>
    <xf numFmtId="37" fontId="2" fillId="16" borderId="14" applyBorder="0">
      <alignment horizontal="left" vertical="center" indent="2"/>
    </xf>
    <xf numFmtId="0" fontId="31" fillId="0" borderId="0"/>
    <xf numFmtId="0" fontId="1" fillId="7" borderId="15" applyNumberFormat="0" applyFont="0" applyAlignment="0" applyProtection="0"/>
    <xf numFmtId="0" fontId="47" fillId="4" borderId="16" applyNumberFormat="0" applyAlignment="0" applyProtection="0"/>
    <xf numFmtId="172" fontId="32" fillId="25" borderId="17"/>
    <xf numFmtId="171" fontId="32" fillId="0" borderId="17" applyFont="0" applyFill="0" applyBorder="0" applyAlignment="0" applyProtection="0">
      <protection locked="0"/>
    </xf>
    <xf numFmtId="0" fontId="9" fillId="18" borderId="0">
      <alignment horizontal="left" indent="1"/>
    </xf>
    <xf numFmtId="2" fontId="33" fillId="0" borderId="0">
      <protection locked="0"/>
    </xf>
    <xf numFmtId="0" fontId="1" fillId="26" borderId="0"/>
    <xf numFmtId="0" fontId="10" fillId="18" borderId="0" applyBorder="0">
      <alignment horizontal="left" vertical="center" indent="1"/>
    </xf>
    <xf numFmtId="0" fontId="11" fillId="27" borderId="0" applyBorder="0">
      <alignment horizontal="left" vertical="center" indent="1"/>
    </xf>
    <xf numFmtId="0" fontId="34" fillId="0" borderId="0">
      <alignment horizontal="right"/>
    </xf>
    <xf numFmtId="0" fontId="35" fillId="0" borderId="0"/>
    <xf numFmtId="0" fontId="1" fillId="0" borderId="18" applyNumberFormat="0" applyFont="0" applyBorder="0" applyAlignment="0" applyProtection="0"/>
    <xf numFmtId="165" fontId="1" fillId="0" borderId="0" applyFont="0" applyFill="0" applyBorder="0" applyAlignment="0" applyProtection="0"/>
    <xf numFmtId="167" fontId="1" fillId="0" borderId="0" applyFont="0" applyFill="0" applyBorder="0" applyAlignment="0" applyProtection="0"/>
    <xf numFmtId="0" fontId="48" fillId="0" borderId="0" applyNumberFormat="0" applyFill="0" applyBorder="0" applyAlignment="0" applyProtection="0"/>
  </cellStyleXfs>
  <cellXfs count="51">
    <xf numFmtId="0" fontId="0" fillId="0" borderId="0" xfId="0"/>
    <xf numFmtId="0" fontId="12" fillId="0" borderId="15" xfId="0" applyFont="1" applyFill="1" applyBorder="1"/>
    <xf numFmtId="0" fontId="13" fillId="0" borderId="15" xfId="0" applyFont="1" applyFill="1" applyBorder="1"/>
    <xf numFmtId="0" fontId="13" fillId="0" borderId="15" xfId="0" applyFont="1" applyFill="1" applyBorder="1" applyAlignment="1">
      <alignment horizontal="left"/>
    </xf>
    <xf numFmtId="170" fontId="13" fillId="0" borderId="15" xfId="31" applyNumberFormat="1" applyFont="1" applyFill="1" applyBorder="1"/>
    <xf numFmtId="170" fontId="13" fillId="0" borderId="15" xfId="0" applyNumberFormat="1" applyFont="1" applyFill="1" applyBorder="1"/>
    <xf numFmtId="0" fontId="13" fillId="0" borderId="19" xfId="0" applyFont="1" applyFill="1" applyBorder="1"/>
    <xf numFmtId="0" fontId="13" fillId="0" borderId="15" xfId="0" applyFont="1" applyFill="1" applyBorder="1" applyAlignment="1">
      <alignment vertical="center"/>
    </xf>
    <xf numFmtId="0" fontId="12" fillId="0" borderId="15" xfId="0" applyFont="1" applyFill="1" applyBorder="1" applyAlignment="1">
      <alignment vertical="center"/>
    </xf>
    <xf numFmtId="0" fontId="14" fillId="0" borderId="15" xfId="0" applyFont="1" applyFill="1" applyBorder="1" applyAlignment="1">
      <alignment vertical="center"/>
    </xf>
    <xf numFmtId="0" fontId="14" fillId="0" borderId="15" xfId="0" applyFont="1" applyFill="1" applyBorder="1"/>
    <xf numFmtId="164" fontId="15" fillId="0" borderId="15" xfId="46" applyNumberFormat="1" applyFont="1" applyFill="1" applyBorder="1">
      <alignment horizontal="left" vertical="top" indent="1"/>
    </xf>
    <xf numFmtId="169" fontId="15" fillId="0" borderId="15" xfId="48" applyNumberFormat="1" applyFont="1" applyFill="1" applyBorder="1">
      <alignment horizontal="centerContinuous" vertical="top"/>
    </xf>
    <xf numFmtId="0" fontId="15" fillId="0" borderId="15" xfId="48" applyFont="1" applyFill="1" applyBorder="1">
      <alignment horizontal="centerContinuous" vertical="top"/>
    </xf>
    <xf numFmtId="0" fontId="12" fillId="0" borderId="15" xfId="46" applyFont="1" applyFill="1" applyBorder="1">
      <alignment horizontal="left" vertical="top" indent="1"/>
    </xf>
    <xf numFmtId="0" fontId="12" fillId="0" borderId="15" xfId="48" applyFont="1" applyFill="1" applyBorder="1">
      <alignment horizontal="centerContinuous" vertical="top"/>
    </xf>
    <xf numFmtId="0" fontId="15" fillId="0" borderId="15" xfId="46" applyFont="1" applyFill="1" applyBorder="1">
      <alignment horizontal="left" vertical="top" indent="1"/>
    </xf>
    <xf numFmtId="37" fontId="13" fillId="0" borderId="15" xfId="61" applyFont="1" applyFill="1" applyBorder="1">
      <alignment horizontal="left" vertical="center" indent="2"/>
    </xf>
    <xf numFmtId="37" fontId="13" fillId="0" borderId="15" xfId="61" applyFont="1" applyFill="1" applyBorder="1" applyAlignment="1">
      <alignment horizontal="left" vertical="center" indent="4"/>
    </xf>
    <xf numFmtId="37" fontId="15" fillId="0" borderId="15" xfId="46" applyNumberFormat="1" applyFont="1" applyFill="1" applyBorder="1">
      <alignment horizontal="left" vertical="top" indent="1"/>
    </xf>
    <xf numFmtId="37" fontId="12" fillId="0" borderId="15" xfId="45" applyFont="1" applyFill="1" applyBorder="1">
      <alignment vertical="center"/>
    </xf>
    <xf numFmtId="37" fontId="12" fillId="0" borderId="15" xfId="45" applyFont="1" applyFill="1" applyBorder="1" applyAlignment="1">
      <alignment vertical="center"/>
    </xf>
    <xf numFmtId="37" fontId="14" fillId="0" borderId="15" xfId="61" applyFont="1" applyFill="1" applyBorder="1" applyAlignment="1">
      <alignment horizontal="left" vertical="center" indent="1"/>
    </xf>
    <xf numFmtId="37" fontId="13" fillId="0" borderId="15" xfId="25" applyFont="1" applyFill="1" applyBorder="1">
      <alignment vertical="center"/>
    </xf>
    <xf numFmtId="0" fontId="15" fillId="0" borderId="15" xfId="47" applyFont="1" applyFill="1" applyBorder="1">
      <alignment horizontal="left" vertical="center" indent="1"/>
    </xf>
    <xf numFmtId="37" fontId="12" fillId="0" borderId="15" xfId="25" applyFont="1" applyFill="1" applyBorder="1">
      <alignment vertical="center"/>
    </xf>
    <xf numFmtId="37" fontId="16" fillId="0" borderId="15" xfId="25" applyFont="1" applyFill="1" applyBorder="1">
      <alignment vertical="center"/>
    </xf>
    <xf numFmtId="37" fontId="17" fillId="0" borderId="15" xfId="61" applyFont="1" applyFill="1" applyBorder="1" applyAlignment="1">
      <alignment horizontal="left" vertical="center"/>
    </xf>
    <xf numFmtId="37" fontId="14" fillId="0" borderId="15" xfId="61" applyFont="1" applyFill="1" applyBorder="1" applyAlignment="1">
      <alignment horizontal="left" vertical="center"/>
    </xf>
    <xf numFmtId="37" fontId="14" fillId="0" borderId="15" xfId="61" applyFont="1" applyFill="1" applyBorder="1" applyAlignment="1">
      <alignment horizontal="left" vertical="center" indent="2"/>
    </xf>
    <xf numFmtId="37" fontId="12" fillId="0" borderId="15" xfId="46" applyNumberFormat="1" applyFont="1" applyFill="1" applyBorder="1">
      <alignment horizontal="left" vertical="top" indent="1"/>
    </xf>
    <xf numFmtId="0" fontId="18" fillId="0" borderId="15" xfId="46" applyFont="1" applyFill="1" applyBorder="1" applyAlignment="1">
      <alignment vertical="center"/>
    </xf>
    <xf numFmtId="37" fontId="18" fillId="0" borderId="15" xfId="45" applyFont="1" applyFill="1" applyBorder="1" applyAlignment="1">
      <alignment vertical="center"/>
    </xf>
    <xf numFmtId="37" fontId="12" fillId="0" borderId="15" xfId="61" applyFont="1" applyFill="1" applyBorder="1">
      <alignment horizontal="left" vertical="center" indent="2"/>
    </xf>
    <xf numFmtId="37" fontId="15" fillId="0" borderId="15" xfId="61" applyFont="1" applyFill="1" applyBorder="1">
      <alignment horizontal="left" vertical="center" indent="2"/>
    </xf>
    <xf numFmtId="37" fontId="15" fillId="0" borderId="15" xfId="61" applyFont="1" applyFill="1" applyBorder="1" applyAlignment="1">
      <alignment horizontal="left" vertical="center" indent="2"/>
    </xf>
    <xf numFmtId="37" fontId="12" fillId="0" borderId="15" xfId="46" applyNumberFormat="1" applyFont="1" applyFill="1" applyBorder="1" applyAlignment="1">
      <alignment vertical="center"/>
    </xf>
    <xf numFmtId="37" fontId="18" fillId="0" borderId="15" xfId="46" applyNumberFormat="1" applyFont="1" applyFill="1" applyBorder="1" applyAlignment="1">
      <alignment vertical="center"/>
    </xf>
    <xf numFmtId="0" fontId="0" fillId="22" borderId="0" xfId="0" applyFill="1"/>
    <xf numFmtId="170" fontId="13" fillId="28" borderId="15" xfId="31" applyNumberFormat="1" applyFont="1" applyFill="1" applyBorder="1"/>
    <xf numFmtId="169" fontId="15" fillId="28" borderId="15" xfId="48" applyNumberFormat="1" applyFont="1" applyFill="1" applyBorder="1">
      <alignment horizontal="centerContinuous" vertical="top"/>
    </xf>
    <xf numFmtId="0" fontId="0" fillId="22" borderId="0" xfId="0" applyFill="1" applyBorder="1" applyAlignment="1"/>
    <xf numFmtId="0" fontId="25" fillId="22" borderId="0" xfId="54" applyFont="1" applyFill="1" applyAlignment="1" applyProtection="1">
      <alignment vertical="center"/>
    </xf>
    <xf numFmtId="0" fontId="23" fillId="22" borderId="0" xfId="54" applyFont="1" applyFill="1" applyAlignment="1" applyProtection="1">
      <alignment horizontal="center" vertical="center"/>
    </xf>
    <xf numFmtId="0" fontId="20" fillId="22" borderId="0" xfId="0" applyFont="1" applyFill="1" applyAlignment="1">
      <alignment horizontal="center" vertical="center" wrapText="1"/>
    </xf>
    <xf numFmtId="0" fontId="22" fillId="0" borderId="0" xfId="0" applyFont="1" applyAlignment="1">
      <alignment horizontal="center" vertical="center" wrapText="1"/>
    </xf>
    <xf numFmtId="0" fontId="49" fillId="22" borderId="0" xfId="0" applyFont="1" applyFill="1" applyBorder="1" applyAlignment="1">
      <alignment horizontal="center"/>
    </xf>
    <xf numFmtId="0" fontId="24" fillId="16" borderId="20" xfId="54" applyFont="1" applyFill="1" applyBorder="1" applyAlignment="1" applyProtection="1">
      <alignment horizontal="center" vertical="center"/>
    </xf>
    <xf numFmtId="0" fontId="24" fillId="16" borderId="21" xfId="54" applyFont="1" applyFill="1" applyBorder="1" applyAlignment="1" applyProtection="1">
      <alignment horizontal="center" vertical="center"/>
    </xf>
    <xf numFmtId="0" fontId="24" fillId="16" borderId="22" xfId="54" applyFont="1" applyFill="1" applyBorder="1" applyAlignment="1" applyProtection="1">
      <alignment horizontal="center" vertical="center"/>
    </xf>
    <xf numFmtId="0" fontId="25" fillId="22" borderId="0" xfId="54" applyFont="1" applyFill="1" applyAlignment="1" applyProtection="1">
      <alignment horizontal="center" vertical="center"/>
    </xf>
  </cellXfs>
  <cellStyles count="78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mount" xfId="25" xr:uid="{00000000-0005-0000-0000-000018000000}"/>
    <cellStyle name="Bad" xfId="26" builtinId="27" customBuiltin="1"/>
    <cellStyle name="Blank" xfId="27" xr:uid="{00000000-0005-0000-0000-00001A000000}"/>
    <cellStyle name="Body text" xfId="28" xr:uid="{00000000-0005-0000-0000-00001B000000}"/>
    <cellStyle name="Calculation" xfId="29" builtinId="22" customBuiltin="1"/>
    <cellStyle name="Check Cell" xfId="30" builtinId="23" customBuiltin="1"/>
    <cellStyle name="Comma" xfId="31" builtinId="3"/>
    <cellStyle name="Comma0" xfId="32" xr:uid="{00000000-0005-0000-0000-00001F000000}"/>
    <cellStyle name="Currency0" xfId="33" xr:uid="{00000000-0005-0000-0000-000020000000}"/>
    <cellStyle name="DarkBlueOutline" xfId="34" xr:uid="{00000000-0005-0000-0000-000021000000}"/>
    <cellStyle name="DarkBlueOutlineYellow" xfId="35" xr:uid="{00000000-0005-0000-0000-000022000000}"/>
    <cellStyle name="Date" xfId="36" xr:uid="{00000000-0005-0000-0000-000023000000}"/>
    <cellStyle name="Dezimal [0]_Compiling Utility Macros" xfId="37" xr:uid="{00000000-0005-0000-0000-000024000000}"/>
    <cellStyle name="Dezimal_Compiling Utility Macros" xfId="38" xr:uid="{00000000-0005-0000-0000-000025000000}"/>
    <cellStyle name="Explanatory Text" xfId="39" builtinId="53" customBuiltin="1"/>
    <cellStyle name="Fixed" xfId="40" xr:uid="{00000000-0005-0000-0000-000027000000}"/>
    <cellStyle name="Good" xfId="41" builtinId="26" customBuiltin="1"/>
    <cellStyle name="GRAY" xfId="42" xr:uid="{00000000-0005-0000-0000-000029000000}"/>
    <cellStyle name="Gross Margin" xfId="43" xr:uid="{00000000-0005-0000-0000-00002A000000}"/>
    <cellStyle name="header" xfId="44" xr:uid="{00000000-0005-0000-0000-00002B000000}"/>
    <cellStyle name="Header Total" xfId="45" xr:uid="{00000000-0005-0000-0000-00002C000000}"/>
    <cellStyle name="Header1" xfId="46" xr:uid="{00000000-0005-0000-0000-00002D000000}"/>
    <cellStyle name="Header2" xfId="47" xr:uid="{00000000-0005-0000-0000-00002E000000}"/>
    <cellStyle name="Header3" xfId="48" xr:uid="{00000000-0005-0000-0000-00002F000000}"/>
    <cellStyle name="Header4" xfId="49" xr:uid="{00000000-0005-0000-0000-000030000000}"/>
    <cellStyle name="Heading 1" xfId="50" builtinId="16" customBuiltin="1"/>
    <cellStyle name="Heading 2" xfId="51" builtinId="17" customBuiltin="1"/>
    <cellStyle name="Heading 3" xfId="52" builtinId="18" customBuiltin="1"/>
    <cellStyle name="Heading 4" xfId="53" builtinId="19" customBuiltin="1"/>
    <cellStyle name="Hyperlink" xfId="54" builtinId="8"/>
    <cellStyle name="Input" xfId="55" builtinId="20" customBuiltin="1"/>
    <cellStyle name="Level 2 Total" xfId="56" xr:uid="{00000000-0005-0000-0000-000037000000}"/>
    <cellStyle name="Linked Cell" xfId="57" builtinId="24" customBuiltin="1"/>
    <cellStyle name="Major Total" xfId="58" xr:uid="{00000000-0005-0000-0000-000039000000}"/>
    <cellStyle name="Neutral" xfId="59" builtinId="28" customBuiltin="1"/>
    <cellStyle name="NonPrint_Heading" xfId="60" xr:uid="{00000000-0005-0000-0000-00003B000000}"/>
    <cellStyle name="Normal" xfId="0" builtinId="0"/>
    <cellStyle name="Normal 2" xfId="61" xr:uid="{00000000-0005-0000-0000-00003D000000}"/>
    <cellStyle name="NormalRed" xfId="62" xr:uid="{00000000-0005-0000-0000-00003E000000}"/>
    <cellStyle name="Note" xfId="63" builtinId="10" customBuiltin="1"/>
    <cellStyle name="Output" xfId="64" builtinId="21" customBuiltin="1"/>
    <cellStyle name="Percent.0" xfId="65" xr:uid="{00000000-0005-0000-0000-000041000000}"/>
    <cellStyle name="Percent.00" xfId="66" xr:uid="{00000000-0005-0000-0000-000042000000}"/>
    <cellStyle name="Product Title" xfId="67" xr:uid="{00000000-0005-0000-0000-000043000000}"/>
    <cellStyle name="RED POSTED" xfId="68" xr:uid="{00000000-0005-0000-0000-000044000000}"/>
    <cellStyle name="Standard_Anpassen der Amortisation" xfId="69" xr:uid="{00000000-0005-0000-0000-000045000000}"/>
    <cellStyle name="Text" xfId="70" xr:uid="{00000000-0005-0000-0000-000046000000}"/>
    <cellStyle name="Title" xfId="71" builtinId="15" customBuiltin="1"/>
    <cellStyle name="TmsRmn10BlueItalic" xfId="72" xr:uid="{00000000-0005-0000-0000-000048000000}"/>
    <cellStyle name="TmsRmn10Bold" xfId="73" xr:uid="{00000000-0005-0000-0000-000049000000}"/>
    <cellStyle name="Total" xfId="74" builtinId="25" customBuiltin="1"/>
    <cellStyle name="Währung [0]_Compiling Utility Macros" xfId="75" xr:uid="{00000000-0005-0000-0000-00004B000000}"/>
    <cellStyle name="Währung_Compiling Utility Macros" xfId="76" xr:uid="{00000000-0005-0000-0000-00004C000000}"/>
    <cellStyle name="Warning Text" xfId="77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theme" Target="theme/theme1.xml"/><Relationship Id="rId30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Sales Product 1</a:t>
            </a:r>
          </a:p>
        </c:rich>
      </c:tx>
      <c:layout>
        <c:manualLayout>
          <c:xMode val="edge"/>
          <c:yMode val="edge"/>
          <c:x val="0.36745494367376996"/>
          <c:y val="3.09461544970645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839526571440709"/>
          <c:y val="0.19186615788180031"/>
          <c:w val="0.82253375853128441"/>
          <c:h val="0.6395538596060006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'Data Entry'!$B$5</c:f>
              <c:strCache>
                <c:ptCount val="1"/>
                <c:pt idx="0">
                  <c:v>Sales by Product Line 1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Entry'!$C$5:$N$5</c:f>
              <c:numCache>
                <c:formatCode>_(* #,##0_);_(* \(#,##0\);_(* "-"??_);_(@_)</c:formatCode>
                <c:ptCount val="12"/>
                <c:pt idx="0">
                  <c:v>1600</c:v>
                </c:pt>
                <c:pt idx="1">
                  <c:v>3350</c:v>
                </c:pt>
                <c:pt idx="2">
                  <c:v>5100</c:v>
                </c:pt>
                <c:pt idx="3">
                  <c:v>6850</c:v>
                </c:pt>
                <c:pt idx="4">
                  <c:v>8600</c:v>
                </c:pt>
                <c:pt idx="5">
                  <c:v>10350</c:v>
                </c:pt>
                <c:pt idx="6">
                  <c:v>12100</c:v>
                </c:pt>
                <c:pt idx="7">
                  <c:v>13850</c:v>
                </c:pt>
                <c:pt idx="8">
                  <c:v>15600</c:v>
                </c:pt>
                <c:pt idx="9">
                  <c:v>17350</c:v>
                </c:pt>
                <c:pt idx="10">
                  <c:v>19100</c:v>
                </c:pt>
                <c:pt idx="11">
                  <c:v>20850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AF-4D79-891B-7359BFD96499}"/>
            </c:ext>
          </c:extLst>
        </c:ser>
        <c:ser>
          <c:idx val="0"/>
          <c:order val="1"/>
          <c:tx>
            <c:strRef>
              <c:f>'Data Entry'!$B$6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Entry'!$C$6:$N$6</c:f>
              <c:numCache>
                <c:formatCode>_(* #,##0_);_(* \(#,##0\);_(* "-"??_);_(@_)</c:formatCode>
                <c:ptCount val="12"/>
                <c:pt idx="0">
                  <c:v>595</c:v>
                </c:pt>
                <c:pt idx="1">
                  <c:v>1678</c:v>
                </c:pt>
                <c:pt idx="2">
                  <c:v>4754</c:v>
                </c:pt>
                <c:pt idx="3">
                  <c:v>6501</c:v>
                </c:pt>
                <c:pt idx="4">
                  <c:v>7744</c:v>
                </c:pt>
                <c:pt idx="5">
                  <c:v>9845</c:v>
                </c:pt>
                <c:pt idx="6">
                  <c:v>10976</c:v>
                </c:pt>
                <c:pt idx="7">
                  <c:v>11232</c:v>
                </c:pt>
                <c:pt idx="8">
                  <c:v>14323</c:v>
                </c:pt>
                <c:pt idx="9">
                  <c:v>15434</c:v>
                </c:pt>
                <c:pt idx="10">
                  <c:v>16543</c:v>
                </c:pt>
                <c:pt idx="11">
                  <c:v>17896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1AF-4D79-891B-7359BFD96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73984224"/>
        <c:axId val="-973988576"/>
      </c:barChart>
      <c:lineChart>
        <c:grouping val="standard"/>
        <c:varyColors val="0"/>
        <c:ser>
          <c:idx val="2"/>
          <c:order val="2"/>
          <c:tx>
            <c:strRef>
              <c:f>'Data Entry'!$B$7</c:f>
              <c:strCache>
                <c:ptCount val="1"/>
                <c:pt idx="0">
                  <c:v>Over / (Under Budget)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'Data Entry'!$C$7:$N$7</c:f>
              <c:numCache>
                <c:formatCode>_(* #,##0_);_(* \(#,##0\);_(* "-"??_);_(@_)</c:formatCode>
                <c:ptCount val="12"/>
                <c:pt idx="0">
                  <c:v>1005</c:v>
                </c:pt>
                <c:pt idx="1">
                  <c:v>1672</c:v>
                </c:pt>
                <c:pt idx="2">
                  <c:v>346</c:v>
                </c:pt>
                <c:pt idx="3">
                  <c:v>349</c:v>
                </c:pt>
                <c:pt idx="4">
                  <c:v>856</c:v>
                </c:pt>
                <c:pt idx="5">
                  <c:v>505</c:v>
                </c:pt>
                <c:pt idx="6">
                  <c:v>1124</c:v>
                </c:pt>
                <c:pt idx="7">
                  <c:v>2618</c:v>
                </c:pt>
                <c:pt idx="8">
                  <c:v>1277</c:v>
                </c:pt>
                <c:pt idx="9">
                  <c:v>1916</c:v>
                </c:pt>
                <c:pt idx="10">
                  <c:v>2557</c:v>
                </c:pt>
                <c:pt idx="11">
                  <c:v>2954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1AF-4D79-891B-7359BFD964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73983680"/>
        <c:axId val="-973992384"/>
      </c:lineChart>
      <c:dateAx>
        <c:axId val="-973984224"/>
        <c:scaling>
          <c:orientation val="minMax"/>
        </c:scaling>
        <c:delete val="0"/>
        <c:axPos val="b"/>
        <c:numFmt formatCode="mmmmm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973988576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-9739885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973984224"/>
        <c:crosses val="autoZero"/>
        <c:crossBetween val="between"/>
      </c:valAx>
      <c:catAx>
        <c:axId val="-973983680"/>
        <c:scaling>
          <c:orientation val="minMax"/>
        </c:scaling>
        <c:delete val="1"/>
        <c:axPos val="b"/>
        <c:majorTickMark val="out"/>
        <c:minorTickMark val="none"/>
        <c:tickLblPos val="none"/>
        <c:crossAx val="-973992384"/>
        <c:crosses val="autoZero"/>
        <c:auto val="1"/>
        <c:lblAlgn val="ctr"/>
        <c:lblOffset val="100"/>
        <c:noMultiLvlLbl val="0"/>
      </c:catAx>
      <c:valAx>
        <c:axId val="-973992384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one"/>
        <c:crossAx val="-973983680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9358106285762789E-2"/>
          <c:y val="0.91806925007958218"/>
          <c:w val="0.88047857657214801"/>
          <c:h val="6.808153989354205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>
            <a:gamma/>
            <a:shade val="46275"/>
            <a:invGamma/>
          </a:srgbClr>
        </a:gs>
        <a:gs pos="50000">
          <a:srgbClr val="FFFFFF"/>
        </a:gs>
        <a:gs pos="100000">
          <a:srgbClr val="FFFFFF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44" r="0.75000000000000044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Sales Product 2</a:t>
            </a:r>
          </a:p>
        </c:rich>
      </c:tx>
      <c:layout>
        <c:manualLayout>
          <c:xMode val="edge"/>
          <c:yMode val="edge"/>
          <c:x val="0.36745494367376996"/>
          <c:y val="3.09461544970645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839526571440709"/>
          <c:y val="0.19186615788180031"/>
          <c:w val="0.82253375853128441"/>
          <c:h val="0.6395538596060006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'Data Entry'!$B$9</c:f>
              <c:strCache>
                <c:ptCount val="1"/>
                <c:pt idx="0">
                  <c:v>Sales by Product Line 2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Entry'!$C$9:$N$9</c:f>
              <c:numCache>
                <c:formatCode>_(* #,##0_);_(* \(#,##0\);_(* "-"??_);_(@_)</c:formatCode>
                <c:ptCount val="12"/>
                <c:pt idx="0">
                  <c:v>2600</c:v>
                </c:pt>
                <c:pt idx="1">
                  <c:v>3350</c:v>
                </c:pt>
                <c:pt idx="2">
                  <c:v>4100</c:v>
                </c:pt>
                <c:pt idx="3">
                  <c:v>4850</c:v>
                </c:pt>
                <c:pt idx="4">
                  <c:v>5600</c:v>
                </c:pt>
                <c:pt idx="5">
                  <c:v>6350</c:v>
                </c:pt>
                <c:pt idx="6">
                  <c:v>7100</c:v>
                </c:pt>
                <c:pt idx="7">
                  <c:v>7850</c:v>
                </c:pt>
                <c:pt idx="8">
                  <c:v>8600</c:v>
                </c:pt>
                <c:pt idx="9">
                  <c:v>9350</c:v>
                </c:pt>
                <c:pt idx="10">
                  <c:v>10100</c:v>
                </c:pt>
                <c:pt idx="11">
                  <c:v>10850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988-48B0-8E98-B553ED06E22B}"/>
            </c:ext>
          </c:extLst>
        </c:ser>
        <c:ser>
          <c:idx val="0"/>
          <c:order val="1"/>
          <c:tx>
            <c:strRef>
              <c:f>'Data Entry'!$B$10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Entry'!$C$10:$N$10</c:f>
              <c:numCache>
                <c:formatCode>_(* #,##0_);_(* \(#,##0\);_(* "-"??_);_(@_)</c:formatCode>
                <c:ptCount val="12"/>
                <c:pt idx="0">
                  <c:v>1595</c:v>
                </c:pt>
                <c:pt idx="1">
                  <c:v>1678</c:v>
                </c:pt>
                <c:pt idx="2">
                  <c:v>2754</c:v>
                </c:pt>
                <c:pt idx="3">
                  <c:v>3168</c:v>
                </c:pt>
                <c:pt idx="4">
                  <c:v>3747.5</c:v>
                </c:pt>
                <c:pt idx="5">
                  <c:v>4327</c:v>
                </c:pt>
                <c:pt idx="6">
                  <c:v>4906.5</c:v>
                </c:pt>
                <c:pt idx="7">
                  <c:v>5486</c:v>
                </c:pt>
                <c:pt idx="8">
                  <c:v>6065.5</c:v>
                </c:pt>
                <c:pt idx="9">
                  <c:v>6645</c:v>
                </c:pt>
                <c:pt idx="10">
                  <c:v>7224.5</c:v>
                </c:pt>
                <c:pt idx="11">
                  <c:v>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988-48B0-8E98-B553ED06E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73980960"/>
        <c:axId val="-973994560"/>
      </c:barChart>
      <c:lineChart>
        <c:grouping val="standard"/>
        <c:varyColors val="0"/>
        <c:ser>
          <c:idx val="2"/>
          <c:order val="2"/>
          <c:tx>
            <c:strRef>
              <c:f>'Data Entry'!$B$11</c:f>
              <c:strCache>
                <c:ptCount val="1"/>
                <c:pt idx="0">
                  <c:v>Over / (Under Budget)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'Data Entry'!$C$11:$N$11</c:f>
              <c:numCache>
                <c:formatCode>_(* #,##0_);_(* \(#,##0\);_(* "-"??_);_(@_)</c:formatCode>
                <c:ptCount val="12"/>
                <c:pt idx="0">
                  <c:v>1005</c:v>
                </c:pt>
                <c:pt idx="1">
                  <c:v>1672</c:v>
                </c:pt>
                <c:pt idx="2">
                  <c:v>1346</c:v>
                </c:pt>
                <c:pt idx="3">
                  <c:v>1682</c:v>
                </c:pt>
                <c:pt idx="4">
                  <c:v>1852.5</c:v>
                </c:pt>
                <c:pt idx="5">
                  <c:v>2023</c:v>
                </c:pt>
                <c:pt idx="6">
                  <c:v>2193.5</c:v>
                </c:pt>
                <c:pt idx="7">
                  <c:v>2364</c:v>
                </c:pt>
                <c:pt idx="8">
                  <c:v>2534.5</c:v>
                </c:pt>
                <c:pt idx="9">
                  <c:v>2705</c:v>
                </c:pt>
                <c:pt idx="10">
                  <c:v>2875.5</c:v>
                </c:pt>
                <c:pt idx="11">
                  <c:v>3046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988-48B0-8E98-B553ED06E2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73991840"/>
        <c:axId val="-973991296"/>
      </c:lineChart>
      <c:dateAx>
        <c:axId val="-973980960"/>
        <c:scaling>
          <c:orientation val="minMax"/>
        </c:scaling>
        <c:delete val="0"/>
        <c:axPos val="b"/>
        <c:numFmt formatCode="mmmmm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973994560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-9739945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973980960"/>
        <c:crosses val="autoZero"/>
        <c:crossBetween val="between"/>
      </c:valAx>
      <c:catAx>
        <c:axId val="-973991840"/>
        <c:scaling>
          <c:orientation val="minMax"/>
        </c:scaling>
        <c:delete val="1"/>
        <c:axPos val="b"/>
        <c:majorTickMark val="out"/>
        <c:minorTickMark val="none"/>
        <c:tickLblPos val="none"/>
        <c:crossAx val="-973991296"/>
        <c:crosses val="autoZero"/>
        <c:auto val="1"/>
        <c:lblAlgn val="ctr"/>
        <c:lblOffset val="100"/>
        <c:noMultiLvlLbl val="0"/>
      </c:catAx>
      <c:valAx>
        <c:axId val="-973991296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one"/>
        <c:crossAx val="-973991840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9358106285762789E-2"/>
          <c:y val="0.91806925007958218"/>
          <c:w val="0.88047857657214801"/>
          <c:h val="6.808153989354205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>
            <a:gamma/>
            <a:shade val="46275"/>
            <a:invGamma/>
          </a:srgbClr>
        </a:gs>
        <a:gs pos="50000">
          <a:srgbClr val="FFFFFF"/>
        </a:gs>
        <a:gs pos="100000">
          <a:srgbClr val="FFFFFF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44" r="0.75000000000000044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Sales Product 3</a:t>
            </a:r>
          </a:p>
        </c:rich>
      </c:tx>
      <c:layout>
        <c:manualLayout>
          <c:xMode val="edge"/>
          <c:yMode val="edge"/>
          <c:x val="0.36745494367376996"/>
          <c:y val="3.09461544970645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839526571440709"/>
          <c:y val="0.19186615788180031"/>
          <c:w val="0.82253375853128441"/>
          <c:h val="0.6705000141030658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'Data Entry'!$B$13</c:f>
              <c:strCache>
                <c:ptCount val="1"/>
                <c:pt idx="0">
                  <c:v>Sales by Product Line 3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Entry'!$C$13:$N$13</c:f>
              <c:numCache>
                <c:formatCode>_(* #,##0_);_(* \(#,##0\);_(* "-"??_);_(@_)</c:formatCode>
                <c:ptCount val="12"/>
                <c:pt idx="0">
                  <c:v>1600</c:v>
                </c:pt>
                <c:pt idx="1">
                  <c:v>3350</c:v>
                </c:pt>
                <c:pt idx="2">
                  <c:v>5100</c:v>
                </c:pt>
                <c:pt idx="3">
                  <c:v>6850</c:v>
                </c:pt>
                <c:pt idx="4">
                  <c:v>8600</c:v>
                </c:pt>
                <c:pt idx="5">
                  <c:v>10350</c:v>
                </c:pt>
                <c:pt idx="6">
                  <c:v>12100</c:v>
                </c:pt>
                <c:pt idx="7">
                  <c:v>13850</c:v>
                </c:pt>
                <c:pt idx="8">
                  <c:v>15600</c:v>
                </c:pt>
                <c:pt idx="9">
                  <c:v>17350</c:v>
                </c:pt>
                <c:pt idx="10">
                  <c:v>19100</c:v>
                </c:pt>
                <c:pt idx="11">
                  <c:v>20850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6D-478D-A0E9-2FE52029F0D9}"/>
            </c:ext>
          </c:extLst>
        </c:ser>
        <c:ser>
          <c:idx val="0"/>
          <c:order val="1"/>
          <c:tx>
            <c:strRef>
              <c:f>'Data Entry'!$B$14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Entry'!$C$14:$N$14</c:f>
              <c:numCache>
                <c:formatCode>_(* #,##0_);_(* \(#,##0\);_(* "-"??_);_(@_)</c:formatCode>
                <c:ptCount val="12"/>
                <c:pt idx="0">
                  <c:v>1895</c:v>
                </c:pt>
                <c:pt idx="1">
                  <c:v>3678</c:v>
                </c:pt>
                <c:pt idx="2">
                  <c:v>5754</c:v>
                </c:pt>
                <c:pt idx="3">
                  <c:v>7501</c:v>
                </c:pt>
                <c:pt idx="4">
                  <c:v>9430.5000000000091</c:v>
                </c:pt>
                <c:pt idx="5">
                  <c:v>11319.9</c:v>
                </c:pt>
                <c:pt idx="6">
                  <c:v>13209.3</c:v>
                </c:pt>
                <c:pt idx="7">
                  <c:v>15098.7</c:v>
                </c:pt>
                <c:pt idx="8">
                  <c:v>16988.099999999999</c:v>
                </c:pt>
                <c:pt idx="9">
                  <c:v>18877.5</c:v>
                </c:pt>
                <c:pt idx="10">
                  <c:v>20766.900000000001</c:v>
                </c:pt>
                <c:pt idx="11">
                  <c:v>22656.3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56D-478D-A0E9-2FE52029F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82558480"/>
        <c:axId val="-882561200"/>
      </c:barChart>
      <c:lineChart>
        <c:grouping val="standard"/>
        <c:varyColors val="0"/>
        <c:ser>
          <c:idx val="2"/>
          <c:order val="2"/>
          <c:tx>
            <c:strRef>
              <c:f>'Data Entry'!$B$15</c:f>
              <c:strCache>
                <c:ptCount val="1"/>
                <c:pt idx="0">
                  <c:v>Over / (Under Budget)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'Data Entry'!$C$15:$N$15</c:f>
              <c:numCache>
                <c:formatCode>_(* #,##0_);_(* \(#,##0\);_(* "-"??_);_(@_)</c:formatCode>
                <c:ptCount val="12"/>
                <c:pt idx="0">
                  <c:v>-295</c:v>
                </c:pt>
                <c:pt idx="1">
                  <c:v>-328</c:v>
                </c:pt>
                <c:pt idx="2">
                  <c:v>-654</c:v>
                </c:pt>
                <c:pt idx="3">
                  <c:v>-651</c:v>
                </c:pt>
                <c:pt idx="4">
                  <c:v>-830.50000000000909</c:v>
                </c:pt>
                <c:pt idx="5">
                  <c:v>-969.89999999999964</c:v>
                </c:pt>
                <c:pt idx="6">
                  <c:v>-1109.2999999999993</c:v>
                </c:pt>
                <c:pt idx="7">
                  <c:v>-1248.7000000000007</c:v>
                </c:pt>
                <c:pt idx="8">
                  <c:v>-1388.0999999999985</c:v>
                </c:pt>
                <c:pt idx="9">
                  <c:v>-1527.5</c:v>
                </c:pt>
                <c:pt idx="10">
                  <c:v>-1666.9000000000015</c:v>
                </c:pt>
                <c:pt idx="11">
                  <c:v>-1806.2999999999993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56D-478D-A0E9-2FE52029F0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82554672"/>
        <c:axId val="-882559024"/>
      </c:lineChart>
      <c:dateAx>
        <c:axId val="-882558480"/>
        <c:scaling>
          <c:orientation val="minMax"/>
        </c:scaling>
        <c:delete val="0"/>
        <c:axPos val="b"/>
        <c:numFmt formatCode="mmmmm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82561200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-8825612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82558480"/>
        <c:crosses val="autoZero"/>
        <c:crossBetween val="between"/>
      </c:valAx>
      <c:catAx>
        <c:axId val="-882554672"/>
        <c:scaling>
          <c:orientation val="minMax"/>
        </c:scaling>
        <c:delete val="1"/>
        <c:axPos val="b"/>
        <c:majorTickMark val="out"/>
        <c:minorTickMark val="none"/>
        <c:tickLblPos val="none"/>
        <c:crossAx val="-882559024"/>
        <c:crosses val="autoZero"/>
        <c:auto val="1"/>
        <c:lblAlgn val="ctr"/>
        <c:lblOffset val="100"/>
        <c:noMultiLvlLbl val="0"/>
      </c:catAx>
      <c:valAx>
        <c:axId val="-882559024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one"/>
        <c:crossAx val="-882554672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9358106285762789E-2"/>
          <c:y val="0.91806925007958218"/>
          <c:w val="0.88047857657214801"/>
          <c:h val="6.808153989354205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>
            <a:gamma/>
            <a:shade val="46275"/>
            <a:invGamma/>
          </a:srgbClr>
        </a:gs>
        <a:gs pos="50000">
          <a:srgbClr val="FFFFFF"/>
        </a:gs>
        <a:gs pos="100000">
          <a:srgbClr val="FFFFFF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44" r="0.75000000000000044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Total Sales vs. Total Budget</a:t>
            </a:r>
          </a:p>
        </c:rich>
      </c:tx>
      <c:layout>
        <c:manualLayout>
          <c:xMode val="edge"/>
          <c:yMode val="edge"/>
          <c:x val="0.33354433293022018"/>
          <c:y val="3.09461544970645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235752015848021"/>
          <c:y val="0.20424461968062604"/>
          <c:w val="0.87886284549867533"/>
          <c:h val="0.6271753978071752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'Data Entry'!$B$29</c:f>
              <c:strCache>
                <c:ptCount val="1"/>
                <c:pt idx="0">
                  <c:v>Total Sales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Entry'!$C$29:$N$29</c:f>
              <c:numCache>
                <c:formatCode>_(* #,##0_);_(* \(#,##0\);_(* "-"??_);_(@_)</c:formatCode>
                <c:ptCount val="12"/>
                <c:pt idx="0">
                  <c:v>25000</c:v>
                </c:pt>
                <c:pt idx="1">
                  <c:v>30100</c:v>
                </c:pt>
                <c:pt idx="2">
                  <c:v>39600</c:v>
                </c:pt>
                <c:pt idx="3">
                  <c:v>49100</c:v>
                </c:pt>
                <c:pt idx="4">
                  <c:v>60400</c:v>
                </c:pt>
                <c:pt idx="5">
                  <c:v>64580</c:v>
                </c:pt>
                <c:pt idx="6">
                  <c:v>75760</c:v>
                </c:pt>
                <c:pt idx="7">
                  <c:v>82273.333333333299</c:v>
                </c:pt>
                <c:pt idx="8">
                  <c:v>87433.333333333299</c:v>
                </c:pt>
                <c:pt idx="9">
                  <c:v>96433.333333333299</c:v>
                </c:pt>
                <c:pt idx="10">
                  <c:v>105433.3333333333</c:v>
                </c:pt>
                <c:pt idx="11">
                  <c:v>114433.3333333333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F6-40B2-A45D-7229D6E9E919}"/>
            </c:ext>
          </c:extLst>
        </c:ser>
        <c:ser>
          <c:idx val="0"/>
          <c:order val="1"/>
          <c:tx>
            <c:strRef>
              <c:f>'Data Entry'!$B$30</c:f>
              <c:strCache>
                <c:ptCount val="1"/>
                <c:pt idx="0">
                  <c:v>Total Sales Budget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Entry'!$C$30:$N$30</c:f>
              <c:numCache>
                <c:formatCode>_(* #,##0_);_(* \(#,##0\);_(* "-"??_);_(@_)</c:formatCode>
                <c:ptCount val="12"/>
                <c:pt idx="0">
                  <c:v>9170</c:v>
                </c:pt>
                <c:pt idx="1">
                  <c:v>15068</c:v>
                </c:pt>
                <c:pt idx="2">
                  <c:v>30524</c:v>
                </c:pt>
                <c:pt idx="3">
                  <c:v>36673</c:v>
                </c:pt>
                <c:pt idx="4">
                  <c:v>46177.000000000015</c:v>
                </c:pt>
                <c:pt idx="5">
                  <c:v>56516.700000000004</c:v>
                </c:pt>
                <c:pt idx="6">
                  <c:v>64916.399999999994</c:v>
                </c:pt>
                <c:pt idx="7">
                  <c:v>71566.100000000006</c:v>
                </c:pt>
                <c:pt idx="8">
                  <c:v>83010.7</c:v>
                </c:pt>
                <c:pt idx="9">
                  <c:v>90702</c:v>
                </c:pt>
                <c:pt idx="10">
                  <c:v>98387.3</c:v>
                </c:pt>
                <c:pt idx="11">
                  <c:v>106804.6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F6-40B2-A45D-7229D6E9E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82561744"/>
        <c:axId val="-882556848"/>
      </c:barChart>
      <c:lineChart>
        <c:grouping val="standard"/>
        <c:varyColors val="0"/>
        <c:ser>
          <c:idx val="2"/>
          <c:order val="2"/>
          <c:tx>
            <c:strRef>
              <c:f>'Data Entry'!$B$31</c:f>
              <c:strCache>
                <c:ptCount val="1"/>
                <c:pt idx="0">
                  <c:v>Total Over / (Under Budget)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'Data Entry'!$C$31:$N$31</c:f>
              <c:numCache>
                <c:formatCode>_(* #,##0_);_(* \(#,##0\);_(* "-"??_);_(@_)</c:formatCode>
                <c:ptCount val="12"/>
                <c:pt idx="0">
                  <c:v>15830</c:v>
                </c:pt>
                <c:pt idx="1">
                  <c:v>15032</c:v>
                </c:pt>
                <c:pt idx="2">
                  <c:v>9076</c:v>
                </c:pt>
                <c:pt idx="3">
                  <c:v>12427</c:v>
                </c:pt>
                <c:pt idx="4">
                  <c:v>14222.999999999985</c:v>
                </c:pt>
                <c:pt idx="5">
                  <c:v>8063.2999999999956</c:v>
                </c:pt>
                <c:pt idx="6">
                  <c:v>10843.600000000006</c:v>
                </c:pt>
                <c:pt idx="7">
                  <c:v>10707.233333333294</c:v>
                </c:pt>
                <c:pt idx="8">
                  <c:v>4422.6333333333023</c:v>
                </c:pt>
                <c:pt idx="9">
                  <c:v>5731.3333333332994</c:v>
                </c:pt>
                <c:pt idx="10">
                  <c:v>7046.0333333332965</c:v>
                </c:pt>
                <c:pt idx="11">
                  <c:v>7628.7333333332936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F6-40B2-A45D-7229D6E9E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82551408"/>
        <c:axId val="-882557936"/>
      </c:lineChart>
      <c:dateAx>
        <c:axId val="-882561744"/>
        <c:scaling>
          <c:orientation val="minMax"/>
        </c:scaling>
        <c:delete val="0"/>
        <c:axPos val="b"/>
        <c:numFmt formatCode="mmmmm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82556848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-8825568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82561744"/>
        <c:crosses val="autoZero"/>
        <c:crossBetween val="between"/>
      </c:valAx>
      <c:catAx>
        <c:axId val="-882551408"/>
        <c:scaling>
          <c:orientation val="minMax"/>
        </c:scaling>
        <c:delete val="1"/>
        <c:axPos val="b"/>
        <c:majorTickMark val="out"/>
        <c:minorTickMark val="none"/>
        <c:tickLblPos val="none"/>
        <c:crossAx val="-882557936"/>
        <c:crosses val="autoZero"/>
        <c:auto val="1"/>
        <c:lblAlgn val="ctr"/>
        <c:lblOffset val="100"/>
        <c:noMultiLvlLbl val="0"/>
      </c:catAx>
      <c:valAx>
        <c:axId val="-882557936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one"/>
        <c:crossAx val="-88255140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4706987624460738"/>
          <c:y val="0.91806925007958218"/>
          <c:w val="0.58943813332642048"/>
          <c:h val="6.808153989354205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CC00">
            <a:gamma/>
            <a:shade val="46275"/>
            <a:invGamma/>
          </a:srgbClr>
        </a:gs>
        <a:gs pos="50000">
          <a:srgbClr val="FFCC00"/>
        </a:gs>
        <a:gs pos="100000">
          <a:srgbClr val="FFCC00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44" r="0.75000000000000044" t="1" header="0.5" footer="0.5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Sales Product 4</a:t>
            </a:r>
          </a:p>
        </c:rich>
      </c:tx>
      <c:layout>
        <c:manualLayout>
          <c:xMode val="edge"/>
          <c:yMode val="edge"/>
          <c:x val="0.36745494367376996"/>
          <c:y val="3.09461544970645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839526571440709"/>
          <c:y val="0.19186615788180031"/>
          <c:w val="0.82253375853128441"/>
          <c:h val="0.67050001410306581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'Data Entry'!$B$17</c:f>
              <c:strCache>
                <c:ptCount val="1"/>
                <c:pt idx="0">
                  <c:v>Sales by Product Line 4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Entry'!$C$17:$N$17</c:f>
              <c:numCache>
                <c:formatCode>_(* #,##0_);_(* \(#,##0\);_(* "-"??_);_(@_)</c:formatCode>
                <c:ptCount val="12"/>
                <c:pt idx="0">
                  <c:v>1600</c:v>
                </c:pt>
                <c:pt idx="1">
                  <c:v>3350</c:v>
                </c:pt>
                <c:pt idx="2">
                  <c:v>5100</c:v>
                </c:pt>
                <c:pt idx="3">
                  <c:v>6850</c:v>
                </c:pt>
                <c:pt idx="4">
                  <c:v>12600</c:v>
                </c:pt>
                <c:pt idx="5">
                  <c:v>10350</c:v>
                </c:pt>
                <c:pt idx="6">
                  <c:v>15100</c:v>
                </c:pt>
                <c:pt idx="7">
                  <c:v>15183.333333333299</c:v>
                </c:pt>
                <c:pt idx="8">
                  <c:v>16433.333333333299</c:v>
                </c:pt>
                <c:pt idx="9">
                  <c:v>17683.333333333299</c:v>
                </c:pt>
                <c:pt idx="10">
                  <c:v>18933.333333333299</c:v>
                </c:pt>
                <c:pt idx="11">
                  <c:v>20183.333333333299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05-4FF5-8F01-D9C2688F1E1C}"/>
            </c:ext>
          </c:extLst>
        </c:ser>
        <c:ser>
          <c:idx val="0"/>
          <c:order val="1"/>
          <c:tx>
            <c:strRef>
              <c:f>'Data Entry'!$B$18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Entry'!$C$18:$N$18</c:f>
              <c:numCache>
                <c:formatCode>_(* #,##0_);_(* \(#,##0\);_(* "-"??_);_(@_)</c:formatCode>
                <c:ptCount val="12"/>
                <c:pt idx="0">
                  <c:v>2895</c:v>
                </c:pt>
                <c:pt idx="1">
                  <c:v>4678</c:v>
                </c:pt>
                <c:pt idx="2">
                  <c:v>7754</c:v>
                </c:pt>
                <c:pt idx="3">
                  <c:v>6501</c:v>
                </c:pt>
                <c:pt idx="4">
                  <c:v>9430.5000000000091</c:v>
                </c:pt>
                <c:pt idx="5">
                  <c:v>11319.9</c:v>
                </c:pt>
                <c:pt idx="6">
                  <c:v>13209.3</c:v>
                </c:pt>
                <c:pt idx="7">
                  <c:v>15098.7</c:v>
                </c:pt>
                <c:pt idx="8">
                  <c:v>16988.099999999999</c:v>
                </c:pt>
                <c:pt idx="9">
                  <c:v>18877.5</c:v>
                </c:pt>
                <c:pt idx="10">
                  <c:v>20766.900000000001</c:v>
                </c:pt>
                <c:pt idx="11">
                  <c:v>22656.3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B05-4FF5-8F01-D9C2688F1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82560112"/>
        <c:axId val="-882550320"/>
      </c:barChart>
      <c:lineChart>
        <c:grouping val="standard"/>
        <c:varyColors val="0"/>
        <c:ser>
          <c:idx val="2"/>
          <c:order val="2"/>
          <c:tx>
            <c:strRef>
              <c:f>'Data Entry'!$B$19</c:f>
              <c:strCache>
                <c:ptCount val="1"/>
                <c:pt idx="0">
                  <c:v>Over / (Under Budget)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'Data Entry'!$C$19:$N$19</c:f>
              <c:numCache>
                <c:formatCode>_(* #,##0_);_(* \(#,##0\);_(* "-"??_);_(@_)</c:formatCode>
                <c:ptCount val="12"/>
                <c:pt idx="0">
                  <c:v>-1295</c:v>
                </c:pt>
                <c:pt idx="1">
                  <c:v>-1328</c:v>
                </c:pt>
                <c:pt idx="2">
                  <c:v>-2654</c:v>
                </c:pt>
                <c:pt idx="3">
                  <c:v>349</c:v>
                </c:pt>
                <c:pt idx="4">
                  <c:v>3169.4999999999909</c:v>
                </c:pt>
                <c:pt idx="5">
                  <c:v>-969.89999999999964</c:v>
                </c:pt>
                <c:pt idx="6">
                  <c:v>1890.7000000000007</c:v>
                </c:pt>
                <c:pt idx="7">
                  <c:v>84.633333333298651</c:v>
                </c:pt>
                <c:pt idx="8">
                  <c:v>-554.76666666669917</c:v>
                </c:pt>
                <c:pt idx="9">
                  <c:v>-1194.1666666667006</c:v>
                </c:pt>
                <c:pt idx="10">
                  <c:v>-1833.5666666667021</c:v>
                </c:pt>
                <c:pt idx="11">
                  <c:v>-2472.9666666666999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B05-4FF5-8F01-D9C2688F1E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82555216"/>
        <c:axId val="-882553040"/>
      </c:lineChart>
      <c:dateAx>
        <c:axId val="-882560112"/>
        <c:scaling>
          <c:orientation val="minMax"/>
        </c:scaling>
        <c:delete val="0"/>
        <c:axPos val="b"/>
        <c:numFmt formatCode="mmmmm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82550320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-8825503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82560112"/>
        <c:crosses val="autoZero"/>
        <c:crossBetween val="between"/>
      </c:valAx>
      <c:catAx>
        <c:axId val="-882555216"/>
        <c:scaling>
          <c:orientation val="minMax"/>
        </c:scaling>
        <c:delete val="1"/>
        <c:axPos val="b"/>
        <c:majorTickMark val="out"/>
        <c:minorTickMark val="none"/>
        <c:tickLblPos val="none"/>
        <c:crossAx val="-882553040"/>
        <c:crosses val="autoZero"/>
        <c:auto val="1"/>
        <c:lblAlgn val="ctr"/>
        <c:lblOffset val="100"/>
        <c:noMultiLvlLbl val="0"/>
      </c:catAx>
      <c:valAx>
        <c:axId val="-882553040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one"/>
        <c:crossAx val="-882555216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9358106285762789E-2"/>
          <c:y val="0.91806925007958218"/>
          <c:w val="0.88047857657214801"/>
          <c:h val="6.808153989354205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>
            <a:gamma/>
            <a:shade val="46275"/>
            <a:invGamma/>
          </a:srgbClr>
        </a:gs>
        <a:gs pos="50000">
          <a:srgbClr val="FFFFFF"/>
        </a:gs>
        <a:gs pos="100000">
          <a:srgbClr val="FFFFFF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44" r="0.75000000000000044" t="1" header="0.5" footer="0.5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Sales Product 5</a:t>
            </a:r>
          </a:p>
        </c:rich>
      </c:tx>
      <c:layout>
        <c:manualLayout>
          <c:xMode val="edge"/>
          <c:yMode val="edge"/>
          <c:x val="0.36745494367376996"/>
          <c:y val="3.09461544970645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839526571440709"/>
          <c:y val="0.19186615788180031"/>
          <c:w val="0.82253375853128441"/>
          <c:h val="0.6395538596060006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'Data Entry'!$B$21</c:f>
              <c:strCache>
                <c:ptCount val="1"/>
                <c:pt idx="0">
                  <c:v>Sales by Product Line 5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Entry'!$C$21:$N$21</c:f>
              <c:numCache>
                <c:formatCode>_(* #,##0_);_(* \(#,##0\);_(* "-"??_);_(@_)</c:formatCode>
                <c:ptCount val="12"/>
                <c:pt idx="0">
                  <c:v>1600</c:v>
                </c:pt>
                <c:pt idx="1">
                  <c:v>3350</c:v>
                </c:pt>
                <c:pt idx="2">
                  <c:v>5100</c:v>
                </c:pt>
                <c:pt idx="3">
                  <c:v>6850</c:v>
                </c:pt>
                <c:pt idx="4">
                  <c:v>8600</c:v>
                </c:pt>
                <c:pt idx="5">
                  <c:v>10350</c:v>
                </c:pt>
                <c:pt idx="6">
                  <c:v>12100</c:v>
                </c:pt>
                <c:pt idx="7">
                  <c:v>13850</c:v>
                </c:pt>
                <c:pt idx="8">
                  <c:v>15600</c:v>
                </c:pt>
                <c:pt idx="9">
                  <c:v>17350</c:v>
                </c:pt>
                <c:pt idx="10">
                  <c:v>19100</c:v>
                </c:pt>
                <c:pt idx="11">
                  <c:v>20850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CF3-49FC-AAA2-428F4C5FC372}"/>
            </c:ext>
          </c:extLst>
        </c:ser>
        <c:ser>
          <c:idx val="0"/>
          <c:order val="1"/>
          <c:tx>
            <c:strRef>
              <c:f>'Data Entry'!$B$22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Entry'!$C$22:$N$22</c:f>
              <c:numCache>
                <c:formatCode>_(* #,##0_);_(* \(#,##0\);_(* "-"??_);_(@_)</c:formatCode>
                <c:ptCount val="12"/>
                <c:pt idx="0">
                  <c:v>595</c:v>
                </c:pt>
                <c:pt idx="1">
                  <c:v>1678</c:v>
                </c:pt>
                <c:pt idx="2">
                  <c:v>4754</c:v>
                </c:pt>
                <c:pt idx="3">
                  <c:v>6501</c:v>
                </c:pt>
                <c:pt idx="4">
                  <c:v>7744</c:v>
                </c:pt>
                <c:pt idx="5">
                  <c:v>9845</c:v>
                </c:pt>
                <c:pt idx="6">
                  <c:v>10976</c:v>
                </c:pt>
                <c:pt idx="7">
                  <c:v>11232</c:v>
                </c:pt>
                <c:pt idx="8">
                  <c:v>14323</c:v>
                </c:pt>
                <c:pt idx="9">
                  <c:v>15434</c:v>
                </c:pt>
                <c:pt idx="10">
                  <c:v>16543</c:v>
                </c:pt>
                <c:pt idx="11">
                  <c:v>17896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CF3-49FC-AAA2-428F4C5FC3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82562288"/>
        <c:axId val="-882553584"/>
      </c:barChart>
      <c:lineChart>
        <c:grouping val="standard"/>
        <c:varyColors val="0"/>
        <c:ser>
          <c:idx val="2"/>
          <c:order val="2"/>
          <c:tx>
            <c:strRef>
              <c:f>'Data Entry'!$B$23</c:f>
              <c:strCache>
                <c:ptCount val="1"/>
                <c:pt idx="0">
                  <c:v>Over / (Under Budget)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'Data Entry'!$C$23:$N$23</c:f>
              <c:numCache>
                <c:formatCode>_(* #,##0_);_(* \(#,##0\);_(* "-"??_);_(@_)</c:formatCode>
                <c:ptCount val="12"/>
                <c:pt idx="0">
                  <c:v>1005</c:v>
                </c:pt>
                <c:pt idx="1">
                  <c:v>1672</c:v>
                </c:pt>
                <c:pt idx="2">
                  <c:v>346</c:v>
                </c:pt>
                <c:pt idx="3">
                  <c:v>349</c:v>
                </c:pt>
                <c:pt idx="4">
                  <c:v>856</c:v>
                </c:pt>
                <c:pt idx="5">
                  <c:v>505</c:v>
                </c:pt>
                <c:pt idx="6">
                  <c:v>1124</c:v>
                </c:pt>
                <c:pt idx="7">
                  <c:v>2618</c:v>
                </c:pt>
                <c:pt idx="8">
                  <c:v>1277</c:v>
                </c:pt>
                <c:pt idx="9">
                  <c:v>1916</c:v>
                </c:pt>
                <c:pt idx="10">
                  <c:v>2557</c:v>
                </c:pt>
                <c:pt idx="11">
                  <c:v>2954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CF3-49FC-AAA2-428F4C5FC3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82549776"/>
        <c:axId val="-882552496"/>
      </c:lineChart>
      <c:dateAx>
        <c:axId val="-882562288"/>
        <c:scaling>
          <c:orientation val="minMax"/>
        </c:scaling>
        <c:delete val="0"/>
        <c:axPos val="b"/>
        <c:numFmt formatCode="mmmmm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82553584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-8825535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82562288"/>
        <c:crosses val="autoZero"/>
        <c:crossBetween val="between"/>
      </c:valAx>
      <c:catAx>
        <c:axId val="-882549776"/>
        <c:scaling>
          <c:orientation val="minMax"/>
        </c:scaling>
        <c:delete val="1"/>
        <c:axPos val="b"/>
        <c:majorTickMark val="out"/>
        <c:minorTickMark val="none"/>
        <c:tickLblPos val="none"/>
        <c:crossAx val="-882552496"/>
        <c:crosses val="autoZero"/>
        <c:auto val="1"/>
        <c:lblAlgn val="ctr"/>
        <c:lblOffset val="100"/>
        <c:noMultiLvlLbl val="0"/>
      </c:catAx>
      <c:valAx>
        <c:axId val="-882552496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one"/>
        <c:crossAx val="-882549776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9358106285762789E-2"/>
          <c:y val="0.91806925007958218"/>
          <c:w val="0.88047857657214801"/>
          <c:h val="6.808153989354205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>
            <a:gamma/>
            <a:shade val="46275"/>
            <a:invGamma/>
          </a:srgbClr>
        </a:gs>
        <a:gs pos="50000">
          <a:srgbClr val="FFFFFF"/>
        </a:gs>
        <a:gs pos="100000">
          <a:srgbClr val="FFFFFF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44" r="0.75000000000000044" t="1" header="0.5" footer="0.5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Sales Product 6</a:t>
            </a:r>
          </a:p>
        </c:rich>
      </c:tx>
      <c:layout>
        <c:manualLayout>
          <c:xMode val="edge"/>
          <c:yMode val="edge"/>
          <c:x val="0.36745494367376996"/>
          <c:y val="3.09461544970645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839526571440709"/>
          <c:y val="0.19186615788180031"/>
          <c:w val="0.82253375853128441"/>
          <c:h val="0.6395538596060006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'Data Entry'!$B$25</c:f>
              <c:strCache>
                <c:ptCount val="1"/>
                <c:pt idx="0">
                  <c:v>Sales by Product Line 6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Entry'!$C$25:$N$25</c:f>
              <c:numCache>
                <c:formatCode>_(* #,##0_);_(* \(#,##0\);_(* "-"??_);_(@_)</c:formatCode>
                <c:ptCount val="12"/>
                <c:pt idx="0">
                  <c:v>16000</c:v>
                </c:pt>
                <c:pt idx="1">
                  <c:v>13350</c:v>
                </c:pt>
                <c:pt idx="2">
                  <c:v>15100</c:v>
                </c:pt>
                <c:pt idx="3">
                  <c:v>16850</c:v>
                </c:pt>
                <c:pt idx="4">
                  <c:v>16400</c:v>
                </c:pt>
                <c:pt idx="5">
                  <c:v>16830</c:v>
                </c:pt>
                <c:pt idx="6">
                  <c:v>17260</c:v>
                </c:pt>
                <c:pt idx="7">
                  <c:v>17690</c:v>
                </c:pt>
                <c:pt idx="8">
                  <c:v>15600</c:v>
                </c:pt>
                <c:pt idx="9">
                  <c:v>17350</c:v>
                </c:pt>
                <c:pt idx="10">
                  <c:v>19100</c:v>
                </c:pt>
                <c:pt idx="11">
                  <c:v>20850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94-413F-928E-B6AAF8F001A1}"/>
            </c:ext>
          </c:extLst>
        </c:ser>
        <c:ser>
          <c:idx val="0"/>
          <c:order val="1"/>
          <c:tx>
            <c:strRef>
              <c:f>'Data Entry'!$B$26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Entry'!$C$26:$N$26</c:f>
              <c:numCache>
                <c:formatCode>_(* #,##0_);_(* \(#,##0\);_(* "-"??_);_(@_)</c:formatCode>
                <c:ptCount val="12"/>
                <c:pt idx="0">
                  <c:v>1595</c:v>
                </c:pt>
                <c:pt idx="1">
                  <c:v>1678</c:v>
                </c:pt>
                <c:pt idx="2">
                  <c:v>4754</c:v>
                </c:pt>
                <c:pt idx="3">
                  <c:v>6501</c:v>
                </c:pt>
                <c:pt idx="4">
                  <c:v>8080.5</c:v>
                </c:pt>
                <c:pt idx="5">
                  <c:v>9859.9</c:v>
                </c:pt>
                <c:pt idx="6">
                  <c:v>11639.3</c:v>
                </c:pt>
                <c:pt idx="7">
                  <c:v>13418.7</c:v>
                </c:pt>
                <c:pt idx="8">
                  <c:v>14323</c:v>
                </c:pt>
                <c:pt idx="9">
                  <c:v>15434</c:v>
                </c:pt>
                <c:pt idx="10">
                  <c:v>16543</c:v>
                </c:pt>
                <c:pt idx="11">
                  <c:v>17896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E94-413F-928E-B6AAF8F00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82564464"/>
        <c:axId val="-882562832"/>
      </c:barChart>
      <c:lineChart>
        <c:grouping val="standard"/>
        <c:varyColors val="0"/>
        <c:ser>
          <c:idx val="2"/>
          <c:order val="2"/>
          <c:tx>
            <c:strRef>
              <c:f>'Data Entry'!$B$27</c:f>
              <c:strCache>
                <c:ptCount val="1"/>
                <c:pt idx="0">
                  <c:v>Over / (Under Budget)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'Data Entry'!$C$27:$N$27</c:f>
              <c:numCache>
                <c:formatCode>_(* #,##0_);_(* \(#,##0\);_(* "-"??_);_(@_)</c:formatCode>
                <c:ptCount val="12"/>
                <c:pt idx="0">
                  <c:v>14405</c:v>
                </c:pt>
                <c:pt idx="1">
                  <c:v>11672</c:v>
                </c:pt>
                <c:pt idx="2">
                  <c:v>10346</c:v>
                </c:pt>
                <c:pt idx="3">
                  <c:v>10349</c:v>
                </c:pt>
                <c:pt idx="4">
                  <c:v>8319.5</c:v>
                </c:pt>
                <c:pt idx="5">
                  <c:v>6970.1</c:v>
                </c:pt>
                <c:pt idx="6">
                  <c:v>5620.7000000000007</c:v>
                </c:pt>
                <c:pt idx="7">
                  <c:v>4271.2999999999993</c:v>
                </c:pt>
                <c:pt idx="8">
                  <c:v>1277</c:v>
                </c:pt>
                <c:pt idx="9">
                  <c:v>1916</c:v>
                </c:pt>
                <c:pt idx="10">
                  <c:v>2557</c:v>
                </c:pt>
                <c:pt idx="11">
                  <c:v>2954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94-413F-928E-B6AAF8F001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82563920"/>
        <c:axId val="-882563376"/>
      </c:lineChart>
      <c:dateAx>
        <c:axId val="-882564464"/>
        <c:scaling>
          <c:orientation val="minMax"/>
        </c:scaling>
        <c:delete val="0"/>
        <c:axPos val="b"/>
        <c:numFmt formatCode="mmmmm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82562832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-88256283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82564464"/>
        <c:crosses val="autoZero"/>
        <c:crossBetween val="between"/>
      </c:valAx>
      <c:catAx>
        <c:axId val="-882563920"/>
        <c:scaling>
          <c:orientation val="minMax"/>
        </c:scaling>
        <c:delete val="1"/>
        <c:axPos val="b"/>
        <c:majorTickMark val="out"/>
        <c:minorTickMark val="none"/>
        <c:tickLblPos val="none"/>
        <c:crossAx val="-882563376"/>
        <c:crosses val="autoZero"/>
        <c:auto val="1"/>
        <c:lblAlgn val="ctr"/>
        <c:lblOffset val="100"/>
        <c:noMultiLvlLbl val="0"/>
      </c:catAx>
      <c:valAx>
        <c:axId val="-882563376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one"/>
        <c:crossAx val="-882563920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5.9358106285762789E-2"/>
          <c:y val="0.91806925007958218"/>
          <c:w val="0.88047857657214801"/>
          <c:h val="6.808153989354205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>
            <a:gamma/>
            <a:shade val="46275"/>
            <a:invGamma/>
          </a:srgbClr>
        </a:gs>
        <a:gs pos="50000">
          <a:srgbClr val="FFFFFF"/>
        </a:gs>
        <a:gs pos="100000">
          <a:srgbClr val="FFFFFF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44" r="0.75000000000000044" t="1" header="0.5" footer="0.5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Materials</a:t>
            </a:r>
          </a:p>
        </c:rich>
      </c:tx>
      <c:layout>
        <c:manualLayout>
          <c:xMode val="edge"/>
          <c:yMode val="edge"/>
          <c:x val="0.42087291926840503"/>
          <c:y val="3.09461544970645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79818235178102"/>
          <c:y val="0.19186615788180031"/>
          <c:w val="0.82203941422323878"/>
          <c:h val="0.6395538596060006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'Data Entry'!$B$34</c:f>
              <c:strCache>
                <c:ptCount val="1"/>
                <c:pt idx="0">
                  <c:v>Materials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Entry'!$C$34:$N$34</c:f>
              <c:numCache>
                <c:formatCode>_(* #,##0_);_(* \(#,##0\);_(* "-"??_);_(@_)</c:formatCode>
                <c:ptCount val="12"/>
                <c:pt idx="0">
                  <c:v>1600</c:v>
                </c:pt>
                <c:pt idx="1">
                  <c:v>3350</c:v>
                </c:pt>
                <c:pt idx="2">
                  <c:v>5100</c:v>
                </c:pt>
                <c:pt idx="3">
                  <c:v>6850</c:v>
                </c:pt>
                <c:pt idx="4">
                  <c:v>8600</c:v>
                </c:pt>
                <c:pt idx="5">
                  <c:v>10350</c:v>
                </c:pt>
                <c:pt idx="6">
                  <c:v>12100</c:v>
                </c:pt>
                <c:pt idx="7">
                  <c:v>13850</c:v>
                </c:pt>
                <c:pt idx="8">
                  <c:v>15600</c:v>
                </c:pt>
                <c:pt idx="9">
                  <c:v>17350</c:v>
                </c:pt>
                <c:pt idx="10">
                  <c:v>19100</c:v>
                </c:pt>
                <c:pt idx="11">
                  <c:v>20850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4CE-46D1-8886-B16BFDCBA650}"/>
            </c:ext>
          </c:extLst>
        </c:ser>
        <c:ser>
          <c:idx val="0"/>
          <c:order val="1"/>
          <c:tx>
            <c:strRef>
              <c:f>'Data Entry'!$B$35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Entry'!$C$35:$N$35</c:f>
              <c:numCache>
                <c:formatCode>_(* #,##0_);_(* \(#,##0\);_(* "-"??_);_(@_)</c:formatCode>
                <c:ptCount val="12"/>
                <c:pt idx="0">
                  <c:v>595</c:v>
                </c:pt>
                <c:pt idx="1">
                  <c:v>1678</c:v>
                </c:pt>
                <c:pt idx="2">
                  <c:v>4754</c:v>
                </c:pt>
                <c:pt idx="3">
                  <c:v>6501</c:v>
                </c:pt>
                <c:pt idx="4">
                  <c:v>7744</c:v>
                </c:pt>
                <c:pt idx="5">
                  <c:v>9845</c:v>
                </c:pt>
                <c:pt idx="6">
                  <c:v>10976</c:v>
                </c:pt>
                <c:pt idx="7">
                  <c:v>11232</c:v>
                </c:pt>
                <c:pt idx="8">
                  <c:v>14323</c:v>
                </c:pt>
                <c:pt idx="9">
                  <c:v>15434</c:v>
                </c:pt>
                <c:pt idx="10">
                  <c:v>16543</c:v>
                </c:pt>
                <c:pt idx="11">
                  <c:v>17896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4CE-46D1-8886-B16BFDCBA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82048656"/>
        <c:axId val="-882061712"/>
      </c:barChart>
      <c:lineChart>
        <c:grouping val="standard"/>
        <c:varyColors val="0"/>
        <c:ser>
          <c:idx val="2"/>
          <c:order val="2"/>
          <c:tx>
            <c:strRef>
              <c:f>'Data Entry'!$B$36</c:f>
              <c:strCache>
                <c:ptCount val="1"/>
                <c:pt idx="0">
                  <c:v>Over / (Under Budget)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'Data Entry'!$C$36:$N$36</c:f>
              <c:numCache>
                <c:formatCode>_(* #,##0_);_(* \(#,##0\);_(* "-"??_);_(@_)</c:formatCode>
                <c:ptCount val="12"/>
                <c:pt idx="0">
                  <c:v>1005</c:v>
                </c:pt>
                <c:pt idx="1">
                  <c:v>1672</c:v>
                </c:pt>
                <c:pt idx="2">
                  <c:v>346</c:v>
                </c:pt>
                <c:pt idx="3">
                  <c:v>349</c:v>
                </c:pt>
                <c:pt idx="4">
                  <c:v>856</c:v>
                </c:pt>
                <c:pt idx="5">
                  <c:v>505</c:v>
                </c:pt>
                <c:pt idx="6">
                  <c:v>1124</c:v>
                </c:pt>
                <c:pt idx="7">
                  <c:v>2618</c:v>
                </c:pt>
                <c:pt idx="8">
                  <c:v>1277</c:v>
                </c:pt>
                <c:pt idx="9">
                  <c:v>1916</c:v>
                </c:pt>
                <c:pt idx="10">
                  <c:v>2557</c:v>
                </c:pt>
                <c:pt idx="11">
                  <c:v>2954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4CE-46D1-8886-B16BFDCBA6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82052464"/>
        <c:axId val="-882057904"/>
      </c:lineChart>
      <c:dateAx>
        <c:axId val="-882048656"/>
        <c:scaling>
          <c:orientation val="minMax"/>
        </c:scaling>
        <c:delete val="0"/>
        <c:axPos val="b"/>
        <c:numFmt formatCode="mmmmm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82061712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-8820617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82048656"/>
        <c:crosses val="autoZero"/>
        <c:crossBetween val="between"/>
      </c:valAx>
      <c:catAx>
        <c:axId val="-882052464"/>
        <c:scaling>
          <c:orientation val="minMax"/>
        </c:scaling>
        <c:delete val="1"/>
        <c:axPos val="b"/>
        <c:majorTickMark val="out"/>
        <c:minorTickMark val="none"/>
        <c:tickLblPos val="none"/>
        <c:crossAx val="-882057904"/>
        <c:crosses val="autoZero"/>
        <c:auto val="1"/>
        <c:lblAlgn val="ctr"/>
        <c:lblOffset val="100"/>
        <c:noMultiLvlLbl val="0"/>
      </c:catAx>
      <c:valAx>
        <c:axId val="-882057904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one"/>
        <c:crossAx val="-882052464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1677066744927856"/>
          <c:y val="0.91806925007958218"/>
          <c:w val="0.68409444402824271"/>
          <c:h val="6.808153989354205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CCFFFF">
            <a:gamma/>
            <a:shade val="46275"/>
            <a:invGamma/>
          </a:srgbClr>
        </a:gs>
        <a:gs pos="50000">
          <a:srgbClr val="CCFFFF"/>
        </a:gs>
        <a:gs pos="100000">
          <a:srgbClr val="CCFFFF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44" r="0.75000000000000044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Labor</a:t>
            </a:r>
          </a:p>
        </c:rich>
      </c:tx>
      <c:layout>
        <c:manualLayout>
          <c:xMode val="edge"/>
          <c:yMode val="edge"/>
          <c:x val="0.44801237363301932"/>
          <c:y val="3.09461544970645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839526571440709"/>
          <c:y val="0.19186615788180031"/>
          <c:w val="0.82253375853128441"/>
          <c:h val="0.6395538596060006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'Data Entry'!$B$38</c:f>
              <c:strCache>
                <c:ptCount val="1"/>
                <c:pt idx="0">
                  <c:v>Labor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Entry'!$C$38:$N$38</c:f>
              <c:numCache>
                <c:formatCode>_(* #,##0_);_(* \(#,##0\);_(* "-"??_);_(@_)</c:formatCode>
                <c:ptCount val="12"/>
                <c:pt idx="0">
                  <c:v>1600</c:v>
                </c:pt>
                <c:pt idx="1">
                  <c:v>3350</c:v>
                </c:pt>
                <c:pt idx="2">
                  <c:v>5100</c:v>
                </c:pt>
                <c:pt idx="3">
                  <c:v>6850</c:v>
                </c:pt>
                <c:pt idx="4">
                  <c:v>8600</c:v>
                </c:pt>
                <c:pt idx="5">
                  <c:v>10350</c:v>
                </c:pt>
                <c:pt idx="6">
                  <c:v>12100</c:v>
                </c:pt>
                <c:pt idx="7">
                  <c:v>13850</c:v>
                </c:pt>
                <c:pt idx="8">
                  <c:v>15600</c:v>
                </c:pt>
                <c:pt idx="9">
                  <c:v>17350</c:v>
                </c:pt>
                <c:pt idx="10">
                  <c:v>19100</c:v>
                </c:pt>
                <c:pt idx="11">
                  <c:v>20850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90-49EF-8F10-FC8E4EEB42C0}"/>
            </c:ext>
          </c:extLst>
        </c:ser>
        <c:ser>
          <c:idx val="0"/>
          <c:order val="1"/>
          <c:tx>
            <c:strRef>
              <c:f>'Data Entry'!$B$39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Entry'!$C$39:$N$39</c:f>
              <c:numCache>
                <c:formatCode>_(* #,##0_);_(* \(#,##0\);_(* "-"??_);_(@_)</c:formatCode>
                <c:ptCount val="12"/>
                <c:pt idx="0">
                  <c:v>595</c:v>
                </c:pt>
                <c:pt idx="1">
                  <c:v>1678</c:v>
                </c:pt>
                <c:pt idx="2">
                  <c:v>4754</c:v>
                </c:pt>
                <c:pt idx="3">
                  <c:v>6501</c:v>
                </c:pt>
                <c:pt idx="4">
                  <c:v>7744</c:v>
                </c:pt>
                <c:pt idx="5">
                  <c:v>9845</c:v>
                </c:pt>
                <c:pt idx="6">
                  <c:v>10976</c:v>
                </c:pt>
                <c:pt idx="7">
                  <c:v>11232</c:v>
                </c:pt>
                <c:pt idx="8">
                  <c:v>14323</c:v>
                </c:pt>
                <c:pt idx="9">
                  <c:v>15434</c:v>
                </c:pt>
                <c:pt idx="10">
                  <c:v>16543</c:v>
                </c:pt>
                <c:pt idx="11">
                  <c:v>17896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F90-49EF-8F10-FC8E4EEB4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82056272"/>
        <c:axId val="-882051376"/>
      </c:barChart>
      <c:lineChart>
        <c:grouping val="standard"/>
        <c:varyColors val="0"/>
        <c:ser>
          <c:idx val="2"/>
          <c:order val="2"/>
          <c:tx>
            <c:strRef>
              <c:f>'Data Entry'!$B$40</c:f>
              <c:strCache>
                <c:ptCount val="1"/>
                <c:pt idx="0">
                  <c:v>Over / (Under Budget)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'Data Entry'!$C$40:$N$40</c:f>
              <c:numCache>
                <c:formatCode>_(* #,##0_);_(* \(#,##0\);_(* "-"??_);_(@_)</c:formatCode>
                <c:ptCount val="12"/>
                <c:pt idx="0">
                  <c:v>1005</c:v>
                </c:pt>
                <c:pt idx="1">
                  <c:v>1672</c:v>
                </c:pt>
                <c:pt idx="2">
                  <c:v>346</c:v>
                </c:pt>
                <c:pt idx="3">
                  <c:v>349</c:v>
                </c:pt>
                <c:pt idx="4">
                  <c:v>856</c:v>
                </c:pt>
                <c:pt idx="5">
                  <c:v>505</c:v>
                </c:pt>
                <c:pt idx="6">
                  <c:v>1124</c:v>
                </c:pt>
                <c:pt idx="7">
                  <c:v>2618</c:v>
                </c:pt>
                <c:pt idx="8">
                  <c:v>1277</c:v>
                </c:pt>
                <c:pt idx="9">
                  <c:v>1916</c:v>
                </c:pt>
                <c:pt idx="10">
                  <c:v>2557</c:v>
                </c:pt>
                <c:pt idx="11">
                  <c:v>2954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F90-49EF-8F10-FC8E4EEB4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82056816"/>
        <c:axId val="-882055728"/>
      </c:lineChart>
      <c:dateAx>
        <c:axId val="-882056272"/>
        <c:scaling>
          <c:orientation val="minMax"/>
        </c:scaling>
        <c:delete val="0"/>
        <c:axPos val="b"/>
        <c:numFmt formatCode="mmmmm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82051376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-88205137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82056272"/>
        <c:crosses val="autoZero"/>
        <c:crossBetween val="between"/>
      </c:valAx>
      <c:catAx>
        <c:axId val="-882056816"/>
        <c:scaling>
          <c:orientation val="minMax"/>
        </c:scaling>
        <c:delete val="1"/>
        <c:axPos val="b"/>
        <c:majorTickMark val="out"/>
        <c:minorTickMark val="none"/>
        <c:tickLblPos val="none"/>
        <c:crossAx val="-882055728"/>
        <c:crosses val="autoZero"/>
        <c:auto val="1"/>
        <c:lblAlgn val="ctr"/>
        <c:lblOffset val="100"/>
        <c:noMultiLvlLbl val="0"/>
      </c:catAx>
      <c:valAx>
        <c:axId val="-882055728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one"/>
        <c:crossAx val="-882056816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3884571338795038"/>
          <c:y val="0.91806925007958218"/>
          <c:w val="0.64163286318419865"/>
          <c:h val="6.808153989354205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CCFFFF">
            <a:gamma/>
            <a:shade val="46275"/>
            <a:invGamma/>
          </a:srgbClr>
        </a:gs>
        <a:gs pos="50000">
          <a:srgbClr val="CCFFFF"/>
        </a:gs>
        <a:gs pos="100000">
          <a:srgbClr val="CCFFFF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44" r="0.75000000000000044" t="1" header="0.5" footer="0.5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Overhead</a:t>
            </a:r>
          </a:p>
        </c:rich>
      </c:tx>
      <c:layout>
        <c:manualLayout>
          <c:xMode val="edge"/>
          <c:yMode val="edge"/>
          <c:x val="0.41805771579503731"/>
          <c:y val="3.09461544970645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79818235178102"/>
          <c:y val="0.19186615788180031"/>
          <c:w val="0.82203941422323878"/>
          <c:h val="0.6395538596060006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'Data Entry'!$B$42</c:f>
              <c:strCache>
                <c:ptCount val="1"/>
                <c:pt idx="0">
                  <c:v>Overhead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Entry'!$C$42:$N$42</c:f>
              <c:numCache>
                <c:formatCode>_(* #,##0_);_(* \(#,##0\);_(* "-"??_);_(@_)</c:formatCode>
                <c:ptCount val="12"/>
                <c:pt idx="0">
                  <c:v>1600</c:v>
                </c:pt>
                <c:pt idx="1">
                  <c:v>3350</c:v>
                </c:pt>
                <c:pt idx="2">
                  <c:v>5100</c:v>
                </c:pt>
                <c:pt idx="3">
                  <c:v>6850</c:v>
                </c:pt>
                <c:pt idx="4">
                  <c:v>8600</c:v>
                </c:pt>
                <c:pt idx="5">
                  <c:v>10350</c:v>
                </c:pt>
                <c:pt idx="6">
                  <c:v>12100</c:v>
                </c:pt>
                <c:pt idx="7">
                  <c:v>13850</c:v>
                </c:pt>
                <c:pt idx="8">
                  <c:v>15600</c:v>
                </c:pt>
                <c:pt idx="9">
                  <c:v>17350</c:v>
                </c:pt>
                <c:pt idx="10">
                  <c:v>19100</c:v>
                </c:pt>
                <c:pt idx="11">
                  <c:v>20850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1E-4170-B0D1-40120D5C2949}"/>
            </c:ext>
          </c:extLst>
        </c:ser>
        <c:ser>
          <c:idx val="0"/>
          <c:order val="1"/>
          <c:tx>
            <c:strRef>
              <c:f>'Data Entry'!$B$43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Entry'!$C$43:$N$43</c:f>
              <c:numCache>
                <c:formatCode>_(* #,##0_);_(* \(#,##0\);_(* "-"??_);_(@_)</c:formatCode>
                <c:ptCount val="12"/>
                <c:pt idx="0">
                  <c:v>595</c:v>
                </c:pt>
                <c:pt idx="1">
                  <c:v>1678</c:v>
                </c:pt>
                <c:pt idx="2">
                  <c:v>4754</c:v>
                </c:pt>
                <c:pt idx="3">
                  <c:v>6501</c:v>
                </c:pt>
                <c:pt idx="4">
                  <c:v>7744</c:v>
                </c:pt>
                <c:pt idx="5">
                  <c:v>9845</c:v>
                </c:pt>
                <c:pt idx="6">
                  <c:v>10976</c:v>
                </c:pt>
                <c:pt idx="7">
                  <c:v>11232</c:v>
                </c:pt>
                <c:pt idx="8">
                  <c:v>14323</c:v>
                </c:pt>
                <c:pt idx="9">
                  <c:v>15434</c:v>
                </c:pt>
                <c:pt idx="10">
                  <c:v>16543</c:v>
                </c:pt>
                <c:pt idx="11">
                  <c:v>17896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1E-4170-B0D1-40120D5C2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82061168"/>
        <c:axId val="-882058448"/>
      </c:barChart>
      <c:lineChart>
        <c:grouping val="standard"/>
        <c:varyColors val="0"/>
        <c:ser>
          <c:idx val="2"/>
          <c:order val="2"/>
          <c:tx>
            <c:strRef>
              <c:f>'Data Entry'!$B$44</c:f>
              <c:strCache>
                <c:ptCount val="1"/>
                <c:pt idx="0">
                  <c:v>Over / (Under Budget)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'Data Entry'!$C$44:$N$44</c:f>
              <c:numCache>
                <c:formatCode>_(* #,##0_);_(* \(#,##0\);_(* "-"??_);_(@_)</c:formatCode>
                <c:ptCount val="12"/>
                <c:pt idx="0">
                  <c:v>1005</c:v>
                </c:pt>
                <c:pt idx="1">
                  <c:v>1672</c:v>
                </c:pt>
                <c:pt idx="2">
                  <c:v>346</c:v>
                </c:pt>
                <c:pt idx="3">
                  <c:v>349</c:v>
                </c:pt>
                <c:pt idx="4">
                  <c:v>856</c:v>
                </c:pt>
                <c:pt idx="5">
                  <c:v>505</c:v>
                </c:pt>
                <c:pt idx="6">
                  <c:v>1124</c:v>
                </c:pt>
                <c:pt idx="7">
                  <c:v>2618</c:v>
                </c:pt>
                <c:pt idx="8">
                  <c:v>1277</c:v>
                </c:pt>
                <c:pt idx="9">
                  <c:v>1916</c:v>
                </c:pt>
                <c:pt idx="10">
                  <c:v>2557</c:v>
                </c:pt>
                <c:pt idx="11">
                  <c:v>2954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1E-4170-B0D1-40120D5C2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82058992"/>
        <c:axId val="-882054096"/>
      </c:lineChart>
      <c:dateAx>
        <c:axId val="-882061168"/>
        <c:scaling>
          <c:orientation val="minMax"/>
        </c:scaling>
        <c:delete val="0"/>
        <c:axPos val="b"/>
        <c:numFmt formatCode="mmmmm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82058448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-8820584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82061168"/>
        <c:crosses val="autoZero"/>
        <c:crossBetween val="between"/>
      </c:valAx>
      <c:catAx>
        <c:axId val="-882058992"/>
        <c:scaling>
          <c:orientation val="minMax"/>
        </c:scaling>
        <c:delete val="1"/>
        <c:axPos val="b"/>
        <c:majorTickMark val="out"/>
        <c:minorTickMark val="none"/>
        <c:tickLblPos val="none"/>
        <c:crossAx val="-882054096"/>
        <c:crosses val="autoZero"/>
        <c:auto val="1"/>
        <c:lblAlgn val="ctr"/>
        <c:lblOffset val="100"/>
        <c:noMultiLvlLbl val="0"/>
      </c:catAx>
      <c:valAx>
        <c:axId val="-882054096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one"/>
        <c:crossAx val="-882058992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1254786223922781"/>
          <c:y val="0.91806925007958218"/>
          <c:w val="0.69254005444834499"/>
          <c:h val="6.808153989354205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CCFFFF">
            <a:gamma/>
            <a:shade val="46275"/>
            <a:invGamma/>
          </a:srgbClr>
        </a:gs>
        <a:gs pos="50000">
          <a:srgbClr val="CCFFFF"/>
        </a:gs>
        <a:gs pos="100000">
          <a:srgbClr val="CCFFFF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44" r="0.75000000000000044" t="1" header="0.5" footer="0.5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Total COG vs. Total COG Budget</a:t>
            </a:r>
          </a:p>
        </c:rich>
      </c:tx>
      <c:layout>
        <c:manualLayout>
          <c:xMode val="edge"/>
          <c:yMode val="edge"/>
          <c:x val="0.30707256047544118"/>
          <c:y val="3.09461544970645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2651203591727752E-2"/>
          <c:y val="0.20424461968062604"/>
          <c:w val="0.88856916206542691"/>
          <c:h val="0.6271753978071752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'Data Entry'!$B$50</c:f>
              <c:strCache>
                <c:ptCount val="1"/>
                <c:pt idx="0">
                  <c:v>Total Cost of Goods Sold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Entry'!$C$50:$N$50</c:f>
              <c:numCache>
                <c:formatCode>_(* #,##0_);_(* \(#,##0\);_(* "-"??_);_(@_)</c:formatCode>
                <c:ptCount val="12"/>
                <c:pt idx="0">
                  <c:v>6400</c:v>
                </c:pt>
                <c:pt idx="1">
                  <c:v>13400</c:v>
                </c:pt>
                <c:pt idx="2">
                  <c:v>20400</c:v>
                </c:pt>
                <c:pt idx="3">
                  <c:v>27400</c:v>
                </c:pt>
                <c:pt idx="4">
                  <c:v>34400</c:v>
                </c:pt>
                <c:pt idx="5">
                  <c:v>41400</c:v>
                </c:pt>
                <c:pt idx="6">
                  <c:v>48400</c:v>
                </c:pt>
                <c:pt idx="7">
                  <c:v>55400</c:v>
                </c:pt>
                <c:pt idx="8">
                  <c:v>62400</c:v>
                </c:pt>
                <c:pt idx="9">
                  <c:v>69400</c:v>
                </c:pt>
                <c:pt idx="10">
                  <c:v>76400</c:v>
                </c:pt>
                <c:pt idx="11">
                  <c:v>83400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7C-41D9-BE1A-859A868386FE}"/>
            </c:ext>
          </c:extLst>
        </c:ser>
        <c:ser>
          <c:idx val="0"/>
          <c:order val="1"/>
          <c:tx>
            <c:strRef>
              <c:f>'Data Entry'!$B$51</c:f>
              <c:strCache>
                <c:ptCount val="1"/>
                <c:pt idx="0">
                  <c:v>Total COG Budget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Entry'!$C$51:$N$51</c:f>
              <c:numCache>
                <c:formatCode>_(* #,##0_);_(* \(#,##0\);_(* "-"??_);_(@_)</c:formatCode>
                <c:ptCount val="12"/>
                <c:pt idx="0">
                  <c:v>2380</c:v>
                </c:pt>
                <c:pt idx="1">
                  <c:v>6712</c:v>
                </c:pt>
                <c:pt idx="2">
                  <c:v>19016</c:v>
                </c:pt>
                <c:pt idx="3">
                  <c:v>26004</c:v>
                </c:pt>
                <c:pt idx="4">
                  <c:v>30976</c:v>
                </c:pt>
                <c:pt idx="5">
                  <c:v>39380</c:v>
                </c:pt>
                <c:pt idx="6">
                  <c:v>43904</c:v>
                </c:pt>
                <c:pt idx="7">
                  <c:v>44928</c:v>
                </c:pt>
                <c:pt idx="8">
                  <c:v>57292</c:v>
                </c:pt>
                <c:pt idx="9">
                  <c:v>61736</c:v>
                </c:pt>
                <c:pt idx="10">
                  <c:v>66172</c:v>
                </c:pt>
                <c:pt idx="11">
                  <c:v>71584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7C-41D9-BE1A-859A868386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82046480"/>
        <c:axId val="-882053008"/>
      </c:barChart>
      <c:lineChart>
        <c:grouping val="standard"/>
        <c:varyColors val="0"/>
        <c:ser>
          <c:idx val="2"/>
          <c:order val="2"/>
          <c:tx>
            <c:strRef>
              <c:f>'Data Entry'!$B$52</c:f>
              <c:strCache>
                <c:ptCount val="1"/>
                <c:pt idx="0">
                  <c:v>Total Over / (Under Budget)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'Data Entry'!$C$52:$N$52</c:f>
              <c:numCache>
                <c:formatCode>_(* #,##0_);_(* \(#,##0\);_(* "-"??_);_(@_)</c:formatCode>
                <c:ptCount val="12"/>
                <c:pt idx="0">
                  <c:v>4020</c:v>
                </c:pt>
                <c:pt idx="1">
                  <c:v>6688</c:v>
                </c:pt>
                <c:pt idx="2">
                  <c:v>1384</c:v>
                </c:pt>
                <c:pt idx="3">
                  <c:v>1396</c:v>
                </c:pt>
                <c:pt idx="4">
                  <c:v>3424</c:v>
                </c:pt>
                <c:pt idx="5">
                  <c:v>2020</c:v>
                </c:pt>
                <c:pt idx="6">
                  <c:v>4496</c:v>
                </c:pt>
                <c:pt idx="7">
                  <c:v>10472</c:v>
                </c:pt>
                <c:pt idx="8">
                  <c:v>5108</c:v>
                </c:pt>
                <c:pt idx="9">
                  <c:v>7664</c:v>
                </c:pt>
                <c:pt idx="10">
                  <c:v>10228</c:v>
                </c:pt>
                <c:pt idx="11">
                  <c:v>11816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27C-41D9-BE1A-859A868386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82051920"/>
        <c:axId val="-882050288"/>
      </c:lineChart>
      <c:dateAx>
        <c:axId val="-882046480"/>
        <c:scaling>
          <c:orientation val="minMax"/>
        </c:scaling>
        <c:delete val="0"/>
        <c:axPos val="b"/>
        <c:numFmt formatCode="mmmmm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82053008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-8820530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82046480"/>
        <c:crosses val="autoZero"/>
        <c:crossBetween val="between"/>
      </c:valAx>
      <c:catAx>
        <c:axId val="-882051920"/>
        <c:scaling>
          <c:orientation val="minMax"/>
        </c:scaling>
        <c:delete val="1"/>
        <c:axPos val="b"/>
        <c:majorTickMark val="out"/>
        <c:minorTickMark val="none"/>
        <c:tickLblPos val="none"/>
        <c:crossAx val="-882050288"/>
        <c:crosses val="autoZero"/>
        <c:auto val="1"/>
        <c:lblAlgn val="ctr"/>
        <c:lblOffset val="100"/>
        <c:noMultiLvlLbl val="0"/>
      </c:catAx>
      <c:valAx>
        <c:axId val="-882050288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one"/>
        <c:crossAx val="-882051920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706719201377431"/>
          <c:y val="0.91806925007958218"/>
          <c:w val="0.6988547928061758"/>
          <c:h val="6.808153989354205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CC00">
            <a:gamma/>
            <a:shade val="46275"/>
            <a:invGamma/>
          </a:srgbClr>
        </a:gs>
        <a:gs pos="50000">
          <a:srgbClr val="FFCC00"/>
        </a:gs>
        <a:gs pos="100000">
          <a:srgbClr val="FFCC00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44" r="0.75000000000000044" t="1" header="0.5" footer="0.5"/>
    <c:pageSetup orientation="landscape" horizontalDpi="0" verticalDpi="0" copies="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Total G&amp;A vs. Total G&amp;A Budget</a:t>
            </a:r>
          </a:p>
        </c:rich>
      </c:tx>
      <c:layout>
        <c:manualLayout>
          <c:xMode val="edge"/>
          <c:yMode val="edge"/>
          <c:x val="0.30883734530575951"/>
          <c:y val="3.09461544970645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2651203591727752E-2"/>
          <c:y val="0.20424461968062604"/>
          <c:w val="0.88856916206542691"/>
          <c:h val="0.6271753978071752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'Data Entry'!$B$65</c:f>
              <c:strCache>
                <c:ptCount val="1"/>
                <c:pt idx="0">
                  <c:v>Total  G&amp;A Expenses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Entry'!$C$65:$N$65</c:f>
              <c:numCache>
                <c:formatCode>_(* #,##0_);_(* \(#,##0\);_(* "-"??_);_(@_)</c:formatCode>
                <c:ptCount val="12"/>
                <c:pt idx="0">
                  <c:v>3200</c:v>
                </c:pt>
                <c:pt idx="1">
                  <c:v>6700</c:v>
                </c:pt>
                <c:pt idx="2">
                  <c:v>10200</c:v>
                </c:pt>
                <c:pt idx="3">
                  <c:v>13700</c:v>
                </c:pt>
                <c:pt idx="4">
                  <c:v>17200</c:v>
                </c:pt>
                <c:pt idx="5">
                  <c:v>20700</c:v>
                </c:pt>
                <c:pt idx="6">
                  <c:v>24200</c:v>
                </c:pt>
                <c:pt idx="7">
                  <c:v>27700</c:v>
                </c:pt>
                <c:pt idx="8">
                  <c:v>31200</c:v>
                </c:pt>
                <c:pt idx="9">
                  <c:v>34700</c:v>
                </c:pt>
                <c:pt idx="10">
                  <c:v>38200</c:v>
                </c:pt>
                <c:pt idx="11">
                  <c:v>41700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78-4AFE-8CFC-09F36BB25058}"/>
            </c:ext>
          </c:extLst>
        </c:ser>
        <c:ser>
          <c:idx val="0"/>
          <c:order val="1"/>
          <c:tx>
            <c:strRef>
              <c:f>'Data Entry'!$B$66</c:f>
              <c:strCache>
                <c:ptCount val="1"/>
                <c:pt idx="0">
                  <c:v>Total  G&amp;A Budget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Entry'!$C$66:$N$66</c:f>
              <c:numCache>
                <c:formatCode>_(* #,##0_);_(* \(#,##0\);_(* "-"??_);_(@_)</c:formatCode>
                <c:ptCount val="12"/>
                <c:pt idx="0">
                  <c:v>1190</c:v>
                </c:pt>
                <c:pt idx="1">
                  <c:v>3356</c:v>
                </c:pt>
                <c:pt idx="2">
                  <c:v>9508</c:v>
                </c:pt>
                <c:pt idx="3">
                  <c:v>13002</c:v>
                </c:pt>
                <c:pt idx="4">
                  <c:v>15488</c:v>
                </c:pt>
                <c:pt idx="5">
                  <c:v>19690</c:v>
                </c:pt>
                <c:pt idx="6">
                  <c:v>21952</c:v>
                </c:pt>
                <c:pt idx="7">
                  <c:v>22464</c:v>
                </c:pt>
                <c:pt idx="8">
                  <c:v>28646</c:v>
                </c:pt>
                <c:pt idx="9">
                  <c:v>30868</c:v>
                </c:pt>
                <c:pt idx="10">
                  <c:v>33086</c:v>
                </c:pt>
                <c:pt idx="11">
                  <c:v>35792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78-4AFE-8CFC-09F36BB250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82048112"/>
        <c:axId val="-882060624"/>
      </c:barChart>
      <c:lineChart>
        <c:grouping val="standard"/>
        <c:varyColors val="0"/>
        <c:ser>
          <c:idx val="2"/>
          <c:order val="2"/>
          <c:tx>
            <c:strRef>
              <c:f>'Data Entry'!$B$67</c:f>
              <c:strCache>
                <c:ptCount val="1"/>
                <c:pt idx="0">
                  <c:v>Total Over / (Under Budget)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'Data Entry'!$C$67:$N$67</c:f>
              <c:numCache>
                <c:formatCode>_(* #,##0_);_(* \(#,##0\);_(* "-"??_);_(@_)</c:formatCode>
                <c:ptCount val="12"/>
                <c:pt idx="0">
                  <c:v>2010</c:v>
                </c:pt>
                <c:pt idx="1">
                  <c:v>3344</c:v>
                </c:pt>
                <c:pt idx="2">
                  <c:v>692</c:v>
                </c:pt>
                <c:pt idx="3">
                  <c:v>698</c:v>
                </c:pt>
                <c:pt idx="4">
                  <c:v>1712</c:v>
                </c:pt>
                <c:pt idx="5">
                  <c:v>1010</c:v>
                </c:pt>
                <c:pt idx="6">
                  <c:v>2248</c:v>
                </c:pt>
                <c:pt idx="7">
                  <c:v>5236</c:v>
                </c:pt>
                <c:pt idx="8">
                  <c:v>2554</c:v>
                </c:pt>
                <c:pt idx="9">
                  <c:v>3832</c:v>
                </c:pt>
                <c:pt idx="10">
                  <c:v>5114</c:v>
                </c:pt>
                <c:pt idx="11">
                  <c:v>5908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78-4AFE-8CFC-09F36BB250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82060080"/>
        <c:axId val="-881879680"/>
      </c:lineChart>
      <c:dateAx>
        <c:axId val="-882048112"/>
        <c:scaling>
          <c:orientation val="minMax"/>
        </c:scaling>
        <c:delete val="0"/>
        <c:axPos val="b"/>
        <c:numFmt formatCode="mmmmm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82060624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-8820606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82048112"/>
        <c:crosses val="autoZero"/>
        <c:crossBetween val="between"/>
      </c:valAx>
      <c:catAx>
        <c:axId val="-882060080"/>
        <c:scaling>
          <c:orientation val="minMax"/>
        </c:scaling>
        <c:delete val="1"/>
        <c:axPos val="b"/>
        <c:majorTickMark val="out"/>
        <c:minorTickMark val="none"/>
        <c:tickLblPos val="none"/>
        <c:crossAx val="-881879680"/>
        <c:crosses val="autoZero"/>
        <c:auto val="1"/>
        <c:lblAlgn val="ctr"/>
        <c:lblOffset val="100"/>
        <c:noMultiLvlLbl val="0"/>
      </c:catAx>
      <c:valAx>
        <c:axId val="-881879680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one"/>
        <c:crossAx val="-882060080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0206786307148258"/>
          <c:y val="0.91806925007958218"/>
          <c:w val="0.6688534506907593"/>
          <c:h val="6.808153989354205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CC00">
            <a:gamma/>
            <a:shade val="46275"/>
            <a:invGamma/>
          </a:srgbClr>
        </a:gs>
        <a:gs pos="50000">
          <a:srgbClr val="FFCC00"/>
        </a:gs>
        <a:gs pos="100000">
          <a:srgbClr val="FFCC00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44" r="0.75000000000000044" t="1" header="0.5" footer="0.5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Operating Expenses</a:t>
            </a:r>
          </a:p>
        </c:rich>
      </c:tx>
      <c:layout>
        <c:manualLayout>
          <c:xMode val="edge"/>
          <c:yMode val="edge"/>
          <c:x val="0.33212273755129207"/>
          <c:y val="3.09461544970645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839526571440709"/>
          <c:y val="0.19186615788180031"/>
          <c:w val="0.82253375853128441"/>
          <c:h val="0.6395538596060006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'Data Entry'!$B$57</c:f>
              <c:strCache>
                <c:ptCount val="1"/>
                <c:pt idx="0">
                  <c:v>     Operating Expenses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Entry'!$C$57:$N$57</c:f>
              <c:numCache>
                <c:formatCode>_(* #,##0_);_(* \(#,##0\);_(* "-"??_);_(@_)</c:formatCode>
                <c:ptCount val="12"/>
                <c:pt idx="0">
                  <c:v>1600</c:v>
                </c:pt>
                <c:pt idx="1">
                  <c:v>3350</c:v>
                </c:pt>
                <c:pt idx="2">
                  <c:v>5100</c:v>
                </c:pt>
                <c:pt idx="3">
                  <c:v>6850</c:v>
                </c:pt>
                <c:pt idx="4">
                  <c:v>8600</c:v>
                </c:pt>
                <c:pt idx="5">
                  <c:v>10350</c:v>
                </c:pt>
                <c:pt idx="6">
                  <c:v>12100</c:v>
                </c:pt>
                <c:pt idx="7">
                  <c:v>13850</c:v>
                </c:pt>
                <c:pt idx="8">
                  <c:v>15600</c:v>
                </c:pt>
                <c:pt idx="9">
                  <c:v>17350</c:v>
                </c:pt>
                <c:pt idx="10">
                  <c:v>19100</c:v>
                </c:pt>
                <c:pt idx="11">
                  <c:v>20850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05-4D51-9C98-CC048348D436}"/>
            </c:ext>
          </c:extLst>
        </c:ser>
        <c:ser>
          <c:idx val="0"/>
          <c:order val="1"/>
          <c:tx>
            <c:strRef>
              <c:f>'Data Entry'!$B$58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Entry'!$C$58:$N$58</c:f>
              <c:numCache>
                <c:formatCode>_(* #,##0_);_(* \(#,##0\);_(* "-"??_);_(@_)</c:formatCode>
                <c:ptCount val="12"/>
                <c:pt idx="0">
                  <c:v>595</c:v>
                </c:pt>
                <c:pt idx="1">
                  <c:v>1678</c:v>
                </c:pt>
                <c:pt idx="2">
                  <c:v>4754</c:v>
                </c:pt>
                <c:pt idx="3">
                  <c:v>6501</c:v>
                </c:pt>
                <c:pt idx="4">
                  <c:v>7744</c:v>
                </c:pt>
                <c:pt idx="5">
                  <c:v>9845</c:v>
                </c:pt>
                <c:pt idx="6">
                  <c:v>10976</c:v>
                </c:pt>
                <c:pt idx="7">
                  <c:v>11232</c:v>
                </c:pt>
                <c:pt idx="8">
                  <c:v>14323</c:v>
                </c:pt>
                <c:pt idx="9">
                  <c:v>15434</c:v>
                </c:pt>
                <c:pt idx="10">
                  <c:v>16543</c:v>
                </c:pt>
                <c:pt idx="11">
                  <c:v>17896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705-4D51-9C98-CC048348D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81876416"/>
        <c:axId val="-881876960"/>
      </c:barChart>
      <c:lineChart>
        <c:grouping val="standard"/>
        <c:varyColors val="0"/>
        <c:ser>
          <c:idx val="2"/>
          <c:order val="2"/>
          <c:tx>
            <c:strRef>
              <c:f>'Data Entry'!$B$59</c:f>
              <c:strCache>
                <c:ptCount val="1"/>
                <c:pt idx="0">
                  <c:v>Over / (Under Budget)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'Data Entry'!$C$59:$N$59</c:f>
              <c:numCache>
                <c:formatCode>_(* #,##0_);_(* \(#,##0\);_(* "-"??_);_(@_)</c:formatCode>
                <c:ptCount val="12"/>
                <c:pt idx="0">
                  <c:v>1005</c:v>
                </c:pt>
                <c:pt idx="1">
                  <c:v>1672</c:v>
                </c:pt>
                <c:pt idx="2">
                  <c:v>346</c:v>
                </c:pt>
                <c:pt idx="3">
                  <c:v>349</c:v>
                </c:pt>
                <c:pt idx="4">
                  <c:v>856</c:v>
                </c:pt>
                <c:pt idx="5">
                  <c:v>505</c:v>
                </c:pt>
                <c:pt idx="6">
                  <c:v>1124</c:v>
                </c:pt>
                <c:pt idx="7">
                  <c:v>2618</c:v>
                </c:pt>
                <c:pt idx="8">
                  <c:v>1277</c:v>
                </c:pt>
                <c:pt idx="9">
                  <c:v>1916</c:v>
                </c:pt>
                <c:pt idx="10">
                  <c:v>2557</c:v>
                </c:pt>
                <c:pt idx="11">
                  <c:v>2954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705-4D51-9C98-CC048348D4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81866080"/>
        <c:axId val="-881870432"/>
      </c:lineChart>
      <c:dateAx>
        <c:axId val="-881876416"/>
        <c:scaling>
          <c:orientation val="minMax"/>
        </c:scaling>
        <c:delete val="0"/>
        <c:axPos val="b"/>
        <c:numFmt formatCode="mmmmm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81876960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-8818769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81876416"/>
        <c:crosses val="autoZero"/>
        <c:crossBetween val="between"/>
      </c:valAx>
      <c:catAx>
        <c:axId val="-881866080"/>
        <c:scaling>
          <c:orientation val="minMax"/>
        </c:scaling>
        <c:delete val="1"/>
        <c:axPos val="b"/>
        <c:majorTickMark val="out"/>
        <c:minorTickMark val="none"/>
        <c:tickLblPos val="none"/>
        <c:crossAx val="-881870432"/>
        <c:crosses val="autoZero"/>
        <c:auto val="1"/>
        <c:lblAlgn val="ctr"/>
        <c:lblOffset val="100"/>
        <c:noMultiLvlLbl val="0"/>
      </c:catAx>
      <c:valAx>
        <c:axId val="-881870432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one"/>
        <c:crossAx val="-881866080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2184682775561023E-2"/>
          <c:y val="0.91806925007958218"/>
          <c:w val="0.87482542359255244"/>
          <c:h val="6.808153989354205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CC">
            <a:gamma/>
            <a:shade val="46275"/>
            <a:invGamma/>
          </a:srgbClr>
        </a:gs>
        <a:gs pos="50000">
          <a:srgbClr val="FFFFCC"/>
        </a:gs>
        <a:gs pos="100000">
          <a:srgbClr val="FFFFCC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44" r="0.75000000000000044" t="1" header="0.5" footer="0.5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Payroll Expenses </a:t>
            </a:r>
          </a:p>
        </c:rich>
      </c:tx>
      <c:layout>
        <c:manualLayout>
          <c:xMode val="edge"/>
          <c:yMode val="edge"/>
          <c:x val="0.35471563764427422"/>
          <c:y val="3.09461544970645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79818235178102"/>
          <c:y val="0.19186615788180031"/>
          <c:w val="0.82203941422323878"/>
          <c:h val="0.6395538596060006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'Data Entry'!$B$61</c:f>
              <c:strCache>
                <c:ptCount val="1"/>
                <c:pt idx="0">
                  <c:v>     Payroll Salaries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Entry'!$C$61:$N$61</c:f>
              <c:numCache>
                <c:formatCode>_(* #,##0_);_(* \(#,##0\);_(* "-"??_);_(@_)</c:formatCode>
                <c:ptCount val="12"/>
                <c:pt idx="0">
                  <c:v>1600</c:v>
                </c:pt>
                <c:pt idx="1">
                  <c:v>3350</c:v>
                </c:pt>
                <c:pt idx="2">
                  <c:v>5100</c:v>
                </c:pt>
                <c:pt idx="3">
                  <c:v>6850</c:v>
                </c:pt>
                <c:pt idx="4">
                  <c:v>8600</c:v>
                </c:pt>
                <c:pt idx="5">
                  <c:v>10350</c:v>
                </c:pt>
                <c:pt idx="6">
                  <c:v>12100</c:v>
                </c:pt>
                <c:pt idx="7">
                  <c:v>13850</c:v>
                </c:pt>
                <c:pt idx="8">
                  <c:v>15600</c:v>
                </c:pt>
                <c:pt idx="9">
                  <c:v>17350</c:v>
                </c:pt>
                <c:pt idx="10">
                  <c:v>19100</c:v>
                </c:pt>
                <c:pt idx="11">
                  <c:v>20850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D4-41DA-9FE9-470FC74A079E}"/>
            </c:ext>
          </c:extLst>
        </c:ser>
        <c:ser>
          <c:idx val="0"/>
          <c:order val="1"/>
          <c:tx>
            <c:strRef>
              <c:f>'Data Entry'!$B$62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Entry'!$C$62:$N$62</c:f>
              <c:numCache>
                <c:formatCode>_(* #,##0_);_(* \(#,##0\);_(* "-"??_);_(@_)</c:formatCode>
                <c:ptCount val="12"/>
                <c:pt idx="0">
                  <c:v>595</c:v>
                </c:pt>
                <c:pt idx="1">
                  <c:v>1678</c:v>
                </c:pt>
                <c:pt idx="2">
                  <c:v>4754</c:v>
                </c:pt>
                <c:pt idx="3">
                  <c:v>6501</c:v>
                </c:pt>
                <c:pt idx="4">
                  <c:v>7744</c:v>
                </c:pt>
                <c:pt idx="5">
                  <c:v>9845</c:v>
                </c:pt>
                <c:pt idx="6">
                  <c:v>10976</c:v>
                </c:pt>
                <c:pt idx="7">
                  <c:v>11232</c:v>
                </c:pt>
                <c:pt idx="8">
                  <c:v>14323</c:v>
                </c:pt>
                <c:pt idx="9">
                  <c:v>15434</c:v>
                </c:pt>
                <c:pt idx="10">
                  <c:v>16543</c:v>
                </c:pt>
                <c:pt idx="11">
                  <c:v>17896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D4-41DA-9FE9-470FC74A0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81878592"/>
        <c:axId val="-881878048"/>
      </c:barChart>
      <c:lineChart>
        <c:grouping val="standard"/>
        <c:varyColors val="0"/>
        <c:ser>
          <c:idx val="2"/>
          <c:order val="2"/>
          <c:tx>
            <c:strRef>
              <c:f>'Data Entry'!$B$63</c:f>
              <c:strCache>
                <c:ptCount val="1"/>
                <c:pt idx="0">
                  <c:v>Over / (Under Budget)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'Data Entry'!$C$63:$N$63</c:f>
              <c:numCache>
                <c:formatCode>_(* #,##0_);_(* \(#,##0\);_(* "-"??_);_(@_)</c:formatCode>
                <c:ptCount val="12"/>
                <c:pt idx="0">
                  <c:v>1005</c:v>
                </c:pt>
                <c:pt idx="1">
                  <c:v>1672</c:v>
                </c:pt>
                <c:pt idx="2">
                  <c:v>346</c:v>
                </c:pt>
                <c:pt idx="3">
                  <c:v>349</c:v>
                </c:pt>
                <c:pt idx="4">
                  <c:v>856</c:v>
                </c:pt>
                <c:pt idx="5">
                  <c:v>505</c:v>
                </c:pt>
                <c:pt idx="6">
                  <c:v>1124</c:v>
                </c:pt>
                <c:pt idx="7">
                  <c:v>2618</c:v>
                </c:pt>
                <c:pt idx="8">
                  <c:v>1277</c:v>
                </c:pt>
                <c:pt idx="9">
                  <c:v>1916</c:v>
                </c:pt>
                <c:pt idx="10">
                  <c:v>2557</c:v>
                </c:pt>
                <c:pt idx="11">
                  <c:v>2954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D4-41DA-9FE9-470FC74A0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81875872"/>
        <c:axId val="-881875328"/>
      </c:lineChart>
      <c:dateAx>
        <c:axId val="-881878592"/>
        <c:scaling>
          <c:orientation val="minMax"/>
        </c:scaling>
        <c:delete val="0"/>
        <c:axPos val="b"/>
        <c:numFmt formatCode="mmmmm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81878048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-8818780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81878592"/>
        <c:crosses val="autoZero"/>
        <c:crossBetween val="between"/>
      </c:valAx>
      <c:catAx>
        <c:axId val="-881875872"/>
        <c:scaling>
          <c:orientation val="minMax"/>
        </c:scaling>
        <c:delete val="1"/>
        <c:axPos val="b"/>
        <c:majorTickMark val="out"/>
        <c:minorTickMark val="none"/>
        <c:tickLblPos val="none"/>
        <c:crossAx val="-881875328"/>
        <c:crosses val="autoZero"/>
        <c:auto val="1"/>
        <c:lblAlgn val="ctr"/>
        <c:lblOffset val="100"/>
        <c:noMultiLvlLbl val="0"/>
      </c:catAx>
      <c:valAx>
        <c:axId val="-881875328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one"/>
        <c:crossAx val="-881875872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5202098756183194"/>
          <c:y val="0.91806925007958218"/>
          <c:w val="0.81218620206645287"/>
          <c:h val="6.808153989354205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CC">
            <a:gamma/>
            <a:shade val="46275"/>
            <a:invGamma/>
          </a:srgbClr>
        </a:gs>
        <a:gs pos="50000">
          <a:srgbClr val="FFFFCC"/>
        </a:gs>
        <a:gs pos="100000">
          <a:srgbClr val="FFFFCC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44" r="0.75000000000000044" t="1" header="0.5" footer="0.5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Total Sales vs. Total Budget</a:t>
            </a:r>
          </a:p>
        </c:rich>
      </c:tx>
      <c:layout>
        <c:manualLayout>
          <c:xMode val="edge"/>
          <c:yMode val="edge"/>
          <c:x val="0.33354433293022018"/>
          <c:y val="3.09461544970645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356849100771988E-2"/>
          <c:y val="0.20424461968062604"/>
          <c:w val="0.90004026346249877"/>
          <c:h val="0.6271753978071752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'Data Entry'!$B$79</c:f>
              <c:strCache>
                <c:ptCount val="1"/>
                <c:pt idx="0">
                  <c:v>Total Sales Expenses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'Data Entry'!$C$79:$N$79</c:f>
              <c:numCache>
                <c:formatCode>#,##0_);\(#,##0\)</c:formatCode>
                <c:ptCount val="12"/>
                <c:pt idx="0">
                  <c:v>3200</c:v>
                </c:pt>
                <c:pt idx="1">
                  <c:v>6700</c:v>
                </c:pt>
                <c:pt idx="2">
                  <c:v>10200</c:v>
                </c:pt>
                <c:pt idx="3">
                  <c:v>13700</c:v>
                </c:pt>
                <c:pt idx="4">
                  <c:v>17200</c:v>
                </c:pt>
                <c:pt idx="5">
                  <c:v>20700</c:v>
                </c:pt>
                <c:pt idx="6">
                  <c:v>24200</c:v>
                </c:pt>
                <c:pt idx="7">
                  <c:v>27700</c:v>
                </c:pt>
                <c:pt idx="8">
                  <c:v>31200</c:v>
                </c:pt>
                <c:pt idx="9">
                  <c:v>34700</c:v>
                </c:pt>
                <c:pt idx="10">
                  <c:v>38200</c:v>
                </c:pt>
                <c:pt idx="11">
                  <c:v>41700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FB-47D5-874D-E870E393F492}"/>
            </c:ext>
          </c:extLst>
        </c:ser>
        <c:ser>
          <c:idx val="0"/>
          <c:order val="1"/>
          <c:tx>
            <c:strRef>
              <c:f>'Data Entry'!$B$80</c:f>
              <c:strCache>
                <c:ptCount val="1"/>
                <c:pt idx="0">
                  <c:v>Total Sales Expense Budget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'Data Entry'!$C$80:$N$80</c:f>
              <c:numCache>
                <c:formatCode>#,##0_);\(#,##0\)</c:formatCode>
                <c:ptCount val="12"/>
                <c:pt idx="0">
                  <c:v>1190</c:v>
                </c:pt>
                <c:pt idx="1">
                  <c:v>3356</c:v>
                </c:pt>
                <c:pt idx="2">
                  <c:v>9508</c:v>
                </c:pt>
                <c:pt idx="3">
                  <c:v>13002</c:v>
                </c:pt>
                <c:pt idx="4">
                  <c:v>15488</c:v>
                </c:pt>
                <c:pt idx="5">
                  <c:v>19690</c:v>
                </c:pt>
                <c:pt idx="6">
                  <c:v>21952</c:v>
                </c:pt>
                <c:pt idx="7">
                  <c:v>22464</c:v>
                </c:pt>
                <c:pt idx="8">
                  <c:v>28646</c:v>
                </c:pt>
                <c:pt idx="9">
                  <c:v>30868</c:v>
                </c:pt>
                <c:pt idx="10">
                  <c:v>33086</c:v>
                </c:pt>
                <c:pt idx="11">
                  <c:v>35792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FB-47D5-874D-E870E393F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81869888"/>
        <c:axId val="-881867168"/>
      </c:barChart>
      <c:lineChart>
        <c:grouping val="standard"/>
        <c:varyColors val="0"/>
        <c:ser>
          <c:idx val="2"/>
          <c:order val="2"/>
          <c:tx>
            <c:strRef>
              <c:f>'Data Entry'!$B$81</c:f>
              <c:strCache>
                <c:ptCount val="1"/>
                <c:pt idx="0">
                  <c:v>Total Over / (Under Budget)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'Data Entry'!$C$81:$N$81</c:f>
              <c:numCache>
                <c:formatCode>_(* #,##0_);_(* \(#,##0\);_(* "-"??_);_(@_)</c:formatCode>
                <c:ptCount val="12"/>
                <c:pt idx="0">
                  <c:v>2010</c:v>
                </c:pt>
                <c:pt idx="1">
                  <c:v>3344</c:v>
                </c:pt>
                <c:pt idx="2">
                  <c:v>692</c:v>
                </c:pt>
                <c:pt idx="3">
                  <c:v>698</c:v>
                </c:pt>
                <c:pt idx="4">
                  <c:v>1712</c:v>
                </c:pt>
                <c:pt idx="5">
                  <c:v>1010</c:v>
                </c:pt>
                <c:pt idx="6">
                  <c:v>2248</c:v>
                </c:pt>
                <c:pt idx="7">
                  <c:v>5236</c:v>
                </c:pt>
                <c:pt idx="8">
                  <c:v>2554</c:v>
                </c:pt>
                <c:pt idx="9">
                  <c:v>3832</c:v>
                </c:pt>
                <c:pt idx="10">
                  <c:v>5114</c:v>
                </c:pt>
                <c:pt idx="11">
                  <c:v>5908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FFB-47D5-874D-E870E393F4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81873152"/>
        <c:axId val="-881879136"/>
      </c:lineChart>
      <c:catAx>
        <c:axId val="-881869888"/>
        <c:scaling>
          <c:orientation val="minMax"/>
        </c:scaling>
        <c:delete val="0"/>
        <c:axPos val="b"/>
        <c:numFmt formatCode="mmmmm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81867168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8818671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);\(#,##0\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81869888"/>
        <c:crosses val="autoZero"/>
        <c:crossBetween val="between"/>
      </c:valAx>
      <c:catAx>
        <c:axId val="-881873152"/>
        <c:scaling>
          <c:orientation val="minMax"/>
        </c:scaling>
        <c:delete val="1"/>
        <c:axPos val="b"/>
        <c:majorTickMark val="out"/>
        <c:minorTickMark val="none"/>
        <c:tickLblPos val="none"/>
        <c:crossAx val="-881879136"/>
        <c:crosses val="autoZero"/>
        <c:auto val="1"/>
        <c:lblAlgn val="ctr"/>
        <c:lblOffset val="100"/>
        <c:noMultiLvlLbl val="0"/>
      </c:catAx>
      <c:valAx>
        <c:axId val="-881879136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one"/>
        <c:crossAx val="-881873152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6059541955899495"/>
          <c:y val="0.91806925007958218"/>
          <c:w val="0.75268073013089398"/>
          <c:h val="6.808153989354205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CC00">
            <a:gamma/>
            <a:shade val="46275"/>
            <a:invGamma/>
          </a:srgbClr>
        </a:gs>
        <a:gs pos="50000">
          <a:srgbClr val="FFCC00"/>
        </a:gs>
        <a:gs pos="100000">
          <a:srgbClr val="FFCC00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44" r="0.75000000000000044" t="1" header="0.5" footer="0.5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Operating Expenses</a:t>
            </a:r>
          </a:p>
        </c:rich>
      </c:tx>
      <c:layout>
        <c:manualLayout>
          <c:xMode val="edge"/>
          <c:yMode val="edge"/>
          <c:x val="0.33219400985733621"/>
          <c:y val="3.09461544970645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79818235178102"/>
          <c:y val="0.19186615788180031"/>
          <c:w val="0.82203941422323878"/>
          <c:h val="0.6395538596060006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'Data Entry'!$B$71</c:f>
              <c:strCache>
                <c:ptCount val="1"/>
                <c:pt idx="0">
                  <c:v>     Operating Expenses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Entry'!$C$71:$N$71</c:f>
              <c:numCache>
                <c:formatCode>_(* #,##0_);_(* \(#,##0\);_(* "-"??_);_(@_)</c:formatCode>
                <c:ptCount val="12"/>
                <c:pt idx="0">
                  <c:v>1600</c:v>
                </c:pt>
                <c:pt idx="1">
                  <c:v>3350</c:v>
                </c:pt>
                <c:pt idx="2">
                  <c:v>5100</c:v>
                </c:pt>
                <c:pt idx="3">
                  <c:v>6850</c:v>
                </c:pt>
                <c:pt idx="4">
                  <c:v>8600</c:v>
                </c:pt>
                <c:pt idx="5">
                  <c:v>10350</c:v>
                </c:pt>
                <c:pt idx="6">
                  <c:v>12100</c:v>
                </c:pt>
                <c:pt idx="7">
                  <c:v>13850</c:v>
                </c:pt>
                <c:pt idx="8">
                  <c:v>15600</c:v>
                </c:pt>
                <c:pt idx="9">
                  <c:v>17350</c:v>
                </c:pt>
                <c:pt idx="10">
                  <c:v>19100</c:v>
                </c:pt>
                <c:pt idx="11">
                  <c:v>20850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AA-478C-BACA-BAB41821C6E0}"/>
            </c:ext>
          </c:extLst>
        </c:ser>
        <c:ser>
          <c:idx val="0"/>
          <c:order val="1"/>
          <c:tx>
            <c:strRef>
              <c:f>'Data Entry'!$B$72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Entry'!$C$72:$N$72</c:f>
              <c:numCache>
                <c:formatCode>_(* #,##0_);_(* \(#,##0\);_(* "-"??_);_(@_)</c:formatCode>
                <c:ptCount val="12"/>
                <c:pt idx="0">
                  <c:v>595</c:v>
                </c:pt>
                <c:pt idx="1">
                  <c:v>1678</c:v>
                </c:pt>
                <c:pt idx="2">
                  <c:v>4754</c:v>
                </c:pt>
                <c:pt idx="3">
                  <c:v>6501</c:v>
                </c:pt>
                <c:pt idx="4">
                  <c:v>7744</c:v>
                </c:pt>
                <c:pt idx="5">
                  <c:v>9845</c:v>
                </c:pt>
                <c:pt idx="6">
                  <c:v>10976</c:v>
                </c:pt>
                <c:pt idx="7">
                  <c:v>11232</c:v>
                </c:pt>
                <c:pt idx="8">
                  <c:v>14323</c:v>
                </c:pt>
                <c:pt idx="9">
                  <c:v>15434</c:v>
                </c:pt>
                <c:pt idx="10">
                  <c:v>16543</c:v>
                </c:pt>
                <c:pt idx="11">
                  <c:v>17896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9AA-478C-BACA-BAB41821C6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81869344"/>
        <c:axId val="-881874240"/>
      </c:barChart>
      <c:lineChart>
        <c:grouping val="standard"/>
        <c:varyColors val="0"/>
        <c:ser>
          <c:idx val="2"/>
          <c:order val="2"/>
          <c:tx>
            <c:strRef>
              <c:f>'Data Entry'!$B$73</c:f>
              <c:strCache>
                <c:ptCount val="1"/>
                <c:pt idx="0">
                  <c:v>Over / (Under Budget)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'Data Entry'!$C$73:$N$73</c:f>
              <c:numCache>
                <c:formatCode>_(* #,##0_);_(* \(#,##0\);_(* "-"??_);_(@_)</c:formatCode>
                <c:ptCount val="12"/>
                <c:pt idx="0">
                  <c:v>1005</c:v>
                </c:pt>
                <c:pt idx="1">
                  <c:v>1672</c:v>
                </c:pt>
                <c:pt idx="2">
                  <c:v>346</c:v>
                </c:pt>
                <c:pt idx="3">
                  <c:v>349</c:v>
                </c:pt>
                <c:pt idx="4">
                  <c:v>856</c:v>
                </c:pt>
                <c:pt idx="5">
                  <c:v>505</c:v>
                </c:pt>
                <c:pt idx="6">
                  <c:v>1124</c:v>
                </c:pt>
                <c:pt idx="7">
                  <c:v>2618</c:v>
                </c:pt>
                <c:pt idx="8">
                  <c:v>1277</c:v>
                </c:pt>
                <c:pt idx="9">
                  <c:v>1916</c:v>
                </c:pt>
                <c:pt idx="10">
                  <c:v>2557</c:v>
                </c:pt>
                <c:pt idx="11">
                  <c:v>2954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9AA-478C-BACA-BAB41821C6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81873696"/>
        <c:axId val="-881872608"/>
      </c:lineChart>
      <c:dateAx>
        <c:axId val="-881869344"/>
        <c:scaling>
          <c:orientation val="minMax"/>
        </c:scaling>
        <c:delete val="0"/>
        <c:axPos val="b"/>
        <c:numFmt formatCode="mmmmm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81874240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-88187424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81869344"/>
        <c:crosses val="autoZero"/>
        <c:crossBetween val="between"/>
      </c:valAx>
      <c:catAx>
        <c:axId val="-881873696"/>
        <c:scaling>
          <c:orientation val="minMax"/>
        </c:scaling>
        <c:delete val="1"/>
        <c:axPos val="b"/>
        <c:majorTickMark val="out"/>
        <c:minorTickMark val="none"/>
        <c:tickLblPos val="none"/>
        <c:crossAx val="-881872608"/>
        <c:crosses val="autoZero"/>
        <c:auto val="1"/>
        <c:lblAlgn val="ctr"/>
        <c:lblOffset val="100"/>
        <c:noMultiLvlLbl val="0"/>
      </c:catAx>
      <c:valAx>
        <c:axId val="-881872608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one"/>
        <c:crossAx val="-881873696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3342078150763231E-2"/>
          <c:y val="0.91806925007958218"/>
          <c:w val="0.87130547500716515"/>
          <c:h val="6.808153989354205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99CC00">
            <a:gamma/>
            <a:shade val="46275"/>
            <a:invGamma/>
          </a:srgbClr>
        </a:gs>
        <a:gs pos="50000">
          <a:srgbClr val="99CC00"/>
        </a:gs>
        <a:gs pos="100000">
          <a:srgbClr val="99CC00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44" r="0.75000000000000044" t="1" header="0.5" footer="0.5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Payroll Expenses</a:t>
            </a:r>
          </a:p>
        </c:rich>
      </c:tx>
      <c:layout>
        <c:manualLayout>
          <c:xMode val="edge"/>
          <c:yMode val="edge"/>
          <c:x val="0.35471563764427422"/>
          <c:y val="3.09461544970645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79818235178102"/>
          <c:y val="0.19186615788180031"/>
          <c:w val="0.82203941422323878"/>
          <c:h val="0.6395538596060006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'Data Entry'!$B$75</c:f>
              <c:strCache>
                <c:ptCount val="1"/>
                <c:pt idx="0">
                  <c:v>     Payroll Salaries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Entry'!$C$75:$N$75</c:f>
              <c:numCache>
                <c:formatCode>_(* #,##0_);_(* \(#,##0\);_(* "-"??_);_(@_)</c:formatCode>
                <c:ptCount val="12"/>
                <c:pt idx="0">
                  <c:v>1600</c:v>
                </c:pt>
                <c:pt idx="1">
                  <c:v>3350</c:v>
                </c:pt>
                <c:pt idx="2">
                  <c:v>5100</c:v>
                </c:pt>
                <c:pt idx="3">
                  <c:v>6850</c:v>
                </c:pt>
                <c:pt idx="4">
                  <c:v>8600</c:v>
                </c:pt>
                <c:pt idx="5">
                  <c:v>10350</c:v>
                </c:pt>
                <c:pt idx="6">
                  <c:v>12100</c:v>
                </c:pt>
                <c:pt idx="7">
                  <c:v>13850</c:v>
                </c:pt>
                <c:pt idx="8">
                  <c:v>15600</c:v>
                </c:pt>
                <c:pt idx="9">
                  <c:v>17350</c:v>
                </c:pt>
                <c:pt idx="10">
                  <c:v>19100</c:v>
                </c:pt>
                <c:pt idx="11">
                  <c:v>20850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FC-4128-A054-EBCD1D10C1D3}"/>
            </c:ext>
          </c:extLst>
        </c:ser>
        <c:ser>
          <c:idx val="0"/>
          <c:order val="1"/>
          <c:tx>
            <c:strRef>
              <c:f>'Data Entry'!$B$76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Entry'!$C$76:$N$76</c:f>
              <c:numCache>
                <c:formatCode>_(* #,##0_);_(* \(#,##0\);_(* "-"??_);_(@_)</c:formatCode>
                <c:ptCount val="12"/>
                <c:pt idx="0">
                  <c:v>595</c:v>
                </c:pt>
                <c:pt idx="1">
                  <c:v>1678</c:v>
                </c:pt>
                <c:pt idx="2">
                  <c:v>4754</c:v>
                </c:pt>
                <c:pt idx="3">
                  <c:v>6501</c:v>
                </c:pt>
                <c:pt idx="4">
                  <c:v>7744</c:v>
                </c:pt>
                <c:pt idx="5">
                  <c:v>9845</c:v>
                </c:pt>
                <c:pt idx="6">
                  <c:v>10976</c:v>
                </c:pt>
                <c:pt idx="7">
                  <c:v>11232</c:v>
                </c:pt>
                <c:pt idx="8">
                  <c:v>14323</c:v>
                </c:pt>
                <c:pt idx="9">
                  <c:v>15434</c:v>
                </c:pt>
                <c:pt idx="10">
                  <c:v>16543</c:v>
                </c:pt>
                <c:pt idx="11">
                  <c:v>17896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5FC-4128-A054-EBCD1D10C1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81865536"/>
        <c:axId val="-881864992"/>
      </c:barChart>
      <c:lineChart>
        <c:grouping val="standard"/>
        <c:varyColors val="0"/>
        <c:ser>
          <c:idx val="2"/>
          <c:order val="2"/>
          <c:tx>
            <c:strRef>
              <c:f>'Data Entry'!$B$77</c:f>
              <c:strCache>
                <c:ptCount val="1"/>
                <c:pt idx="0">
                  <c:v>Over / (Under Budget)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'Data Entry'!$C$77:$N$77</c:f>
              <c:numCache>
                <c:formatCode>_(* #,##0_);_(* \(#,##0\);_(* "-"??_);_(@_)</c:formatCode>
                <c:ptCount val="12"/>
                <c:pt idx="0">
                  <c:v>1005</c:v>
                </c:pt>
                <c:pt idx="1">
                  <c:v>1672</c:v>
                </c:pt>
                <c:pt idx="2">
                  <c:v>346</c:v>
                </c:pt>
                <c:pt idx="3">
                  <c:v>349</c:v>
                </c:pt>
                <c:pt idx="4">
                  <c:v>856</c:v>
                </c:pt>
                <c:pt idx="5">
                  <c:v>505</c:v>
                </c:pt>
                <c:pt idx="6">
                  <c:v>1124</c:v>
                </c:pt>
                <c:pt idx="7">
                  <c:v>2618</c:v>
                </c:pt>
                <c:pt idx="8">
                  <c:v>1277</c:v>
                </c:pt>
                <c:pt idx="9">
                  <c:v>1916</c:v>
                </c:pt>
                <c:pt idx="10">
                  <c:v>2557</c:v>
                </c:pt>
                <c:pt idx="11">
                  <c:v>2954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5FC-4128-A054-EBCD1D10C1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80620256"/>
        <c:axId val="-880614816"/>
      </c:lineChart>
      <c:dateAx>
        <c:axId val="-881865536"/>
        <c:scaling>
          <c:orientation val="minMax"/>
        </c:scaling>
        <c:delete val="0"/>
        <c:axPos val="b"/>
        <c:numFmt formatCode="mmmmm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81864992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-8818649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81865536"/>
        <c:crosses val="autoZero"/>
        <c:crossBetween val="between"/>
      </c:valAx>
      <c:catAx>
        <c:axId val="-880620256"/>
        <c:scaling>
          <c:orientation val="minMax"/>
        </c:scaling>
        <c:delete val="1"/>
        <c:axPos val="b"/>
        <c:majorTickMark val="out"/>
        <c:minorTickMark val="none"/>
        <c:tickLblPos val="none"/>
        <c:crossAx val="-880614816"/>
        <c:crosses val="autoZero"/>
        <c:auto val="1"/>
        <c:lblAlgn val="ctr"/>
        <c:lblOffset val="100"/>
        <c:noMultiLvlLbl val="0"/>
      </c:catAx>
      <c:valAx>
        <c:axId val="-880614816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one"/>
        <c:crossAx val="-880620256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5202098756183194"/>
          <c:y val="0.91806925007958218"/>
          <c:w val="0.81218620206645287"/>
          <c:h val="6.808153989354205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99CC00">
            <a:gamma/>
            <a:shade val="46275"/>
            <a:invGamma/>
          </a:srgbClr>
        </a:gs>
        <a:gs pos="50000">
          <a:srgbClr val="99CC00"/>
        </a:gs>
        <a:gs pos="100000">
          <a:srgbClr val="99CC00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44" r="0.75000000000000044" t="1" header="0.5" footer="0.5"/>
    <c:pageSetup orientation="landscape" horizontalDpi="0" verticalDpi="0" copies="0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Total Marketing Expenses vs. Total Marketing Expense Budget</a:t>
            </a:r>
          </a:p>
        </c:rich>
      </c:tx>
      <c:layout>
        <c:manualLayout>
          <c:xMode val="edge"/>
          <c:yMode val="edge"/>
          <c:x val="0.13588843193453409"/>
          <c:y val="3.09461544970645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7356849100771988E-2"/>
          <c:y val="0.20424461968062604"/>
          <c:w val="0.89386351655638363"/>
          <c:h val="0.6271753978071752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'Data Entry'!$B$93</c:f>
              <c:strCache>
                <c:ptCount val="1"/>
                <c:pt idx="0">
                  <c:v>Total Marketing Expenses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Entry'!$C$93:$N$93</c:f>
              <c:numCache>
                <c:formatCode>#,##0_);\(#,##0\)</c:formatCode>
                <c:ptCount val="12"/>
                <c:pt idx="0">
                  <c:v>3200</c:v>
                </c:pt>
                <c:pt idx="1">
                  <c:v>6700</c:v>
                </c:pt>
                <c:pt idx="2">
                  <c:v>10200</c:v>
                </c:pt>
                <c:pt idx="3">
                  <c:v>13700</c:v>
                </c:pt>
                <c:pt idx="4">
                  <c:v>17200</c:v>
                </c:pt>
                <c:pt idx="5">
                  <c:v>20700</c:v>
                </c:pt>
                <c:pt idx="6">
                  <c:v>24200</c:v>
                </c:pt>
                <c:pt idx="7">
                  <c:v>27700</c:v>
                </c:pt>
                <c:pt idx="8">
                  <c:v>31200</c:v>
                </c:pt>
                <c:pt idx="9">
                  <c:v>34700</c:v>
                </c:pt>
                <c:pt idx="10">
                  <c:v>38200</c:v>
                </c:pt>
                <c:pt idx="11">
                  <c:v>41700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3E-498A-B893-42B36828C13F}"/>
            </c:ext>
          </c:extLst>
        </c:ser>
        <c:ser>
          <c:idx val="0"/>
          <c:order val="1"/>
          <c:tx>
            <c:strRef>
              <c:f>'Data Entry'!$B$94</c:f>
              <c:strCache>
                <c:ptCount val="1"/>
                <c:pt idx="0">
                  <c:v>Total Marketing Expense Budget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Entry'!$C$94:$N$94</c:f>
              <c:numCache>
                <c:formatCode>#,##0_);\(#,##0\)</c:formatCode>
                <c:ptCount val="12"/>
                <c:pt idx="0">
                  <c:v>1190</c:v>
                </c:pt>
                <c:pt idx="1">
                  <c:v>3356</c:v>
                </c:pt>
                <c:pt idx="2">
                  <c:v>9508</c:v>
                </c:pt>
                <c:pt idx="3">
                  <c:v>13002</c:v>
                </c:pt>
                <c:pt idx="4">
                  <c:v>15488</c:v>
                </c:pt>
                <c:pt idx="5">
                  <c:v>19690</c:v>
                </c:pt>
                <c:pt idx="6">
                  <c:v>21952</c:v>
                </c:pt>
                <c:pt idx="7">
                  <c:v>22464</c:v>
                </c:pt>
                <c:pt idx="8">
                  <c:v>28646</c:v>
                </c:pt>
                <c:pt idx="9">
                  <c:v>30868</c:v>
                </c:pt>
                <c:pt idx="10">
                  <c:v>33086</c:v>
                </c:pt>
                <c:pt idx="11">
                  <c:v>35792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3E-498A-B893-42B36828C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80609376"/>
        <c:axId val="-880615360"/>
      </c:barChart>
      <c:lineChart>
        <c:grouping val="standard"/>
        <c:varyColors val="0"/>
        <c:ser>
          <c:idx val="2"/>
          <c:order val="2"/>
          <c:tx>
            <c:strRef>
              <c:f>'Data Entry'!$B$95</c:f>
              <c:strCache>
                <c:ptCount val="1"/>
                <c:pt idx="0">
                  <c:v>Total Over / (Under Budget)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'Data Entry'!$C$95:$N$95</c:f>
              <c:numCache>
                <c:formatCode>_(* #,##0_);_(* \(#,##0\);_(* "-"??_);_(@_)</c:formatCode>
                <c:ptCount val="12"/>
                <c:pt idx="0">
                  <c:v>2010</c:v>
                </c:pt>
                <c:pt idx="1">
                  <c:v>3344</c:v>
                </c:pt>
                <c:pt idx="2">
                  <c:v>692</c:v>
                </c:pt>
                <c:pt idx="3">
                  <c:v>698</c:v>
                </c:pt>
                <c:pt idx="4">
                  <c:v>1712</c:v>
                </c:pt>
                <c:pt idx="5">
                  <c:v>1010</c:v>
                </c:pt>
                <c:pt idx="6">
                  <c:v>2248</c:v>
                </c:pt>
                <c:pt idx="7">
                  <c:v>5236</c:v>
                </c:pt>
                <c:pt idx="8">
                  <c:v>2554</c:v>
                </c:pt>
                <c:pt idx="9">
                  <c:v>3832</c:v>
                </c:pt>
                <c:pt idx="10">
                  <c:v>5114</c:v>
                </c:pt>
                <c:pt idx="11">
                  <c:v>5908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3E-498A-B893-42B36828C1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80612640"/>
        <c:axId val="-880612096"/>
      </c:lineChart>
      <c:dateAx>
        <c:axId val="-880609376"/>
        <c:scaling>
          <c:orientation val="minMax"/>
        </c:scaling>
        <c:delete val="0"/>
        <c:axPos val="b"/>
        <c:numFmt formatCode="mmmmm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80615360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-88061536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);\(#,##0\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80609376"/>
        <c:crosses val="autoZero"/>
        <c:crossBetween val="between"/>
      </c:valAx>
      <c:catAx>
        <c:axId val="-880612640"/>
        <c:scaling>
          <c:orientation val="minMax"/>
        </c:scaling>
        <c:delete val="1"/>
        <c:axPos val="b"/>
        <c:majorTickMark val="out"/>
        <c:minorTickMark val="none"/>
        <c:tickLblPos val="none"/>
        <c:crossAx val="-880612096"/>
        <c:crosses val="autoZero"/>
        <c:auto val="1"/>
        <c:lblAlgn val="ctr"/>
        <c:lblOffset val="100"/>
        <c:noMultiLvlLbl val="0"/>
      </c:catAx>
      <c:valAx>
        <c:axId val="-880612096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one"/>
        <c:crossAx val="-880612640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2177015329198516"/>
          <c:y val="0.91806925007958218"/>
          <c:w val="0.82415451575879761"/>
          <c:h val="6.808153989354205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CC00">
            <a:gamma/>
            <a:shade val="46275"/>
            <a:invGamma/>
          </a:srgbClr>
        </a:gs>
        <a:gs pos="50000">
          <a:srgbClr val="FFCC00"/>
        </a:gs>
        <a:gs pos="100000">
          <a:srgbClr val="FFCC00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44" r="0.75000000000000044" t="1" header="0.5" footer="0.5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Operating Expenses</a:t>
            </a:r>
          </a:p>
        </c:rich>
      </c:tx>
      <c:layout>
        <c:manualLayout>
          <c:xMode val="edge"/>
          <c:yMode val="edge"/>
          <c:x val="0.33212273755129207"/>
          <c:y val="3.09461544970645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839526571440709"/>
          <c:y val="0.19186615788180031"/>
          <c:w val="0.82253375853128441"/>
          <c:h val="0.6395538596060006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'Data Entry'!$B$85</c:f>
              <c:strCache>
                <c:ptCount val="1"/>
                <c:pt idx="0">
                  <c:v>     Operating Expenses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Entry'!$C$85:$N$85</c:f>
              <c:numCache>
                <c:formatCode>_(* #,##0_);_(* \(#,##0\);_(* "-"??_);_(@_)</c:formatCode>
                <c:ptCount val="12"/>
                <c:pt idx="0">
                  <c:v>1600</c:v>
                </c:pt>
                <c:pt idx="1">
                  <c:v>3350</c:v>
                </c:pt>
                <c:pt idx="2">
                  <c:v>5100</c:v>
                </c:pt>
                <c:pt idx="3">
                  <c:v>6850</c:v>
                </c:pt>
                <c:pt idx="4">
                  <c:v>8600</c:v>
                </c:pt>
                <c:pt idx="5">
                  <c:v>10350</c:v>
                </c:pt>
                <c:pt idx="6">
                  <c:v>12100</c:v>
                </c:pt>
                <c:pt idx="7">
                  <c:v>13850</c:v>
                </c:pt>
                <c:pt idx="8">
                  <c:v>15600</c:v>
                </c:pt>
                <c:pt idx="9">
                  <c:v>17350</c:v>
                </c:pt>
                <c:pt idx="10">
                  <c:v>19100</c:v>
                </c:pt>
                <c:pt idx="11">
                  <c:v>20850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81-419E-82F8-6B3EDCD989DA}"/>
            </c:ext>
          </c:extLst>
        </c:ser>
        <c:ser>
          <c:idx val="0"/>
          <c:order val="1"/>
          <c:tx>
            <c:strRef>
              <c:f>'Data Entry'!$B$86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Entry'!$C$86:$N$86</c:f>
              <c:numCache>
                <c:formatCode>_(* #,##0_);_(* \(#,##0\);_(* "-"??_);_(@_)</c:formatCode>
                <c:ptCount val="12"/>
                <c:pt idx="0">
                  <c:v>595</c:v>
                </c:pt>
                <c:pt idx="1">
                  <c:v>1678</c:v>
                </c:pt>
                <c:pt idx="2">
                  <c:v>4754</c:v>
                </c:pt>
                <c:pt idx="3">
                  <c:v>6501</c:v>
                </c:pt>
                <c:pt idx="4">
                  <c:v>7744</c:v>
                </c:pt>
                <c:pt idx="5">
                  <c:v>9845</c:v>
                </c:pt>
                <c:pt idx="6">
                  <c:v>10976</c:v>
                </c:pt>
                <c:pt idx="7">
                  <c:v>11232</c:v>
                </c:pt>
                <c:pt idx="8">
                  <c:v>14323</c:v>
                </c:pt>
                <c:pt idx="9">
                  <c:v>15434</c:v>
                </c:pt>
                <c:pt idx="10">
                  <c:v>16543</c:v>
                </c:pt>
                <c:pt idx="11">
                  <c:v>17896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81-419E-82F8-6B3EDCD98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80611552"/>
        <c:axId val="-880613184"/>
      </c:barChart>
      <c:lineChart>
        <c:grouping val="standard"/>
        <c:varyColors val="0"/>
        <c:ser>
          <c:idx val="2"/>
          <c:order val="2"/>
          <c:tx>
            <c:strRef>
              <c:f>'Data Entry'!$B$87</c:f>
              <c:strCache>
                <c:ptCount val="1"/>
                <c:pt idx="0">
                  <c:v>Over / (Under Budget)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'Data Entry'!$C$87:$N$87</c:f>
              <c:numCache>
                <c:formatCode>_(* #,##0_);_(* \(#,##0\);_(* "-"??_);_(@_)</c:formatCode>
                <c:ptCount val="12"/>
                <c:pt idx="0">
                  <c:v>1005</c:v>
                </c:pt>
                <c:pt idx="1">
                  <c:v>1672</c:v>
                </c:pt>
                <c:pt idx="2">
                  <c:v>346</c:v>
                </c:pt>
                <c:pt idx="3">
                  <c:v>349</c:v>
                </c:pt>
                <c:pt idx="4">
                  <c:v>856</c:v>
                </c:pt>
                <c:pt idx="5">
                  <c:v>505</c:v>
                </c:pt>
                <c:pt idx="6">
                  <c:v>1124</c:v>
                </c:pt>
                <c:pt idx="7">
                  <c:v>2618</c:v>
                </c:pt>
                <c:pt idx="8">
                  <c:v>1277</c:v>
                </c:pt>
                <c:pt idx="9">
                  <c:v>1916</c:v>
                </c:pt>
                <c:pt idx="10">
                  <c:v>2557</c:v>
                </c:pt>
                <c:pt idx="11">
                  <c:v>2954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81-419E-82F8-6B3EDCD989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80611008"/>
        <c:axId val="-880622976"/>
      </c:lineChart>
      <c:dateAx>
        <c:axId val="-880611552"/>
        <c:scaling>
          <c:orientation val="minMax"/>
        </c:scaling>
        <c:delete val="0"/>
        <c:axPos val="b"/>
        <c:numFmt formatCode="mmmmm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80613184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-8806131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80611552"/>
        <c:crosses val="autoZero"/>
        <c:crossBetween val="between"/>
      </c:valAx>
      <c:catAx>
        <c:axId val="-880611008"/>
        <c:scaling>
          <c:orientation val="minMax"/>
        </c:scaling>
        <c:delete val="1"/>
        <c:axPos val="b"/>
        <c:majorTickMark val="out"/>
        <c:minorTickMark val="none"/>
        <c:tickLblPos val="none"/>
        <c:crossAx val="-880622976"/>
        <c:crosses val="autoZero"/>
        <c:auto val="1"/>
        <c:lblAlgn val="ctr"/>
        <c:lblOffset val="100"/>
        <c:noMultiLvlLbl val="0"/>
      </c:catAx>
      <c:valAx>
        <c:axId val="-880622976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one"/>
        <c:crossAx val="-88061100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2184682775561023E-2"/>
          <c:y val="0.91806925007958218"/>
          <c:w val="0.87482542359255244"/>
          <c:h val="6.808153989354205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33CCCC">
            <a:gamma/>
            <a:shade val="46275"/>
            <a:invGamma/>
          </a:srgbClr>
        </a:gs>
        <a:gs pos="50000">
          <a:srgbClr val="33CCCC"/>
        </a:gs>
        <a:gs pos="100000">
          <a:srgbClr val="33CCCC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44" r="0.75000000000000044" t="1" header="0.5" footer="0.5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Payroll Expenses</a:t>
            </a:r>
          </a:p>
        </c:rich>
      </c:tx>
      <c:layout>
        <c:manualLayout>
          <c:xMode val="edge"/>
          <c:yMode val="edge"/>
          <c:x val="0.35471563764427422"/>
          <c:y val="3.09461544970645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779818235178102"/>
          <c:y val="0.19186615788180031"/>
          <c:w val="0.82203941422323878"/>
          <c:h val="0.6395538596060006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'Data Entry'!$B$89</c:f>
              <c:strCache>
                <c:ptCount val="1"/>
                <c:pt idx="0">
                  <c:v>     Payroll Salaries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Entry'!$C$89:$N$89</c:f>
              <c:numCache>
                <c:formatCode>_(* #,##0_);_(* \(#,##0\);_(* "-"??_);_(@_)</c:formatCode>
                <c:ptCount val="12"/>
                <c:pt idx="0">
                  <c:v>1600</c:v>
                </c:pt>
                <c:pt idx="1">
                  <c:v>3350</c:v>
                </c:pt>
                <c:pt idx="2">
                  <c:v>5100</c:v>
                </c:pt>
                <c:pt idx="3">
                  <c:v>6850</c:v>
                </c:pt>
                <c:pt idx="4">
                  <c:v>8600</c:v>
                </c:pt>
                <c:pt idx="5">
                  <c:v>10350</c:v>
                </c:pt>
                <c:pt idx="6">
                  <c:v>12100</c:v>
                </c:pt>
                <c:pt idx="7">
                  <c:v>13850</c:v>
                </c:pt>
                <c:pt idx="8">
                  <c:v>15600</c:v>
                </c:pt>
                <c:pt idx="9">
                  <c:v>17350</c:v>
                </c:pt>
                <c:pt idx="10">
                  <c:v>19100</c:v>
                </c:pt>
                <c:pt idx="11">
                  <c:v>20850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10-4B99-947E-161352FC0325}"/>
            </c:ext>
          </c:extLst>
        </c:ser>
        <c:ser>
          <c:idx val="0"/>
          <c:order val="1"/>
          <c:tx>
            <c:strRef>
              <c:f>'Data Entry'!$B$90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Entry'!$C$90:$N$90</c:f>
              <c:numCache>
                <c:formatCode>_(* #,##0_);_(* \(#,##0\);_(* "-"??_);_(@_)</c:formatCode>
                <c:ptCount val="12"/>
                <c:pt idx="0">
                  <c:v>595</c:v>
                </c:pt>
                <c:pt idx="1">
                  <c:v>1678</c:v>
                </c:pt>
                <c:pt idx="2">
                  <c:v>4754</c:v>
                </c:pt>
                <c:pt idx="3">
                  <c:v>6501</c:v>
                </c:pt>
                <c:pt idx="4">
                  <c:v>7744</c:v>
                </c:pt>
                <c:pt idx="5">
                  <c:v>9845</c:v>
                </c:pt>
                <c:pt idx="6">
                  <c:v>10976</c:v>
                </c:pt>
                <c:pt idx="7">
                  <c:v>11232</c:v>
                </c:pt>
                <c:pt idx="8">
                  <c:v>14323</c:v>
                </c:pt>
                <c:pt idx="9">
                  <c:v>15434</c:v>
                </c:pt>
                <c:pt idx="10">
                  <c:v>16543</c:v>
                </c:pt>
                <c:pt idx="11">
                  <c:v>17896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810-4B99-947E-161352FC0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80610464"/>
        <c:axId val="-880609920"/>
      </c:barChart>
      <c:lineChart>
        <c:grouping val="standard"/>
        <c:varyColors val="0"/>
        <c:ser>
          <c:idx val="2"/>
          <c:order val="2"/>
          <c:tx>
            <c:strRef>
              <c:f>'Data Entry'!$B$91</c:f>
              <c:strCache>
                <c:ptCount val="1"/>
                <c:pt idx="0">
                  <c:v>Over / (Under Budget)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'Data Entry'!$C$91:$N$91</c:f>
              <c:numCache>
                <c:formatCode>_(* #,##0_);_(* \(#,##0\);_(* "-"??_);_(@_)</c:formatCode>
                <c:ptCount val="12"/>
                <c:pt idx="0">
                  <c:v>1005</c:v>
                </c:pt>
                <c:pt idx="1">
                  <c:v>1672</c:v>
                </c:pt>
                <c:pt idx="2">
                  <c:v>346</c:v>
                </c:pt>
                <c:pt idx="3">
                  <c:v>349</c:v>
                </c:pt>
                <c:pt idx="4">
                  <c:v>856</c:v>
                </c:pt>
                <c:pt idx="5">
                  <c:v>505</c:v>
                </c:pt>
                <c:pt idx="6">
                  <c:v>1124</c:v>
                </c:pt>
                <c:pt idx="7">
                  <c:v>2618</c:v>
                </c:pt>
                <c:pt idx="8">
                  <c:v>1277</c:v>
                </c:pt>
                <c:pt idx="9">
                  <c:v>1916</c:v>
                </c:pt>
                <c:pt idx="10">
                  <c:v>2557</c:v>
                </c:pt>
                <c:pt idx="11">
                  <c:v>2954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810-4B99-947E-161352FC0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80618624"/>
        <c:axId val="-880623520"/>
      </c:lineChart>
      <c:dateAx>
        <c:axId val="-880610464"/>
        <c:scaling>
          <c:orientation val="minMax"/>
        </c:scaling>
        <c:delete val="0"/>
        <c:axPos val="b"/>
        <c:numFmt formatCode="mmmmm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80609920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-88060992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80610464"/>
        <c:crosses val="autoZero"/>
        <c:crossBetween val="between"/>
      </c:valAx>
      <c:catAx>
        <c:axId val="-880618624"/>
        <c:scaling>
          <c:orientation val="minMax"/>
        </c:scaling>
        <c:delete val="1"/>
        <c:axPos val="b"/>
        <c:majorTickMark val="out"/>
        <c:minorTickMark val="none"/>
        <c:tickLblPos val="none"/>
        <c:crossAx val="-880623520"/>
        <c:crosses val="autoZero"/>
        <c:auto val="1"/>
        <c:lblAlgn val="ctr"/>
        <c:lblOffset val="100"/>
        <c:noMultiLvlLbl val="0"/>
      </c:catAx>
      <c:valAx>
        <c:axId val="-880623520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one"/>
        <c:crossAx val="-880618624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5202098756183194"/>
          <c:y val="0.91806925007958218"/>
          <c:w val="0.81218620206645287"/>
          <c:h val="6.808153989354205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33CCCC">
            <a:gamma/>
            <a:shade val="46275"/>
            <a:invGamma/>
          </a:srgbClr>
        </a:gs>
        <a:gs pos="50000">
          <a:srgbClr val="33CCCC"/>
        </a:gs>
        <a:gs pos="100000">
          <a:srgbClr val="33CCCC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44" r="0.75000000000000044" t="1" header="0.5" footer="0.5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Total R&amp;D Expenses vs. Total R&amp;D Expenses Budget</a:t>
            </a:r>
          </a:p>
        </c:rich>
      </c:tx>
      <c:layout>
        <c:manualLayout>
          <c:xMode val="edge"/>
          <c:yMode val="edge"/>
          <c:x val="0.18971436925925225"/>
          <c:y val="3.09461544970645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2651203591727752E-2"/>
          <c:y val="0.20424461968062604"/>
          <c:w val="0.88856916206542691"/>
          <c:h val="0.6271753978071752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'Data Entry'!$B$107</c:f>
              <c:strCache>
                <c:ptCount val="1"/>
                <c:pt idx="0">
                  <c:v>Total  Research &amp; Development Expenses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Entry'!$C$107:$N$107</c:f>
              <c:numCache>
                <c:formatCode>_(* #,##0_);_(* \(#,##0\);_(* "-"??_);_(@_)</c:formatCode>
                <c:ptCount val="12"/>
                <c:pt idx="0">
                  <c:v>3200</c:v>
                </c:pt>
                <c:pt idx="1">
                  <c:v>6700</c:v>
                </c:pt>
                <c:pt idx="2">
                  <c:v>10200</c:v>
                </c:pt>
                <c:pt idx="3">
                  <c:v>13700</c:v>
                </c:pt>
                <c:pt idx="4">
                  <c:v>17200</c:v>
                </c:pt>
                <c:pt idx="5">
                  <c:v>20700</c:v>
                </c:pt>
                <c:pt idx="6">
                  <c:v>24200</c:v>
                </c:pt>
                <c:pt idx="7">
                  <c:v>27700</c:v>
                </c:pt>
                <c:pt idx="8">
                  <c:v>31200</c:v>
                </c:pt>
                <c:pt idx="9">
                  <c:v>34700</c:v>
                </c:pt>
                <c:pt idx="10">
                  <c:v>38200</c:v>
                </c:pt>
                <c:pt idx="11">
                  <c:v>41700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4E-41ED-B10B-0F523E3861E6}"/>
            </c:ext>
          </c:extLst>
        </c:ser>
        <c:ser>
          <c:idx val="0"/>
          <c:order val="1"/>
          <c:tx>
            <c:strRef>
              <c:f>'Data Entry'!$B$108</c:f>
              <c:strCache>
                <c:ptCount val="1"/>
                <c:pt idx="0">
                  <c:v>Total  R&amp;D Expenses Budget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Entry'!$C$108:$N$108</c:f>
              <c:numCache>
                <c:formatCode>_(* #,##0_);_(* \(#,##0\);_(* "-"??_);_(@_)</c:formatCode>
                <c:ptCount val="12"/>
                <c:pt idx="0">
                  <c:v>1190</c:v>
                </c:pt>
                <c:pt idx="1">
                  <c:v>3356</c:v>
                </c:pt>
                <c:pt idx="2">
                  <c:v>9508</c:v>
                </c:pt>
                <c:pt idx="3">
                  <c:v>13002</c:v>
                </c:pt>
                <c:pt idx="4">
                  <c:v>15488</c:v>
                </c:pt>
                <c:pt idx="5">
                  <c:v>19690</c:v>
                </c:pt>
                <c:pt idx="6">
                  <c:v>21952</c:v>
                </c:pt>
                <c:pt idx="7">
                  <c:v>22464</c:v>
                </c:pt>
                <c:pt idx="8">
                  <c:v>28646</c:v>
                </c:pt>
                <c:pt idx="9">
                  <c:v>30868</c:v>
                </c:pt>
                <c:pt idx="10">
                  <c:v>33086</c:v>
                </c:pt>
                <c:pt idx="11">
                  <c:v>35792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94E-41ED-B10B-0F523E3861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80621344"/>
        <c:axId val="-880614272"/>
      </c:barChart>
      <c:lineChart>
        <c:grouping val="standard"/>
        <c:varyColors val="0"/>
        <c:ser>
          <c:idx val="2"/>
          <c:order val="2"/>
          <c:tx>
            <c:strRef>
              <c:f>'Data Entry'!$B$109</c:f>
              <c:strCache>
                <c:ptCount val="1"/>
                <c:pt idx="0">
                  <c:v>Total Over / (Under Budget)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'Data Entry'!$C$109:$N$109</c:f>
              <c:numCache>
                <c:formatCode>_(* #,##0_);_(* \(#,##0\);_(* "-"??_);_(@_)</c:formatCode>
                <c:ptCount val="12"/>
                <c:pt idx="0">
                  <c:v>2010</c:v>
                </c:pt>
                <c:pt idx="1">
                  <c:v>3344</c:v>
                </c:pt>
                <c:pt idx="2">
                  <c:v>692</c:v>
                </c:pt>
                <c:pt idx="3">
                  <c:v>698</c:v>
                </c:pt>
                <c:pt idx="4">
                  <c:v>1712</c:v>
                </c:pt>
                <c:pt idx="5">
                  <c:v>1010</c:v>
                </c:pt>
                <c:pt idx="6">
                  <c:v>2248</c:v>
                </c:pt>
                <c:pt idx="7">
                  <c:v>5236</c:v>
                </c:pt>
                <c:pt idx="8">
                  <c:v>2554</c:v>
                </c:pt>
                <c:pt idx="9">
                  <c:v>3832</c:v>
                </c:pt>
                <c:pt idx="10">
                  <c:v>5114</c:v>
                </c:pt>
                <c:pt idx="11">
                  <c:v>5908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94E-41ED-B10B-0F523E3861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80619712"/>
        <c:axId val="-880617536"/>
      </c:lineChart>
      <c:dateAx>
        <c:axId val="-880621344"/>
        <c:scaling>
          <c:orientation val="minMax"/>
        </c:scaling>
        <c:delete val="0"/>
        <c:axPos val="b"/>
        <c:numFmt formatCode="mmmmm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80614272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-8806142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80621344"/>
        <c:crosses val="autoZero"/>
        <c:crossBetween val="between"/>
      </c:valAx>
      <c:catAx>
        <c:axId val="-880619712"/>
        <c:scaling>
          <c:orientation val="minMax"/>
        </c:scaling>
        <c:delete val="1"/>
        <c:axPos val="b"/>
        <c:majorTickMark val="out"/>
        <c:minorTickMark val="none"/>
        <c:tickLblPos val="none"/>
        <c:crossAx val="-880617536"/>
        <c:crosses val="autoZero"/>
        <c:auto val="1"/>
        <c:lblAlgn val="ctr"/>
        <c:lblOffset val="100"/>
        <c:noMultiLvlLbl val="0"/>
      </c:catAx>
      <c:valAx>
        <c:axId val="-880617536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one"/>
        <c:crossAx val="-880619712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5295696606372481E-2"/>
          <c:y val="0.91806925007958218"/>
          <c:w val="0.92915921316275563"/>
          <c:h val="6.808153989354205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CC00">
            <a:gamma/>
            <a:shade val="46275"/>
            <a:invGamma/>
          </a:srgbClr>
        </a:gs>
        <a:gs pos="50000">
          <a:srgbClr val="FFCC00"/>
        </a:gs>
        <a:gs pos="100000">
          <a:srgbClr val="FFCC00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44" r="0.75000000000000044" t="1" header="0.5" footer="0.5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Operating Expenses</a:t>
            </a:r>
          </a:p>
        </c:rich>
      </c:tx>
      <c:layout>
        <c:manualLayout>
          <c:xMode val="edge"/>
          <c:yMode val="edge"/>
          <c:x val="0.33212273755129207"/>
          <c:y val="3.09461544970645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839526571440709"/>
          <c:y val="0.19186615788180031"/>
          <c:w val="0.82253375853128441"/>
          <c:h val="0.6395538596060006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'Data Entry'!$B$99</c:f>
              <c:strCache>
                <c:ptCount val="1"/>
                <c:pt idx="0">
                  <c:v>     Operating Expenses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Entry'!$C$99:$N$99</c:f>
              <c:numCache>
                <c:formatCode>_(* #,##0_);_(* \(#,##0\);_(* "-"??_);_(@_)</c:formatCode>
                <c:ptCount val="12"/>
                <c:pt idx="0">
                  <c:v>1600</c:v>
                </c:pt>
                <c:pt idx="1">
                  <c:v>3350</c:v>
                </c:pt>
                <c:pt idx="2">
                  <c:v>5100</c:v>
                </c:pt>
                <c:pt idx="3">
                  <c:v>6850</c:v>
                </c:pt>
                <c:pt idx="4">
                  <c:v>8600</c:v>
                </c:pt>
                <c:pt idx="5">
                  <c:v>10350</c:v>
                </c:pt>
                <c:pt idx="6">
                  <c:v>12100</c:v>
                </c:pt>
                <c:pt idx="7">
                  <c:v>13850</c:v>
                </c:pt>
                <c:pt idx="8">
                  <c:v>15600</c:v>
                </c:pt>
                <c:pt idx="9">
                  <c:v>17350</c:v>
                </c:pt>
                <c:pt idx="10">
                  <c:v>19100</c:v>
                </c:pt>
                <c:pt idx="11">
                  <c:v>20850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C0-4C9C-B582-A563AFA05683}"/>
            </c:ext>
          </c:extLst>
        </c:ser>
        <c:ser>
          <c:idx val="0"/>
          <c:order val="1"/>
          <c:tx>
            <c:strRef>
              <c:f>'Data Entry'!$B$100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Entry'!$C$100:$N$100</c:f>
              <c:numCache>
                <c:formatCode>_(* #,##0_);_(* \(#,##0\);_(* "-"??_);_(@_)</c:formatCode>
                <c:ptCount val="12"/>
                <c:pt idx="0">
                  <c:v>595</c:v>
                </c:pt>
                <c:pt idx="1">
                  <c:v>1678</c:v>
                </c:pt>
                <c:pt idx="2">
                  <c:v>4754</c:v>
                </c:pt>
                <c:pt idx="3">
                  <c:v>6501</c:v>
                </c:pt>
                <c:pt idx="4">
                  <c:v>7744</c:v>
                </c:pt>
                <c:pt idx="5">
                  <c:v>9845</c:v>
                </c:pt>
                <c:pt idx="6">
                  <c:v>10976</c:v>
                </c:pt>
                <c:pt idx="7">
                  <c:v>11232</c:v>
                </c:pt>
                <c:pt idx="8">
                  <c:v>14323</c:v>
                </c:pt>
                <c:pt idx="9">
                  <c:v>15434</c:v>
                </c:pt>
                <c:pt idx="10">
                  <c:v>16543</c:v>
                </c:pt>
                <c:pt idx="11">
                  <c:v>17896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C0-4C9C-B582-A563AFA056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80616448"/>
        <c:axId val="-880066736"/>
      </c:barChart>
      <c:lineChart>
        <c:grouping val="standard"/>
        <c:varyColors val="0"/>
        <c:ser>
          <c:idx val="2"/>
          <c:order val="2"/>
          <c:tx>
            <c:strRef>
              <c:f>'Data Entry'!$B$101</c:f>
              <c:strCache>
                <c:ptCount val="1"/>
                <c:pt idx="0">
                  <c:v>Over / (Under Budget)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'Data Entry'!$C$101:$N$101</c:f>
              <c:numCache>
                <c:formatCode>_(* #,##0_);_(* \(#,##0\);_(* "-"??_);_(@_)</c:formatCode>
                <c:ptCount val="12"/>
                <c:pt idx="0">
                  <c:v>1005</c:v>
                </c:pt>
                <c:pt idx="1">
                  <c:v>1672</c:v>
                </c:pt>
                <c:pt idx="2">
                  <c:v>346</c:v>
                </c:pt>
                <c:pt idx="3">
                  <c:v>349</c:v>
                </c:pt>
                <c:pt idx="4">
                  <c:v>856</c:v>
                </c:pt>
                <c:pt idx="5">
                  <c:v>505</c:v>
                </c:pt>
                <c:pt idx="6">
                  <c:v>1124</c:v>
                </c:pt>
                <c:pt idx="7">
                  <c:v>2618</c:v>
                </c:pt>
                <c:pt idx="8">
                  <c:v>1277</c:v>
                </c:pt>
                <c:pt idx="9">
                  <c:v>1916</c:v>
                </c:pt>
                <c:pt idx="10">
                  <c:v>2557</c:v>
                </c:pt>
                <c:pt idx="11">
                  <c:v>2954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C0-4C9C-B582-A563AFA056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80070544"/>
        <c:axId val="-880073264"/>
      </c:lineChart>
      <c:dateAx>
        <c:axId val="-880616448"/>
        <c:scaling>
          <c:orientation val="minMax"/>
        </c:scaling>
        <c:delete val="0"/>
        <c:axPos val="b"/>
        <c:numFmt formatCode="mmmmm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80066736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-8800667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80616448"/>
        <c:crosses val="autoZero"/>
        <c:crossBetween val="between"/>
      </c:valAx>
      <c:catAx>
        <c:axId val="-880070544"/>
        <c:scaling>
          <c:orientation val="minMax"/>
        </c:scaling>
        <c:delete val="1"/>
        <c:axPos val="b"/>
        <c:majorTickMark val="out"/>
        <c:minorTickMark val="none"/>
        <c:tickLblPos val="none"/>
        <c:crossAx val="-880073264"/>
        <c:crosses val="autoZero"/>
        <c:auto val="1"/>
        <c:lblAlgn val="ctr"/>
        <c:lblOffset val="100"/>
        <c:noMultiLvlLbl val="0"/>
      </c:catAx>
      <c:valAx>
        <c:axId val="-880073264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one"/>
        <c:crossAx val="-880070544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2184682775561023E-2"/>
          <c:y val="0.91806925007958218"/>
          <c:w val="0.87482542359255244"/>
          <c:h val="6.808153989354205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00CCFF">
            <a:gamma/>
            <a:shade val="46275"/>
            <a:invGamma/>
          </a:srgbClr>
        </a:gs>
        <a:gs pos="50000">
          <a:srgbClr val="00CCFF"/>
        </a:gs>
        <a:gs pos="100000">
          <a:srgbClr val="00CCFF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44" r="0.75000000000000044" t="1" header="0.5" footer="0.5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Payroll Expenses</a:t>
            </a:r>
          </a:p>
        </c:rich>
      </c:tx>
      <c:layout>
        <c:manualLayout>
          <c:xMode val="edge"/>
          <c:yMode val="edge"/>
          <c:x val="0.35473534946967761"/>
          <c:y val="3.094615449706455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839526571440709"/>
          <c:y val="0.19186615788180031"/>
          <c:w val="0.82253375853128441"/>
          <c:h val="0.63955385960600064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'Data Entry'!$B$103</c:f>
              <c:strCache>
                <c:ptCount val="1"/>
                <c:pt idx="0">
                  <c:v>     Payroll Salaries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Entry'!$C$103:$N$103</c:f>
              <c:numCache>
                <c:formatCode>_(* #,##0_);_(* \(#,##0\);_(* "-"??_);_(@_)</c:formatCode>
                <c:ptCount val="12"/>
                <c:pt idx="0">
                  <c:v>1600</c:v>
                </c:pt>
                <c:pt idx="1">
                  <c:v>3350</c:v>
                </c:pt>
                <c:pt idx="2">
                  <c:v>5100</c:v>
                </c:pt>
                <c:pt idx="3">
                  <c:v>6850</c:v>
                </c:pt>
                <c:pt idx="4">
                  <c:v>8600</c:v>
                </c:pt>
                <c:pt idx="5">
                  <c:v>10350</c:v>
                </c:pt>
                <c:pt idx="6">
                  <c:v>12100</c:v>
                </c:pt>
                <c:pt idx="7">
                  <c:v>13850</c:v>
                </c:pt>
                <c:pt idx="8">
                  <c:v>15600</c:v>
                </c:pt>
                <c:pt idx="9">
                  <c:v>17350</c:v>
                </c:pt>
                <c:pt idx="10">
                  <c:v>19100</c:v>
                </c:pt>
                <c:pt idx="11">
                  <c:v>20850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97-4538-A438-AAD303A300B7}"/>
            </c:ext>
          </c:extLst>
        </c:ser>
        <c:ser>
          <c:idx val="0"/>
          <c:order val="1"/>
          <c:tx>
            <c:strRef>
              <c:f>'Data Entry'!$B$104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Entry'!$C$104:$N$104</c:f>
              <c:numCache>
                <c:formatCode>_(* #,##0_);_(* \(#,##0\);_(* "-"??_);_(@_)</c:formatCode>
                <c:ptCount val="12"/>
                <c:pt idx="0">
                  <c:v>595</c:v>
                </c:pt>
                <c:pt idx="1">
                  <c:v>1678</c:v>
                </c:pt>
                <c:pt idx="2">
                  <c:v>4754</c:v>
                </c:pt>
                <c:pt idx="3">
                  <c:v>6501</c:v>
                </c:pt>
                <c:pt idx="4">
                  <c:v>7744</c:v>
                </c:pt>
                <c:pt idx="5">
                  <c:v>9845</c:v>
                </c:pt>
                <c:pt idx="6">
                  <c:v>10976</c:v>
                </c:pt>
                <c:pt idx="7">
                  <c:v>11232</c:v>
                </c:pt>
                <c:pt idx="8">
                  <c:v>14323</c:v>
                </c:pt>
                <c:pt idx="9">
                  <c:v>15434</c:v>
                </c:pt>
                <c:pt idx="10">
                  <c:v>16543</c:v>
                </c:pt>
                <c:pt idx="11">
                  <c:v>17896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297-4538-A438-AAD303A300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80069456"/>
        <c:axId val="-880065648"/>
      </c:barChart>
      <c:lineChart>
        <c:grouping val="standard"/>
        <c:varyColors val="0"/>
        <c:ser>
          <c:idx val="2"/>
          <c:order val="2"/>
          <c:tx>
            <c:strRef>
              <c:f>'Data Entry'!$B$105</c:f>
              <c:strCache>
                <c:ptCount val="1"/>
                <c:pt idx="0">
                  <c:v>Over / (Under Budget)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'Data Entry'!$C$105:$N$105</c:f>
              <c:numCache>
                <c:formatCode>_(* #,##0_);_(* \(#,##0\);_(* "-"??_);_(@_)</c:formatCode>
                <c:ptCount val="12"/>
                <c:pt idx="0">
                  <c:v>1005</c:v>
                </c:pt>
                <c:pt idx="1">
                  <c:v>1672</c:v>
                </c:pt>
                <c:pt idx="2">
                  <c:v>346</c:v>
                </c:pt>
                <c:pt idx="3">
                  <c:v>349</c:v>
                </c:pt>
                <c:pt idx="4">
                  <c:v>856</c:v>
                </c:pt>
                <c:pt idx="5">
                  <c:v>505</c:v>
                </c:pt>
                <c:pt idx="6">
                  <c:v>1124</c:v>
                </c:pt>
                <c:pt idx="7">
                  <c:v>2618</c:v>
                </c:pt>
                <c:pt idx="8">
                  <c:v>1277</c:v>
                </c:pt>
                <c:pt idx="9">
                  <c:v>1916</c:v>
                </c:pt>
                <c:pt idx="10">
                  <c:v>2557</c:v>
                </c:pt>
                <c:pt idx="11">
                  <c:v>2954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297-4538-A438-AAD303A300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80076528"/>
        <c:axId val="-880075440"/>
      </c:lineChart>
      <c:dateAx>
        <c:axId val="-880069456"/>
        <c:scaling>
          <c:orientation val="minMax"/>
        </c:scaling>
        <c:delete val="0"/>
        <c:axPos val="b"/>
        <c:numFmt formatCode="mmmmm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80065648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-8800656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80069456"/>
        <c:crosses val="autoZero"/>
        <c:crossBetween val="between"/>
      </c:valAx>
      <c:catAx>
        <c:axId val="-880076528"/>
        <c:scaling>
          <c:orientation val="minMax"/>
        </c:scaling>
        <c:delete val="1"/>
        <c:axPos val="b"/>
        <c:majorTickMark val="out"/>
        <c:minorTickMark val="none"/>
        <c:tickLblPos val="none"/>
        <c:crossAx val="-880075440"/>
        <c:crosses val="autoZero"/>
        <c:auto val="1"/>
        <c:lblAlgn val="ctr"/>
        <c:lblOffset val="100"/>
        <c:noMultiLvlLbl val="0"/>
      </c:catAx>
      <c:valAx>
        <c:axId val="-880075440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one"/>
        <c:crossAx val="-88007652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512218422042052"/>
          <c:y val="0.91806925007958218"/>
          <c:w val="0.81546731730678879"/>
          <c:h val="6.8081539893542056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00CCFF">
            <a:gamma/>
            <a:shade val="46275"/>
            <a:invGamma/>
          </a:srgbClr>
        </a:gs>
        <a:gs pos="50000">
          <a:srgbClr val="00CCFF"/>
        </a:gs>
        <a:gs pos="100000">
          <a:srgbClr val="00CCFF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44" r="0.75000000000000044" t="1" header="0.5" footer="0.5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Financial Summary  </a:t>
            </a:r>
          </a:p>
        </c:rich>
      </c:tx>
      <c:layout>
        <c:manualLayout>
          <c:xMode val="edge"/>
          <c:yMode val="edge"/>
          <c:x val="0.38384070059430103"/>
          <c:y val="3.076472678529134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65187464943608"/>
          <c:y val="0.20304719678292318"/>
          <c:w val="0.87356849100771861"/>
          <c:h val="0.66041613499092056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'Data Entry'!$B$29</c:f>
              <c:strCache>
                <c:ptCount val="1"/>
                <c:pt idx="0">
                  <c:v>Total Sales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Entry'!$C$29:$M$29</c:f>
              <c:numCache>
                <c:formatCode>_(* #,##0_);_(* \(#,##0\);_(* "-"??_);_(@_)</c:formatCode>
                <c:ptCount val="11"/>
                <c:pt idx="0">
                  <c:v>25000</c:v>
                </c:pt>
                <c:pt idx="1">
                  <c:v>30100</c:v>
                </c:pt>
                <c:pt idx="2">
                  <c:v>39600</c:v>
                </c:pt>
                <c:pt idx="3">
                  <c:v>49100</c:v>
                </c:pt>
                <c:pt idx="4">
                  <c:v>60400</c:v>
                </c:pt>
                <c:pt idx="5">
                  <c:v>64580</c:v>
                </c:pt>
                <c:pt idx="6">
                  <c:v>75760</c:v>
                </c:pt>
                <c:pt idx="7">
                  <c:v>82273.333333333299</c:v>
                </c:pt>
                <c:pt idx="8">
                  <c:v>87433.333333333299</c:v>
                </c:pt>
                <c:pt idx="9">
                  <c:v>96433.333333333299</c:v>
                </c:pt>
                <c:pt idx="10">
                  <c:v>105433.3333333333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41-49E1-9423-1C24EA3AF8DD}"/>
            </c:ext>
          </c:extLst>
        </c:ser>
        <c:ser>
          <c:idx val="0"/>
          <c:order val="1"/>
          <c:tx>
            <c:strRef>
              <c:f>'Data Entry'!$B$114</c:f>
              <c:strCache>
                <c:ptCount val="1"/>
                <c:pt idx="0">
                  <c:v>Total All Operating Expenses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Entry'!$C$114:$N$114</c:f>
              <c:numCache>
                <c:formatCode>_(* #,##0_);_(* \(#,##0\);_(* "-"??_);_(@_)</c:formatCode>
                <c:ptCount val="12"/>
                <c:pt idx="0">
                  <c:v>19200</c:v>
                </c:pt>
                <c:pt idx="1">
                  <c:v>40200</c:v>
                </c:pt>
                <c:pt idx="2">
                  <c:v>61200</c:v>
                </c:pt>
                <c:pt idx="3">
                  <c:v>82200</c:v>
                </c:pt>
                <c:pt idx="4">
                  <c:v>103200</c:v>
                </c:pt>
                <c:pt idx="5">
                  <c:v>124200</c:v>
                </c:pt>
                <c:pt idx="6">
                  <c:v>145200</c:v>
                </c:pt>
                <c:pt idx="7">
                  <c:v>166200</c:v>
                </c:pt>
                <c:pt idx="8">
                  <c:v>187200</c:v>
                </c:pt>
                <c:pt idx="9">
                  <c:v>208200</c:v>
                </c:pt>
                <c:pt idx="10">
                  <c:v>229200</c:v>
                </c:pt>
                <c:pt idx="11">
                  <c:v>250200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A41-49E1-9423-1C24EA3AF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80067280"/>
        <c:axId val="-880070000"/>
      </c:barChart>
      <c:lineChart>
        <c:grouping val="standard"/>
        <c:varyColors val="0"/>
        <c:ser>
          <c:idx val="2"/>
          <c:order val="2"/>
          <c:tx>
            <c:strRef>
              <c:f>'Data Entry'!$B$116</c:f>
              <c:strCache>
                <c:ptCount val="1"/>
                <c:pt idx="0">
                  <c:v>EBIT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'Data Entry'!$C$116:$N$116</c:f>
              <c:numCache>
                <c:formatCode>_(* #,##0_);_(* \(#,##0\);_(* "-"??_);_(@_)</c:formatCode>
                <c:ptCount val="12"/>
                <c:pt idx="0">
                  <c:v>5800</c:v>
                </c:pt>
                <c:pt idx="1">
                  <c:v>-10100</c:v>
                </c:pt>
                <c:pt idx="2">
                  <c:v>-21600</c:v>
                </c:pt>
                <c:pt idx="3">
                  <c:v>-33100</c:v>
                </c:pt>
                <c:pt idx="4">
                  <c:v>-42800</c:v>
                </c:pt>
                <c:pt idx="5">
                  <c:v>-59620</c:v>
                </c:pt>
                <c:pt idx="6">
                  <c:v>-69440</c:v>
                </c:pt>
                <c:pt idx="7">
                  <c:v>-83926.666666666701</c:v>
                </c:pt>
                <c:pt idx="8">
                  <c:v>-99766.666666666701</c:v>
                </c:pt>
                <c:pt idx="9">
                  <c:v>-111766.6666666667</c:v>
                </c:pt>
                <c:pt idx="10">
                  <c:v>-123766.6666666667</c:v>
                </c:pt>
                <c:pt idx="11">
                  <c:v>-135766.66666666669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A41-49E1-9423-1C24EA3AF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80067824"/>
        <c:axId val="-880065104"/>
      </c:lineChart>
      <c:dateAx>
        <c:axId val="-880067280"/>
        <c:scaling>
          <c:orientation val="minMax"/>
        </c:scaling>
        <c:delete val="0"/>
        <c:axPos val="b"/>
        <c:numFmt formatCode="mmmmm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80070000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-8800700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80067280"/>
        <c:crosses val="autoZero"/>
        <c:crossBetween val="between"/>
      </c:valAx>
      <c:catAx>
        <c:axId val="-880067824"/>
        <c:scaling>
          <c:orientation val="minMax"/>
        </c:scaling>
        <c:delete val="1"/>
        <c:axPos val="b"/>
        <c:majorTickMark val="out"/>
        <c:minorTickMark val="none"/>
        <c:tickLblPos val="none"/>
        <c:crossAx val="-880065104"/>
        <c:crosses val="autoZero"/>
        <c:auto val="1"/>
        <c:lblAlgn val="ctr"/>
        <c:lblOffset val="100"/>
        <c:noMultiLvlLbl val="0"/>
      </c:catAx>
      <c:valAx>
        <c:axId val="-880065104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one"/>
        <c:crossAx val="-880067824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177820598448529"/>
          <c:y val="0.91883983998736829"/>
          <c:w val="0.48531582833762205"/>
          <c:h val="6.7682398927641024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CC00">
            <a:gamma/>
            <a:shade val="46275"/>
            <a:invGamma/>
          </a:srgbClr>
        </a:gs>
        <a:gs pos="50000">
          <a:srgbClr val="FFCC00"/>
        </a:gs>
        <a:gs pos="100000">
          <a:srgbClr val="FFCC00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44" r="0.75000000000000044" t="1" header="0.5" footer="0.5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Financial Summary  </a:t>
            </a:r>
          </a:p>
        </c:rich>
      </c:tx>
      <c:layout>
        <c:manualLayout>
          <c:xMode val="edge"/>
          <c:yMode val="edge"/>
          <c:x val="0.38480316729264252"/>
          <c:y val="3.044768604524005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669542365841445"/>
          <c:y val="0.20095472789858437"/>
          <c:w val="0.87455265293782225"/>
          <c:h val="0.66375955578623325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'Data Entry'!$B$29</c:f>
              <c:strCache>
                <c:ptCount val="1"/>
                <c:pt idx="0">
                  <c:v>Total Sales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Entry'!$C$29:$M$29</c:f>
              <c:numCache>
                <c:formatCode>_(* #,##0_);_(* \(#,##0\);_(* "-"??_);_(@_)</c:formatCode>
                <c:ptCount val="11"/>
                <c:pt idx="0">
                  <c:v>25000</c:v>
                </c:pt>
                <c:pt idx="1">
                  <c:v>30100</c:v>
                </c:pt>
                <c:pt idx="2">
                  <c:v>39600</c:v>
                </c:pt>
                <c:pt idx="3">
                  <c:v>49100</c:v>
                </c:pt>
                <c:pt idx="4">
                  <c:v>60400</c:v>
                </c:pt>
                <c:pt idx="5">
                  <c:v>64580</c:v>
                </c:pt>
                <c:pt idx="6">
                  <c:v>75760</c:v>
                </c:pt>
                <c:pt idx="7">
                  <c:v>82273.333333333299</c:v>
                </c:pt>
                <c:pt idx="8">
                  <c:v>87433.333333333299</c:v>
                </c:pt>
                <c:pt idx="9">
                  <c:v>96433.333333333299</c:v>
                </c:pt>
                <c:pt idx="10">
                  <c:v>105433.3333333333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01C-435F-8DF6-910722C21CFC}"/>
            </c:ext>
          </c:extLst>
        </c:ser>
        <c:ser>
          <c:idx val="0"/>
          <c:order val="1"/>
          <c:tx>
            <c:strRef>
              <c:f>'Data Entry'!$B$114</c:f>
              <c:strCache>
                <c:ptCount val="1"/>
                <c:pt idx="0">
                  <c:v>Total All Operating Expenses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Entry'!$C$114:$N$114</c:f>
              <c:numCache>
                <c:formatCode>_(* #,##0_);_(* \(#,##0\);_(* "-"??_);_(@_)</c:formatCode>
                <c:ptCount val="12"/>
                <c:pt idx="0">
                  <c:v>19200</c:v>
                </c:pt>
                <c:pt idx="1">
                  <c:v>40200</c:v>
                </c:pt>
                <c:pt idx="2">
                  <c:v>61200</c:v>
                </c:pt>
                <c:pt idx="3">
                  <c:v>82200</c:v>
                </c:pt>
                <c:pt idx="4">
                  <c:v>103200</c:v>
                </c:pt>
                <c:pt idx="5">
                  <c:v>124200</c:v>
                </c:pt>
                <c:pt idx="6">
                  <c:v>145200</c:v>
                </c:pt>
                <c:pt idx="7">
                  <c:v>166200</c:v>
                </c:pt>
                <c:pt idx="8">
                  <c:v>187200</c:v>
                </c:pt>
                <c:pt idx="9">
                  <c:v>208200</c:v>
                </c:pt>
                <c:pt idx="10">
                  <c:v>229200</c:v>
                </c:pt>
                <c:pt idx="11">
                  <c:v>250200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01C-435F-8DF6-910722C21C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80064560"/>
        <c:axId val="-880064016"/>
      </c:barChart>
      <c:lineChart>
        <c:grouping val="standard"/>
        <c:varyColors val="0"/>
        <c:ser>
          <c:idx val="2"/>
          <c:order val="2"/>
          <c:tx>
            <c:strRef>
              <c:f>'Data Entry'!$B$116</c:f>
              <c:strCache>
                <c:ptCount val="1"/>
                <c:pt idx="0">
                  <c:v>EBIT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'Data Entry'!$C$116:$N$116</c:f>
              <c:numCache>
                <c:formatCode>_(* #,##0_);_(* \(#,##0\);_(* "-"??_);_(@_)</c:formatCode>
                <c:ptCount val="12"/>
                <c:pt idx="0">
                  <c:v>5800</c:v>
                </c:pt>
                <c:pt idx="1">
                  <c:v>-10100</c:v>
                </c:pt>
                <c:pt idx="2">
                  <c:v>-21600</c:v>
                </c:pt>
                <c:pt idx="3">
                  <c:v>-33100</c:v>
                </c:pt>
                <c:pt idx="4">
                  <c:v>-42800</c:v>
                </c:pt>
                <c:pt idx="5">
                  <c:v>-59620</c:v>
                </c:pt>
                <c:pt idx="6">
                  <c:v>-69440</c:v>
                </c:pt>
                <c:pt idx="7">
                  <c:v>-83926.666666666701</c:v>
                </c:pt>
                <c:pt idx="8">
                  <c:v>-99766.666666666701</c:v>
                </c:pt>
                <c:pt idx="9">
                  <c:v>-111766.6666666667</c:v>
                </c:pt>
                <c:pt idx="10">
                  <c:v>-123766.6666666667</c:v>
                </c:pt>
                <c:pt idx="11">
                  <c:v>-135766.66666666669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01C-435F-8DF6-910722C21C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80072720"/>
        <c:axId val="-880063472"/>
      </c:lineChart>
      <c:dateAx>
        <c:axId val="-880064560"/>
        <c:scaling>
          <c:orientation val="minMax"/>
        </c:scaling>
        <c:delete val="0"/>
        <c:axPos val="b"/>
        <c:numFmt formatCode="mmmmm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80064016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-8800640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80064560"/>
        <c:crosses val="autoZero"/>
        <c:crossBetween val="between"/>
      </c:valAx>
      <c:catAx>
        <c:axId val="-880072720"/>
        <c:scaling>
          <c:orientation val="minMax"/>
        </c:scaling>
        <c:delete val="1"/>
        <c:axPos val="b"/>
        <c:majorTickMark val="out"/>
        <c:minorTickMark val="none"/>
        <c:tickLblPos val="none"/>
        <c:crossAx val="-880063472"/>
        <c:crosses val="autoZero"/>
        <c:auto val="1"/>
        <c:lblAlgn val="ctr"/>
        <c:lblOffset val="100"/>
        <c:noMultiLvlLbl val="0"/>
      </c:catAx>
      <c:valAx>
        <c:axId val="-880063472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one"/>
        <c:crossAx val="-880072720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30346977056942454"/>
          <c:y val="0.91952011856624949"/>
          <c:w val="0.48100395911580252"/>
          <c:h val="6.69849092995281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CC00">
            <a:gamma/>
            <a:shade val="46275"/>
            <a:invGamma/>
          </a:srgbClr>
        </a:gs>
        <a:gs pos="50000">
          <a:srgbClr val="FFCC00"/>
        </a:gs>
        <a:gs pos="100000">
          <a:srgbClr val="FFCC00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44" r="0.75000000000000044" t="1" header="0.5" footer="0.5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Total Sales vs. Total Budget</a:t>
            </a:r>
          </a:p>
        </c:rich>
      </c:tx>
      <c:layout>
        <c:manualLayout>
          <c:xMode val="edge"/>
          <c:yMode val="edge"/>
          <c:x val="0.33495366607518612"/>
          <c:y val="3.03497982196168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144810774078737"/>
          <c:y val="0.20030866824947097"/>
          <c:w val="0.87979996885544953"/>
          <c:h val="0.63329912284933765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'Data Entry'!$B$29</c:f>
              <c:strCache>
                <c:ptCount val="1"/>
                <c:pt idx="0">
                  <c:v>Total Sales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Entry'!$C$29:$N$29</c:f>
              <c:numCache>
                <c:formatCode>_(* #,##0_);_(* \(#,##0\);_(* "-"??_);_(@_)</c:formatCode>
                <c:ptCount val="12"/>
                <c:pt idx="0">
                  <c:v>25000</c:v>
                </c:pt>
                <c:pt idx="1">
                  <c:v>30100</c:v>
                </c:pt>
                <c:pt idx="2">
                  <c:v>39600</c:v>
                </c:pt>
                <c:pt idx="3">
                  <c:v>49100</c:v>
                </c:pt>
                <c:pt idx="4">
                  <c:v>60400</c:v>
                </c:pt>
                <c:pt idx="5">
                  <c:v>64580</c:v>
                </c:pt>
                <c:pt idx="6">
                  <c:v>75760</c:v>
                </c:pt>
                <c:pt idx="7">
                  <c:v>82273.333333333299</c:v>
                </c:pt>
                <c:pt idx="8">
                  <c:v>87433.333333333299</c:v>
                </c:pt>
                <c:pt idx="9">
                  <c:v>96433.333333333299</c:v>
                </c:pt>
                <c:pt idx="10">
                  <c:v>105433.3333333333</c:v>
                </c:pt>
                <c:pt idx="11">
                  <c:v>114433.3333333333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E9-4111-9098-3EF4A41BBC1B}"/>
            </c:ext>
          </c:extLst>
        </c:ser>
        <c:ser>
          <c:idx val="0"/>
          <c:order val="1"/>
          <c:tx>
            <c:strRef>
              <c:f>'Data Entry'!$B$30</c:f>
              <c:strCache>
                <c:ptCount val="1"/>
                <c:pt idx="0">
                  <c:v>Total Sales Budget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Entry'!$C$30:$N$30</c:f>
              <c:numCache>
                <c:formatCode>_(* #,##0_);_(* \(#,##0\);_(* "-"??_);_(@_)</c:formatCode>
                <c:ptCount val="12"/>
                <c:pt idx="0">
                  <c:v>9170</c:v>
                </c:pt>
                <c:pt idx="1">
                  <c:v>15068</c:v>
                </c:pt>
                <c:pt idx="2">
                  <c:v>30524</c:v>
                </c:pt>
                <c:pt idx="3">
                  <c:v>36673</c:v>
                </c:pt>
                <c:pt idx="4">
                  <c:v>46177.000000000015</c:v>
                </c:pt>
                <c:pt idx="5">
                  <c:v>56516.700000000004</c:v>
                </c:pt>
                <c:pt idx="6">
                  <c:v>64916.399999999994</c:v>
                </c:pt>
                <c:pt idx="7">
                  <c:v>71566.100000000006</c:v>
                </c:pt>
                <c:pt idx="8">
                  <c:v>83010.7</c:v>
                </c:pt>
                <c:pt idx="9">
                  <c:v>90702</c:v>
                </c:pt>
                <c:pt idx="10">
                  <c:v>98387.3</c:v>
                </c:pt>
                <c:pt idx="11">
                  <c:v>106804.6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E9-4111-9098-3EF4A41BB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80075984"/>
        <c:axId val="-880077072"/>
      </c:barChart>
      <c:lineChart>
        <c:grouping val="standard"/>
        <c:varyColors val="0"/>
        <c:ser>
          <c:idx val="2"/>
          <c:order val="2"/>
          <c:tx>
            <c:strRef>
              <c:f>'Data Entry'!$B$31</c:f>
              <c:strCache>
                <c:ptCount val="1"/>
                <c:pt idx="0">
                  <c:v>Total Over / (Under Budget)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'Data Entry'!$C$31:$N$31</c:f>
              <c:numCache>
                <c:formatCode>_(* #,##0_);_(* \(#,##0\);_(* "-"??_);_(@_)</c:formatCode>
                <c:ptCount val="12"/>
                <c:pt idx="0">
                  <c:v>15830</c:v>
                </c:pt>
                <c:pt idx="1">
                  <c:v>15032</c:v>
                </c:pt>
                <c:pt idx="2">
                  <c:v>9076</c:v>
                </c:pt>
                <c:pt idx="3">
                  <c:v>12427</c:v>
                </c:pt>
                <c:pt idx="4">
                  <c:v>14222.999999999985</c:v>
                </c:pt>
                <c:pt idx="5">
                  <c:v>8063.2999999999956</c:v>
                </c:pt>
                <c:pt idx="6">
                  <c:v>10843.600000000006</c:v>
                </c:pt>
                <c:pt idx="7">
                  <c:v>10707.233333333294</c:v>
                </c:pt>
                <c:pt idx="8">
                  <c:v>4422.6333333333023</c:v>
                </c:pt>
                <c:pt idx="9">
                  <c:v>5731.3333333332994</c:v>
                </c:pt>
                <c:pt idx="10">
                  <c:v>7046.0333333332965</c:v>
                </c:pt>
                <c:pt idx="11">
                  <c:v>7628.7333333332936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E9-4111-9098-3EF4A41BBC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80074896"/>
        <c:axId val="-880073808"/>
      </c:lineChart>
      <c:dateAx>
        <c:axId val="-880075984"/>
        <c:scaling>
          <c:orientation val="minMax"/>
        </c:scaling>
        <c:delete val="0"/>
        <c:axPos val="b"/>
        <c:numFmt formatCode="mmmmm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80077072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-8800770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80075984"/>
        <c:crosses val="autoZero"/>
        <c:crossBetween val="between"/>
      </c:valAx>
      <c:catAx>
        <c:axId val="-880074896"/>
        <c:scaling>
          <c:orientation val="minMax"/>
        </c:scaling>
        <c:delete val="1"/>
        <c:axPos val="b"/>
        <c:majorTickMark val="out"/>
        <c:minorTickMark val="none"/>
        <c:tickLblPos val="none"/>
        <c:crossAx val="-880073808"/>
        <c:crosses val="autoZero"/>
        <c:auto val="1"/>
        <c:lblAlgn val="ctr"/>
        <c:lblOffset val="100"/>
        <c:noMultiLvlLbl val="0"/>
      </c:catAx>
      <c:valAx>
        <c:axId val="-880073808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one"/>
        <c:crossAx val="-880074896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4924750608727952"/>
          <c:y val="0.91858722611373567"/>
          <c:w val="0.58420117216246481"/>
          <c:h val="6.676955608315698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CC00">
            <a:gamma/>
            <a:shade val="46275"/>
            <a:invGamma/>
          </a:srgbClr>
        </a:gs>
        <a:gs pos="50000">
          <a:srgbClr val="FFCC00"/>
        </a:gs>
        <a:gs pos="100000">
          <a:srgbClr val="FFCC00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44" r="0.75000000000000044" t="1" header="0.5" footer="0.5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Sales Product 1</a:t>
            </a:r>
          </a:p>
        </c:rich>
      </c:tx>
      <c:layout>
        <c:manualLayout>
          <c:xMode val="edge"/>
          <c:yMode val="edge"/>
          <c:x val="0.3692973072412864"/>
          <c:y val="3.03497982196168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87961083460255"/>
          <c:y val="0.18816874896162439"/>
          <c:w val="0.8239246741102948"/>
          <c:h val="0.64543904213718495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'Data Entry'!$B$5</c:f>
              <c:strCache>
                <c:ptCount val="1"/>
                <c:pt idx="0">
                  <c:v>Sales by Product Line 1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Entry'!$C$5:$N$5</c:f>
              <c:numCache>
                <c:formatCode>_(* #,##0_);_(* \(#,##0\);_(* "-"??_);_(@_)</c:formatCode>
                <c:ptCount val="12"/>
                <c:pt idx="0">
                  <c:v>1600</c:v>
                </c:pt>
                <c:pt idx="1">
                  <c:v>3350</c:v>
                </c:pt>
                <c:pt idx="2">
                  <c:v>5100</c:v>
                </c:pt>
                <c:pt idx="3">
                  <c:v>6850</c:v>
                </c:pt>
                <c:pt idx="4">
                  <c:v>8600</c:v>
                </c:pt>
                <c:pt idx="5">
                  <c:v>10350</c:v>
                </c:pt>
                <c:pt idx="6">
                  <c:v>12100</c:v>
                </c:pt>
                <c:pt idx="7">
                  <c:v>13850</c:v>
                </c:pt>
                <c:pt idx="8">
                  <c:v>15600</c:v>
                </c:pt>
                <c:pt idx="9">
                  <c:v>17350</c:v>
                </c:pt>
                <c:pt idx="10">
                  <c:v>19100</c:v>
                </c:pt>
                <c:pt idx="11">
                  <c:v>20850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F87-4026-993C-67463A003DF6}"/>
            </c:ext>
          </c:extLst>
        </c:ser>
        <c:ser>
          <c:idx val="0"/>
          <c:order val="1"/>
          <c:tx>
            <c:strRef>
              <c:f>'Data Entry'!$B$6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Entry'!$C$6:$N$6</c:f>
              <c:numCache>
                <c:formatCode>_(* #,##0_);_(* \(#,##0\);_(* "-"??_);_(@_)</c:formatCode>
                <c:ptCount val="12"/>
                <c:pt idx="0">
                  <c:v>595</c:v>
                </c:pt>
                <c:pt idx="1">
                  <c:v>1678</c:v>
                </c:pt>
                <c:pt idx="2">
                  <c:v>4754</c:v>
                </c:pt>
                <c:pt idx="3">
                  <c:v>6501</c:v>
                </c:pt>
                <c:pt idx="4">
                  <c:v>7744</c:v>
                </c:pt>
                <c:pt idx="5">
                  <c:v>9845</c:v>
                </c:pt>
                <c:pt idx="6">
                  <c:v>10976</c:v>
                </c:pt>
                <c:pt idx="7">
                  <c:v>11232</c:v>
                </c:pt>
                <c:pt idx="8">
                  <c:v>14323</c:v>
                </c:pt>
                <c:pt idx="9">
                  <c:v>15434</c:v>
                </c:pt>
                <c:pt idx="10">
                  <c:v>16543</c:v>
                </c:pt>
                <c:pt idx="11">
                  <c:v>17896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F87-4026-993C-67463A003D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79498128"/>
        <c:axId val="-879485072"/>
      </c:barChart>
      <c:lineChart>
        <c:grouping val="standard"/>
        <c:varyColors val="0"/>
        <c:ser>
          <c:idx val="2"/>
          <c:order val="2"/>
          <c:tx>
            <c:strRef>
              <c:f>'Data Entry'!$B$7</c:f>
              <c:strCache>
                <c:ptCount val="1"/>
                <c:pt idx="0">
                  <c:v>Over / (Under Budget)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'Data Entry'!$C$7:$N$7</c:f>
              <c:numCache>
                <c:formatCode>_(* #,##0_);_(* \(#,##0\);_(* "-"??_);_(@_)</c:formatCode>
                <c:ptCount val="12"/>
                <c:pt idx="0">
                  <c:v>1005</c:v>
                </c:pt>
                <c:pt idx="1">
                  <c:v>1672</c:v>
                </c:pt>
                <c:pt idx="2">
                  <c:v>346</c:v>
                </c:pt>
                <c:pt idx="3">
                  <c:v>349</c:v>
                </c:pt>
                <c:pt idx="4">
                  <c:v>856</c:v>
                </c:pt>
                <c:pt idx="5">
                  <c:v>505</c:v>
                </c:pt>
                <c:pt idx="6">
                  <c:v>1124</c:v>
                </c:pt>
                <c:pt idx="7">
                  <c:v>2618</c:v>
                </c:pt>
                <c:pt idx="8">
                  <c:v>1277</c:v>
                </c:pt>
                <c:pt idx="9">
                  <c:v>1916</c:v>
                </c:pt>
                <c:pt idx="10">
                  <c:v>2557</c:v>
                </c:pt>
                <c:pt idx="11">
                  <c:v>2954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F87-4026-993C-67463A003D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79491056"/>
        <c:axId val="-879491600"/>
      </c:lineChart>
      <c:dateAx>
        <c:axId val="-879498128"/>
        <c:scaling>
          <c:orientation val="minMax"/>
        </c:scaling>
        <c:delete val="0"/>
        <c:axPos val="b"/>
        <c:numFmt formatCode="mmmmm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79485072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-8794850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79498128"/>
        <c:crosses val="autoZero"/>
        <c:crossBetween val="between"/>
      </c:valAx>
      <c:catAx>
        <c:axId val="-879491056"/>
        <c:scaling>
          <c:orientation val="minMax"/>
        </c:scaling>
        <c:delete val="1"/>
        <c:axPos val="b"/>
        <c:majorTickMark val="out"/>
        <c:minorTickMark val="none"/>
        <c:tickLblPos val="none"/>
        <c:crossAx val="-879491600"/>
        <c:crosses val="autoZero"/>
        <c:auto val="1"/>
        <c:lblAlgn val="ctr"/>
        <c:lblOffset val="100"/>
        <c:noMultiLvlLbl val="0"/>
      </c:catAx>
      <c:valAx>
        <c:axId val="-879491600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one"/>
        <c:crossAx val="-879491056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434725807992113E-2"/>
          <c:y val="0.91858722611373567"/>
          <c:w val="0.87148569095197503"/>
          <c:h val="6.676955608315698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>
            <a:gamma/>
            <a:shade val="46275"/>
            <a:invGamma/>
          </a:srgbClr>
        </a:gs>
        <a:gs pos="50000">
          <a:srgbClr val="FFFFFF"/>
        </a:gs>
        <a:gs pos="100000">
          <a:srgbClr val="FFFFFF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Sales Product 2</a:t>
            </a:r>
          </a:p>
        </c:rich>
      </c:tx>
      <c:layout>
        <c:manualLayout>
          <c:xMode val="edge"/>
          <c:yMode val="edge"/>
          <c:x val="0.3692973072412864"/>
          <c:y val="3.03497982196168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87961083460255"/>
          <c:y val="0.18816874896162439"/>
          <c:w val="0.8239246741102948"/>
          <c:h val="0.64543904213718495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'Data Entry'!$B$9</c:f>
              <c:strCache>
                <c:ptCount val="1"/>
                <c:pt idx="0">
                  <c:v>Sales by Product Line 2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Entry'!$C$9:$N$9</c:f>
              <c:numCache>
                <c:formatCode>_(* #,##0_);_(* \(#,##0\);_(* "-"??_);_(@_)</c:formatCode>
                <c:ptCount val="12"/>
                <c:pt idx="0">
                  <c:v>2600</c:v>
                </c:pt>
                <c:pt idx="1">
                  <c:v>3350</c:v>
                </c:pt>
                <c:pt idx="2">
                  <c:v>4100</c:v>
                </c:pt>
                <c:pt idx="3">
                  <c:v>4850</c:v>
                </c:pt>
                <c:pt idx="4">
                  <c:v>5600</c:v>
                </c:pt>
                <c:pt idx="5">
                  <c:v>6350</c:v>
                </c:pt>
                <c:pt idx="6">
                  <c:v>7100</c:v>
                </c:pt>
                <c:pt idx="7">
                  <c:v>7850</c:v>
                </c:pt>
                <c:pt idx="8">
                  <c:v>8600</c:v>
                </c:pt>
                <c:pt idx="9">
                  <c:v>9350</c:v>
                </c:pt>
                <c:pt idx="10">
                  <c:v>10100</c:v>
                </c:pt>
                <c:pt idx="11">
                  <c:v>10850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0E8-4006-AE33-DC66287D8001}"/>
            </c:ext>
          </c:extLst>
        </c:ser>
        <c:ser>
          <c:idx val="0"/>
          <c:order val="1"/>
          <c:tx>
            <c:strRef>
              <c:f>'Data Entry'!$B$10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Entry'!$C$10:$N$10</c:f>
              <c:numCache>
                <c:formatCode>_(* #,##0_);_(* \(#,##0\);_(* "-"??_);_(@_)</c:formatCode>
                <c:ptCount val="12"/>
                <c:pt idx="0">
                  <c:v>1595</c:v>
                </c:pt>
                <c:pt idx="1">
                  <c:v>1678</c:v>
                </c:pt>
                <c:pt idx="2">
                  <c:v>2754</c:v>
                </c:pt>
                <c:pt idx="3">
                  <c:v>3168</c:v>
                </c:pt>
                <c:pt idx="4">
                  <c:v>3747.5</c:v>
                </c:pt>
                <c:pt idx="5">
                  <c:v>4327</c:v>
                </c:pt>
                <c:pt idx="6">
                  <c:v>4906.5</c:v>
                </c:pt>
                <c:pt idx="7">
                  <c:v>5486</c:v>
                </c:pt>
                <c:pt idx="8">
                  <c:v>6065.5</c:v>
                </c:pt>
                <c:pt idx="9">
                  <c:v>6645</c:v>
                </c:pt>
                <c:pt idx="10">
                  <c:v>7224.5</c:v>
                </c:pt>
                <c:pt idx="11">
                  <c:v>7804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0E8-4006-AE33-DC66287D8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79486160"/>
        <c:axId val="-879484528"/>
      </c:barChart>
      <c:lineChart>
        <c:grouping val="standard"/>
        <c:varyColors val="0"/>
        <c:ser>
          <c:idx val="2"/>
          <c:order val="2"/>
          <c:tx>
            <c:strRef>
              <c:f>'Data Entry'!$B$11</c:f>
              <c:strCache>
                <c:ptCount val="1"/>
                <c:pt idx="0">
                  <c:v>Over / (Under Budget)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'Data Entry'!$C$11:$N$11</c:f>
              <c:numCache>
                <c:formatCode>_(* #,##0_);_(* \(#,##0\);_(* "-"??_);_(@_)</c:formatCode>
                <c:ptCount val="12"/>
                <c:pt idx="0">
                  <c:v>1005</c:v>
                </c:pt>
                <c:pt idx="1">
                  <c:v>1672</c:v>
                </c:pt>
                <c:pt idx="2">
                  <c:v>1346</c:v>
                </c:pt>
                <c:pt idx="3">
                  <c:v>1682</c:v>
                </c:pt>
                <c:pt idx="4">
                  <c:v>1852.5</c:v>
                </c:pt>
                <c:pt idx="5">
                  <c:v>2023</c:v>
                </c:pt>
                <c:pt idx="6">
                  <c:v>2193.5</c:v>
                </c:pt>
                <c:pt idx="7">
                  <c:v>2364</c:v>
                </c:pt>
                <c:pt idx="8">
                  <c:v>2534.5</c:v>
                </c:pt>
                <c:pt idx="9">
                  <c:v>2705</c:v>
                </c:pt>
                <c:pt idx="10">
                  <c:v>2875.5</c:v>
                </c:pt>
                <c:pt idx="11">
                  <c:v>3046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0E8-4006-AE33-DC66287D80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79482896"/>
        <c:axId val="-879492144"/>
      </c:lineChart>
      <c:dateAx>
        <c:axId val="-879486160"/>
        <c:scaling>
          <c:orientation val="minMax"/>
        </c:scaling>
        <c:delete val="0"/>
        <c:axPos val="b"/>
        <c:numFmt formatCode="mmmmm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79484528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-8794845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79486160"/>
        <c:crosses val="autoZero"/>
        <c:crossBetween val="between"/>
      </c:valAx>
      <c:catAx>
        <c:axId val="-879482896"/>
        <c:scaling>
          <c:orientation val="minMax"/>
        </c:scaling>
        <c:delete val="1"/>
        <c:axPos val="b"/>
        <c:majorTickMark val="out"/>
        <c:minorTickMark val="none"/>
        <c:tickLblPos val="none"/>
        <c:crossAx val="-879492144"/>
        <c:crosses val="autoZero"/>
        <c:auto val="1"/>
        <c:lblAlgn val="ctr"/>
        <c:lblOffset val="100"/>
        <c:noMultiLvlLbl val="0"/>
      </c:catAx>
      <c:valAx>
        <c:axId val="-879492144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one"/>
        <c:crossAx val="-879482896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434725807992113E-2"/>
          <c:y val="0.91858722611373567"/>
          <c:w val="0.87148569095197503"/>
          <c:h val="6.676955608315698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>
            <a:gamma/>
            <a:shade val="46275"/>
            <a:invGamma/>
          </a:srgbClr>
        </a:gs>
        <a:gs pos="50000">
          <a:srgbClr val="FFFFFF"/>
        </a:gs>
        <a:gs pos="100000">
          <a:srgbClr val="FFFFFF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000000000000044" r="0.75000000000000044" t="1" header="0.5" footer="0.5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Sales Product 3</a:t>
            </a:r>
          </a:p>
        </c:rich>
      </c:tx>
      <c:layout>
        <c:manualLayout>
          <c:xMode val="edge"/>
          <c:yMode val="edge"/>
          <c:x val="0.3692973072412864"/>
          <c:y val="3.03497982196168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87961083460255"/>
          <c:y val="0.18816874896162439"/>
          <c:w val="0.8239246741102948"/>
          <c:h val="0.6757888403568019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'Data Entry'!$B$13</c:f>
              <c:strCache>
                <c:ptCount val="1"/>
                <c:pt idx="0">
                  <c:v>Sales by Product Line 3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Entry'!$C$13:$N$13</c:f>
              <c:numCache>
                <c:formatCode>_(* #,##0_);_(* \(#,##0\);_(* "-"??_);_(@_)</c:formatCode>
                <c:ptCount val="12"/>
                <c:pt idx="0">
                  <c:v>1600</c:v>
                </c:pt>
                <c:pt idx="1">
                  <c:v>3350</c:v>
                </c:pt>
                <c:pt idx="2">
                  <c:v>5100</c:v>
                </c:pt>
                <c:pt idx="3">
                  <c:v>6850</c:v>
                </c:pt>
                <c:pt idx="4">
                  <c:v>8600</c:v>
                </c:pt>
                <c:pt idx="5">
                  <c:v>10350</c:v>
                </c:pt>
                <c:pt idx="6">
                  <c:v>12100</c:v>
                </c:pt>
                <c:pt idx="7">
                  <c:v>13850</c:v>
                </c:pt>
                <c:pt idx="8">
                  <c:v>15600</c:v>
                </c:pt>
                <c:pt idx="9">
                  <c:v>17350</c:v>
                </c:pt>
                <c:pt idx="10">
                  <c:v>19100</c:v>
                </c:pt>
                <c:pt idx="11">
                  <c:v>20850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45-49B6-9D2F-1A63E5C9BCAD}"/>
            </c:ext>
          </c:extLst>
        </c:ser>
        <c:ser>
          <c:idx val="0"/>
          <c:order val="1"/>
          <c:tx>
            <c:strRef>
              <c:f>'Data Entry'!$B$14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Entry'!$C$14:$N$14</c:f>
              <c:numCache>
                <c:formatCode>_(* #,##0_);_(* \(#,##0\);_(* "-"??_);_(@_)</c:formatCode>
                <c:ptCount val="12"/>
                <c:pt idx="0">
                  <c:v>1895</c:v>
                </c:pt>
                <c:pt idx="1">
                  <c:v>3678</c:v>
                </c:pt>
                <c:pt idx="2">
                  <c:v>5754</c:v>
                </c:pt>
                <c:pt idx="3">
                  <c:v>7501</c:v>
                </c:pt>
                <c:pt idx="4">
                  <c:v>9430.5000000000091</c:v>
                </c:pt>
                <c:pt idx="5">
                  <c:v>11319.9</c:v>
                </c:pt>
                <c:pt idx="6">
                  <c:v>13209.3</c:v>
                </c:pt>
                <c:pt idx="7">
                  <c:v>15098.7</c:v>
                </c:pt>
                <c:pt idx="8">
                  <c:v>16988.099999999999</c:v>
                </c:pt>
                <c:pt idx="9">
                  <c:v>18877.5</c:v>
                </c:pt>
                <c:pt idx="10">
                  <c:v>20766.900000000001</c:v>
                </c:pt>
                <c:pt idx="11">
                  <c:v>22656.3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545-49B6-9D2F-1A63E5C9BC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79489968"/>
        <c:axId val="-879489424"/>
      </c:barChart>
      <c:lineChart>
        <c:grouping val="standard"/>
        <c:varyColors val="0"/>
        <c:ser>
          <c:idx val="2"/>
          <c:order val="2"/>
          <c:tx>
            <c:strRef>
              <c:f>'Data Entry'!$B$15</c:f>
              <c:strCache>
                <c:ptCount val="1"/>
                <c:pt idx="0">
                  <c:v>Over / (Under Budget)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'Data Entry'!$C$15:$N$15</c:f>
              <c:numCache>
                <c:formatCode>_(* #,##0_);_(* \(#,##0\);_(* "-"??_);_(@_)</c:formatCode>
                <c:ptCount val="12"/>
                <c:pt idx="0">
                  <c:v>-295</c:v>
                </c:pt>
                <c:pt idx="1">
                  <c:v>-328</c:v>
                </c:pt>
                <c:pt idx="2">
                  <c:v>-654</c:v>
                </c:pt>
                <c:pt idx="3">
                  <c:v>-651</c:v>
                </c:pt>
                <c:pt idx="4">
                  <c:v>-830.50000000000909</c:v>
                </c:pt>
                <c:pt idx="5">
                  <c:v>-969.89999999999964</c:v>
                </c:pt>
                <c:pt idx="6">
                  <c:v>-1109.2999999999993</c:v>
                </c:pt>
                <c:pt idx="7">
                  <c:v>-1248.7000000000007</c:v>
                </c:pt>
                <c:pt idx="8">
                  <c:v>-1388.0999999999985</c:v>
                </c:pt>
                <c:pt idx="9">
                  <c:v>-1527.5</c:v>
                </c:pt>
                <c:pt idx="10">
                  <c:v>-1666.9000000000015</c:v>
                </c:pt>
                <c:pt idx="11">
                  <c:v>-1806.2999999999993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545-49B6-9D2F-1A63E5C9BC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79495408"/>
        <c:axId val="-879492688"/>
      </c:lineChart>
      <c:dateAx>
        <c:axId val="-879489968"/>
        <c:scaling>
          <c:orientation val="minMax"/>
        </c:scaling>
        <c:delete val="0"/>
        <c:axPos val="b"/>
        <c:numFmt formatCode="mmmmm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79489424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-8794894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79489968"/>
        <c:crosses val="autoZero"/>
        <c:crossBetween val="between"/>
      </c:valAx>
      <c:catAx>
        <c:axId val="-879495408"/>
        <c:scaling>
          <c:orientation val="minMax"/>
        </c:scaling>
        <c:delete val="1"/>
        <c:axPos val="b"/>
        <c:majorTickMark val="out"/>
        <c:minorTickMark val="none"/>
        <c:tickLblPos val="none"/>
        <c:crossAx val="-879492688"/>
        <c:crosses val="autoZero"/>
        <c:auto val="1"/>
        <c:lblAlgn val="ctr"/>
        <c:lblOffset val="100"/>
        <c:noMultiLvlLbl val="0"/>
      </c:catAx>
      <c:valAx>
        <c:axId val="-879492688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one"/>
        <c:crossAx val="-87949540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434725807992113E-2"/>
          <c:y val="0.91858722611373567"/>
          <c:w val="0.87148569095197503"/>
          <c:h val="6.676955608315698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>
            <a:gamma/>
            <a:shade val="46275"/>
            <a:invGamma/>
          </a:srgbClr>
        </a:gs>
        <a:gs pos="50000">
          <a:srgbClr val="FFFFFF"/>
        </a:gs>
        <a:gs pos="100000">
          <a:srgbClr val="FFFFFF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44" r="0.75000000000000044" t="1" header="0.5" footer="0.5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Sales Product 4</a:t>
            </a:r>
          </a:p>
        </c:rich>
      </c:tx>
      <c:layout>
        <c:manualLayout>
          <c:xMode val="edge"/>
          <c:yMode val="edge"/>
          <c:x val="0.3692973072412864"/>
          <c:y val="3.03497982196168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87961083460255"/>
          <c:y val="0.18816874896162439"/>
          <c:w val="0.8239246741102948"/>
          <c:h val="0.6757888403568019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'Data Entry'!$B$17</c:f>
              <c:strCache>
                <c:ptCount val="1"/>
                <c:pt idx="0">
                  <c:v>Sales by Product Line 4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Entry'!$C$17:$N$17</c:f>
              <c:numCache>
                <c:formatCode>_(* #,##0_);_(* \(#,##0\);_(* "-"??_);_(@_)</c:formatCode>
                <c:ptCount val="12"/>
                <c:pt idx="0">
                  <c:v>1600</c:v>
                </c:pt>
                <c:pt idx="1">
                  <c:v>3350</c:v>
                </c:pt>
                <c:pt idx="2">
                  <c:v>5100</c:v>
                </c:pt>
                <c:pt idx="3">
                  <c:v>6850</c:v>
                </c:pt>
                <c:pt idx="4">
                  <c:v>12600</c:v>
                </c:pt>
                <c:pt idx="5">
                  <c:v>10350</c:v>
                </c:pt>
                <c:pt idx="6">
                  <c:v>15100</c:v>
                </c:pt>
                <c:pt idx="7">
                  <c:v>15183.333333333299</c:v>
                </c:pt>
                <c:pt idx="8">
                  <c:v>16433.333333333299</c:v>
                </c:pt>
                <c:pt idx="9">
                  <c:v>17683.333333333299</c:v>
                </c:pt>
                <c:pt idx="10">
                  <c:v>18933.333333333299</c:v>
                </c:pt>
                <c:pt idx="11">
                  <c:v>20183.333333333299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4D-4606-90C7-2C8C72D3D0A7}"/>
            </c:ext>
          </c:extLst>
        </c:ser>
        <c:ser>
          <c:idx val="0"/>
          <c:order val="1"/>
          <c:tx>
            <c:strRef>
              <c:f>'Data Entry'!$B$18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Entry'!$C$18:$N$18</c:f>
              <c:numCache>
                <c:formatCode>_(* #,##0_);_(* \(#,##0\);_(* "-"??_);_(@_)</c:formatCode>
                <c:ptCount val="12"/>
                <c:pt idx="0">
                  <c:v>2895</c:v>
                </c:pt>
                <c:pt idx="1">
                  <c:v>4678</c:v>
                </c:pt>
                <c:pt idx="2">
                  <c:v>7754</c:v>
                </c:pt>
                <c:pt idx="3">
                  <c:v>6501</c:v>
                </c:pt>
                <c:pt idx="4">
                  <c:v>9430.5000000000091</c:v>
                </c:pt>
                <c:pt idx="5">
                  <c:v>11319.9</c:v>
                </c:pt>
                <c:pt idx="6">
                  <c:v>13209.3</c:v>
                </c:pt>
                <c:pt idx="7">
                  <c:v>15098.7</c:v>
                </c:pt>
                <c:pt idx="8">
                  <c:v>16988.099999999999</c:v>
                </c:pt>
                <c:pt idx="9">
                  <c:v>18877.5</c:v>
                </c:pt>
                <c:pt idx="10">
                  <c:v>20766.900000000001</c:v>
                </c:pt>
                <c:pt idx="11">
                  <c:v>22656.3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4D-4606-90C7-2C8C72D3D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79497040"/>
        <c:axId val="-879487792"/>
      </c:barChart>
      <c:lineChart>
        <c:grouping val="standard"/>
        <c:varyColors val="0"/>
        <c:ser>
          <c:idx val="2"/>
          <c:order val="2"/>
          <c:tx>
            <c:strRef>
              <c:f>'Data Entry'!$B$19</c:f>
              <c:strCache>
                <c:ptCount val="1"/>
                <c:pt idx="0">
                  <c:v>Over / (Under Budget)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'Data Entry'!$C$19:$N$19</c:f>
              <c:numCache>
                <c:formatCode>_(* #,##0_);_(* \(#,##0\);_(* "-"??_);_(@_)</c:formatCode>
                <c:ptCount val="12"/>
                <c:pt idx="0">
                  <c:v>-1295</c:v>
                </c:pt>
                <c:pt idx="1">
                  <c:v>-1328</c:v>
                </c:pt>
                <c:pt idx="2">
                  <c:v>-2654</c:v>
                </c:pt>
                <c:pt idx="3">
                  <c:v>349</c:v>
                </c:pt>
                <c:pt idx="4">
                  <c:v>3169.4999999999909</c:v>
                </c:pt>
                <c:pt idx="5">
                  <c:v>-969.89999999999964</c:v>
                </c:pt>
                <c:pt idx="6">
                  <c:v>1890.7000000000007</c:v>
                </c:pt>
                <c:pt idx="7">
                  <c:v>84.633333333298651</c:v>
                </c:pt>
                <c:pt idx="8">
                  <c:v>-554.76666666669917</c:v>
                </c:pt>
                <c:pt idx="9">
                  <c:v>-1194.1666666667006</c:v>
                </c:pt>
                <c:pt idx="10">
                  <c:v>-1833.5666666667021</c:v>
                </c:pt>
                <c:pt idx="11">
                  <c:v>-2472.9666666666999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E4D-4606-90C7-2C8C72D3D0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79488880"/>
        <c:axId val="-879488336"/>
      </c:lineChart>
      <c:dateAx>
        <c:axId val="-879497040"/>
        <c:scaling>
          <c:orientation val="minMax"/>
        </c:scaling>
        <c:delete val="0"/>
        <c:axPos val="b"/>
        <c:numFmt formatCode="mmmmm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79487792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-8794877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79497040"/>
        <c:crosses val="autoZero"/>
        <c:crossBetween val="between"/>
      </c:valAx>
      <c:catAx>
        <c:axId val="-879488880"/>
        <c:scaling>
          <c:orientation val="minMax"/>
        </c:scaling>
        <c:delete val="1"/>
        <c:axPos val="b"/>
        <c:majorTickMark val="out"/>
        <c:minorTickMark val="none"/>
        <c:tickLblPos val="none"/>
        <c:crossAx val="-879488336"/>
        <c:crosses val="autoZero"/>
        <c:auto val="1"/>
        <c:lblAlgn val="ctr"/>
        <c:lblOffset val="100"/>
        <c:noMultiLvlLbl val="0"/>
      </c:catAx>
      <c:valAx>
        <c:axId val="-879488336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one"/>
        <c:crossAx val="-879488880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434725807992113E-2"/>
          <c:y val="0.91858722611373567"/>
          <c:w val="0.87148569095197503"/>
          <c:h val="6.676955608315698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>
            <a:gamma/>
            <a:shade val="46275"/>
            <a:invGamma/>
          </a:srgbClr>
        </a:gs>
        <a:gs pos="50000">
          <a:srgbClr val="FFFFFF"/>
        </a:gs>
        <a:gs pos="100000">
          <a:srgbClr val="FFFFFF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44" r="0.75000000000000044" t="1" header="0.5" footer="0.5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Sales Product 5</a:t>
            </a:r>
          </a:p>
        </c:rich>
      </c:tx>
      <c:layout>
        <c:manualLayout>
          <c:xMode val="edge"/>
          <c:yMode val="edge"/>
          <c:x val="0.3692973072412864"/>
          <c:y val="3.03497982196168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87961083460255"/>
          <c:y val="0.18816874896162439"/>
          <c:w val="0.8239246741102948"/>
          <c:h val="0.64543904213718495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'Data Entry'!$B$21</c:f>
              <c:strCache>
                <c:ptCount val="1"/>
                <c:pt idx="0">
                  <c:v>Sales by Product Line 5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Entry'!$C$21:$N$21</c:f>
              <c:numCache>
                <c:formatCode>_(* #,##0_);_(* \(#,##0\);_(* "-"??_);_(@_)</c:formatCode>
                <c:ptCount val="12"/>
                <c:pt idx="0">
                  <c:v>1600</c:v>
                </c:pt>
                <c:pt idx="1">
                  <c:v>3350</c:v>
                </c:pt>
                <c:pt idx="2">
                  <c:v>5100</c:v>
                </c:pt>
                <c:pt idx="3">
                  <c:v>6850</c:v>
                </c:pt>
                <c:pt idx="4">
                  <c:v>8600</c:v>
                </c:pt>
                <c:pt idx="5">
                  <c:v>10350</c:v>
                </c:pt>
                <c:pt idx="6">
                  <c:v>12100</c:v>
                </c:pt>
                <c:pt idx="7">
                  <c:v>13850</c:v>
                </c:pt>
                <c:pt idx="8">
                  <c:v>15600</c:v>
                </c:pt>
                <c:pt idx="9">
                  <c:v>17350</c:v>
                </c:pt>
                <c:pt idx="10">
                  <c:v>19100</c:v>
                </c:pt>
                <c:pt idx="11">
                  <c:v>20850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C4-4150-86E4-63666125913B}"/>
            </c:ext>
          </c:extLst>
        </c:ser>
        <c:ser>
          <c:idx val="0"/>
          <c:order val="1"/>
          <c:tx>
            <c:strRef>
              <c:f>'Data Entry'!$B$22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Entry'!$C$22:$N$22</c:f>
              <c:numCache>
                <c:formatCode>_(* #,##0_);_(* \(#,##0\);_(* "-"??_);_(@_)</c:formatCode>
                <c:ptCount val="12"/>
                <c:pt idx="0">
                  <c:v>595</c:v>
                </c:pt>
                <c:pt idx="1">
                  <c:v>1678</c:v>
                </c:pt>
                <c:pt idx="2">
                  <c:v>4754</c:v>
                </c:pt>
                <c:pt idx="3">
                  <c:v>6501</c:v>
                </c:pt>
                <c:pt idx="4">
                  <c:v>7744</c:v>
                </c:pt>
                <c:pt idx="5">
                  <c:v>9845</c:v>
                </c:pt>
                <c:pt idx="6">
                  <c:v>10976</c:v>
                </c:pt>
                <c:pt idx="7">
                  <c:v>11232</c:v>
                </c:pt>
                <c:pt idx="8">
                  <c:v>14323</c:v>
                </c:pt>
                <c:pt idx="9">
                  <c:v>15434</c:v>
                </c:pt>
                <c:pt idx="10">
                  <c:v>16543</c:v>
                </c:pt>
                <c:pt idx="11">
                  <c:v>17896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EC4-4150-86E4-636661259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79496496"/>
        <c:axId val="-879487248"/>
      </c:barChart>
      <c:lineChart>
        <c:grouping val="standard"/>
        <c:varyColors val="0"/>
        <c:ser>
          <c:idx val="2"/>
          <c:order val="2"/>
          <c:tx>
            <c:strRef>
              <c:f>'Data Entry'!$B$23</c:f>
              <c:strCache>
                <c:ptCount val="1"/>
                <c:pt idx="0">
                  <c:v>Over / (Under Budget)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'Data Entry'!$C$23:$N$23</c:f>
              <c:numCache>
                <c:formatCode>_(* #,##0_);_(* \(#,##0\);_(* "-"??_);_(@_)</c:formatCode>
                <c:ptCount val="12"/>
                <c:pt idx="0">
                  <c:v>1005</c:v>
                </c:pt>
                <c:pt idx="1">
                  <c:v>1672</c:v>
                </c:pt>
                <c:pt idx="2">
                  <c:v>346</c:v>
                </c:pt>
                <c:pt idx="3">
                  <c:v>349</c:v>
                </c:pt>
                <c:pt idx="4">
                  <c:v>856</c:v>
                </c:pt>
                <c:pt idx="5">
                  <c:v>505</c:v>
                </c:pt>
                <c:pt idx="6">
                  <c:v>1124</c:v>
                </c:pt>
                <c:pt idx="7">
                  <c:v>2618</c:v>
                </c:pt>
                <c:pt idx="8">
                  <c:v>1277</c:v>
                </c:pt>
                <c:pt idx="9">
                  <c:v>1916</c:v>
                </c:pt>
                <c:pt idx="10">
                  <c:v>2557</c:v>
                </c:pt>
                <c:pt idx="11">
                  <c:v>2954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EC4-4150-86E4-6366612591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79483440"/>
        <c:axId val="-879485616"/>
      </c:lineChart>
      <c:dateAx>
        <c:axId val="-879496496"/>
        <c:scaling>
          <c:orientation val="minMax"/>
        </c:scaling>
        <c:delete val="0"/>
        <c:axPos val="b"/>
        <c:numFmt formatCode="mmmmm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79487248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-8794872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79496496"/>
        <c:crosses val="autoZero"/>
        <c:crossBetween val="between"/>
      </c:valAx>
      <c:catAx>
        <c:axId val="-879483440"/>
        <c:scaling>
          <c:orientation val="minMax"/>
        </c:scaling>
        <c:delete val="1"/>
        <c:axPos val="b"/>
        <c:majorTickMark val="out"/>
        <c:minorTickMark val="none"/>
        <c:tickLblPos val="none"/>
        <c:crossAx val="-879485616"/>
        <c:crosses val="autoZero"/>
        <c:auto val="1"/>
        <c:lblAlgn val="ctr"/>
        <c:lblOffset val="100"/>
        <c:noMultiLvlLbl val="0"/>
      </c:catAx>
      <c:valAx>
        <c:axId val="-879485616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one"/>
        <c:crossAx val="-879483440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434725807992113E-2"/>
          <c:y val="0.91858722611373567"/>
          <c:w val="0.87148569095197503"/>
          <c:h val="6.676955608315698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>
            <a:gamma/>
            <a:shade val="46275"/>
            <a:invGamma/>
          </a:srgbClr>
        </a:gs>
        <a:gs pos="50000">
          <a:srgbClr val="FFFFFF"/>
        </a:gs>
        <a:gs pos="100000">
          <a:srgbClr val="FFFFFF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44" r="0.75000000000000044" t="1" header="0.5" footer="0.5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Sales Product 6</a:t>
            </a:r>
          </a:p>
        </c:rich>
      </c:tx>
      <c:layout>
        <c:manualLayout>
          <c:xMode val="edge"/>
          <c:yMode val="edge"/>
          <c:x val="0.3692973072412864"/>
          <c:y val="3.03497982196168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87961083460255"/>
          <c:y val="0.18816874896162439"/>
          <c:w val="0.8239246741102948"/>
          <c:h val="0.64543904213718495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'Data Entry'!$B$25</c:f>
              <c:strCache>
                <c:ptCount val="1"/>
                <c:pt idx="0">
                  <c:v>Sales by Product Line 6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Entry'!$C$25:$N$25</c:f>
              <c:numCache>
                <c:formatCode>_(* #,##0_);_(* \(#,##0\);_(* "-"??_);_(@_)</c:formatCode>
                <c:ptCount val="12"/>
                <c:pt idx="0">
                  <c:v>16000</c:v>
                </c:pt>
                <c:pt idx="1">
                  <c:v>13350</c:v>
                </c:pt>
                <c:pt idx="2">
                  <c:v>15100</c:v>
                </c:pt>
                <c:pt idx="3">
                  <c:v>16850</c:v>
                </c:pt>
                <c:pt idx="4">
                  <c:v>16400</c:v>
                </c:pt>
                <c:pt idx="5">
                  <c:v>16830</c:v>
                </c:pt>
                <c:pt idx="6">
                  <c:v>17260</c:v>
                </c:pt>
                <c:pt idx="7">
                  <c:v>17690</c:v>
                </c:pt>
                <c:pt idx="8">
                  <c:v>15600</c:v>
                </c:pt>
                <c:pt idx="9">
                  <c:v>17350</c:v>
                </c:pt>
                <c:pt idx="10">
                  <c:v>19100</c:v>
                </c:pt>
                <c:pt idx="11">
                  <c:v>20850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B1-4CEE-B0E6-3806C00132FC}"/>
            </c:ext>
          </c:extLst>
        </c:ser>
        <c:ser>
          <c:idx val="0"/>
          <c:order val="1"/>
          <c:tx>
            <c:strRef>
              <c:f>'Data Entry'!$B$26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Entry'!$C$26:$N$26</c:f>
              <c:numCache>
                <c:formatCode>_(* #,##0_);_(* \(#,##0\);_(* "-"??_);_(@_)</c:formatCode>
                <c:ptCount val="12"/>
                <c:pt idx="0">
                  <c:v>1595</c:v>
                </c:pt>
                <c:pt idx="1">
                  <c:v>1678</c:v>
                </c:pt>
                <c:pt idx="2">
                  <c:v>4754</c:v>
                </c:pt>
                <c:pt idx="3">
                  <c:v>6501</c:v>
                </c:pt>
                <c:pt idx="4">
                  <c:v>8080.5</c:v>
                </c:pt>
                <c:pt idx="5">
                  <c:v>9859.9</c:v>
                </c:pt>
                <c:pt idx="6">
                  <c:v>11639.3</c:v>
                </c:pt>
                <c:pt idx="7">
                  <c:v>13418.7</c:v>
                </c:pt>
                <c:pt idx="8">
                  <c:v>14323</c:v>
                </c:pt>
                <c:pt idx="9">
                  <c:v>15434</c:v>
                </c:pt>
                <c:pt idx="10">
                  <c:v>16543</c:v>
                </c:pt>
                <c:pt idx="11">
                  <c:v>17896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B1-4CEE-B0E6-3806C0013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74097136"/>
        <c:axId val="-974106928"/>
      </c:barChart>
      <c:lineChart>
        <c:grouping val="standard"/>
        <c:varyColors val="0"/>
        <c:ser>
          <c:idx val="2"/>
          <c:order val="2"/>
          <c:tx>
            <c:strRef>
              <c:f>'Data Entry'!$B$27</c:f>
              <c:strCache>
                <c:ptCount val="1"/>
                <c:pt idx="0">
                  <c:v>Over / (Under Budget)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'Data Entry'!$C$27:$N$27</c:f>
              <c:numCache>
                <c:formatCode>_(* #,##0_);_(* \(#,##0\);_(* "-"??_);_(@_)</c:formatCode>
                <c:ptCount val="12"/>
                <c:pt idx="0">
                  <c:v>14405</c:v>
                </c:pt>
                <c:pt idx="1">
                  <c:v>11672</c:v>
                </c:pt>
                <c:pt idx="2">
                  <c:v>10346</c:v>
                </c:pt>
                <c:pt idx="3">
                  <c:v>10349</c:v>
                </c:pt>
                <c:pt idx="4">
                  <c:v>8319.5</c:v>
                </c:pt>
                <c:pt idx="5">
                  <c:v>6970.1</c:v>
                </c:pt>
                <c:pt idx="6">
                  <c:v>5620.7000000000007</c:v>
                </c:pt>
                <c:pt idx="7">
                  <c:v>4271.2999999999993</c:v>
                </c:pt>
                <c:pt idx="8">
                  <c:v>1277</c:v>
                </c:pt>
                <c:pt idx="9">
                  <c:v>1916</c:v>
                </c:pt>
                <c:pt idx="10">
                  <c:v>2557</c:v>
                </c:pt>
                <c:pt idx="11">
                  <c:v>2954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8B1-4CEE-B0E6-3806C0013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74109104"/>
        <c:axId val="-974096592"/>
      </c:lineChart>
      <c:dateAx>
        <c:axId val="-974097136"/>
        <c:scaling>
          <c:orientation val="minMax"/>
        </c:scaling>
        <c:delete val="0"/>
        <c:axPos val="b"/>
        <c:numFmt formatCode="mmmmm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974106928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-97410692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974097136"/>
        <c:crosses val="autoZero"/>
        <c:crossBetween val="between"/>
      </c:valAx>
      <c:catAx>
        <c:axId val="-974109104"/>
        <c:scaling>
          <c:orientation val="minMax"/>
        </c:scaling>
        <c:delete val="1"/>
        <c:axPos val="b"/>
        <c:majorTickMark val="out"/>
        <c:minorTickMark val="none"/>
        <c:tickLblPos val="none"/>
        <c:crossAx val="-974096592"/>
        <c:crosses val="autoZero"/>
        <c:auto val="1"/>
        <c:lblAlgn val="ctr"/>
        <c:lblOffset val="100"/>
        <c:noMultiLvlLbl val="0"/>
      </c:catAx>
      <c:valAx>
        <c:axId val="-974096592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one"/>
        <c:crossAx val="-974109104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434725807992113E-2"/>
          <c:y val="0.91858722611373567"/>
          <c:w val="0.87148569095197503"/>
          <c:h val="6.676955608315698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FF">
            <a:gamma/>
            <a:shade val="46275"/>
            <a:invGamma/>
          </a:srgbClr>
        </a:gs>
        <a:gs pos="50000">
          <a:srgbClr val="FFFFFF"/>
        </a:gs>
        <a:gs pos="100000">
          <a:srgbClr val="FFFFFF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44" r="0.75000000000000044" t="1" header="0.5" footer="0.5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Total COG vs. Total COG Budget</a:t>
            </a:r>
          </a:p>
        </c:rich>
      </c:tx>
      <c:layout>
        <c:manualLayout>
          <c:xMode val="edge"/>
          <c:yMode val="edge"/>
          <c:x val="0.30871708648705132"/>
          <c:y val="3.044768604524005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82802855847147E-2"/>
          <c:y val="0.20095472789858437"/>
          <c:w val="0.88942004803776475"/>
          <c:h val="0.6333118697409931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'Data Entry'!$B$50</c:f>
              <c:strCache>
                <c:ptCount val="1"/>
                <c:pt idx="0">
                  <c:v>Total Cost of Goods Sold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Entry'!$C$50:$N$50</c:f>
              <c:numCache>
                <c:formatCode>_(* #,##0_);_(* \(#,##0\);_(* "-"??_);_(@_)</c:formatCode>
                <c:ptCount val="12"/>
                <c:pt idx="0">
                  <c:v>6400</c:v>
                </c:pt>
                <c:pt idx="1">
                  <c:v>13400</c:v>
                </c:pt>
                <c:pt idx="2">
                  <c:v>20400</c:v>
                </c:pt>
                <c:pt idx="3">
                  <c:v>27400</c:v>
                </c:pt>
                <c:pt idx="4">
                  <c:v>34400</c:v>
                </c:pt>
                <c:pt idx="5">
                  <c:v>41400</c:v>
                </c:pt>
                <c:pt idx="6">
                  <c:v>48400</c:v>
                </c:pt>
                <c:pt idx="7">
                  <c:v>55400</c:v>
                </c:pt>
                <c:pt idx="8">
                  <c:v>62400</c:v>
                </c:pt>
                <c:pt idx="9">
                  <c:v>69400</c:v>
                </c:pt>
                <c:pt idx="10">
                  <c:v>76400</c:v>
                </c:pt>
                <c:pt idx="11">
                  <c:v>83400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9B-4D82-B88D-345DF5E503BF}"/>
            </c:ext>
          </c:extLst>
        </c:ser>
        <c:ser>
          <c:idx val="0"/>
          <c:order val="1"/>
          <c:tx>
            <c:strRef>
              <c:f>'Data Entry'!$B$51</c:f>
              <c:strCache>
                <c:ptCount val="1"/>
                <c:pt idx="0">
                  <c:v>Total COG Budget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Entry'!$C$51:$N$51</c:f>
              <c:numCache>
                <c:formatCode>_(* #,##0_);_(* \(#,##0\);_(* "-"??_);_(@_)</c:formatCode>
                <c:ptCount val="12"/>
                <c:pt idx="0">
                  <c:v>2380</c:v>
                </c:pt>
                <c:pt idx="1">
                  <c:v>6712</c:v>
                </c:pt>
                <c:pt idx="2">
                  <c:v>19016</c:v>
                </c:pt>
                <c:pt idx="3">
                  <c:v>26004</c:v>
                </c:pt>
                <c:pt idx="4">
                  <c:v>30976</c:v>
                </c:pt>
                <c:pt idx="5">
                  <c:v>39380</c:v>
                </c:pt>
                <c:pt idx="6">
                  <c:v>43904</c:v>
                </c:pt>
                <c:pt idx="7">
                  <c:v>44928</c:v>
                </c:pt>
                <c:pt idx="8">
                  <c:v>57292</c:v>
                </c:pt>
                <c:pt idx="9">
                  <c:v>61736</c:v>
                </c:pt>
                <c:pt idx="10">
                  <c:v>66172</c:v>
                </c:pt>
                <c:pt idx="11">
                  <c:v>71584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9B-4D82-B88D-345DF5E50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74108016"/>
        <c:axId val="-974106384"/>
      </c:barChart>
      <c:lineChart>
        <c:grouping val="standard"/>
        <c:varyColors val="0"/>
        <c:ser>
          <c:idx val="2"/>
          <c:order val="2"/>
          <c:tx>
            <c:strRef>
              <c:f>'Data Entry'!$B$52</c:f>
              <c:strCache>
                <c:ptCount val="1"/>
                <c:pt idx="0">
                  <c:v>Total Over / (Under Budget)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'Data Entry'!$C$52:$N$52</c:f>
              <c:numCache>
                <c:formatCode>_(* #,##0_);_(* \(#,##0\);_(* "-"??_);_(@_)</c:formatCode>
                <c:ptCount val="12"/>
                <c:pt idx="0">
                  <c:v>4020</c:v>
                </c:pt>
                <c:pt idx="1">
                  <c:v>6688</c:v>
                </c:pt>
                <c:pt idx="2">
                  <c:v>1384</c:v>
                </c:pt>
                <c:pt idx="3">
                  <c:v>1396</c:v>
                </c:pt>
                <c:pt idx="4">
                  <c:v>3424</c:v>
                </c:pt>
                <c:pt idx="5">
                  <c:v>2020</c:v>
                </c:pt>
                <c:pt idx="6">
                  <c:v>4496</c:v>
                </c:pt>
                <c:pt idx="7">
                  <c:v>10472</c:v>
                </c:pt>
                <c:pt idx="8">
                  <c:v>5108</c:v>
                </c:pt>
                <c:pt idx="9">
                  <c:v>7664</c:v>
                </c:pt>
                <c:pt idx="10">
                  <c:v>10228</c:v>
                </c:pt>
                <c:pt idx="11">
                  <c:v>11816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A9B-4D82-B88D-345DF5E503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74098768"/>
        <c:axId val="-974094416"/>
      </c:lineChart>
      <c:dateAx>
        <c:axId val="-974108016"/>
        <c:scaling>
          <c:orientation val="minMax"/>
        </c:scaling>
        <c:delete val="0"/>
        <c:axPos val="b"/>
        <c:numFmt formatCode="mmmmm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974106384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-9741063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974108016"/>
        <c:crosses val="autoZero"/>
        <c:crossBetween val="between"/>
      </c:valAx>
      <c:catAx>
        <c:axId val="-974098768"/>
        <c:scaling>
          <c:orientation val="minMax"/>
        </c:scaling>
        <c:delete val="1"/>
        <c:axPos val="b"/>
        <c:majorTickMark val="out"/>
        <c:minorTickMark val="none"/>
        <c:tickLblPos val="none"/>
        <c:crossAx val="-974094416"/>
        <c:crosses val="autoZero"/>
        <c:auto val="1"/>
        <c:lblAlgn val="ctr"/>
        <c:lblOffset val="100"/>
        <c:noMultiLvlLbl val="0"/>
      </c:catAx>
      <c:valAx>
        <c:axId val="-974094416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one"/>
        <c:crossAx val="-9740987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8977792568750743"/>
          <c:y val="0.91952011856624949"/>
          <c:w val="0.69264570112675561"/>
          <c:h val="6.69849092995281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CC00">
            <a:gamma/>
            <a:shade val="46275"/>
            <a:invGamma/>
          </a:srgbClr>
        </a:gs>
        <a:gs pos="50000">
          <a:srgbClr val="FFCC00"/>
        </a:gs>
        <a:gs pos="100000">
          <a:srgbClr val="FFCC00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44" r="0.75000000000000044" t="1" header="0.5" footer="0.5"/>
    <c:pageSetup orientation="landscape" horizontalDpi="0" verticalDpi="0" copies="0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Materials</a:t>
            </a:r>
          </a:p>
        </c:rich>
      </c:tx>
      <c:layout>
        <c:manualLayout>
          <c:xMode val="edge"/>
          <c:yMode val="edge"/>
          <c:x val="0.42245373782904777"/>
          <c:y val="3.03497982196168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87961083460255"/>
          <c:y val="0.18816874896162439"/>
          <c:w val="0.8239246741102948"/>
          <c:h val="0.64543904213718495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'Data Entry'!$B$34</c:f>
              <c:strCache>
                <c:ptCount val="1"/>
                <c:pt idx="0">
                  <c:v>Materials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Entry'!$C$34:$N$34</c:f>
              <c:numCache>
                <c:formatCode>_(* #,##0_);_(* \(#,##0\);_(* "-"??_);_(@_)</c:formatCode>
                <c:ptCount val="12"/>
                <c:pt idx="0">
                  <c:v>1600</c:v>
                </c:pt>
                <c:pt idx="1">
                  <c:v>3350</c:v>
                </c:pt>
                <c:pt idx="2">
                  <c:v>5100</c:v>
                </c:pt>
                <c:pt idx="3">
                  <c:v>6850</c:v>
                </c:pt>
                <c:pt idx="4">
                  <c:v>8600</c:v>
                </c:pt>
                <c:pt idx="5">
                  <c:v>10350</c:v>
                </c:pt>
                <c:pt idx="6">
                  <c:v>12100</c:v>
                </c:pt>
                <c:pt idx="7">
                  <c:v>13850</c:v>
                </c:pt>
                <c:pt idx="8">
                  <c:v>15600</c:v>
                </c:pt>
                <c:pt idx="9">
                  <c:v>17350</c:v>
                </c:pt>
                <c:pt idx="10">
                  <c:v>19100</c:v>
                </c:pt>
                <c:pt idx="11">
                  <c:v>20850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05-4817-98CA-9FA858E53867}"/>
            </c:ext>
          </c:extLst>
        </c:ser>
        <c:ser>
          <c:idx val="0"/>
          <c:order val="1"/>
          <c:tx>
            <c:strRef>
              <c:f>'Data Entry'!$B$35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Entry'!$C$35:$N$35</c:f>
              <c:numCache>
                <c:formatCode>_(* #,##0_);_(* \(#,##0\);_(* "-"??_);_(@_)</c:formatCode>
                <c:ptCount val="12"/>
                <c:pt idx="0">
                  <c:v>595</c:v>
                </c:pt>
                <c:pt idx="1">
                  <c:v>1678</c:v>
                </c:pt>
                <c:pt idx="2">
                  <c:v>4754</c:v>
                </c:pt>
                <c:pt idx="3">
                  <c:v>6501</c:v>
                </c:pt>
                <c:pt idx="4">
                  <c:v>7744</c:v>
                </c:pt>
                <c:pt idx="5">
                  <c:v>9845</c:v>
                </c:pt>
                <c:pt idx="6">
                  <c:v>10976</c:v>
                </c:pt>
                <c:pt idx="7">
                  <c:v>11232</c:v>
                </c:pt>
                <c:pt idx="8">
                  <c:v>14323</c:v>
                </c:pt>
                <c:pt idx="9">
                  <c:v>15434</c:v>
                </c:pt>
                <c:pt idx="10">
                  <c:v>16543</c:v>
                </c:pt>
                <c:pt idx="11">
                  <c:v>17896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405-4817-98CA-9FA858E53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74094960"/>
        <c:axId val="-974099312"/>
      </c:barChart>
      <c:lineChart>
        <c:grouping val="standard"/>
        <c:varyColors val="0"/>
        <c:ser>
          <c:idx val="2"/>
          <c:order val="2"/>
          <c:tx>
            <c:strRef>
              <c:f>'Data Entry'!$B$36</c:f>
              <c:strCache>
                <c:ptCount val="1"/>
                <c:pt idx="0">
                  <c:v>Over / (Under Budget)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'Data Entry'!$C$36:$N$36</c:f>
              <c:numCache>
                <c:formatCode>_(* #,##0_);_(* \(#,##0\);_(* "-"??_);_(@_)</c:formatCode>
                <c:ptCount val="12"/>
                <c:pt idx="0">
                  <c:v>1005</c:v>
                </c:pt>
                <c:pt idx="1">
                  <c:v>1672</c:v>
                </c:pt>
                <c:pt idx="2">
                  <c:v>346</c:v>
                </c:pt>
                <c:pt idx="3">
                  <c:v>349</c:v>
                </c:pt>
                <c:pt idx="4">
                  <c:v>856</c:v>
                </c:pt>
                <c:pt idx="5">
                  <c:v>505</c:v>
                </c:pt>
                <c:pt idx="6">
                  <c:v>1124</c:v>
                </c:pt>
                <c:pt idx="7">
                  <c:v>2618</c:v>
                </c:pt>
                <c:pt idx="8">
                  <c:v>1277</c:v>
                </c:pt>
                <c:pt idx="9">
                  <c:v>1916</c:v>
                </c:pt>
                <c:pt idx="10">
                  <c:v>2557</c:v>
                </c:pt>
                <c:pt idx="11">
                  <c:v>2954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05-4817-98CA-9FA858E53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74098224"/>
        <c:axId val="-974101488"/>
      </c:lineChart>
      <c:dateAx>
        <c:axId val="-974094960"/>
        <c:scaling>
          <c:orientation val="minMax"/>
        </c:scaling>
        <c:delete val="0"/>
        <c:axPos val="b"/>
        <c:numFmt formatCode="mmmmm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974099312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-97409931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974094960"/>
        <c:crosses val="autoZero"/>
        <c:crossBetween val="between"/>
      </c:valAx>
      <c:catAx>
        <c:axId val="-974098224"/>
        <c:scaling>
          <c:orientation val="minMax"/>
        </c:scaling>
        <c:delete val="1"/>
        <c:axPos val="b"/>
        <c:majorTickMark val="out"/>
        <c:minorTickMark val="none"/>
        <c:tickLblPos val="none"/>
        <c:crossAx val="-974101488"/>
        <c:crosses val="autoZero"/>
        <c:auto val="1"/>
        <c:lblAlgn val="ctr"/>
        <c:lblOffset val="100"/>
        <c:noMultiLvlLbl val="0"/>
      </c:catAx>
      <c:valAx>
        <c:axId val="-974101488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one"/>
        <c:crossAx val="-974098224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1822113609712404"/>
          <c:y val="0.91858722611373567"/>
          <c:w val="0.6798427701487324"/>
          <c:h val="6.676955608315698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CCFFFF">
            <a:gamma/>
            <a:shade val="46275"/>
            <a:invGamma/>
          </a:srgbClr>
        </a:gs>
        <a:gs pos="50000">
          <a:srgbClr val="CCFFFF"/>
        </a:gs>
        <a:gs pos="100000">
          <a:srgbClr val="CCFFFF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44" r="0.75000000000000044" t="1" header="0.5" footer="0.5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Labor</a:t>
            </a:r>
          </a:p>
        </c:rich>
      </c:tx>
      <c:layout>
        <c:manualLayout>
          <c:xMode val="edge"/>
          <c:yMode val="edge"/>
          <c:x val="0.44903195312292776"/>
          <c:y val="3.03497982196168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87961083460255"/>
          <c:y val="0.18816874896162439"/>
          <c:w val="0.8239246741102948"/>
          <c:h val="0.64543904213718495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'Data Entry'!$B$38</c:f>
              <c:strCache>
                <c:ptCount val="1"/>
                <c:pt idx="0">
                  <c:v>Labor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Entry'!$C$38:$N$38</c:f>
              <c:numCache>
                <c:formatCode>_(* #,##0_);_(* \(#,##0\);_(* "-"??_);_(@_)</c:formatCode>
                <c:ptCount val="12"/>
                <c:pt idx="0">
                  <c:v>1600</c:v>
                </c:pt>
                <c:pt idx="1">
                  <c:v>3350</c:v>
                </c:pt>
                <c:pt idx="2">
                  <c:v>5100</c:v>
                </c:pt>
                <c:pt idx="3">
                  <c:v>6850</c:v>
                </c:pt>
                <c:pt idx="4">
                  <c:v>8600</c:v>
                </c:pt>
                <c:pt idx="5">
                  <c:v>10350</c:v>
                </c:pt>
                <c:pt idx="6">
                  <c:v>12100</c:v>
                </c:pt>
                <c:pt idx="7">
                  <c:v>13850</c:v>
                </c:pt>
                <c:pt idx="8">
                  <c:v>15600</c:v>
                </c:pt>
                <c:pt idx="9">
                  <c:v>17350</c:v>
                </c:pt>
                <c:pt idx="10">
                  <c:v>19100</c:v>
                </c:pt>
                <c:pt idx="11">
                  <c:v>20850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F7-402E-9B9B-41E07F081AB9}"/>
            </c:ext>
          </c:extLst>
        </c:ser>
        <c:ser>
          <c:idx val="0"/>
          <c:order val="1"/>
          <c:tx>
            <c:strRef>
              <c:f>'Data Entry'!$B$39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Entry'!$C$39:$N$39</c:f>
              <c:numCache>
                <c:formatCode>_(* #,##0_);_(* \(#,##0\);_(* "-"??_);_(@_)</c:formatCode>
                <c:ptCount val="12"/>
                <c:pt idx="0">
                  <c:v>595</c:v>
                </c:pt>
                <c:pt idx="1">
                  <c:v>1678</c:v>
                </c:pt>
                <c:pt idx="2">
                  <c:v>4754</c:v>
                </c:pt>
                <c:pt idx="3">
                  <c:v>6501</c:v>
                </c:pt>
                <c:pt idx="4">
                  <c:v>7744</c:v>
                </c:pt>
                <c:pt idx="5">
                  <c:v>9845</c:v>
                </c:pt>
                <c:pt idx="6">
                  <c:v>10976</c:v>
                </c:pt>
                <c:pt idx="7">
                  <c:v>11232</c:v>
                </c:pt>
                <c:pt idx="8">
                  <c:v>14323</c:v>
                </c:pt>
                <c:pt idx="9">
                  <c:v>15434</c:v>
                </c:pt>
                <c:pt idx="10">
                  <c:v>16543</c:v>
                </c:pt>
                <c:pt idx="11">
                  <c:v>17896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BF7-402E-9B9B-41E07F081A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74100944"/>
        <c:axId val="-974109648"/>
      </c:barChart>
      <c:lineChart>
        <c:grouping val="standard"/>
        <c:varyColors val="0"/>
        <c:ser>
          <c:idx val="2"/>
          <c:order val="2"/>
          <c:tx>
            <c:strRef>
              <c:f>'Data Entry'!$B$40</c:f>
              <c:strCache>
                <c:ptCount val="1"/>
                <c:pt idx="0">
                  <c:v>Over / (Under Budget)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'Data Entry'!$C$40:$N$40</c:f>
              <c:numCache>
                <c:formatCode>_(* #,##0_);_(* \(#,##0\);_(* "-"??_);_(@_)</c:formatCode>
                <c:ptCount val="12"/>
                <c:pt idx="0">
                  <c:v>1005</c:v>
                </c:pt>
                <c:pt idx="1">
                  <c:v>1672</c:v>
                </c:pt>
                <c:pt idx="2">
                  <c:v>346</c:v>
                </c:pt>
                <c:pt idx="3">
                  <c:v>349</c:v>
                </c:pt>
                <c:pt idx="4">
                  <c:v>856</c:v>
                </c:pt>
                <c:pt idx="5">
                  <c:v>505</c:v>
                </c:pt>
                <c:pt idx="6">
                  <c:v>1124</c:v>
                </c:pt>
                <c:pt idx="7">
                  <c:v>2618</c:v>
                </c:pt>
                <c:pt idx="8">
                  <c:v>1277</c:v>
                </c:pt>
                <c:pt idx="9">
                  <c:v>1916</c:v>
                </c:pt>
                <c:pt idx="10">
                  <c:v>2557</c:v>
                </c:pt>
                <c:pt idx="11">
                  <c:v>2954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F7-402E-9B9B-41E07F081A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74105840"/>
        <c:axId val="-974105296"/>
      </c:lineChart>
      <c:dateAx>
        <c:axId val="-974100944"/>
        <c:scaling>
          <c:orientation val="minMax"/>
        </c:scaling>
        <c:delete val="0"/>
        <c:axPos val="b"/>
        <c:numFmt formatCode="mmmmm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974109648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-97410964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974100944"/>
        <c:crosses val="autoZero"/>
        <c:crossBetween val="between"/>
      </c:valAx>
      <c:catAx>
        <c:axId val="-974105840"/>
        <c:scaling>
          <c:orientation val="minMax"/>
        </c:scaling>
        <c:delete val="1"/>
        <c:axPos val="b"/>
        <c:majorTickMark val="out"/>
        <c:minorTickMark val="none"/>
        <c:tickLblPos val="none"/>
        <c:crossAx val="-974105296"/>
        <c:crosses val="autoZero"/>
        <c:auto val="1"/>
        <c:lblAlgn val="ctr"/>
        <c:lblOffset val="100"/>
        <c:noMultiLvlLbl val="0"/>
      </c:catAx>
      <c:valAx>
        <c:axId val="-974105296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one"/>
        <c:crossAx val="-974105840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4060279108144431"/>
          <c:y val="0.91858722611373567"/>
          <c:w val="0.63507946018009176"/>
          <c:h val="6.676955608315698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CCFFFF">
            <a:gamma/>
            <a:shade val="46275"/>
            <a:invGamma/>
          </a:srgbClr>
        </a:gs>
        <a:gs pos="50000">
          <a:srgbClr val="CCFFFF"/>
        </a:gs>
        <a:gs pos="100000">
          <a:srgbClr val="CCFFFF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44" r="0.75000000000000044" t="1" header="0.5" footer="0.5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Overhead</a:t>
            </a:r>
          </a:p>
        </c:rich>
      </c:tx>
      <c:layout>
        <c:manualLayout>
          <c:xMode val="edge"/>
          <c:yMode val="edge"/>
          <c:x val="0.41965603095600734"/>
          <c:y val="3.03497982196168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87961083460255"/>
          <c:y val="0.18816874896162439"/>
          <c:w val="0.8239246741102948"/>
          <c:h val="0.64543904213718495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'Data Entry'!$B$42</c:f>
              <c:strCache>
                <c:ptCount val="1"/>
                <c:pt idx="0">
                  <c:v>Overhead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Entry'!$C$42:$N$42</c:f>
              <c:numCache>
                <c:formatCode>_(* #,##0_);_(* \(#,##0\);_(* "-"??_);_(@_)</c:formatCode>
                <c:ptCount val="12"/>
                <c:pt idx="0">
                  <c:v>1600</c:v>
                </c:pt>
                <c:pt idx="1">
                  <c:v>3350</c:v>
                </c:pt>
                <c:pt idx="2">
                  <c:v>5100</c:v>
                </c:pt>
                <c:pt idx="3">
                  <c:v>6850</c:v>
                </c:pt>
                <c:pt idx="4">
                  <c:v>8600</c:v>
                </c:pt>
                <c:pt idx="5">
                  <c:v>10350</c:v>
                </c:pt>
                <c:pt idx="6">
                  <c:v>12100</c:v>
                </c:pt>
                <c:pt idx="7">
                  <c:v>13850</c:v>
                </c:pt>
                <c:pt idx="8">
                  <c:v>15600</c:v>
                </c:pt>
                <c:pt idx="9">
                  <c:v>17350</c:v>
                </c:pt>
                <c:pt idx="10">
                  <c:v>19100</c:v>
                </c:pt>
                <c:pt idx="11">
                  <c:v>20850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F83-44FD-8BF0-40FB4456F66B}"/>
            </c:ext>
          </c:extLst>
        </c:ser>
        <c:ser>
          <c:idx val="0"/>
          <c:order val="1"/>
          <c:tx>
            <c:strRef>
              <c:f>'Data Entry'!$B$43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Entry'!$C$43:$N$43</c:f>
              <c:numCache>
                <c:formatCode>_(* #,##0_);_(* \(#,##0\);_(* "-"??_);_(@_)</c:formatCode>
                <c:ptCount val="12"/>
                <c:pt idx="0">
                  <c:v>595</c:v>
                </c:pt>
                <c:pt idx="1">
                  <c:v>1678</c:v>
                </c:pt>
                <c:pt idx="2">
                  <c:v>4754</c:v>
                </c:pt>
                <c:pt idx="3">
                  <c:v>6501</c:v>
                </c:pt>
                <c:pt idx="4">
                  <c:v>7744</c:v>
                </c:pt>
                <c:pt idx="5">
                  <c:v>9845</c:v>
                </c:pt>
                <c:pt idx="6">
                  <c:v>10976</c:v>
                </c:pt>
                <c:pt idx="7">
                  <c:v>11232</c:v>
                </c:pt>
                <c:pt idx="8">
                  <c:v>14323</c:v>
                </c:pt>
                <c:pt idx="9">
                  <c:v>15434</c:v>
                </c:pt>
                <c:pt idx="10">
                  <c:v>16543</c:v>
                </c:pt>
                <c:pt idx="11">
                  <c:v>17896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83-44FD-8BF0-40FB4456F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974103120"/>
        <c:axId val="-974100400"/>
      </c:barChart>
      <c:lineChart>
        <c:grouping val="standard"/>
        <c:varyColors val="0"/>
        <c:ser>
          <c:idx val="2"/>
          <c:order val="2"/>
          <c:tx>
            <c:strRef>
              <c:f>'Data Entry'!$B$44</c:f>
              <c:strCache>
                <c:ptCount val="1"/>
                <c:pt idx="0">
                  <c:v>Over / (Under Budget)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'Data Entry'!$C$44:$N$44</c:f>
              <c:numCache>
                <c:formatCode>_(* #,##0_);_(* \(#,##0\);_(* "-"??_);_(@_)</c:formatCode>
                <c:ptCount val="12"/>
                <c:pt idx="0">
                  <c:v>1005</c:v>
                </c:pt>
                <c:pt idx="1">
                  <c:v>1672</c:v>
                </c:pt>
                <c:pt idx="2">
                  <c:v>346</c:v>
                </c:pt>
                <c:pt idx="3">
                  <c:v>349</c:v>
                </c:pt>
                <c:pt idx="4">
                  <c:v>856</c:v>
                </c:pt>
                <c:pt idx="5">
                  <c:v>505</c:v>
                </c:pt>
                <c:pt idx="6">
                  <c:v>1124</c:v>
                </c:pt>
                <c:pt idx="7">
                  <c:v>2618</c:v>
                </c:pt>
                <c:pt idx="8">
                  <c:v>1277</c:v>
                </c:pt>
                <c:pt idx="9">
                  <c:v>1916</c:v>
                </c:pt>
                <c:pt idx="10">
                  <c:v>2557</c:v>
                </c:pt>
                <c:pt idx="11">
                  <c:v>2954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F83-44FD-8BF0-40FB4456F6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974099856"/>
        <c:axId val="-974097680"/>
      </c:lineChart>
      <c:dateAx>
        <c:axId val="-974103120"/>
        <c:scaling>
          <c:orientation val="minMax"/>
        </c:scaling>
        <c:delete val="0"/>
        <c:axPos val="b"/>
        <c:numFmt formatCode="mmmmm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974100400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-9741004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974103120"/>
        <c:crosses val="autoZero"/>
        <c:crossBetween val="between"/>
      </c:valAx>
      <c:catAx>
        <c:axId val="-974099856"/>
        <c:scaling>
          <c:orientation val="minMax"/>
        </c:scaling>
        <c:delete val="1"/>
        <c:axPos val="b"/>
        <c:majorTickMark val="out"/>
        <c:minorTickMark val="none"/>
        <c:tickLblPos val="none"/>
        <c:crossAx val="-974097680"/>
        <c:crosses val="autoZero"/>
        <c:auto val="1"/>
        <c:lblAlgn val="ctr"/>
        <c:lblOffset val="100"/>
        <c:noMultiLvlLbl val="0"/>
      </c:catAx>
      <c:valAx>
        <c:axId val="-974097680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one"/>
        <c:crossAx val="-974099856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140245757875637"/>
          <c:y val="0.91858722611373567"/>
          <c:w val="0.68823589076785197"/>
          <c:h val="6.676955608315698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CCFFFF">
            <a:gamma/>
            <a:shade val="46275"/>
            <a:invGamma/>
          </a:srgbClr>
        </a:gs>
        <a:gs pos="50000">
          <a:srgbClr val="CCFFFF"/>
        </a:gs>
        <a:gs pos="100000">
          <a:srgbClr val="CCFFFF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44" r="0.75000000000000044" t="1" header="0.5" footer="0.5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Total G&amp;A vs. Total G&amp;A Budget</a:t>
            </a:r>
          </a:p>
        </c:rich>
      </c:tx>
      <c:layout>
        <c:manualLayout>
          <c:xMode val="edge"/>
          <c:yMode val="edge"/>
          <c:x val="0.31046619179292739"/>
          <c:y val="3.044768604524005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82802855847147E-2"/>
          <c:y val="0.20095472789858437"/>
          <c:w val="0.88942004803776475"/>
          <c:h val="0.6333118697409931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'Data Entry'!$B$65</c:f>
              <c:strCache>
                <c:ptCount val="1"/>
                <c:pt idx="0">
                  <c:v>Total  G&amp;A Expenses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Entry'!$C$65:$N$65</c:f>
              <c:numCache>
                <c:formatCode>_(* #,##0_);_(* \(#,##0\);_(* "-"??_);_(@_)</c:formatCode>
                <c:ptCount val="12"/>
                <c:pt idx="0">
                  <c:v>3200</c:v>
                </c:pt>
                <c:pt idx="1">
                  <c:v>6700</c:v>
                </c:pt>
                <c:pt idx="2">
                  <c:v>10200</c:v>
                </c:pt>
                <c:pt idx="3">
                  <c:v>13700</c:v>
                </c:pt>
                <c:pt idx="4">
                  <c:v>17200</c:v>
                </c:pt>
                <c:pt idx="5">
                  <c:v>20700</c:v>
                </c:pt>
                <c:pt idx="6">
                  <c:v>24200</c:v>
                </c:pt>
                <c:pt idx="7">
                  <c:v>27700</c:v>
                </c:pt>
                <c:pt idx="8">
                  <c:v>31200</c:v>
                </c:pt>
                <c:pt idx="9">
                  <c:v>34700</c:v>
                </c:pt>
                <c:pt idx="10">
                  <c:v>38200</c:v>
                </c:pt>
                <c:pt idx="11">
                  <c:v>41700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E0-4B37-91FA-3800767BA483}"/>
            </c:ext>
          </c:extLst>
        </c:ser>
        <c:ser>
          <c:idx val="0"/>
          <c:order val="1"/>
          <c:tx>
            <c:strRef>
              <c:f>'Data Entry'!$B$66</c:f>
              <c:strCache>
                <c:ptCount val="1"/>
                <c:pt idx="0">
                  <c:v>Total  G&amp;A Budget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Entry'!$C$66:$N$66</c:f>
              <c:numCache>
                <c:formatCode>_(* #,##0_);_(* \(#,##0\);_(* "-"??_);_(@_)</c:formatCode>
                <c:ptCount val="12"/>
                <c:pt idx="0">
                  <c:v>1190</c:v>
                </c:pt>
                <c:pt idx="1">
                  <c:v>3356</c:v>
                </c:pt>
                <c:pt idx="2">
                  <c:v>9508</c:v>
                </c:pt>
                <c:pt idx="3">
                  <c:v>13002</c:v>
                </c:pt>
                <c:pt idx="4">
                  <c:v>15488</c:v>
                </c:pt>
                <c:pt idx="5">
                  <c:v>19690</c:v>
                </c:pt>
                <c:pt idx="6">
                  <c:v>21952</c:v>
                </c:pt>
                <c:pt idx="7">
                  <c:v>22464</c:v>
                </c:pt>
                <c:pt idx="8">
                  <c:v>28646</c:v>
                </c:pt>
                <c:pt idx="9">
                  <c:v>30868</c:v>
                </c:pt>
                <c:pt idx="10">
                  <c:v>33086</c:v>
                </c:pt>
                <c:pt idx="11">
                  <c:v>35792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E0-4B37-91FA-3800767BA4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78019056"/>
        <c:axId val="-878032656"/>
      </c:barChart>
      <c:lineChart>
        <c:grouping val="standard"/>
        <c:varyColors val="0"/>
        <c:ser>
          <c:idx val="2"/>
          <c:order val="2"/>
          <c:tx>
            <c:strRef>
              <c:f>'Data Entry'!$B$67</c:f>
              <c:strCache>
                <c:ptCount val="1"/>
                <c:pt idx="0">
                  <c:v>Total Over / (Under Budget)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'Data Entry'!$C$67:$N$67</c:f>
              <c:numCache>
                <c:formatCode>_(* #,##0_);_(* \(#,##0\);_(* "-"??_);_(@_)</c:formatCode>
                <c:ptCount val="12"/>
                <c:pt idx="0">
                  <c:v>2010</c:v>
                </c:pt>
                <c:pt idx="1">
                  <c:v>3344</c:v>
                </c:pt>
                <c:pt idx="2">
                  <c:v>692</c:v>
                </c:pt>
                <c:pt idx="3">
                  <c:v>698</c:v>
                </c:pt>
                <c:pt idx="4">
                  <c:v>1712</c:v>
                </c:pt>
                <c:pt idx="5">
                  <c:v>1010</c:v>
                </c:pt>
                <c:pt idx="6">
                  <c:v>2248</c:v>
                </c:pt>
                <c:pt idx="7">
                  <c:v>5236</c:v>
                </c:pt>
                <c:pt idx="8">
                  <c:v>2554</c:v>
                </c:pt>
                <c:pt idx="9">
                  <c:v>3832</c:v>
                </c:pt>
                <c:pt idx="10">
                  <c:v>5114</c:v>
                </c:pt>
                <c:pt idx="11">
                  <c:v>5908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E0-4B37-91FA-3800767BA4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78020144"/>
        <c:axId val="-878028304"/>
      </c:lineChart>
      <c:dateAx>
        <c:axId val="-878019056"/>
        <c:scaling>
          <c:orientation val="minMax"/>
        </c:scaling>
        <c:delete val="0"/>
        <c:axPos val="b"/>
        <c:numFmt formatCode="mmmmm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78032656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-87803265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78019056"/>
        <c:crosses val="autoZero"/>
        <c:crossBetween val="between"/>
      </c:valAx>
      <c:catAx>
        <c:axId val="-878020144"/>
        <c:scaling>
          <c:orientation val="minMax"/>
        </c:scaling>
        <c:delete val="1"/>
        <c:axPos val="b"/>
        <c:majorTickMark val="out"/>
        <c:minorTickMark val="none"/>
        <c:tickLblPos val="none"/>
        <c:crossAx val="-878028304"/>
        <c:crosses val="autoZero"/>
        <c:auto val="1"/>
        <c:lblAlgn val="ctr"/>
        <c:lblOffset val="100"/>
        <c:noMultiLvlLbl val="0"/>
      </c:catAx>
      <c:valAx>
        <c:axId val="-878028304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one"/>
        <c:crossAx val="-878020144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20464532078745051"/>
          <c:y val="0.91952011856624949"/>
          <c:w val="0.6629109109268696"/>
          <c:h val="6.69849092995281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CC00">
            <a:gamma/>
            <a:shade val="46275"/>
            <a:invGamma/>
          </a:srgbClr>
        </a:gs>
        <a:gs pos="50000">
          <a:srgbClr val="FFCC00"/>
        </a:gs>
        <a:gs pos="100000">
          <a:srgbClr val="FFCC00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44" r="0.75000000000000044" t="1" header="0.5" footer="0.5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Operating Expenses</a:t>
            </a:r>
          </a:p>
        </c:rich>
      </c:tx>
      <c:layout>
        <c:manualLayout>
          <c:xMode val="edge"/>
          <c:yMode val="edge"/>
          <c:x val="0.33432597132828651"/>
          <c:y val="3.03497982196168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87961083460255"/>
          <c:y val="0.18816874896162439"/>
          <c:w val="0.8239246741102948"/>
          <c:h val="0.64543904213718495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'Data Entry'!$B$57</c:f>
              <c:strCache>
                <c:ptCount val="1"/>
                <c:pt idx="0">
                  <c:v>     Operating Expenses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Entry'!$C$57:$N$57</c:f>
              <c:numCache>
                <c:formatCode>_(* #,##0_);_(* \(#,##0\);_(* "-"??_);_(@_)</c:formatCode>
                <c:ptCount val="12"/>
                <c:pt idx="0">
                  <c:v>1600</c:v>
                </c:pt>
                <c:pt idx="1">
                  <c:v>3350</c:v>
                </c:pt>
                <c:pt idx="2">
                  <c:v>5100</c:v>
                </c:pt>
                <c:pt idx="3">
                  <c:v>6850</c:v>
                </c:pt>
                <c:pt idx="4">
                  <c:v>8600</c:v>
                </c:pt>
                <c:pt idx="5">
                  <c:v>10350</c:v>
                </c:pt>
                <c:pt idx="6">
                  <c:v>12100</c:v>
                </c:pt>
                <c:pt idx="7">
                  <c:v>13850</c:v>
                </c:pt>
                <c:pt idx="8">
                  <c:v>15600</c:v>
                </c:pt>
                <c:pt idx="9">
                  <c:v>17350</c:v>
                </c:pt>
                <c:pt idx="10">
                  <c:v>19100</c:v>
                </c:pt>
                <c:pt idx="11">
                  <c:v>20850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A6-4FC7-A10F-7F285FF3AC42}"/>
            </c:ext>
          </c:extLst>
        </c:ser>
        <c:ser>
          <c:idx val="0"/>
          <c:order val="1"/>
          <c:tx>
            <c:strRef>
              <c:f>'Data Entry'!$B$58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Entry'!$C$58:$N$58</c:f>
              <c:numCache>
                <c:formatCode>_(* #,##0_);_(* \(#,##0\);_(* "-"??_);_(@_)</c:formatCode>
                <c:ptCount val="12"/>
                <c:pt idx="0">
                  <c:v>595</c:v>
                </c:pt>
                <c:pt idx="1">
                  <c:v>1678</c:v>
                </c:pt>
                <c:pt idx="2">
                  <c:v>4754</c:v>
                </c:pt>
                <c:pt idx="3">
                  <c:v>6501</c:v>
                </c:pt>
                <c:pt idx="4">
                  <c:v>7744</c:v>
                </c:pt>
                <c:pt idx="5">
                  <c:v>9845</c:v>
                </c:pt>
                <c:pt idx="6">
                  <c:v>10976</c:v>
                </c:pt>
                <c:pt idx="7">
                  <c:v>11232</c:v>
                </c:pt>
                <c:pt idx="8">
                  <c:v>14323</c:v>
                </c:pt>
                <c:pt idx="9">
                  <c:v>15434</c:v>
                </c:pt>
                <c:pt idx="10">
                  <c:v>16543</c:v>
                </c:pt>
                <c:pt idx="11">
                  <c:v>17896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A6-4FC7-A10F-7F285FF3AC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78031568"/>
        <c:axId val="-878019600"/>
      </c:barChart>
      <c:lineChart>
        <c:grouping val="standard"/>
        <c:varyColors val="0"/>
        <c:ser>
          <c:idx val="2"/>
          <c:order val="2"/>
          <c:tx>
            <c:strRef>
              <c:f>'Data Entry'!$B$59</c:f>
              <c:strCache>
                <c:ptCount val="1"/>
                <c:pt idx="0">
                  <c:v>Over / (Under Budget)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'Data Entry'!$C$59:$N$59</c:f>
              <c:numCache>
                <c:formatCode>_(* #,##0_);_(* \(#,##0\);_(* "-"??_);_(@_)</c:formatCode>
                <c:ptCount val="12"/>
                <c:pt idx="0">
                  <c:v>1005</c:v>
                </c:pt>
                <c:pt idx="1">
                  <c:v>1672</c:v>
                </c:pt>
                <c:pt idx="2">
                  <c:v>346</c:v>
                </c:pt>
                <c:pt idx="3">
                  <c:v>349</c:v>
                </c:pt>
                <c:pt idx="4">
                  <c:v>856</c:v>
                </c:pt>
                <c:pt idx="5">
                  <c:v>505</c:v>
                </c:pt>
                <c:pt idx="6">
                  <c:v>1124</c:v>
                </c:pt>
                <c:pt idx="7">
                  <c:v>2618</c:v>
                </c:pt>
                <c:pt idx="8">
                  <c:v>1277</c:v>
                </c:pt>
                <c:pt idx="9">
                  <c:v>1916</c:v>
                </c:pt>
                <c:pt idx="10">
                  <c:v>2557</c:v>
                </c:pt>
                <c:pt idx="11">
                  <c:v>2954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9A6-4FC7-A10F-7F285FF3AC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78029936"/>
        <c:axId val="-878018512"/>
      </c:lineChart>
      <c:dateAx>
        <c:axId val="-878031568"/>
        <c:scaling>
          <c:orientation val="minMax"/>
        </c:scaling>
        <c:delete val="0"/>
        <c:axPos val="b"/>
        <c:numFmt formatCode="mmmmm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78019600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-87801960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78031568"/>
        <c:crosses val="autoZero"/>
        <c:crossBetween val="between"/>
      </c:valAx>
      <c:catAx>
        <c:axId val="-878029936"/>
        <c:scaling>
          <c:orientation val="minMax"/>
        </c:scaling>
        <c:delete val="1"/>
        <c:axPos val="b"/>
        <c:majorTickMark val="out"/>
        <c:minorTickMark val="none"/>
        <c:tickLblPos val="none"/>
        <c:crossAx val="-878018512"/>
        <c:crosses val="autoZero"/>
        <c:auto val="1"/>
        <c:lblAlgn val="ctr"/>
        <c:lblOffset val="100"/>
        <c:noMultiLvlLbl val="0"/>
      </c:catAx>
      <c:valAx>
        <c:axId val="-878018512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one"/>
        <c:crossAx val="-878029936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7144964952961211E-2"/>
          <c:y val="0.91858722611373567"/>
          <c:w val="0.86589027720589606"/>
          <c:h val="6.676955608315698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CC">
            <a:gamma/>
            <a:shade val="46275"/>
            <a:invGamma/>
          </a:srgbClr>
        </a:gs>
        <a:gs pos="50000">
          <a:srgbClr val="FFFFCC"/>
        </a:gs>
        <a:gs pos="100000">
          <a:srgbClr val="FFFFCC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44" r="0.75000000000000044" t="1" header="0.5" footer="0.5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Payroll Expenses </a:t>
            </a:r>
          </a:p>
        </c:rich>
      </c:tx>
      <c:layout>
        <c:manualLayout>
          <c:xMode val="edge"/>
          <c:yMode val="edge"/>
          <c:x val="0.35670762631260639"/>
          <c:y val="3.03497982196168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87961083460255"/>
          <c:y val="0.18816874896162439"/>
          <c:w val="0.8239246741102948"/>
          <c:h val="0.64543904213718495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'Data Entry'!$B$61</c:f>
              <c:strCache>
                <c:ptCount val="1"/>
                <c:pt idx="0">
                  <c:v>     Payroll Salaries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Entry'!$C$61:$N$61</c:f>
              <c:numCache>
                <c:formatCode>_(* #,##0_);_(* \(#,##0\);_(* "-"??_);_(@_)</c:formatCode>
                <c:ptCount val="12"/>
                <c:pt idx="0">
                  <c:v>1600</c:v>
                </c:pt>
                <c:pt idx="1">
                  <c:v>3350</c:v>
                </c:pt>
                <c:pt idx="2">
                  <c:v>5100</c:v>
                </c:pt>
                <c:pt idx="3">
                  <c:v>6850</c:v>
                </c:pt>
                <c:pt idx="4">
                  <c:v>8600</c:v>
                </c:pt>
                <c:pt idx="5">
                  <c:v>10350</c:v>
                </c:pt>
                <c:pt idx="6">
                  <c:v>12100</c:v>
                </c:pt>
                <c:pt idx="7">
                  <c:v>13850</c:v>
                </c:pt>
                <c:pt idx="8">
                  <c:v>15600</c:v>
                </c:pt>
                <c:pt idx="9">
                  <c:v>17350</c:v>
                </c:pt>
                <c:pt idx="10">
                  <c:v>19100</c:v>
                </c:pt>
                <c:pt idx="11">
                  <c:v>20850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7C-4282-B430-7190DE96FA1E}"/>
            </c:ext>
          </c:extLst>
        </c:ser>
        <c:ser>
          <c:idx val="0"/>
          <c:order val="1"/>
          <c:tx>
            <c:strRef>
              <c:f>'Data Entry'!$B$62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Entry'!$C$62:$N$62</c:f>
              <c:numCache>
                <c:formatCode>_(* #,##0_);_(* \(#,##0\);_(* "-"??_);_(@_)</c:formatCode>
                <c:ptCount val="12"/>
                <c:pt idx="0">
                  <c:v>595</c:v>
                </c:pt>
                <c:pt idx="1">
                  <c:v>1678</c:v>
                </c:pt>
                <c:pt idx="2">
                  <c:v>4754</c:v>
                </c:pt>
                <c:pt idx="3">
                  <c:v>6501</c:v>
                </c:pt>
                <c:pt idx="4">
                  <c:v>7744</c:v>
                </c:pt>
                <c:pt idx="5">
                  <c:v>9845</c:v>
                </c:pt>
                <c:pt idx="6">
                  <c:v>10976</c:v>
                </c:pt>
                <c:pt idx="7">
                  <c:v>11232</c:v>
                </c:pt>
                <c:pt idx="8">
                  <c:v>14323</c:v>
                </c:pt>
                <c:pt idx="9">
                  <c:v>15434</c:v>
                </c:pt>
                <c:pt idx="10">
                  <c:v>16543</c:v>
                </c:pt>
                <c:pt idx="11">
                  <c:v>17896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47C-4282-B430-7190DE96F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78032112"/>
        <c:axId val="-878017968"/>
      </c:barChart>
      <c:lineChart>
        <c:grouping val="standard"/>
        <c:varyColors val="0"/>
        <c:ser>
          <c:idx val="2"/>
          <c:order val="2"/>
          <c:tx>
            <c:strRef>
              <c:f>'Data Entry'!$B$63</c:f>
              <c:strCache>
                <c:ptCount val="1"/>
                <c:pt idx="0">
                  <c:v>Over / (Under Budget)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'Data Entry'!$C$63:$N$63</c:f>
              <c:numCache>
                <c:formatCode>_(* #,##0_);_(* \(#,##0\);_(* "-"??_);_(@_)</c:formatCode>
                <c:ptCount val="12"/>
                <c:pt idx="0">
                  <c:v>1005</c:v>
                </c:pt>
                <c:pt idx="1">
                  <c:v>1672</c:v>
                </c:pt>
                <c:pt idx="2">
                  <c:v>346</c:v>
                </c:pt>
                <c:pt idx="3">
                  <c:v>349</c:v>
                </c:pt>
                <c:pt idx="4">
                  <c:v>856</c:v>
                </c:pt>
                <c:pt idx="5">
                  <c:v>505</c:v>
                </c:pt>
                <c:pt idx="6">
                  <c:v>1124</c:v>
                </c:pt>
                <c:pt idx="7">
                  <c:v>2618</c:v>
                </c:pt>
                <c:pt idx="8">
                  <c:v>1277</c:v>
                </c:pt>
                <c:pt idx="9">
                  <c:v>1916</c:v>
                </c:pt>
                <c:pt idx="10">
                  <c:v>2557</c:v>
                </c:pt>
                <c:pt idx="11">
                  <c:v>2954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47C-4282-B430-7190DE96FA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78027760"/>
        <c:axId val="-878024496"/>
      </c:lineChart>
      <c:dateAx>
        <c:axId val="-878032112"/>
        <c:scaling>
          <c:orientation val="minMax"/>
        </c:scaling>
        <c:delete val="0"/>
        <c:axPos val="b"/>
        <c:numFmt formatCode="mmmmm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78017968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-87801796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78032112"/>
        <c:crosses val="autoZero"/>
        <c:crossBetween val="between"/>
      </c:valAx>
      <c:catAx>
        <c:axId val="-878027760"/>
        <c:scaling>
          <c:orientation val="minMax"/>
        </c:scaling>
        <c:delete val="1"/>
        <c:axPos val="b"/>
        <c:majorTickMark val="out"/>
        <c:minorTickMark val="none"/>
        <c:tickLblPos val="none"/>
        <c:crossAx val="-878024496"/>
        <c:crosses val="autoZero"/>
        <c:auto val="1"/>
        <c:lblAlgn val="ctr"/>
        <c:lblOffset val="100"/>
        <c:noMultiLvlLbl val="0"/>
      </c:catAx>
      <c:valAx>
        <c:axId val="-878024496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one"/>
        <c:crossAx val="-878027760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5527273145372281"/>
          <c:y val="0.91858722611373567"/>
          <c:w val="0.807138432872054"/>
          <c:h val="6.676955608315698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FFCC">
            <a:gamma/>
            <a:shade val="46275"/>
            <a:invGamma/>
          </a:srgbClr>
        </a:gs>
        <a:gs pos="50000">
          <a:srgbClr val="FFFFCC"/>
        </a:gs>
        <a:gs pos="100000">
          <a:srgbClr val="FFFFCC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44" r="0.75000000000000044" t="1" header="0.5" footer="0.5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Total Sales vs. Total Budget</a:t>
            </a:r>
          </a:p>
        </c:rich>
      </c:tx>
      <c:layout>
        <c:manualLayout>
          <c:xMode val="edge"/>
          <c:yMode val="edge"/>
          <c:x val="0.33495366607518612"/>
          <c:y val="3.03497982196168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6580712640844382E-2"/>
          <c:y val="0.20030866824947097"/>
          <c:w val="0.90078923252595733"/>
          <c:h val="0.63329912284933765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'Data Entry'!$B$79</c:f>
              <c:strCache>
                <c:ptCount val="1"/>
                <c:pt idx="0">
                  <c:v>Total Sales Expenses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'Data Entry'!$C$79:$N$79</c:f>
              <c:numCache>
                <c:formatCode>#,##0_);\(#,##0\)</c:formatCode>
                <c:ptCount val="12"/>
                <c:pt idx="0">
                  <c:v>3200</c:v>
                </c:pt>
                <c:pt idx="1">
                  <c:v>6700</c:v>
                </c:pt>
                <c:pt idx="2">
                  <c:v>10200</c:v>
                </c:pt>
                <c:pt idx="3">
                  <c:v>13700</c:v>
                </c:pt>
                <c:pt idx="4">
                  <c:v>17200</c:v>
                </c:pt>
                <c:pt idx="5">
                  <c:v>20700</c:v>
                </c:pt>
                <c:pt idx="6">
                  <c:v>24200</c:v>
                </c:pt>
                <c:pt idx="7">
                  <c:v>27700</c:v>
                </c:pt>
                <c:pt idx="8">
                  <c:v>31200</c:v>
                </c:pt>
                <c:pt idx="9">
                  <c:v>34700</c:v>
                </c:pt>
                <c:pt idx="10">
                  <c:v>38200</c:v>
                </c:pt>
                <c:pt idx="11">
                  <c:v>41700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3EF-474B-A8F2-9D47DAA0A884}"/>
            </c:ext>
          </c:extLst>
        </c:ser>
        <c:ser>
          <c:idx val="0"/>
          <c:order val="1"/>
          <c:tx>
            <c:strRef>
              <c:f>'Data Entry'!$B$80</c:f>
              <c:strCache>
                <c:ptCount val="1"/>
                <c:pt idx="0">
                  <c:v>Total Sales Expense Budget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'Data Entry'!$C$80:$N$80</c:f>
              <c:numCache>
                <c:formatCode>#,##0_);\(#,##0\)</c:formatCode>
                <c:ptCount val="12"/>
                <c:pt idx="0">
                  <c:v>1190</c:v>
                </c:pt>
                <c:pt idx="1">
                  <c:v>3356</c:v>
                </c:pt>
                <c:pt idx="2">
                  <c:v>9508</c:v>
                </c:pt>
                <c:pt idx="3">
                  <c:v>13002</c:v>
                </c:pt>
                <c:pt idx="4">
                  <c:v>15488</c:v>
                </c:pt>
                <c:pt idx="5">
                  <c:v>19690</c:v>
                </c:pt>
                <c:pt idx="6">
                  <c:v>21952</c:v>
                </c:pt>
                <c:pt idx="7">
                  <c:v>22464</c:v>
                </c:pt>
                <c:pt idx="8">
                  <c:v>28646</c:v>
                </c:pt>
                <c:pt idx="9">
                  <c:v>30868</c:v>
                </c:pt>
                <c:pt idx="10">
                  <c:v>33086</c:v>
                </c:pt>
                <c:pt idx="11">
                  <c:v>35792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3EF-474B-A8F2-9D47DAA0A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78023952"/>
        <c:axId val="-878026672"/>
      </c:barChart>
      <c:lineChart>
        <c:grouping val="standard"/>
        <c:varyColors val="0"/>
        <c:ser>
          <c:idx val="2"/>
          <c:order val="2"/>
          <c:tx>
            <c:strRef>
              <c:f>'Data Entry'!$B$81</c:f>
              <c:strCache>
                <c:ptCount val="1"/>
                <c:pt idx="0">
                  <c:v>Total Over / (Under Budget)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'Data Entry'!$C$81:$N$81</c:f>
              <c:numCache>
                <c:formatCode>_(* #,##0_);_(* \(#,##0\);_(* "-"??_);_(@_)</c:formatCode>
                <c:ptCount val="12"/>
                <c:pt idx="0">
                  <c:v>2010</c:v>
                </c:pt>
                <c:pt idx="1">
                  <c:v>3344</c:v>
                </c:pt>
                <c:pt idx="2">
                  <c:v>692</c:v>
                </c:pt>
                <c:pt idx="3">
                  <c:v>698</c:v>
                </c:pt>
                <c:pt idx="4">
                  <c:v>1712</c:v>
                </c:pt>
                <c:pt idx="5">
                  <c:v>1010</c:v>
                </c:pt>
                <c:pt idx="6">
                  <c:v>2248</c:v>
                </c:pt>
                <c:pt idx="7">
                  <c:v>5236</c:v>
                </c:pt>
                <c:pt idx="8">
                  <c:v>2554</c:v>
                </c:pt>
                <c:pt idx="9">
                  <c:v>3832</c:v>
                </c:pt>
                <c:pt idx="10">
                  <c:v>5114</c:v>
                </c:pt>
                <c:pt idx="11">
                  <c:v>5908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3EF-474B-A8F2-9D47DAA0A8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78030480"/>
        <c:axId val="-878027216"/>
      </c:lineChart>
      <c:catAx>
        <c:axId val="-878023952"/>
        <c:scaling>
          <c:orientation val="minMax"/>
        </c:scaling>
        <c:delete val="0"/>
        <c:axPos val="b"/>
        <c:numFmt formatCode="mmmmm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7802667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-87802667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);\(#,##0\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78023952"/>
        <c:crosses val="autoZero"/>
        <c:crossBetween val="between"/>
      </c:valAx>
      <c:catAx>
        <c:axId val="-878030480"/>
        <c:scaling>
          <c:orientation val="minMax"/>
        </c:scaling>
        <c:delete val="1"/>
        <c:axPos val="b"/>
        <c:majorTickMark val="out"/>
        <c:minorTickMark val="none"/>
        <c:tickLblPos val="none"/>
        <c:crossAx val="-878027216"/>
        <c:crosses val="autoZero"/>
        <c:auto val="1"/>
        <c:lblAlgn val="ctr"/>
        <c:lblOffset val="100"/>
        <c:noMultiLvlLbl val="0"/>
      </c:catAx>
      <c:valAx>
        <c:axId val="-878027216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one"/>
        <c:crossAx val="-878030480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6354134609937293"/>
          <c:y val="0.91858722611373567"/>
          <c:w val="0.74599341295596278"/>
          <c:h val="6.676955608315698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CC00">
            <a:gamma/>
            <a:shade val="46275"/>
            <a:invGamma/>
          </a:srgbClr>
        </a:gs>
        <a:gs pos="50000">
          <a:srgbClr val="FFCC00"/>
        </a:gs>
        <a:gs pos="100000">
          <a:srgbClr val="FFCC00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44" r="0.75000000000000044" t="1" header="0.5" footer="0.5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Operating Expenses</a:t>
            </a:r>
          </a:p>
        </c:rich>
      </c:tx>
      <c:layout>
        <c:manualLayout>
          <c:xMode val="edge"/>
          <c:yMode val="edge"/>
          <c:x val="0.33432597132828651"/>
          <c:y val="3.03497982196168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87961083460255"/>
          <c:y val="0.18816874896162439"/>
          <c:w val="0.8239246741102948"/>
          <c:h val="0.64543904213718495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'Data Entry'!$B$71</c:f>
              <c:strCache>
                <c:ptCount val="1"/>
                <c:pt idx="0">
                  <c:v>     Operating Expenses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Entry'!$C$71:$N$71</c:f>
              <c:numCache>
                <c:formatCode>_(* #,##0_);_(* \(#,##0\);_(* "-"??_);_(@_)</c:formatCode>
                <c:ptCount val="12"/>
                <c:pt idx="0">
                  <c:v>1600</c:v>
                </c:pt>
                <c:pt idx="1">
                  <c:v>3350</c:v>
                </c:pt>
                <c:pt idx="2">
                  <c:v>5100</c:v>
                </c:pt>
                <c:pt idx="3">
                  <c:v>6850</c:v>
                </c:pt>
                <c:pt idx="4">
                  <c:v>8600</c:v>
                </c:pt>
                <c:pt idx="5">
                  <c:v>10350</c:v>
                </c:pt>
                <c:pt idx="6">
                  <c:v>12100</c:v>
                </c:pt>
                <c:pt idx="7">
                  <c:v>13850</c:v>
                </c:pt>
                <c:pt idx="8">
                  <c:v>15600</c:v>
                </c:pt>
                <c:pt idx="9">
                  <c:v>17350</c:v>
                </c:pt>
                <c:pt idx="10">
                  <c:v>19100</c:v>
                </c:pt>
                <c:pt idx="11">
                  <c:v>20850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4F0-431F-9F1A-4317FC10C428}"/>
            </c:ext>
          </c:extLst>
        </c:ser>
        <c:ser>
          <c:idx val="0"/>
          <c:order val="1"/>
          <c:tx>
            <c:strRef>
              <c:f>'Data Entry'!$B$72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Entry'!$C$72:$N$72</c:f>
              <c:numCache>
                <c:formatCode>_(* #,##0_);_(* \(#,##0\);_(* "-"??_);_(@_)</c:formatCode>
                <c:ptCount val="12"/>
                <c:pt idx="0">
                  <c:v>595</c:v>
                </c:pt>
                <c:pt idx="1">
                  <c:v>1678</c:v>
                </c:pt>
                <c:pt idx="2">
                  <c:v>4754</c:v>
                </c:pt>
                <c:pt idx="3">
                  <c:v>6501</c:v>
                </c:pt>
                <c:pt idx="4">
                  <c:v>7744</c:v>
                </c:pt>
                <c:pt idx="5">
                  <c:v>9845</c:v>
                </c:pt>
                <c:pt idx="6">
                  <c:v>10976</c:v>
                </c:pt>
                <c:pt idx="7">
                  <c:v>11232</c:v>
                </c:pt>
                <c:pt idx="8">
                  <c:v>14323</c:v>
                </c:pt>
                <c:pt idx="9">
                  <c:v>15434</c:v>
                </c:pt>
                <c:pt idx="10">
                  <c:v>16543</c:v>
                </c:pt>
                <c:pt idx="11">
                  <c:v>17896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4F0-431F-9F1A-4317FC10C4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78021232"/>
        <c:axId val="-878020688"/>
      </c:barChart>
      <c:lineChart>
        <c:grouping val="standard"/>
        <c:varyColors val="0"/>
        <c:ser>
          <c:idx val="2"/>
          <c:order val="2"/>
          <c:tx>
            <c:strRef>
              <c:f>'Data Entry'!$B$73</c:f>
              <c:strCache>
                <c:ptCount val="1"/>
                <c:pt idx="0">
                  <c:v>Over / (Under Budget)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'Data Entry'!$C$73:$N$73</c:f>
              <c:numCache>
                <c:formatCode>_(* #,##0_);_(* \(#,##0\);_(* "-"??_);_(@_)</c:formatCode>
                <c:ptCount val="12"/>
                <c:pt idx="0">
                  <c:v>1005</c:v>
                </c:pt>
                <c:pt idx="1">
                  <c:v>1672</c:v>
                </c:pt>
                <c:pt idx="2">
                  <c:v>346</c:v>
                </c:pt>
                <c:pt idx="3">
                  <c:v>349</c:v>
                </c:pt>
                <c:pt idx="4">
                  <c:v>856</c:v>
                </c:pt>
                <c:pt idx="5">
                  <c:v>505</c:v>
                </c:pt>
                <c:pt idx="6">
                  <c:v>1124</c:v>
                </c:pt>
                <c:pt idx="7">
                  <c:v>2618</c:v>
                </c:pt>
                <c:pt idx="8">
                  <c:v>1277</c:v>
                </c:pt>
                <c:pt idx="9">
                  <c:v>1916</c:v>
                </c:pt>
                <c:pt idx="10">
                  <c:v>2557</c:v>
                </c:pt>
                <c:pt idx="11">
                  <c:v>2954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4F0-431F-9F1A-4317FC10C4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78022320"/>
        <c:axId val="-876515776"/>
      </c:lineChart>
      <c:dateAx>
        <c:axId val="-878021232"/>
        <c:scaling>
          <c:orientation val="minMax"/>
        </c:scaling>
        <c:delete val="0"/>
        <c:axPos val="b"/>
        <c:numFmt formatCode="mmmmm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78020688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-8780206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78021232"/>
        <c:crosses val="autoZero"/>
        <c:crossBetween val="between"/>
      </c:valAx>
      <c:catAx>
        <c:axId val="-878022320"/>
        <c:scaling>
          <c:orientation val="minMax"/>
        </c:scaling>
        <c:delete val="1"/>
        <c:axPos val="b"/>
        <c:majorTickMark val="out"/>
        <c:minorTickMark val="none"/>
        <c:tickLblPos val="none"/>
        <c:crossAx val="-876515776"/>
        <c:crosses val="autoZero"/>
        <c:auto val="1"/>
        <c:lblAlgn val="ctr"/>
        <c:lblOffset val="100"/>
        <c:noMultiLvlLbl val="0"/>
      </c:catAx>
      <c:valAx>
        <c:axId val="-876515776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one"/>
        <c:crossAx val="-878022320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7144964952961211E-2"/>
          <c:y val="0.91858722611373567"/>
          <c:w val="0.86589027720589606"/>
          <c:h val="6.676955608315698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99CC00">
            <a:gamma/>
            <a:shade val="46275"/>
            <a:invGamma/>
          </a:srgbClr>
        </a:gs>
        <a:gs pos="50000">
          <a:srgbClr val="99CC00"/>
        </a:gs>
        <a:gs pos="100000">
          <a:srgbClr val="99CC00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44" r="0.75000000000000044" t="1" header="0.5" footer="0.5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Payroll Expenses</a:t>
            </a:r>
          </a:p>
        </c:rich>
      </c:tx>
      <c:layout>
        <c:manualLayout>
          <c:xMode val="edge"/>
          <c:yMode val="edge"/>
          <c:x val="0.35670762631260639"/>
          <c:y val="3.03497982196168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87961083460255"/>
          <c:y val="0.18816874896162439"/>
          <c:w val="0.8239246741102948"/>
          <c:h val="0.64543904213718495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'Data Entry'!$B$75</c:f>
              <c:strCache>
                <c:ptCount val="1"/>
                <c:pt idx="0">
                  <c:v>     Payroll Salaries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Entry'!$C$75:$N$75</c:f>
              <c:numCache>
                <c:formatCode>_(* #,##0_);_(* \(#,##0\);_(* "-"??_);_(@_)</c:formatCode>
                <c:ptCount val="12"/>
                <c:pt idx="0">
                  <c:v>1600</c:v>
                </c:pt>
                <c:pt idx="1">
                  <c:v>3350</c:v>
                </c:pt>
                <c:pt idx="2">
                  <c:v>5100</c:v>
                </c:pt>
                <c:pt idx="3">
                  <c:v>6850</c:v>
                </c:pt>
                <c:pt idx="4">
                  <c:v>8600</c:v>
                </c:pt>
                <c:pt idx="5">
                  <c:v>10350</c:v>
                </c:pt>
                <c:pt idx="6">
                  <c:v>12100</c:v>
                </c:pt>
                <c:pt idx="7">
                  <c:v>13850</c:v>
                </c:pt>
                <c:pt idx="8">
                  <c:v>15600</c:v>
                </c:pt>
                <c:pt idx="9">
                  <c:v>17350</c:v>
                </c:pt>
                <c:pt idx="10">
                  <c:v>19100</c:v>
                </c:pt>
                <c:pt idx="11">
                  <c:v>20850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3E8-401B-A145-DA1479D033E8}"/>
            </c:ext>
          </c:extLst>
        </c:ser>
        <c:ser>
          <c:idx val="0"/>
          <c:order val="1"/>
          <c:tx>
            <c:strRef>
              <c:f>'Data Entry'!$B$76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Entry'!$C$76:$N$76</c:f>
              <c:numCache>
                <c:formatCode>_(* #,##0_);_(* \(#,##0\);_(* "-"??_);_(@_)</c:formatCode>
                <c:ptCount val="12"/>
                <c:pt idx="0">
                  <c:v>595</c:v>
                </c:pt>
                <c:pt idx="1">
                  <c:v>1678</c:v>
                </c:pt>
                <c:pt idx="2">
                  <c:v>4754</c:v>
                </c:pt>
                <c:pt idx="3">
                  <c:v>6501</c:v>
                </c:pt>
                <c:pt idx="4">
                  <c:v>7744</c:v>
                </c:pt>
                <c:pt idx="5">
                  <c:v>9845</c:v>
                </c:pt>
                <c:pt idx="6">
                  <c:v>10976</c:v>
                </c:pt>
                <c:pt idx="7">
                  <c:v>11232</c:v>
                </c:pt>
                <c:pt idx="8">
                  <c:v>14323</c:v>
                </c:pt>
                <c:pt idx="9">
                  <c:v>15434</c:v>
                </c:pt>
                <c:pt idx="10">
                  <c:v>16543</c:v>
                </c:pt>
                <c:pt idx="11">
                  <c:v>17896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3E8-401B-A145-DA1479D033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76507616"/>
        <c:axId val="-876518496"/>
      </c:barChart>
      <c:lineChart>
        <c:grouping val="standard"/>
        <c:varyColors val="0"/>
        <c:ser>
          <c:idx val="2"/>
          <c:order val="2"/>
          <c:tx>
            <c:strRef>
              <c:f>'Data Entry'!$B$77</c:f>
              <c:strCache>
                <c:ptCount val="1"/>
                <c:pt idx="0">
                  <c:v>Over / (Under Budget)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'Data Entry'!$C$77:$N$77</c:f>
              <c:numCache>
                <c:formatCode>_(* #,##0_);_(* \(#,##0\);_(* "-"??_);_(@_)</c:formatCode>
                <c:ptCount val="12"/>
                <c:pt idx="0">
                  <c:v>1005</c:v>
                </c:pt>
                <c:pt idx="1">
                  <c:v>1672</c:v>
                </c:pt>
                <c:pt idx="2">
                  <c:v>346</c:v>
                </c:pt>
                <c:pt idx="3">
                  <c:v>349</c:v>
                </c:pt>
                <c:pt idx="4">
                  <c:v>856</c:v>
                </c:pt>
                <c:pt idx="5">
                  <c:v>505</c:v>
                </c:pt>
                <c:pt idx="6">
                  <c:v>1124</c:v>
                </c:pt>
                <c:pt idx="7">
                  <c:v>2618</c:v>
                </c:pt>
                <c:pt idx="8">
                  <c:v>1277</c:v>
                </c:pt>
                <c:pt idx="9">
                  <c:v>1916</c:v>
                </c:pt>
                <c:pt idx="10">
                  <c:v>2557</c:v>
                </c:pt>
                <c:pt idx="11">
                  <c:v>2954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E8-401B-A145-DA1479D033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76506528"/>
        <c:axId val="-876514144"/>
      </c:lineChart>
      <c:dateAx>
        <c:axId val="-876507616"/>
        <c:scaling>
          <c:orientation val="minMax"/>
        </c:scaling>
        <c:delete val="0"/>
        <c:axPos val="b"/>
        <c:numFmt formatCode="mmmmm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76518496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-8765184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76507616"/>
        <c:crosses val="autoZero"/>
        <c:crossBetween val="between"/>
      </c:valAx>
      <c:catAx>
        <c:axId val="-876506528"/>
        <c:scaling>
          <c:orientation val="minMax"/>
        </c:scaling>
        <c:delete val="1"/>
        <c:axPos val="b"/>
        <c:majorTickMark val="out"/>
        <c:minorTickMark val="none"/>
        <c:tickLblPos val="none"/>
        <c:crossAx val="-876514144"/>
        <c:crosses val="autoZero"/>
        <c:auto val="1"/>
        <c:lblAlgn val="ctr"/>
        <c:lblOffset val="100"/>
        <c:noMultiLvlLbl val="0"/>
      </c:catAx>
      <c:valAx>
        <c:axId val="-876514144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one"/>
        <c:crossAx val="-87650652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5527273145372281"/>
          <c:y val="0.91858722611373567"/>
          <c:w val="0.807138432872054"/>
          <c:h val="6.676955608315698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99CC00">
            <a:gamma/>
            <a:shade val="46275"/>
            <a:invGamma/>
          </a:srgbClr>
        </a:gs>
        <a:gs pos="50000">
          <a:srgbClr val="99CC00"/>
        </a:gs>
        <a:gs pos="100000">
          <a:srgbClr val="99CC00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44" r="0.75000000000000044" t="1" header="0.5" footer="0.5"/>
    <c:pageSetup orientation="landscape" horizontalDpi="0" verticalDpi="0" copies="0"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Total Marketing Expenses vs. Total Marketing Expense Budget</a:t>
            </a:r>
          </a:p>
        </c:rich>
      </c:tx>
      <c:layout>
        <c:manualLayout>
          <c:xMode val="edge"/>
          <c:yMode val="edge"/>
          <c:x val="0.13905387181711373"/>
          <c:y val="3.044768604524005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6580712640844382E-2"/>
          <c:y val="0.20095472789858437"/>
          <c:w val="0.8946673639553917"/>
          <c:h val="0.63331186974099318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'Data Entry'!$B$93</c:f>
              <c:strCache>
                <c:ptCount val="1"/>
                <c:pt idx="0">
                  <c:v>Total Marketing Expenses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Entry'!$C$93:$N$93</c:f>
              <c:numCache>
                <c:formatCode>#,##0_);\(#,##0\)</c:formatCode>
                <c:ptCount val="12"/>
                <c:pt idx="0">
                  <c:v>3200</c:v>
                </c:pt>
                <c:pt idx="1">
                  <c:v>6700</c:v>
                </c:pt>
                <c:pt idx="2">
                  <c:v>10200</c:v>
                </c:pt>
                <c:pt idx="3">
                  <c:v>13700</c:v>
                </c:pt>
                <c:pt idx="4">
                  <c:v>17200</c:v>
                </c:pt>
                <c:pt idx="5">
                  <c:v>20700</c:v>
                </c:pt>
                <c:pt idx="6">
                  <c:v>24200</c:v>
                </c:pt>
                <c:pt idx="7">
                  <c:v>27700</c:v>
                </c:pt>
                <c:pt idx="8">
                  <c:v>31200</c:v>
                </c:pt>
                <c:pt idx="9">
                  <c:v>34700</c:v>
                </c:pt>
                <c:pt idx="10">
                  <c:v>38200</c:v>
                </c:pt>
                <c:pt idx="11">
                  <c:v>41700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E3-45E9-BBD8-C682C7EA0400}"/>
            </c:ext>
          </c:extLst>
        </c:ser>
        <c:ser>
          <c:idx val="0"/>
          <c:order val="1"/>
          <c:tx>
            <c:strRef>
              <c:f>'Data Entry'!$B$94</c:f>
              <c:strCache>
                <c:ptCount val="1"/>
                <c:pt idx="0">
                  <c:v>Total Marketing Expense Budget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Entry'!$C$94:$N$94</c:f>
              <c:numCache>
                <c:formatCode>#,##0_);\(#,##0\)</c:formatCode>
                <c:ptCount val="12"/>
                <c:pt idx="0">
                  <c:v>1190</c:v>
                </c:pt>
                <c:pt idx="1">
                  <c:v>3356</c:v>
                </c:pt>
                <c:pt idx="2">
                  <c:v>9508</c:v>
                </c:pt>
                <c:pt idx="3">
                  <c:v>13002</c:v>
                </c:pt>
                <c:pt idx="4">
                  <c:v>15488</c:v>
                </c:pt>
                <c:pt idx="5">
                  <c:v>19690</c:v>
                </c:pt>
                <c:pt idx="6">
                  <c:v>21952</c:v>
                </c:pt>
                <c:pt idx="7">
                  <c:v>22464</c:v>
                </c:pt>
                <c:pt idx="8">
                  <c:v>28646</c:v>
                </c:pt>
                <c:pt idx="9">
                  <c:v>30868</c:v>
                </c:pt>
                <c:pt idx="10">
                  <c:v>33086</c:v>
                </c:pt>
                <c:pt idx="11">
                  <c:v>35792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E3-45E9-BBD8-C682C7EA04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76516320"/>
        <c:axId val="-876511424"/>
      </c:barChart>
      <c:lineChart>
        <c:grouping val="standard"/>
        <c:varyColors val="0"/>
        <c:ser>
          <c:idx val="2"/>
          <c:order val="2"/>
          <c:tx>
            <c:strRef>
              <c:f>'Data Entry'!$B$95</c:f>
              <c:strCache>
                <c:ptCount val="1"/>
                <c:pt idx="0">
                  <c:v>Total Over / (Under Budget)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'Data Entry'!$C$95:$N$95</c:f>
              <c:numCache>
                <c:formatCode>_(* #,##0_);_(* \(#,##0\);_(* "-"??_);_(@_)</c:formatCode>
                <c:ptCount val="12"/>
                <c:pt idx="0">
                  <c:v>2010</c:v>
                </c:pt>
                <c:pt idx="1">
                  <c:v>3344</c:v>
                </c:pt>
                <c:pt idx="2">
                  <c:v>692</c:v>
                </c:pt>
                <c:pt idx="3">
                  <c:v>698</c:v>
                </c:pt>
                <c:pt idx="4">
                  <c:v>1712</c:v>
                </c:pt>
                <c:pt idx="5">
                  <c:v>1010</c:v>
                </c:pt>
                <c:pt idx="6">
                  <c:v>2248</c:v>
                </c:pt>
                <c:pt idx="7">
                  <c:v>5236</c:v>
                </c:pt>
                <c:pt idx="8">
                  <c:v>2554</c:v>
                </c:pt>
                <c:pt idx="9">
                  <c:v>3832</c:v>
                </c:pt>
                <c:pt idx="10">
                  <c:v>5114</c:v>
                </c:pt>
                <c:pt idx="11">
                  <c:v>5908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6E3-45E9-BBD8-C682C7EA04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76509792"/>
        <c:axId val="-876513600"/>
      </c:lineChart>
      <c:dateAx>
        <c:axId val="-876516320"/>
        <c:scaling>
          <c:orientation val="minMax"/>
        </c:scaling>
        <c:delete val="0"/>
        <c:axPos val="b"/>
        <c:numFmt formatCode="mmmmm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76511424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-87651142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#,##0_);\(#,##0\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76516320"/>
        <c:crosses val="autoZero"/>
        <c:crossBetween val="between"/>
      </c:valAx>
      <c:catAx>
        <c:axId val="-876509792"/>
        <c:scaling>
          <c:orientation val="minMax"/>
        </c:scaling>
        <c:delete val="1"/>
        <c:axPos val="b"/>
        <c:majorTickMark val="out"/>
        <c:minorTickMark val="none"/>
        <c:tickLblPos val="none"/>
        <c:crossAx val="-876513600"/>
        <c:crosses val="autoZero"/>
        <c:auto val="1"/>
        <c:lblAlgn val="ctr"/>
        <c:lblOffset val="100"/>
        <c:noMultiLvlLbl val="0"/>
      </c:catAx>
      <c:valAx>
        <c:axId val="-876513600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one"/>
        <c:crossAx val="-876509792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2506102937010857"/>
          <c:y val="0.91952011856624949"/>
          <c:w val="0.81683217784392559"/>
          <c:h val="6.69849092995281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CC00">
            <a:gamma/>
            <a:shade val="46275"/>
            <a:invGamma/>
          </a:srgbClr>
        </a:gs>
        <a:gs pos="50000">
          <a:srgbClr val="FFCC00"/>
        </a:gs>
        <a:gs pos="100000">
          <a:srgbClr val="FFCC00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44" r="0.75000000000000044" t="1" header="0.5" footer="0.5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Operating Expenses</a:t>
            </a:r>
          </a:p>
        </c:rich>
      </c:tx>
      <c:layout>
        <c:manualLayout>
          <c:xMode val="edge"/>
          <c:yMode val="edge"/>
          <c:x val="0.33432597132828651"/>
          <c:y val="3.03497982196168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87961083460255"/>
          <c:y val="0.18816874896162439"/>
          <c:w val="0.8239246741102948"/>
          <c:h val="0.64543904213718495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'Data Entry'!$B$85</c:f>
              <c:strCache>
                <c:ptCount val="1"/>
                <c:pt idx="0">
                  <c:v>     Operating Expenses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Entry'!$C$85:$N$85</c:f>
              <c:numCache>
                <c:formatCode>_(* #,##0_);_(* \(#,##0\);_(* "-"??_);_(@_)</c:formatCode>
                <c:ptCount val="12"/>
                <c:pt idx="0">
                  <c:v>1600</c:v>
                </c:pt>
                <c:pt idx="1">
                  <c:v>3350</c:v>
                </c:pt>
                <c:pt idx="2">
                  <c:v>5100</c:v>
                </c:pt>
                <c:pt idx="3">
                  <c:v>6850</c:v>
                </c:pt>
                <c:pt idx="4">
                  <c:v>8600</c:v>
                </c:pt>
                <c:pt idx="5">
                  <c:v>10350</c:v>
                </c:pt>
                <c:pt idx="6">
                  <c:v>12100</c:v>
                </c:pt>
                <c:pt idx="7">
                  <c:v>13850</c:v>
                </c:pt>
                <c:pt idx="8">
                  <c:v>15600</c:v>
                </c:pt>
                <c:pt idx="9">
                  <c:v>17350</c:v>
                </c:pt>
                <c:pt idx="10">
                  <c:v>19100</c:v>
                </c:pt>
                <c:pt idx="11">
                  <c:v>20850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D0C-41EB-B05F-12B34182DC11}"/>
            </c:ext>
          </c:extLst>
        </c:ser>
        <c:ser>
          <c:idx val="0"/>
          <c:order val="1"/>
          <c:tx>
            <c:strRef>
              <c:f>'Data Entry'!$B$86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Entry'!$C$86:$N$86</c:f>
              <c:numCache>
                <c:formatCode>_(* #,##0_);_(* \(#,##0\);_(* "-"??_);_(@_)</c:formatCode>
                <c:ptCount val="12"/>
                <c:pt idx="0">
                  <c:v>595</c:v>
                </c:pt>
                <c:pt idx="1">
                  <c:v>1678</c:v>
                </c:pt>
                <c:pt idx="2">
                  <c:v>4754</c:v>
                </c:pt>
                <c:pt idx="3">
                  <c:v>6501</c:v>
                </c:pt>
                <c:pt idx="4">
                  <c:v>7744</c:v>
                </c:pt>
                <c:pt idx="5">
                  <c:v>9845</c:v>
                </c:pt>
                <c:pt idx="6">
                  <c:v>10976</c:v>
                </c:pt>
                <c:pt idx="7">
                  <c:v>11232</c:v>
                </c:pt>
                <c:pt idx="8">
                  <c:v>14323</c:v>
                </c:pt>
                <c:pt idx="9">
                  <c:v>15434</c:v>
                </c:pt>
                <c:pt idx="10">
                  <c:v>16543</c:v>
                </c:pt>
                <c:pt idx="11">
                  <c:v>17896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D0C-41EB-B05F-12B34182D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76516864"/>
        <c:axId val="-876514688"/>
      </c:barChart>
      <c:lineChart>
        <c:grouping val="standard"/>
        <c:varyColors val="0"/>
        <c:ser>
          <c:idx val="2"/>
          <c:order val="2"/>
          <c:tx>
            <c:strRef>
              <c:f>'Data Entry'!$B$87</c:f>
              <c:strCache>
                <c:ptCount val="1"/>
                <c:pt idx="0">
                  <c:v>Over / (Under Budget)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'Data Entry'!$C$87:$N$87</c:f>
              <c:numCache>
                <c:formatCode>_(* #,##0_);_(* \(#,##0\);_(* "-"??_);_(@_)</c:formatCode>
                <c:ptCount val="12"/>
                <c:pt idx="0">
                  <c:v>1005</c:v>
                </c:pt>
                <c:pt idx="1">
                  <c:v>1672</c:v>
                </c:pt>
                <c:pt idx="2">
                  <c:v>346</c:v>
                </c:pt>
                <c:pt idx="3">
                  <c:v>349</c:v>
                </c:pt>
                <c:pt idx="4">
                  <c:v>856</c:v>
                </c:pt>
                <c:pt idx="5">
                  <c:v>505</c:v>
                </c:pt>
                <c:pt idx="6">
                  <c:v>1124</c:v>
                </c:pt>
                <c:pt idx="7">
                  <c:v>2618</c:v>
                </c:pt>
                <c:pt idx="8">
                  <c:v>1277</c:v>
                </c:pt>
                <c:pt idx="9">
                  <c:v>1916</c:v>
                </c:pt>
                <c:pt idx="10">
                  <c:v>2557</c:v>
                </c:pt>
                <c:pt idx="11">
                  <c:v>2954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0C-41EB-B05F-12B34182DC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76509248"/>
        <c:axId val="-876507072"/>
      </c:lineChart>
      <c:dateAx>
        <c:axId val="-876516864"/>
        <c:scaling>
          <c:orientation val="minMax"/>
        </c:scaling>
        <c:delete val="0"/>
        <c:axPos val="b"/>
        <c:numFmt formatCode="mmmmm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76514688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-8765146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76516864"/>
        <c:crosses val="autoZero"/>
        <c:crossBetween val="between"/>
      </c:valAx>
      <c:catAx>
        <c:axId val="-876509248"/>
        <c:scaling>
          <c:orientation val="minMax"/>
        </c:scaling>
        <c:delete val="1"/>
        <c:axPos val="b"/>
        <c:majorTickMark val="out"/>
        <c:minorTickMark val="none"/>
        <c:tickLblPos val="none"/>
        <c:crossAx val="-876507072"/>
        <c:crosses val="autoZero"/>
        <c:auto val="1"/>
        <c:lblAlgn val="ctr"/>
        <c:lblOffset val="100"/>
        <c:noMultiLvlLbl val="0"/>
      </c:catAx>
      <c:valAx>
        <c:axId val="-876507072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one"/>
        <c:crossAx val="-87650924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7144964952961211E-2"/>
          <c:y val="0.91858722611373567"/>
          <c:w val="0.86589027720589606"/>
          <c:h val="6.676955608315698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33CCCC">
            <a:gamma/>
            <a:shade val="46275"/>
            <a:invGamma/>
          </a:srgbClr>
        </a:gs>
        <a:gs pos="50000">
          <a:srgbClr val="33CCCC"/>
        </a:gs>
        <a:gs pos="100000">
          <a:srgbClr val="33CCCC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44" r="0.75000000000000044" t="1" header="0.5" footer="0.5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Payroll Expenses</a:t>
            </a:r>
          </a:p>
        </c:rich>
      </c:tx>
      <c:layout>
        <c:manualLayout>
          <c:xMode val="edge"/>
          <c:yMode val="edge"/>
          <c:x val="0.35670762631260639"/>
          <c:y val="3.03497982196168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87961083460255"/>
          <c:y val="0.18816874896162439"/>
          <c:w val="0.8239246741102948"/>
          <c:h val="0.64543904213718495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'Data Entry'!$B$89</c:f>
              <c:strCache>
                <c:ptCount val="1"/>
                <c:pt idx="0">
                  <c:v>     Payroll Salaries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Entry'!$C$89:$N$89</c:f>
              <c:numCache>
                <c:formatCode>_(* #,##0_);_(* \(#,##0\);_(* "-"??_);_(@_)</c:formatCode>
                <c:ptCount val="12"/>
                <c:pt idx="0">
                  <c:v>1600</c:v>
                </c:pt>
                <c:pt idx="1">
                  <c:v>3350</c:v>
                </c:pt>
                <c:pt idx="2">
                  <c:v>5100</c:v>
                </c:pt>
                <c:pt idx="3">
                  <c:v>6850</c:v>
                </c:pt>
                <c:pt idx="4">
                  <c:v>8600</c:v>
                </c:pt>
                <c:pt idx="5">
                  <c:v>10350</c:v>
                </c:pt>
                <c:pt idx="6">
                  <c:v>12100</c:v>
                </c:pt>
                <c:pt idx="7">
                  <c:v>13850</c:v>
                </c:pt>
                <c:pt idx="8">
                  <c:v>15600</c:v>
                </c:pt>
                <c:pt idx="9">
                  <c:v>17350</c:v>
                </c:pt>
                <c:pt idx="10">
                  <c:v>19100</c:v>
                </c:pt>
                <c:pt idx="11">
                  <c:v>20850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EC1-4E9B-AC7A-5ABA29B56D74}"/>
            </c:ext>
          </c:extLst>
        </c:ser>
        <c:ser>
          <c:idx val="0"/>
          <c:order val="1"/>
          <c:tx>
            <c:strRef>
              <c:f>'Data Entry'!$B$90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Entry'!$C$90:$N$90</c:f>
              <c:numCache>
                <c:formatCode>_(* #,##0_);_(* \(#,##0\);_(* "-"??_);_(@_)</c:formatCode>
                <c:ptCount val="12"/>
                <c:pt idx="0">
                  <c:v>595</c:v>
                </c:pt>
                <c:pt idx="1">
                  <c:v>1678</c:v>
                </c:pt>
                <c:pt idx="2">
                  <c:v>4754</c:v>
                </c:pt>
                <c:pt idx="3">
                  <c:v>6501</c:v>
                </c:pt>
                <c:pt idx="4">
                  <c:v>7744</c:v>
                </c:pt>
                <c:pt idx="5">
                  <c:v>9845</c:v>
                </c:pt>
                <c:pt idx="6">
                  <c:v>10976</c:v>
                </c:pt>
                <c:pt idx="7">
                  <c:v>11232</c:v>
                </c:pt>
                <c:pt idx="8">
                  <c:v>14323</c:v>
                </c:pt>
                <c:pt idx="9">
                  <c:v>15434</c:v>
                </c:pt>
                <c:pt idx="10">
                  <c:v>16543</c:v>
                </c:pt>
                <c:pt idx="11">
                  <c:v>17896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EC1-4E9B-AC7A-5ABA29B56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76505440"/>
        <c:axId val="-876508704"/>
      </c:barChart>
      <c:lineChart>
        <c:grouping val="standard"/>
        <c:varyColors val="0"/>
        <c:ser>
          <c:idx val="2"/>
          <c:order val="2"/>
          <c:tx>
            <c:strRef>
              <c:f>'Data Entry'!$B$91</c:f>
              <c:strCache>
                <c:ptCount val="1"/>
                <c:pt idx="0">
                  <c:v>Over / (Under Budget)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'Data Entry'!$C$91:$N$91</c:f>
              <c:numCache>
                <c:formatCode>_(* #,##0_);_(* \(#,##0\);_(* "-"??_);_(@_)</c:formatCode>
                <c:ptCount val="12"/>
                <c:pt idx="0">
                  <c:v>1005</c:v>
                </c:pt>
                <c:pt idx="1">
                  <c:v>1672</c:v>
                </c:pt>
                <c:pt idx="2">
                  <c:v>346</c:v>
                </c:pt>
                <c:pt idx="3">
                  <c:v>349</c:v>
                </c:pt>
                <c:pt idx="4">
                  <c:v>856</c:v>
                </c:pt>
                <c:pt idx="5">
                  <c:v>505</c:v>
                </c:pt>
                <c:pt idx="6">
                  <c:v>1124</c:v>
                </c:pt>
                <c:pt idx="7">
                  <c:v>2618</c:v>
                </c:pt>
                <c:pt idx="8">
                  <c:v>1277</c:v>
                </c:pt>
                <c:pt idx="9">
                  <c:v>1916</c:v>
                </c:pt>
                <c:pt idx="10">
                  <c:v>2557</c:v>
                </c:pt>
                <c:pt idx="11">
                  <c:v>2954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EC1-4E9B-AC7A-5ABA29B56D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76511968"/>
        <c:axId val="-876508160"/>
      </c:lineChart>
      <c:dateAx>
        <c:axId val="-876505440"/>
        <c:scaling>
          <c:orientation val="minMax"/>
        </c:scaling>
        <c:delete val="0"/>
        <c:axPos val="b"/>
        <c:numFmt formatCode="mmmmm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76508704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-87650870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76505440"/>
        <c:crosses val="autoZero"/>
        <c:crossBetween val="between"/>
      </c:valAx>
      <c:catAx>
        <c:axId val="-876511968"/>
        <c:scaling>
          <c:orientation val="minMax"/>
        </c:scaling>
        <c:delete val="1"/>
        <c:axPos val="b"/>
        <c:majorTickMark val="out"/>
        <c:minorTickMark val="none"/>
        <c:tickLblPos val="none"/>
        <c:crossAx val="-876508160"/>
        <c:crosses val="autoZero"/>
        <c:auto val="1"/>
        <c:lblAlgn val="ctr"/>
        <c:lblOffset val="100"/>
        <c:noMultiLvlLbl val="0"/>
      </c:catAx>
      <c:valAx>
        <c:axId val="-876508160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one"/>
        <c:crossAx val="-876511968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5527273145372281"/>
          <c:y val="0.91858722611373567"/>
          <c:w val="0.807138432872054"/>
          <c:h val="6.676955608315698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33CCCC">
            <a:gamma/>
            <a:shade val="46275"/>
            <a:invGamma/>
          </a:srgbClr>
        </a:gs>
        <a:gs pos="50000">
          <a:srgbClr val="33CCCC"/>
        </a:gs>
        <a:gs pos="100000">
          <a:srgbClr val="33CCCC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44" r="0.75000000000000044" t="1" header="0.5" footer="0.5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20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Total R&amp;D Expenses vs. Total R&amp;D Expenses Budget</a:t>
            </a:r>
          </a:p>
        </c:rich>
      </c:tx>
      <c:layout>
        <c:manualLayout>
          <c:xMode val="edge"/>
          <c:yMode val="edge"/>
          <c:x val="0.19240158364632101"/>
          <c:y val="3.03497982196168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82802855847147E-2"/>
          <c:y val="0.20030866824947097"/>
          <c:w val="0.88942004803776475"/>
          <c:h val="0.63329912284933765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'Data Entry'!$B$107</c:f>
              <c:strCache>
                <c:ptCount val="1"/>
                <c:pt idx="0">
                  <c:v>Total  Research &amp; Development Expenses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Entry'!$C$107:$N$107</c:f>
              <c:numCache>
                <c:formatCode>_(* #,##0_);_(* \(#,##0\);_(* "-"??_);_(@_)</c:formatCode>
                <c:ptCount val="12"/>
                <c:pt idx="0">
                  <c:v>3200</c:v>
                </c:pt>
                <c:pt idx="1">
                  <c:v>6700</c:v>
                </c:pt>
                <c:pt idx="2">
                  <c:v>10200</c:v>
                </c:pt>
                <c:pt idx="3">
                  <c:v>13700</c:v>
                </c:pt>
                <c:pt idx="4">
                  <c:v>17200</c:v>
                </c:pt>
                <c:pt idx="5">
                  <c:v>20700</c:v>
                </c:pt>
                <c:pt idx="6">
                  <c:v>24200</c:v>
                </c:pt>
                <c:pt idx="7">
                  <c:v>27700</c:v>
                </c:pt>
                <c:pt idx="8">
                  <c:v>31200</c:v>
                </c:pt>
                <c:pt idx="9">
                  <c:v>34700</c:v>
                </c:pt>
                <c:pt idx="10">
                  <c:v>38200</c:v>
                </c:pt>
                <c:pt idx="11">
                  <c:v>41700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AAB-404E-975A-F97C3DF79EA3}"/>
            </c:ext>
          </c:extLst>
        </c:ser>
        <c:ser>
          <c:idx val="0"/>
          <c:order val="1"/>
          <c:tx>
            <c:strRef>
              <c:f>'Data Entry'!$B$108</c:f>
              <c:strCache>
                <c:ptCount val="1"/>
                <c:pt idx="0">
                  <c:v>Total  R&amp;D Expenses Budget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Entry'!$C$108:$N$108</c:f>
              <c:numCache>
                <c:formatCode>_(* #,##0_);_(* \(#,##0\);_(* "-"??_);_(@_)</c:formatCode>
                <c:ptCount val="12"/>
                <c:pt idx="0">
                  <c:v>1190</c:v>
                </c:pt>
                <c:pt idx="1">
                  <c:v>3356</c:v>
                </c:pt>
                <c:pt idx="2">
                  <c:v>9508</c:v>
                </c:pt>
                <c:pt idx="3">
                  <c:v>13002</c:v>
                </c:pt>
                <c:pt idx="4">
                  <c:v>15488</c:v>
                </c:pt>
                <c:pt idx="5">
                  <c:v>19690</c:v>
                </c:pt>
                <c:pt idx="6">
                  <c:v>21952</c:v>
                </c:pt>
                <c:pt idx="7">
                  <c:v>22464</c:v>
                </c:pt>
                <c:pt idx="8">
                  <c:v>28646</c:v>
                </c:pt>
                <c:pt idx="9">
                  <c:v>30868</c:v>
                </c:pt>
                <c:pt idx="10">
                  <c:v>33086</c:v>
                </c:pt>
                <c:pt idx="11">
                  <c:v>35792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AAB-404E-975A-F97C3DF79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76504352"/>
        <c:axId val="-876503808"/>
      </c:barChart>
      <c:lineChart>
        <c:grouping val="standard"/>
        <c:varyColors val="0"/>
        <c:ser>
          <c:idx val="2"/>
          <c:order val="2"/>
          <c:tx>
            <c:strRef>
              <c:f>'Data Entry'!$B$109</c:f>
              <c:strCache>
                <c:ptCount val="1"/>
                <c:pt idx="0">
                  <c:v>Total Over / (Under Budget)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'Data Entry'!$C$109:$N$109</c:f>
              <c:numCache>
                <c:formatCode>_(* #,##0_);_(* \(#,##0\);_(* "-"??_);_(@_)</c:formatCode>
                <c:ptCount val="12"/>
                <c:pt idx="0">
                  <c:v>2010</c:v>
                </c:pt>
                <c:pt idx="1">
                  <c:v>3344</c:v>
                </c:pt>
                <c:pt idx="2">
                  <c:v>692</c:v>
                </c:pt>
                <c:pt idx="3">
                  <c:v>698</c:v>
                </c:pt>
                <c:pt idx="4">
                  <c:v>1712</c:v>
                </c:pt>
                <c:pt idx="5">
                  <c:v>1010</c:v>
                </c:pt>
                <c:pt idx="6">
                  <c:v>2248</c:v>
                </c:pt>
                <c:pt idx="7">
                  <c:v>5236</c:v>
                </c:pt>
                <c:pt idx="8">
                  <c:v>2554</c:v>
                </c:pt>
                <c:pt idx="9">
                  <c:v>3832</c:v>
                </c:pt>
                <c:pt idx="10">
                  <c:v>5114</c:v>
                </c:pt>
                <c:pt idx="11">
                  <c:v>5908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AAB-404E-975A-F97C3DF79EA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77356016"/>
        <c:axId val="-877351120"/>
      </c:lineChart>
      <c:dateAx>
        <c:axId val="-876504352"/>
        <c:scaling>
          <c:orientation val="minMax"/>
        </c:scaling>
        <c:delete val="0"/>
        <c:axPos val="b"/>
        <c:numFmt formatCode="mmmmm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76503808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-87650380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76504352"/>
        <c:crosses val="autoZero"/>
        <c:crossBetween val="between"/>
      </c:valAx>
      <c:catAx>
        <c:axId val="-877356016"/>
        <c:scaling>
          <c:orientation val="minMax"/>
        </c:scaling>
        <c:delete val="1"/>
        <c:axPos val="b"/>
        <c:majorTickMark val="out"/>
        <c:minorTickMark val="none"/>
        <c:tickLblPos val="none"/>
        <c:crossAx val="-877351120"/>
        <c:crosses val="autoZero"/>
        <c:auto val="1"/>
        <c:lblAlgn val="ctr"/>
        <c:lblOffset val="100"/>
        <c:noMultiLvlLbl val="0"/>
      </c:catAx>
      <c:valAx>
        <c:axId val="-877351120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one"/>
        <c:crossAx val="-877356016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3.9354869382202E-2"/>
          <c:y val="0.91858722611373567"/>
          <c:w val="0.92090394354352723"/>
          <c:h val="6.676955608315698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FFCC00">
            <a:gamma/>
            <a:shade val="46275"/>
            <a:invGamma/>
          </a:srgbClr>
        </a:gs>
        <a:gs pos="50000">
          <a:srgbClr val="FFCC00"/>
        </a:gs>
        <a:gs pos="100000">
          <a:srgbClr val="FFCC00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44" r="0.75000000000000044" t="1" header="0.5" footer="0.5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Operating Expenses</a:t>
            </a:r>
          </a:p>
        </c:rich>
      </c:tx>
      <c:layout>
        <c:manualLayout>
          <c:xMode val="edge"/>
          <c:yMode val="edge"/>
          <c:x val="0.33432597132828651"/>
          <c:y val="3.03497982196168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87961083460255"/>
          <c:y val="0.18816874896162439"/>
          <c:w val="0.8239246741102948"/>
          <c:h val="0.64543904213718495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'Data Entry'!$B$99</c:f>
              <c:strCache>
                <c:ptCount val="1"/>
                <c:pt idx="0">
                  <c:v>     Operating Expenses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Entry'!$C$99:$N$99</c:f>
              <c:numCache>
                <c:formatCode>_(* #,##0_);_(* \(#,##0\);_(* "-"??_);_(@_)</c:formatCode>
                <c:ptCount val="12"/>
                <c:pt idx="0">
                  <c:v>1600</c:v>
                </c:pt>
                <c:pt idx="1">
                  <c:v>3350</c:v>
                </c:pt>
                <c:pt idx="2">
                  <c:v>5100</c:v>
                </c:pt>
                <c:pt idx="3">
                  <c:v>6850</c:v>
                </c:pt>
                <c:pt idx="4">
                  <c:v>8600</c:v>
                </c:pt>
                <c:pt idx="5">
                  <c:v>10350</c:v>
                </c:pt>
                <c:pt idx="6">
                  <c:v>12100</c:v>
                </c:pt>
                <c:pt idx="7">
                  <c:v>13850</c:v>
                </c:pt>
                <c:pt idx="8">
                  <c:v>15600</c:v>
                </c:pt>
                <c:pt idx="9">
                  <c:v>17350</c:v>
                </c:pt>
                <c:pt idx="10">
                  <c:v>19100</c:v>
                </c:pt>
                <c:pt idx="11">
                  <c:v>20850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7E-4755-BBAF-24751D7400EA}"/>
            </c:ext>
          </c:extLst>
        </c:ser>
        <c:ser>
          <c:idx val="0"/>
          <c:order val="1"/>
          <c:tx>
            <c:strRef>
              <c:f>'Data Entry'!$B$100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Entry'!$C$100:$N$100</c:f>
              <c:numCache>
                <c:formatCode>_(* #,##0_);_(* \(#,##0\);_(* "-"??_);_(@_)</c:formatCode>
                <c:ptCount val="12"/>
                <c:pt idx="0">
                  <c:v>595</c:v>
                </c:pt>
                <c:pt idx="1">
                  <c:v>1678</c:v>
                </c:pt>
                <c:pt idx="2">
                  <c:v>4754</c:v>
                </c:pt>
                <c:pt idx="3">
                  <c:v>6501</c:v>
                </c:pt>
                <c:pt idx="4">
                  <c:v>7744</c:v>
                </c:pt>
                <c:pt idx="5">
                  <c:v>9845</c:v>
                </c:pt>
                <c:pt idx="6">
                  <c:v>10976</c:v>
                </c:pt>
                <c:pt idx="7">
                  <c:v>11232</c:v>
                </c:pt>
                <c:pt idx="8">
                  <c:v>14323</c:v>
                </c:pt>
                <c:pt idx="9">
                  <c:v>15434</c:v>
                </c:pt>
                <c:pt idx="10">
                  <c:v>16543</c:v>
                </c:pt>
                <c:pt idx="11">
                  <c:v>17896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37E-4755-BBAF-24751D740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77348944"/>
        <c:axId val="-877359280"/>
      </c:barChart>
      <c:lineChart>
        <c:grouping val="standard"/>
        <c:varyColors val="0"/>
        <c:ser>
          <c:idx val="2"/>
          <c:order val="2"/>
          <c:tx>
            <c:strRef>
              <c:f>'Data Entry'!$B$101</c:f>
              <c:strCache>
                <c:ptCount val="1"/>
                <c:pt idx="0">
                  <c:v>Over / (Under Budget)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'Data Entry'!$C$101:$N$101</c:f>
              <c:numCache>
                <c:formatCode>_(* #,##0_);_(* \(#,##0\);_(* "-"??_);_(@_)</c:formatCode>
                <c:ptCount val="12"/>
                <c:pt idx="0">
                  <c:v>1005</c:v>
                </c:pt>
                <c:pt idx="1">
                  <c:v>1672</c:v>
                </c:pt>
                <c:pt idx="2">
                  <c:v>346</c:v>
                </c:pt>
                <c:pt idx="3">
                  <c:v>349</c:v>
                </c:pt>
                <c:pt idx="4">
                  <c:v>856</c:v>
                </c:pt>
                <c:pt idx="5">
                  <c:v>505</c:v>
                </c:pt>
                <c:pt idx="6">
                  <c:v>1124</c:v>
                </c:pt>
                <c:pt idx="7">
                  <c:v>2618</c:v>
                </c:pt>
                <c:pt idx="8">
                  <c:v>1277</c:v>
                </c:pt>
                <c:pt idx="9">
                  <c:v>1916</c:v>
                </c:pt>
                <c:pt idx="10">
                  <c:v>2557</c:v>
                </c:pt>
                <c:pt idx="11">
                  <c:v>2954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37E-4755-BBAF-24751D7400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77358736"/>
        <c:axId val="-877353840"/>
      </c:lineChart>
      <c:dateAx>
        <c:axId val="-877348944"/>
        <c:scaling>
          <c:orientation val="minMax"/>
        </c:scaling>
        <c:delete val="0"/>
        <c:axPos val="b"/>
        <c:numFmt formatCode="mmmmm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77359280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-877359280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77348944"/>
        <c:crosses val="autoZero"/>
        <c:crossBetween val="between"/>
      </c:valAx>
      <c:catAx>
        <c:axId val="-877358736"/>
        <c:scaling>
          <c:orientation val="minMax"/>
        </c:scaling>
        <c:delete val="1"/>
        <c:axPos val="b"/>
        <c:majorTickMark val="out"/>
        <c:minorTickMark val="none"/>
        <c:tickLblPos val="none"/>
        <c:crossAx val="-877353840"/>
        <c:crosses val="autoZero"/>
        <c:auto val="1"/>
        <c:lblAlgn val="ctr"/>
        <c:lblOffset val="100"/>
        <c:noMultiLvlLbl val="0"/>
      </c:catAx>
      <c:valAx>
        <c:axId val="-877353840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one"/>
        <c:crossAx val="-877358736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6.7144964952961211E-2"/>
          <c:y val="0.91858722611373567"/>
          <c:w val="0.86589027720589606"/>
          <c:h val="6.676955608315698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00CCFF">
            <a:gamma/>
            <a:shade val="46275"/>
            <a:invGamma/>
          </a:srgbClr>
        </a:gs>
        <a:gs pos="50000">
          <a:srgbClr val="00CCFF"/>
        </a:gs>
        <a:gs pos="100000">
          <a:srgbClr val="00CCFF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44" r="0.75000000000000044" t="1" header="0.5" footer="0.5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Payroll Expenses</a:t>
            </a:r>
          </a:p>
        </c:rich>
      </c:tx>
      <c:layout>
        <c:manualLayout>
          <c:xMode val="edge"/>
          <c:yMode val="edge"/>
          <c:x val="0.35670762631260639"/>
          <c:y val="3.03497982196168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87961083460255"/>
          <c:y val="0.18816874896162439"/>
          <c:w val="0.8239246741102948"/>
          <c:h val="0.64543904213718495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'Data Entry'!$B$103</c:f>
              <c:strCache>
                <c:ptCount val="1"/>
                <c:pt idx="0">
                  <c:v>     Payroll Salaries</c:v>
                </c:pt>
              </c:strCache>
            </c:strRef>
          </c:tx>
          <c:spPr>
            <a:solidFill>
              <a:srgbClr val="FF0000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Entry'!$C$103:$N$103</c:f>
              <c:numCache>
                <c:formatCode>_(* #,##0_);_(* \(#,##0\);_(* "-"??_);_(@_)</c:formatCode>
                <c:ptCount val="12"/>
                <c:pt idx="0">
                  <c:v>1600</c:v>
                </c:pt>
                <c:pt idx="1">
                  <c:v>3350</c:v>
                </c:pt>
                <c:pt idx="2">
                  <c:v>5100</c:v>
                </c:pt>
                <c:pt idx="3">
                  <c:v>6850</c:v>
                </c:pt>
                <c:pt idx="4">
                  <c:v>8600</c:v>
                </c:pt>
                <c:pt idx="5">
                  <c:v>10350</c:v>
                </c:pt>
                <c:pt idx="6">
                  <c:v>12100</c:v>
                </c:pt>
                <c:pt idx="7">
                  <c:v>13850</c:v>
                </c:pt>
                <c:pt idx="8">
                  <c:v>15600</c:v>
                </c:pt>
                <c:pt idx="9">
                  <c:v>17350</c:v>
                </c:pt>
                <c:pt idx="10">
                  <c:v>19100</c:v>
                </c:pt>
                <c:pt idx="11">
                  <c:v>20850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72-4682-935E-7FC41B986593}"/>
            </c:ext>
          </c:extLst>
        </c:ser>
        <c:ser>
          <c:idx val="0"/>
          <c:order val="1"/>
          <c:tx>
            <c:strRef>
              <c:f>'Data Entry'!$B$104</c:f>
              <c:strCache>
                <c:ptCount val="1"/>
                <c:pt idx="0">
                  <c:v>Budget</c:v>
                </c:pt>
              </c:strCache>
            </c:strRef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cat>
            <c:numRef>
              <c:f>'Data Entry'!$C$2:$N$2</c:f>
              <c:numCache>
                <c:formatCode>mmm</c:formatCode>
                <c:ptCount val="12"/>
                <c:pt idx="0">
                  <c:v>36526</c:v>
                </c:pt>
                <c:pt idx="1">
                  <c:v>36557</c:v>
                </c:pt>
                <c:pt idx="2">
                  <c:v>36588</c:v>
                </c:pt>
                <c:pt idx="3">
                  <c:v>36619</c:v>
                </c:pt>
                <c:pt idx="4">
                  <c:v>36650</c:v>
                </c:pt>
                <c:pt idx="5">
                  <c:v>36681</c:v>
                </c:pt>
                <c:pt idx="6">
                  <c:v>36712</c:v>
                </c:pt>
                <c:pt idx="7">
                  <c:v>36743</c:v>
                </c:pt>
                <c:pt idx="8">
                  <c:v>36774</c:v>
                </c:pt>
                <c:pt idx="9">
                  <c:v>36805</c:v>
                </c:pt>
                <c:pt idx="10">
                  <c:v>36836</c:v>
                </c:pt>
                <c:pt idx="11">
                  <c:v>36867</c:v>
                </c:pt>
              </c:numCache>
            </c:numRef>
          </c:cat>
          <c:val>
            <c:numRef>
              <c:f>'Data Entry'!$C$104:$N$104</c:f>
              <c:numCache>
                <c:formatCode>_(* #,##0_);_(* \(#,##0\);_(* "-"??_);_(@_)</c:formatCode>
                <c:ptCount val="12"/>
                <c:pt idx="0">
                  <c:v>595</c:v>
                </c:pt>
                <c:pt idx="1">
                  <c:v>1678</c:v>
                </c:pt>
                <c:pt idx="2">
                  <c:v>4754</c:v>
                </c:pt>
                <c:pt idx="3">
                  <c:v>6501</c:v>
                </c:pt>
                <c:pt idx="4">
                  <c:v>7744</c:v>
                </c:pt>
                <c:pt idx="5">
                  <c:v>9845</c:v>
                </c:pt>
                <c:pt idx="6">
                  <c:v>10976</c:v>
                </c:pt>
                <c:pt idx="7">
                  <c:v>11232</c:v>
                </c:pt>
                <c:pt idx="8">
                  <c:v>14323</c:v>
                </c:pt>
                <c:pt idx="9">
                  <c:v>15434</c:v>
                </c:pt>
                <c:pt idx="10">
                  <c:v>16543</c:v>
                </c:pt>
                <c:pt idx="11">
                  <c:v>17896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172-4682-935E-7FC41B986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77357648"/>
        <c:axId val="-877349488"/>
      </c:barChart>
      <c:lineChart>
        <c:grouping val="standard"/>
        <c:varyColors val="0"/>
        <c:ser>
          <c:idx val="2"/>
          <c:order val="2"/>
          <c:tx>
            <c:strRef>
              <c:f>'Data Entry'!$B$105</c:f>
              <c:strCache>
                <c:ptCount val="1"/>
                <c:pt idx="0">
                  <c:v>Over / (Under Budget)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0000"/>
                </a:solidFill>
                <a:prstDash val="solid"/>
              </a:ln>
            </c:spPr>
          </c:marker>
          <c:val>
            <c:numRef>
              <c:f>'Data Entry'!$C$105:$N$105</c:f>
              <c:numCache>
                <c:formatCode>_(* #,##0_);_(* \(#,##0\);_(* "-"??_);_(@_)</c:formatCode>
                <c:ptCount val="12"/>
                <c:pt idx="0">
                  <c:v>1005</c:v>
                </c:pt>
                <c:pt idx="1">
                  <c:v>1672</c:v>
                </c:pt>
                <c:pt idx="2">
                  <c:v>346</c:v>
                </c:pt>
                <c:pt idx="3">
                  <c:v>349</c:v>
                </c:pt>
                <c:pt idx="4">
                  <c:v>856</c:v>
                </c:pt>
                <c:pt idx="5">
                  <c:v>505</c:v>
                </c:pt>
                <c:pt idx="6">
                  <c:v>1124</c:v>
                </c:pt>
                <c:pt idx="7">
                  <c:v>2618</c:v>
                </c:pt>
                <c:pt idx="8">
                  <c:v>1277</c:v>
                </c:pt>
                <c:pt idx="9">
                  <c:v>1916</c:v>
                </c:pt>
                <c:pt idx="10">
                  <c:v>2557</c:v>
                </c:pt>
                <c:pt idx="11">
                  <c:v>2954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172-4682-935E-7FC41B9865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877355472"/>
        <c:axId val="-877360912"/>
      </c:lineChart>
      <c:dateAx>
        <c:axId val="-877357648"/>
        <c:scaling>
          <c:orientation val="minMax"/>
        </c:scaling>
        <c:delete val="0"/>
        <c:axPos val="b"/>
        <c:numFmt formatCode="mmmmm" sourceLinked="0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77349488"/>
        <c:crosses val="autoZero"/>
        <c:auto val="1"/>
        <c:lblOffset val="100"/>
        <c:baseTimeUnit val="months"/>
        <c:majorUnit val="1"/>
        <c:majorTimeUnit val="months"/>
        <c:minorUnit val="1"/>
        <c:minorTimeUnit val="months"/>
      </c:dateAx>
      <c:valAx>
        <c:axId val="-877349488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_(* #,##0_);_(* \(#,##0\);_(* &quot;-&quot;??_);_(@_)" sourceLinked="1"/>
        <c:majorTickMark val="cross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4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-877357648"/>
        <c:crosses val="autoZero"/>
        <c:crossBetween val="between"/>
      </c:valAx>
      <c:catAx>
        <c:axId val="-877355472"/>
        <c:scaling>
          <c:orientation val="minMax"/>
        </c:scaling>
        <c:delete val="1"/>
        <c:axPos val="b"/>
        <c:majorTickMark val="out"/>
        <c:minorTickMark val="none"/>
        <c:tickLblPos val="none"/>
        <c:crossAx val="-877360912"/>
        <c:crosses val="autoZero"/>
        <c:auto val="1"/>
        <c:lblAlgn val="ctr"/>
        <c:lblOffset val="100"/>
        <c:noMultiLvlLbl val="0"/>
      </c:catAx>
      <c:valAx>
        <c:axId val="-877360912"/>
        <c:scaling>
          <c:orientation val="minMax"/>
        </c:scaling>
        <c:delete val="1"/>
        <c:axPos val="r"/>
        <c:numFmt formatCode="_(* #,##0_);_(* \(#,##0\);_(* &quot;-&quot;??_);_(@_)" sourceLinked="1"/>
        <c:majorTickMark val="out"/>
        <c:minorTickMark val="none"/>
        <c:tickLblPos val="none"/>
        <c:crossAx val="-877355472"/>
        <c:crosses val="max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b"/>
      <c:layout>
        <c:manualLayout>
          <c:xMode val="edge"/>
          <c:yMode val="edge"/>
          <c:x val="0.15527273145372281"/>
          <c:y val="0.91858722611373567"/>
          <c:w val="0.807138432872054"/>
          <c:h val="6.676955608315698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14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gradFill rotWithShape="0">
      <a:gsLst>
        <a:gs pos="0">
          <a:srgbClr val="00CCFF">
            <a:gamma/>
            <a:shade val="46275"/>
            <a:invGamma/>
          </a:srgbClr>
        </a:gs>
        <a:gs pos="50000">
          <a:srgbClr val="00CCFF"/>
        </a:gs>
        <a:gs pos="100000">
          <a:srgbClr val="00CCFF">
            <a:gamma/>
            <a:shade val="46275"/>
            <a:invGamma/>
          </a:srgbClr>
        </a:gs>
      </a:gsLst>
      <a:lin ang="5400000" scaled="1"/>
    </a:gradFill>
    <a:ln w="3175">
      <a:solidFill>
        <a:srgbClr val="00000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>
      <c:oddHeader>&amp;A</c:oddHeader>
      <c:oddFooter>Page &amp;P</c:oddFooter>
    </c:headerFooter>
    <c:pageMargins b="1" l="0.75000000000000044" r="0.75000000000000044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13" Type="http://schemas.openxmlformats.org/officeDocument/2006/relationships/chart" Target="../charts/chart11.xml"/><Relationship Id="rId18" Type="http://schemas.openxmlformats.org/officeDocument/2006/relationships/chart" Target="../charts/chart16.xml"/><Relationship Id="rId26" Type="http://schemas.openxmlformats.org/officeDocument/2006/relationships/chart" Target="../charts/chart24.xml"/><Relationship Id="rId3" Type="http://schemas.openxmlformats.org/officeDocument/2006/relationships/chart" Target="../charts/chart2.xml"/><Relationship Id="rId21" Type="http://schemas.openxmlformats.org/officeDocument/2006/relationships/chart" Target="../charts/chart19.xml"/><Relationship Id="rId7" Type="http://schemas.openxmlformats.org/officeDocument/2006/relationships/chart" Target="../charts/chart6.xml"/><Relationship Id="rId12" Type="http://schemas.openxmlformats.org/officeDocument/2006/relationships/chart" Target="../charts/chart10.xml"/><Relationship Id="rId17" Type="http://schemas.openxmlformats.org/officeDocument/2006/relationships/chart" Target="../charts/chart15.xml"/><Relationship Id="rId25" Type="http://schemas.openxmlformats.org/officeDocument/2006/relationships/chart" Target="../charts/chart23.xml"/><Relationship Id="rId2" Type="http://schemas.openxmlformats.org/officeDocument/2006/relationships/chart" Target="../charts/chart1.xml"/><Relationship Id="rId16" Type="http://schemas.openxmlformats.org/officeDocument/2006/relationships/chart" Target="../charts/chart14.xml"/><Relationship Id="rId20" Type="http://schemas.openxmlformats.org/officeDocument/2006/relationships/chart" Target="../charts/chart18.xml"/><Relationship Id="rId1" Type="http://schemas.openxmlformats.org/officeDocument/2006/relationships/image" Target="../media/image1.emf"/><Relationship Id="rId6" Type="http://schemas.openxmlformats.org/officeDocument/2006/relationships/chart" Target="../charts/chart5.xml"/><Relationship Id="rId11" Type="http://schemas.openxmlformats.org/officeDocument/2006/relationships/chart" Target="../charts/chart9.xml"/><Relationship Id="rId24" Type="http://schemas.openxmlformats.org/officeDocument/2006/relationships/chart" Target="../charts/chart22.xml"/><Relationship Id="rId5" Type="http://schemas.openxmlformats.org/officeDocument/2006/relationships/chart" Target="../charts/chart4.xml"/><Relationship Id="rId15" Type="http://schemas.openxmlformats.org/officeDocument/2006/relationships/chart" Target="../charts/chart13.xml"/><Relationship Id="rId23" Type="http://schemas.openxmlformats.org/officeDocument/2006/relationships/chart" Target="../charts/chart21.xml"/><Relationship Id="rId10" Type="http://schemas.openxmlformats.org/officeDocument/2006/relationships/image" Target="../media/image2.png"/><Relationship Id="rId19" Type="http://schemas.openxmlformats.org/officeDocument/2006/relationships/chart" Target="../charts/chart17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Relationship Id="rId14" Type="http://schemas.openxmlformats.org/officeDocument/2006/relationships/chart" Target="../charts/chart12.xml"/><Relationship Id="rId22" Type="http://schemas.openxmlformats.org/officeDocument/2006/relationships/chart" Target="../charts/chart20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5.xm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26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hart" Target="../charts/chart27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2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9.xml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1.xml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image" Target="../media/image2.png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3.xml"/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image" Target="../media/image2.png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5.xml"/><Relationship Id="rId1" Type="http://schemas.openxmlformats.org/officeDocument/2006/relationships/image" Target="../media/image2.png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image" Target="../media/image2.png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7.xml"/><Relationship Id="rId1" Type="http://schemas.openxmlformats.org/officeDocument/2006/relationships/image" Target="../media/image2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image" Target="../media/image2.pn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9.xml"/><Relationship Id="rId1" Type="http://schemas.openxmlformats.org/officeDocument/2006/relationships/image" Target="../media/image2.png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image" Target="../media/image2.pn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1.xml"/><Relationship Id="rId1" Type="http://schemas.openxmlformats.org/officeDocument/2006/relationships/image" Target="../media/image2.png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2.xml"/><Relationship Id="rId1" Type="http://schemas.openxmlformats.org/officeDocument/2006/relationships/image" Target="../media/image2.png"/></Relationships>
</file>

<file path=xl/drawings/_rels/drawing2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3.xml"/><Relationship Id="rId1" Type="http://schemas.openxmlformats.org/officeDocument/2006/relationships/image" Target="../media/image2.png"/></Relationships>
</file>

<file path=xl/drawings/_rels/drawing2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4.xml"/><Relationship Id="rId1" Type="http://schemas.openxmlformats.org/officeDocument/2006/relationships/image" Target="../media/image2.pn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5.xml"/><Relationship Id="rId1" Type="http://schemas.openxmlformats.org/officeDocument/2006/relationships/image" Target="../media/image2.png"/></Relationships>
</file>

<file path=xl/drawings/_rels/drawing2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6.xml"/><Relationship Id="rId1" Type="http://schemas.openxmlformats.org/officeDocument/2006/relationships/image" Target="../media/image2.png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7.xml"/><Relationship Id="rId1" Type="http://schemas.openxmlformats.org/officeDocument/2006/relationships/image" Target="../media/image2.pn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8.xml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133350</xdr:colOff>
      <xdr:row>21</xdr:row>
      <xdr:rowOff>0</xdr:rowOff>
    </xdr:from>
    <xdr:to>
      <xdr:col>30</xdr:col>
      <xdr:colOff>28575</xdr:colOff>
      <xdr:row>60</xdr:row>
      <xdr:rowOff>104775</xdr:rowOff>
    </xdr:to>
    <xdr:pic>
      <xdr:nvPicPr>
        <xdr:cNvPr id="3109" name="Picture 1061">
          <a:extLst>
            <a:ext uri="{FF2B5EF4-FFF2-40B4-BE49-F238E27FC236}">
              <a16:creationId xmlns:a16="http://schemas.microsoft.com/office/drawing/2014/main" id="{00000000-0008-0000-0000-000025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181350" y="3400425"/>
          <a:ext cx="15135225" cy="6419850"/>
        </a:xfrm>
        <a:prstGeom prst="rect">
          <a:avLst/>
        </a:prstGeom>
        <a:noFill/>
      </xdr:spPr>
    </xdr:pic>
    <xdr:clientData fPrintsWithSheet="0"/>
  </xdr:twoCellAnchor>
  <xdr:twoCellAnchor>
    <xdr:from>
      <xdr:col>0</xdr:col>
      <xdr:colOff>285750</xdr:colOff>
      <xdr:row>108</xdr:row>
      <xdr:rowOff>95250</xdr:rowOff>
    </xdr:from>
    <xdr:to>
      <xdr:col>11</xdr:col>
      <xdr:colOff>438150</xdr:colOff>
      <xdr:row>136</xdr:row>
      <xdr:rowOff>133350</xdr:rowOff>
    </xdr:to>
    <xdr:graphicFrame macro="[0]!Chart1025_Click">
      <xdr:nvGraphicFramePr>
        <xdr:cNvPr id="3073" name="Chart 1025">
          <a:extLst>
            <a:ext uri="{FF2B5EF4-FFF2-40B4-BE49-F238E27FC236}">
              <a16:creationId xmlns:a16="http://schemas.microsoft.com/office/drawing/2014/main" id="{00000000-0008-0000-0000-00000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476250</xdr:colOff>
      <xdr:row>108</xdr:row>
      <xdr:rowOff>95250</xdr:rowOff>
    </xdr:from>
    <xdr:to>
      <xdr:col>23</xdr:col>
      <xdr:colOff>19050</xdr:colOff>
      <xdr:row>136</xdr:row>
      <xdr:rowOff>133350</xdr:rowOff>
    </xdr:to>
    <xdr:graphicFrame macro="[0]!Chart1026_Click">
      <xdr:nvGraphicFramePr>
        <xdr:cNvPr id="3074" name="Chart 1026">
          <a:extLst>
            <a:ext uri="{FF2B5EF4-FFF2-40B4-BE49-F238E27FC236}">
              <a16:creationId xmlns:a16="http://schemas.microsoft.com/office/drawing/2014/main" id="{00000000-0008-0000-0000-00000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95250</xdr:colOff>
      <xdr:row>108</xdr:row>
      <xdr:rowOff>95250</xdr:rowOff>
    </xdr:from>
    <xdr:to>
      <xdr:col>34</xdr:col>
      <xdr:colOff>247650</xdr:colOff>
      <xdr:row>136</xdr:row>
      <xdr:rowOff>133350</xdr:rowOff>
    </xdr:to>
    <xdr:graphicFrame macro="[0]!Chart1027_Click">
      <xdr:nvGraphicFramePr>
        <xdr:cNvPr id="3075" name="Chart 1027">
          <a:extLst>
            <a:ext uri="{FF2B5EF4-FFF2-40B4-BE49-F238E27FC236}">
              <a16:creationId xmlns:a16="http://schemas.microsoft.com/office/drawing/2014/main" id="{00000000-0008-0000-0000-000003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8</xdr:col>
      <xdr:colOff>285750</xdr:colOff>
      <xdr:row>80</xdr:row>
      <xdr:rowOff>0</xdr:rowOff>
    </xdr:from>
    <xdr:to>
      <xdr:col>26</xdr:col>
      <xdr:colOff>285750</xdr:colOff>
      <xdr:row>108</xdr:row>
      <xdr:rowOff>38100</xdr:rowOff>
    </xdr:to>
    <xdr:graphicFrame macro="[0]!Chart1028_Click">
      <xdr:nvGraphicFramePr>
        <xdr:cNvPr id="3076" name="Chart 1028">
          <a:extLst>
            <a:ext uri="{FF2B5EF4-FFF2-40B4-BE49-F238E27FC236}">
              <a16:creationId xmlns:a16="http://schemas.microsoft.com/office/drawing/2014/main" id="{00000000-0008-0000-0000-000004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285750</xdr:colOff>
      <xdr:row>137</xdr:row>
      <xdr:rowOff>95250</xdr:rowOff>
    </xdr:from>
    <xdr:to>
      <xdr:col>11</xdr:col>
      <xdr:colOff>438150</xdr:colOff>
      <xdr:row>165</xdr:row>
      <xdr:rowOff>133350</xdr:rowOff>
    </xdr:to>
    <xdr:graphicFrame macro="[0]!Chart1032_Click">
      <xdr:nvGraphicFramePr>
        <xdr:cNvPr id="3080" name="Chart 1032">
          <a:extLst>
            <a:ext uri="{FF2B5EF4-FFF2-40B4-BE49-F238E27FC236}">
              <a16:creationId xmlns:a16="http://schemas.microsoft.com/office/drawing/2014/main" id="{00000000-0008-0000-0000-000008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476250</xdr:colOff>
      <xdr:row>137</xdr:row>
      <xdr:rowOff>95250</xdr:rowOff>
    </xdr:from>
    <xdr:to>
      <xdr:col>23</xdr:col>
      <xdr:colOff>19050</xdr:colOff>
      <xdr:row>165</xdr:row>
      <xdr:rowOff>133350</xdr:rowOff>
    </xdr:to>
    <xdr:graphicFrame macro="[0]!Chart1033_Click">
      <xdr:nvGraphicFramePr>
        <xdr:cNvPr id="3081" name="Chart 1033">
          <a:extLst>
            <a:ext uri="{FF2B5EF4-FFF2-40B4-BE49-F238E27FC236}">
              <a16:creationId xmlns:a16="http://schemas.microsoft.com/office/drawing/2014/main" id="{00000000-0008-0000-0000-000009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23</xdr:col>
      <xdr:colOff>95250</xdr:colOff>
      <xdr:row>137</xdr:row>
      <xdr:rowOff>95250</xdr:rowOff>
    </xdr:from>
    <xdr:to>
      <xdr:col>34</xdr:col>
      <xdr:colOff>247650</xdr:colOff>
      <xdr:row>165</xdr:row>
      <xdr:rowOff>133350</xdr:rowOff>
    </xdr:to>
    <xdr:graphicFrame macro="[0]!Chart1034_Click">
      <xdr:nvGraphicFramePr>
        <xdr:cNvPr id="3082" name="Chart 1034">
          <a:extLst>
            <a:ext uri="{FF2B5EF4-FFF2-40B4-BE49-F238E27FC236}">
              <a16:creationId xmlns:a16="http://schemas.microsoft.com/office/drawing/2014/main" id="{00000000-0008-0000-0000-00000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190500</xdr:colOff>
      <xdr:row>208</xdr:row>
      <xdr:rowOff>0</xdr:rowOff>
    </xdr:from>
    <xdr:to>
      <xdr:col>11</xdr:col>
      <xdr:colOff>342900</xdr:colOff>
      <xdr:row>236</xdr:row>
      <xdr:rowOff>38100</xdr:rowOff>
    </xdr:to>
    <xdr:graphicFrame macro="[0]!Chart1035_Click">
      <xdr:nvGraphicFramePr>
        <xdr:cNvPr id="3083" name="Chart 1035">
          <a:extLst>
            <a:ext uri="{FF2B5EF4-FFF2-40B4-BE49-F238E27FC236}">
              <a16:creationId xmlns:a16="http://schemas.microsoft.com/office/drawing/2014/main" id="{00000000-0008-0000-0000-00000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476250</xdr:colOff>
      <xdr:row>169</xdr:row>
      <xdr:rowOff>95250</xdr:rowOff>
    </xdr:from>
    <xdr:to>
      <xdr:col>23</xdr:col>
      <xdr:colOff>152400</xdr:colOff>
      <xdr:row>174</xdr:row>
      <xdr:rowOff>123825</xdr:rowOff>
    </xdr:to>
    <xdr:sp macro="" textlink="">
      <xdr:nvSpPr>
        <xdr:cNvPr id="3084" name="Text Box 1036">
          <a:extLst>
            <a:ext uri="{FF2B5EF4-FFF2-40B4-BE49-F238E27FC236}">
              <a16:creationId xmlns:a16="http://schemas.microsoft.com/office/drawing/2014/main" id="{00000000-0008-0000-0000-00000C0C0000}"/>
            </a:ext>
          </a:extLst>
        </xdr:cNvPr>
        <xdr:cNvSpPr txBox="1">
          <a:spLocks noChangeArrowheads="1"/>
        </xdr:cNvSpPr>
      </xdr:nvSpPr>
      <xdr:spPr bwMode="auto">
        <a:xfrm>
          <a:off x="7181850" y="27727275"/>
          <a:ext cx="6991350" cy="838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91440" tIns="73152" rIns="91440" bIns="0" anchor="t" upright="1"/>
        <a:lstStyle/>
        <a:p>
          <a:pPr algn="ctr" rtl="0">
            <a:defRPr sz="1000"/>
          </a:pPr>
          <a:r>
            <a:rPr lang="en-US" sz="4800" b="0" i="0" u="none" strike="noStrike" baseline="0">
              <a:solidFill>
                <a:srgbClr val="FFFF99"/>
              </a:solidFill>
              <a:latin typeface="Arial"/>
              <a:cs typeface="Arial"/>
            </a:rPr>
            <a:t>Cost of Goods</a:t>
          </a:r>
        </a:p>
      </xdr:txBody>
    </xdr:sp>
    <xdr:clientData/>
  </xdr:twoCellAnchor>
  <xdr:twoCellAnchor>
    <xdr:from>
      <xdr:col>11</xdr:col>
      <xdr:colOff>476250</xdr:colOff>
      <xdr:row>72</xdr:row>
      <xdr:rowOff>95250</xdr:rowOff>
    </xdr:from>
    <xdr:to>
      <xdr:col>23</xdr:col>
      <xdr:colOff>152400</xdr:colOff>
      <xdr:row>77</xdr:row>
      <xdr:rowOff>123825</xdr:rowOff>
    </xdr:to>
    <xdr:sp macro="" textlink="">
      <xdr:nvSpPr>
        <xdr:cNvPr id="3085" name="Text Box 1037">
          <a:extLst>
            <a:ext uri="{FF2B5EF4-FFF2-40B4-BE49-F238E27FC236}">
              <a16:creationId xmlns:a16="http://schemas.microsoft.com/office/drawing/2014/main" id="{00000000-0008-0000-0000-00000D0C0000}"/>
            </a:ext>
          </a:extLst>
        </xdr:cNvPr>
        <xdr:cNvSpPr txBox="1">
          <a:spLocks noChangeArrowheads="1"/>
        </xdr:cNvSpPr>
      </xdr:nvSpPr>
      <xdr:spPr bwMode="auto">
        <a:xfrm>
          <a:off x="7181850" y="12020550"/>
          <a:ext cx="6991350" cy="838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91440" tIns="73152" rIns="91440" bIns="0" anchor="t" upright="1"/>
        <a:lstStyle/>
        <a:p>
          <a:pPr algn="ctr" rtl="0">
            <a:defRPr sz="1000"/>
          </a:pPr>
          <a:r>
            <a:rPr lang="en-US" sz="4800" b="0" i="0" u="none" strike="noStrike" baseline="0">
              <a:solidFill>
                <a:srgbClr val="FFFF99"/>
              </a:solidFill>
              <a:latin typeface="Arial"/>
              <a:cs typeface="Arial"/>
            </a:rPr>
            <a:t>Sales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1</xdr:col>
      <xdr:colOff>161925</xdr:colOff>
      <xdr:row>3</xdr:row>
      <xdr:rowOff>0</xdr:rowOff>
    </xdr:to>
    <xdr:pic>
      <xdr:nvPicPr>
        <xdr:cNvPr id="3087" name="Picture 1039">
          <a:extLst>
            <a:ext uri="{FF2B5EF4-FFF2-40B4-BE49-F238E27FC236}">
              <a16:creationId xmlns:a16="http://schemas.microsoft.com/office/drawing/2014/main" id="{00000000-0008-0000-0000-00000F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 cstate="print"/>
        <a:srcRect/>
        <a:stretch>
          <a:fillRect/>
        </a:stretch>
      </xdr:blipFill>
      <xdr:spPr bwMode="auto">
        <a:xfrm>
          <a:off x="0" y="0"/>
          <a:ext cx="771525" cy="48577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 fPrintsWithSheet="0"/>
  </xdr:twoCellAnchor>
  <xdr:twoCellAnchor>
    <xdr:from>
      <xdr:col>11</xdr:col>
      <xdr:colOff>476250</xdr:colOff>
      <xdr:row>208</xdr:row>
      <xdr:rowOff>0</xdr:rowOff>
    </xdr:from>
    <xdr:to>
      <xdr:col>23</xdr:col>
      <xdr:colOff>19050</xdr:colOff>
      <xdr:row>236</xdr:row>
      <xdr:rowOff>38100</xdr:rowOff>
    </xdr:to>
    <xdr:graphicFrame macro="[0]!Chart1040_Click">
      <xdr:nvGraphicFramePr>
        <xdr:cNvPr id="3088" name="Chart 1040">
          <a:extLst>
            <a:ext uri="{FF2B5EF4-FFF2-40B4-BE49-F238E27FC236}">
              <a16:creationId xmlns:a16="http://schemas.microsoft.com/office/drawing/2014/main" id="{00000000-0008-0000-0000-00001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23</xdr:col>
      <xdr:colOff>190500</xdr:colOff>
      <xdr:row>208</xdr:row>
      <xdr:rowOff>0</xdr:rowOff>
    </xdr:from>
    <xdr:to>
      <xdr:col>34</xdr:col>
      <xdr:colOff>342900</xdr:colOff>
      <xdr:row>236</xdr:row>
      <xdr:rowOff>38100</xdr:rowOff>
    </xdr:to>
    <xdr:graphicFrame macro="[0]!Chart1041_Click">
      <xdr:nvGraphicFramePr>
        <xdr:cNvPr id="3089" name="Chart 1041">
          <a:extLst>
            <a:ext uri="{FF2B5EF4-FFF2-40B4-BE49-F238E27FC236}">
              <a16:creationId xmlns:a16="http://schemas.microsoft.com/office/drawing/2014/main" id="{00000000-0008-0000-0000-00001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285750</xdr:colOff>
      <xdr:row>177</xdr:row>
      <xdr:rowOff>95250</xdr:rowOff>
    </xdr:from>
    <xdr:to>
      <xdr:col>26</xdr:col>
      <xdr:colOff>285750</xdr:colOff>
      <xdr:row>205</xdr:row>
      <xdr:rowOff>133350</xdr:rowOff>
    </xdr:to>
    <xdr:graphicFrame macro="[0]!Chart1042_Click">
      <xdr:nvGraphicFramePr>
        <xdr:cNvPr id="3090" name="Chart 1042">
          <a:extLst>
            <a:ext uri="{FF2B5EF4-FFF2-40B4-BE49-F238E27FC236}">
              <a16:creationId xmlns:a16="http://schemas.microsoft.com/office/drawing/2014/main" id="{00000000-0008-0000-0000-00001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8</xdr:col>
      <xdr:colOff>285750</xdr:colOff>
      <xdr:row>249</xdr:row>
      <xdr:rowOff>95250</xdr:rowOff>
    </xdr:from>
    <xdr:to>
      <xdr:col>26</xdr:col>
      <xdr:colOff>285750</xdr:colOff>
      <xdr:row>277</xdr:row>
      <xdr:rowOff>133350</xdr:rowOff>
    </xdr:to>
    <xdr:graphicFrame macro="[0]!Chart1043_Click">
      <xdr:nvGraphicFramePr>
        <xdr:cNvPr id="3091" name="Chart 1043">
          <a:extLst>
            <a:ext uri="{FF2B5EF4-FFF2-40B4-BE49-F238E27FC236}">
              <a16:creationId xmlns:a16="http://schemas.microsoft.com/office/drawing/2014/main" id="{00000000-0008-0000-0000-000013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11</xdr:col>
      <xdr:colOff>476250</xdr:colOff>
      <xdr:row>241</xdr:row>
      <xdr:rowOff>95250</xdr:rowOff>
    </xdr:from>
    <xdr:to>
      <xdr:col>23</xdr:col>
      <xdr:colOff>152400</xdr:colOff>
      <xdr:row>246</xdr:row>
      <xdr:rowOff>123825</xdr:rowOff>
    </xdr:to>
    <xdr:sp macro="" textlink="">
      <xdr:nvSpPr>
        <xdr:cNvPr id="3092" name="Text Box 1044">
          <a:extLst>
            <a:ext uri="{FF2B5EF4-FFF2-40B4-BE49-F238E27FC236}">
              <a16:creationId xmlns:a16="http://schemas.microsoft.com/office/drawing/2014/main" id="{00000000-0008-0000-0000-0000140C0000}"/>
            </a:ext>
          </a:extLst>
        </xdr:cNvPr>
        <xdr:cNvSpPr txBox="1">
          <a:spLocks noChangeArrowheads="1"/>
        </xdr:cNvSpPr>
      </xdr:nvSpPr>
      <xdr:spPr bwMode="auto">
        <a:xfrm>
          <a:off x="7181850" y="39385875"/>
          <a:ext cx="6991350" cy="838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91440" tIns="73152" rIns="91440" bIns="0" anchor="t" upright="1"/>
        <a:lstStyle/>
        <a:p>
          <a:pPr algn="ctr" rtl="0">
            <a:defRPr sz="1000"/>
          </a:pPr>
          <a:r>
            <a:rPr lang="en-US" sz="4800" b="0" i="0" u="none" strike="noStrike" baseline="0">
              <a:solidFill>
                <a:srgbClr val="FFFF99"/>
              </a:solidFill>
              <a:latin typeface="Arial"/>
              <a:cs typeface="Arial"/>
            </a:rPr>
            <a:t>G&amp;A Expenses</a:t>
          </a:r>
        </a:p>
      </xdr:txBody>
    </xdr:sp>
    <xdr:clientData/>
  </xdr:twoCellAnchor>
  <xdr:twoCellAnchor>
    <xdr:from>
      <xdr:col>5</xdr:col>
      <xdr:colOff>476250</xdr:colOff>
      <xdr:row>279</xdr:row>
      <xdr:rowOff>95250</xdr:rowOff>
    </xdr:from>
    <xdr:to>
      <xdr:col>17</xdr:col>
      <xdr:colOff>19050</xdr:colOff>
      <xdr:row>307</xdr:row>
      <xdr:rowOff>133350</xdr:rowOff>
    </xdr:to>
    <xdr:graphicFrame macro="[0]!Chart1045_Click">
      <xdr:nvGraphicFramePr>
        <xdr:cNvPr id="3093" name="Chart 1045">
          <a:extLst>
            <a:ext uri="{FF2B5EF4-FFF2-40B4-BE49-F238E27FC236}">
              <a16:creationId xmlns:a16="http://schemas.microsoft.com/office/drawing/2014/main" id="{00000000-0008-0000-0000-000015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18</xdr:col>
      <xdr:colOff>0</xdr:colOff>
      <xdr:row>279</xdr:row>
      <xdr:rowOff>95250</xdr:rowOff>
    </xdr:from>
    <xdr:to>
      <xdr:col>29</xdr:col>
      <xdr:colOff>152400</xdr:colOff>
      <xdr:row>307</xdr:row>
      <xdr:rowOff>133350</xdr:rowOff>
    </xdr:to>
    <xdr:graphicFrame macro="[0]!Chart1046_Click">
      <xdr:nvGraphicFramePr>
        <xdr:cNvPr id="3094" name="Chart 1046">
          <a:extLst>
            <a:ext uri="{FF2B5EF4-FFF2-40B4-BE49-F238E27FC236}">
              <a16:creationId xmlns:a16="http://schemas.microsoft.com/office/drawing/2014/main" id="{00000000-0008-0000-0000-000016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8</xdr:col>
      <xdr:colOff>381000</xdr:colOff>
      <xdr:row>324</xdr:row>
      <xdr:rowOff>0</xdr:rowOff>
    </xdr:from>
    <xdr:to>
      <xdr:col>26</xdr:col>
      <xdr:colOff>381000</xdr:colOff>
      <xdr:row>352</xdr:row>
      <xdr:rowOff>38100</xdr:rowOff>
    </xdr:to>
    <xdr:graphicFrame macro="[0]!Chart1047_Click">
      <xdr:nvGraphicFramePr>
        <xdr:cNvPr id="3095" name="Chart 1047">
          <a:extLst>
            <a:ext uri="{FF2B5EF4-FFF2-40B4-BE49-F238E27FC236}">
              <a16:creationId xmlns:a16="http://schemas.microsoft.com/office/drawing/2014/main" id="{00000000-0008-0000-0000-000017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11</xdr:col>
      <xdr:colOff>476250</xdr:colOff>
      <xdr:row>313</xdr:row>
      <xdr:rowOff>95250</xdr:rowOff>
    </xdr:from>
    <xdr:to>
      <xdr:col>23</xdr:col>
      <xdr:colOff>152400</xdr:colOff>
      <xdr:row>318</xdr:row>
      <xdr:rowOff>123825</xdr:rowOff>
    </xdr:to>
    <xdr:sp macro="" textlink="">
      <xdr:nvSpPr>
        <xdr:cNvPr id="3096" name="Text Box 1048">
          <a:extLst>
            <a:ext uri="{FF2B5EF4-FFF2-40B4-BE49-F238E27FC236}">
              <a16:creationId xmlns:a16="http://schemas.microsoft.com/office/drawing/2014/main" id="{00000000-0008-0000-0000-0000180C0000}"/>
            </a:ext>
          </a:extLst>
        </xdr:cNvPr>
        <xdr:cNvSpPr txBox="1">
          <a:spLocks noChangeArrowheads="1"/>
        </xdr:cNvSpPr>
      </xdr:nvSpPr>
      <xdr:spPr bwMode="auto">
        <a:xfrm>
          <a:off x="7181850" y="51044475"/>
          <a:ext cx="6991350" cy="838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91440" tIns="73152" rIns="91440" bIns="0" anchor="t" upright="1"/>
        <a:lstStyle/>
        <a:p>
          <a:pPr algn="ctr" rtl="0">
            <a:defRPr sz="1000"/>
          </a:pPr>
          <a:r>
            <a:rPr lang="en-US" sz="4800" b="0" i="0" u="none" strike="noStrike" baseline="0">
              <a:solidFill>
                <a:srgbClr val="FFFF99"/>
              </a:solidFill>
              <a:latin typeface="Arial"/>
              <a:cs typeface="Arial"/>
            </a:rPr>
            <a:t>Sales Expenses</a:t>
          </a:r>
        </a:p>
      </xdr:txBody>
    </xdr:sp>
    <xdr:clientData/>
  </xdr:twoCellAnchor>
  <xdr:twoCellAnchor>
    <xdr:from>
      <xdr:col>6</xdr:col>
      <xdr:colOff>0</xdr:colOff>
      <xdr:row>353</xdr:row>
      <xdr:rowOff>95250</xdr:rowOff>
    </xdr:from>
    <xdr:to>
      <xdr:col>17</xdr:col>
      <xdr:colOff>152400</xdr:colOff>
      <xdr:row>381</xdr:row>
      <xdr:rowOff>133350</xdr:rowOff>
    </xdr:to>
    <xdr:graphicFrame macro="[0]!Chart1049_Click">
      <xdr:nvGraphicFramePr>
        <xdr:cNvPr id="3097" name="Chart 1049">
          <a:extLst>
            <a:ext uri="{FF2B5EF4-FFF2-40B4-BE49-F238E27FC236}">
              <a16:creationId xmlns:a16="http://schemas.microsoft.com/office/drawing/2014/main" id="{00000000-0008-0000-0000-000019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18</xdr:col>
      <xdr:colOff>0</xdr:colOff>
      <xdr:row>353</xdr:row>
      <xdr:rowOff>95250</xdr:rowOff>
    </xdr:from>
    <xdr:to>
      <xdr:col>29</xdr:col>
      <xdr:colOff>152400</xdr:colOff>
      <xdr:row>381</xdr:row>
      <xdr:rowOff>133350</xdr:rowOff>
    </xdr:to>
    <xdr:graphicFrame macro="[0]!Chart1050_Click">
      <xdr:nvGraphicFramePr>
        <xdr:cNvPr id="3098" name="Chart 1050">
          <a:extLst>
            <a:ext uri="{FF2B5EF4-FFF2-40B4-BE49-F238E27FC236}">
              <a16:creationId xmlns:a16="http://schemas.microsoft.com/office/drawing/2014/main" id="{00000000-0008-0000-0000-00001A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8</xdr:col>
      <xdr:colOff>381000</xdr:colOff>
      <xdr:row>397</xdr:row>
      <xdr:rowOff>95250</xdr:rowOff>
    </xdr:from>
    <xdr:to>
      <xdr:col>26</xdr:col>
      <xdr:colOff>381000</xdr:colOff>
      <xdr:row>425</xdr:row>
      <xdr:rowOff>133350</xdr:rowOff>
    </xdr:to>
    <xdr:graphicFrame macro="[0]!Chart1051_Click">
      <xdr:nvGraphicFramePr>
        <xdr:cNvPr id="3099" name="Chart 1051">
          <a:extLst>
            <a:ext uri="{FF2B5EF4-FFF2-40B4-BE49-F238E27FC236}">
              <a16:creationId xmlns:a16="http://schemas.microsoft.com/office/drawing/2014/main" id="{00000000-0008-0000-0000-00001B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11</xdr:col>
      <xdr:colOff>476250</xdr:colOff>
      <xdr:row>388</xdr:row>
      <xdr:rowOff>95250</xdr:rowOff>
    </xdr:from>
    <xdr:to>
      <xdr:col>23</xdr:col>
      <xdr:colOff>152400</xdr:colOff>
      <xdr:row>393</xdr:row>
      <xdr:rowOff>123825</xdr:rowOff>
    </xdr:to>
    <xdr:sp macro="" textlink="">
      <xdr:nvSpPr>
        <xdr:cNvPr id="3100" name="Text Box 1052">
          <a:extLst>
            <a:ext uri="{FF2B5EF4-FFF2-40B4-BE49-F238E27FC236}">
              <a16:creationId xmlns:a16="http://schemas.microsoft.com/office/drawing/2014/main" id="{00000000-0008-0000-0000-00001C0C0000}"/>
            </a:ext>
          </a:extLst>
        </xdr:cNvPr>
        <xdr:cNvSpPr txBox="1">
          <a:spLocks noChangeArrowheads="1"/>
        </xdr:cNvSpPr>
      </xdr:nvSpPr>
      <xdr:spPr bwMode="auto">
        <a:xfrm>
          <a:off x="7181850" y="63188850"/>
          <a:ext cx="6991350" cy="838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91440" tIns="73152" rIns="91440" bIns="0" anchor="t" upright="1"/>
        <a:lstStyle/>
        <a:p>
          <a:pPr algn="ctr" rtl="0">
            <a:defRPr sz="1000"/>
          </a:pPr>
          <a:r>
            <a:rPr lang="en-US" sz="4800" b="0" i="0" u="none" strike="noStrike" baseline="0">
              <a:solidFill>
                <a:srgbClr val="FFFF99"/>
              </a:solidFill>
              <a:latin typeface="Arial"/>
              <a:cs typeface="Arial"/>
            </a:rPr>
            <a:t>Marketing Expenses</a:t>
          </a:r>
        </a:p>
      </xdr:txBody>
    </xdr:sp>
    <xdr:clientData/>
  </xdr:twoCellAnchor>
  <xdr:twoCellAnchor>
    <xdr:from>
      <xdr:col>5</xdr:col>
      <xdr:colOff>476250</xdr:colOff>
      <xdr:row>427</xdr:row>
      <xdr:rowOff>0</xdr:rowOff>
    </xdr:from>
    <xdr:to>
      <xdr:col>17</xdr:col>
      <xdr:colOff>19050</xdr:colOff>
      <xdr:row>455</xdr:row>
      <xdr:rowOff>38100</xdr:rowOff>
    </xdr:to>
    <xdr:graphicFrame macro="[0]!GotoChart20">
      <xdr:nvGraphicFramePr>
        <xdr:cNvPr id="3101" name="Chart 1053">
          <a:extLst>
            <a:ext uri="{FF2B5EF4-FFF2-40B4-BE49-F238E27FC236}">
              <a16:creationId xmlns:a16="http://schemas.microsoft.com/office/drawing/2014/main" id="{00000000-0008-0000-0000-00001D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18</xdr:col>
      <xdr:colOff>0</xdr:colOff>
      <xdr:row>427</xdr:row>
      <xdr:rowOff>0</xdr:rowOff>
    </xdr:from>
    <xdr:to>
      <xdr:col>29</xdr:col>
      <xdr:colOff>152400</xdr:colOff>
      <xdr:row>455</xdr:row>
      <xdr:rowOff>38100</xdr:rowOff>
    </xdr:to>
    <xdr:graphicFrame macro="[0]!GotoChart21">
      <xdr:nvGraphicFramePr>
        <xdr:cNvPr id="3102" name="Chart 1054">
          <a:extLst>
            <a:ext uri="{FF2B5EF4-FFF2-40B4-BE49-F238E27FC236}">
              <a16:creationId xmlns:a16="http://schemas.microsoft.com/office/drawing/2014/main" id="{00000000-0008-0000-0000-00001E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8</xdr:col>
      <xdr:colOff>190500</xdr:colOff>
      <xdr:row>461</xdr:row>
      <xdr:rowOff>95250</xdr:rowOff>
    </xdr:from>
    <xdr:to>
      <xdr:col>26</xdr:col>
      <xdr:colOff>419100</xdr:colOff>
      <xdr:row>466</xdr:row>
      <xdr:rowOff>123825</xdr:rowOff>
    </xdr:to>
    <xdr:sp macro="" textlink="">
      <xdr:nvSpPr>
        <xdr:cNvPr id="3103" name="Text Box 1055">
          <a:extLst>
            <a:ext uri="{FF2B5EF4-FFF2-40B4-BE49-F238E27FC236}">
              <a16:creationId xmlns:a16="http://schemas.microsoft.com/office/drawing/2014/main" id="{00000000-0008-0000-0000-00001F0C0000}"/>
            </a:ext>
          </a:extLst>
        </xdr:cNvPr>
        <xdr:cNvSpPr txBox="1">
          <a:spLocks noChangeArrowheads="1"/>
        </xdr:cNvSpPr>
      </xdr:nvSpPr>
      <xdr:spPr bwMode="auto">
        <a:xfrm>
          <a:off x="5067300" y="75009375"/>
          <a:ext cx="11201400" cy="838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91440" tIns="73152" rIns="91440" bIns="0" anchor="t" upright="1"/>
        <a:lstStyle/>
        <a:p>
          <a:pPr algn="ctr" rtl="0">
            <a:defRPr sz="1000"/>
          </a:pPr>
          <a:r>
            <a:rPr lang="en-US" sz="4800" b="0" i="0" u="none" strike="noStrike" baseline="0">
              <a:solidFill>
                <a:srgbClr val="FFFF99"/>
              </a:solidFill>
              <a:latin typeface="Arial"/>
              <a:cs typeface="Arial"/>
            </a:rPr>
            <a:t>Research &amp; Development Expenses</a:t>
          </a:r>
        </a:p>
      </xdr:txBody>
    </xdr:sp>
    <xdr:clientData/>
  </xdr:twoCellAnchor>
  <xdr:twoCellAnchor>
    <xdr:from>
      <xdr:col>8</xdr:col>
      <xdr:colOff>381000</xdr:colOff>
      <xdr:row>468</xdr:row>
      <xdr:rowOff>95250</xdr:rowOff>
    </xdr:from>
    <xdr:to>
      <xdr:col>26</xdr:col>
      <xdr:colOff>381000</xdr:colOff>
      <xdr:row>496</xdr:row>
      <xdr:rowOff>133350</xdr:rowOff>
    </xdr:to>
    <xdr:graphicFrame macro="[0]!GotoChart22">
      <xdr:nvGraphicFramePr>
        <xdr:cNvPr id="3104" name="Chart 1056">
          <a:extLst>
            <a:ext uri="{FF2B5EF4-FFF2-40B4-BE49-F238E27FC236}">
              <a16:creationId xmlns:a16="http://schemas.microsoft.com/office/drawing/2014/main" id="{00000000-0008-0000-0000-000020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5</xdr:col>
      <xdr:colOff>476250</xdr:colOff>
      <xdr:row>497</xdr:row>
      <xdr:rowOff>95250</xdr:rowOff>
    </xdr:from>
    <xdr:to>
      <xdr:col>17</xdr:col>
      <xdr:colOff>19050</xdr:colOff>
      <xdr:row>525</xdr:row>
      <xdr:rowOff>133350</xdr:rowOff>
    </xdr:to>
    <xdr:graphicFrame macro="[0]!GotoChart23">
      <xdr:nvGraphicFramePr>
        <xdr:cNvPr id="3105" name="Chart 1057">
          <a:extLst>
            <a:ext uri="{FF2B5EF4-FFF2-40B4-BE49-F238E27FC236}">
              <a16:creationId xmlns:a16="http://schemas.microsoft.com/office/drawing/2014/main" id="{00000000-0008-0000-0000-000021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18</xdr:col>
      <xdr:colOff>95250</xdr:colOff>
      <xdr:row>497</xdr:row>
      <xdr:rowOff>95250</xdr:rowOff>
    </xdr:from>
    <xdr:to>
      <xdr:col>29</xdr:col>
      <xdr:colOff>247650</xdr:colOff>
      <xdr:row>525</xdr:row>
      <xdr:rowOff>133350</xdr:rowOff>
    </xdr:to>
    <xdr:graphicFrame macro="[0]!GotoChart24">
      <xdr:nvGraphicFramePr>
        <xdr:cNvPr id="3106" name="Chart 1058">
          <a:extLst>
            <a:ext uri="{FF2B5EF4-FFF2-40B4-BE49-F238E27FC236}">
              <a16:creationId xmlns:a16="http://schemas.microsoft.com/office/drawing/2014/main" id="{00000000-0008-0000-0000-000022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8</xdr:col>
      <xdr:colOff>209550</xdr:colOff>
      <xdr:row>16</xdr:row>
      <xdr:rowOff>85725</xdr:rowOff>
    </xdr:from>
    <xdr:to>
      <xdr:col>26</xdr:col>
      <xdr:colOff>438150</xdr:colOff>
      <xdr:row>21</xdr:row>
      <xdr:rowOff>114300</xdr:rowOff>
    </xdr:to>
    <xdr:sp macro="" textlink="">
      <xdr:nvSpPr>
        <xdr:cNvPr id="3108" name="Text Box 1060">
          <a:extLst>
            <a:ext uri="{FF2B5EF4-FFF2-40B4-BE49-F238E27FC236}">
              <a16:creationId xmlns:a16="http://schemas.microsoft.com/office/drawing/2014/main" id="{00000000-0008-0000-0000-0000240C0000}"/>
            </a:ext>
          </a:extLst>
        </xdr:cNvPr>
        <xdr:cNvSpPr txBox="1">
          <a:spLocks noChangeArrowheads="1"/>
        </xdr:cNvSpPr>
      </xdr:nvSpPr>
      <xdr:spPr bwMode="auto">
        <a:xfrm>
          <a:off x="5086350" y="2676525"/>
          <a:ext cx="11201400" cy="8382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91440" tIns="86868" rIns="91440" bIns="0" anchor="t" upright="1"/>
        <a:lstStyle/>
        <a:p>
          <a:pPr algn="ctr" rtl="0">
            <a:defRPr sz="1000"/>
          </a:pPr>
          <a:r>
            <a:rPr lang="en-US" sz="5000" b="0" i="0" u="none" strike="noStrike" baseline="0">
              <a:solidFill>
                <a:srgbClr val="FF0000"/>
              </a:solidFill>
              <a:latin typeface="Times New Roman"/>
              <a:cs typeface="Times New Roman"/>
            </a:rPr>
            <a:t>Financial Summary</a:t>
          </a:r>
        </a:p>
      </xdr:txBody>
    </xdr:sp>
    <xdr:clientData/>
  </xdr:twoCellAnchor>
  <xdr:twoCellAnchor>
    <xdr:from>
      <xdr:col>8</xdr:col>
      <xdr:colOff>381000</xdr:colOff>
      <xdr:row>26</xdr:row>
      <xdr:rowOff>85725</xdr:rowOff>
    </xdr:from>
    <xdr:to>
      <xdr:col>26</xdr:col>
      <xdr:colOff>381000</xdr:colOff>
      <xdr:row>54</xdr:row>
      <xdr:rowOff>123825</xdr:rowOff>
    </xdr:to>
    <xdr:graphicFrame macro="[0]!Chart1059_Click">
      <xdr:nvGraphicFramePr>
        <xdr:cNvPr id="3107" name="Chart 1059">
          <a:extLst>
            <a:ext uri="{FF2B5EF4-FFF2-40B4-BE49-F238E27FC236}">
              <a16:creationId xmlns:a16="http://schemas.microsoft.com/office/drawing/2014/main" id="{00000000-0008-0000-0000-0000230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161925</xdr:colOff>
      <xdr:row>3</xdr:row>
      <xdr:rowOff>0</xdr:rowOff>
    </xdr:to>
    <xdr:pic>
      <xdr:nvPicPr>
        <xdr:cNvPr id="16386" name="Picture 2">
          <a:extLst>
            <a:ext uri="{FF2B5EF4-FFF2-40B4-BE49-F238E27FC236}">
              <a16:creationId xmlns:a16="http://schemas.microsoft.com/office/drawing/2014/main" id="{00000000-0008-0000-0200-0000024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71525" cy="48577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 fPrintsWithSheet="0"/>
  </xdr:twoCellAnchor>
  <xdr:twoCellAnchor>
    <xdr:from>
      <xdr:col>0</xdr:col>
      <xdr:colOff>285750</xdr:colOff>
      <xdr:row>3</xdr:row>
      <xdr:rowOff>57150</xdr:rowOff>
    </xdr:from>
    <xdr:to>
      <xdr:col>18</xdr:col>
      <xdr:colOff>285750</xdr:colOff>
      <xdr:row>31</xdr:row>
      <xdr:rowOff>95250</xdr:rowOff>
    </xdr:to>
    <xdr:graphicFrame macro="[0]!GotoDashBoard">
      <xdr:nvGraphicFramePr>
        <xdr:cNvPr id="16388" name="Chart 4">
          <a:extLst>
            <a:ext uri="{FF2B5EF4-FFF2-40B4-BE49-F238E27FC236}">
              <a16:creationId xmlns:a16="http://schemas.microsoft.com/office/drawing/2014/main" id="{00000000-0008-0000-0200-0000044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285750</xdr:colOff>
      <xdr:row>3</xdr:row>
      <xdr:rowOff>76200</xdr:rowOff>
    </xdr:from>
    <xdr:to>
      <xdr:col>18</xdr:col>
      <xdr:colOff>285750</xdr:colOff>
      <xdr:row>31</xdr:row>
      <xdr:rowOff>114300</xdr:rowOff>
    </xdr:to>
    <xdr:graphicFrame macro="[0]!GotoDashBoard">
      <xdr:nvGraphicFramePr>
        <xdr:cNvPr id="17409" name="Chart 1">
          <a:extLst>
            <a:ext uri="{FF2B5EF4-FFF2-40B4-BE49-F238E27FC236}">
              <a16:creationId xmlns:a16="http://schemas.microsoft.com/office/drawing/2014/main" id="{00000000-0008-0000-0300-0000014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</xdr:col>
      <xdr:colOff>161925</xdr:colOff>
      <xdr:row>3</xdr:row>
      <xdr:rowOff>0</xdr:rowOff>
    </xdr:to>
    <xdr:pic>
      <xdr:nvPicPr>
        <xdr:cNvPr id="17410" name="Picture 2">
          <a:extLst>
            <a:ext uri="{FF2B5EF4-FFF2-40B4-BE49-F238E27FC236}">
              <a16:creationId xmlns:a16="http://schemas.microsoft.com/office/drawing/2014/main" id="{00000000-0008-0000-0300-000002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0"/>
          <a:ext cx="771525" cy="48577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 fPrintsWithSheet="0"/>
  </xdr:twoCellAnchor>
  <xdr:twoCellAnchor>
    <xdr:from>
      <xdr:col>0</xdr:col>
      <xdr:colOff>0</xdr:colOff>
      <xdr:row>0</xdr:row>
      <xdr:rowOff>0</xdr:rowOff>
    </xdr:from>
    <xdr:to>
      <xdr:col>1</xdr:col>
      <xdr:colOff>161925</xdr:colOff>
      <xdr:row>3</xdr:row>
      <xdr:rowOff>0</xdr:rowOff>
    </xdr:to>
    <xdr:pic>
      <xdr:nvPicPr>
        <xdr:cNvPr id="17411" name="Picture 3">
          <a:extLst>
            <a:ext uri="{FF2B5EF4-FFF2-40B4-BE49-F238E27FC236}">
              <a16:creationId xmlns:a16="http://schemas.microsoft.com/office/drawing/2014/main" id="{00000000-0008-0000-0300-0000034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0"/>
          <a:ext cx="771525" cy="48577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533400</xdr:colOff>
      <xdr:row>3</xdr:row>
      <xdr:rowOff>133350</xdr:rowOff>
    </xdr:from>
    <xdr:to>
      <xdr:col>15</xdr:col>
      <xdr:colOff>76200</xdr:colOff>
      <xdr:row>32</xdr:row>
      <xdr:rowOff>9525</xdr:rowOff>
    </xdr:to>
    <xdr:graphicFrame macro="[0]!GotoDashBoard">
      <xdr:nvGraphicFramePr>
        <xdr:cNvPr id="19457" name="Chart 1">
          <a:extLst>
            <a:ext uri="{FF2B5EF4-FFF2-40B4-BE49-F238E27FC236}">
              <a16:creationId xmlns:a16="http://schemas.microsoft.com/office/drawing/2014/main" id="{00000000-0008-0000-0400-0000014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</xdr:col>
      <xdr:colOff>161925</xdr:colOff>
      <xdr:row>3</xdr:row>
      <xdr:rowOff>0</xdr:rowOff>
    </xdr:to>
    <xdr:pic>
      <xdr:nvPicPr>
        <xdr:cNvPr id="19458" name="Picture 2">
          <a:extLst>
            <a:ext uri="{FF2B5EF4-FFF2-40B4-BE49-F238E27FC236}">
              <a16:creationId xmlns:a16="http://schemas.microsoft.com/office/drawing/2014/main" id="{00000000-0008-0000-0400-000002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0"/>
          <a:ext cx="771525" cy="48577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 fPrintsWithSheet="0"/>
  </xdr:twoCellAnchor>
  <xdr:twoCellAnchor>
    <xdr:from>
      <xdr:col>0</xdr:col>
      <xdr:colOff>0</xdr:colOff>
      <xdr:row>0</xdr:row>
      <xdr:rowOff>0</xdr:rowOff>
    </xdr:from>
    <xdr:to>
      <xdr:col>1</xdr:col>
      <xdr:colOff>161925</xdr:colOff>
      <xdr:row>3</xdr:row>
      <xdr:rowOff>0</xdr:rowOff>
    </xdr:to>
    <xdr:pic>
      <xdr:nvPicPr>
        <xdr:cNvPr id="19459" name="Picture 3">
          <a:extLst>
            <a:ext uri="{FF2B5EF4-FFF2-40B4-BE49-F238E27FC236}">
              <a16:creationId xmlns:a16="http://schemas.microsoft.com/office/drawing/2014/main" id="{00000000-0008-0000-0400-0000034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0" y="0"/>
          <a:ext cx="771525" cy="48577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161925</xdr:colOff>
      <xdr:row>3</xdr:row>
      <xdr:rowOff>0</xdr:rowOff>
    </xdr:to>
    <xdr:pic>
      <xdr:nvPicPr>
        <xdr:cNvPr id="20481" name="Picture 1">
          <a:extLst>
            <a:ext uri="{FF2B5EF4-FFF2-40B4-BE49-F238E27FC236}">
              <a16:creationId xmlns:a16="http://schemas.microsoft.com/office/drawing/2014/main" id="{00000000-0008-0000-0500-000001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71525" cy="48577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 fPrintsWithSheet="0"/>
  </xdr:twoCellAnchor>
  <xdr:twoCellAnchor>
    <xdr:from>
      <xdr:col>3</xdr:col>
      <xdr:colOff>533400</xdr:colOff>
      <xdr:row>3</xdr:row>
      <xdr:rowOff>133350</xdr:rowOff>
    </xdr:from>
    <xdr:to>
      <xdr:col>15</xdr:col>
      <xdr:colOff>76200</xdr:colOff>
      <xdr:row>32</xdr:row>
      <xdr:rowOff>9525</xdr:rowOff>
    </xdr:to>
    <xdr:graphicFrame macro="[0]!GotoDashBoard">
      <xdr:nvGraphicFramePr>
        <xdr:cNvPr id="20482" name="Chart 2">
          <a:extLst>
            <a:ext uri="{FF2B5EF4-FFF2-40B4-BE49-F238E27FC236}">
              <a16:creationId xmlns:a16="http://schemas.microsoft.com/office/drawing/2014/main" id="{00000000-0008-0000-0500-0000025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0</xdr:colOff>
      <xdr:row>0</xdr:row>
      <xdr:rowOff>0</xdr:rowOff>
    </xdr:from>
    <xdr:to>
      <xdr:col>1</xdr:col>
      <xdr:colOff>161925</xdr:colOff>
      <xdr:row>3</xdr:row>
      <xdr:rowOff>0</xdr:rowOff>
    </xdr:to>
    <xdr:pic>
      <xdr:nvPicPr>
        <xdr:cNvPr id="20483" name="Picture 3">
          <a:extLst>
            <a:ext uri="{FF2B5EF4-FFF2-40B4-BE49-F238E27FC236}">
              <a16:creationId xmlns:a16="http://schemas.microsoft.com/office/drawing/2014/main" id="{00000000-0008-0000-0500-0000035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71525" cy="48577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161925</xdr:colOff>
      <xdr:row>3</xdr:row>
      <xdr:rowOff>0</xdr:rowOff>
    </xdr:to>
    <xdr:pic>
      <xdr:nvPicPr>
        <xdr:cNvPr id="21505" name="Picture 1">
          <a:extLst>
            <a:ext uri="{FF2B5EF4-FFF2-40B4-BE49-F238E27FC236}">
              <a16:creationId xmlns:a16="http://schemas.microsoft.com/office/drawing/2014/main" id="{00000000-0008-0000-0600-0000015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71525" cy="48577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 fPrintsWithSheet="0"/>
  </xdr:twoCellAnchor>
  <xdr:twoCellAnchor>
    <xdr:from>
      <xdr:col>0</xdr:col>
      <xdr:colOff>0</xdr:colOff>
      <xdr:row>0</xdr:row>
      <xdr:rowOff>0</xdr:rowOff>
    </xdr:from>
    <xdr:to>
      <xdr:col>1</xdr:col>
      <xdr:colOff>161925</xdr:colOff>
      <xdr:row>3</xdr:row>
      <xdr:rowOff>0</xdr:rowOff>
    </xdr:to>
    <xdr:pic>
      <xdr:nvPicPr>
        <xdr:cNvPr id="21506" name="Picture 2">
          <a:extLst>
            <a:ext uri="{FF2B5EF4-FFF2-40B4-BE49-F238E27FC236}">
              <a16:creationId xmlns:a16="http://schemas.microsoft.com/office/drawing/2014/main" id="{00000000-0008-0000-0600-0000025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71525" cy="48577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 fPrintsWithSheet="0"/>
  </xdr:twoCellAnchor>
  <xdr:twoCellAnchor>
    <xdr:from>
      <xdr:col>3</xdr:col>
      <xdr:colOff>533400</xdr:colOff>
      <xdr:row>3</xdr:row>
      <xdr:rowOff>133350</xdr:rowOff>
    </xdr:from>
    <xdr:to>
      <xdr:col>15</xdr:col>
      <xdr:colOff>76200</xdr:colOff>
      <xdr:row>32</xdr:row>
      <xdr:rowOff>9525</xdr:rowOff>
    </xdr:to>
    <xdr:graphicFrame macro="[0]!GotoDashBoard">
      <xdr:nvGraphicFramePr>
        <xdr:cNvPr id="21508" name="Chart 4">
          <a:extLst>
            <a:ext uri="{FF2B5EF4-FFF2-40B4-BE49-F238E27FC236}">
              <a16:creationId xmlns:a16="http://schemas.microsoft.com/office/drawing/2014/main" id="{00000000-0008-0000-0600-0000045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161925</xdr:colOff>
      <xdr:row>3</xdr:row>
      <xdr:rowOff>0</xdr:rowOff>
    </xdr:to>
    <xdr:pic>
      <xdr:nvPicPr>
        <xdr:cNvPr id="23553" name="Picture 1">
          <a:extLst>
            <a:ext uri="{FF2B5EF4-FFF2-40B4-BE49-F238E27FC236}">
              <a16:creationId xmlns:a16="http://schemas.microsoft.com/office/drawing/2014/main" id="{00000000-0008-0000-0700-000001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71525" cy="48577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 fPrintsWithSheet="0"/>
  </xdr:twoCellAnchor>
  <xdr:twoCellAnchor>
    <xdr:from>
      <xdr:col>0</xdr:col>
      <xdr:colOff>0</xdr:colOff>
      <xdr:row>0</xdr:row>
      <xdr:rowOff>0</xdr:rowOff>
    </xdr:from>
    <xdr:to>
      <xdr:col>1</xdr:col>
      <xdr:colOff>161925</xdr:colOff>
      <xdr:row>3</xdr:row>
      <xdr:rowOff>0</xdr:rowOff>
    </xdr:to>
    <xdr:pic>
      <xdr:nvPicPr>
        <xdr:cNvPr id="23554" name="Picture 2">
          <a:extLst>
            <a:ext uri="{FF2B5EF4-FFF2-40B4-BE49-F238E27FC236}">
              <a16:creationId xmlns:a16="http://schemas.microsoft.com/office/drawing/2014/main" id="{00000000-0008-0000-0700-0000025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71525" cy="48577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 fPrintsWithSheet="0"/>
  </xdr:twoCellAnchor>
  <xdr:twoCellAnchor>
    <xdr:from>
      <xdr:col>3</xdr:col>
      <xdr:colOff>542925</xdr:colOff>
      <xdr:row>3</xdr:row>
      <xdr:rowOff>152400</xdr:rowOff>
    </xdr:from>
    <xdr:to>
      <xdr:col>15</xdr:col>
      <xdr:colOff>85725</xdr:colOff>
      <xdr:row>32</xdr:row>
      <xdr:rowOff>28575</xdr:rowOff>
    </xdr:to>
    <xdr:graphicFrame macro="[0]!GotoDashBoard">
      <xdr:nvGraphicFramePr>
        <xdr:cNvPr id="23556" name="Chart 4">
          <a:extLst>
            <a:ext uri="{FF2B5EF4-FFF2-40B4-BE49-F238E27FC236}">
              <a16:creationId xmlns:a16="http://schemas.microsoft.com/office/drawing/2014/main" id="{00000000-0008-0000-0700-0000045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161925</xdr:colOff>
      <xdr:row>3</xdr:row>
      <xdr:rowOff>0</xdr:rowOff>
    </xdr:to>
    <xdr:pic>
      <xdr:nvPicPr>
        <xdr:cNvPr id="24577" name="Picture 1">
          <a:extLst>
            <a:ext uri="{FF2B5EF4-FFF2-40B4-BE49-F238E27FC236}">
              <a16:creationId xmlns:a16="http://schemas.microsoft.com/office/drawing/2014/main" id="{00000000-0008-0000-0800-0000016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71525" cy="48577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 fPrintsWithSheet="0"/>
  </xdr:twoCellAnchor>
  <xdr:twoCellAnchor>
    <xdr:from>
      <xdr:col>0</xdr:col>
      <xdr:colOff>0</xdr:colOff>
      <xdr:row>0</xdr:row>
      <xdr:rowOff>0</xdr:rowOff>
    </xdr:from>
    <xdr:to>
      <xdr:col>1</xdr:col>
      <xdr:colOff>161925</xdr:colOff>
      <xdr:row>3</xdr:row>
      <xdr:rowOff>0</xdr:rowOff>
    </xdr:to>
    <xdr:pic>
      <xdr:nvPicPr>
        <xdr:cNvPr id="24578" name="Picture 2">
          <a:extLst>
            <a:ext uri="{FF2B5EF4-FFF2-40B4-BE49-F238E27FC236}">
              <a16:creationId xmlns:a16="http://schemas.microsoft.com/office/drawing/2014/main" id="{00000000-0008-0000-0800-0000026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71525" cy="48577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 fPrintsWithSheet="0"/>
  </xdr:twoCellAnchor>
  <xdr:twoCellAnchor>
    <xdr:from>
      <xdr:col>3</xdr:col>
      <xdr:colOff>533400</xdr:colOff>
      <xdr:row>3</xdr:row>
      <xdr:rowOff>152400</xdr:rowOff>
    </xdr:from>
    <xdr:to>
      <xdr:col>15</xdr:col>
      <xdr:colOff>76200</xdr:colOff>
      <xdr:row>32</xdr:row>
      <xdr:rowOff>28575</xdr:rowOff>
    </xdr:to>
    <xdr:graphicFrame macro="[0]!GotoDashBoard">
      <xdr:nvGraphicFramePr>
        <xdr:cNvPr id="24580" name="Chart 4">
          <a:extLst>
            <a:ext uri="{FF2B5EF4-FFF2-40B4-BE49-F238E27FC236}">
              <a16:creationId xmlns:a16="http://schemas.microsoft.com/office/drawing/2014/main" id="{00000000-0008-0000-0800-0000046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161925</xdr:colOff>
      <xdr:row>3</xdr:row>
      <xdr:rowOff>0</xdr:rowOff>
    </xdr:to>
    <xdr:pic>
      <xdr:nvPicPr>
        <xdr:cNvPr id="25601" name="Picture 1">
          <a:extLst>
            <a:ext uri="{FF2B5EF4-FFF2-40B4-BE49-F238E27FC236}">
              <a16:creationId xmlns:a16="http://schemas.microsoft.com/office/drawing/2014/main" id="{00000000-0008-0000-0900-0000016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71525" cy="48577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 fPrintsWithSheet="0"/>
  </xdr:twoCellAnchor>
  <xdr:twoCellAnchor>
    <xdr:from>
      <xdr:col>0</xdr:col>
      <xdr:colOff>0</xdr:colOff>
      <xdr:row>0</xdr:row>
      <xdr:rowOff>0</xdr:rowOff>
    </xdr:from>
    <xdr:to>
      <xdr:col>1</xdr:col>
      <xdr:colOff>161925</xdr:colOff>
      <xdr:row>3</xdr:row>
      <xdr:rowOff>0</xdr:rowOff>
    </xdr:to>
    <xdr:pic>
      <xdr:nvPicPr>
        <xdr:cNvPr id="25602" name="Picture 2">
          <a:extLst>
            <a:ext uri="{FF2B5EF4-FFF2-40B4-BE49-F238E27FC236}">
              <a16:creationId xmlns:a16="http://schemas.microsoft.com/office/drawing/2014/main" id="{00000000-0008-0000-0900-0000026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71525" cy="48577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 fPrintsWithSheet="0"/>
  </xdr:twoCellAnchor>
  <xdr:twoCellAnchor>
    <xdr:from>
      <xdr:col>3</xdr:col>
      <xdr:colOff>533400</xdr:colOff>
      <xdr:row>3</xdr:row>
      <xdr:rowOff>152400</xdr:rowOff>
    </xdr:from>
    <xdr:to>
      <xdr:col>15</xdr:col>
      <xdr:colOff>76200</xdr:colOff>
      <xdr:row>32</xdr:row>
      <xdr:rowOff>28575</xdr:rowOff>
    </xdr:to>
    <xdr:graphicFrame macro="[0]!GotoDashBoard">
      <xdr:nvGraphicFramePr>
        <xdr:cNvPr id="25604" name="Chart 4">
          <a:extLst>
            <a:ext uri="{FF2B5EF4-FFF2-40B4-BE49-F238E27FC236}">
              <a16:creationId xmlns:a16="http://schemas.microsoft.com/office/drawing/2014/main" id="{00000000-0008-0000-0900-0000046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161925</xdr:colOff>
      <xdr:row>3</xdr:row>
      <xdr:rowOff>0</xdr:rowOff>
    </xdr:to>
    <xdr:pic>
      <xdr:nvPicPr>
        <xdr:cNvPr id="27649" name="Picture 1">
          <a:extLst>
            <a:ext uri="{FF2B5EF4-FFF2-40B4-BE49-F238E27FC236}">
              <a16:creationId xmlns:a16="http://schemas.microsoft.com/office/drawing/2014/main" id="{00000000-0008-0000-0A00-0000016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71525" cy="48577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 fPrintsWithSheet="0"/>
  </xdr:twoCellAnchor>
  <xdr:twoCellAnchor>
    <xdr:from>
      <xdr:col>0</xdr:col>
      <xdr:colOff>0</xdr:colOff>
      <xdr:row>0</xdr:row>
      <xdr:rowOff>0</xdr:rowOff>
    </xdr:from>
    <xdr:to>
      <xdr:col>1</xdr:col>
      <xdr:colOff>161925</xdr:colOff>
      <xdr:row>3</xdr:row>
      <xdr:rowOff>0</xdr:rowOff>
    </xdr:to>
    <xdr:pic>
      <xdr:nvPicPr>
        <xdr:cNvPr id="27650" name="Picture 2">
          <a:extLst>
            <a:ext uri="{FF2B5EF4-FFF2-40B4-BE49-F238E27FC236}">
              <a16:creationId xmlns:a16="http://schemas.microsoft.com/office/drawing/2014/main" id="{00000000-0008-0000-0A00-0000026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71525" cy="48577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 fPrintsWithSheet="0"/>
  </xdr:twoCellAnchor>
  <xdr:twoCellAnchor>
    <xdr:from>
      <xdr:col>0</xdr:col>
      <xdr:colOff>285750</xdr:colOff>
      <xdr:row>3</xdr:row>
      <xdr:rowOff>28575</xdr:rowOff>
    </xdr:from>
    <xdr:to>
      <xdr:col>18</xdr:col>
      <xdr:colOff>285750</xdr:colOff>
      <xdr:row>31</xdr:row>
      <xdr:rowOff>66675</xdr:rowOff>
    </xdr:to>
    <xdr:graphicFrame macro="[0]!GotoDashBoard">
      <xdr:nvGraphicFramePr>
        <xdr:cNvPr id="27652" name="Chart 4">
          <a:extLst>
            <a:ext uri="{FF2B5EF4-FFF2-40B4-BE49-F238E27FC236}">
              <a16:creationId xmlns:a16="http://schemas.microsoft.com/office/drawing/2014/main" id="{00000000-0008-0000-0A00-0000046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161925</xdr:colOff>
      <xdr:row>3</xdr:row>
      <xdr:rowOff>0</xdr:rowOff>
    </xdr:to>
    <xdr:pic>
      <xdr:nvPicPr>
        <xdr:cNvPr id="28673" name="Picture 1">
          <a:extLst>
            <a:ext uri="{FF2B5EF4-FFF2-40B4-BE49-F238E27FC236}">
              <a16:creationId xmlns:a16="http://schemas.microsoft.com/office/drawing/2014/main" id="{00000000-0008-0000-0B00-000001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71525" cy="48577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 fPrintsWithSheet="0"/>
  </xdr:twoCellAnchor>
  <xdr:twoCellAnchor>
    <xdr:from>
      <xdr:col>0</xdr:col>
      <xdr:colOff>0</xdr:colOff>
      <xdr:row>0</xdr:row>
      <xdr:rowOff>0</xdr:rowOff>
    </xdr:from>
    <xdr:to>
      <xdr:col>1</xdr:col>
      <xdr:colOff>161925</xdr:colOff>
      <xdr:row>3</xdr:row>
      <xdr:rowOff>0</xdr:rowOff>
    </xdr:to>
    <xdr:pic>
      <xdr:nvPicPr>
        <xdr:cNvPr id="28674" name="Picture 2">
          <a:extLst>
            <a:ext uri="{FF2B5EF4-FFF2-40B4-BE49-F238E27FC236}">
              <a16:creationId xmlns:a16="http://schemas.microsoft.com/office/drawing/2014/main" id="{00000000-0008-0000-0B00-0000027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71525" cy="48577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 fPrintsWithSheet="0"/>
  </xdr:twoCellAnchor>
  <xdr:twoCellAnchor>
    <xdr:from>
      <xdr:col>3</xdr:col>
      <xdr:colOff>533400</xdr:colOff>
      <xdr:row>3</xdr:row>
      <xdr:rowOff>152400</xdr:rowOff>
    </xdr:from>
    <xdr:to>
      <xdr:col>15</xdr:col>
      <xdr:colOff>76200</xdr:colOff>
      <xdr:row>32</xdr:row>
      <xdr:rowOff>28575</xdr:rowOff>
    </xdr:to>
    <xdr:graphicFrame macro="[0]!GotoDashBoard">
      <xdr:nvGraphicFramePr>
        <xdr:cNvPr id="28676" name="Chart 4">
          <a:extLst>
            <a:ext uri="{FF2B5EF4-FFF2-40B4-BE49-F238E27FC236}">
              <a16:creationId xmlns:a16="http://schemas.microsoft.com/office/drawing/2014/main" id="{00000000-0008-0000-0B00-0000047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161925</xdr:colOff>
      <xdr:row>3</xdr:row>
      <xdr:rowOff>0</xdr:rowOff>
    </xdr:to>
    <xdr:pic>
      <xdr:nvPicPr>
        <xdr:cNvPr id="29697" name="Picture 1">
          <a:extLst>
            <a:ext uri="{FF2B5EF4-FFF2-40B4-BE49-F238E27FC236}">
              <a16:creationId xmlns:a16="http://schemas.microsoft.com/office/drawing/2014/main" id="{00000000-0008-0000-0C00-0000017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71525" cy="48577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 fPrintsWithSheet="0"/>
  </xdr:twoCellAnchor>
  <xdr:twoCellAnchor>
    <xdr:from>
      <xdr:col>0</xdr:col>
      <xdr:colOff>0</xdr:colOff>
      <xdr:row>0</xdr:row>
      <xdr:rowOff>0</xdr:rowOff>
    </xdr:from>
    <xdr:to>
      <xdr:col>1</xdr:col>
      <xdr:colOff>161925</xdr:colOff>
      <xdr:row>3</xdr:row>
      <xdr:rowOff>0</xdr:rowOff>
    </xdr:to>
    <xdr:pic>
      <xdr:nvPicPr>
        <xdr:cNvPr id="29698" name="Picture 2">
          <a:extLst>
            <a:ext uri="{FF2B5EF4-FFF2-40B4-BE49-F238E27FC236}">
              <a16:creationId xmlns:a16="http://schemas.microsoft.com/office/drawing/2014/main" id="{00000000-0008-0000-0C00-0000027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71525" cy="48577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 fPrintsWithSheet="0"/>
  </xdr:twoCellAnchor>
  <xdr:twoCellAnchor>
    <xdr:from>
      <xdr:col>3</xdr:col>
      <xdr:colOff>533400</xdr:colOff>
      <xdr:row>3</xdr:row>
      <xdr:rowOff>152400</xdr:rowOff>
    </xdr:from>
    <xdr:to>
      <xdr:col>15</xdr:col>
      <xdr:colOff>76200</xdr:colOff>
      <xdr:row>32</xdr:row>
      <xdr:rowOff>28575</xdr:rowOff>
    </xdr:to>
    <xdr:graphicFrame macro="[0]!GotoDashBoard">
      <xdr:nvGraphicFramePr>
        <xdr:cNvPr id="29700" name="Chart 4">
          <a:extLst>
            <a:ext uri="{FF2B5EF4-FFF2-40B4-BE49-F238E27FC236}">
              <a16:creationId xmlns:a16="http://schemas.microsoft.com/office/drawing/2014/main" id="{00000000-0008-0000-0C00-0000047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161925</xdr:colOff>
      <xdr:row>3</xdr:row>
      <xdr:rowOff>0</xdr:rowOff>
    </xdr:to>
    <xdr:pic>
      <xdr:nvPicPr>
        <xdr:cNvPr id="30721" name="Picture 1">
          <a:extLst>
            <a:ext uri="{FF2B5EF4-FFF2-40B4-BE49-F238E27FC236}">
              <a16:creationId xmlns:a16="http://schemas.microsoft.com/office/drawing/2014/main" id="{00000000-0008-0000-0D00-0000017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71525" cy="48577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 fPrintsWithSheet="0"/>
  </xdr:twoCellAnchor>
  <xdr:twoCellAnchor>
    <xdr:from>
      <xdr:col>0</xdr:col>
      <xdr:colOff>0</xdr:colOff>
      <xdr:row>0</xdr:row>
      <xdr:rowOff>0</xdr:rowOff>
    </xdr:from>
    <xdr:to>
      <xdr:col>1</xdr:col>
      <xdr:colOff>161925</xdr:colOff>
      <xdr:row>3</xdr:row>
      <xdr:rowOff>0</xdr:rowOff>
    </xdr:to>
    <xdr:pic>
      <xdr:nvPicPr>
        <xdr:cNvPr id="30722" name="Picture 2">
          <a:extLst>
            <a:ext uri="{FF2B5EF4-FFF2-40B4-BE49-F238E27FC236}">
              <a16:creationId xmlns:a16="http://schemas.microsoft.com/office/drawing/2014/main" id="{00000000-0008-0000-0D00-0000027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71525" cy="48577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 fPrintsWithSheet="0"/>
  </xdr:twoCellAnchor>
  <xdr:twoCellAnchor>
    <xdr:from>
      <xdr:col>3</xdr:col>
      <xdr:colOff>533400</xdr:colOff>
      <xdr:row>3</xdr:row>
      <xdr:rowOff>152400</xdr:rowOff>
    </xdr:from>
    <xdr:to>
      <xdr:col>15</xdr:col>
      <xdr:colOff>76200</xdr:colOff>
      <xdr:row>32</xdr:row>
      <xdr:rowOff>28575</xdr:rowOff>
    </xdr:to>
    <xdr:graphicFrame macro="[0]!GotoDashBoard">
      <xdr:nvGraphicFramePr>
        <xdr:cNvPr id="30724" name="Chart 4">
          <a:extLst>
            <a:ext uri="{FF2B5EF4-FFF2-40B4-BE49-F238E27FC236}">
              <a16:creationId xmlns:a16="http://schemas.microsoft.com/office/drawing/2014/main" id="{00000000-0008-0000-0D00-0000047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161925</xdr:colOff>
      <xdr:row>3</xdr:row>
      <xdr:rowOff>0</xdr:rowOff>
    </xdr:to>
    <xdr:pic>
      <xdr:nvPicPr>
        <xdr:cNvPr id="32769" name="Picture 1">
          <a:extLst>
            <a:ext uri="{FF2B5EF4-FFF2-40B4-BE49-F238E27FC236}">
              <a16:creationId xmlns:a16="http://schemas.microsoft.com/office/drawing/2014/main" id="{00000000-0008-0000-0E00-000001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71525" cy="48577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 fPrintsWithSheet="0"/>
  </xdr:twoCellAnchor>
  <xdr:twoCellAnchor>
    <xdr:from>
      <xdr:col>0</xdr:col>
      <xdr:colOff>0</xdr:colOff>
      <xdr:row>0</xdr:row>
      <xdr:rowOff>0</xdr:rowOff>
    </xdr:from>
    <xdr:to>
      <xdr:col>1</xdr:col>
      <xdr:colOff>161925</xdr:colOff>
      <xdr:row>3</xdr:row>
      <xdr:rowOff>0</xdr:rowOff>
    </xdr:to>
    <xdr:pic>
      <xdr:nvPicPr>
        <xdr:cNvPr id="32770" name="Picture 2">
          <a:extLst>
            <a:ext uri="{FF2B5EF4-FFF2-40B4-BE49-F238E27FC236}">
              <a16:creationId xmlns:a16="http://schemas.microsoft.com/office/drawing/2014/main" id="{00000000-0008-0000-0E00-0000028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71525" cy="48577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 fPrintsWithSheet="0"/>
  </xdr:twoCellAnchor>
  <xdr:twoCellAnchor>
    <xdr:from>
      <xdr:col>0</xdr:col>
      <xdr:colOff>285750</xdr:colOff>
      <xdr:row>3</xdr:row>
      <xdr:rowOff>57150</xdr:rowOff>
    </xdr:from>
    <xdr:to>
      <xdr:col>18</xdr:col>
      <xdr:colOff>285750</xdr:colOff>
      <xdr:row>31</xdr:row>
      <xdr:rowOff>95250</xdr:rowOff>
    </xdr:to>
    <xdr:graphicFrame macro="[0]!GotoDashBoard">
      <xdr:nvGraphicFramePr>
        <xdr:cNvPr id="32772" name="Chart 4">
          <a:extLst>
            <a:ext uri="{FF2B5EF4-FFF2-40B4-BE49-F238E27FC236}">
              <a16:creationId xmlns:a16="http://schemas.microsoft.com/office/drawing/2014/main" id="{00000000-0008-0000-0E00-0000048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161925</xdr:colOff>
      <xdr:row>3</xdr:row>
      <xdr:rowOff>0</xdr:rowOff>
    </xdr:to>
    <xdr:pic>
      <xdr:nvPicPr>
        <xdr:cNvPr id="33793" name="Picture 1">
          <a:extLst>
            <a:ext uri="{FF2B5EF4-FFF2-40B4-BE49-F238E27FC236}">
              <a16:creationId xmlns:a16="http://schemas.microsoft.com/office/drawing/2014/main" id="{00000000-0008-0000-0F00-000001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71525" cy="48577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 fPrintsWithSheet="0"/>
  </xdr:twoCellAnchor>
  <xdr:twoCellAnchor>
    <xdr:from>
      <xdr:col>0</xdr:col>
      <xdr:colOff>0</xdr:colOff>
      <xdr:row>0</xdr:row>
      <xdr:rowOff>0</xdr:rowOff>
    </xdr:from>
    <xdr:to>
      <xdr:col>1</xdr:col>
      <xdr:colOff>161925</xdr:colOff>
      <xdr:row>3</xdr:row>
      <xdr:rowOff>0</xdr:rowOff>
    </xdr:to>
    <xdr:pic>
      <xdr:nvPicPr>
        <xdr:cNvPr id="33794" name="Picture 2">
          <a:extLst>
            <a:ext uri="{FF2B5EF4-FFF2-40B4-BE49-F238E27FC236}">
              <a16:creationId xmlns:a16="http://schemas.microsoft.com/office/drawing/2014/main" id="{00000000-0008-0000-0F00-0000028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71525" cy="48577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 fPrintsWithSheet="0"/>
  </xdr:twoCellAnchor>
  <xdr:twoCellAnchor>
    <xdr:from>
      <xdr:col>3</xdr:col>
      <xdr:colOff>533400</xdr:colOff>
      <xdr:row>3</xdr:row>
      <xdr:rowOff>152400</xdr:rowOff>
    </xdr:from>
    <xdr:to>
      <xdr:col>15</xdr:col>
      <xdr:colOff>76200</xdr:colOff>
      <xdr:row>32</xdr:row>
      <xdr:rowOff>28575</xdr:rowOff>
    </xdr:to>
    <xdr:graphicFrame macro="[0]!GotoDashBoard">
      <xdr:nvGraphicFramePr>
        <xdr:cNvPr id="33796" name="Chart 4">
          <a:extLst>
            <a:ext uri="{FF2B5EF4-FFF2-40B4-BE49-F238E27FC236}">
              <a16:creationId xmlns:a16="http://schemas.microsoft.com/office/drawing/2014/main" id="{00000000-0008-0000-0F00-0000048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161925</xdr:colOff>
      <xdr:row>3</xdr:row>
      <xdr:rowOff>0</xdr:rowOff>
    </xdr:to>
    <xdr:pic>
      <xdr:nvPicPr>
        <xdr:cNvPr id="34817" name="Picture 1">
          <a:extLst>
            <a:ext uri="{FF2B5EF4-FFF2-40B4-BE49-F238E27FC236}">
              <a16:creationId xmlns:a16="http://schemas.microsoft.com/office/drawing/2014/main" id="{00000000-0008-0000-1000-0000018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71525" cy="48577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 fPrintsWithSheet="0"/>
  </xdr:twoCellAnchor>
  <xdr:twoCellAnchor>
    <xdr:from>
      <xdr:col>0</xdr:col>
      <xdr:colOff>0</xdr:colOff>
      <xdr:row>0</xdr:row>
      <xdr:rowOff>0</xdr:rowOff>
    </xdr:from>
    <xdr:to>
      <xdr:col>1</xdr:col>
      <xdr:colOff>161925</xdr:colOff>
      <xdr:row>3</xdr:row>
      <xdr:rowOff>0</xdr:rowOff>
    </xdr:to>
    <xdr:pic>
      <xdr:nvPicPr>
        <xdr:cNvPr id="34818" name="Picture 2">
          <a:extLst>
            <a:ext uri="{FF2B5EF4-FFF2-40B4-BE49-F238E27FC236}">
              <a16:creationId xmlns:a16="http://schemas.microsoft.com/office/drawing/2014/main" id="{00000000-0008-0000-1000-0000028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71525" cy="48577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 fPrintsWithSheet="0"/>
  </xdr:twoCellAnchor>
  <xdr:twoCellAnchor>
    <xdr:from>
      <xdr:col>3</xdr:col>
      <xdr:colOff>533400</xdr:colOff>
      <xdr:row>3</xdr:row>
      <xdr:rowOff>152400</xdr:rowOff>
    </xdr:from>
    <xdr:to>
      <xdr:col>15</xdr:col>
      <xdr:colOff>76200</xdr:colOff>
      <xdr:row>32</xdr:row>
      <xdr:rowOff>28575</xdr:rowOff>
    </xdr:to>
    <xdr:graphicFrame macro="[0]!GotoDashBoard">
      <xdr:nvGraphicFramePr>
        <xdr:cNvPr id="34820" name="Chart 4">
          <a:extLst>
            <a:ext uri="{FF2B5EF4-FFF2-40B4-BE49-F238E27FC236}">
              <a16:creationId xmlns:a16="http://schemas.microsoft.com/office/drawing/2014/main" id="{00000000-0008-0000-1000-0000048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161925</xdr:colOff>
      <xdr:row>3</xdr:row>
      <xdr:rowOff>0</xdr:rowOff>
    </xdr:to>
    <xdr:pic>
      <xdr:nvPicPr>
        <xdr:cNvPr id="35841" name="Picture 1">
          <a:extLst>
            <a:ext uri="{FF2B5EF4-FFF2-40B4-BE49-F238E27FC236}">
              <a16:creationId xmlns:a16="http://schemas.microsoft.com/office/drawing/2014/main" id="{00000000-0008-0000-1100-0000018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71525" cy="48577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 fPrintsWithSheet="0"/>
  </xdr:twoCellAnchor>
  <xdr:twoCellAnchor>
    <xdr:from>
      <xdr:col>0</xdr:col>
      <xdr:colOff>0</xdr:colOff>
      <xdr:row>0</xdr:row>
      <xdr:rowOff>0</xdr:rowOff>
    </xdr:from>
    <xdr:to>
      <xdr:col>1</xdr:col>
      <xdr:colOff>161925</xdr:colOff>
      <xdr:row>3</xdr:row>
      <xdr:rowOff>0</xdr:rowOff>
    </xdr:to>
    <xdr:pic>
      <xdr:nvPicPr>
        <xdr:cNvPr id="35842" name="Picture 2">
          <a:extLst>
            <a:ext uri="{FF2B5EF4-FFF2-40B4-BE49-F238E27FC236}">
              <a16:creationId xmlns:a16="http://schemas.microsoft.com/office/drawing/2014/main" id="{00000000-0008-0000-1100-0000028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71525" cy="48577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 fPrintsWithSheet="0"/>
  </xdr:twoCellAnchor>
  <xdr:twoCellAnchor>
    <xdr:from>
      <xdr:col>0</xdr:col>
      <xdr:colOff>276225</xdr:colOff>
      <xdr:row>3</xdr:row>
      <xdr:rowOff>47625</xdr:rowOff>
    </xdr:from>
    <xdr:to>
      <xdr:col>18</xdr:col>
      <xdr:colOff>276225</xdr:colOff>
      <xdr:row>31</xdr:row>
      <xdr:rowOff>85725</xdr:rowOff>
    </xdr:to>
    <xdr:graphicFrame macro="[0]!GotoDashBoard">
      <xdr:nvGraphicFramePr>
        <xdr:cNvPr id="35844" name="Chart 4">
          <a:extLst>
            <a:ext uri="{FF2B5EF4-FFF2-40B4-BE49-F238E27FC236}">
              <a16:creationId xmlns:a16="http://schemas.microsoft.com/office/drawing/2014/main" id="{00000000-0008-0000-1100-0000048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161925</xdr:colOff>
      <xdr:row>3</xdr:row>
      <xdr:rowOff>0</xdr:rowOff>
    </xdr:to>
    <xdr:pic>
      <xdr:nvPicPr>
        <xdr:cNvPr id="36865" name="Picture 1">
          <a:extLst>
            <a:ext uri="{FF2B5EF4-FFF2-40B4-BE49-F238E27FC236}">
              <a16:creationId xmlns:a16="http://schemas.microsoft.com/office/drawing/2014/main" id="{00000000-0008-0000-1200-0000019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71525" cy="48577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 fPrintsWithSheet="0"/>
  </xdr:twoCellAnchor>
  <xdr:twoCellAnchor>
    <xdr:from>
      <xdr:col>0</xdr:col>
      <xdr:colOff>0</xdr:colOff>
      <xdr:row>0</xdr:row>
      <xdr:rowOff>0</xdr:rowOff>
    </xdr:from>
    <xdr:to>
      <xdr:col>1</xdr:col>
      <xdr:colOff>161925</xdr:colOff>
      <xdr:row>3</xdr:row>
      <xdr:rowOff>0</xdr:rowOff>
    </xdr:to>
    <xdr:pic>
      <xdr:nvPicPr>
        <xdr:cNvPr id="36866" name="Picture 2">
          <a:extLst>
            <a:ext uri="{FF2B5EF4-FFF2-40B4-BE49-F238E27FC236}">
              <a16:creationId xmlns:a16="http://schemas.microsoft.com/office/drawing/2014/main" id="{00000000-0008-0000-1200-0000029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71525" cy="48577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 fPrintsWithSheet="0"/>
  </xdr:twoCellAnchor>
  <xdr:twoCellAnchor>
    <xdr:from>
      <xdr:col>3</xdr:col>
      <xdr:colOff>533400</xdr:colOff>
      <xdr:row>3</xdr:row>
      <xdr:rowOff>152400</xdr:rowOff>
    </xdr:from>
    <xdr:to>
      <xdr:col>15</xdr:col>
      <xdr:colOff>76200</xdr:colOff>
      <xdr:row>32</xdr:row>
      <xdr:rowOff>28575</xdr:rowOff>
    </xdr:to>
    <xdr:graphicFrame macro="[0]!GotoDashBoard">
      <xdr:nvGraphicFramePr>
        <xdr:cNvPr id="36868" name="Chart 4">
          <a:extLst>
            <a:ext uri="{FF2B5EF4-FFF2-40B4-BE49-F238E27FC236}">
              <a16:creationId xmlns:a16="http://schemas.microsoft.com/office/drawing/2014/main" id="{00000000-0008-0000-1200-0000049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161925</xdr:colOff>
      <xdr:row>3</xdr:row>
      <xdr:rowOff>0</xdr:rowOff>
    </xdr:to>
    <xdr:pic>
      <xdr:nvPicPr>
        <xdr:cNvPr id="40961" name="Picture 1">
          <a:extLst>
            <a:ext uri="{FF2B5EF4-FFF2-40B4-BE49-F238E27FC236}">
              <a16:creationId xmlns:a16="http://schemas.microsoft.com/office/drawing/2014/main" id="{00000000-0008-0000-1300-000001A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71525" cy="48577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 fPrintsWithSheet="0"/>
  </xdr:twoCellAnchor>
  <xdr:twoCellAnchor>
    <xdr:from>
      <xdr:col>0</xdr:col>
      <xdr:colOff>0</xdr:colOff>
      <xdr:row>0</xdr:row>
      <xdr:rowOff>0</xdr:rowOff>
    </xdr:from>
    <xdr:to>
      <xdr:col>1</xdr:col>
      <xdr:colOff>161925</xdr:colOff>
      <xdr:row>3</xdr:row>
      <xdr:rowOff>0</xdr:rowOff>
    </xdr:to>
    <xdr:pic>
      <xdr:nvPicPr>
        <xdr:cNvPr id="40962" name="Picture 2">
          <a:extLst>
            <a:ext uri="{FF2B5EF4-FFF2-40B4-BE49-F238E27FC236}">
              <a16:creationId xmlns:a16="http://schemas.microsoft.com/office/drawing/2014/main" id="{00000000-0008-0000-1300-000002A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71525" cy="48577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 fPrintsWithSheet="0"/>
  </xdr:twoCellAnchor>
  <xdr:twoCellAnchor>
    <xdr:from>
      <xdr:col>3</xdr:col>
      <xdr:colOff>533400</xdr:colOff>
      <xdr:row>3</xdr:row>
      <xdr:rowOff>152400</xdr:rowOff>
    </xdr:from>
    <xdr:to>
      <xdr:col>15</xdr:col>
      <xdr:colOff>76200</xdr:colOff>
      <xdr:row>32</xdr:row>
      <xdr:rowOff>28575</xdr:rowOff>
    </xdr:to>
    <xdr:graphicFrame macro="[0]!GotoDashBoard">
      <xdr:nvGraphicFramePr>
        <xdr:cNvPr id="40964" name="Chart 4">
          <a:extLst>
            <a:ext uri="{FF2B5EF4-FFF2-40B4-BE49-F238E27FC236}">
              <a16:creationId xmlns:a16="http://schemas.microsoft.com/office/drawing/2014/main" id="{00000000-0008-0000-1300-000004A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161925</xdr:colOff>
      <xdr:row>3</xdr:row>
      <xdr:rowOff>0</xdr:rowOff>
    </xdr:to>
    <xdr:pic>
      <xdr:nvPicPr>
        <xdr:cNvPr id="41985" name="Picture 1">
          <a:extLst>
            <a:ext uri="{FF2B5EF4-FFF2-40B4-BE49-F238E27FC236}">
              <a16:creationId xmlns:a16="http://schemas.microsoft.com/office/drawing/2014/main" id="{00000000-0008-0000-1400-000001A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71525" cy="48577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 fPrintsWithSheet="0"/>
  </xdr:twoCellAnchor>
  <xdr:twoCellAnchor>
    <xdr:from>
      <xdr:col>0</xdr:col>
      <xdr:colOff>0</xdr:colOff>
      <xdr:row>0</xdr:row>
      <xdr:rowOff>0</xdr:rowOff>
    </xdr:from>
    <xdr:to>
      <xdr:col>1</xdr:col>
      <xdr:colOff>161925</xdr:colOff>
      <xdr:row>3</xdr:row>
      <xdr:rowOff>0</xdr:rowOff>
    </xdr:to>
    <xdr:pic>
      <xdr:nvPicPr>
        <xdr:cNvPr id="41986" name="Picture 2">
          <a:extLst>
            <a:ext uri="{FF2B5EF4-FFF2-40B4-BE49-F238E27FC236}">
              <a16:creationId xmlns:a16="http://schemas.microsoft.com/office/drawing/2014/main" id="{00000000-0008-0000-1400-000002A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71525" cy="48577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 fPrintsWithSheet="0"/>
  </xdr:twoCellAnchor>
  <xdr:twoCellAnchor>
    <xdr:from>
      <xdr:col>0</xdr:col>
      <xdr:colOff>257175</xdr:colOff>
      <xdr:row>3</xdr:row>
      <xdr:rowOff>104775</xdr:rowOff>
    </xdr:from>
    <xdr:to>
      <xdr:col>18</xdr:col>
      <xdr:colOff>257175</xdr:colOff>
      <xdr:row>31</xdr:row>
      <xdr:rowOff>142875</xdr:rowOff>
    </xdr:to>
    <xdr:graphicFrame macro="[0]!GotoDashBoard">
      <xdr:nvGraphicFramePr>
        <xdr:cNvPr id="41988" name="Chart 4">
          <a:extLst>
            <a:ext uri="{FF2B5EF4-FFF2-40B4-BE49-F238E27FC236}">
              <a16:creationId xmlns:a16="http://schemas.microsoft.com/office/drawing/2014/main" id="{00000000-0008-0000-1400-000004A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161925</xdr:colOff>
      <xdr:row>3</xdr:row>
      <xdr:rowOff>0</xdr:rowOff>
    </xdr:to>
    <xdr:pic>
      <xdr:nvPicPr>
        <xdr:cNvPr id="49153" name="Picture 1">
          <a:extLst>
            <a:ext uri="{FF2B5EF4-FFF2-40B4-BE49-F238E27FC236}">
              <a16:creationId xmlns:a16="http://schemas.microsoft.com/office/drawing/2014/main" id="{00000000-0008-0000-1500-000001C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71525" cy="48577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 fPrintsWithSheet="0"/>
  </xdr:twoCellAnchor>
  <xdr:twoCellAnchor>
    <xdr:from>
      <xdr:col>0</xdr:col>
      <xdr:colOff>0</xdr:colOff>
      <xdr:row>0</xdr:row>
      <xdr:rowOff>0</xdr:rowOff>
    </xdr:from>
    <xdr:to>
      <xdr:col>1</xdr:col>
      <xdr:colOff>161925</xdr:colOff>
      <xdr:row>3</xdr:row>
      <xdr:rowOff>0</xdr:rowOff>
    </xdr:to>
    <xdr:pic>
      <xdr:nvPicPr>
        <xdr:cNvPr id="49154" name="Picture 2">
          <a:extLst>
            <a:ext uri="{FF2B5EF4-FFF2-40B4-BE49-F238E27FC236}">
              <a16:creationId xmlns:a16="http://schemas.microsoft.com/office/drawing/2014/main" id="{00000000-0008-0000-1500-000002C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71525" cy="48577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 fPrintsWithSheet="0"/>
  </xdr:twoCellAnchor>
  <xdr:twoCellAnchor>
    <xdr:from>
      <xdr:col>3</xdr:col>
      <xdr:colOff>533400</xdr:colOff>
      <xdr:row>3</xdr:row>
      <xdr:rowOff>152400</xdr:rowOff>
    </xdr:from>
    <xdr:to>
      <xdr:col>15</xdr:col>
      <xdr:colOff>76200</xdr:colOff>
      <xdr:row>32</xdr:row>
      <xdr:rowOff>28575</xdr:rowOff>
    </xdr:to>
    <xdr:graphicFrame macro="[0]!GotoDashBoard">
      <xdr:nvGraphicFramePr>
        <xdr:cNvPr id="49157" name="Chart 5">
          <a:extLst>
            <a:ext uri="{FF2B5EF4-FFF2-40B4-BE49-F238E27FC236}">
              <a16:creationId xmlns:a16="http://schemas.microsoft.com/office/drawing/2014/main" id="{00000000-0008-0000-1500-000005C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161925</xdr:colOff>
      <xdr:row>3</xdr:row>
      <xdr:rowOff>0</xdr:rowOff>
    </xdr:to>
    <xdr:pic>
      <xdr:nvPicPr>
        <xdr:cNvPr id="50177" name="Picture 1">
          <a:extLst>
            <a:ext uri="{FF2B5EF4-FFF2-40B4-BE49-F238E27FC236}">
              <a16:creationId xmlns:a16="http://schemas.microsoft.com/office/drawing/2014/main" id="{00000000-0008-0000-1600-000001C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71525" cy="48577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 fPrintsWithSheet="0"/>
  </xdr:twoCellAnchor>
  <xdr:twoCellAnchor>
    <xdr:from>
      <xdr:col>0</xdr:col>
      <xdr:colOff>0</xdr:colOff>
      <xdr:row>0</xdr:row>
      <xdr:rowOff>0</xdr:rowOff>
    </xdr:from>
    <xdr:to>
      <xdr:col>1</xdr:col>
      <xdr:colOff>161925</xdr:colOff>
      <xdr:row>3</xdr:row>
      <xdr:rowOff>0</xdr:rowOff>
    </xdr:to>
    <xdr:pic>
      <xdr:nvPicPr>
        <xdr:cNvPr id="50178" name="Picture 2">
          <a:extLst>
            <a:ext uri="{FF2B5EF4-FFF2-40B4-BE49-F238E27FC236}">
              <a16:creationId xmlns:a16="http://schemas.microsoft.com/office/drawing/2014/main" id="{00000000-0008-0000-1600-000002C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71525" cy="48577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 fPrintsWithSheet="0"/>
  </xdr:twoCellAnchor>
  <xdr:twoCellAnchor>
    <xdr:from>
      <xdr:col>3</xdr:col>
      <xdr:colOff>533400</xdr:colOff>
      <xdr:row>3</xdr:row>
      <xdr:rowOff>152400</xdr:rowOff>
    </xdr:from>
    <xdr:to>
      <xdr:col>15</xdr:col>
      <xdr:colOff>76200</xdr:colOff>
      <xdr:row>32</xdr:row>
      <xdr:rowOff>28575</xdr:rowOff>
    </xdr:to>
    <xdr:graphicFrame macro="[0]!GotoDashBoard">
      <xdr:nvGraphicFramePr>
        <xdr:cNvPr id="50180" name="Chart 4">
          <a:extLst>
            <a:ext uri="{FF2B5EF4-FFF2-40B4-BE49-F238E27FC236}">
              <a16:creationId xmlns:a16="http://schemas.microsoft.com/office/drawing/2014/main" id="{00000000-0008-0000-1600-000004C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161925</xdr:colOff>
      <xdr:row>3</xdr:row>
      <xdr:rowOff>0</xdr:rowOff>
    </xdr:to>
    <xdr:pic>
      <xdr:nvPicPr>
        <xdr:cNvPr id="51201" name="Picture 1">
          <a:extLst>
            <a:ext uri="{FF2B5EF4-FFF2-40B4-BE49-F238E27FC236}">
              <a16:creationId xmlns:a16="http://schemas.microsoft.com/office/drawing/2014/main" id="{00000000-0008-0000-1700-000001C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71525" cy="55245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 fPrintsWithSheet="0"/>
  </xdr:twoCellAnchor>
  <xdr:twoCellAnchor>
    <xdr:from>
      <xdr:col>0</xdr:col>
      <xdr:colOff>0</xdr:colOff>
      <xdr:row>0</xdr:row>
      <xdr:rowOff>0</xdr:rowOff>
    </xdr:from>
    <xdr:to>
      <xdr:col>1</xdr:col>
      <xdr:colOff>161925</xdr:colOff>
      <xdr:row>3</xdr:row>
      <xdr:rowOff>0</xdr:rowOff>
    </xdr:to>
    <xdr:pic>
      <xdr:nvPicPr>
        <xdr:cNvPr id="51202" name="Picture 2">
          <a:extLst>
            <a:ext uri="{FF2B5EF4-FFF2-40B4-BE49-F238E27FC236}">
              <a16:creationId xmlns:a16="http://schemas.microsoft.com/office/drawing/2014/main" id="{00000000-0008-0000-1700-000002C8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71525" cy="552450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 fPrintsWithSheet="0"/>
  </xdr:twoCellAnchor>
  <xdr:twoCellAnchor>
    <xdr:from>
      <xdr:col>0</xdr:col>
      <xdr:colOff>285750</xdr:colOff>
      <xdr:row>3</xdr:row>
      <xdr:rowOff>95250</xdr:rowOff>
    </xdr:from>
    <xdr:to>
      <xdr:col>18</xdr:col>
      <xdr:colOff>285750</xdr:colOff>
      <xdr:row>31</xdr:row>
      <xdr:rowOff>133350</xdr:rowOff>
    </xdr:to>
    <xdr:graphicFrame macro="[0]!GotoDashBoard">
      <xdr:nvGraphicFramePr>
        <xdr:cNvPr id="51204" name="Chart 4">
          <a:extLst>
            <a:ext uri="{FF2B5EF4-FFF2-40B4-BE49-F238E27FC236}">
              <a16:creationId xmlns:a16="http://schemas.microsoft.com/office/drawing/2014/main" id="{00000000-0008-0000-1700-000004C8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161925</xdr:colOff>
      <xdr:row>3</xdr:row>
      <xdr:rowOff>0</xdr:rowOff>
    </xdr:to>
    <xdr:pic>
      <xdr:nvPicPr>
        <xdr:cNvPr id="52225" name="Picture 1">
          <a:extLst>
            <a:ext uri="{FF2B5EF4-FFF2-40B4-BE49-F238E27FC236}">
              <a16:creationId xmlns:a16="http://schemas.microsoft.com/office/drawing/2014/main" id="{00000000-0008-0000-1800-000001C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71525" cy="48577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 fPrintsWithSheet="0"/>
  </xdr:twoCellAnchor>
  <xdr:twoCellAnchor>
    <xdr:from>
      <xdr:col>0</xdr:col>
      <xdr:colOff>0</xdr:colOff>
      <xdr:row>0</xdr:row>
      <xdr:rowOff>0</xdr:rowOff>
    </xdr:from>
    <xdr:to>
      <xdr:col>1</xdr:col>
      <xdr:colOff>161925</xdr:colOff>
      <xdr:row>3</xdr:row>
      <xdr:rowOff>0</xdr:rowOff>
    </xdr:to>
    <xdr:pic>
      <xdr:nvPicPr>
        <xdr:cNvPr id="52226" name="Picture 2">
          <a:extLst>
            <a:ext uri="{FF2B5EF4-FFF2-40B4-BE49-F238E27FC236}">
              <a16:creationId xmlns:a16="http://schemas.microsoft.com/office/drawing/2014/main" id="{00000000-0008-0000-1800-000002C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71525" cy="48577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 fPrintsWithSheet="0"/>
  </xdr:twoCellAnchor>
  <xdr:twoCellAnchor>
    <xdr:from>
      <xdr:col>3</xdr:col>
      <xdr:colOff>533400</xdr:colOff>
      <xdr:row>3</xdr:row>
      <xdr:rowOff>152400</xdr:rowOff>
    </xdr:from>
    <xdr:to>
      <xdr:col>15</xdr:col>
      <xdr:colOff>76200</xdr:colOff>
      <xdr:row>32</xdr:row>
      <xdr:rowOff>28575</xdr:rowOff>
    </xdr:to>
    <xdr:graphicFrame macro="[0]!GotoDashBoard">
      <xdr:nvGraphicFramePr>
        <xdr:cNvPr id="52228" name="Chart 4">
          <a:extLst>
            <a:ext uri="{FF2B5EF4-FFF2-40B4-BE49-F238E27FC236}">
              <a16:creationId xmlns:a16="http://schemas.microsoft.com/office/drawing/2014/main" id="{00000000-0008-0000-1800-000004C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</xdr:col>
      <xdr:colOff>161925</xdr:colOff>
      <xdr:row>3</xdr:row>
      <xdr:rowOff>0</xdr:rowOff>
    </xdr:to>
    <xdr:pic>
      <xdr:nvPicPr>
        <xdr:cNvPr id="53249" name="Picture 1">
          <a:extLst>
            <a:ext uri="{FF2B5EF4-FFF2-40B4-BE49-F238E27FC236}">
              <a16:creationId xmlns:a16="http://schemas.microsoft.com/office/drawing/2014/main" id="{00000000-0008-0000-1900-000001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71525" cy="48577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 fPrintsWithSheet="0"/>
  </xdr:twoCellAnchor>
  <xdr:twoCellAnchor>
    <xdr:from>
      <xdr:col>0</xdr:col>
      <xdr:colOff>0</xdr:colOff>
      <xdr:row>0</xdr:row>
      <xdr:rowOff>0</xdr:rowOff>
    </xdr:from>
    <xdr:to>
      <xdr:col>1</xdr:col>
      <xdr:colOff>161925</xdr:colOff>
      <xdr:row>3</xdr:row>
      <xdr:rowOff>0</xdr:rowOff>
    </xdr:to>
    <xdr:pic>
      <xdr:nvPicPr>
        <xdr:cNvPr id="53250" name="Picture 2">
          <a:extLst>
            <a:ext uri="{FF2B5EF4-FFF2-40B4-BE49-F238E27FC236}">
              <a16:creationId xmlns:a16="http://schemas.microsoft.com/office/drawing/2014/main" id="{00000000-0008-0000-1900-000002D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771525" cy="485775"/>
        </a:xfrm>
        <a:prstGeom prst="rect">
          <a:avLst/>
        </a:prstGeom>
        <a:noFill/>
        <a:ln w="1">
          <a:noFill/>
          <a:miter lim="800000"/>
          <a:headEnd/>
          <a:tailEnd/>
        </a:ln>
        <a:effectLst/>
      </xdr:spPr>
    </xdr:pic>
    <xdr:clientData fPrintsWithSheet="0"/>
  </xdr:twoCellAnchor>
  <xdr:twoCellAnchor>
    <xdr:from>
      <xdr:col>3</xdr:col>
      <xdr:colOff>533400</xdr:colOff>
      <xdr:row>3</xdr:row>
      <xdr:rowOff>152400</xdr:rowOff>
    </xdr:from>
    <xdr:to>
      <xdr:col>15</xdr:col>
      <xdr:colOff>76200</xdr:colOff>
      <xdr:row>32</xdr:row>
      <xdr:rowOff>28575</xdr:rowOff>
    </xdr:to>
    <xdr:graphicFrame macro="[0]!GotoDashBoard">
      <xdr:nvGraphicFramePr>
        <xdr:cNvPr id="53252" name="Chart 4">
          <a:extLst>
            <a:ext uri="{FF2B5EF4-FFF2-40B4-BE49-F238E27FC236}">
              <a16:creationId xmlns:a16="http://schemas.microsoft.com/office/drawing/2014/main" id="{00000000-0008-0000-1900-000004D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11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Relationship Id="rId4" Type="http://schemas.openxmlformats.org/officeDocument/2006/relationships/comments" Target="../comments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3.v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4.v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Relationship Id="rId4" Type="http://schemas.openxmlformats.org/officeDocument/2006/relationships/comments" Target="../comments1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6.bin"/><Relationship Id="rId4" Type="http://schemas.openxmlformats.org/officeDocument/2006/relationships/comments" Target="../comments15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6.v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6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7.v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8.bin"/><Relationship Id="rId4" Type="http://schemas.openxmlformats.org/officeDocument/2006/relationships/comments" Target="../comments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8.v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9.bin"/><Relationship Id="rId4" Type="http://schemas.openxmlformats.org/officeDocument/2006/relationships/comments" Target="../comments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9.v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20.bin"/><Relationship Id="rId4" Type="http://schemas.openxmlformats.org/officeDocument/2006/relationships/comments" Target="../comments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0.v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1.bin"/><Relationship Id="rId4" Type="http://schemas.openxmlformats.org/officeDocument/2006/relationships/comments" Target="../comments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1.v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21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2.v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3.bin"/><Relationship Id="rId4" Type="http://schemas.openxmlformats.org/officeDocument/2006/relationships/comments" Target="../comments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4.bin"/><Relationship Id="rId4" Type="http://schemas.openxmlformats.org/officeDocument/2006/relationships/comments" Target="../comments23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4.v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5.bin"/><Relationship Id="rId4" Type="http://schemas.openxmlformats.org/officeDocument/2006/relationships/comments" Target="../comments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5.v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6.bin"/><Relationship Id="rId4" Type="http://schemas.openxmlformats.org/officeDocument/2006/relationships/comments" Target="../comments2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pageSetUpPr autoPageBreaks="0"/>
  </sheetPr>
  <dimension ref="B6:AH531"/>
  <sheetViews>
    <sheetView showGridLines="0" showRowColHeaders="0" tabSelected="1" view="pageBreakPreview" zoomScale="35" zoomScaleNormal="35" zoomScaleSheetLayoutView="35" workbookViewId="0">
      <selection activeCell="G13" sqref="G13:AC13"/>
    </sheetView>
  </sheetViews>
  <sheetFormatPr defaultRowHeight="12.75" x14ac:dyDescent="0.2"/>
  <cols>
    <col min="1" max="16384" width="9.140625" style="38"/>
  </cols>
  <sheetData>
    <row r="6" spans="2:32" x14ac:dyDescent="0.2"/>
    <row r="10" spans="2:32" x14ac:dyDescent="0.2">
      <c r="D10" s="41"/>
      <c r="E10" s="41"/>
      <c r="F10" s="41"/>
      <c r="G10" s="41"/>
      <c r="H10" s="41"/>
      <c r="I10" s="41"/>
      <c r="J10" s="41"/>
      <c r="K10" s="41"/>
      <c r="L10" s="41"/>
      <c r="M10" s="41"/>
      <c r="N10" s="41"/>
      <c r="O10" s="41"/>
      <c r="P10" s="41"/>
      <c r="Q10" s="41"/>
      <c r="R10" s="41"/>
      <c r="S10" s="41"/>
      <c r="T10" s="41"/>
      <c r="U10" s="41"/>
      <c r="V10" s="41"/>
      <c r="W10" s="41"/>
      <c r="X10" s="41"/>
      <c r="Y10" s="41"/>
      <c r="Z10" s="41"/>
      <c r="AA10" s="41"/>
      <c r="AB10" s="41"/>
      <c r="AC10" s="41"/>
      <c r="AD10" s="41"/>
      <c r="AE10" s="41"/>
      <c r="AF10" s="41"/>
    </row>
    <row r="11" spans="2:32" x14ac:dyDescent="0.2">
      <c r="D11" s="41"/>
      <c r="E11" s="41"/>
      <c r="F11" s="41"/>
      <c r="G11" s="41"/>
      <c r="H11" s="41"/>
      <c r="I11" s="41"/>
      <c r="J11" s="41"/>
      <c r="K11" s="41"/>
      <c r="L11" s="41"/>
      <c r="M11" s="41"/>
      <c r="N11" s="41"/>
      <c r="O11" s="41"/>
      <c r="P11" s="41"/>
      <c r="Q11" s="41"/>
      <c r="R11" s="41"/>
      <c r="S11" s="41"/>
      <c r="T11" s="41"/>
      <c r="U11" s="41"/>
      <c r="V11" s="41"/>
      <c r="W11" s="41"/>
      <c r="X11" s="41"/>
      <c r="Y11" s="41"/>
      <c r="Z11" s="41"/>
      <c r="AA11" s="41"/>
      <c r="AB11" s="41"/>
      <c r="AC11" s="41"/>
      <c r="AD11" s="41"/>
      <c r="AE11" s="41"/>
      <c r="AF11" s="41"/>
    </row>
    <row r="12" spans="2:32" x14ac:dyDescent="0.2">
      <c r="D12" s="41"/>
      <c r="E12" s="41"/>
      <c r="F12" s="41"/>
      <c r="G12" s="41"/>
      <c r="H12" s="41"/>
      <c r="I12" s="41"/>
      <c r="J12" s="41"/>
      <c r="K12" s="41"/>
      <c r="L12" s="41"/>
      <c r="M12" s="41"/>
      <c r="N12" s="41"/>
      <c r="O12" s="41"/>
      <c r="P12" s="41"/>
      <c r="Q12" s="41"/>
      <c r="R12" s="41"/>
      <c r="S12" s="41"/>
      <c r="T12" s="41"/>
      <c r="U12" s="41"/>
      <c r="V12" s="41"/>
      <c r="W12" s="41"/>
      <c r="X12" s="41"/>
      <c r="Y12" s="41"/>
      <c r="Z12" s="41"/>
      <c r="AA12" s="41"/>
      <c r="AB12" s="41"/>
      <c r="AC12" s="41"/>
      <c r="AD12" s="41"/>
      <c r="AE12" s="41"/>
      <c r="AF12" s="41"/>
    </row>
    <row r="13" spans="2:32" ht="90.75" x14ac:dyDescent="1.2">
      <c r="D13" s="41"/>
      <c r="E13" s="41"/>
      <c r="F13" s="41"/>
      <c r="G13" s="46" t="s">
        <v>46</v>
      </c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1"/>
      <c r="AE13" s="41"/>
      <c r="AF13" s="41"/>
    </row>
    <row r="14" spans="2:32" x14ac:dyDescent="0.2">
      <c r="D14" s="41"/>
      <c r="E14" s="41"/>
      <c r="F14" s="41"/>
      <c r="G14" s="41"/>
      <c r="H14" s="41"/>
      <c r="I14" s="41"/>
      <c r="J14" s="41"/>
      <c r="K14" s="41"/>
      <c r="L14" s="41"/>
      <c r="M14" s="41"/>
      <c r="N14" s="41"/>
      <c r="O14" s="41"/>
      <c r="P14" s="41"/>
      <c r="Q14" s="41"/>
      <c r="R14" s="41"/>
      <c r="S14" s="41"/>
      <c r="T14" s="41"/>
      <c r="U14" s="41"/>
      <c r="V14" s="41"/>
      <c r="W14" s="41"/>
      <c r="X14" s="41"/>
      <c r="Y14" s="41"/>
      <c r="Z14" s="41"/>
      <c r="AA14" s="41"/>
      <c r="AB14" s="41"/>
      <c r="AC14" s="41"/>
      <c r="AD14" s="41"/>
      <c r="AE14" s="41"/>
      <c r="AF14" s="41"/>
    </row>
    <row r="15" spans="2:32" x14ac:dyDescent="0.2"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1"/>
      <c r="Y15" s="41"/>
      <c r="Z15" s="41"/>
      <c r="AA15" s="41"/>
      <c r="AB15" s="41"/>
      <c r="AC15" s="41"/>
      <c r="AD15" s="41"/>
      <c r="AE15" s="41"/>
      <c r="AF15" s="41"/>
    </row>
    <row r="16" spans="2:32" x14ac:dyDescent="0.2">
      <c r="D16" s="41"/>
      <c r="E16" s="41"/>
      <c r="F16" s="41"/>
      <c r="G16" s="41"/>
      <c r="H16" s="41"/>
      <c r="I16" s="41"/>
      <c r="J16" s="41"/>
      <c r="K16" s="41"/>
      <c r="L16" s="41"/>
      <c r="M16" s="41"/>
      <c r="N16" s="41"/>
      <c r="O16" s="41"/>
      <c r="P16" s="41"/>
      <c r="Q16" s="41"/>
      <c r="R16" s="41"/>
      <c r="S16" s="41"/>
      <c r="T16" s="41"/>
      <c r="U16" s="41"/>
      <c r="V16" s="41"/>
      <c r="W16" s="41"/>
      <c r="X16" s="41"/>
      <c r="Y16" s="41"/>
      <c r="Z16" s="41"/>
      <c r="AA16" s="41"/>
      <c r="AB16" s="41"/>
      <c r="AC16" s="41"/>
      <c r="AD16" s="41"/>
      <c r="AE16" s="41"/>
      <c r="AF16" s="41"/>
    </row>
    <row r="17" spans="4:32" x14ac:dyDescent="0.2">
      <c r="D17" s="41"/>
      <c r="E17" s="41"/>
      <c r="F17" s="41"/>
      <c r="G17" s="41"/>
      <c r="H17" s="41"/>
      <c r="I17" s="41"/>
      <c r="J17" s="41"/>
      <c r="K17" s="41"/>
      <c r="L17" s="41"/>
      <c r="M17" s="41"/>
      <c r="N17" s="41"/>
      <c r="O17" s="41"/>
      <c r="P17" s="41"/>
      <c r="Q17" s="41"/>
      <c r="R17" s="41"/>
      <c r="S17" s="41"/>
      <c r="T17" s="41"/>
      <c r="U17" s="41"/>
      <c r="V17" s="41"/>
      <c r="W17" s="41"/>
      <c r="X17" s="41"/>
      <c r="Y17" s="41"/>
      <c r="Z17" s="41"/>
      <c r="AA17" s="41"/>
      <c r="AB17" s="41"/>
      <c r="AC17" s="41"/>
      <c r="AD17" s="41"/>
      <c r="AE17" s="41"/>
      <c r="AF17" s="41"/>
    </row>
    <row r="18" spans="4:32" x14ac:dyDescent="0.2">
      <c r="D18" s="41"/>
      <c r="E18" s="41"/>
      <c r="F18" s="41"/>
      <c r="G18" s="41"/>
      <c r="H18" s="41"/>
      <c r="I18" s="41"/>
      <c r="J18" s="41"/>
      <c r="K18" s="41"/>
      <c r="L18" s="41"/>
      <c r="M18" s="41"/>
      <c r="N18" s="41"/>
      <c r="O18" s="41"/>
      <c r="P18" s="41"/>
      <c r="Q18" s="41"/>
      <c r="R18" s="41"/>
      <c r="S18" s="41"/>
      <c r="T18" s="41"/>
      <c r="U18" s="41"/>
      <c r="V18" s="41"/>
      <c r="W18" s="41"/>
      <c r="X18" s="41"/>
      <c r="Y18" s="41"/>
      <c r="Z18" s="41"/>
      <c r="AA18" s="41"/>
      <c r="AB18" s="41"/>
      <c r="AC18" s="41"/>
      <c r="AD18" s="41"/>
      <c r="AE18" s="41"/>
      <c r="AF18" s="41"/>
    </row>
    <row r="19" spans="4:32" x14ac:dyDescent="0.2">
      <c r="D19" s="41"/>
      <c r="E19" s="41"/>
      <c r="F19" s="41"/>
      <c r="G19" s="41"/>
      <c r="H19" s="41"/>
      <c r="I19" s="41"/>
      <c r="J19" s="41"/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</row>
    <row r="20" spans="4:32" x14ac:dyDescent="0.2">
      <c r="D20" s="41"/>
      <c r="E20" s="41"/>
      <c r="F20" s="41"/>
      <c r="G20" s="41"/>
      <c r="H20" s="41"/>
      <c r="I20" s="41"/>
      <c r="J20" s="41"/>
      <c r="K20" s="41"/>
      <c r="L20" s="41"/>
      <c r="M20" s="41"/>
      <c r="N20" s="41"/>
      <c r="O20" s="41"/>
      <c r="P20" s="41"/>
      <c r="Q20" s="41"/>
      <c r="R20" s="41"/>
      <c r="S20" s="41"/>
      <c r="T20" s="41"/>
      <c r="U20" s="41"/>
      <c r="V20" s="41"/>
      <c r="W20" s="41"/>
      <c r="X20" s="41"/>
      <c r="Y20" s="41"/>
      <c r="Z20" s="41"/>
      <c r="AA20" s="41"/>
      <c r="AB20" s="41"/>
      <c r="AC20" s="41"/>
      <c r="AD20" s="41"/>
      <c r="AE20" s="41"/>
      <c r="AF20" s="41"/>
    </row>
    <row r="21" spans="4:32" x14ac:dyDescent="0.2">
      <c r="D21" s="41"/>
      <c r="E21" s="41"/>
      <c r="F21" s="41"/>
      <c r="G21" s="41"/>
      <c r="H21" s="41"/>
      <c r="I21" s="41"/>
      <c r="J21" s="41"/>
      <c r="K21" s="41"/>
      <c r="L21" s="41"/>
      <c r="M21" s="41"/>
      <c r="N21" s="41"/>
      <c r="O21" s="41"/>
      <c r="P21" s="41"/>
      <c r="Q21" s="41"/>
      <c r="R21" s="41"/>
      <c r="S21" s="41"/>
      <c r="T21" s="41"/>
      <c r="U21" s="41"/>
      <c r="V21" s="41"/>
      <c r="W21" s="41"/>
      <c r="X21" s="41"/>
      <c r="Y21" s="41"/>
      <c r="Z21" s="41"/>
      <c r="AA21" s="41"/>
      <c r="AB21" s="41"/>
      <c r="AC21" s="41"/>
      <c r="AD21" s="41"/>
      <c r="AE21" s="41"/>
      <c r="AF21" s="41"/>
    </row>
    <row r="22" spans="4:32" x14ac:dyDescent="0.2">
      <c r="D22" s="41"/>
      <c r="E22" s="41"/>
      <c r="F22" s="41"/>
      <c r="G22" s="41"/>
      <c r="H22" s="41"/>
      <c r="I22" s="41"/>
      <c r="J22" s="41"/>
      <c r="K22" s="41"/>
      <c r="L22" s="41"/>
      <c r="M22" s="41"/>
      <c r="N22" s="41"/>
      <c r="O22" s="41"/>
      <c r="P22" s="41"/>
      <c r="Q22" s="41"/>
      <c r="R22" s="41"/>
      <c r="S22" s="41"/>
      <c r="T22" s="41"/>
      <c r="U22" s="41"/>
      <c r="V22" s="41"/>
      <c r="W22" s="41"/>
      <c r="X22" s="41"/>
      <c r="Y22" s="41"/>
      <c r="Z22" s="41"/>
      <c r="AA22" s="41"/>
      <c r="AB22" s="41"/>
      <c r="AC22" s="41"/>
      <c r="AD22" s="41"/>
      <c r="AE22" s="41"/>
      <c r="AF22" s="41"/>
    </row>
    <row r="23" spans="4:32" x14ac:dyDescent="0.2">
      <c r="D23" s="41"/>
      <c r="E23" s="41"/>
      <c r="F23" s="41"/>
      <c r="G23" s="41"/>
      <c r="H23" s="41"/>
      <c r="I23" s="41"/>
      <c r="J23" s="41"/>
      <c r="K23" s="41"/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1"/>
    </row>
    <row r="24" spans="4:32" x14ac:dyDescent="0.2">
      <c r="D24" s="41"/>
      <c r="E24" s="41"/>
      <c r="F24" s="41"/>
      <c r="G24" s="41"/>
      <c r="H24" s="41"/>
      <c r="I24" s="41"/>
      <c r="J24" s="41"/>
      <c r="K24" s="41"/>
      <c r="L24" s="41"/>
      <c r="M24" s="41"/>
      <c r="N24" s="41"/>
      <c r="O24" s="41"/>
      <c r="P24" s="41"/>
      <c r="Q24" s="41"/>
      <c r="R24" s="41"/>
      <c r="S24" s="41"/>
      <c r="T24" s="41"/>
      <c r="U24" s="41"/>
      <c r="V24" s="41"/>
      <c r="W24" s="41"/>
      <c r="X24" s="41"/>
      <c r="Y24" s="41"/>
      <c r="Z24" s="41"/>
      <c r="AA24" s="41"/>
      <c r="AB24" s="41"/>
      <c r="AC24" s="41"/>
      <c r="AD24" s="41"/>
      <c r="AE24" s="41"/>
      <c r="AF24" s="41"/>
    </row>
    <row r="25" spans="4:32" x14ac:dyDescent="0.2">
      <c r="D25" s="41"/>
      <c r="E25" s="41"/>
      <c r="F25" s="41"/>
      <c r="G25" s="41"/>
      <c r="H25" s="41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</row>
    <row r="26" spans="4:32" x14ac:dyDescent="0.2">
      <c r="D26" s="41"/>
      <c r="E26" s="41"/>
      <c r="F26" s="41"/>
      <c r="G26" s="41"/>
      <c r="H26" s="41"/>
      <c r="I26" s="41"/>
      <c r="J26" s="41"/>
      <c r="K26" s="41"/>
      <c r="L26" s="41"/>
      <c r="M26" s="41"/>
      <c r="N26" s="41"/>
      <c r="O26" s="41"/>
      <c r="P26" s="41"/>
      <c r="Q26" s="41"/>
      <c r="R26" s="41"/>
      <c r="S26" s="41"/>
      <c r="T26" s="41"/>
      <c r="U26" s="41"/>
      <c r="V26" s="41"/>
      <c r="W26" s="41"/>
      <c r="X26" s="41"/>
      <c r="Y26" s="41"/>
      <c r="Z26" s="41"/>
      <c r="AA26" s="41"/>
      <c r="AB26" s="41"/>
      <c r="AC26" s="41"/>
      <c r="AD26" s="41"/>
      <c r="AE26" s="41"/>
      <c r="AF26" s="41"/>
    </row>
    <row r="27" spans="4:32" x14ac:dyDescent="0.2">
      <c r="D27" s="41"/>
      <c r="E27" s="41"/>
      <c r="F27" s="41"/>
      <c r="G27" s="41"/>
      <c r="H27" s="41"/>
      <c r="I27" s="41"/>
      <c r="J27" s="41"/>
      <c r="K27" s="41"/>
      <c r="L27" s="41"/>
      <c r="M27" s="41"/>
      <c r="N27" s="41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1"/>
    </row>
    <row r="28" spans="4:32" x14ac:dyDescent="0.2">
      <c r="D28" s="41"/>
      <c r="E28" s="41"/>
      <c r="F28" s="41"/>
      <c r="G28" s="41"/>
      <c r="H28" s="41"/>
      <c r="I28" s="41"/>
      <c r="J28" s="41"/>
      <c r="K28" s="41"/>
      <c r="L28" s="41"/>
      <c r="M28" s="41"/>
      <c r="N28" s="41"/>
      <c r="O28" s="41"/>
      <c r="P28" s="41"/>
      <c r="Q28" s="41"/>
      <c r="R28" s="41"/>
      <c r="S28" s="41"/>
      <c r="T28" s="41"/>
      <c r="U28" s="41"/>
      <c r="V28" s="41"/>
      <c r="W28" s="41"/>
      <c r="X28" s="41"/>
      <c r="Y28" s="41"/>
      <c r="Z28" s="41"/>
      <c r="AA28" s="41"/>
      <c r="AB28" s="41"/>
      <c r="AC28" s="41"/>
      <c r="AD28" s="41"/>
      <c r="AE28" s="41"/>
      <c r="AF28" s="41"/>
    </row>
    <row r="29" spans="4:32" x14ac:dyDescent="0.2">
      <c r="D29" s="41"/>
      <c r="E29" s="41"/>
      <c r="F29" s="41"/>
      <c r="G29" s="41"/>
      <c r="H29" s="41"/>
      <c r="I29" s="41"/>
      <c r="J29" s="41"/>
      <c r="K29" s="41"/>
      <c r="L29" s="41"/>
      <c r="M29" s="41"/>
      <c r="N29" s="41"/>
      <c r="O29" s="41"/>
      <c r="P29" s="41"/>
      <c r="Q29" s="41"/>
      <c r="R29" s="41"/>
      <c r="S29" s="41"/>
      <c r="T29" s="41"/>
      <c r="U29" s="41"/>
      <c r="V29" s="41"/>
      <c r="W29" s="41"/>
      <c r="X29" s="41"/>
      <c r="Y29" s="41"/>
      <c r="Z29" s="41"/>
      <c r="AA29" s="41"/>
      <c r="AB29" s="41"/>
      <c r="AC29" s="41"/>
      <c r="AD29" s="41"/>
      <c r="AE29" s="41"/>
      <c r="AF29" s="41"/>
    </row>
    <row r="30" spans="4:32" x14ac:dyDescent="0.2">
      <c r="D30" s="41"/>
      <c r="E30" s="41"/>
      <c r="F30" s="41"/>
      <c r="G30" s="41"/>
      <c r="H30" s="41"/>
      <c r="I30" s="41"/>
      <c r="J30" s="41"/>
      <c r="K30" s="41"/>
      <c r="L30" s="41"/>
      <c r="M30" s="41"/>
      <c r="N30" s="41"/>
      <c r="O30" s="41"/>
      <c r="P30" s="41"/>
      <c r="Q30" s="41"/>
      <c r="R30" s="41"/>
      <c r="S30" s="41"/>
      <c r="T30" s="41"/>
      <c r="U30" s="41"/>
      <c r="V30" s="41"/>
      <c r="W30" s="41"/>
      <c r="X30" s="41"/>
      <c r="Y30" s="41"/>
      <c r="Z30" s="41"/>
      <c r="AA30" s="41"/>
      <c r="AB30" s="41"/>
      <c r="AC30" s="41"/>
      <c r="AD30" s="41"/>
      <c r="AE30" s="41"/>
      <c r="AF30" s="41"/>
    </row>
    <row r="31" spans="4:32" x14ac:dyDescent="0.2">
      <c r="D31" s="41"/>
      <c r="E31" s="41"/>
      <c r="F31" s="41"/>
      <c r="G31" s="41"/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</row>
    <row r="32" spans="4:32" x14ac:dyDescent="0.2">
      <c r="D32" s="41"/>
      <c r="E32" s="41"/>
      <c r="F32" s="41"/>
      <c r="G32" s="41"/>
      <c r="H32" s="41"/>
      <c r="I32" s="41"/>
      <c r="J32" s="41"/>
      <c r="K32" s="41"/>
      <c r="L32" s="41"/>
      <c r="M32" s="41"/>
      <c r="N32" s="41"/>
      <c r="O32" s="41"/>
      <c r="P32" s="41"/>
      <c r="Q32" s="41"/>
      <c r="R32" s="41"/>
      <c r="S32" s="41"/>
      <c r="T32" s="41"/>
      <c r="U32" s="41"/>
      <c r="V32" s="41"/>
      <c r="W32" s="41"/>
      <c r="X32" s="41"/>
      <c r="Y32" s="41"/>
      <c r="Z32" s="41"/>
      <c r="AA32" s="41"/>
      <c r="AB32" s="41"/>
      <c r="AC32" s="41"/>
      <c r="AD32" s="41"/>
      <c r="AE32" s="41"/>
      <c r="AF32" s="41"/>
    </row>
    <row r="33" spans="4:32" x14ac:dyDescent="0.2">
      <c r="D33" s="41"/>
      <c r="E33" s="41"/>
      <c r="F33" s="41"/>
      <c r="G33" s="41"/>
      <c r="H33" s="41"/>
      <c r="I33" s="41"/>
      <c r="J33" s="41"/>
      <c r="K33" s="41"/>
      <c r="L33" s="41"/>
      <c r="M33" s="41"/>
      <c r="N33" s="41"/>
      <c r="O33" s="41"/>
      <c r="P33" s="41"/>
      <c r="Q33" s="41"/>
      <c r="R33" s="41"/>
      <c r="S33" s="41"/>
      <c r="T33" s="41"/>
      <c r="U33" s="41"/>
      <c r="V33" s="41"/>
      <c r="W33" s="41"/>
      <c r="X33" s="41"/>
      <c r="Y33" s="41"/>
      <c r="Z33" s="41"/>
      <c r="AA33" s="41"/>
      <c r="AB33" s="41"/>
      <c r="AC33" s="41"/>
      <c r="AD33" s="41"/>
      <c r="AE33" s="41"/>
      <c r="AF33" s="41"/>
    </row>
    <row r="34" spans="4:32" x14ac:dyDescent="0.2">
      <c r="D34" s="41"/>
      <c r="E34" s="41"/>
      <c r="F34" s="41"/>
      <c r="G34" s="41"/>
      <c r="H34" s="41"/>
      <c r="I34" s="41"/>
      <c r="J34" s="41"/>
      <c r="K34" s="41"/>
      <c r="L34" s="41"/>
      <c r="M34" s="41"/>
      <c r="N34" s="41"/>
      <c r="O34" s="41"/>
      <c r="P34" s="41"/>
      <c r="Q34" s="41"/>
      <c r="R34" s="41"/>
      <c r="S34" s="41"/>
      <c r="T34" s="41"/>
      <c r="U34" s="41"/>
      <c r="V34" s="41"/>
      <c r="W34" s="41"/>
      <c r="X34" s="41"/>
      <c r="Y34" s="41"/>
      <c r="Z34" s="41"/>
      <c r="AA34" s="41"/>
      <c r="AB34" s="41"/>
      <c r="AC34" s="41"/>
      <c r="AD34" s="41"/>
      <c r="AE34" s="41"/>
      <c r="AF34" s="41"/>
    </row>
    <row r="35" spans="4:32" x14ac:dyDescent="0.2">
      <c r="D35" s="41"/>
      <c r="E35" s="41"/>
      <c r="F35" s="41"/>
      <c r="G35" s="41"/>
      <c r="H35" s="41"/>
      <c r="I35" s="41"/>
      <c r="J35" s="41"/>
      <c r="K35" s="41"/>
      <c r="L35" s="41"/>
      <c r="M35" s="41"/>
      <c r="N35" s="41"/>
      <c r="O35" s="41"/>
      <c r="P35" s="41"/>
      <c r="Q35" s="41"/>
      <c r="R35" s="41"/>
      <c r="S35" s="41"/>
      <c r="T35" s="41"/>
      <c r="U35" s="41"/>
      <c r="V35" s="41"/>
      <c r="W35" s="41"/>
      <c r="X35" s="41"/>
      <c r="Y35" s="41"/>
      <c r="Z35" s="41"/>
      <c r="AA35" s="41"/>
      <c r="AB35" s="41"/>
      <c r="AC35" s="41"/>
      <c r="AD35" s="41"/>
      <c r="AE35" s="41"/>
      <c r="AF35" s="41"/>
    </row>
    <row r="36" spans="4:32" x14ac:dyDescent="0.2">
      <c r="D36" s="41"/>
      <c r="E36" s="41"/>
      <c r="F36" s="41"/>
      <c r="G36" s="41"/>
      <c r="H36" s="41"/>
      <c r="I36" s="41"/>
      <c r="J36" s="41"/>
      <c r="K36" s="41"/>
      <c r="L36" s="41"/>
      <c r="M36" s="41"/>
      <c r="N36" s="41"/>
      <c r="O36" s="41"/>
      <c r="P36" s="41"/>
      <c r="Q36" s="41"/>
      <c r="R36" s="41"/>
      <c r="S36" s="41"/>
      <c r="T36" s="41"/>
      <c r="U36" s="41"/>
      <c r="V36" s="41"/>
      <c r="W36" s="41"/>
      <c r="X36" s="41"/>
      <c r="Y36" s="41"/>
      <c r="Z36" s="41"/>
      <c r="AA36" s="41"/>
      <c r="AB36" s="41"/>
      <c r="AC36" s="41"/>
      <c r="AD36" s="41"/>
      <c r="AE36" s="41"/>
      <c r="AF36" s="41"/>
    </row>
    <row r="37" spans="4:32" x14ac:dyDescent="0.2">
      <c r="D37" s="41"/>
      <c r="E37" s="41"/>
      <c r="F37" s="41"/>
      <c r="G37" s="41"/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</row>
    <row r="38" spans="4:32" x14ac:dyDescent="0.2">
      <c r="D38" s="41"/>
      <c r="E38" s="41"/>
      <c r="F38" s="41"/>
      <c r="G38" s="41"/>
      <c r="H38" s="41"/>
      <c r="I38" s="41"/>
      <c r="J38" s="41"/>
      <c r="K38" s="41"/>
      <c r="L38" s="41"/>
      <c r="M38" s="41"/>
      <c r="N38" s="41"/>
      <c r="O38" s="41"/>
      <c r="P38" s="41"/>
      <c r="Q38" s="41"/>
      <c r="R38" s="41"/>
      <c r="S38" s="41"/>
      <c r="T38" s="41"/>
      <c r="U38" s="41"/>
      <c r="V38" s="41"/>
      <c r="W38" s="41"/>
      <c r="X38" s="41"/>
      <c r="Y38" s="41"/>
      <c r="Z38" s="41"/>
      <c r="AA38" s="41"/>
      <c r="AB38" s="41"/>
      <c r="AC38" s="41"/>
      <c r="AD38" s="41"/>
      <c r="AE38" s="41"/>
      <c r="AF38" s="41"/>
    </row>
    <row r="39" spans="4:32" x14ac:dyDescent="0.2">
      <c r="D39" s="41"/>
      <c r="E39" s="41"/>
      <c r="F39" s="41"/>
      <c r="G39" s="41"/>
      <c r="H39" s="41"/>
      <c r="I39" s="41"/>
      <c r="J39" s="41"/>
      <c r="K39" s="41"/>
      <c r="L39" s="41"/>
      <c r="M39" s="41"/>
      <c r="N39" s="41"/>
      <c r="O39" s="41"/>
      <c r="P39" s="41"/>
      <c r="Q39" s="41"/>
      <c r="R39" s="41"/>
      <c r="S39" s="41"/>
      <c r="T39" s="41"/>
      <c r="U39" s="41"/>
      <c r="V39" s="41"/>
      <c r="W39" s="41"/>
      <c r="X39" s="41"/>
      <c r="Y39" s="41"/>
      <c r="Z39" s="41"/>
      <c r="AA39" s="41"/>
      <c r="AB39" s="41"/>
      <c r="AC39" s="41"/>
      <c r="AD39" s="41"/>
      <c r="AE39" s="41"/>
      <c r="AF39" s="41"/>
    </row>
    <row r="40" spans="4:32" x14ac:dyDescent="0.2">
      <c r="D40" s="41"/>
      <c r="E40" s="41"/>
      <c r="F40" s="41"/>
      <c r="G40" s="41"/>
      <c r="H40" s="41"/>
      <c r="I40" s="41"/>
      <c r="J40" s="41"/>
      <c r="K40" s="41"/>
      <c r="L40" s="41"/>
      <c r="M40" s="41"/>
      <c r="N40" s="41"/>
      <c r="O40" s="41"/>
      <c r="P40" s="41"/>
      <c r="Q40" s="41"/>
      <c r="R40" s="41"/>
      <c r="S40" s="41"/>
      <c r="T40" s="41"/>
      <c r="U40" s="41"/>
      <c r="V40" s="41"/>
      <c r="W40" s="41"/>
      <c r="X40" s="41"/>
      <c r="Y40" s="41"/>
      <c r="Z40" s="41"/>
      <c r="AA40" s="41"/>
      <c r="AB40" s="41"/>
      <c r="AC40" s="41"/>
      <c r="AD40" s="41"/>
      <c r="AE40" s="41"/>
      <c r="AF40" s="41"/>
    </row>
    <row r="41" spans="4:32" x14ac:dyDescent="0.2">
      <c r="D41" s="41"/>
      <c r="E41" s="41"/>
      <c r="F41" s="41"/>
      <c r="G41" s="41"/>
      <c r="H41" s="41"/>
      <c r="I41" s="41"/>
      <c r="J41" s="41"/>
      <c r="K41" s="41"/>
      <c r="L41" s="41"/>
      <c r="M41" s="41"/>
      <c r="N41" s="41"/>
      <c r="O41" s="41"/>
      <c r="P41" s="41"/>
      <c r="Q41" s="41"/>
      <c r="R41" s="41"/>
      <c r="S41" s="41"/>
      <c r="T41" s="41"/>
      <c r="U41" s="41"/>
      <c r="V41" s="41"/>
      <c r="W41" s="41"/>
      <c r="X41" s="41"/>
      <c r="Y41" s="41"/>
      <c r="Z41" s="41"/>
      <c r="AA41" s="41"/>
      <c r="AB41" s="41"/>
      <c r="AC41" s="41"/>
      <c r="AD41" s="41"/>
      <c r="AE41" s="41"/>
      <c r="AF41" s="41"/>
    </row>
    <row r="42" spans="4:32" x14ac:dyDescent="0.2">
      <c r="D42" s="41"/>
      <c r="E42" s="41"/>
      <c r="F42" s="41"/>
      <c r="G42" s="41"/>
      <c r="H42" s="41"/>
      <c r="I42" s="41"/>
      <c r="J42" s="41"/>
      <c r="K42" s="41"/>
      <c r="L42" s="41"/>
      <c r="M42" s="41"/>
      <c r="N42" s="41"/>
      <c r="O42" s="41"/>
      <c r="P42" s="41"/>
      <c r="Q42" s="41"/>
      <c r="R42" s="41"/>
      <c r="S42" s="41"/>
      <c r="T42" s="41"/>
      <c r="U42" s="41"/>
      <c r="V42" s="41"/>
      <c r="W42" s="41"/>
      <c r="X42" s="41"/>
      <c r="Y42" s="41"/>
      <c r="Z42" s="41"/>
      <c r="AA42" s="41"/>
      <c r="AB42" s="41"/>
      <c r="AC42" s="41"/>
      <c r="AD42" s="41"/>
      <c r="AE42" s="41"/>
      <c r="AF42" s="41"/>
    </row>
    <row r="43" spans="4:32" x14ac:dyDescent="0.2">
      <c r="D43" s="41"/>
      <c r="E43" s="41"/>
      <c r="F43" s="41"/>
      <c r="G43" s="41"/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</row>
    <row r="44" spans="4:32" x14ac:dyDescent="0.2">
      <c r="D44" s="41"/>
      <c r="E44" s="41"/>
      <c r="F44" s="41"/>
      <c r="G44" s="41"/>
      <c r="H44" s="41"/>
      <c r="I44" s="41"/>
      <c r="J44" s="41"/>
      <c r="K44" s="41"/>
      <c r="L44" s="41"/>
      <c r="M44" s="41"/>
      <c r="N44" s="41"/>
      <c r="O44" s="41"/>
      <c r="P44" s="41"/>
      <c r="Q44" s="41"/>
      <c r="R44" s="41"/>
      <c r="S44" s="41"/>
      <c r="T44" s="41"/>
      <c r="U44" s="41"/>
      <c r="V44" s="41"/>
      <c r="W44" s="41"/>
      <c r="X44" s="41"/>
      <c r="Y44" s="41"/>
      <c r="Z44" s="41"/>
      <c r="AA44" s="41"/>
      <c r="AB44" s="41"/>
      <c r="AC44" s="41"/>
      <c r="AD44" s="41"/>
      <c r="AE44" s="41"/>
      <c r="AF44" s="41"/>
    </row>
    <row r="45" spans="4:32" x14ac:dyDescent="0.2">
      <c r="D45" s="41"/>
      <c r="E45" s="41"/>
      <c r="F45" s="41"/>
      <c r="G45" s="41"/>
      <c r="H45" s="41"/>
      <c r="I45" s="41"/>
      <c r="J45" s="41"/>
      <c r="K45" s="41"/>
      <c r="L45" s="41"/>
      <c r="M45" s="41"/>
      <c r="N45" s="41"/>
      <c r="O45" s="41"/>
      <c r="P45" s="41"/>
      <c r="Q45" s="41"/>
      <c r="R45" s="41"/>
      <c r="S45" s="41"/>
      <c r="T45" s="41"/>
      <c r="U45" s="41"/>
      <c r="V45" s="41"/>
      <c r="W45" s="41"/>
      <c r="X45" s="41"/>
      <c r="Y45" s="41"/>
      <c r="Z45" s="41"/>
      <c r="AA45" s="41"/>
      <c r="AB45" s="41"/>
      <c r="AC45" s="41"/>
      <c r="AD45" s="41"/>
      <c r="AE45" s="41"/>
      <c r="AF45" s="41"/>
    </row>
    <row r="46" spans="4:32" x14ac:dyDescent="0.2">
      <c r="D46" s="41"/>
      <c r="E46" s="41"/>
      <c r="F46" s="41"/>
      <c r="G46" s="41"/>
      <c r="H46" s="41"/>
      <c r="I46" s="41"/>
      <c r="J46" s="41"/>
      <c r="K46" s="41"/>
      <c r="L46" s="41"/>
      <c r="M46" s="41"/>
      <c r="N46" s="41"/>
      <c r="O46" s="41"/>
      <c r="P46" s="41"/>
      <c r="Q46" s="41"/>
      <c r="R46" s="41"/>
      <c r="S46" s="41"/>
      <c r="T46" s="41"/>
      <c r="U46" s="41"/>
      <c r="V46" s="41"/>
      <c r="W46" s="41"/>
      <c r="X46" s="41"/>
      <c r="Y46" s="41"/>
      <c r="Z46" s="41"/>
      <c r="AA46" s="41"/>
      <c r="AB46" s="41"/>
      <c r="AC46" s="41"/>
      <c r="AD46" s="41"/>
      <c r="AE46" s="41"/>
      <c r="AF46" s="41"/>
    </row>
    <row r="47" spans="4:32" x14ac:dyDescent="0.2">
      <c r="D47" s="41"/>
      <c r="E47" s="41"/>
      <c r="F47" s="41"/>
      <c r="G47" s="41"/>
      <c r="H47" s="41"/>
      <c r="I47" s="41"/>
      <c r="J47" s="41"/>
      <c r="K47" s="41"/>
      <c r="L47" s="41"/>
      <c r="M47" s="41"/>
      <c r="N47" s="41"/>
      <c r="O47" s="41"/>
      <c r="P47" s="41"/>
      <c r="Q47" s="41"/>
      <c r="R47" s="41"/>
      <c r="S47" s="41"/>
      <c r="T47" s="41"/>
      <c r="U47" s="41"/>
      <c r="V47" s="41"/>
      <c r="W47" s="41"/>
      <c r="X47" s="41"/>
      <c r="Y47" s="41"/>
      <c r="Z47" s="41"/>
      <c r="AA47" s="41"/>
      <c r="AB47" s="41"/>
      <c r="AC47" s="41"/>
      <c r="AD47" s="41"/>
      <c r="AE47" s="41"/>
      <c r="AF47" s="41"/>
    </row>
    <row r="48" spans="4:32" x14ac:dyDescent="0.2">
      <c r="D48" s="41"/>
      <c r="E48" s="41"/>
      <c r="F48" s="41"/>
      <c r="G48" s="41"/>
      <c r="H48" s="41"/>
      <c r="I48" s="41"/>
      <c r="J48" s="41"/>
      <c r="K48" s="41"/>
      <c r="L48" s="41"/>
      <c r="M48" s="41"/>
      <c r="N48" s="41"/>
      <c r="O48" s="41"/>
      <c r="P48" s="41"/>
      <c r="Q48" s="41"/>
      <c r="R48" s="41"/>
      <c r="S48" s="41"/>
      <c r="T48" s="41"/>
      <c r="U48" s="41"/>
      <c r="V48" s="41"/>
      <c r="W48" s="41"/>
      <c r="X48" s="41"/>
      <c r="Y48" s="41"/>
      <c r="Z48" s="41"/>
      <c r="AA48" s="41"/>
      <c r="AB48" s="41"/>
      <c r="AC48" s="41"/>
      <c r="AD48" s="41"/>
      <c r="AE48" s="41"/>
      <c r="AF48" s="41"/>
    </row>
    <row r="49" spans="2:34" x14ac:dyDescent="0.2">
      <c r="D49" s="41"/>
      <c r="E49" s="41"/>
      <c r="F49" s="41"/>
      <c r="G49" s="41"/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</row>
    <row r="50" spans="2:34" x14ac:dyDescent="0.2">
      <c r="D50" s="41"/>
      <c r="E50" s="41"/>
      <c r="F50" s="41"/>
      <c r="G50" s="41"/>
      <c r="H50" s="41"/>
      <c r="I50" s="41"/>
      <c r="J50" s="41"/>
      <c r="K50" s="41"/>
      <c r="L50" s="41"/>
      <c r="M50" s="41"/>
      <c r="N50" s="41"/>
      <c r="O50" s="41"/>
      <c r="P50" s="41"/>
      <c r="Q50" s="41"/>
      <c r="R50" s="41"/>
      <c r="S50" s="41"/>
      <c r="T50" s="41"/>
      <c r="U50" s="41"/>
      <c r="V50" s="41"/>
      <c r="W50" s="41"/>
      <c r="X50" s="41"/>
      <c r="Y50" s="41"/>
      <c r="Z50" s="41"/>
      <c r="AA50" s="41"/>
      <c r="AB50" s="41"/>
      <c r="AC50" s="41"/>
      <c r="AD50" s="41"/>
      <c r="AE50" s="41"/>
      <c r="AF50" s="41"/>
    </row>
    <row r="51" spans="2:34" x14ac:dyDescent="0.2">
      <c r="D51" s="41"/>
      <c r="E51" s="41"/>
      <c r="F51" s="41"/>
      <c r="G51" s="41"/>
      <c r="H51" s="41"/>
      <c r="I51" s="41"/>
      <c r="J51" s="41"/>
      <c r="K51" s="41"/>
      <c r="L51" s="41"/>
      <c r="M51" s="41"/>
      <c r="N51" s="41"/>
      <c r="O51" s="41"/>
      <c r="P51" s="41"/>
      <c r="Q51" s="41"/>
      <c r="R51" s="41"/>
      <c r="S51" s="41"/>
      <c r="T51" s="41"/>
      <c r="U51" s="41"/>
      <c r="V51" s="41"/>
      <c r="W51" s="41"/>
      <c r="X51" s="41"/>
      <c r="Y51" s="41"/>
      <c r="Z51" s="41"/>
      <c r="AA51" s="41"/>
      <c r="AB51" s="41"/>
      <c r="AC51" s="41"/>
      <c r="AD51" s="41"/>
      <c r="AE51" s="41"/>
      <c r="AF51" s="41"/>
    </row>
    <row r="52" spans="2:34" x14ac:dyDescent="0.2">
      <c r="D52" s="41"/>
      <c r="E52" s="41"/>
      <c r="F52" s="41"/>
      <c r="G52" s="41"/>
      <c r="H52" s="41"/>
      <c r="I52" s="41"/>
      <c r="J52" s="41"/>
      <c r="K52" s="41"/>
      <c r="L52" s="41"/>
      <c r="M52" s="41"/>
      <c r="N52" s="41"/>
      <c r="O52" s="41"/>
      <c r="P52" s="41"/>
      <c r="Q52" s="41"/>
      <c r="R52" s="41"/>
      <c r="S52" s="41"/>
      <c r="T52" s="41"/>
      <c r="U52" s="41"/>
      <c r="V52" s="41"/>
      <c r="W52" s="41"/>
      <c r="X52" s="41"/>
      <c r="Y52" s="41"/>
      <c r="Z52" s="41"/>
      <c r="AA52" s="41"/>
      <c r="AB52" s="41"/>
      <c r="AC52" s="41"/>
      <c r="AD52" s="41"/>
      <c r="AE52" s="41"/>
      <c r="AF52" s="41"/>
    </row>
    <row r="53" spans="2:34" x14ac:dyDescent="0.2">
      <c r="D53" s="41"/>
      <c r="E53" s="41"/>
      <c r="F53" s="41"/>
      <c r="G53" s="41"/>
      <c r="H53" s="41"/>
      <c r="I53" s="41"/>
      <c r="J53" s="41"/>
      <c r="K53" s="41"/>
      <c r="L53" s="41"/>
      <c r="M53" s="41"/>
      <c r="N53" s="41"/>
      <c r="O53" s="41"/>
      <c r="P53" s="41"/>
      <c r="Q53" s="41"/>
      <c r="R53" s="41"/>
      <c r="S53" s="41"/>
      <c r="T53" s="41"/>
      <c r="U53" s="41"/>
      <c r="V53" s="41"/>
      <c r="W53" s="41"/>
      <c r="X53" s="41"/>
      <c r="Y53" s="41"/>
      <c r="Z53" s="41"/>
      <c r="AA53" s="41"/>
      <c r="AB53" s="41"/>
      <c r="AC53" s="41"/>
      <c r="AD53" s="41"/>
      <c r="AE53" s="41"/>
      <c r="AF53" s="41"/>
    </row>
    <row r="54" spans="2:34" x14ac:dyDescent="0.2">
      <c r="D54" s="41"/>
      <c r="E54" s="41"/>
      <c r="F54" s="41"/>
      <c r="G54" s="41"/>
      <c r="H54" s="41"/>
      <c r="I54" s="41"/>
      <c r="J54" s="41"/>
      <c r="K54" s="41"/>
      <c r="L54" s="41"/>
      <c r="M54" s="41"/>
      <c r="N54" s="41"/>
      <c r="O54" s="41"/>
      <c r="P54" s="41"/>
      <c r="Q54" s="41"/>
      <c r="R54" s="41"/>
      <c r="S54" s="41"/>
      <c r="T54" s="41"/>
      <c r="U54" s="41"/>
      <c r="V54" s="41"/>
      <c r="W54" s="41"/>
      <c r="X54" s="41"/>
      <c r="Y54" s="41"/>
      <c r="Z54" s="41"/>
      <c r="AA54" s="41"/>
      <c r="AB54" s="41"/>
      <c r="AC54" s="41"/>
      <c r="AD54" s="41"/>
      <c r="AE54" s="41"/>
      <c r="AF54" s="41"/>
    </row>
    <row r="55" spans="2:34" x14ac:dyDescent="0.2">
      <c r="D55" s="41"/>
      <c r="E55" s="41"/>
      <c r="F55" s="41"/>
      <c r="G55" s="41"/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</row>
    <row r="56" spans="2:34" x14ac:dyDescent="0.2">
      <c r="D56" s="41"/>
      <c r="E56" s="41"/>
      <c r="F56" s="41"/>
      <c r="G56" s="41"/>
      <c r="H56" s="41"/>
      <c r="I56" s="41"/>
      <c r="J56" s="41"/>
      <c r="K56" s="41"/>
      <c r="L56" s="41"/>
      <c r="M56" s="41"/>
      <c r="N56" s="41"/>
      <c r="O56" s="41"/>
      <c r="P56" s="41"/>
      <c r="Q56" s="41"/>
      <c r="R56" s="41"/>
      <c r="S56" s="41"/>
      <c r="T56" s="41"/>
      <c r="U56" s="41"/>
      <c r="V56" s="41"/>
      <c r="W56" s="41"/>
      <c r="X56" s="41"/>
      <c r="Y56" s="41"/>
      <c r="Z56" s="41"/>
      <c r="AA56" s="41"/>
      <c r="AB56" s="41"/>
      <c r="AC56" s="41"/>
      <c r="AD56" s="41"/>
      <c r="AE56" s="41"/>
      <c r="AF56" s="41"/>
    </row>
    <row r="64" spans="2:34" ht="33.75" x14ac:dyDescent="0.2">
      <c r="B64" s="44"/>
      <c r="C64" s="45"/>
      <c r="D64" s="45"/>
      <c r="E64" s="45"/>
      <c r="F64" s="45"/>
      <c r="G64" s="45"/>
      <c r="H64" s="45"/>
      <c r="I64" s="45"/>
      <c r="J64" s="45"/>
      <c r="K64" s="45"/>
      <c r="L64" s="45"/>
      <c r="M64" s="45"/>
      <c r="N64" s="45"/>
      <c r="O64" s="45"/>
      <c r="P64" s="45"/>
      <c r="Q64" s="45"/>
      <c r="R64" s="45"/>
      <c r="S64" s="45"/>
      <c r="T64" s="45"/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</row>
    <row r="531" spans="2:34" ht="32.25" x14ac:dyDescent="0.2">
      <c r="B531" s="43"/>
      <c r="C531" s="43"/>
      <c r="D531" s="43"/>
      <c r="E531" s="43"/>
      <c r="F531" s="43"/>
      <c r="G531" s="43"/>
      <c r="H531" s="43"/>
      <c r="I531" s="43"/>
      <c r="J531" s="43"/>
      <c r="K531" s="43"/>
      <c r="L531" s="43"/>
      <c r="M531" s="43"/>
      <c r="N531" s="43"/>
      <c r="O531" s="43"/>
      <c r="P531" s="43"/>
      <c r="Q531" s="43"/>
      <c r="R531" s="43"/>
      <c r="S531" s="43"/>
      <c r="T531" s="43"/>
      <c r="U531" s="43"/>
      <c r="V531" s="43"/>
      <c r="W531" s="43"/>
      <c r="X531" s="43"/>
      <c r="Y531" s="43"/>
      <c r="Z531" s="43"/>
      <c r="AA531" s="43"/>
      <c r="AB531" s="43"/>
      <c r="AC531" s="43"/>
      <c r="AD531" s="43"/>
      <c r="AE531" s="43"/>
      <c r="AF531" s="43"/>
      <c r="AG531" s="43"/>
      <c r="AH531" s="43"/>
    </row>
  </sheetData>
  <mergeCells count="3">
    <mergeCell ref="B531:AH531"/>
    <mergeCell ref="B64:AH64"/>
    <mergeCell ref="G13:AC13"/>
  </mergeCells>
  <phoneticPr fontId="0" type="noConversion"/>
  <printOptions horizontalCentered="1"/>
  <pageMargins left="0.23622047244094491" right="0.23622047244094491" top="0.74803149606299213" bottom="0.74803149606299213" header="0.23622047244094491" footer="0.51181102362204722"/>
  <pageSetup scale="23" fitToWidth="0" fitToHeight="0" orientation="landscape" horizontalDpi="300" verticalDpi="300" r:id="rId1"/>
  <headerFooter alignWithMargins="0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autoPageBreaks="0" fitToPage="1"/>
  </sheetPr>
  <dimension ref="A1:U131"/>
  <sheetViews>
    <sheetView showGridLines="0" showRowColHeaders="0" zoomScaleNormal="100" workbookViewId="0"/>
  </sheetViews>
  <sheetFormatPr defaultRowHeight="12.75" x14ac:dyDescent="0.2"/>
  <cols>
    <col min="1" max="1" width="1.28515625" style="2" customWidth="1"/>
    <col min="2" max="2" width="41.28515625" style="2" customWidth="1"/>
    <col min="3" max="14" width="11.5703125" style="2" bestFit="1" customWidth="1"/>
    <col min="15" max="15" width="12.7109375" style="2" bestFit="1" customWidth="1"/>
    <col min="16" max="16" width="1.28515625" style="2" customWidth="1"/>
    <col min="17" max="16384" width="9.140625" style="2"/>
  </cols>
  <sheetData>
    <row r="1" spans="2:15" x14ac:dyDescent="0.2">
      <c r="B1" s="3"/>
    </row>
    <row r="2" spans="2:15" x14ac:dyDescent="0.2">
      <c r="B2" s="11" t="s">
        <v>0</v>
      </c>
      <c r="C2" s="40">
        <v>36526</v>
      </c>
      <c r="D2" s="12">
        <f>C2+31</f>
        <v>36557</v>
      </c>
      <c r="E2" s="12">
        <f t="shared" ref="E2:N2" si="0">D2+31</f>
        <v>36588</v>
      </c>
      <c r="F2" s="12">
        <f t="shared" si="0"/>
        <v>36619</v>
      </c>
      <c r="G2" s="12">
        <f t="shared" si="0"/>
        <v>36650</v>
      </c>
      <c r="H2" s="12">
        <f t="shared" si="0"/>
        <v>36681</v>
      </c>
      <c r="I2" s="12">
        <f t="shared" si="0"/>
        <v>36712</v>
      </c>
      <c r="J2" s="12">
        <f t="shared" si="0"/>
        <v>36743</v>
      </c>
      <c r="K2" s="12">
        <f>J2+31</f>
        <v>36774</v>
      </c>
      <c r="L2" s="12">
        <f t="shared" si="0"/>
        <v>36805</v>
      </c>
      <c r="M2" s="12">
        <f t="shared" si="0"/>
        <v>36836</v>
      </c>
      <c r="N2" s="12">
        <f t="shared" si="0"/>
        <v>36867</v>
      </c>
      <c r="O2" s="13" t="s">
        <v>1</v>
      </c>
    </row>
    <row r="3" spans="2:15" x14ac:dyDescent="0.2">
      <c r="B3" s="14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</row>
    <row r="4" spans="2:15" x14ac:dyDescent="0.2">
      <c r="B4" s="16" t="s">
        <v>2</v>
      </c>
    </row>
    <row r="5" spans="2:15" x14ac:dyDescent="0.2">
      <c r="B5" s="17" t="s">
        <v>32</v>
      </c>
      <c r="C5" s="4">
        <v>1600</v>
      </c>
      <c r="D5" s="4">
        <v>3350</v>
      </c>
      <c r="E5" s="4">
        <v>5100</v>
      </c>
      <c r="F5" s="4">
        <v>6850</v>
      </c>
      <c r="G5" s="4">
        <v>8600</v>
      </c>
      <c r="H5" s="4">
        <v>10350</v>
      </c>
      <c r="I5" s="4">
        <v>12100</v>
      </c>
      <c r="J5" s="4">
        <v>13850</v>
      </c>
      <c r="K5" s="4">
        <v>15600</v>
      </c>
      <c r="L5" s="4">
        <v>17350</v>
      </c>
      <c r="M5" s="4">
        <v>19100</v>
      </c>
      <c r="N5" s="4">
        <v>20850</v>
      </c>
      <c r="O5" s="39">
        <f>SUM(C5:N5)</f>
        <v>134700</v>
      </c>
    </row>
    <row r="6" spans="2:15" x14ac:dyDescent="0.2">
      <c r="B6" s="18" t="s">
        <v>29</v>
      </c>
      <c r="C6" s="4">
        <v>595</v>
      </c>
      <c r="D6" s="4">
        <v>1678</v>
      </c>
      <c r="E6" s="4">
        <v>4754</v>
      </c>
      <c r="F6" s="4">
        <v>6501</v>
      </c>
      <c r="G6" s="4">
        <v>7744</v>
      </c>
      <c r="H6" s="4">
        <v>9845</v>
      </c>
      <c r="I6" s="4">
        <v>10976</v>
      </c>
      <c r="J6" s="4">
        <v>11232</v>
      </c>
      <c r="K6" s="4">
        <v>14323</v>
      </c>
      <c r="L6" s="4">
        <v>15434</v>
      </c>
      <c r="M6" s="4">
        <v>16543</v>
      </c>
      <c r="N6" s="4">
        <v>17896</v>
      </c>
      <c r="O6" s="39">
        <f>SUM(C6:N6)</f>
        <v>117521</v>
      </c>
    </row>
    <row r="7" spans="2:15" x14ac:dyDescent="0.2">
      <c r="B7" s="18" t="s">
        <v>38</v>
      </c>
      <c r="C7" s="39">
        <f>C5-C6</f>
        <v>1005</v>
      </c>
      <c r="D7" s="39">
        <f t="shared" ref="D7:J7" si="1">D5-D6</f>
        <v>1672</v>
      </c>
      <c r="E7" s="39">
        <f t="shared" si="1"/>
        <v>346</v>
      </c>
      <c r="F7" s="39">
        <f t="shared" si="1"/>
        <v>349</v>
      </c>
      <c r="G7" s="39">
        <f t="shared" si="1"/>
        <v>856</v>
      </c>
      <c r="H7" s="39">
        <f t="shared" si="1"/>
        <v>505</v>
      </c>
      <c r="I7" s="39">
        <f t="shared" si="1"/>
        <v>1124</v>
      </c>
      <c r="J7" s="39">
        <f t="shared" si="1"/>
        <v>2618</v>
      </c>
      <c r="K7" s="39">
        <f>K5-K6</f>
        <v>1277</v>
      </c>
      <c r="L7" s="39">
        <f>L5-L6</f>
        <v>1916</v>
      </c>
      <c r="M7" s="39">
        <f>M5-M6</f>
        <v>2557</v>
      </c>
      <c r="N7" s="39">
        <f>N5-N6</f>
        <v>2954</v>
      </c>
      <c r="O7" s="39">
        <f>O6-O5</f>
        <v>-17179</v>
      </c>
    </row>
    <row r="8" spans="2:15" x14ac:dyDescent="0.2">
      <c r="B8" s="18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5"/>
    </row>
    <row r="9" spans="2:15" x14ac:dyDescent="0.2">
      <c r="B9" s="17" t="s">
        <v>33</v>
      </c>
      <c r="C9" s="4">
        <v>2600</v>
      </c>
      <c r="D9" s="4">
        <v>3350</v>
      </c>
      <c r="E9" s="4">
        <v>4100</v>
      </c>
      <c r="F9" s="4">
        <v>4850</v>
      </c>
      <c r="G9" s="4">
        <v>5600</v>
      </c>
      <c r="H9" s="4">
        <v>6350</v>
      </c>
      <c r="I9" s="4">
        <v>7100</v>
      </c>
      <c r="J9" s="4">
        <v>7850</v>
      </c>
      <c r="K9" s="4">
        <v>8600</v>
      </c>
      <c r="L9" s="4">
        <v>9350</v>
      </c>
      <c r="M9" s="4">
        <v>10100</v>
      </c>
      <c r="N9" s="4">
        <v>10850</v>
      </c>
      <c r="O9" s="39">
        <f>SUM(C9:N9)</f>
        <v>80700</v>
      </c>
    </row>
    <row r="10" spans="2:15" x14ac:dyDescent="0.2">
      <c r="B10" s="18" t="s">
        <v>29</v>
      </c>
      <c r="C10" s="4">
        <v>1595</v>
      </c>
      <c r="D10" s="4">
        <v>1678</v>
      </c>
      <c r="E10" s="4">
        <v>2754</v>
      </c>
      <c r="F10" s="4">
        <v>3168</v>
      </c>
      <c r="G10" s="4">
        <v>3747.5</v>
      </c>
      <c r="H10" s="4">
        <v>4327</v>
      </c>
      <c r="I10" s="4">
        <v>4906.5</v>
      </c>
      <c r="J10" s="4">
        <v>5486</v>
      </c>
      <c r="K10" s="4">
        <v>6065.5</v>
      </c>
      <c r="L10" s="4">
        <v>6645</v>
      </c>
      <c r="M10" s="4">
        <v>7224.5</v>
      </c>
      <c r="N10" s="4">
        <v>7804</v>
      </c>
      <c r="O10" s="39">
        <f>SUM(C10:N10)</f>
        <v>55401</v>
      </c>
    </row>
    <row r="11" spans="2:15" x14ac:dyDescent="0.2">
      <c r="B11" s="18" t="s">
        <v>38</v>
      </c>
      <c r="C11" s="39">
        <f t="shared" ref="C11:N11" si="2">C9-C10</f>
        <v>1005</v>
      </c>
      <c r="D11" s="39">
        <f t="shared" si="2"/>
        <v>1672</v>
      </c>
      <c r="E11" s="39">
        <f t="shared" si="2"/>
        <v>1346</v>
      </c>
      <c r="F11" s="39">
        <f t="shared" si="2"/>
        <v>1682</v>
      </c>
      <c r="G11" s="39">
        <f t="shared" si="2"/>
        <v>1852.5</v>
      </c>
      <c r="H11" s="39">
        <f t="shared" si="2"/>
        <v>2023</v>
      </c>
      <c r="I11" s="39">
        <f t="shared" si="2"/>
        <v>2193.5</v>
      </c>
      <c r="J11" s="39">
        <f t="shared" si="2"/>
        <v>2364</v>
      </c>
      <c r="K11" s="39">
        <f t="shared" si="2"/>
        <v>2534.5</v>
      </c>
      <c r="L11" s="39">
        <f t="shared" si="2"/>
        <v>2705</v>
      </c>
      <c r="M11" s="39">
        <f t="shared" si="2"/>
        <v>2875.5</v>
      </c>
      <c r="N11" s="39">
        <f t="shared" si="2"/>
        <v>3046</v>
      </c>
      <c r="O11" s="39">
        <f>SUM(C11:N11)</f>
        <v>25299</v>
      </c>
    </row>
    <row r="12" spans="2:15" x14ac:dyDescent="0.2">
      <c r="B12" s="18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5"/>
    </row>
    <row r="13" spans="2:15" x14ac:dyDescent="0.2">
      <c r="B13" s="17" t="s">
        <v>34</v>
      </c>
      <c r="C13" s="4">
        <v>1600</v>
      </c>
      <c r="D13" s="4">
        <v>3350</v>
      </c>
      <c r="E13" s="4">
        <v>5100</v>
      </c>
      <c r="F13" s="4">
        <v>6850</v>
      </c>
      <c r="G13" s="4">
        <v>8600</v>
      </c>
      <c r="H13" s="4">
        <v>10350</v>
      </c>
      <c r="I13" s="4">
        <v>12100</v>
      </c>
      <c r="J13" s="4">
        <v>13850</v>
      </c>
      <c r="K13" s="4">
        <v>15600</v>
      </c>
      <c r="L13" s="4">
        <v>17350</v>
      </c>
      <c r="M13" s="4">
        <v>19100</v>
      </c>
      <c r="N13" s="4">
        <v>20850</v>
      </c>
      <c r="O13" s="39">
        <f>SUM(C13:N13)</f>
        <v>134700</v>
      </c>
    </row>
    <row r="14" spans="2:15" x14ac:dyDescent="0.2">
      <c r="B14" s="18" t="s">
        <v>29</v>
      </c>
      <c r="C14" s="4">
        <v>1895</v>
      </c>
      <c r="D14" s="4">
        <v>3678</v>
      </c>
      <c r="E14" s="4">
        <v>5754</v>
      </c>
      <c r="F14" s="4">
        <v>7501</v>
      </c>
      <c r="G14" s="4">
        <v>9430.5000000000091</v>
      </c>
      <c r="H14" s="4">
        <v>11319.9</v>
      </c>
      <c r="I14" s="4">
        <v>13209.3</v>
      </c>
      <c r="J14" s="4">
        <v>15098.7</v>
      </c>
      <c r="K14" s="4">
        <v>16988.099999999999</v>
      </c>
      <c r="L14" s="4">
        <v>18877.5</v>
      </c>
      <c r="M14" s="4">
        <v>20766.900000000001</v>
      </c>
      <c r="N14" s="4">
        <v>22656.3</v>
      </c>
      <c r="O14" s="39">
        <f>SUM(C14:N14)</f>
        <v>147175.19999999998</v>
      </c>
    </row>
    <row r="15" spans="2:15" x14ac:dyDescent="0.2">
      <c r="B15" s="18" t="s">
        <v>38</v>
      </c>
      <c r="C15" s="39">
        <f t="shared" ref="C15:N15" si="3">C13-C14</f>
        <v>-295</v>
      </c>
      <c r="D15" s="39">
        <f t="shared" si="3"/>
        <v>-328</v>
      </c>
      <c r="E15" s="39">
        <f t="shared" si="3"/>
        <v>-654</v>
      </c>
      <c r="F15" s="39">
        <f t="shared" si="3"/>
        <v>-651</v>
      </c>
      <c r="G15" s="39">
        <f t="shared" si="3"/>
        <v>-830.50000000000909</v>
      </c>
      <c r="H15" s="39">
        <f t="shared" si="3"/>
        <v>-969.89999999999964</v>
      </c>
      <c r="I15" s="39">
        <f t="shared" si="3"/>
        <v>-1109.2999999999993</v>
      </c>
      <c r="J15" s="39">
        <f t="shared" si="3"/>
        <v>-1248.7000000000007</v>
      </c>
      <c r="K15" s="39">
        <f t="shared" si="3"/>
        <v>-1388.0999999999985</v>
      </c>
      <c r="L15" s="39">
        <f t="shared" si="3"/>
        <v>-1527.5</v>
      </c>
      <c r="M15" s="39">
        <f t="shared" si="3"/>
        <v>-1666.9000000000015</v>
      </c>
      <c r="N15" s="39">
        <f t="shared" si="3"/>
        <v>-1806.2999999999993</v>
      </c>
      <c r="O15" s="39">
        <f>SUM(C15:N15)</f>
        <v>-12475.200000000008</v>
      </c>
    </row>
    <row r="16" spans="2:15" x14ac:dyDescent="0.2">
      <c r="B16" s="18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</row>
    <row r="17" spans="2:15" x14ac:dyDescent="0.2">
      <c r="B17" s="17" t="s">
        <v>35</v>
      </c>
      <c r="C17" s="4">
        <v>1600</v>
      </c>
      <c r="D17" s="4">
        <v>3350</v>
      </c>
      <c r="E17" s="4">
        <v>5100</v>
      </c>
      <c r="F17" s="4">
        <v>6850</v>
      </c>
      <c r="G17" s="4">
        <v>12600</v>
      </c>
      <c r="H17" s="4">
        <v>10350</v>
      </c>
      <c r="I17" s="4">
        <v>15100</v>
      </c>
      <c r="J17" s="4">
        <v>15183.333333333299</v>
      </c>
      <c r="K17" s="4">
        <v>16433.333333333299</v>
      </c>
      <c r="L17" s="4">
        <v>17683.333333333299</v>
      </c>
      <c r="M17" s="4">
        <v>18933.333333333299</v>
      </c>
      <c r="N17" s="4">
        <v>20183.333333333299</v>
      </c>
      <c r="O17" s="39">
        <f>SUM(C17:N17)</f>
        <v>143366.66666666651</v>
      </c>
    </row>
    <row r="18" spans="2:15" x14ac:dyDescent="0.2">
      <c r="B18" s="18" t="s">
        <v>29</v>
      </c>
      <c r="C18" s="4">
        <v>2895</v>
      </c>
      <c r="D18" s="4">
        <v>4678</v>
      </c>
      <c r="E18" s="4">
        <v>7754</v>
      </c>
      <c r="F18" s="4">
        <v>6501</v>
      </c>
      <c r="G18" s="4">
        <v>9430.5000000000091</v>
      </c>
      <c r="H18" s="4">
        <v>11319.9</v>
      </c>
      <c r="I18" s="4">
        <v>13209.3</v>
      </c>
      <c r="J18" s="4">
        <v>15098.7</v>
      </c>
      <c r="K18" s="4">
        <v>16988.099999999999</v>
      </c>
      <c r="L18" s="4">
        <v>18877.5</v>
      </c>
      <c r="M18" s="4">
        <v>20766.900000000001</v>
      </c>
      <c r="N18" s="4">
        <v>22656.3</v>
      </c>
      <c r="O18" s="39">
        <f>SUM(C18:N18)</f>
        <v>150175.19999999998</v>
      </c>
    </row>
    <row r="19" spans="2:15" x14ac:dyDescent="0.2">
      <c r="B19" s="18" t="s">
        <v>38</v>
      </c>
      <c r="C19" s="39">
        <f t="shared" ref="C19:N19" si="4">C17-C18</f>
        <v>-1295</v>
      </c>
      <c r="D19" s="39">
        <f t="shared" si="4"/>
        <v>-1328</v>
      </c>
      <c r="E19" s="39">
        <f t="shared" si="4"/>
        <v>-2654</v>
      </c>
      <c r="F19" s="39">
        <f t="shared" si="4"/>
        <v>349</v>
      </c>
      <c r="G19" s="39">
        <f t="shared" si="4"/>
        <v>3169.4999999999909</v>
      </c>
      <c r="H19" s="39">
        <f t="shared" si="4"/>
        <v>-969.89999999999964</v>
      </c>
      <c r="I19" s="39">
        <f t="shared" si="4"/>
        <v>1890.7000000000007</v>
      </c>
      <c r="J19" s="39">
        <f t="shared" si="4"/>
        <v>84.633333333298651</v>
      </c>
      <c r="K19" s="39">
        <f t="shared" si="4"/>
        <v>-554.76666666669917</v>
      </c>
      <c r="L19" s="39">
        <f t="shared" si="4"/>
        <v>-1194.1666666667006</v>
      </c>
      <c r="M19" s="39">
        <f t="shared" si="4"/>
        <v>-1833.5666666667021</v>
      </c>
      <c r="N19" s="39">
        <f t="shared" si="4"/>
        <v>-2472.9666666666999</v>
      </c>
      <c r="O19" s="39">
        <f>SUM(C19:N19)</f>
        <v>-6808.5333333335111</v>
      </c>
    </row>
    <row r="20" spans="2:15" x14ac:dyDescent="0.2">
      <c r="B20" s="18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</row>
    <row r="21" spans="2:15" x14ac:dyDescent="0.2">
      <c r="B21" s="17" t="s">
        <v>36</v>
      </c>
      <c r="C21" s="4">
        <v>1600</v>
      </c>
      <c r="D21" s="4">
        <v>3350</v>
      </c>
      <c r="E21" s="4">
        <v>5100</v>
      </c>
      <c r="F21" s="4">
        <v>6850</v>
      </c>
      <c r="G21" s="4">
        <v>8600</v>
      </c>
      <c r="H21" s="4">
        <v>10350</v>
      </c>
      <c r="I21" s="4">
        <v>12100</v>
      </c>
      <c r="J21" s="4">
        <v>13850</v>
      </c>
      <c r="K21" s="4">
        <v>15600</v>
      </c>
      <c r="L21" s="4">
        <v>17350</v>
      </c>
      <c r="M21" s="4">
        <v>19100</v>
      </c>
      <c r="N21" s="4">
        <v>20850</v>
      </c>
      <c r="O21" s="39">
        <f>SUM(C21:N21)</f>
        <v>134700</v>
      </c>
    </row>
    <row r="22" spans="2:15" x14ac:dyDescent="0.2">
      <c r="B22" s="18" t="s">
        <v>29</v>
      </c>
      <c r="C22" s="4">
        <v>595</v>
      </c>
      <c r="D22" s="4">
        <v>1678</v>
      </c>
      <c r="E22" s="4">
        <v>4754</v>
      </c>
      <c r="F22" s="4">
        <v>6501</v>
      </c>
      <c r="G22" s="4">
        <v>7744</v>
      </c>
      <c r="H22" s="4">
        <v>9845</v>
      </c>
      <c r="I22" s="4">
        <v>10976</v>
      </c>
      <c r="J22" s="4">
        <v>11232</v>
      </c>
      <c r="K22" s="4">
        <v>14323</v>
      </c>
      <c r="L22" s="4">
        <v>15434</v>
      </c>
      <c r="M22" s="4">
        <v>16543</v>
      </c>
      <c r="N22" s="4">
        <v>17896</v>
      </c>
      <c r="O22" s="39">
        <f>SUM(C22:N22)</f>
        <v>117521</v>
      </c>
    </row>
    <row r="23" spans="2:15" x14ac:dyDescent="0.2">
      <c r="B23" s="18" t="s">
        <v>38</v>
      </c>
      <c r="C23" s="39">
        <f t="shared" ref="C23:N23" si="5">C21-C22</f>
        <v>1005</v>
      </c>
      <c r="D23" s="39">
        <f t="shared" si="5"/>
        <v>1672</v>
      </c>
      <c r="E23" s="39">
        <f t="shared" si="5"/>
        <v>346</v>
      </c>
      <c r="F23" s="39">
        <f t="shared" si="5"/>
        <v>349</v>
      </c>
      <c r="G23" s="39">
        <f t="shared" si="5"/>
        <v>856</v>
      </c>
      <c r="H23" s="39">
        <f t="shared" si="5"/>
        <v>505</v>
      </c>
      <c r="I23" s="39">
        <f t="shared" si="5"/>
        <v>1124</v>
      </c>
      <c r="J23" s="39">
        <f t="shared" si="5"/>
        <v>2618</v>
      </c>
      <c r="K23" s="39">
        <f t="shared" si="5"/>
        <v>1277</v>
      </c>
      <c r="L23" s="39">
        <f t="shared" si="5"/>
        <v>1916</v>
      </c>
      <c r="M23" s="39">
        <f t="shared" si="5"/>
        <v>2557</v>
      </c>
      <c r="N23" s="39">
        <f t="shared" si="5"/>
        <v>2954</v>
      </c>
      <c r="O23" s="39">
        <f>SUM(C23:N23)</f>
        <v>17179</v>
      </c>
    </row>
    <row r="24" spans="2:15" x14ac:dyDescent="0.2">
      <c r="B24" s="18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</row>
    <row r="25" spans="2:15" x14ac:dyDescent="0.2">
      <c r="B25" s="17" t="s">
        <v>37</v>
      </c>
      <c r="C25" s="4">
        <v>16000</v>
      </c>
      <c r="D25" s="4">
        <v>13350</v>
      </c>
      <c r="E25" s="4">
        <v>15100</v>
      </c>
      <c r="F25" s="4">
        <v>16850</v>
      </c>
      <c r="G25" s="4">
        <v>16400</v>
      </c>
      <c r="H25" s="4">
        <v>16830</v>
      </c>
      <c r="I25" s="4">
        <v>17260</v>
      </c>
      <c r="J25" s="4">
        <v>17690</v>
      </c>
      <c r="K25" s="4">
        <v>15600</v>
      </c>
      <c r="L25" s="4">
        <v>17350</v>
      </c>
      <c r="M25" s="4">
        <v>19100</v>
      </c>
      <c r="N25" s="4">
        <v>20850</v>
      </c>
      <c r="O25" s="39">
        <f>SUM(C25:N25)</f>
        <v>202380</v>
      </c>
    </row>
    <row r="26" spans="2:15" x14ac:dyDescent="0.2">
      <c r="B26" s="18" t="s">
        <v>29</v>
      </c>
      <c r="C26" s="4">
        <v>1595</v>
      </c>
      <c r="D26" s="4">
        <v>1678</v>
      </c>
      <c r="E26" s="4">
        <v>4754</v>
      </c>
      <c r="F26" s="4">
        <v>6501</v>
      </c>
      <c r="G26" s="4">
        <v>8080.5</v>
      </c>
      <c r="H26" s="4">
        <v>9859.9</v>
      </c>
      <c r="I26" s="4">
        <v>11639.3</v>
      </c>
      <c r="J26" s="4">
        <v>13418.7</v>
      </c>
      <c r="K26" s="4">
        <v>14323</v>
      </c>
      <c r="L26" s="4">
        <v>15434</v>
      </c>
      <c r="M26" s="4">
        <v>16543</v>
      </c>
      <c r="N26" s="4">
        <v>17896</v>
      </c>
      <c r="O26" s="39">
        <f>SUM(C26:N26)</f>
        <v>121722.4</v>
      </c>
    </row>
    <row r="27" spans="2:15" x14ac:dyDescent="0.2">
      <c r="B27" s="18" t="s">
        <v>38</v>
      </c>
      <c r="C27" s="39">
        <f t="shared" ref="C27:N27" si="6">C25-C26</f>
        <v>14405</v>
      </c>
      <c r="D27" s="39">
        <f t="shared" si="6"/>
        <v>11672</v>
      </c>
      <c r="E27" s="39">
        <f t="shared" si="6"/>
        <v>10346</v>
      </c>
      <c r="F27" s="39">
        <f t="shared" si="6"/>
        <v>10349</v>
      </c>
      <c r="G27" s="39">
        <f t="shared" si="6"/>
        <v>8319.5</v>
      </c>
      <c r="H27" s="39">
        <f t="shared" si="6"/>
        <v>6970.1</v>
      </c>
      <c r="I27" s="39">
        <f t="shared" si="6"/>
        <v>5620.7000000000007</v>
      </c>
      <c r="J27" s="39">
        <f t="shared" si="6"/>
        <v>4271.2999999999993</v>
      </c>
      <c r="K27" s="39">
        <f t="shared" si="6"/>
        <v>1277</v>
      </c>
      <c r="L27" s="39">
        <f t="shared" si="6"/>
        <v>1916</v>
      </c>
      <c r="M27" s="39">
        <f t="shared" si="6"/>
        <v>2557</v>
      </c>
      <c r="N27" s="39">
        <f t="shared" si="6"/>
        <v>2954</v>
      </c>
      <c r="O27" s="39">
        <f>SUM(C27:N27)</f>
        <v>80657.600000000006</v>
      </c>
    </row>
    <row r="28" spans="2:15" x14ac:dyDescent="0.2">
      <c r="B28" s="18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5"/>
    </row>
    <row r="29" spans="2:15" x14ac:dyDescent="0.2">
      <c r="B29" s="19" t="s">
        <v>4</v>
      </c>
      <c r="C29" s="39">
        <f>C5+C9+C13+C17+C21+C25</f>
        <v>25000</v>
      </c>
      <c r="D29" s="39">
        <f t="shared" ref="D29:N29" si="7">D5+D9+D13+D17+D21+D25</f>
        <v>30100</v>
      </c>
      <c r="E29" s="39">
        <f t="shared" si="7"/>
        <v>39600</v>
      </c>
      <c r="F29" s="39">
        <f t="shared" si="7"/>
        <v>49100</v>
      </c>
      <c r="G29" s="39">
        <f t="shared" si="7"/>
        <v>60400</v>
      </c>
      <c r="H29" s="39">
        <f t="shared" si="7"/>
        <v>64580</v>
      </c>
      <c r="I29" s="39">
        <f t="shared" si="7"/>
        <v>75760</v>
      </c>
      <c r="J29" s="39">
        <f t="shared" si="7"/>
        <v>82273.333333333299</v>
      </c>
      <c r="K29" s="39">
        <f t="shared" si="7"/>
        <v>87433.333333333299</v>
      </c>
      <c r="L29" s="39">
        <f>L5+L9+L13+L17+L21+L25</f>
        <v>96433.333333333299</v>
      </c>
      <c r="M29" s="39">
        <f t="shared" si="7"/>
        <v>105433.3333333333</v>
      </c>
      <c r="N29" s="39">
        <f t="shared" si="7"/>
        <v>114433.3333333333</v>
      </c>
      <c r="O29" s="39">
        <f>SUM(C29:N29)</f>
        <v>830546.6666666664</v>
      </c>
    </row>
    <row r="30" spans="2:15" x14ac:dyDescent="0.2">
      <c r="B30" s="19" t="s">
        <v>30</v>
      </c>
      <c r="C30" s="39">
        <f>C6+C10+C14+C18+C22+C26</f>
        <v>9170</v>
      </c>
      <c r="D30" s="39">
        <f t="shared" ref="D30:N30" si="8">D6+D10+D14+D18+D22+D26</f>
        <v>15068</v>
      </c>
      <c r="E30" s="39">
        <f t="shared" si="8"/>
        <v>30524</v>
      </c>
      <c r="F30" s="39">
        <f t="shared" si="8"/>
        <v>36673</v>
      </c>
      <c r="G30" s="39">
        <f t="shared" si="8"/>
        <v>46177.000000000015</v>
      </c>
      <c r="H30" s="39">
        <f t="shared" si="8"/>
        <v>56516.700000000004</v>
      </c>
      <c r="I30" s="39">
        <f t="shared" si="8"/>
        <v>64916.399999999994</v>
      </c>
      <c r="J30" s="39">
        <f t="shared" si="8"/>
        <v>71566.100000000006</v>
      </c>
      <c r="K30" s="39">
        <f t="shared" si="8"/>
        <v>83010.7</v>
      </c>
      <c r="L30" s="39">
        <f>L6+L10+L14+L18+L22+L26</f>
        <v>90702</v>
      </c>
      <c r="M30" s="39">
        <f t="shared" si="8"/>
        <v>98387.3</v>
      </c>
      <c r="N30" s="39">
        <f t="shared" si="8"/>
        <v>106804.6</v>
      </c>
      <c r="O30" s="39">
        <f>SUM(C30:N30)</f>
        <v>709515.8</v>
      </c>
    </row>
    <row r="31" spans="2:15" x14ac:dyDescent="0.2">
      <c r="B31" s="22" t="s">
        <v>39</v>
      </c>
      <c r="C31" s="39">
        <f>C29-C30</f>
        <v>15830</v>
      </c>
      <c r="D31" s="39">
        <f t="shared" ref="D31:K31" si="9">D29-D30</f>
        <v>15032</v>
      </c>
      <c r="E31" s="39">
        <f t="shared" si="9"/>
        <v>9076</v>
      </c>
      <c r="F31" s="39">
        <f t="shared" si="9"/>
        <v>12427</v>
      </c>
      <c r="G31" s="39">
        <f t="shared" si="9"/>
        <v>14222.999999999985</v>
      </c>
      <c r="H31" s="39">
        <f t="shared" si="9"/>
        <v>8063.2999999999956</v>
      </c>
      <c r="I31" s="39">
        <f t="shared" si="9"/>
        <v>10843.600000000006</v>
      </c>
      <c r="J31" s="39">
        <f t="shared" si="9"/>
        <v>10707.233333333294</v>
      </c>
      <c r="K31" s="39">
        <f t="shared" si="9"/>
        <v>4422.6333333333023</v>
      </c>
      <c r="L31" s="39">
        <f>L29-L30</f>
        <v>5731.3333333332994</v>
      </c>
      <c r="M31" s="39">
        <f>M29-M30</f>
        <v>7046.0333333332965</v>
      </c>
      <c r="N31" s="39">
        <f>N29-N30</f>
        <v>7628.7333333332936</v>
      </c>
      <c r="O31" s="39">
        <f>SUM(C31:N31)</f>
        <v>121030.86666666648</v>
      </c>
    </row>
    <row r="32" spans="2:15" x14ac:dyDescent="0.2">
      <c r="B32" s="20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</row>
    <row r="33" spans="2:15" x14ac:dyDescent="0.2">
      <c r="B33" s="24" t="s">
        <v>31</v>
      </c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3"/>
    </row>
    <row r="34" spans="2:15" x14ac:dyDescent="0.2">
      <c r="B34" s="17" t="s">
        <v>5</v>
      </c>
      <c r="C34" s="4">
        <v>1600</v>
      </c>
      <c r="D34" s="4">
        <v>3350</v>
      </c>
      <c r="E34" s="4">
        <v>5100</v>
      </c>
      <c r="F34" s="4">
        <v>6850</v>
      </c>
      <c r="G34" s="4">
        <v>8600</v>
      </c>
      <c r="H34" s="4">
        <v>10350</v>
      </c>
      <c r="I34" s="4">
        <v>12100</v>
      </c>
      <c r="J34" s="4">
        <v>13850</v>
      </c>
      <c r="K34" s="4">
        <v>15600</v>
      </c>
      <c r="L34" s="4">
        <v>17350</v>
      </c>
      <c r="M34" s="4">
        <v>19100</v>
      </c>
      <c r="N34" s="4">
        <v>20850</v>
      </c>
      <c r="O34" s="39">
        <f>SUM(C34:N34)</f>
        <v>134700</v>
      </c>
    </row>
    <row r="35" spans="2:15" x14ac:dyDescent="0.2">
      <c r="B35" s="18" t="s">
        <v>29</v>
      </c>
      <c r="C35" s="4">
        <v>595</v>
      </c>
      <c r="D35" s="4">
        <v>1678</v>
      </c>
      <c r="E35" s="4">
        <v>4754</v>
      </c>
      <c r="F35" s="4">
        <v>6501</v>
      </c>
      <c r="G35" s="4">
        <v>7744</v>
      </c>
      <c r="H35" s="4">
        <v>9845</v>
      </c>
      <c r="I35" s="4">
        <v>10976</v>
      </c>
      <c r="J35" s="4">
        <v>11232</v>
      </c>
      <c r="K35" s="4">
        <v>14323</v>
      </c>
      <c r="L35" s="4">
        <v>15434</v>
      </c>
      <c r="M35" s="4">
        <v>16543</v>
      </c>
      <c r="N35" s="4">
        <v>17896</v>
      </c>
      <c r="O35" s="39">
        <f>SUM(C35:N35)</f>
        <v>117521</v>
      </c>
    </row>
    <row r="36" spans="2:15" x14ac:dyDescent="0.2">
      <c r="B36" s="18" t="s">
        <v>38</v>
      </c>
      <c r="C36" s="39">
        <f t="shared" ref="C36:N36" si="10">C34-C35</f>
        <v>1005</v>
      </c>
      <c r="D36" s="39">
        <f t="shared" si="10"/>
        <v>1672</v>
      </c>
      <c r="E36" s="39">
        <f t="shared" si="10"/>
        <v>346</v>
      </c>
      <c r="F36" s="39">
        <f t="shared" si="10"/>
        <v>349</v>
      </c>
      <c r="G36" s="39">
        <f t="shared" si="10"/>
        <v>856</v>
      </c>
      <c r="H36" s="39">
        <f t="shared" si="10"/>
        <v>505</v>
      </c>
      <c r="I36" s="39">
        <f t="shared" si="10"/>
        <v>1124</v>
      </c>
      <c r="J36" s="39">
        <f t="shared" si="10"/>
        <v>2618</v>
      </c>
      <c r="K36" s="39">
        <f t="shared" si="10"/>
        <v>1277</v>
      </c>
      <c r="L36" s="39">
        <f t="shared" si="10"/>
        <v>1916</v>
      </c>
      <c r="M36" s="39">
        <f t="shared" si="10"/>
        <v>2557</v>
      </c>
      <c r="N36" s="39">
        <f t="shared" si="10"/>
        <v>2954</v>
      </c>
      <c r="O36" s="39">
        <f>SUM(C36:N36)</f>
        <v>17179</v>
      </c>
    </row>
    <row r="37" spans="2:15" x14ac:dyDescent="0.2">
      <c r="B37" s="18"/>
      <c r="C37" s="25"/>
      <c r="D37" s="25"/>
      <c r="E37" s="25"/>
      <c r="F37" s="25"/>
      <c r="G37" s="25"/>
      <c r="H37" s="25"/>
      <c r="I37" s="25"/>
      <c r="J37" s="25"/>
      <c r="K37" s="25"/>
      <c r="L37" s="25"/>
      <c r="M37" s="25"/>
      <c r="N37" s="25"/>
      <c r="O37" s="20"/>
    </row>
    <row r="38" spans="2:15" x14ac:dyDescent="0.2">
      <c r="B38" s="17" t="s">
        <v>6</v>
      </c>
      <c r="C38" s="4">
        <v>1600</v>
      </c>
      <c r="D38" s="4">
        <v>3350</v>
      </c>
      <c r="E38" s="4">
        <v>5100</v>
      </c>
      <c r="F38" s="4">
        <v>6850</v>
      </c>
      <c r="G38" s="4">
        <v>8600</v>
      </c>
      <c r="H38" s="4">
        <v>10350</v>
      </c>
      <c r="I38" s="4">
        <v>12100</v>
      </c>
      <c r="J38" s="4">
        <v>13850</v>
      </c>
      <c r="K38" s="4">
        <v>15600</v>
      </c>
      <c r="L38" s="4">
        <v>17350</v>
      </c>
      <c r="M38" s="4">
        <v>19100</v>
      </c>
      <c r="N38" s="4">
        <v>20850</v>
      </c>
      <c r="O38" s="39">
        <f>SUM(C38:N38)</f>
        <v>134700</v>
      </c>
    </row>
    <row r="39" spans="2:15" x14ac:dyDescent="0.2">
      <c r="B39" s="18" t="s">
        <v>29</v>
      </c>
      <c r="C39" s="4">
        <v>595</v>
      </c>
      <c r="D39" s="4">
        <v>1678</v>
      </c>
      <c r="E39" s="4">
        <v>4754</v>
      </c>
      <c r="F39" s="4">
        <v>6501</v>
      </c>
      <c r="G39" s="4">
        <v>7744</v>
      </c>
      <c r="H39" s="4">
        <v>9845</v>
      </c>
      <c r="I39" s="4">
        <v>10976</v>
      </c>
      <c r="J39" s="4">
        <v>11232</v>
      </c>
      <c r="K39" s="4">
        <v>14323</v>
      </c>
      <c r="L39" s="4">
        <v>15434</v>
      </c>
      <c r="M39" s="4">
        <v>16543</v>
      </c>
      <c r="N39" s="4">
        <v>17896</v>
      </c>
      <c r="O39" s="39">
        <f>SUM(C39:N39)</f>
        <v>117521</v>
      </c>
    </row>
    <row r="40" spans="2:15" x14ac:dyDescent="0.2">
      <c r="B40" s="18" t="s">
        <v>38</v>
      </c>
      <c r="C40" s="39">
        <f t="shared" ref="C40:N40" si="11">C38-C39</f>
        <v>1005</v>
      </c>
      <c r="D40" s="39">
        <f t="shared" si="11"/>
        <v>1672</v>
      </c>
      <c r="E40" s="39">
        <f t="shared" si="11"/>
        <v>346</v>
      </c>
      <c r="F40" s="39">
        <f t="shared" si="11"/>
        <v>349</v>
      </c>
      <c r="G40" s="39">
        <f t="shared" si="11"/>
        <v>856</v>
      </c>
      <c r="H40" s="39">
        <f t="shared" si="11"/>
        <v>505</v>
      </c>
      <c r="I40" s="39">
        <f t="shared" si="11"/>
        <v>1124</v>
      </c>
      <c r="J40" s="39">
        <f t="shared" si="11"/>
        <v>2618</v>
      </c>
      <c r="K40" s="39">
        <f t="shared" si="11"/>
        <v>1277</v>
      </c>
      <c r="L40" s="39">
        <f t="shared" si="11"/>
        <v>1916</v>
      </c>
      <c r="M40" s="39">
        <f t="shared" si="11"/>
        <v>2557</v>
      </c>
      <c r="N40" s="39">
        <f t="shared" si="11"/>
        <v>2954</v>
      </c>
      <c r="O40" s="39">
        <f>SUM(C40:N40)</f>
        <v>17179</v>
      </c>
    </row>
    <row r="41" spans="2:15" x14ac:dyDescent="0.2">
      <c r="B41" s="18"/>
      <c r="C41" s="25"/>
      <c r="D41" s="25"/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0"/>
    </row>
    <row r="42" spans="2:15" x14ac:dyDescent="0.2">
      <c r="B42" s="17" t="s">
        <v>7</v>
      </c>
      <c r="C42" s="4">
        <v>1600</v>
      </c>
      <c r="D42" s="4">
        <v>3350</v>
      </c>
      <c r="E42" s="4">
        <v>5100</v>
      </c>
      <c r="F42" s="4">
        <v>6850</v>
      </c>
      <c r="G42" s="4">
        <v>8600</v>
      </c>
      <c r="H42" s="4">
        <v>10350</v>
      </c>
      <c r="I42" s="4">
        <v>12100</v>
      </c>
      <c r="J42" s="4">
        <v>13850</v>
      </c>
      <c r="K42" s="4">
        <v>15600</v>
      </c>
      <c r="L42" s="4">
        <v>17350</v>
      </c>
      <c r="M42" s="4">
        <v>19100</v>
      </c>
      <c r="N42" s="4">
        <v>20850</v>
      </c>
      <c r="O42" s="39">
        <f>SUM(C42:N42)</f>
        <v>134700</v>
      </c>
    </row>
    <row r="43" spans="2:15" x14ac:dyDescent="0.2">
      <c r="B43" s="18" t="s">
        <v>29</v>
      </c>
      <c r="C43" s="4">
        <v>595</v>
      </c>
      <c r="D43" s="4">
        <v>1678</v>
      </c>
      <c r="E43" s="4">
        <v>4754</v>
      </c>
      <c r="F43" s="4">
        <v>6501</v>
      </c>
      <c r="G43" s="4">
        <v>7744</v>
      </c>
      <c r="H43" s="4">
        <v>9845</v>
      </c>
      <c r="I43" s="4">
        <v>10976</v>
      </c>
      <c r="J43" s="4">
        <v>11232</v>
      </c>
      <c r="K43" s="4">
        <v>14323</v>
      </c>
      <c r="L43" s="4">
        <v>15434</v>
      </c>
      <c r="M43" s="4">
        <v>16543</v>
      </c>
      <c r="N43" s="4">
        <v>17896</v>
      </c>
      <c r="O43" s="39">
        <f>SUM(C43:N43)</f>
        <v>117521</v>
      </c>
    </row>
    <row r="44" spans="2:15" x14ac:dyDescent="0.2">
      <c r="B44" s="18" t="s">
        <v>38</v>
      </c>
      <c r="C44" s="39">
        <f t="shared" ref="C44:N44" si="12">C42-C43</f>
        <v>1005</v>
      </c>
      <c r="D44" s="39">
        <f t="shared" si="12"/>
        <v>1672</v>
      </c>
      <c r="E44" s="39">
        <f t="shared" si="12"/>
        <v>346</v>
      </c>
      <c r="F44" s="39">
        <f t="shared" si="12"/>
        <v>349</v>
      </c>
      <c r="G44" s="39">
        <f t="shared" si="12"/>
        <v>856</v>
      </c>
      <c r="H44" s="39">
        <f t="shared" si="12"/>
        <v>505</v>
      </c>
      <c r="I44" s="39">
        <f t="shared" si="12"/>
        <v>1124</v>
      </c>
      <c r="J44" s="39">
        <f t="shared" si="12"/>
        <v>2618</v>
      </c>
      <c r="K44" s="39">
        <f t="shared" si="12"/>
        <v>1277</v>
      </c>
      <c r="L44" s="39">
        <f t="shared" si="12"/>
        <v>1916</v>
      </c>
      <c r="M44" s="39">
        <f t="shared" si="12"/>
        <v>2557</v>
      </c>
      <c r="N44" s="39">
        <f t="shared" si="12"/>
        <v>2954</v>
      </c>
      <c r="O44" s="39">
        <f>SUM(C44:N44)</f>
        <v>17179</v>
      </c>
    </row>
    <row r="45" spans="2:15" x14ac:dyDescent="0.2">
      <c r="B45" s="18"/>
      <c r="C45" s="25"/>
      <c r="D45" s="25"/>
      <c r="E45" s="25"/>
      <c r="F45" s="25"/>
      <c r="G45" s="25"/>
      <c r="H45" s="25"/>
      <c r="I45" s="25"/>
      <c r="J45" s="25"/>
      <c r="K45" s="25"/>
      <c r="L45" s="25"/>
      <c r="M45" s="25"/>
      <c r="N45" s="25"/>
      <c r="O45" s="20"/>
    </row>
    <row r="46" spans="2:15" x14ac:dyDescent="0.2">
      <c r="B46" s="17" t="s">
        <v>3</v>
      </c>
      <c r="C46" s="4">
        <v>1600</v>
      </c>
      <c r="D46" s="4">
        <v>3350</v>
      </c>
      <c r="E46" s="4">
        <v>5100</v>
      </c>
      <c r="F46" s="4">
        <v>6850</v>
      </c>
      <c r="G46" s="4">
        <v>8600</v>
      </c>
      <c r="H46" s="4">
        <v>10350</v>
      </c>
      <c r="I46" s="4">
        <v>12100</v>
      </c>
      <c r="J46" s="4">
        <v>13850</v>
      </c>
      <c r="K46" s="4">
        <v>15600</v>
      </c>
      <c r="L46" s="4">
        <v>17350</v>
      </c>
      <c r="M46" s="4">
        <v>19100</v>
      </c>
      <c r="N46" s="4">
        <v>20850</v>
      </c>
      <c r="O46" s="39">
        <f>SUM(C46:N46)</f>
        <v>134700</v>
      </c>
    </row>
    <row r="47" spans="2:15" x14ac:dyDescent="0.2">
      <c r="B47" s="18" t="s">
        <v>29</v>
      </c>
      <c r="C47" s="4">
        <v>595</v>
      </c>
      <c r="D47" s="4">
        <v>1678</v>
      </c>
      <c r="E47" s="4">
        <v>4754</v>
      </c>
      <c r="F47" s="4">
        <v>6501</v>
      </c>
      <c r="G47" s="4">
        <v>7744</v>
      </c>
      <c r="H47" s="4">
        <v>9845</v>
      </c>
      <c r="I47" s="4">
        <v>10976</v>
      </c>
      <c r="J47" s="4">
        <v>11232</v>
      </c>
      <c r="K47" s="4">
        <v>14323</v>
      </c>
      <c r="L47" s="4">
        <v>15434</v>
      </c>
      <c r="M47" s="4">
        <v>16543</v>
      </c>
      <c r="N47" s="4">
        <v>17896</v>
      </c>
      <c r="O47" s="39">
        <f>SUM(C47:N47)</f>
        <v>117521</v>
      </c>
    </row>
    <row r="48" spans="2:15" x14ac:dyDescent="0.2">
      <c r="B48" s="18" t="s">
        <v>38</v>
      </c>
      <c r="C48" s="39">
        <f t="shared" ref="C48:N48" si="13">C46-C47</f>
        <v>1005</v>
      </c>
      <c r="D48" s="39">
        <f t="shared" si="13"/>
        <v>1672</v>
      </c>
      <c r="E48" s="39">
        <f t="shared" si="13"/>
        <v>346</v>
      </c>
      <c r="F48" s="39">
        <f t="shared" si="13"/>
        <v>349</v>
      </c>
      <c r="G48" s="39">
        <f t="shared" si="13"/>
        <v>856</v>
      </c>
      <c r="H48" s="39">
        <f t="shared" si="13"/>
        <v>505</v>
      </c>
      <c r="I48" s="39">
        <f t="shared" si="13"/>
        <v>1124</v>
      </c>
      <c r="J48" s="39">
        <f t="shared" si="13"/>
        <v>2618</v>
      </c>
      <c r="K48" s="39">
        <f t="shared" si="13"/>
        <v>1277</v>
      </c>
      <c r="L48" s="39">
        <f t="shared" si="13"/>
        <v>1916</v>
      </c>
      <c r="M48" s="39">
        <f t="shared" si="13"/>
        <v>2557</v>
      </c>
      <c r="N48" s="39">
        <f t="shared" si="13"/>
        <v>2954</v>
      </c>
      <c r="O48" s="39">
        <f>SUM(C48:N48)</f>
        <v>17179</v>
      </c>
    </row>
    <row r="49" spans="2:15" x14ac:dyDescent="0.2">
      <c r="B49" s="18"/>
      <c r="C49" s="25"/>
      <c r="D49" s="25"/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0"/>
    </row>
    <row r="50" spans="2:15" x14ac:dyDescent="0.2">
      <c r="B50" s="19" t="s">
        <v>8</v>
      </c>
      <c r="C50" s="39">
        <f>C34+C38+C42+C46</f>
        <v>6400</v>
      </c>
      <c r="D50" s="39">
        <f t="shared" ref="D50:N50" si="14">D34+D38+D42+D46</f>
        <v>13400</v>
      </c>
      <c r="E50" s="39">
        <f t="shared" si="14"/>
        <v>20400</v>
      </c>
      <c r="F50" s="39">
        <f t="shared" si="14"/>
        <v>27400</v>
      </c>
      <c r="G50" s="39">
        <f t="shared" si="14"/>
        <v>34400</v>
      </c>
      <c r="H50" s="39">
        <f t="shared" si="14"/>
        <v>41400</v>
      </c>
      <c r="I50" s="39">
        <f t="shared" si="14"/>
        <v>48400</v>
      </c>
      <c r="J50" s="39">
        <f t="shared" si="14"/>
        <v>55400</v>
      </c>
      <c r="K50" s="39">
        <f t="shared" si="14"/>
        <v>62400</v>
      </c>
      <c r="L50" s="39">
        <f t="shared" si="14"/>
        <v>69400</v>
      </c>
      <c r="M50" s="39">
        <f t="shared" si="14"/>
        <v>76400</v>
      </c>
      <c r="N50" s="39">
        <f t="shared" si="14"/>
        <v>83400</v>
      </c>
      <c r="O50" s="39">
        <f>SUM(C50:N50)</f>
        <v>538800</v>
      </c>
    </row>
    <row r="51" spans="2:15" x14ac:dyDescent="0.2">
      <c r="B51" s="19" t="s">
        <v>41</v>
      </c>
      <c r="C51" s="39">
        <f>C35+C39+C43+C47</f>
        <v>2380</v>
      </c>
      <c r="D51" s="39">
        <f t="shared" ref="D51:N51" si="15">D35+D39+D43+D47</f>
        <v>6712</v>
      </c>
      <c r="E51" s="39">
        <f t="shared" si="15"/>
        <v>19016</v>
      </c>
      <c r="F51" s="39">
        <f t="shared" si="15"/>
        <v>26004</v>
      </c>
      <c r="G51" s="39">
        <f t="shared" si="15"/>
        <v>30976</v>
      </c>
      <c r="H51" s="39">
        <f t="shared" si="15"/>
        <v>39380</v>
      </c>
      <c r="I51" s="39">
        <f t="shared" si="15"/>
        <v>43904</v>
      </c>
      <c r="J51" s="39">
        <f t="shared" si="15"/>
        <v>44928</v>
      </c>
      <c r="K51" s="39">
        <f t="shared" si="15"/>
        <v>57292</v>
      </c>
      <c r="L51" s="39">
        <f t="shared" si="15"/>
        <v>61736</v>
      </c>
      <c r="M51" s="39">
        <f t="shared" si="15"/>
        <v>66172</v>
      </c>
      <c r="N51" s="39">
        <f t="shared" si="15"/>
        <v>71584</v>
      </c>
      <c r="O51" s="39">
        <f>SUM(C51:N51)</f>
        <v>470084</v>
      </c>
    </row>
    <row r="52" spans="2:15" x14ac:dyDescent="0.2">
      <c r="B52" s="22" t="s">
        <v>39</v>
      </c>
      <c r="C52" s="39">
        <f>C50-C51</f>
        <v>4020</v>
      </c>
      <c r="D52" s="39">
        <f t="shared" ref="D52:N52" si="16">D50-D51</f>
        <v>6688</v>
      </c>
      <c r="E52" s="39">
        <f t="shared" si="16"/>
        <v>1384</v>
      </c>
      <c r="F52" s="39">
        <f t="shared" si="16"/>
        <v>1396</v>
      </c>
      <c r="G52" s="39">
        <f t="shared" si="16"/>
        <v>3424</v>
      </c>
      <c r="H52" s="39">
        <f t="shared" si="16"/>
        <v>2020</v>
      </c>
      <c r="I52" s="39">
        <f t="shared" si="16"/>
        <v>4496</v>
      </c>
      <c r="J52" s="39">
        <f t="shared" si="16"/>
        <v>10472</v>
      </c>
      <c r="K52" s="39">
        <f t="shared" si="16"/>
        <v>5108</v>
      </c>
      <c r="L52" s="39">
        <f t="shared" si="16"/>
        <v>7664</v>
      </c>
      <c r="M52" s="39">
        <f t="shared" si="16"/>
        <v>10228</v>
      </c>
      <c r="N52" s="39">
        <f t="shared" si="16"/>
        <v>11816</v>
      </c>
      <c r="O52" s="39">
        <f>SUM(C52:N52)</f>
        <v>68716</v>
      </c>
    </row>
    <row r="53" spans="2:15" x14ac:dyDescent="0.2">
      <c r="B53" s="17"/>
      <c r="C53" s="26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</row>
    <row r="54" spans="2:15" x14ac:dyDescent="0.2">
      <c r="B54" s="17"/>
      <c r="C54" s="26"/>
      <c r="D54" s="23"/>
      <c r="E54" s="23"/>
      <c r="F54" s="23"/>
      <c r="G54" s="23"/>
      <c r="H54" s="23"/>
      <c r="I54" s="23"/>
      <c r="J54" s="23"/>
      <c r="K54" s="23"/>
      <c r="L54" s="23"/>
      <c r="M54" s="23"/>
      <c r="N54" s="23"/>
      <c r="O54" s="23"/>
    </row>
    <row r="55" spans="2:15" s="1" customFormat="1" x14ac:dyDescent="0.2">
      <c r="B55" s="24" t="s">
        <v>9</v>
      </c>
      <c r="C55" s="25"/>
      <c r="D55" s="25"/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5"/>
    </row>
    <row r="56" spans="2:15" s="1" customFormat="1" x14ac:dyDescent="0.2">
      <c r="B56" s="27" t="s">
        <v>17</v>
      </c>
      <c r="C56" s="25"/>
      <c r="D56" s="25"/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0"/>
    </row>
    <row r="57" spans="2:15" s="1" customFormat="1" x14ac:dyDescent="0.2">
      <c r="B57" s="17" t="s">
        <v>18</v>
      </c>
      <c r="C57" s="4">
        <v>1600</v>
      </c>
      <c r="D57" s="4">
        <v>3350</v>
      </c>
      <c r="E57" s="4">
        <v>5100</v>
      </c>
      <c r="F57" s="4">
        <v>6850</v>
      </c>
      <c r="G57" s="4">
        <v>8600</v>
      </c>
      <c r="H57" s="4">
        <v>10350</v>
      </c>
      <c r="I57" s="4">
        <v>12100</v>
      </c>
      <c r="J57" s="4">
        <v>13850</v>
      </c>
      <c r="K57" s="4">
        <v>15600</v>
      </c>
      <c r="L57" s="4">
        <v>17350</v>
      </c>
      <c r="M57" s="4">
        <v>19100</v>
      </c>
      <c r="N57" s="4">
        <v>20850</v>
      </c>
      <c r="O57" s="39">
        <f>SUM(C57:N57)</f>
        <v>134700</v>
      </c>
    </row>
    <row r="58" spans="2:15" s="1" customFormat="1" x14ac:dyDescent="0.2">
      <c r="B58" s="18" t="s">
        <v>29</v>
      </c>
      <c r="C58" s="4">
        <v>595</v>
      </c>
      <c r="D58" s="4">
        <v>1678</v>
      </c>
      <c r="E58" s="4">
        <v>4754</v>
      </c>
      <c r="F58" s="4">
        <v>6501</v>
      </c>
      <c r="G58" s="4">
        <v>7744</v>
      </c>
      <c r="H58" s="4">
        <v>9845</v>
      </c>
      <c r="I58" s="4">
        <v>10976</v>
      </c>
      <c r="J58" s="4">
        <v>11232</v>
      </c>
      <c r="K58" s="4">
        <v>14323</v>
      </c>
      <c r="L58" s="4">
        <v>15434</v>
      </c>
      <c r="M58" s="4">
        <v>16543</v>
      </c>
      <c r="N58" s="4">
        <v>17896</v>
      </c>
      <c r="O58" s="39">
        <f>SUM(C58:N58)</f>
        <v>117521</v>
      </c>
    </row>
    <row r="59" spans="2:15" s="1" customFormat="1" x14ac:dyDescent="0.2">
      <c r="B59" s="18" t="s">
        <v>38</v>
      </c>
      <c r="C59" s="39">
        <f t="shared" ref="C59:N59" si="17">C57-C58</f>
        <v>1005</v>
      </c>
      <c r="D59" s="39">
        <f t="shared" si="17"/>
        <v>1672</v>
      </c>
      <c r="E59" s="39">
        <f t="shared" si="17"/>
        <v>346</v>
      </c>
      <c r="F59" s="39">
        <f t="shared" si="17"/>
        <v>349</v>
      </c>
      <c r="G59" s="39">
        <f t="shared" si="17"/>
        <v>856</v>
      </c>
      <c r="H59" s="39">
        <f t="shared" si="17"/>
        <v>505</v>
      </c>
      <c r="I59" s="39">
        <f t="shared" si="17"/>
        <v>1124</v>
      </c>
      <c r="J59" s="39">
        <f t="shared" si="17"/>
        <v>2618</v>
      </c>
      <c r="K59" s="39">
        <f t="shared" si="17"/>
        <v>1277</v>
      </c>
      <c r="L59" s="39">
        <f t="shared" si="17"/>
        <v>1916</v>
      </c>
      <c r="M59" s="39">
        <f t="shared" si="17"/>
        <v>2557</v>
      </c>
      <c r="N59" s="39">
        <f t="shared" si="17"/>
        <v>2954</v>
      </c>
      <c r="O59" s="39">
        <f>SUM(O57:O58)</f>
        <v>252221</v>
      </c>
    </row>
    <row r="60" spans="2:15" s="1" customFormat="1" x14ac:dyDescent="0.2">
      <c r="B60" s="18"/>
      <c r="C60" s="25"/>
      <c r="D60" s="25"/>
      <c r="E60" s="25"/>
      <c r="F60" s="25"/>
      <c r="G60" s="25"/>
      <c r="H60" s="25"/>
      <c r="I60" s="25"/>
      <c r="J60" s="25"/>
      <c r="K60" s="25"/>
      <c r="L60" s="25"/>
      <c r="M60" s="25"/>
      <c r="N60" s="25"/>
      <c r="O60" s="20"/>
    </row>
    <row r="61" spans="2:15" s="1" customFormat="1" x14ac:dyDescent="0.2">
      <c r="B61" s="17" t="s">
        <v>19</v>
      </c>
      <c r="C61" s="4">
        <v>1600</v>
      </c>
      <c r="D61" s="4">
        <v>3350</v>
      </c>
      <c r="E61" s="4">
        <v>5100</v>
      </c>
      <c r="F61" s="4">
        <v>6850</v>
      </c>
      <c r="G61" s="4">
        <v>8600</v>
      </c>
      <c r="H61" s="4">
        <v>10350</v>
      </c>
      <c r="I61" s="4">
        <v>12100</v>
      </c>
      <c r="J61" s="4">
        <v>13850</v>
      </c>
      <c r="K61" s="4">
        <v>15600</v>
      </c>
      <c r="L61" s="4">
        <v>17350</v>
      </c>
      <c r="M61" s="4">
        <v>19100</v>
      </c>
      <c r="N61" s="4">
        <v>20850</v>
      </c>
      <c r="O61" s="39">
        <f>SUM(C61:N61)</f>
        <v>134700</v>
      </c>
    </row>
    <row r="62" spans="2:15" s="1" customFormat="1" x14ac:dyDescent="0.2">
      <c r="B62" s="18" t="s">
        <v>29</v>
      </c>
      <c r="C62" s="4">
        <v>595</v>
      </c>
      <c r="D62" s="4">
        <v>1678</v>
      </c>
      <c r="E62" s="4">
        <v>4754</v>
      </c>
      <c r="F62" s="4">
        <v>6501</v>
      </c>
      <c r="G62" s="4">
        <v>7744</v>
      </c>
      <c r="H62" s="4">
        <v>9845</v>
      </c>
      <c r="I62" s="4">
        <v>10976</v>
      </c>
      <c r="J62" s="4">
        <v>11232</v>
      </c>
      <c r="K62" s="4">
        <v>14323</v>
      </c>
      <c r="L62" s="4">
        <v>15434</v>
      </c>
      <c r="M62" s="4">
        <v>16543</v>
      </c>
      <c r="N62" s="4">
        <v>17896</v>
      </c>
      <c r="O62" s="39">
        <f>SUM(C62:N62)</f>
        <v>117521</v>
      </c>
    </row>
    <row r="63" spans="2:15" s="1" customFormat="1" x14ac:dyDescent="0.2">
      <c r="B63" s="18" t="s">
        <v>38</v>
      </c>
      <c r="C63" s="39">
        <f t="shared" ref="C63:N63" si="18">C61-C62</f>
        <v>1005</v>
      </c>
      <c r="D63" s="39">
        <f t="shared" si="18"/>
        <v>1672</v>
      </c>
      <c r="E63" s="39">
        <f t="shared" si="18"/>
        <v>346</v>
      </c>
      <c r="F63" s="39">
        <f t="shared" si="18"/>
        <v>349</v>
      </c>
      <c r="G63" s="39">
        <f t="shared" si="18"/>
        <v>856</v>
      </c>
      <c r="H63" s="39">
        <f t="shared" si="18"/>
        <v>505</v>
      </c>
      <c r="I63" s="39">
        <f t="shared" si="18"/>
        <v>1124</v>
      </c>
      <c r="J63" s="39">
        <f t="shared" si="18"/>
        <v>2618</v>
      </c>
      <c r="K63" s="39">
        <f t="shared" si="18"/>
        <v>1277</v>
      </c>
      <c r="L63" s="39">
        <f t="shared" si="18"/>
        <v>1916</v>
      </c>
      <c r="M63" s="39">
        <f t="shared" si="18"/>
        <v>2557</v>
      </c>
      <c r="N63" s="39">
        <f t="shared" si="18"/>
        <v>2954</v>
      </c>
      <c r="O63" s="39">
        <f>SUM(O61:O62)</f>
        <v>252221</v>
      </c>
    </row>
    <row r="64" spans="2:15" s="1" customFormat="1" x14ac:dyDescent="0.2">
      <c r="B64" s="18"/>
      <c r="C64" s="25"/>
      <c r="D64" s="25"/>
      <c r="E64" s="25"/>
      <c r="F64" s="25"/>
      <c r="G64" s="25"/>
      <c r="H64" s="25"/>
      <c r="I64" s="25"/>
      <c r="J64" s="25"/>
      <c r="K64" s="25"/>
      <c r="L64" s="25"/>
      <c r="M64" s="25"/>
      <c r="N64" s="25"/>
      <c r="O64" s="20"/>
    </row>
    <row r="65" spans="2:15" s="1" customFormat="1" x14ac:dyDescent="0.2">
      <c r="B65" s="28" t="s">
        <v>22</v>
      </c>
      <c r="C65" s="39">
        <f>C57+C61</f>
        <v>3200</v>
      </c>
      <c r="D65" s="39">
        <f t="shared" ref="D65:N65" si="19">D57+D61</f>
        <v>6700</v>
      </c>
      <c r="E65" s="39">
        <f t="shared" si="19"/>
        <v>10200</v>
      </c>
      <c r="F65" s="39">
        <f t="shared" si="19"/>
        <v>13700</v>
      </c>
      <c r="G65" s="39">
        <f t="shared" si="19"/>
        <v>17200</v>
      </c>
      <c r="H65" s="39">
        <f t="shared" si="19"/>
        <v>20700</v>
      </c>
      <c r="I65" s="39">
        <f t="shared" si="19"/>
        <v>24200</v>
      </c>
      <c r="J65" s="39">
        <f t="shared" si="19"/>
        <v>27700</v>
      </c>
      <c r="K65" s="39">
        <f t="shared" si="19"/>
        <v>31200</v>
      </c>
      <c r="L65" s="39">
        <f t="shared" si="19"/>
        <v>34700</v>
      </c>
      <c r="M65" s="39">
        <f t="shared" si="19"/>
        <v>38200</v>
      </c>
      <c r="N65" s="39">
        <f t="shared" si="19"/>
        <v>41700</v>
      </c>
      <c r="O65" s="39">
        <f>SUM(C65:N65)</f>
        <v>269400</v>
      </c>
    </row>
    <row r="66" spans="2:15" s="1" customFormat="1" x14ac:dyDescent="0.2">
      <c r="B66" s="28" t="s">
        <v>40</v>
      </c>
      <c r="C66" s="39">
        <f>C58+C62</f>
        <v>1190</v>
      </c>
      <c r="D66" s="39">
        <f t="shared" ref="D66:N66" si="20">D58+D62</f>
        <v>3356</v>
      </c>
      <c r="E66" s="39">
        <f t="shared" si="20"/>
        <v>9508</v>
      </c>
      <c r="F66" s="39">
        <f t="shared" si="20"/>
        <v>13002</v>
      </c>
      <c r="G66" s="39">
        <f t="shared" si="20"/>
        <v>15488</v>
      </c>
      <c r="H66" s="39">
        <f t="shared" si="20"/>
        <v>19690</v>
      </c>
      <c r="I66" s="39">
        <f t="shared" si="20"/>
        <v>21952</v>
      </c>
      <c r="J66" s="39">
        <f t="shared" si="20"/>
        <v>22464</v>
      </c>
      <c r="K66" s="39">
        <f t="shared" si="20"/>
        <v>28646</v>
      </c>
      <c r="L66" s="39">
        <f t="shared" si="20"/>
        <v>30868</v>
      </c>
      <c r="M66" s="39">
        <f t="shared" si="20"/>
        <v>33086</v>
      </c>
      <c r="N66" s="39">
        <f t="shared" si="20"/>
        <v>35792</v>
      </c>
      <c r="O66" s="39">
        <f>SUM(C66:N66)</f>
        <v>235042</v>
      </c>
    </row>
    <row r="67" spans="2:15" s="1" customFormat="1" x14ac:dyDescent="0.2">
      <c r="B67" s="28" t="s">
        <v>39</v>
      </c>
      <c r="C67" s="39">
        <f>C65-C66</f>
        <v>2010</v>
      </c>
      <c r="D67" s="39">
        <f t="shared" ref="D67:J67" si="21">D65-D66</f>
        <v>3344</v>
      </c>
      <c r="E67" s="39">
        <f t="shared" si="21"/>
        <v>692</v>
      </c>
      <c r="F67" s="39">
        <f t="shared" si="21"/>
        <v>698</v>
      </c>
      <c r="G67" s="39">
        <f t="shared" si="21"/>
        <v>1712</v>
      </c>
      <c r="H67" s="39">
        <f t="shared" si="21"/>
        <v>1010</v>
      </c>
      <c r="I67" s="39">
        <f t="shared" si="21"/>
        <v>2248</v>
      </c>
      <c r="J67" s="39">
        <f t="shared" si="21"/>
        <v>5236</v>
      </c>
      <c r="K67" s="39">
        <f>K65-K66</f>
        <v>2554</v>
      </c>
      <c r="L67" s="39">
        <f>L65-L66</f>
        <v>3832</v>
      </c>
      <c r="M67" s="39">
        <f>M65-M66</f>
        <v>5114</v>
      </c>
      <c r="N67" s="39">
        <f>N65-N66</f>
        <v>5908</v>
      </c>
      <c r="O67" s="39">
        <f>SUM(C67:N67)</f>
        <v>34358</v>
      </c>
    </row>
    <row r="68" spans="2:15" s="1" customFormat="1" x14ac:dyDescent="0.2">
      <c r="B68" s="28"/>
      <c r="C68" s="25"/>
      <c r="D68" s="25"/>
      <c r="E68" s="25"/>
      <c r="F68" s="25"/>
      <c r="G68" s="25"/>
      <c r="H68" s="25"/>
      <c r="I68" s="25"/>
      <c r="J68" s="25"/>
      <c r="K68" s="25"/>
      <c r="L68" s="25"/>
      <c r="M68" s="25"/>
      <c r="N68" s="25"/>
      <c r="O68" s="20"/>
    </row>
    <row r="69" spans="2:15" s="1" customFormat="1" x14ac:dyDescent="0.2">
      <c r="B69" s="28"/>
      <c r="C69" s="25"/>
      <c r="D69" s="25"/>
      <c r="E69" s="25"/>
      <c r="F69" s="25"/>
      <c r="G69" s="25"/>
      <c r="H69" s="25"/>
      <c r="I69" s="25"/>
      <c r="J69" s="25"/>
      <c r="K69" s="25"/>
      <c r="L69" s="25"/>
      <c r="M69" s="25"/>
      <c r="N69" s="25"/>
      <c r="O69" s="20"/>
    </row>
    <row r="70" spans="2:15" s="1" customFormat="1" x14ac:dyDescent="0.2">
      <c r="B70" s="27" t="s">
        <v>20</v>
      </c>
      <c r="C70" s="25"/>
      <c r="D70" s="25"/>
      <c r="E70" s="25"/>
      <c r="F70" s="25"/>
      <c r="G70" s="25"/>
      <c r="H70" s="25"/>
      <c r="I70" s="25"/>
      <c r="J70" s="25"/>
      <c r="K70" s="25"/>
      <c r="L70" s="25"/>
      <c r="M70" s="25"/>
      <c r="N70" s="25"/>
      <c r="O70" s="20"/>
    </row>
    <row r="71" spans="2:15" s="1" customFormat="1" x14ac:dyDescent="0.2">
      <c r="B71" s="17" t="s">
        <v>18</v>
      </c>
      <c r="C71" s="4">
        <v>1600</v>
      </c>
      <c r="D71" s="4">
        <v>3350</v>
      </c>
      <c r="E71" s="4">
        <v>5100</v>
      </c>
      <c r="F71" s="4">
        <v>6850</v>
      </c>
      <c r="G71" s="4">
        <v>8600</v>
      </c>
      <c r="H71" s="4">
        <v>10350</v>
      </c>
      <c r="I71" s="4">
        <v>12100</v>
      </c>
      <c r="J71" s="4">
        <v>13850</v>
      </c>
      <c r="K71" s="4">
        <v>15600</v>
      </c>
      <c r="L71" s="4">
        <v>17350</v>
      </c>
      <c r="M71" s="4">
        <v>19100</v>
      </c>
      <c r="N71" s="4">
        <v>20850</v>
      </c>
      <c r="O71" s="39">
        <f>SUM(C71:N71)</f>
        <v>134700</v>
      </c>
    </row>
    <row r="72" spans="2:15" s="1" customFormat="1" x14ac:dyDescent="0.2">
      <c r="B72" s="18" t="s">
        <v>29</v>
      </c>
      <c r="C72" s="4">
        <v>595</v>
      </c>
      <c r="D72" s="4">
        <v>1678</v>
      </c>
      <c r="E72" s="4">
        <v>4754</v>
      </c>
      <c r="F72" s="4">
        <v>6501</v>
      </c>
      <c r="G72" s="4">
        <v>7744</v>
      </c>
      <c r="H72" s="4">
        <v>9845</v>
      </c>
      <c r="I72" s="4">
        <v>10976</v>
      </c>
      <c r="J72" s="4">
        <v>11232</v>
      </c>
      <c r="K72" s="4">
        <v>14323</v>
      </c>
      <c r="L72" s="4">
        <v>15434</v>
      </c>
      <c r="M72" s="4">
        <v>16543</v>
      </c>
      <c r="N72" s="4">
        <v>17896</v>
      </c>
      <c r="O72" s="39">
        <f>SUM(C72:N72)</f>
        <v>117521</v>
      </c>
    </row>
    <row r="73" spans="2:15" s="1" customFormat="1" x14ac:dyDescent="0.2">
      <c r="B73" s="18" t="s">
        <v>38</v>
      </c>
      <c r="C73" s="39">
        <f t="shared" ref="C73:N73" si="22">C71-C72</f>
        <v>1005</v>
      </c>
      <c r="D73" s="39">
        <f t="shared" si="22"/>
        <v>1672</v>
      </c>
      <c r="E73" s="39">
        <f t="shared" si="22"/>
        <v>346</v>
      </c>
      <c r="F73" s="39">
        <f t="shared" si="22"/>
        <v>349</v>
      </c>
      <c r="G73" s="39">
        <f t="shared" si="22"/>
        <v>856</v>
      </c>
      <c r="H73" s="39">
        <f t="shared" si="22"/>
        <v>505</v>
      </c>
      <c r="I73" s="39">
        <f t="shared" si="22"/>
        <v>1124</v>
      </c>
      <c r="J73" s="39">
        <f t="shared" si="22"/>
        <v>2618</v>
      </c>
      <c r="K73" s="39">
        <f t="shared" si="22"/>
        <v>1277</v>
      </c>
      <c r="L73" s="39">
        <f t="shared" si="22"/>
        <v>1916</v>
      </c>
      <c r="M73" s="39">
        <f t="shared" si="22"/>
        <v>2557</v>
      </c>
      <c r="N73" s="39">
        <f t="shared" si="22"/>
        <v>2954</v>
      </c>
      <c r="O73" s="39">
        <f>SUM(O71:O72)</f>
        <v>252221</v>
      </c>
    </row>
    <row r="74" spans="2:15" s="1" customFormat="1" x14ac:dyDescent="0.2">
      <c r="B74" s="18"/>
      <c r="C74" s="25"/>
      <c r="D74" s="25"/>
      <c r="E74" s="25"/>
      <c r="F74" s="25"/>
      <c r="G74" s="25"/>
      <c r="H74" s="25"/>
      <c r="I74" s="25"/>
      <c r="J74" s="25"/>
      <c r="K74" s="25"/>
      <c r="L74" s="25"/>
      <c r="M74" s="25"/>
      <c r="N74" s="25"/>
      <c r="O74" s="20"/>
    </row>
    <row r="75" spans="2:15" s="1" customFormat="1" x14ac:dyDescent="0.2">
      <c r="B75" s="17" t="s">
        <v>19</v>
      </c>
      <c r="C75" s="4">
        <v>1600</v>
      </c>
      <c r="D75" s="4">
        <v>3350</v>
      </c>
      <c r="E75" s="4">
        <v>5100</v>
      </c>
      <c r="F75" s="4">
        <v>6850</v>
      </c>
      <c r="G75" s="4">
        <v>8600</v>
      </c>
      <c r="H75" s="4">
        <v>10350</v>
      </c>
      <c r="I75" s="4">
        <v>12100</v>
      </c>
      <c r="J75" s="4">
        <v>13850</v>
      </c>
      <c r="K75" s="4">
        <v>15600</v>
      </c>
      <c r="L75" s="4">
        <v>17350</v>
      </c>
      <c r="M75" s="4">
        <v>19100</v>
      </c>
      <c r="N75" s="4">
        <v>20850</v>
      </c>
      <c r="O75" s="39">
        <f>SUM(C75:N75)</f>
        <v>134700</v>
      </c>
    </row>
    <row r="76" spans="2:15" s="1" customFormat="1" x14ac:dyDescent="0.2">
      <c r="B76" s="18" t="s">
        <v>29</v>
      </c>
      <c r="C76" s="4">
        <v>595</v>
      </c>
      <c r="D76" s="4">
        <v>1678</v>
      </c>
      <c r="E76" s="4">
        <v>4754</v>
      </c>
      <c r="F76" s="4">
        <v>6501</v>
      </c>
      <c r="G76" s="4">
        <v>7744</v>
      </c>
      <c r="H76" s="4">
        <v>9845</v>
      </c>
      <c r="I76" s="4">
        <v>10976</v>
      </c>
      <c r="J76" s="4">
        <v>11232</v>
      </c>
      <c r="K76" s="4">
        <v>14323</v>
      </c>
      <c r="L76" s="4">
        <v>15434</v>
      </c>
      <c r="M76" s="4">
        <v>16543</v>
      </c>
      <c r="N76" s="4">
        <v>17896</v>
      </c>
      <c r="O76" s="39">
        <f>SUM(C76:N76)</f>
        <v>117521</v>
      </c>
    </row>
    <row r="77" spans="2:15" s="1" customFormat="1" x14ac:dyDescent="0.2">
      <c r="B77" s="18" t="s">
        <v>38</v>
      </c>
      <c r="C77" s="39">
        <f t="shared" ref="C77:N77" si="23">C75-C76</f>
        <v>1005</v>
      </c>
      <c r="D77" s="39">
        <f t="shared" si="23"/>
        <v>1672</v>
      </c>
      <c r="E77" s="39">
        <f t="shared" si="23"/>
        <v>346</v>
      </c>
      <c r="F77" s="39">
        <f t="shared" si="23"/>
        <v>349</v>
      </c>
      <c r="G77" s="39">
        <f t="shared" si="23"/>
        <v>856</v>
      </c>
      <c r="H77" s="39">
        <f t="shared" si="23"/>
        <v>505</v>
      </c>
      <c r="I77" s="39">
        <f t="shared" si="23"/>
        <v>1124</v>
      </c>
      <c r="J77" s="39">
        <f t="shared" si="23"/>
        <v>2618</v>
      </c>
      <c r="K77" s="39">
        <f t="shared" si="23"/>
        <v>1277</v>
      </c>
      <c r="L77" s="39">
        <f t="shared" si="23"/>
        <v>1916</v>
      </c>
      <c r="M77" s="39">
        <f t="shared" si="23"/>
        <v>2557</v>
      </c>
      <c r="N77" s="39">
        <f t="shared" si="23"/>
        <v>2954</v>
      </c>
      <c r="O77" s="39">
        <f>SUM(O75:O76)</f>
        <v>252221</v>
      </c>
    </row>
    <row r="78" spans="2:15" s="1" customFormat="1" x14ac:dyDescent="0.2">
      <c r="B78" s="18"/>
      <c r="C78" s="25"/>
      <c r="D78" s="25"/>
      <c r="E78" s="25"/>
      <c r="F78" s="25"/>
      <c r="G78" s="25"/>
      <c r="H78" s="25"/>
      <c r="I78" s="25"/>
      <c r="J78" s="25"/>
      <c r="K78" s="25"/>
      <c r="L78" s="25"/>
      <c r="M78" s="25"/>
      <c r="N78" s="25"/>
      <c r="O78" s="20"/>
    </row>
    <row r="79" spans="2:15" s="1" customFormat="1" x14ac:dyDescent="0.2">
      <c r="B79" s="28" t="s">
        <v>21</v>
      </c>
      <c r="C79" s="25">
        <f>C71+C75</f>
        <v>3200</v>
      </c>
      <c r="D79" s="25">
        <f t="shared" ref="D79:K79" si="24">D71+D75</f>
        <v>6700</v>
      </c>
      <c r="E79" s="25">
        <f t="shared" si="24"/>
        <v>10200</v>
      </c>
      <c r="F79" s="25">
        <f t="shared" si="24"/>
        <v>13700</v>
      </c>
      <c r="G79" s="25">
        <f t="shared" si="24"/>
        <v>17200</v>
      </c>
      <c r="H79" s="25">
        <f t="shared" si="24"/>
        <v>20700</v>
      </c>
      <c r="I79" s="25">
        <f t="shared" si="24"/>
        <v>24200</v>
      </c>
      <c r="J79" s="25">
        <f t="shared" si="24"/>
        <v>27700</v>
      </c>
      <c r="K79" s="25">
        <f t="shared" si="24"/>
        <v>31200</v>
      </c>
      <c r="L79" s="25">
        <f t="shared" ref="L79:N80" si="25">L71+L75</f>
        <v>34700</v>
      </c>
      <c r="M79" s="25">
        <f t="shared" si="25"/>
        <v>38200</v>
      </c>
      <c r="N79" s="25">
        <f t="shared" si="25"/>
        <v>41700</v>
      </c>
      <c r="O79" s="39">
        <f>SUM(C79:N79)</f>
        <v>269400</v>
      </c>
    </row>
    <row r="80" spans="2:15" s="1" customFormat="1" x14ac:dyDescent="0.2">
      <c r="B80" s="28" t="s">
        <v>42</v>
      </c>
      <c r="C80" s="25">
        <f>C72+C76</f>
        <v>1190</v>
      </c>
      <c r="D80" s="25">
        <f t="shared" ref="D80:K80" si="26">D72+D76</f>
        <v>3356</v>
      </c>
      <c r="E80" s="25">
        <f t="shared" si="26"/>
        <v>9508</v>
      </c>
      <c r="F80" s="25">
        <f t="shared" si="26"/>
        <v>13002</v>
      </c>
      <c r="G80" s="25">
        <f t="shared" si="26"/>
        <v>15488</v>
      </c>
      <c r="H80" s="25">
        <f t="shared" si="26"/>
        <v>19690</v>
      </c>
      <c r="I80" s="25">
        <f t="shared" si="26"/>
        <v>21952</v>
      </c>
      <c r="J80" s="25">
        <f t="shared" si="26"/>
        <v>22464</v>
      </c>
      <c r="K80" s="25">
        <f t="shared" si="26"/>
        <v>28646</v>
      </c>
      <c r="L80" s="25">
        <f t="shared" si="25"/>
        <v>30868</v>
      </c>
      <c r="M80" s="25">
        <f t="shared" si="25"/>
        <v>33086</v>
      </c>
      <c r="N80" s="25">
        <f t="shared" si="25"/>
        <v>35792</v>
      </c>
      <c r="O80" s="39">
        <f>SUM(C80:N80)</f>
        <v>235042</v>
      </c>
    </row>
    <row r="81" spans="2:15" s="1" customFormat="1" x14ac:dyDescent="0.2">
      <c r="B81" s="28" t="s">
        <v>39</v>
      </c>
      <c r="C81" s="39">
        <f>C79-C80</f>
        <v>2010</v>
      </c>
      <c r="D81" s="39">
        <f t="shared" ref="D81:K81" si="27">D79-D80</f>
        <v>3344</v>
      </c>
      <c r="E81" s="39">
        <f t="shared" si="27"/>
        <v>692</v>
      </c>
      <c r="F81" s="39">
        <f t="shared" si="27"/>
        <v>698</v>
      </c>
      <c r="G81" s="39">
        <f t="shared" si="27"/>
        <v>1712</v>
      </c>
      <c r="H81" s="39">
        <f t="shared" si="27"/>
        <v>1010</v>
      </c>
      <c r="I81" s="39">
        <f t="shared" si="27"/>
        <v>2248</v>
      </c>
      <c r="J81" s="39">
        <f t="shared" si="27"/>
        <v>5236</v>
      </c>
      <c r="K81" s="39">
        <f t="shared" si="27"/>
        <v>2554</v>
      </c>
      <c r="L81" s="39">
        <f>L79-L80</f>
        <v>3832</v>
      </c>
      <c r="M81" s="39">
        <f>M79-M80</f>
        <v>5114</v>
      </c>
      <c r="N81" s="39">
        <f>N79-N80</f>
        <v>5908</v>
      </c>
      <c r="O81" s="39">
        <f>SUM(C81:N81)</f>
        <v>34358</v>
      </c>
    </row>
    <row r="82" spans="2:15" s="1" customFormat="1" x14ac:dyDescent="0.2">
      <c r="B82" s="28"/>
      <c r="C82" s="25"/>
      <c r="D82" s="25"/>
      <c r="E82" s="25"/>
      <c r="F82" s="25"/>
      <c r="G82" s="25"/>
      <c r="H82" s="25"/>
      <c r="I82" s="25"/>
      <c r="J82" s="25"/>
      <c r="K82" s="25"/>
      <c r="L82" s="25"/>
      <c r="M82" s="25"/>
      <c r="N82" s="25"/>
      <c r="O82" s="20"/>
    </row>
    <row r="83" spans="2:15" s="1" customFormat="1" x14ac:dyDescent="0.2">
      <c r="B83" s="17"/>
      <c r="C83" s="25"/>
      <c r="D83" s="25"/>
      <c r="E83" s="25"/>
      <c r="F83" s="25"/>
      <c r="G83" s="25"/>
      <c r="H83" s="25"/>
      <c r="I83" s="25"/>
      <c r="J83" s="25"/>
      <c r="K83" s="25"/>
      <c r="L83" s="25"/>
      <c r="M83" s="25"/>
      <c r="N83" s="25"/>
      <c r="O83" s="20"/>
    </row>
    <row r="84" spans="2:15" s="1" customFormat="1" x14ac:dyDescent="0.2">
      <c r="B84" s="27" t="s">
        <v>23</v>
      </c>
      <c r="C84" s="25"/>
      <c r="D84" s="25"/>
      <c r="E84" s="25"/>
      <c r="F84" s="25"/>
      <c r="G84" s="25"/>
      <c r="H84" s="25"/>
      <c r="I84" s="25"/>
      <c r="J84" s="25"/>
      <c r="K84" s="25"/>
      <c r="L84" s="25"/>
      <c r="M84" s="25"/>
      <c r="N84" s="25"/>
      <c r="O84" s="20"/>
    </row>
    <row r="85" spans="2:15" s="1" customFormat="1" x14ac:dyDescent="0.2">
      <c r="B85" s="17" t="s">
        <v>18</v>
      </c>
      <c r="C85" s="4">
        <v>1600</v>
      </c>
      <c r="D85" s="4">
        <v>3350</v>
      </c>
      <c r="E85" s="4">
        <v>5100</v>
      </c>
      <c r="F85" s="4">
        <v>6850</v>
      </c>
      <c r="G85" s="4">
        <v>8600</v>
      </c>
      <c r="H85" s="4">
        <v>10350</v>
      </c>
      <c r="I85" s="4">
        <v>12100</v>
      </c>
      <c r="J85" s="4">
        <v>13850</v>
      </c>
      <c r="K85" s="4">
        <v>15600</v>
      </c>
      <c r="L85" s="4">
        <v>17350</v>
      </c>
      <c r="M85" s="4">
        <v>19100</v>
      </c>
      <c r="N85" s="4">
        <v>20850</v>
      </c>
      <c r="O85" s="39">
        <f>SUM(C85:N85)</f>
        <v>134700</v>
      </c>
    </row>
    <row r="86" spans="2:15" s="1" customFormat="1" x14ac:dyDescent="0.2">
      <c r="B86" s="18" t="s">
        <v>29</v>
      </c>
      <c r="C86" s="4">
        <v>595</v>
      </c>
      <c r="D86" s="4">
        <v>1678</v>
      </c>
      <c r="E86" s="4">
        <v>4754</v>
      </c>
      <c r="F86" s="4">
        <v>6501</v>
      </c>
      <c r="G86" s="4">
        <v>7744</v>
      </c>
      <c r="H86" s="4">
        <v>9845</v>
      </c>
      <c r="I86" s="4">
        <v>10976</v>
      </c>
      <c r="J86" s="4">
        <v>11232</v>
      </c>
      <c r="K86" s="4">
        <v>14323</v>
      </c>
      <c r="L86" s="4">
        <v>15434</v>
      </c>
      <c r="M86" s="4">
        <v>16543</v>
      </c>
      <c r="N86" s="4">
        <v>17896</v>
      </c>
      <c r="O86" s="39">
        <f>SUM(C86:N86)</f>
        <v>117521</v>
      </c>
    </row>
    <row r="87" spans="2:15" s="1" customFormat="1" x14ac:dyDescent="0.2">
      <c r="B87" s="18" t="s">
        <v>38</v>
      </c>
      <c r="C87" s="39">
        <f t="shared" ref="C87:N87" si="28">C85-C86</f>
        <v>1005</v>
      </c>
      <c r="D87" s="39">
        <f t="shared" si="28"/>
        <v>1672</v>
      </c>
      <c r="E87" s="39">
        <f t="shared" si="28"/>
        <v>346</v>
      </c>
      <c r="F87" s="39">
        <f t="shared" si="28"/>
        <v>349</v>
      </c>
      <c r="G87" s="39">
        <f t="shared" si="28"/>
        <v>856</v>
      </c>
      <c r="H87" s="39">
        <f t="shared" si="28"/>
        <v>505</v>
      </c>
      <c r="I87" s="39">
        <f t="shared" si="28"/>
        <v>1124</v>
      </c>
      <c r="J87" s="39">
        <f t="shared" si="28"/>
        <v>2618</v>
      </c>
      <c r="K87" s="39">
        <f t="shared" si="28"/>
        <v>1277</v>
      </c>
      <c r="L87" s="39">
        <f t="shared" si="28"/>
        <v>1916</v>
      </c>
      <c r="M87" s="39">
        <f t="shared" si="28"/>
        <v>2557</v>
      </c>
      <c r="N87" s="39">
        <f t="shared" si="28"/>
        <v>2954</v>
      </c>
      <c r="O87" s="39">
        <f>SUM(O85:O86)</f>
        <v>252221</v>
      </c>
    </row>
    <row r="88" spans="2:15" s="1" customFormat="1" x14ac:dyDescent="0.2">
      <c r="B88" s="18"/>
      <c r="C88" s="25"/>
      <c r="D88" s="25"/>
      <c r="E88" s="25"/>
      <c r="F88" s="25"/>
      <c r="G88" s="25"/>
      <c r="H88" s="25"/>
      <c r="I88" s="25"/>
      <c r="J88" s="25"/>
      <c r="K88" s="25"/>
      <c r="L88" s="25"/>
      <c r="M88" s="25"/>
      <c r="N88" s="25"/>
      <c r="O88" s="20"/>
    </row>
    <row r="89" spans="2:15" s="1" customFormat="1" x14ac:dyDescent="0.2">
      <c r="B89" s="17" t="s">
        <v>19</v>
      </c>
      <c r="C89" s="4">
        <v>1600</v>
      </c>
      <c r="D89" s="4">
        <v>3350</v>
      </c>
      <c r="E89" s="4">
        <v>5100</v>
      </c>
      <c r="F89" s="4">
        <v>6850</v>
      </c>
      <c r="G89" s="4">
        <v>8600</v>
      </c>
      <c r="H89" s="4">
        <v>10350</v>
      </c>
      <c r="I89" s="4">
        <v>12100</v>
      </c>
      <c r="J89" s="4">
        <v>13850</v>
      </c>
      <c r="K89" s="4">
        <v>15600</v>
      </c>
      <c r="L89" s="4">
        <v>17350</v>
      </c>
      <c r="M89" s="4">
        <v>19100</v>
      </c>
      <c r="N89" s="4">
        <v>20850</v>
      </c>
      <c r="O89" s="39">
        <f>SUM(C89:N89)</f>
        <v>134700</v>
      </c>
    </row>
    <row r="90" spans="2:15" s="1" customFormat="1" x14ac:dyDescent="0.2">
      <c r="B90" s="18" t="s">
        <v>29</v>
      </c>
      <c r="C90" s="4">
        <v>595</v>
      </c>
      <c r="D90" s="4">
        <v>1678</v>
      </c>
      <c r="E90" s="4">
        <v>4754</v>
      </c>
      <c r="F90" s="4">
        <v>6501</v>
      </c>
      <c r="G90" s="4">
        <v>7744</v>
      </c>
      <c r="H90" s="4">
        <v>9845</v>
      </c>
      <c r="I90" s="4">
        <v>10976</v>
      </c>
      <c r="J90" s="4">
        <v>11232</v>
      </c>
      <c r="K90" s="4">
        <v>14323</v>
      </c>
      <c r="L90" s="4">
        <v>15434</v>
      </c>
      <c r="M90" s="4">
        <v>16543</v>
      </c>
      <c r="N90" s="4">
        <v>17896</v>
      </c>
      <c r="O90" s="39">
        <f>SUM(C90:N90)</f>
        <v>117521</v>
      </c>
    </row>
    <row r="91" spans="2:15" s="1" customFormat="1" x14ac:dyDescent="0.2">
      <c r="B91" s="18" t="s">
        <v>38</v>
      </c>
      <c r="C91" s="39">
        <f t="shared" ref="C91:N91" si="29">C89-C90</f>
        <v>1005</v>
      </c>
      <c r="D91" s="39">
        <f t="shared" si="29"/>
        <v>1672</v>
      </c>
      <c r="E91" s="39">
        <f t="shared" si="29"/>
        <v>346</v>
      </c>
      <c r="F91" s="39">
        <f t="shared" si="29"/>
        <v>349</v>
      </c>
      <c r="G91" s="39">
        <f t="shared" si="29"/>
        <v>856</v>
      </c>
      <c r="H91" s="39">
        <f t="shared" si="29"/>
        <v>505</v>
      </c>
      <c r="I91" s="39">
        <f t="shared" si="29"/>
        <v>1124</v>
      </c>
      <c r="J91" s="39">
        <f t="shared" si="29"/>
        <v>2618</v>
      </c>
      <c r="K91" s="39">
        <f t="shared" si="29"/>
        <v>1277</v>
      </c>
      <c r="L91" s="39">
        <f t="shared" si="29"/>
        <v>1916</v>
      </c>
      <c r="M91" s="39">
        <f t="shared" si="29"/>
        <v>2557</v>
      </c>
      <c r="N91" s="39">
        <f t="shared" si="29"/>
        <v>2954</v>
      </c>
      <c r="O91" s="39">
        <f>SUM(O89:O90)</f>
        <v>252221</v>
      </c>
    </row>
    <row r="92" spans="2:15" s="1" customFormat="1" x14ac:dyDescent="0.2">
      <c r="B92" s="18"/>
      <c r="C92" s="25"/>
      <c r="D92" s="25"/>
      <c r="E92" s="25"/>
      <c r="F92" s="25"/>
      <c r="G92" s="25"/>
      <c r="H92" s="25"/>
      <c r="I92" s="25"/>
      <c r="J92" s="25"/>
      <c r="K92" s="25"/>
      <c r="L92" s="25"/>
      <c r="M92" s="25"/>
      <c r="N92" s="25"/>
      <c r="O92" s="20"/>
    </row>
    <row r="93" spans="2:15" s="1" customFormat="1" x14ac:dyDescent="0.2">
      <c r="B93" s="28" t="s">
        <v>24</v>
      </c>
      <c r="C93" s="25">
        <f>C85+C89</f>
        <v>3200</v>
      </c>
      <c r="D93" s="25">
        <f t="shared" ref="D93:K93" si="30">D85+D89</f>
        <v>6700</v>
      </c>
      <c r="E93" s="25">
        <f t="shared" si="30"/>
        <v>10200</v>
      </c>
      <c r="F93" s="25">
        <f t="shared" si="30"/>
        <v>13700</v>
      </c>
      <c r="G93" s="25">
        <f t="shared" si="30"/>
        <v>17200</v>
      </c>
      <c r="H93" s="25">
        <f t="shared" si="30"/>
        <v>20700</v>
      </c>
      <c r="I93" s="25">
        <f t="shared" si="30"/>
        <v>24200</v>
      </c>
      <c r="J93" s="25">
        <f t="shared" si="30"/>
        <v>27700</v>
      </c>
      <c r="K93" s="25">
        <f t="shared" si="30"/>
        <v>31200</v>
      </c>
      <c r="L93" s="25">
        <f t="shared" ref="L93:N94" si="31">L85+L89</f>
        <v>34700</v>
      </c>
      <c r="M93" s="25">
        <f t="shared" si="31"/>
        <v>38200</v>
      </c>
      <c r="N93" s="25">
        <f t="shared" si="31"/>
        <v>41700</v>
      </c>
      <c r="O93" s="39">
        <f>SUM(C93:N93)</f>
        <v>269400</v>
      </c>
    </row>
    <row r="94" spans="2:15" s="1" customFormat="1" x14ac:dyDescent="0.2">
      <c r="B94" s="28" t="s">
        <v>47</v>
      </c>
      <c r="C94" s="25">
        <f>C86+C90</f>
        <v>1190</v>
      </c>
      <c r="D94" s="25">
        <f t="shared" ref="D94:K94" si="32">D86+D90</f>
        <v>3356</v>
      </c>
      <c r="E94" s="25">
        <f t="shared" si="32"/>
        <v>9508</v>
      </c>
      <c r="F94" s="25">
        <f t="shared" si="32"/>
        <v>13002</v>
      </c>
      <c r="G94" s="25">
        <f t="shared" si="32"/>
        <v>15488</v>
      </c>
      <c r="H94" s="25">
        <f t="shared" si="32"/>
        <v>19690</v>
      </c>
      <c r="I94" s="25">
        <f t="shared" si="32"/>
        <v>21952</v>
      </c>
      <c r="J94" s="25">
        <f t="shared" si="32"/>
        <v>22464</v>
      </c>
      <c r="K94" s="25">
        <f t="shared" si="32"/>
        <v>28646</v>
      </c>
      <c r="L94" s="25">
        <f t="shared" si="31"/>
        <v>30868</v>
      </c>
      <c r="M94" s="25">
        <f t="shared" si="31"/>
        <v>33086</v>
      </c>
      <c r="N94" s="25">
        <f t="shared" si="31"/>
        <v>35792</v>
      </c>
      <c r="O94" s="39">
        <f>SUM(C94:N94)</f>
        <v>235042</v>
      </c>
    </row>
    <row r="95" spans="2:15" s="1" customFormat="1" x14ac:dyDescent="0.2">
      <c r="B95" s="28" t="s">
        <v>39</v>
      </c>
      <c r="C95" s="39">
        <f t="shared" ref="C95:N95" si="33">C93-C94</f>
        <v>2010</v>
      </c>
      <c r="D95" s="39">
        <f t="shared" si="33"/>
        <v>3344</v>
      </c>
      <c r="E95" s="39">
        <f t="shared" si="33"/>
        <v>692</v>
      </c>
      <c r="F95" s="39">
        <f t="shared" si="33"/>
        <v>698</v>
      </c>
      <c r="G95" s="39">
        <f t="shared" si="33"/>
        <v>1712</v>
      </c>
      <c r="H95" s="39">
        <f t="shared" si="33"/>
        <v>1010</v>
      </c>
      <c r="I95" s="39">
        <f t="shared" si="33"/>
        <v>2248</v>
      </c>
      <c r="J95" s="39">
        <f t="shared" si="33"/>
        <v>5236</v>
      </c>
      <c r="K95" s="39">
        <f t="shared" si="33"/>
        <v>2554</v>
      </c>
      <c r="L95" s="39">
        <f t="shared" si="33"/>
        <v>3832</v>
      </c>
      <c r="M95" s="39">
        <f t="shared" si="33"/>
        <v>5114</v>
      </c>
      <c r="N95" s="39">
        <f t="shared" si="33"/>
        <v>5908</v>
      </c>
      <c r="O95" s="39">
        <f>SUM(C95:N95)</f>
        <v>34358</v>
      </c>
    </row>
    <row r="96" spans="2:15" s="1" customFormat="1" x14ac:dyDescent="0.2">
      <c r="B96" s="28"/>
      <c r="C96" s="25"/>
      <c r="D96" s="25"/>
      <c r="E96" s="25"/>
      <c r="F96" s="25"/>
      <c r="G96" s="25"/>
      <c r="H96" s="25"/>
      <c r="I96" s="25"/>
      <c r="J96" s="25"/>
      <c r="K96" s="25"/>
      <c r="L96" s="25"/>
      <c r="M96" s="25"/>
      <c r="N96" s="25"/>
      <c r="O96" s="20"/>
    </row>
    <row r="97" spans="2:15" s="1" customFormat="1" x14ac:dyDescent="0.2">
      <c r="B97" s="17"/>
      <c r="C97" s="25"/>
      <c r="D97" s="25"/>
      <c r="E97" s="25"/>
      <c r="F97" s="25"/>
      <c r="G97" s="25"/>
      <c r="H97" s="25"/>
      <c r="I97" s="25"/>
      <c r="J97" s="25"/>
      <c r="K97" s="25"/>
      <c r="L97" s="25"/>
      <c r="M97" s="25"/>
      <c r="N97" s="25"/>
      <c r="O97" s="20"/>
    </row>
    <row r="98" spans="2:15" s="1" customFormat="1" x14ac:dyDescent="0.2">
      <c r="B98" s="27" t="s">
        <v>25</v>
      </c>
      <c r="C98" s="25"/>
      <c r="D98" s="25"/>
      <c r="E98" s="25"/>
      <c r="F98" s="25"/>
      <c r="G98" s="25"/>
      <c r="H98" s="25"/>
      <c r="I98" s="25"/>
      <c r="J98" s="25"/>
      <c r="K98" s="25"/>
      <c r="L98" s="25"/>
      <c r="M98" s="25"/>
      <c r="N98" s="25"/>
      <c r="O98" s="20"/>
    </row>
    <row r="99" spans="2:15" s="1" customFormat="1" x14ac:dyDescent="0.2">
      <c r="B99" s="17" t="s">
        <v>18</v>
      </c>
      <c r="C99" s="4">
        <v>1600</v>
      </c>
      <c r="D99" s="4">
        <v>3350</v>
      </c>
      <c r="E99" s="4">
        <v>5100</v>
      </c>
      <c r="F99" s="4">
        <v>6850</v>
      </c>
      <c r="G99" s="4">
        <v>8600</v>
      </c>
      <c r="H99" s="4">
        <v>10350</v>
      </c>
      <c r="I99" s="4">
        <v>12100</v>
      </c>
      <c r="J99" s="4">
        <v>13850</v>
      </c>
      <c r="K99" s="4">
        <v>15600</v>
      </c>
      <c r="L99" s="4">
        <v>17350</v>
      </c>
      <c r="M99" s="4">
        <v>19100</v>
      </c>
      <c r="N99" s="4">
        <v>20850</v>
      </c>
      <c r="O99" s="39">
        <f>SUM(C99:N99)</f>
        <v>134700</v>
      </c>
    </row>
    <row r="100" spans="2:15" s="1" customFormat="1" x14ac:dyDescent="0.2">
      <c r="B100" s="18" t="s">
        <v>29</v>
      </c>
      <c r="C100" s="4">
        <v>595</v>
      </c>
      <c r="D100" s="4">
        <v>1678</v>
      </c>
      <c r="E100" s="4">
        <v>4754</v>
      </c>
      <c r="F100" s="4">
        <v>6501</v>
      </c>
      <c r="G100" s="4">
        <v>7744</v>
      </c>
      <c r="H100" s="4">
        <v>9845</v>
      </c>
      <c r="I100" s="4">
        <v>10976</v>
      </c>
      <c r="J100" s="4">
        <v>11232</v>
      </c>
      <c r="K100" s="4">
        <v>14323</v>
      </c>
      <c r="L100" s="4">
        <v>15434</v>
      </c>
      <c r="M100" s="4">
        <v>16543</v>
      </c>
      <c r="N100" s="4">
        <v>17896</v>
      </c>
      <c r="O100" s="39">
        <f>SUM(C100:N100)</f>
        <v>117521</v>
      </c>
    </row>
    <row r="101" spans="2:15" s="1" customFormat="1" x14ac:dyDescent="0.2">
      <c r="B101" s="18" t="s">
        <v>38</v>
      </c>
      <c r="C101" s="39">
        <f t="shared" ref="C101:N101" si="34">C99-C100</f>
        <v>1005</v>
      </c>
      <c r="D101" s="39">
        <f t="shared" si="34"/>
        <v>1672</v>
      </c>
      <c r="E101" s="39">
        <f t="shared" si="34"/>
        <v>346</v>
      </c>
      <c r="F101" s="39">
        <f t="shared" si="34"/>
        <v>349</v>
      </c>
      <c r="G101" s="39">
        <f t="shared" si="34"/>
        <v>856</v>
      </c>
      <c r="H101" s="39">
        <f t="shared" si="34"/>
        <v>505</v>
      </c>
      <c r="I101" s="39">
        <f t="shared" si="34"/>
        <v>1124</v>
      </c>
      <c r="J101" s="39">
        <f t="shared" si="34"/>
        <v>2618</v>
      </c>
      <c r="K101" s="39">
        <f t="shared" si="34"/>
        <v>1277</v>
      </c>
      <c r="L101" s="39">
        <f t="shared" si="34"/>
        <v>1916</v>
      </c>
      <c r="M101" s="39">
        <f t="shared" si="34"/>
        <v>2557</v>
      </c>
      <c r="N101" s="39">
        <f t="shared" si="34"/>
        <v>2954</v>
      </c>
      <c r="O101" s="39">
        <f>SUM(O99:O100)</f>
        <v>252221</v>
      </c>
    </row>
    <row r="102" spans="2:15" s="1" customFormat="1" x14ac:dyDescent="0.2">
      <c r="B102" s="18"/>
      <c r="C102" s="25"/>
      <c r="D102" s="25"/>
      <c r="E102" s="25"/>
      <c r="F102" s="25"/>
      <c r="G102" s="25"/>
      <c r="H102" s="25"/>
      <c r="I102" s="25"/>
      <c r="J102" s="25"/>
      <c r="K102" s="25"/>
      <c r="L102" s="25"/>
      <c r="M102" s="25"/>
      <c r="N102" s="25"/>
      <c r="O102" s="20"/>
    </row>
    <row r="103" spans="2:15" s="1" customFormat="1" x14ac:dyDescent="0.2">
      <c r="B103" s="17" t="s">
        <v>19</v>
      </c>
      <c r="C103" s="4">
        <v>1600</v>
      </c>
      <c r="D103" s="4">
        <v>3350</v>
      </c>
      <c r="E103" s="4">
        <v>5100</v>
      </c>
      <c r="F103" s="4">
        <v>6850</v>
      </c>
      <c r="G103" s="4">
        <v>8600</v>
      </c>
      <c r="H103" s="4">
        <v>10350</v>
      </c>
      <c r="I103" s="4">
        <v>12100</v>
      </c>
      <c r="J103" s="4">
        <v>13850</v>
      </c>
      <c r="K103" s="4">
        <v>15600</v>
      </c>
      <c r="L103" s="4">
        <v>17350</v>
      </c>
      <c r="M103" s="4">
        <v>19100</v>
      </c>
      <c r="N103" s="4">
        <v>20850</v>
      </c>
      <c r="O103" s="39">
        <f>SUM(C103:N103)</f>
        <v>134700</v>
      </c>
    </row>
    <row r="104" spans="2:15" s="1" customFormat="1" x14ac:dyDescent="0.2">
      <c r="B104" s="18" t="s">
        <v>29</v>
      </c>
      <c r="C104" s="4">
        <v>595</v>
      </c>
      <c r="D104" s="4">
        <v>1678</v>
      </c>
      <c r="E104" s="4">
        <v>4754</v>
      </c>
      <c r="F104" s="4">
        <v>6501</v>
      </c>
      <c r="G104" s="4">
        <v>7744</v>
      </c>
      <c r="H104" s="4">
        <v>9845</v>
      </c>
      <c r="I104" s="4">
        <v>10976</v>
      </c>
      <c r="J104" s="4">
        <v>11232</v>
      </c>
      <c r="K104" s="4">
        <v>14323</v>
      </c>
      <c r="L104" s="4">
        <v>15434</v>
      </c>
      <c r="M104" s="4">
        <v>16543</v>
      </c>
      <c r="N104" s="4">
        <v>17896</v>
      </c>
      <c r="O104" s="39">
        <f>SUM(C104:N104)</f>
        <v>117521</v>
      </c>
    </row>
    <row r="105" spans="2:15" s="1" customFormat="1" x14ac:dyDescent="0.2">
      <c r="B105" s="18" t="s">
        <v>38</v>
      </c>
      <c r="C105" s="39">
        <f t="shared" ref="C105:N105" si="35">C103-C104</f>
        <v>1005</v>
      </c>
      <c r="D105" s="39">
        <f t="shared" si="35"/>
        <v>1672</v>
      </c>
      <c r="E105" s="39">
        <f t="shared" si="35"/>
        <v>346</v>
      </c>
      <c r="F105" s="39">
        <f t="shared" si="35"/>
        <v>349</v>
      </c>
      <c r="G105" s="39">
        <f t="shared" si="35"/>
        <v>856</v>
      </c>
      <c r="H105" s="39">
        <f t="shared" si="35"/>
        <v>505</v>
      </c>
      <c r="I105" s="39">
        <f t="shared" si="35"/>
        <v>1124</v>
      </c>
      <c r="J105" s="39">
        <f t="shared" si="35"/>
        <v>2618</v>
      </c>
      <c r="K105" s="39">
        <f t="shared" si="35"/>
        <v>1277</v>
      </c>
      <c r="L105" s="39">
        <f t="shared" si="35"/>
        <v>1916</v>
      </c>
      <c r="M105" s="39">
        <f t="shared" si="35"/>
        <v>2557</v>
      </c>
      <c r="N105" s="39">
        <f t="shared" si="35"/>
        <v>2954</v>
      </c>
      <c r="O105" s="39">
        <f>SUM(O103:O104)</f>
        <v>252221</v>
      </c>
    </row>
    <row r="106" spans="2:15" s="1" customFormat="1" x14ac:dyDescent="0.2">
      <c r="B106" s="18"/>
      <c r="C106" s="25"/>
      <c r="D106" s="25"/>
      <c r="E106" s="25"/>
      <c r="F106" s="25"/>
      <c r="G106" s="25"/>
      <c r="H106" s="25"/>
      <c r="I106" s="25"/>
      <c r="J106" s="25"/>
      <c r="K106" s="25"/>
      <c r="L106" s="25"/>
      <c r="M106" s="25"/>
      <c r="N106" s="25"/>
      <c r="O106" s="20"/>
    </row>
    <row r="107" spans="2:15" s="1" customFormat="1" x14ac:dyDescent="0.2">
      <c r="B107" s="28" t="s">
        <v>26</v>
      </c>
      <c r="C107" s="39">
        <f>C99+C103</f>
        <v>3200</v>
      </c>
      <c r="D107" s="39">
        <f t="shared" ref="D107:K107" si="36">D99+D103</f>
        <v>6700</v>
      </c>
      <c r="E107" s="39">
        <f t="shared" si="36"/>
        <v>10200</v>
      </c>
      <c r="F107" s="39">
        <f t="shared" si="36"/>
        <v>13700</v>
      </c>
      <c r="G107" s="39">
        <f t="shared" si="36"/>
        <v>17200</v>
      </c>
      <c r="H107" s="39">
        <f t="shared" si="36"/>
        <v>20700</v>
      </c>
      <c r="I107" s="39">
        <f t="shared" si="36"/>
        <v>24200</v>
      </c>
      <c r="J107" s="39">
        <f t="shared" si="36"/>
        <v>27700</v>
      </c>
      <c r="K107" s="39">
        <f t="shared" si="36"/>
        <v>31200</v>
      </c>
      <c r="L107" s="39">
        <f t="shared" ref="L107:N108" si="37">L99+L103</f>
        <v>34700</v>
      </c>
      <c r="M107" s="39">
        <f t="shared" si="37"/>
        <v>38200</v>
      </c>
      <c r="N107" s="39">
        <f t="shared" si="37"/>
        <v>41700</v>
      </c>
      <c r="O107" s="39">
        <f>SUM(C107:N107)</f>
        <v>269400</v>
      </c>
    </row>
    <row r="108" spans="2:15" s="1" customFormat="1" x14ac:dyDescent="0.2">
      <c r="B108" s="28" t="s">
        <v>43</v>
      </c>
      <c r="C108" s="39">
        <f>C100+C104</f>
        <v>1190</v>
      </c>
      <c r="D108" s="39">
        <f t="shared" ref="D108:K108" si="38">D100+D104</f>
        <v>3356</v>
      </c>
      <c r="E108" s="39">
        <f t="shared" si="38"/>
        <v>9508</v>
      </c>
      <c r="F108" s="39">
        <f t="shared" si="38"/>
        <v>13002</v>
      </c>
      <c r="G108" s="39">
        <f t="shared" si="38"/>
        <v>15488</v>
      </c>
      <c r="H108" s="39">
        <f t="shared" si="38"/>
        <v>19690</v>
      </c>
      <c r="I108" s="39">
        <f t="shared" si="38"/>
        <v>21952</v>
      </c>
      <c r="J108" s="39">
        <f t="shared" si="38"/>
        <v>22464</v>
      </c>
      <c r="K108" s="39">
        <f t="shared" si="38"/>
        <v>28646</v>
      </c>
      <c r="L108" s="39">
        <f t="shared" si="37"/>
        <v>30868</v>
      </c>
      <c r="M108" s="39">
        <f t="shared" si="37"/>
        <v>33086</v>
      </c>
      <c r="N108" s="39">
        <f t="shared" si="37"/>
        <v>35792</v>
      </c>
      <c r="O108" s="39">
        <f>SUM(C108:N108)</f>
        <v>235042</v>
      </c>
    </row>
    <row r="109" spans="2:15" s="1" customFormat="1" x14ac:dyDescent="0.2">
      <c r="B109" s="28" t="s">
        <v>39</v>
      </c>
      <c r="C109" s="39">
        <f t="shared" ref="C109:N109" si="39">C107-C108</f>
        <v>2010</v>
      </c>
      <c r="D109" s="39">
        <f t="shared" si="39"/>
        <v>3344</v>
      </c>
      <c r="E109" s="39">
        <f t="shared" si="39"/>
        <v>692</v>
      </c>
      <c r="F109" s="39">
        <f t="shared" si="39"/>
        <v>698</v>
      </c>
      <c r="G109" s="39">
        <f t="shared" si="39"/>
        <v>1712</v>
      </c>
      <c r="H109" s="39">
        <f t="shared" si="39"/>
        <v>1010</v>
      </c>
      <c r="I109" s="39">
        <f t="shared" si="39"/>
        <v>2248</v>
      </c>
      <c r="J109" s="39">
        <f t="shared" si="39"/>
        <v>5236</v>
      </c>
      <c r="K109" s="39">
        <f t="shared" si="39"/>
        <v>2554</v>
      </c>
      <c r="L109" s="39">
        <f t="shared" si="39"/>
        <v>3832</v>
      </c>
      <c r="M109" s="39">
        <f t="shared" si="39"/>
        <v>5114</v>
      </c>
      <c r="N109" s="39">
        <f t="shared" si="39"/>
        <v>5908</v>
      </c>
      <c r="O109" s="39">
        <f>SUM(C109:N109)</f>
        <v>34358</v>
      </c>
    </row>
    <row r="110" spans="2:15" s="1" customFormat="1" x14ac:dyDescent="0.2">
      <c r="B110" s="17"/>
      <c r="C110" s="25"/>
      <c r="D110" s="25"/>
      <c r="E110" s="25"/>
      <c r="F110" s="25"/>
      <c r="G110" s="25"/>
      <c r="H110" s="25"/>
      <c r="I110" s="25"/>
      <c r="J110" s="25"/>
      <c r="K110" s="25"/>
      <c r="L110" s="25"/>
      <c r="M110" s="25"/>
      <c r="N110" s="25"/>
      <c r="O110" s="20"/>
    </row>
    <row r="111" spans="2:15" s="1" customFormat="1" x14ac:dyDescent="0.2">
      <c r="B111" s="17"/>
      <c r="C111" s="25"/>
      <c r="D111" s="25"/>
      <c r="E111" s="25"/>
      <c r="F111" s="25"/>
      <c r="G111" s="25"/>
      <c r="H111" s="25"/>
      <c r="I111" s="25"/>
      <c r="J111" s="25"/>
      <c r="K111" s="25"/>
      <c r="L111" s="25"/>
      <c r="M111" s="25"/>
      <c r="N111" s="25"/>
      <c r="O111" s="20"/>
    </row>
    <row r="112" spans="2:15" s="1" customFormat="1" x14ac:dyDescent="0.2">
      <c r="B112" s="29" t="s">
        <v>10</v>
      </c>
      <c r="C112" s="39">
        <f>C65+C79+C93+C107</f>
        <v>12800</v>
      </c>
      <c r="D112" s="39">
        <f t="shared" ref="D112:N112" si="40">D65+D79+D93+D107</f>
        <v>26800</v>
      </c>
      <c r="E112" s="39">
        <f t="shared" si="40"/>
        <v>40800</v>
      </c>
      <c r="F112" s="39">
        <f t="shared" si="40"/>
        <v>54800</v>
      </c>
      <c r="G112" s="39">
        <f t="shared" si="40"/>
        <v>68800</v>
      </c>
      <c r="H112" s="39">
        <f t="shared" si="40"/>
        <v>82800</v>
      </c>
      <c r="I112" s="39">
        <f t="shared" si="40"/>
        <v>96800</v>
      </c>
      <c r="J112" s="39">
        <f t="shared" si="40"/>
        <v>110800</v>
      </c>
      <c r="K112" s="39">
        <f t="shared" si="40"/>
        <v>124800</v>
      </c>
      <c r="L112" s="39">
        <f t="shared" si="40"/>
        <v>138800</v>
      </c>
      <c r="M112" s="39">
        <f t="shared" si="40"/>
        <v>152800</v>
      </c>
      <c r="N112" s="39">
        <f t="shared" si="40"/>
        <v>166800</v>
      </c>
      <c r="O112" s="39">
        <f>SUM(C112:N112)</f>
        <v>1077600</v>
      </c>
    </row>
    <row r="113" spans="1:21" s="1" customFormat="1" x14ac:dyDescent="0.2">
      <c r="B113" s="29" t="s">
        <v>27</v>
      </c>
      <c r="C113" s="39">
        <f>C61+C75+C89+C103</f>
        <v>6400</v>
      </c>
      <c r="D113" s="39">
        <f t="shared" ref="D113:N113" si="41">D61+D75+D89+D103</f>
        <v>13400</v>
      </c>
      <c r="E113" s="39">
        <f t="shared" si="41"/>
        <v>20400</v>
      </c>
      <c r="F113" s="39">
        <f t="shared" si="41"/>
        <v>27400</v>
      </c>
      <c r="G113" s="39">
        <f t="shared" si="41"/>
        <v>34400</v>
      </c>
      <c r="H113" s="39">
        <f t="shared" si="41"/>
        <v>41400</v>
      </c>
      <c r="I113" s="39">
        <f t="shared" si="41"/>
        <v>48400</v>
      </c>
      <c r="J113" s="39">
        <f t="shared" si="41"/>
        <v>55400</v>
      </c>
      <c r="K113" s="39">
        <f t="shared" si="41"/>
        <v>62400</v>
      </c>
      <c r="L113" s="39">
        <f t="shared" si="41"/>
        <v>69400</v>
      </c>
      <c r="M113" s="39">
        <f t="shared" si="41"/>
        <v>76400</v>
      </c>
      <c r="N113" s="39">
        <f t="shared" si="41"/>
        <v>83400</v>
      </c>
      <c r="O113" s="39">
        <f>SUM(C113:N113)</f>
        <v>538800</v>
      </c>
    </row>
    <row r="114" spans="1:21" s="1" customFormat="1" x14ac:dyDescent="0.2">
      <c r="B114" s="19" t="s">
        <v>44</v>
      </c>
      <c r="C114" s="39">
        <f>SUM(C112:C113)</f>
        <v>19200</v>
      </c>
      <c r="D114" s="39">
        <f t="shared" ref="D114:N114" si="42">SUM(D112:D113)</f>
        <v>40200</v>
      </c>
      <c r="E114" s="39">
        <f t="shared" si="42"/>
        <v>61200</v>
      </c>
      <c r="F114" s="39">
        <f t="shared" si="42"/>
        <v>82200</v>
      </c>
      <c r="G114" s="39">
        <f t="shared" si="42"/>
        <v>103200</v>
      </c>
      <c r="H114" s="39">
        <f t="shared" si="42"/>
        <v>124200</v>
      </c>
      <c r="I114" s="39">
        <f t="shared" si="42"/>
        <v>145200</v>
      </c>
      <c r="J114" s="39">
        <f t="shared" si="42"/>
        <v>166200</v>
      </c>
      <c r="K114" s="39">
        <f t="shared" si="42"/>
        <v>187200</v>
      </c>
      <c r="L114" s="39">
        <f t="shared" si="42"/>
        <v>208200</v>
      </c>
      <c r="M114" s="39">
        <f t="shared" si="42"/>
        <v>229200</v>
      </c>
      <c r="N114" s="39">
        <f t="shared" si="42"/>
        <v>250200</v>
      </c>
      <c r="O114" s="39">
        <f>SUM(C114:N114)</f>
        <v>1616400</v>
      </c>
    </row>
    <row r="115" spans="1:21" x14ac:dyDescent="0.2">
      <c r="B115" s="30"/>
      <c r="C115" s="20"/>
      <c r="D115" s="20"/>
      <c r="E115" s="20"/>
      <c r="F115" s="20"/>
      <c r="G115" s="20"/>
      <c r="H115" s="20"/>
      <c r="I115" s="20"/>
      <c r="J115" s="20"/>
      <c r="K115" s="20"/>
      <c r="L115" s="20"/>
      <c r="M115" s="20"/>
      <c r="N115" s="20"/>
      <c r="O115" s="20"/>
    </row>
    <row r="116" spans="1:21" x14ac:dyDescent="0.2">
      <c r="A116" s="8"/>
      <c r="B116" s="31" t="s">
        <v>28</v>
      </c>
      <c r="C116" s="39">
        <f>C29-C114</f>
        <v>5800</v>
      </c>
      <c r="D116" s="39">
        <f>D29-D114</f>
        <v>-10100</v>
      </c>
      <c r="E116" s="39">
        <f>E29-E114</f>
        <v>-21600</v>
      </c>
      <c r="F116" s="39">
        <f t="shared" ref="F116:N116" si="43">F29-F114</f>
        <v>-33100</v>
      </c>
      <c r="G116" s="39">
        <f t="shared" si="43"/>
        <v>-42800</v>
      </c>
      <c r="H116" s="39">
        <f t="shared" si="43"/>
        <v>-59620</v>
      </c>
      <c r="I116" s="39">
        <f t="shared" si="43"/>
        <v>-69440</v>
      </c>
      <c r="J116" s="39">
        <f t="shared" si="43"/>
        <v>-83926.666666666701</v>
      </c>
      <c r="K116" s="39">
        <f t="shared" si="43"/>
        <v>-99766.666666666701</v>
      </c>
      <c r="L116" s="39">
        <f t="shared" si="43"/>
        <v>-111766.6666666667</v>
      </c>
      <c r="M116" s="39">
        <f t="shared" si="43"/>
        <v>-123766.6666666667</v>
      </c>
      <c r="N116" s="39">
        <f t="shared" si="43"/>
        <v>-135766.66666666669</v>
      </c>
      <c r="O116" s="39">
        <f>SUM(C116:N116)</f>
        <v>-785853.33333333349</v>
      </c>
      <c r="P116" s="8"/>
      <c r="Q116" s="8"/>
    </row>
    <row r="117" spans="1:21" s="1" customFormat="1" x14ac:dyDescent="0.2">
      <c r="B117" s="33"/>
      <c r="C117" s="25"/>
      <c r="D117" s="25"/>
      <c r="E117" s="25"/>
      <c r="F117" s="25"/>
      <c r="G117" s="25"/>
      <c r="H117" s="25"/>
      <c r="I117" s="25"/>
      <c r="J117" s="25"/>
      <c r="K117" s="25"/>
      <c r="L117" s="25"/>
      <c r="M117" s="25"/>
      <c r="N117" s="25"/>
      <c r="O117" s="25"/>
    </row>
    <row r="118" spans="1:21" s="1" customFormat="1" x14ac:dyDescent="0.2">
      <c r="B118" s="34" t="s">
        <v>11</v>
      </c>
      <c r="C118" s="25">
        <v>10000</v>
      </c>
      <c r="D118" s="25">
        <v>10300</v>
      </c>
      <c r="E118" s="25">
        <v>10609</v>
      </c>
      <c r="F118" s="25">
        <v>10912</v>
      </c>
      <c r="G118" s="25">
        <v>11216.5</v>
      </c>
      <c r="H118" s="25">
        <v>11521</v>
      </c>
      <c r="I118" s="25">
        <v>11825.5</v>
      </c>
      <c r="J118" s="25">
        <v>12130</v>
      </c>
      <c r="K118" s="25">
        <v>12434.5</v>
      </c>
      <c r="L118" s="25">
        <v>12739</v>
      </c>
      <c r="M118" s="25">
        <v>13043.5</v>
      </c>
      <c r="N118" s="25">
        <v>13348</v>
      </c>
      <c r="O118" s="39">
        <f>SUM(C118:N118)</f>
        <v>140079</v>
      </c>
    </row>
    <row r="119" spans="1:21" s="1" customFormat="1" x14ac:dyDescent="0.2">
      <c r="B119" s="35" t="s">
        <v>12</v>
      </c>
      <c r="C119" s="25">
        <v>20000</v>
      </c>
      <c r="D119" s="25">
        <v>20600</v>
      </c>
      <c r="E119" s="25">
        <v>21218</v>
      </c>
      <c r="F119" s="25">
        <v>21824</v>
      </c>
      <c r="G119" s="25">
        <v>22433</v>
      </c>
      <c r="H119" s="25">
        <v>23042</v>
      </c>
      <c r="I119" s="25">
        <v>23651</v>
      </c>
      <c r="J119" s="25">
        <v>24260</v>
      </c>
      <c r="K119" s="25">
        <v>24869</v>
      </c>
      <c r="L119" s="25">
        <v>25478</v>
      </c>
      <c r="M119" s="25">
        <v>26087</v>
      </c>
      <c r="N119" s="25">
        <v>26696</v>
      </c>
      <c r="O119" s="39">
        <f>SUM(C119:N119)</f>
        <v>280158</v>
      </c>
    </row>
    <row r="120" spans="1:21" s="1" customFormat="1" x14ac:dyDescent="0.2">
      <c r="B120" s="19" t="s">
        <v>45</v>
      </c>
      <c r="C120" s="39">
        <f>SUM(C118:C119)</f>
        <v>30000</v>
      </c>
      <c r="D120" s="39">
        <f t="shared" ref="D120:N120" si="44">SUM(D118:D119)</f>
        <v>30900</v>
      </c>
      <c r="E120" s="39">
        <f t="shared" si="44"/>
        <v>31827</v>
      </c>
      <c r="F120" s="39">
        <f t="shared" si="44"/>
        <v>32736</v>
      </c>
      <c r="G120" s="39">
        <f t="shared" si="44"/>
        <v>33649.5</v>
      </c>
      <c r="H120" s="39">
        <f t="shared" si="44"/>
        <v>34563</v>
      </c>
      <c r="I120" s="39">
        <f t="shared" si="44"/>
        <v>35476.5</v>
      </c>
      <c r="J120" s="39">
        <f t="shared" si="44"/>
        <v>36390</v>
      </c>
      <c r="K120" s="39">
        <f t="shared" si="44"/>
        <v>37303.5</v>
      </c>
      <c r="L120" s="39">
        <f t="shared" si="44"/>
        <v>38217</v>
      </c>
      <c r="M120" s="39">
        <f t="shared" si="44"/>
        <v>39130.5</v>
      </c>
      <c r="N120" s="39">
        <f t="shared" si="44"/>
        <v>40044</v>
      </c>
      <c r="O120" s="39">
        <f>SUM(C120:N120)</f>
        <v>420237</v>
      </c>
    </row>
    <row r="121" spans="1:21" x14ac:dyDescent="0.2">
      <c r="A121" s="7"/>
      <c r="B121" s="36"/>
      <c r="C121" s="21"/>
      <c r="D121" s="21"/>
      <c r="E121" s="21"/>
      <c r="F121" s="21"/>
      <c r="G121" s="21"/>
      <c r="H121" s="21"/>
      <c r="I121" s="21"/>
      <c r="J121" s="21"/>
      <c r="K121" s="21"/>
      <c r="L121" s="21"/>
      <c r="M121" s="21"/>
      <c r="N121" s="21"/>
      <c r="O121" s="21"/>
      <c r="P121" s="7"/>
      <c r="Q121" s="7"/>
    </row>
    <row r="122" spans="1:21" x14ac:dyDescent="0.2">
      <c r="A122" s="7"/>
      <c r="B122" s="31" t="s">
        <v>13</v>
      </c>
      <c r="C122" s="39">
        <f>SUM(C116:C120)</f>
        <v>65800</v>
      </c>
      <c r="D122" s="39">
        <f t="shared" ref="D122:N122" si="45">SUM(D116:D120)</f>
        <v>51700</v>
      </c>
      <c r="E122" s="39">
        <f t="shared" si="45"/>
        <v>42054</v>
      </c>
      <c r="F122" s="39">
        <f t="shared" si="45"/>
        <v>32372</v>
      </c>
      <c r="G122" s="39">
        <f t="shared" si="45"/>
        <v>24499</v>
      </c>
      <c r="H122" s="39">
        <f t="shared" si="45"/>
        <v>9506</v>
      </c>
      <c r="I122" s="39">
        <f t="shared" si="45"/>
        <v>1513</v>
      </c>
      <c r="J122" s="39">
        <f t="shared" si="45"/>
        <v>-11146.666666666701</v>
      </c>
      <c r="K122" s="39">
        <f t="shared" si="45"/>
        <v>-25159.666666666701</v>
      </c>
      <c r="L122" s="39">
        <f t="shared" si="45"/>
        <v>-35332.666666666701</v>
      </c>
      <c r="M122" s="39">
        <f t="shared" si="45"/>
        <v>-45505.666666666701</v>
      </c>
      <c r="N122" s="39">
        <f t="shared" si="45"/>
        <v>-55678.666666666686</v>
      </c>
      <c r="O122" s="39">
        <f>SUM(C122:N122)</f>
        <v>54620.666666666555</v>
      </c>
      <c r="P122" s="7"/>
      <c r="Q122" s="7"/>
    </row>
    <row r="123" spans="1:21" x14ac:dyDescent="0.2">
      <c r="A123" s="7"/>
      <c r="B123" s="37"/>
      <c r="C123" s="32"/>
      <c r="D123" s="32"/>
      <c r="E123" s="32"/>
      <c r="F123" s="32"/>
      <c r="G123" s="32"/>
      <c r="H123" s="32"/>
      <c r="I123" s="32"/>
      <c r="J123" s="32"/>
      <c r="K123" s="32"/>
      <c r="L123" s="32"/>
      <c r="M123" s="32"/>
      <c r="N123" s="32"/>
      <c r="O123" s="32"/>
      <c r="P123" s="7"/>
      <c r="Q123" s="7"/>
    </row>
    <row r="124" spans="1:21" x14ac:dyDescent="0.2">
      <c r="A124" s="7"/>
      <c r="B124" s="37" t="s">
        <v>14</v>
      </c>
      <c r="C124" s="39">
        <v>8563</v>
      </c>
      <c r="D124" s="39">
        <v>7563</v>
      </c>
      <c r="E124" s="39">
        <v>6563</v>
      </c>
      <c r="F124" s="39">
        <v>5563</v>
      </c>
      <c r="G124" s="39">
        <v>7563</v>
      </c>
      <c r="H124" s="39">
        <v>5963</v>
      </c>
      <c r="I124" s="39">
        <v>5562.99999999999</v>
      </c>
      <c r="J124" s="39">
        <v>5162.99999999999</v>
      </c>
      <c r="K124" s="39">
        <v>4762.99999999999</v>
      </c>
      <c r="L124" s="39">
        <v>4362.99999999999</v>
      </c>
      <c r="M124" s="39">
        <v>3962.99999999999</v>
      </c>
      <c r="N124" s="39">
        <v>3562.99999999999</v>
      </c>
      <c r="O124" s="39">
        <f>SUM(C124:N124)</f>
        <v>69155.999999999942</v>
      </c>
      <c r="P124" s="9"/>
      <c r="Q124" s="9"/>
      <c r="R124" s="10"/>
      <c r="S124" s="10"/>
      <c r="T124" s="10"/>
      <c r="U124" s="10"/>
    </row>
    <row r="125" spans="1:21" x14ac:dyDescent="0.2">
      <c r="A125" s="7"/>
      <c r="B125" s="37"/>
      <c r="C125" s="32"/>
      <c r="D125" s="32"/>
      <c r="E125" s="32"/>
      <c r="F125" s="32"/>
      <c r="G125" s="32"/>
      <c r="H125" s="32"/>
      <c r="I125" s="32"/>
      <c r="J125" s="32"/>
      <c r="K125" s="32"/>
      <c r="L125" s="32"/>
      <c r="M125" s="32"/>
      <c r="N125" s="32"/>
      <c r="O125" s="32"/>
      <c r="P125" s="7"/>
      <c r="Q125" s="7"/>
    </row>
    <row r="126" spans="1:21" x14ac:dyDescent="0.2">
      <c r="A126" s="7"/>
      <c r="B126" s="31" t="s">
        <v>15</v>
      </c>
      <c r="C126" s="39">
        <f>C122-C124</f>
        <v>57237</v>
      </c>
      <c r="D126" s="39">
        <f t="shared" ref="D126:O126" si="46">D122-D124</f>
        <v>44137</v>
      </c>
      <c r="E126" s="39">
        <f t="shared" si="46"/>
        <v>35491</v>
      </c>
      <c r="F126" s="39">
        <f t="shared" si="46"/>
        <v>26809</v>
      </c>
      <c r="G126" s="39">
        <f t="shared" si="46"/>
        <v>16936</v>
      </c>
      <c r="H126" s="39">
        <f t="shared" si="46"/>
        <v>3543</v>
      </c>
      <c r="I126" s="39">
        <f t="shared" si="46"/>
        <v>-4049.99999999999</v>
      </c>
      <c r="J126" s="39">
        <f t="shared" si="46"/>
        <v>-16309.66666666669</v>
      </c>
      <c r="K126" s="39">
        <f t="shared" si="46"/>
        <v>-29922.66666666669</v>
      </c>
      <c r="L126" s="39">
        <f t="shared" si="46"/>
        <v>-39695.666666666693</v>
      </c>
      <c r="M126" s="39">
        <f t="shared" si="46"/>
        <v>-49468.666666666693</v>
      </c>
      <c r="N126" s="39">
        <f t="shared" si="46"/>
        <v>-59241.666666666679</v>
      </c>
      <c r="O126" s="39">
        <f t="shared" si="46"/>
        <v>-14535.333333333387</v>
      </c>
      <c r="P126" s="7"/>
      <c r="Q126" s="7"/>
    </row>
    <row r="127" spans="1:21" x14ac:dyDescent="0.2">
      <c r="A127" s="7"/>
      <c r="B127" s="31"/>
      <c r="C127" s="32"/>
      <c r="D127" s="32"/>
      <c r="E127" s="32"/>
      <c r="F127" s="32"/>
      <c r="G127" s="32"/>
      <c r="H127" s="32"/>
      <c r="I127" s="32"/>
      <c r="J127" s="32"/>
      <c r="K127" s="32"/>
      <c r="L127" s="32"/>
      <c r="M127" s="32"/>
      <c r="N127" s="32"/>
      <c r="O127" s="32"/>
      <c r="P127" s="7"/>
      <c r="Q127" s="7"/>
    </row>
    <row r="128" spans="1:21" x14ac:dyDescent="0.2">
      <c r="A128" s="7"/>
      <c r="B128" s="37" t="s">
        <v>16</v>
      </c>
      <c r="C128" s="39">
        <f>C126</f>
        <v>57237</v>
      </c>
      <c r="D128" s="39">
        <f>+C128+D126</f>
        <v>101374</v>
      </c>
      <c r="E128" s="39">
        <f>+D128+E126</f>
        <v>136865</v>
      </c>
      <c r="F128" s="39">
        <f t="shared" ref="F128:O128" si="47">+E128+F126</f>
        <v>163674</v>
      </c>
      <c r="G128" s="39">
        <f t="shared" si="47"/>
        <v>180610</v>
      </c>
      <c r="H128" s="39">
        <f t="shared" si="47"/>
        <v>184153</v>
      </c>
      <c r="I128" s="39">
        <f t="shared" si="47"/>
        <v>180103</v>
      </c>
      <c r="J128" s="39">
        <f t="shared" si="47"/>
        <v>163793.33333333331</v>
      </c>
      <c r="K128" s="39">
        <f t="shared" si="47"/>
        <v>133870.66666666663</v>
      </c>
      <c r="L128" s="39">
        <f t="shared" si="47"/>
        <v>94174.999999999942</v>
      </c>
      <c r="M128" s="39">
        <f t="shared" si="47"/>
        <v>44706.333333333248</v>
      </c>
      <c r="N128" s="39">
        <f t="shared" si="47"/>
        <v>-14535.33333333343</v>
      </c>
      <c r="O128" s="39">
        <f t="shared" si="47"/>
        <v>-29070.666666666817</v>
      </c>
      <c r="P128" s="7"/>
      <c r="Q128" s="7"/>
    </row>
    <row r="129" spans="1:17" x14ac:dyDescent="0.2">
      <c r="A129" s="6"/>
      <c r="B129" s="6"/>
      <c r="C129" s="6"/>
      <c r="D129" s="6"/>
      <c r="E129" s="6"/>
      <c r="F129" s="6"/>
      <c r="G129" s="6"/>
      <c r="H129" s="6"/>
      <c r="I129" s="6"/>
      <c r="J129" s="6"/>
      <c r="K129" s="6"/>
      <c r="L129" s="6"/>
      <c r="M129" s="6"/>
      <c r="N129" s="6"/>
      <c r="O129" s="6"/>
      <c r="P129" s="6"/>
      <c r="Q129" s="6"/>
    </row>
    <row r="131" spans="1:17" ht="15" x14ac:dyDescent="0.2">
      <c r="B131" s="47"/>
      <c r="C131" s="48"/>
      <c r="D131" s="48"/>
      <c r="E131" s="48"/>
      <c r="F131" s="48"/>
      <c r="G131" s="48"/>
      <c r="H131" s="48"/>
      <c r="I131" s="48"/>
      <c r="J131" s="48"/>
      <c r="K131" s="48"/>
      <c r="L131" s="48"/>
      <c r="M131" s="48"/>
      <c r="N131" s="48"/>
      <c r="O131" s="49"/>
    </row>
  </sheetData>
  <mergeCells count="1">
    <mergeCell ref="B131:O131"/>
  </mergeCells>
  <phoneticPr fontId="0" type="noConversion"/>
  <printOptions horizontalCentered="1"/>
  <pageMargins left="0.23622047244094491" right="0.23622047244094491" top="0.74803149606299213" bottom="0.74803149606299213" header="0.23622047244094491" footer="0.51181102362204722"/>
  <pageSetup orientation="landscape" r:id="rId1"/>
  <headerFooter alignWithMargins="0"/>
  <colBreaks count="1" manualBreakCount="1">
    <brk id="15" max="1048575" man="1"/>
  </colBreak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pageSetUpPr autoPageBreaks="0" fitToPage="1"/>
  </sheetPr>
  <dimension ref="B2:R35"/>
  <sheetViews>
    <sheetView showGridLines="0" showRowColHeaders="0" zoomScaleNormal="100" workbookViewId="0">
      <selection activeCell="T17" sqref="T17"/>
    </sheetView>
  </sheetViews>
  <sheetFormatPr defaultRowHeight="12.75" x14ac:dyDescent="0.2"/>
  <cols>
    <col min="1" max="16384" width="9.140625" style="38"/>
  </cols>
  <sheetData>
    <row r="2" spans="2:2" x14ac:dyDescent="0.2"/>
    <row r="35" spans="2:18" ht="27" customHeight="1" x14ac:dyDescent="0.2"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</row>
  </sheetData>
  <mergeCells count="1">
    <mergeCell ref="B35:R35"/>
  </mergeCells>
  <phoneticPr fontId="0" type="noConversion"/>
  <printOptions horizontalCentered="1"/>
  <pageMargins left="0.23622047244094491" right="0.23622047244094491" top="0.74803149606299213" bottom="0.74803149606299213" header="0.23622047244094491" footer="0.51181102362204722"/>
  <pageSetup orientation="landscape" r:id="rId1"/>
  <headerFooter alignWithMargins="0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pageSetUpPr autoPageBreaks="0" fitToPage="1"/>
  </sheetPr>
  <dimension ref="B2:R35"/>
  <sheetViews>
    <sheetView showGridLines="0" showRowColHeaders="0" zoomScaleNormal="100" workbookViewId="0"/>
  </sheetViews>
  <sheetFormatPr defaultRowHeight="12.75" x14ac:dyDescent="0.2"/>
  <cols>
    <col min="1" max="16384" width="9.140625" style="38"/>
  </cols>
  <sheetData>
    <row r="2" spans="2:2" x14ac:dyDescent="0.2"/>
    <row r="35" spans="2:18" ht="27" customHeight="1" x14ac:dyDescent="0.2"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</row>
  </sheetData>
  <mergeCells count="1">
    <mergeCell ref="B35:R35"/>
  </mergeCells>
  <phoneticPr fontId="0" type="noConversion"/>
  <printOptions horizontalCentered="1"/>
  <pageMargins left="0.23622047244094491" right="0.23622047244094491" top="0.74803149606299213" bottom="0.74803149606299213" header="0.23622047244094491" footer="0.51181102362204722"/>
  <pageSetup orientation="landscape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>
    <pageSetUpPr autoPageBreaks="0" fitToPage="1"/>
  </sheetPr>
  <dimension ref="B2:R35"/>
  <sheetViews>
    <sheetView showGridLines="0" showRowColHeaders="0" topLeftCell="C1" zoomScaleNormal="100" workbookViewId="0"/>
  </sheetViews>
  <sheetFormatPr defaultRowHeight="12.75" x14ac:dyDescent="0.2"/>
  <cols>
    <col min="1" max="16384" width="9.140625" style="38"/>
  </cols>
  <sheetData>
    <row r="2" spans="2:2" x14ac:dyDescent="0.2"/>
    <row r="35" spans="2:18" ht="27" customHeight="1" x14ac:dyDescent="0.2"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</row>
  </sheetData>
  <mergeCells count="1">
    <mergeCell ref="B35:R35"/>
  </mergeCells>
  <phoneticPr fontId="0" type="noConversion"/>
  <printOptions horizontalCentered="1"/>
  <pageMargins left="0.23622047244094491" right="0.23622047244094491" top="0.74803149606299213" bottom="0.74803149606299213" header="0.23622047244094491" footer="0.51181102362204722"/>
  <pageSetup orientation="landscape" r:id="rId1"/>
  <headerFooter alignWithMargins="0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>
    <pageSetUpPr autoPageBreaks="0" fitToPage="1"/>
  </sheetPr>
  <dimension ref="B2:R35"/>
  <sheetViews>
    <sheetView showGridLines="0" showRowColHeaders="0" topLeftCell="C1" zoomScaleNormal="100" workbookViewId="0">
      <selection activeCell="H2" sqref="H2"/>
    </sheetView>
  </sheetViews>
  <sheetFormatPr defaultRowHeight="12.75" x14ac:dyDescent="0.2"/>
  <cols>
    <col min="1" max="16384" width="9.140625" style="38"/>
  </cols>
  <sheetData>
    <row r="2" spans="2:2" x14ac:dyDescent="0.2"/>
    <row r="35" spans="2:18" ht="27" customHeight="1" x14ac:dyDescent="0.2"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</row>
  </sheetData>
  <mergeCells count="1">
    <mergeCell ref="B35:R35"/>
  </mergeCells>
  <phoneticPr fontId="0" type="noConversion"/>
  <printOptions horizontalCentered="1"/>
  <pageMargins left="0.23622047244094491" right="0.23622047244094491" top="0.74803149606299213" bottom="0.74803149606299213" header="0.23622047244094491" footer="0.51181102362204722"/>
  <pageSetup orientation="landscape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0">
    <pageSetUpPr autoPageBreaks="0" fitToPage="1"/>
  </sheetPr>
  <dimension ref="B2:R35"/>
  <sheetViews>
    <sheetView showGridLines="0" showRowColHeaders="0" topLeftCell="D1" zoomScale="84" zoomScaleNormal="84" workbookViewId="0">
      <selection activeCell="M2" sqref="M2"/>
    </sheetView>
  </sheetViews>
  <sheetFormatPr defaultRowHeight="12.75" x14ac:dyDescent="0.2"/>
  <cols>
    <col min="1" max="16384" width="9.140625" style="38"/>
  </cols>
  <sheetData>
    <row r="2" spans="2:2" x14ac:dyDescent="0.2"/>
    <row r="35" spans="2:18" ht="27" customHeight="1" x14ac:dyDescent="0.2"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</row>
  </sheetData>
  <mergeCells count="1">
    <mergeCell ref="B35:R35"/>
  </mergeCells>
  <phoneticPr fontId="0" type="noConversion"/>
  <printOptions horizontalCentered="1"/>
  <pageMargins left="0.23622047244094491" right="0.23622047244094491" top="0.74803149606299213" bottom="0.74803149606299213" header="0.23622047244094491" footer="0.51181102362204722"/>
  <pageSetup orientation="landscape" r:id="rId1"/>
  <headerFooter alignWithMargins="0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>
    <pageSetUpPr autoPageBreaks="0" fitToPage="1"/>
  </sheetPr>
  <dimension ref="B2:R35"/>
  <sheetViews>
    <sheetView showGridLines="0" showRowColHeaders="0" topLeftCell="D1" zoomScaleNormal="100" workbookViewId="0"/>
  </sheetViews>
  <sheetFormatPr defaultRowHeight="12.75" x14ac:dyDescent="0.2"/>
  <cols>
    <col min="1" max="16384" width="9.140625" style="38"/>
  </cols>
  <sheetData>
    <row r="2" spans="2:2" x14ac:dyDescent="0.2"/>
    <row r="35" spans="2:18" ht="27" customHeight="1" x14ac:dyDescent="0.2"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</row>
  </sheetData>
  <mergeCells count="1">
    <mergeCell ref="B35:R35"/>
  </mergeCells>
  <phoneticPr fontId="0" type="noConversion"/>
  <printOptions horizontalCentered="1"/>
  <pageMargins left="0.23622047244094491" right="0.23622047244094491" top="0.74803149606299213" bottom="0.74803149606299213" header="0.23622047244094491" footer="0.51181102362204722"/>
  <pageSetup orientation="landscape" r:id="rId1"/>
  <headerFooter alignWithMargins="0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pageSetUpPr autoPageBreaks="0" fitToPage="1"/>
  </sheetPr>
  <dimension ref="B2:R35"/>
  <sheetViews>
    <sheetView showGridLines="0" showRowColHeaders="0" topLeftCell="E1" zoomScaleNormal="100" workbookViewId="0"/>
  </sheetViews>
  <sheetFormatPr defaultRowHeight="12.75" x14ac:dyDescent="0.2"/>
  <cols>
    <col min="1" max="16384" width="9.140625" style="38"/>
  </cols>
  <sheetData>
    <row r="2" spans="2:2" x14ac:dyDescent="0.2"/>
    <row r="35" spans="2:18" ht="27" customHeight="1" x14ac:dyDescent="0.2"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</row>
  </sheetData>
  <mergeCells count="1">
    <mergeCell ref="B35:R35"/>
  </mergeCells>
  <phoneticPr fontId="0" type="noConversion"/>
  <printOptions horizontalCentered="1"/>
  <pageMargins left="0.23622047244094491" right="0.23622047244094491" top="0.74803149606299213" bottom="0.74803149606299213" header="0.23622047244094491" footer="0.51181102362204722"/>
  <pageSetup orientation="landscape" r:id="rId1"/>
  <headerFooter alignWithMargins="0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3">
    <pageSetUpPr autoPageBreaks="0" fitToPage="1"/>
  </sheetPr>
  <dimension ref="B2:R35"/>
  <sheetViews>
    <sheetView showGridLines="0" showRowColHeaders="0" topLeftCell="F1" zoomScaleNormal="100" workbookViewId="0"/>
  </sheetViews>
  <sheetFormatPr defaultRowHeight="12.75" x14ac:dyDescent="0.2"/>
  <cols>
    <col min="1" max="16384" width="9.140625" style="38"/>
  </cols>
  <sheetData>
    <row r="2" spans="2:2" x14ac:dyDescent="0.2"/>
    <row r="35" spans="2:18" ht="27" customHeight="1" x14ac:dyDescent="0.2"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</row>
  </sheetData>
  <mergeCells count="1">
    <mergeCell ref="B35:R35"/>
  </mergeCells>
  <phoneticPr fontId="0" type="noConversion"/>
  <printOptions horizontalCentered="1"/>
  <pageMargins left="0.23622047244094491" right="0.23622047244094491" top="0.74803149606299213" bottom="0.74803149606299213" header="0.23622047244094491" footer="0.51181102362204722"/>
  <pageSetup orientation="landscape" r:id="rId1"/>
  <headerFooter alignWithMargins="0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">
    <pageSetUpPr autoPageBreaks="0" fitToPage="1"/>
  </sheetPr>
  <dimension ref="B2:R35"/>
  <sheetViews>
    <sheetView showGridLines="0" showRowColHeaders="0" topLeftCell="F1" zoomScaleNormal="100" workbookViewId="0"/>
  </sheetViews>
  <sheetFormatPr defaultRowHeight="12.75" x14ac:dyDescent="0.2"/>
  <cols>
    <col min="1" max="16384" width="9.140625" style="38"/>
  </cols>
  <sheetData>
    <row r="2" spans="2:2" x14ac:dyDescent="0.2"/>
    <row r="35" spans="2:18" ht="27" customHeight="1" x14ac:dyDescent="0.2"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</row>
  </sheetData>
  <mergeCells count="1">
    <mergeCell ref="B35:R35"/>
  </mergeCells>
  <phoneticPr fontId="0" type="noConversion"/>
  <printOptions horizontalCentered="1"/>
  <pageMargins left="0.23622047244094491" right="0.23622047244094491" top="0.74803149606299213" bottom="0.74803149606299213" header="0.23622047244094491" footer="0.51181102362204722"/>
  <pageSetup orientation="landscape" r:id="rId1"/>
  <headerFooter alignWithMargins="0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5">
    <pageSetUpPr autoPageBreaks="0" fitToPage="1"/>
  </sheetPr>
  <dimension ref="B2:R35"/>
  <sheetViews>
    <sheetView showGridLines="0" showRowColHeaders="0" topLeftCell="F1" zoomScaleNormal="100" workbookViewId="0"/>
  </sheetViews>
  <sheetFormatPr defaultRowHeight="12.75" x14ac:dyDescent="0.2"/>
  <cols>
    <col min="1" max="16384" width="9.140625" style="38"/>
  </cols>
  <sheetData>
    <row r="2" spans="2:2" x14ac:dyDescent="0.2"/>
    <row r="35" spans="2:18" ht="27" customHeight="1" x14ac:dyDescent="0.2"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</row>
  </sheetData>
  <mergeCells count="1">
    <mergeCell ref="B35:R35"/>
  </mergeCells>
  <phoneticPr fontId="0" type="noConversion"/>
  <printOptions horizontalCentered="1"/>
  <pageMargins left="0.23622047244094491" right="0.23622047244094491" top="0.74803149606299213" bottom="0.74803149606299213" header="0.23622047244094491" footer="0.51181102362204722"/>
  <pageSetup orientation="landscape" r:id="rId1"/>
  <headerFooter alignWithMargins="0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>
    <pageSetUpPr autoPageBreaks="0" fitToPage="1"/>
  </sheetPr>
  <dimension ref="B2:R35"/>
  <sheetViews>
    <sheetView showGridLines="0" showRowColHeaders="0" zoomScaleNormal="100" workbookViewId="0"/>
  </sheetViews>
  <sheetFormatPr defaultRowHeight="12.75" x14ac:dyDescent="0.2"/>
  <cols>
    <col min="1" max="16384" width="9.140625" style="38"/>
  </cols>
  <sheetData>
    <row r="2" spans="2:2" x14ac:dyDescent="0.2"/>
    <row r="35" spans="2:18" ht="27" customHeight="1" x14ac:dyDescent="0.2"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</row>
  </sheetData>
  <mergeCells count="1">
    <mergeCell ref="B35:R35"/>
  </mergeCells>
  <phoneticPr fontId="0" type="noConversion"/>
  <printOptions horizontalCentered="1"/>
  <pageMargins left="0.23622047244094491" right="0.23622047244094491" top="0.74803149606299213" bottom="0.74803149606299213" header="0.23622047244094491" footer="0.51181102362204722"/>
  <pageSetup orientation="landscape" r:id="rId1"/>
  <headerFooter alignWithMargins="0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7">
    <pageSetUpPr autoPageBreaks="0" fitToPage="1"/>
  </sheetPr>
  <dimension ref="B2:R35"/>
  <sheetViews>
    <sheetView showGridLines="0" showRowColHeaders="0" zoomScaleNormal="100" workbookViewId="0"/>
  </sheetViews>
  <sheetFormatPr defaultRowHeight="12.75" x14ac:dyDescent="0.2"/>
  <cols>
    <col min="1" max="16384" width="9.140625" style="38"/>
  </cols>
  <sheetData>
    <row r="2" spans="2:2" x14ac:dyDescent="0.2"/>
    <row r="35" spans="2:18" ht="27" customHeight="1" x14ac:dyDescent="0.2"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</row>
  </sheetData>
  <mergeCells count="1">
    <mergeCell ref="B35:R35"/>
  </mergeCells>
  <phoneticPr fontId="0" type="noConversion"/>
  <printOptions horizontalCentered="1"/>
  <pageMargins left="0.23622047244094491" right="0.23622047244094491" top="0.74803149606299213" bottom="0.74803149606299213" header="0.23622047244094491" footer="0.51181102362204722"/>
  <pageSetup orientation="landscape" r:id="rId1"/>
  <headerFooter alignWithMargins="0"/>
  <drawing r:id="rId2"/>
  <legacyDrawing r:id="rId3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8">
    <pageSetUpPr autoPageBreaks="0" fitToPage="1"/>
  </sheetPr>
  <dimension ref="B2:R35"/>
  <sheetViews>
    <sheetView showGridLines="0" showRowColHeaders="0" topLeftCell="D1" zoomScaleNormal="100" workbookViewId="0"/>
  </sheetViews>
  <sheetFormatPr defaultRowHeight="12.75" x14ac:dyDescent="0.2"/>
  <cols>
    <col min="1" max="16384" width="9.140625" style="38"/>
  </cols>
  <sheetData>
    <row r="2" spans="2:2" x14ac:dyDescent="0.2"/>
    <row r="35" spans="2:18" ht="27" customHeight="1" x14ac:dyDescent="0.2"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</row>
  </sheetData>
  <mergeCells count="1">
    <mergeCell ref="B35:R35"/>
  </mergeCells>
  <phoneticPr fontId="0" type="noConversion"/>
  <printOptions horizontalCentered="1"/>
  <pageMargins left="0.23622047244094491" right="0.23622047244094491" top="0.74803149606299213" bottom="0.74803149606299213" header="0.23622047244094491" footer="0.51181102362204722"/>
  <pageSetup orientation="landscape" r:id="rId1"/>
  <headerFooter alignWithMargins="0"/>
  <drawing r:id="rId2"/>
  <legacyDrawing r:id="rId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9">
    <pageSetUpPr autoPageBreaks="0" fitToPage="1"/>
  </sheetPr>
  <dimension ref="B2:R35"/>
  <sheetViews>
    <sheetView showGridLines="0" showRowColHeaders="0" zoomScaleNormal="100" workbookViewId="0"/>
  </sheetViews>
  <sheetFormatPr defaultRowHeight="12.75" x14ac:dyDescent="0.2"/>
  <cols>
    <col min="1" max="16384" width="9.140625" style="38"/>
  </cols>
  <sheetData>
    <row r="2" spans="2:2" x14ac:dyDescent="0.2"/>
    <row r="35" spans="2:18" ht="27" customHeight="1" x14ac:dyDescent="0.2"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</row>
  </sheetData>
  <mergeCells count="1">
    <mergeCell ref="B35:R35"/>
  </mergeCells>
  <phoneticPr fontId="0" type="noConversion"/>
  <printOptions horizontalCentered="1"/>
  <pageMargins left="0.23622047244094491" right="0.23622047244094491" top="0.74803149606299213" bottom="0.74803149606299213" header="0.23622047244094491" footer="0.51181102362204722"/>
  <pageSetup orientation="landscape" r:id="rId1"/>
  <headerFooter alignWithMargins="0"/>
  <drawing r:id="rId2"/>
  <legacyDrawing r:id="rId3"/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20">
    <pageSetUpPr autoPageBreaks="0" fitToPage="1"/>
  </sheetPr>
  <dimension ref="B2:R35"/>
  <sheetViews>
    <sheetView showGridLines="0" showRowColHeaders="0" zoomScaleNormal="100" workbookViewId="0"/>
  </sheetViews>
  <sheetFormatPr defaultRowHeight="12.75" x14ac:dyDescent="0.2"/>
  <cols>
    <col min="1" max="16384" width="9.140625" style="38"/>
  </cols>
  <sheetData>
    <row r="2" spans="2:2" x14ac:dyDescent="0.2"/>
    <row r="35" spans="2:18" ht="27" customHeight="1" x14ac:dyDescent="0.2"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</row>
  </sheetData>
  <mergeCells count="1">
    <mergeCell ref="B35:R35"/>
  </mergeCells>
  <phoneticPr fontId="0" type="noConversion"/>
  <printOptions horizontalCentered="1"/>
  <pageMargins left="0.23622047244094491" right="0.23622047244094491" top="0.74803149606299213" bottom="0.74803149606299213" header="0.23622047244094491" footer="0.51181102362204722"/>
  <pageSetup orientation="landscape" r:id="rId1"/>
  <headerFooter alignWithMargins="0"/>
  <drawing r:id="rId2"/>
  <legacyDrawing r:id="rId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1">
    <pageSetUpPr autoPageBreaks="0" fitToPage="1"/>
  </sheetPr>
  <dimension ref="B2:R35"/>
  <sheetViews>
    <sheetView showGridLines="0" showRowColHeaders="0" zoomScaleNormal="100" workbookViewId="0"/>
  </sheetViews>
  <sheetFormatPr defaultRowHeight="12.75" x14ac:dyDescent="0.2"/>
  <cols>
    <col min="1" max="16384" width="9.140625" style="38"/>
  </cols>
  <sheetData>
    <row r="2" spans="2:2" x14ac:dyDescent="0.2"/>
    <row r="35" spans="2:18" ht="27" customHeight="1" x14ac:dyDescent="0.2"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</row>
  </sheetData>
  <mergeCells count="1">
    <mergeCell ref="B35:R35"/>
  </mergeCells>
  <phoneticPr fontId="0" type="noConversion"/>
  <printOptions horizontalCentered="1"/>
  <pageMargins left="0.23622047244094491" right="0.23622047244094491" top="0.74803149606299213" bottom="0.74803149606299213" header="0.23622047244094491" footer="0.51181102362204722"/>
  <pageSetup orientation="landscape" r:id="rId1"/>
  <headerFooter alignWithMargins="0"/>
  <drawing r:id="rId2"/>
  <legacyDrawing r:id="rId3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22">
    <pageSetUpPr autoPageBreaks="0" fitToPage="1"/>
  </sheetPr>
  <dimension ref="B2:R35"/>
  <sheetViews>
    <sheetView showGridLines="0" showRowColHeaders="0" zoomScaleNormal="100" workbookViewId="0"/>
  </sheetViews>
  <sheetFormatPr defaultRowHeight="12.75" x14ac:dyDescent="0.2"/>
  <cols>
    <col min="1" max="16384" width="9.140625" style="38"/>
  </cols>
  <sheetData>
    <row r="2" spans="2:2" x14ac:dyDescent="0.2"/>
    <row r="35" spans="2:18" ht="27" customHeight="1" x14ac:dyDescent="0.2"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</row>
  </sheetData>
  <mergeCells count="1">
    <mergeCell ref="B35:R35"/>
  </mergeCells>
  <phoneticPr fontId="0" type="noConversion"/>
  <printOptions horizontalCentered="1"/>
  <pageMargins left="0.23622047244094491" right="0.23622047244094491" top="0.74803149606299213" bottom="0.74803149606299213" header="0.23622047244094491" footer="0.51181102362204722"/>
  <pageSetup orientation="landscape" r:id="rId1"/>
  <headerFooter alignWithMargins="0"/>
  <drawing r:id="rId2"/>
  <legacyDrawing r:id="rId3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23">
    <pageSetUpPr autoPageBreaks="0" fitToPage="1"/>
  </sheetPr>
  <dimension ref="B2:R35"/>
  <sheetViews>
    <sheetView showGridLines="0" showRowColHeaders="0" zoomScaleNormal="100" workbookViewId="0"/>
  </sheetViews>
  <sheetFormatPr defaultRowHeight="12.75" x14ac:dyDescent="0.2"/>
  <cols>
    <col min="1" max="16384" width="9.140625" style="38"/>
  </cols>
  <sheetData>
    <row r="2" spans="2:2" x14ac:dyDescent="0.2"/>
    <row r="35" spans="2:18" ht="27" customHeight="1" x14ac:dyDescent="0.2"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</row>
  </sheetData>
  <mergeCells count="1">
    <mergeCell ref="B35:R35"/>
  </mergeCells>
  <phoneticPr fontId="0" type="noConversion"/>
  <printOptions horizontalCentered="1"/>
  <pageMargins left="0.23622047244094491" right="0.23622047244094491" top="0.74803149606299213" bottom="0.74803149606299213" header="0.23622047244094491" footer="0.51181102362204722"/>
  <pageSetup orientation="landscape" r:id="rId1"/>
  <headerFooter alignWithMargins="0"/>
  <drawing r:id="rId2"/>
  <legacyDrawing r:id="rId3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24">
    <pageSetUpPr autoPageBreaks="0" fitToPage="1"/>
  </sheetPr>
  <dimension ref="B2:R35"/>
  <sheetViews>
    <sheetView showGridLines="0" showRowColHeaders="0" zoomScaleNormal="100" workbookViewId="0"/>
  </sheetViews>
  <sheetFormatPr defaultRowHeight="12.75" x14ac:dyDescent="0.2"/>
  <cols>
    <col min="1" max="16384" width="9.140625" style="38"/>
  </cols>
  <sheetData>
    <row r="2" spans="2:2" x14ac:dyDescent="0.2"/>
    <row r="35" spans="2:18" ht="27" customHeight="1" x14ac:dyDescent="0.2"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</row>
  </sheetData>
  <mergeCells count="1">
    <mergeCell ref="B35:R35"/>
  </mergeCells>
  <phoneticPr fontId="0" type="noConversion"/>
  <printOptions horizontalCentered="1"/>
  <pageMargins left="0.23622047244094491" right="0.23622047244094491" top="0.74803149606299213" bottom="0.74803149606299213" header="0.23622047244094491" footer="0.51181102362204722"/>
  <pageSetup orientation="landscape" r:id="rId1"/>
  <headerFooter alignWithMargins="0"/>
  <drawing r:id="rId2"/>
  <legacyDrawing r:id="rId3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Sheet25">
    <pageSetUpPr autoPageBreaks="0" fitToPage="1"/>
  </sheetPr>
  <dimension ref="B2:R35"/>
  <sheetViews>
    <sheetView showGridLines="0" showRowColHeaders="0" zoomScaleNormal="100" workbookViewId="0"/>
  </sheetViews>
  <sheetFormatPr defaultRowHeight="12.75" x14ac:dyDescent="0.2"/>
  <cols>
    <col min="1" max="16384" width="9.140625" style="38"/>
  </cols>
  <sheetData>
    <row r="2" spans="2:2" x14ac:dyDescent="0.2"/>
    <row r="35" spans="2:18" ht="27" customHeight="1" x14ac:dyDescent="0.2"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</row>
  </sheetData>
  <mergeCells count="1">
    <mergeCell ref="B35:R35"/>
  </mergeCells>
  <phoneticPr fontId="0" type="noConversion"/>
  <printOptions horizontalCentered="1"/>
  <pageMargins left="0.23622047244094491" right="0.23622047244094491" top="0.74803149606299213" bottom="0.74803149606299213" header="0.23622047244094491" footer="0.51181102362204722"/>
  <pageSetup orientation="landscape" r:id="rId1"/>
  <headerFooter alignWithMargins="0"/>
  <drawing r:id="rId2"/>
  <legacyDrawing r:id="rId3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Sheet26">
    <pageSetUpPr autoPageBreaks="0" fitToPage="1"/>
  </sheetPr>
  <dimension ref="B2:R35"/>
  <sheetViews>
    <sheetView showGridLines="0" showRowColHeaders="0" zoomScaleNormal="100" workbookViewId="0"/>
  </sheetViews>
  <sheetFormatPr defaultRowHeight="12.75" x14ac:dyDescent="0.2"/>
  <cols>
    <col min="1" max="16384" width="9.140625" style="38"/>
  </cols>
  <sheetData>
    <row r="2" spans="2:2" x14ac:dyDescent="0.2"/>
    <row r="35" spans="2:18" ht="27" customHeight="1" x14ac:dyDescent="0.2"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</row>
  </sheetData>
  <mergeCells count="1">
    <mergeCell ref="B35:R35"/>
  </mergeCells>
  <phoneticPr fontId="0" type="noConversion"/>
  <printOptions horizontalCentered="1"/>
  <pageMargins left="0.23622047244094491" right="0.23622047244094491" top="0.74803149606299213" bottom="0.74803149606299213" header="0.23622047244094491" footer="0.51181102362204722"/>
  <pageSetup orientation="landscape" r:id="rId1"/>
  <headerFooter alignWithMargins="0"/>
  <drawing r:id="rId2"/>
  <legacyDrawing r:id="rId3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Sheet27">
    <pageSetUpPr autoPageBreaks="0" fitToPage="1"/>
  </sheetPr>
  <dimension ref="A1:R35"/>
  <sheetViews>
    <sheetView showGridLines="0" showRowColHeaders="0" zoomScaleNormal="100" workbookViewId="0"/>
  </sheetViews>
  <sheetFormatPr defaultRowHeight="12.75" x14ac:dyDescent="0.2"/>
  <cols>
    <col min="1" max="16384" width="9.140625" style="38"/>
  </cols>
  <sheetData>
    <row r="1" spans="1:17" ht="18" x14ac:dyDescent="0.2">
      <c r="A1" s="42"/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</row>
    <row r="2" spans="1:17" x14ac:dyDescent="0.2"/>
    <row r="35" spans="2:18" ht="27" customHeight="1" x14ac:dyDescent="0.2"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</row>
  </sheetData>
  <mergeCells count="1">
    <mergeCell ref="B35:R35"/>
  </mergeCells>
  <phoneticPr fontId="0" type="noConversion"/>
  <printOptions horizontalCentered="1"/>
  <pageMargins left="0.23622047244094491" right="0.23622047244094491" top="0.74803149606299213" bottom="0.74803149606299213" header="0.23622047244094491" footer="0.51181102362204722"/>
  <pageSetup orientation="landscape" r:id="rId1"/>
  <headerFooter alignWithMargins="0"/>
  <drawing r:id="rId2"/>
  <legacyDrawing r:id="rId3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Sheet28">
    <pageSetUpPr autoPageBreaks="0" fitToPage="1"/>
  </sheetPr>
  <dimension ref="B2:R35"/>
  <sheetViews>
    <sheetView showGridLines="0" showRowColHeaders="0" zoomScaleNormal="100" workbookViewId="0"/>
  </sheetViews>
  <sheetFormatPr defaultRowHeight="12.75" x14ac:dyDescent="0.2"/>
  <cols>
    <col min="1" max="16384" width="9.140625" style="38"/>
  </cols>
  <sheetData>
    <row r="2" spans="2:2" x14ac:dyDescent="0.2"/>
    <row r="35" spans="2:18" ht="27" customHeight="1" x14ac:dyDescent="0.2"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</row>
  </sheetData>
  <mergeCells count="1">
    <mergeCell ref="B35:R35"/>
  </mergeCells>
  <phoneticPr fontId="0" type="noConversion"/>
  <printOptions horizontalCentered="1"/>
  <pageMargins left="0.23622047244094491" right="0.23622047244094491" top="0.74803149606299213" bottom="0.74803149606299213" header="0.23622047244094491" footer="0.51181102362204722"/>
  <pageSetup orientation="landscape" r:id="rId1"/>
  <headerFooter alignWithMargins="0"/>
  <drawing r:id="rId2"/>
  <legacyDrawing r:id="rId3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Sheet29">
    <pageSetUpPr autoPageBreaks="0" fitToPage="1"/>
  </sheetPr>
  <dimension ref="B2:R35"/>
  <sheetViews>
    <sheetView showGridLines="0" showRowColHeaders="0" zoomScaleNormal="100" workbookViewId="0"/>
  </sheetViews>
  <sheetFormatPr defaultRowHeight="12.75" x14ac:dyDescent="0.2"/>
  <cols>
    <col min="1" max="16384" width="9.140625" style="38"/>
  </cols>
  <sheetData>
    <row r="2" spans="2:2" x14ac:dyDescent="0.2"/>
    <row r="35" spans="2:18" ht="27" customHeight="1" x14ac:dyDescent="0.2"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  <c r="O35" s="50"/>
      <c r="P35" s="50"/>
      <c r="Q35" s="50"/>
      <c r="R35" s="50"/>
    </row>
  </sheetData>
  <mergeCells count="1">
    <mergeCell ref="B35:R35"/>
  </mergeCells>
  <phoneticPr fontId="0" type="noConversion"/>
  <printOptions horizontalCentered="1"/>
  <pageMargins left="0.23622047244094491" right="0.23622047244094491" top="0.74803149606299213" bottom="0.74803149606299213" header="0.23622047244094491" footer="0.51181102362204722"/>
  <pageSetup orientation="landscape" r:id="rId1"/>
  <headerFooter alignWithMargins="0"/>
  <drawing r:id="rId2"/>
  <legacyDrawing r:id="rId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?mso-contentType ?>
<FormTemplates xmlns="http://schemas.microsoft.com/sharepoint/v3/contenttype/forms">
  <Display>DocumentLibraryForm</Display>
  <Edit>AssetEditForm</Edit>
  <New>DocumentLibraryForm</New>
</FormTemplates>
</file>

<file path=customXml/itemProps1.xml><?xml version="1.0" encoding="utf-8"?>
<ds:datastoreItem xmlns:ds="http://schemas.openxmlformats.org/officeDocument/2006/customXml" ds:itemID="{56E97DDB-0A2D-44E5-AE38-DF9E5852688E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26</vt:i4>
      </vt:variant>
      <vt:variant>
        <vt:lpstr>Named Ranges</vt:lpstr>
      </vt:variant>
      <vt:variant>
        <vt:i4>26</vt:i4>
      </vt:variant>
    </vt:vector>
  </HeadingPairs>
  <TitlesOfParts>
    <vt:vector size="52" baseType="lpstr">
      <vt:lpstr>DashBoard</vt:lpstr>
      <vt:lpstr>Data Entry</vt:lpstr>
      <vt:lpstr>Chart 1</vt:lpstr>
      <vt:lpstr>Chart 2</vt:lpstr>
      <vt:lpstr>Chart 3</vt:lpstr>
      <vt:lpstr>Chart 4</vt:lpstr>
      <vt:lpstr>Chart 5</vt:lpstr>
      <vt:lpstr>Chart 6</vt:lpstr>
      <vt:lpstr>Chart 7</vt:lpstr>
      <vt:lpstr>Chart 8</vt:lpstr>
      <vt:lpstr>Chart 9</vt:lpstr>
      <vt:lpstr>Chart 10</vt:lpstr>
      <vt:lpstr>Chart 11</vt:lpstr>
      <vt:lpstr>Chart 12</vt:lpstr>
      <vt:lpstr>Chart 13</vt:lpstr>
      <vt:lpstr>Chart 14</vt:lpstr>
      <vt:lpstr>Chart 15</vt:lpstr>
      <vt:lpstr>Chart 16</vt:lpstr>
      <vt:lpstr>Chart 17</vt:lpstr>
      <vt:lpstr>Chart 18</vt:lpstr>
      <vt:lpstr>Chart 19</vt:lpstr>
      <vt:lpstr>Chart 20</vt:lpstr>
      <vt:lpstr>Chart 21</vt:lpstr>
      <vt:lpstr>Chart 22</vt:lpstr>
      <vt:lpstr>Chart 23</vt:lpstr>
      <vt:lpstr>Chart 24</vt:lpstr>
      <vt:lpstr>'Chart 1'!Print_Area</vt:lpstr>
      <vt:lpstr>'Chart 10'!Print_Area</vt:lpstr>
      <vt:lpstr>'Chart 11'!Print_Area</vt:lpstr>
      <vt:lpstr>'Chart 12'!Print_Area</vt:lpstr>
      <vt:lpstr>'Chart 13'!Print_Area</vt:lpstr>
      <vt:lpstr>'Chart 14'!Print_Area</vt:lpstr>
      <vt:lpstr>'Chart 15'!Print_Area</vt:lpstr>
      <vt:lpstr>'Chart 16'!Print_Area</vt:lpstr>
      <vt:lpstr>'Chart 17'!Print_Area</vt:lpstr>
      <vt:lpstr>'Chart 18'!Print_Area</vt:lpstr>
      <vt:lpstr>'Chart 19'!Print_Area</vt:lpstr>
      <vt:lpstr>'Chart 2'!Print_Area</vt:lpstr>
      <vt:lpstr>'Chart 20'!Print_Area</vt:lpstr>
      <vt:lpstr>'Chart 21'!Print_Area</vt:lpstr>
      <vt:lpstr>'Chart 22'!Print_Area</vt:lpstr>
      <vt:lpstr>'Chart 23'!Print_Area</vt:lpstr>
      <vt:lpstr>'Chart 24'!Print_Area</vt:lpstr>
      <vt:lpstr>'Chart 3'!Print_Area</vt:lpstr>
      <vt:lpstr>'Chart 4'!Print_Area</vt:lpstr>
      <vt:lpstr>'Chart 5'!Print_Area</vt:lpstr>
      <vt:lpstr>'Chart 6'!Print_Area</vt:lpstr>
      <vt:lpstr>'Chart 7'!Print_Area</vt:lpstr>
      <vt:lpstr>'Chart 8'!Print_Area</vt:lpstr>
      <vt:lpstr>'Chart 9'!Print_Area</vt:lpstr>
      <vt:lpstr>DashBoard!Print_Area</vt:lpstr>
      <vt:lpstr>'Data Entry'!Print_Area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User</dc:creator>
  <cp:keywords/>
  <dc:description/>
  <cp:lastModifiedBy>User</cp:lastModifiedBy>
  <cp:lastPrinted>2021-09-05T17:40:38Z</cp:lastPrinted>
  <dcterms:created xsi:type="dcterms:W3CDTF">2021-09-05T17:41:09Z</dcterms:created>
  <dcterms:modified xsi:type="dcterms:W3CDTF">2022-10-20T08:50:10Z</dcterms:modified>
  <cp:version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TemplateID">
    <vt:lpwstr>TC019155349991</vt:lpwstr>
  </property>
</Properties>
</file>