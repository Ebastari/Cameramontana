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8_{3D0B9317-9E5A-45D1-98AC-C4DC875B442D}" xr6:coauthVersionLast="47" xr6:coauthVersionMax="47" xr10:uidLastSave="{00000000-0000-0000-0000-000000000000}"/>
  <bookViews>
    <workbookView xWindow="-120" yWindow="-120" windowWidth="20730" windowHeight="11040" xr2:uid="{00000000-000D-0000-FFFF-FFFF00000000}"/>
  </bookViews>
  <sheets>
    <sheet name="Dashboard" sheetId="3" r:id="rId1"/>
    <sheet name="Pivot" sheetId="2" r:id="rId2"/>
    <sheet name="Data" sheetId="1" r:id="rId3"/>
  </sheets>
  <definedNames>
    <definedName name="_xlnm._FilterDatabase" localSheetId="2" hidden="1">Data!$A$1:$H$121</definedName>
    <definedName name="Slicer_Date">#N/A</definedName>
    <definedName name="Slicer_Month">#N/A</definedName>
    <definedName name="Slicer_Week">#N/A</definedName>
  </definedNames>
  <calcPr calcId="191029"/>
  <pivotCaches>
    <pivotCache cacheId="5"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2" i="1" l="1"/>
  <c r="G2" i="1" s="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30" i="1"/>
  <c r="G30" i="1" s="1"/>
  <c r="F31" i="1"/>
  <c r="G31" i="1" s="1"/>
  <c r="F32" i="1"/>
  <c r="G32" i="1" s="1"/>
  <c r="F33" i="1"/>
  <c r="G33" i="1" s="1"/>
  <c r="F34" i="1"/>
  <c r="G34" i="1" s="1"/>
  <c r="F35" i="1"/>
  <c r="G35" i="1" s="1"/>
  <c r="F36" i="1"/>
  <c r="G36" i="1" s="1"/>
  <c r="F37" i="1"/>
  <c r="G37" i="1" s="1"/>
  <c r="F38" i="1"/>
  <c r="G38" i="1" s="1"/>
  <c r="F39" i="1"/>
  <c r="G39" i="1" s="1"/>
  <c r="F40" i="1"/>
  <c r="G40" i="1" s="1"/>
  <c r="F41" i="1"/>
  <c r="G41" i="1" s="1"/>
  <c r="F42" i="1"/>
  <c r="G42" i="1" s="1"/>
  <c r="F43" i="1"/>
  <c r="G43" i="1" s="1"/>
  <c r="F44" i="1"/>
  <c r="G44" i="1" s="1"/>
  <c r="F45" i="1"/>
  <c r="G45" i="1" s="1"/>
  <c r="F46" i="1"/>
  <c r="G46" i="1" s="1"/>
  <c r="F47" i="1"/>
  <c r="G47" i="1" s="1"/>
  <c r="F48" i="1"/>
  <c r="G48" i="1" s="1"/>
  <c r="F49" i="1"/>
  <c r="G49" i="1" s="1"/>
  <c r="F50" i="1"/>
  <c r="G50" i="1" s="1"/>
  <c r="F51" i="1"/>
  <c r="G51" i="1" s="1"/>
  <c r="F52" i="1"/>
  <c r="G52" i="1" s="1"/>
  <c r="F53" i="1"/>
  <c r="G53" i="1" s="1"/>
  <c r="F54" i="1"/>
  <c r="G54" i="1" s="1"/>
  <c r="F55" i="1"/>
  <c r="G55" i="1" s="1"/>
  <c r="F56" i="1"/>
  <c r="G56" i="1" s="1"/>
  <c r="F57" i="1"/>
  <c r="G57" i="1" s="1"/>
  <c r="F58" i="1"/>
  <c r="G58" i="1" s="1"/>
  <c r="F59" i="1"/>
  <c r="G59" i="1" s="1"/>
  <c r="F60" i="1"/>
  <c r="G60" i="1" s="1"/>
  <c r="F61" i="1"/>
  <c r="G61" i="1" s="1"/>
  <c r="F62" i="1"/>
  <c r="G62" i="1" s="1"/>
  <c r="F63" i="1"/>
  <c r="G63" i="1" s="1"/>
  <c r="F64" i="1"/>
  <c r="G64" i="1" s="1"/>
  <c r="F65" i="1"/>
  <c r="G65" i="1" s="1"/>
  <c r="F66" i="1"/>
  <c r="G66" i="1" s="1"/>
  <c r="F67" i="1"/>
  <c r="G67" i="1" s="1"/>
  <c r="F68" i="1"/>
  <c r="G68" i="1" s="1"/>
  <c r="F69" i="1"/>
  <c r="G69" i="1" s="1"/>
  <c r="F70" i="1"/>
  <c r="G70" i="1" s="1"/>
  <c r="F71" i="1"/>
  <c r="G71" i="1" s="1"/>
  <c r="F72" i="1"/>
  <c r="G72" i="1" s="1"/>
  <c r="F73" i="1"/>
  <c r="G73" i="1" s="1"/>
  <c r="F74" i="1"/>
  <c r="G74" i="1" s="1"/>
  <c r="F75" i="1"/>
  <c r="G75" i="1" s="1"/>
  <c r="F76" i="1"/>
  <c r="G76" i="1" s="1"/>
  <c r="F77" i="1"/>
  <c r="G77" i="1" s="1"/>
  <c r="F78" i="1"/>
  <c r="G78" i="1" s="1"/>
  <c r="F79" i="1"/>
  <c r="G79" i="1" s="1"/>
  <c r="F80" i="1"/>
  <c r="G80" i="1" s="1"/>
  <c r="F81" i="1"/>
  <c r="G81" i="1" s="1"/>
  <c r="F82" i="1"/>
  <c r="G82" i="1" s="1"/>
  <c r="F83" i="1"/>
  <c r="G83" i="1" s="1"/>
  <c r="F84" i="1"/>
  <c r="G84" i="1" s="1"/>
  <c r="F85" i="1"/>
  <c r="G85" i="1" s="1"/>
  <c r="F86" i="1"/>
  <c r="G86" i="1" s="1"/>
  <c r="F87" i="1"/>
  <c r="G87" i="1" s="1"/>
  <c r="F88" i="1"/>
  <c r="G88" i="1" s="1"/>
  <c r="F89" i="1"/>
  <c r="G89" i="1" s="1"/>
  <c r="F90" i="1"/>
  <c r="G90" i="1" s="1"/>
  <c r="F91" i="1"/>
  <c r="G91" i="1" s="1"/>
  <c r="F92" i="1"/>
  <c r="G92" i="1" s="1"/>
  <c r="F93" i="1"/>
  <c r="G93" i="1" s="1"/>
  <c r="F94" i="1"/>
  <c r="G94" i="1" s="1"/>
  <c r="F95" i="1"/>
  <c r="G95" i="1" s="1"/>
  <c r="F96" i="1"/>
  <c r="G96" i="1" s="1"/>
  <c r="F97" i="1"/>
  <c r="G97" i="1" s="1"/>
  <c r="F98" i="1"/>
  <c r="G98" i="1" s="1"/>
  <c r="F99" i="1"/>
  <c r="G99" i="1" s="1"/>
  <c r="F100" i="1"/>
  <c r="G100" i="1" s="1"/>
  <c r="F101" i="1"/>
  <c r="G101" i="1" s="1"/>
  <c r="F102" i="1"/>
  <c r="G102" i="1" s="1"/>
  <c r="F103" i="1"/>
  <c r="G103" i="1" s="1"/>
  <c r="F104" i="1"/>
  <c r="G104" i="1" s="1"/>
  <c r="F105" i="1"/>
  <c r="G105" i="1" s="1"/>
  <c r="F106" i="1"/>
  <c r="G106" i="1" s="1"/>
  <c r="F107" i="1"/>
  <c r="G107" i="1" s="1"/>
  <c r="F108" i="1"/>
  <c r="G108" i="1" s="1"/>
  <c r="F109" i="1"/>
  <c r="G109" i="1" s="1"/>
  <c r="F110" i="1"/>
  <c r="G110" i="1" s="1"/>
  <c r="F111" i="1"/>
  <c r="G111" i="1" s="1"/>
  <c r="F112" i="1"/>
  <c r="G112" i="1" s="1"/>
  <c r="F113" i="1"/>
  <c r="G113" i="1" s="1"/>
  <c r="F114" i="1"/>
  <c r="G114" i="1" s="1"/>
  <c r="F115" i="1"/>
  <c r="G115" i="1" s="1"/>
  <c r="F116" i="1"/>
  <c r="G116" i="1" s="1"/>
  <c r="F117" i="1"/>
  <c r="G117" i="1" s="1"/>
  <c r="F118" i="1"/>
  <c r="G118" i="1" s="1"/>
  <c r="F119" i="1"/>
  <c r="G119" i="1" s="1"/>
  <c r="F120" i="1"/>
  <c r="G120" i="1" s="1"/>
  <c r="F121" i="1"/>
  <c r="G121" i="1" s="1"/>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2" i="1"/>
  <c r="B66" i="1"/>
  <c r="B67" i="1"/>
  <c r="H67" i="1"/>
  <c r="B68" i="1"/>
  <c r="B69" i="1"/>
  <c r="H69" i="1"/>
  <c r="B70" i="1"/>
  <c r="H70" i="1"/>
  <c r="B71" i="1"/>
  <c r="B72" i="1"/>
  <c r="H72" i="1"/>
  <c r="B73" i="1"/>
  <c r="H73" i="1"/>
  <c r="B74" i="1"/>
  <c r="H74" i="1"/>
  <c r="B75" i="1"/>
  <c r="H75" i="1"/>
  <c r="B76" i="1"/>
  <c r="H76" i="1"/>
  <c r="B77" i="1"/>
  <c r="H77" i="1"/>
  <c r="B78" i="1"/>
  <c r="H78" i="1"/>
  <c r="B79" i="1"/>
  <c r="B80" i="1"/>
  <c r="H80" i="1"/>
  <c r="B81" i="1"/>
  <c r="H81" i="1"/>
  <c r="B82" i="1"/>
  <c r="B83" i="1"/>
  <c r="H83" i="1"/>
  <c r="B84" i="1"/>
  <c r="B85" i="1"/>
  <c r="H85" i="1"/>
  <c r="B86" i="1"/>
  <c r="H86" i="1"/>
  <c r="B87" i="1"/>
  <c r="B88" i="1"/>
  <c r="H88" i="1"/>
  <c r="B89" i="1"/>
  <c r="H89" i="1"/>
  <c r="B90" i="1"/>
  <c r="H90" i="1"/>
  <c r="B91" i="1"/>
  <c r="H91" i="1"/>
  <c r="B92" i="1"/>
  <c r="H92" i="1"/>
  <c r="B93" i="1"/>
  <c r="H93" i="1"/>
  <c r="B94" i="1"/>
  <c r="H94" i="1"/>
  <c r="B95" i="1"/>
  <c r="B96" i="1"/>
  <c r="H96" i="1"/>
  <c r="B97" i="1"/>
  <c r="H97" i="1"/>
  <c r="B98" i="1"/>
  <c r="B99" i="1"/>
  <c r="H99" i="1"/>
  <c r="B100" i="1"/>
  <c r="B101" i="1"/>
  <c r="H101" i="1"/>
  <c r="B102" i="1"/>
  <c r="H102" i="1"/>
  <c r="B103" i="1"/>
  <c r="B104" i="1"/>
  <c r="H104" i="1"/>
  <c r="B105" i="1"/>
  <c r="H105" i="1"/>
  <c r="B106" i="1"/>
  <c r="H106" i="1"/>
  <c r="B107" i="1"/>
  <c r="H107" i="1"/>
  <c r="B108" i="1"/>
  <c r="H108" i="1"/>
  <c r="B109" i="1"/>
  <c r="H109" i="1"/>
  <c r="B110" i="1"/>
  <c r="H110" i="1"/>
  <c r="B111" i="1"/>
  <c r="B112" i="1"/>
  <c r="H112" i="1"/>
  <c r="B113" i="1"/>
  <c r="H113" i="1"/>
  <c r="B114" i="1"/>
  <c r="B115" i="1"/>
  <c r="H115" i="1"/>
  <c r="B116" i="1"/>
  <c r="B117" i="1"/>
  <c r="H117" i="1"/>
  <c r="B118" i="1"/>
  <c r="H118" i="1"/>
  <c r="B119" i="1"/>
  <c r="B120" i="1"/>
  <c r="H120" i="1"/>
  <c r="B121" i="1"/>
  <c r="H121" i="1"/>
  <c r="B17" i="1"/>
  <c r="H17" i="1"/>
  <c r="B18" i="1"/>
  <c r="B19" i="1"/>
  <c r="B20" i="1"/>
  <c r="B21" i="1"/>
  <c r="B22" i="1"/>
  <c r="B23" i="1"/>
  <c r="H23" i="1"/>
  <c r="B24" i="1"/>
  <c r="B25" i="1"/>
  <c r="H25" i="1"/>
  <c r="B26" i="1"/>
  <c r="B27" i="1"/>
  <c r="B28" i="1"/>
  <c r="B29" i="1"/>
  <c r="H29" i="1"/>
  <c r="B30" i="1"/>
  <c r="B31" i="1"/>
  <c r="H31" i="1"/>
  <c r="B32" i="1"/>
  <c r="B33" i="1"/>
  <c r="B34" i="1"/>
  <c r="B35" i="1"/>
  <c r="B36" i="1"/>
  <c r="B37" i="1"/>
  <c r="H37" i="1"/>
  <c r="B38" i="1"/>
  <c r="B39" i="1"/>
  <c r="B40" i="1"/>
  <c r="B41" i="1"/>
  <c r="H41" i="1"/>
  <c r="B42" i="1"/>
  <c r="B43" i="1"/>
  <c r="B44" i="1"/>
  <c r="B45" i="1"/>
  <c r="H45" i="1"/>
  <c r="B46" i="1"/>
  <c r="B47" i="1"/>
  <c r="H47" i="1"/>
  <c r="B48" i="1"/>
  <c r="B49" i="1"/>
  <c r="H49" i="1"/>
  <c r="B50" i="1"/>
  <c r="B51" i="1"/>
  <c r="B52" i="1"/>
  <c r="B53" i="1"/>
  <c r="B54" i="1"/>
  <c r="B55" i="1"/>
  <c r="H55" i="1"/>
  <c r="B56" i="1"/>
  <c r="B57" i="1"/>
  <c r="H57" i="1"/>
  <c r="B58" i="1"/>
  <c r="B59" i="1"/>
  <c r="B60" i="1"/>
  <c r="B61" i="1"/>
  <c r="H61" i="1"/>
  <c r="B62" i="1"/>
  <c r="B63" i="1"/>
  <c r="H63" i="1"/>
  <c r="B64" i="1"/>
  <c r="B65" i="1"/>
  <c r="H4" i="1"/>
  <c r="H8" i="1"/>
  <c r="H10" i="1"/>
  <c r="H16" i="1"/>
  <c r="B3" i="1"/>
  <c r="B4" i="1"/>
  <c r="B5" i="1"/>
  <c r="B6" i="1"/>
  <c r="B7" i="1"/>
  <c r="B8" i="1"/>
  <c r="B9" i="1"/>
  <c r="B10" i="1"/>
  <c r="B11" i="1"/>
  <c r="B12" i="1"/>
  <c r="B13" i="1"/>
  <c r="B14" i="1"/>
  <c r="B15" i="1"/>
  <c r="B16" i="1"/>
  <c r="B2" i="1"/>
  <c r="H65" i="1" l="1"/>
  <c r="H33" i="1"/>
  <c r="H114" i="1"/>
  <c r="H98" i="1"/>
  <c r="H82" i="1"/>
  <c r="H66" i="1"/>
  <c r="H13" i="1"/>
  <c r="H9" i="1"/>
  <c r="H53" i="1"/>
  <c r="H39" i="1"/>
  <c r="H21" i="1"/>
  <c r="H116" i="1"/>
  <c r="H100" i="1"/>
  <c r="H84" i="1"/>
  <c r="H68" i="1"/>
  <c r="H5" i="1"/>
  <c r="H64" i="1"/>
  <c r="H51" i="1"/>
  <c r="H48" i="1"/>
  <c r="H35" i="1"/>
  <c r="H32" i="1"/>
  <c r="H19" i="1"/>
  <c r="H59" i="1"/>
  <c r="H56" i="1"/>
  <c r="H43" i="1"/>
  <c r="H40" i="1"/>
  <c r="H27" i="1"/>
  <c r="H24" i="1"/>
  <c r="H119" i="1"/>
  <c r="H111" i="1"/>
  <c r="H103" i="1"/>
  <c r="H95" i="1"/>
  <c r="H87" i="1"/>
  <c r="H79" i="1"/>
  <c r="H71" i="1"/>
  <c r="H14" i="1"/>
  <c r="H12" i="1"/>
  <c r="H62" i="1"/>
  <c r="H54" i="1"/>
  <c r="H46" i="1"/>
  <c r="H38" i="1"/>
  <c r="H30" i="1"/>
  <c r="H22" i="1"/>
  <c r="H6" i="1"/>
  <c r="H58" i="1"/>
  <c r="H50" i="1"/>
  <c r="H42" i="1"/>
  <c r="H34" i="1"/>
  <c r="H26" i="1"/>
  <c r="H18" i="1"/>
  <c r="H60" i="1"/>
  <c r="H52" i="1"/>
  <c r="H44" i="1"/>
  <c r="H36" i="1"/>
  <c r="H28" i="1"/>
  <c r="H20" i="1"/>
  <c r="H2" i="1"/>
  <c r="H11" i="1"/>
  <c r="H3" i="1"/>
  <c r="H15" i="1"/>
  <c r="H7" i="1"/>
</calcChain>
</file>

<file path=xl/sharedStrings.xml><?xml version="1.0" encoding="utf-8"?>
<sst xmlns="http://schemas.openxmlformats.org/spreadsheetml/2006/main" count="26" uniqueCount="20">
  <si>
    <t>Date</t>
  </si>
  <si>
    <t>Week</t>
  </si>
  <si>
    <t>Month</t>
  </si>
  <si>
    <t>Sales</t>
  </si>
  <si>
    <t>Outbound call</t>
  </si>
  <si>
    <t>Conversion</t>
  </si>
  <si>
    <t xml:space="preserve"> Sale Conversion</t>
  </si>
  <si>
    <t xml:space="preserve"> Transparent Color</t>
  </si>
  <si>
    <t xml:space="preserve"> Light Color</t>
  </si>
  <si>
    <t>Values</t>
  </si>
  <si>
    <t xml:space="preserve"> Outbound call</t>
  </si>
  <si>
    <t xml:space="preserve"> Sales</t>
  </si>
  <si>
    <t>Jan</t>
  </si>
  <si>
    <t>Feb</t>
  </si>
  <si>
    <t>Mar</t>
  </si>
  <si>
    <t>Apr</t>
  </si>
  <si>
    <t xml:space="preserve"> Max Value</t>
  </si>
  <si>
    <t>Average Call Duration</t>
  </si>
  <si>
    <t>Total Call Duration</t>
  </si>
  <si>
    <t xml:space="preserve">Average Call Duration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</si>
</sst>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3" x14ac:knownFonts="1">
    <font>
      <sz val="11"/>
      <color theme="1"/>
      <name val="Calibri"/>
      <family val="2"/>
      <scheme val="minor"/>
    </font>
    <font>
      <sz val="10"/>
      <color indexed="8"/>
      <name val="Calibri"/>
      <family val="2"/>
      <scheme val="minor"/>
    </font>
    <font>
      <b/>
      <sz val="10"/>
      <color indexed="9"/>
      <name val="Calibri"/>
      <family val="2"/>
      <scheme val="minor"/>
    </font>
  </fonts>
  <fills count="4">
    <fill>
      <patternFill patternType="none"/>
    </fill>
    <fill>
      <patternFill patternType="gray125"/>
    </fill>
    <fill>
      <patternFill patternType="solid">
        <fgColor indexed="30"/>
        <bgColor indexed="64"/>
      </patternFill>
    </fill>
    <fill>
      <patternFill patternType="solid">
        <fgColor theme="1"/>
        <bgColor indexed="64"/>
      </patternFill>
    </fill>
  </fills>
  <borders count="10">
    <border>
      <left/>
      <right/>
      <top/>
      <bottom/>
      <diagonal/>
    </border>
    <border>
      <left style="thin">
        <color indexed="22"/>
      </left>
      <right style="thin">
        <color indexed="22"/>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top/>
      <bottom style="thin">
        <color indexed="22"/>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top style="thin">
        <color indexed="22"/>
      </top>
      <bottom/>
      <diagonal/>
    </border>
  </borders>
  <cellStyleXfs count="1">
    <xf numFmtId="0" fontId="0" fillId="0" borderId="0"/>
  </cellStyleXfs>
  <cellXfs count="22">
    <xf numFmtId="0" fontId="0" fillId="0" borderId="0" xfId="0"/>
    <xf numFmtId="0" fontId="0" fillId="0" borderId="0" xfId="0" applyAlignment="1">
      <alignment horizontal="center" vertical="center"/>
    </xf>
    <xf numFmtId="0" fontId="1" fillId="0" borderId="1" xfId="0" applyFont="1" applyFill="1" applyBorder="1" applyAlignment="1">
      <alignment horizontal="center" vertical="center"/>
    </xf>
    <xf numFmtId="15" fontId="0" fillId="0" borderId="0" xfId="0" applyNumberFormat="1"/>
    <xf numFmtId="0" fontId="1" fillId="0" borderId="1" xfId="0" applyNumberFormat="1" applyFont="1" applyFill="1" applyBorder="1" applyAlignment="1">
      <alignment horizontal="center" vertical="center"/>
    </xf>
    <xf numFmtId="10" fontId="0" fillId="0" borderId="0" xfId="0" applyNumberFormat="1" applyAlignment="1">
      <alignment horizontal="center" vertical="center"/>
    </xf>
    <xf numFmtId="0" fontId="0" fillId="0" borderId="0" xfId="0" pivotButton="1" applyAlignment="1">
      <alignment horizontal="center" vertical="center"/>
    </xf>
    <xf numFmtId="164" fontId="0" fillId="0" borderId="0" xfId="0" applyNumberFormat="1" applyAlignment="1">
      <alignment horizontal="center" vertical="center"/>
    </xf>
    <xf numFmtId="0" fontId="0" fillId="0" borderId="0" xfId="0" applyNumberFormat="1" applyAlignment="1">
      <alignment horizontal="center" vertical="center"/>
    </xf>
    <xf numFmtId="15" fontId="1" fillId="0" borderId="2" xfId="0" applyNumberFormat="1" applyFont="1" applyFill="1" applyBorder="1" applyAlignment="1">
      <alignment horizontal="center" vertical="center"/>
    </xf>
    <xf numFmtId="9" fontId="1" fillId="0" borderId="3" xfId="0" applyNumberFormat="1" applyFont="1" applyFill="1" applyBorder="1" applyAlignment="1">
      <alignment horizontal="center" vertical="center"/>
    </xf>
    <xf numFmtId="15" fontId="2" fillId="2" borderId="4" xfId="0" applyNumberFormat="1"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15" fontId="1" fillId="0" borderId="7" xfId="0" applyNumberFormat="1" applyFont="1" applyFill="1" applyBorder="1" applyAlignment="1">
      <alignment horizontal="center" vertical="center"/>
    </xf>
    <xf numFmtId="0" fontId="1" fillId="0" borderId="8" xfId="0" applyFont="1" applyFill="1" applyBorder="1" applyAlignment="1">
      <alignment horizontal="center" vertical="center"/>
    </xf>
    <xf numFmtId="0" fontId="1" fillId="0" borderId="8" xfId="0" applyNumberFormat="1" applyFont="1" applyFill="1" applyBorder="1" applyAlignment="1">
      <alignment horizontal="center" vertical="center"/>
    </xf>
    <xf numFmtId="9" fontId="1" fillId="0" borderId="9" xfId="0" applyNumberFormat="1" applyFont="1" applyFill="1" applyBorder="1" applyAlignment="1">
      <alignment horizontal="center" vertical="center"/>
    </xf>
    <xf numFmtId="0" fontId="1" fillId="0" borderId="3" xfId="0" applyNumberFormat="1" applyFont="1" applyFill="1" applyBorder="1" applyAlignment="1">
      <alignment horizontal="center" vertical="center"/>
    </xf>
    <xf numFmtId="0" fontId="1" fillId="0" borderId="9" xfId="0" applyNumberFormat="1" applyFont="1" applyFill="1" applyBorder="1" applyAlignment="1">
      <alignment horizontal="center" vertical="center"/>
    </xf>
    <xf numFmtId="1" fontId="0" fillId="0" borderId="0" xfId="0" applyNumberFormat="1" applyAlignment="1">
      <alignment horizontal="center" vertical="center"/>
    </xf>
    <xf numFmtId="0" fontId="2" fillId="3" borderId="6" xfId="0" applyFont="1" applyFill="1" applyBorder="1" applyAlignment="1">
      <alignment horizontal="center" vertical="center"/>
    </xf>
  </cellXfs>
  <cellStyles count="1">
    <cellStyle name="Normal" xfId="0" builtinId="0"/>
  </cellStyles>
  <dxfs count="286">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64" formatCode="0.0%"/>
    </dxf>
    <dxf>
      <numFmt numFmtId="14" formatCode="0.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 formatCode="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numFmt numFmtId="14" formatCode="0.00%"/>
    </dxf>
    <dxf>
      <numFmt numFmtId="164" formatCode="0.0%"/>
    </dxf>
    <dxf>
      <numFmt numFmtId="164" formatCode="0.0%"/>
    </dxf>
    <dxf>
      <font>
        <b val="0"/>
        <i val="0"/>
        <strike val="0"/>
        <condense val="0"/>
        <extend val="0"/>
        <outline val="0"/>
        <shadow val="0"/>
        <u val="none"/>
        <vertAlign val="baseline"/>
        <sz val="10"/>
        <color indexed="8"/>
        <name val="Calibri"/>
        <scheme val="minor"/>
      </font>
      <numFmt numFmtId="13" formatCode="0%"/>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22"/>
        </left>
        <right style="thin">
          <color indexed="22"/>
        </right>
        <top style="thin">
          <color indexed="22"/>
        </top>
        <bottom style="thin">
          <color indexed="22"/>
        </bottom>
        <vertical/>
        <horizontal/>
      </border>
    </dxf>
    <dxf>
      <font>
        <b val="0"/>
        <i val="0"/>
        <strike val="0"/>
        <condense val="0"/>
        <extend val="0"/>
        <outline val="0"/>
        <shadow val="0"/>
        <u val="none"/>
        <vertAlign val="baseline"/>
        <sz val="10"/>
        <color indexed="8"/>
        <name val="Calibri"/>
        <scheme val="minor"/>
      </font>
      <numFmt numFmtId="20" formatCode="d\-mmm\-yy"/>
      <fill>
        <patternFill patternType="none">
          <fgColor indexed="64"/>
          <bgColor indexed="65"/>
        </patternFill>
      </fill>
      <alignment horizontal="center" vertical="center" textRotation="0" wrapText="0" indent="0" justifyLastLine="0" shrinkToFit="0" readingOrder="0"/>
      <border diagonalUp="0" diagonalDown="0">
        <left/>
        <right style="thin">
          <color indexed="22"/>
        </right>
        <top style="thin">
          <color indexed="22"/>
        </top>
        <bottom style="thin">
          <color indexed="22"/>
        </bottom>
        <vertical/>
        <horizontal/>
      </border>
    </dxf>
    <dxf>
      <border outline="0">
        <top style="thin">
          <color indexed="22"/>
        </top>
      </border>
    </dxf>
    <dxf>
      <border outline="0">
        <left style="thin">
          <color indexed="22"/>
        </left>
        <right style="thin">
          <color indexed="22"/>
        </right>
        <top style="thin">
          <color indexed="22"/>
        </top>
        <bottom style="thin">
          <color indexed="22"/>
        </bottom>
      </border>
    </dxf>
    <dxf>
      <border outline="0">
        <bottom style="thin">
          <color indexed="22"/>
        </bottom>
      </border>
    </dxf>
    <dxf>
      <font>
        <b/>
        <i val="0"/>
        <strike val="0"/>
        <condense val="0"/>
        <extend val="0"/>
        <outline val="0"/>
        <shadow val="0"/>
        <u val="none"/>
        <vertAlign val="baseline"/>
        <sz val="10"/>
        <color indexed="9"/>
        <name val="Calibri"/>
        <scheme val="minor"/>
      </font>
      <fill>
        <patternFill patternType="solid">
          <fgColor indexed="64"/>
          <bgColor indexed="30"/>
        </patternFill>
      </fill>
      <alignment horizontal="center" vertical="center" textRotation="0" wrapText="0" indent="0" justifyLastLine="0" shrinkToFit="0" readingOrder="0"/>
      <border diagonalUp="0" diagonalDown="0" outline="0">
        <left style="thin">
          <color indexed="22"/>
        </left>
        <right style="thin">
          <color indexed="22"/>
        </right>
        <top/>
        <bottom/>
      </border>
    </dxf>
    <dxf>
      <numFmt numFmtId="1" formatCode="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64" formatCode="0.0%"/>
    </dxf>
    <dxf>
      <numFmt numFmtId="164" formatCode="0.0%"/>
    </dxf>
    <dxf>
      <numFmt numFmtId="14" formatCode="0.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numFmt numFmtId="14" formatCode="0.00%"/>
    </dxf>
    <dxf>
      <numFmt numFmtId="164" formatCode="0.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alignment vertical="center" readingOrder="0"/>
    </dxf>
    <dxf>
      <alignment vertical="center" readingOrder="0"/>
    </dxf>
    <dxf>
      <alignment vertical="center" readingOrder="0"/>
    </dxf>
    <dxf>
      <alignment horizontal="center" readingOrder="0"/>
    </dxf>
    <dxf>
      <alignment horizontal="center" readingOrder="0"/>
    </dxf>
    <dxf>
      <alignment horizontal="center" readingOrder="0"/>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s>
  <tableStyles count="1" defaultTableStyle="TableStyleMedium2" defaultPivotStyle="PivotStyleLight16">
    <tableStyle name="SlicerStyleDark5 2" pivot="0" table="0" count="10" xr9:uid="{00000000-0011-0000-FFFF-FFFF00000000}">
      <tableStyleElement type="wholeTable" dxfId="285"/>
      <tableStyleElement type="headerRow" dxfId="28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gradientFill degree="90">
              <stop position="0">
                <color rgb="FF002060"/>
              </stop>
              <stop position="1">
                <color rgb="FF0070C0"/>
              </stop>
            </gradient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 Id="rId5" Type="http://schemas.openxmlformats.org/officeDocument/2006/relationships/image" Target="../media/image3.png"/><Relationship Id="rId4" Type="http://schemas.openxmlformats.org/officeDocument/2006/relationships/image" Target="../media/image2.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[Outbound-Dashboard.xlsx]Pivot!Conversion Chart Table</c:name>
    <c:fmtId val="6"/>
  </c:pivotSource>
  <c:chart>
    <c:title>
      <c:tx>
        <c:rich>
          <a:bodyPr rot="0" spcFirstLastPara="1" vertOverflow="ellipsis" vert="horz" wrap="square" anchor="ctr" anchorCtr="1"/>
          <a:lstStyle/>
          <a:p>
            <a:pPr>
              <a:defRPr sz="1400" b="0" i="0" u="none" strike="noStrike" kern="1200" spc="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a typeface="+mn-ea"/>
                <a:cs typeface="+mn-cs"/>
              </a:defRPr>
            </a:pPr>
            <a:r>
              <a:rPr lang="en-US" b="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rPr>
              <a:t>Sales</a:t>
            </a:r>
            <a:r>
              <a:rPr lang="en-US" b="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rPr>
              <a:t> Conversion</a:t>
            </a:r>
            <a:endParaRPr lang="en-US" b="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a typeface="+mn-ea"/>
              <a:cs typeface="+mn-cs"/>
            </a:defRPr>
          </a:pPr>
          <a:endParaRPr lang="en-US"/>
        </a:p>
      </c:txPr>
    </c:title>
    <c:autoTitleDeleted val="0"/>
    <c:pivotFmts>
      <c:pivotFmt>
        <c:idx val="0"/>
        <c:spPr>
          <a:solidFill>
            <a:schemeClr val="accent1"/>
          </a:solidFill>
          <a:ln w="19050">
            <a:no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noFill/>
          <a:ln w="19050">
            <a:noFill/>
          </a:ln>
          <a:effectLst/>
        </c:spPr>
      </c:pivotFmt>
      <c:pivotFmt>
        <c:idx val="4"/>
        <c:spPr>
          <a:gradFill flip="none" rotWithShape="1">
            <a:gsLst>
              <a:gs pos="89413">
                <a:srgbClr val="002060"/>
              </a:gs>
              <a:gs pos="20395">
                <a:srgbClr val="00B0F0"/>
              </a:gs>
              <a:gs pos="0">
                <a:srgbClr val="0070C0"/>
              </a:gs>
              <a:gs pos="13000">
                <a:srgbClr val="002060"/>
              </a:gs>
              <a:gs pos="100000">
                <a:schemeClr val="accent1">
                  <a:lumMod val="30000"/>
                  <a:lumOff val="70000"/>
                </a:schemeClr>
              </a:gs>
            </a:gsLst>
            <a:path path="circle">
              <a:fillToRect l="100000" t="100000"/>
            </a:path>
            <a:tileRect r="-100000" b="-100000"/>
          </a:gradFill>
          <a:ln w="19050">
            <a:noFill/>
          </a:ln>
          <a:effectLst/>
        </c:spPr>
      </c:pivotFmt>
      <c:pivotFmt>
        <c:idx val="5"/>
        <c:spPr>
          <a:solidFill>
            <a:schemeClr val="accent1">
              <a:alpha val="20000"/>
            </a:schemeClr>
          </a:solidFill>
          <a:ln w="19050">
            <a:noFill/>
          </a:ln>
          <a:effectLst/>
        </c:spPr>
      </c:pivotFmt>
      <c:pivotFmt>
        <c:idx val="6"/>
        <c:spPr>
          <a:solidFill>
            <a:schemeClr val="accent1"/>
          </a:solidFill>
          <a:ln w="19050">
            <a:noFill/>
          </a:ln>
          <a:effectLst/>
        </c:spPr>
        <c:marker>
          <c:symbol val="none"/>
        </c:marker>
      </c:pivotFmt>
      <c:pivotFmt>
        <c:idx val="7"/>
        <c:spPr>
          <a:gradFill flip="none" rotWithShape="1">
            <a:gsLst>
              <a:gs pos="89413">
                <a:srgbClr val="002060"/>
              </a:gs>
              <a:gs pos="20395">
                <a:srgbClr val="00B0F0"/>
              </a:gs>
              <a:gs pos="0">
                <a:srgbClr val="0070C0"/>
              </a:gs>
              <a:gs pos="13000">
                <a:srgbClr val="002060"/>
              </a:gs>
              <a:gs pos="100000">
                <a:schemeClr val="accent1">
                  <a:lumMod val="30000"/>
                  <a:lumOff val="70000"/>
                </a:schemeClr>
              </a:gs>
            </a:gsLst>
            <a:path path="circle">
              <a:fillToRect l="100000" t="100000"/>
            </a:path>
            <a:tileRect r="-100000" b="-100000"/>
          </a:gradFill>
          <a:ln w="19050">
            <a:noFill/>
          </a:ln>
          <a:effectLst/>
        </c:spPr>
      </c:pivotFmt>
      <c:pivotFmt>
        <c:idx val="8"/>
        <c:spPr>
          <a:solidFill>
            <a:schemeClr val="accent1">
              <a:alpha val="20000"/>
            </a:schemeClr>
          </a:solidFill>
          <a:ln w="19050">
            <a:noFill/>
          </a:ln>
          <a:effectLst/>
        </c:spPr>
      </c:pivotFmt>
      <c:pivotFmt>
        <c:idx val="9"/>
        <c:spPr>
          <a:no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flip="none" rotWithShape="1">
            <a:gsLst>
              <a:gs pos="92000">
                <a:srgbClr val="002060"/>
              </a:gs>
              <a:gs pos="53000">
                <a:srgbClr val="00B0F0"/>
              </a:gs>
              <a:gs pos="0">
                <a:srgbClr val="0070C0"/>
              </a:gs>
              <a:gs pos="10000">
                <a:srgbClr val="002060"/>
              </a:gs>
              <a:gs pos="100000">
                <a:schemeClr val="accent1">
                  <a:lumMod val="30000"/>
                  <a:lumOff val="70000"/>
                </a:schemeClr>
              </a:gs>
            </a:gsLst>
            <a:path path="circle">
              <a:fillToRect l="100000" t="100000"/>
            </a:path>
            <a:tileRect r="-100000" b="-100000"/>
          </a:gradFill>
          <a:ln w="19050">
            <a:noFill/>
          </a:ln>
          <a:effectLst/>
        </c:spPr>
      </c:pivotFmt>
      <c:pivotFmt>
        <c:idx val="12"/>
        <c:spPr>
          <a:solidFill>
            <a:schemeClr val="accent1">
              <a:alpha val="20000"/>
            </a:schemeClr>
          </a:solidFill>
          <a:ln w="19050">
            <a:noFill/>
          </a:ln>
          <a:effectLst/>
        </c:spPr>
      </c:pivotFmt>
      <c:pivotFmt>
        <c:idx val="13"/>
        <c:spPr>
          <a:noFill/>
          <a:ln w="19050">
            <a:noFill/>
          </a:ln>
          <a:effectLst/>
        </c:spPr>
      </c:pivotFmt>
    </c:pivotFmts>
    <c:plotArea>
      <c:layout/>
      <c:doughnutChart>
        <c:varyColors val="1"/>
        <c:ser>
          <c:idx val="0"/>
          <c:order val="0"/>
          <c:tx>
            <c:strRef>
              <c:f>Pivot!$B$1</c:f>
              <c:strCache>
                <c:ptCount val="1"/>
                <c:pt idx="0">
                  <c:v>Total</c:v>
                </c:pt>
              </c:strCache>
            </c:strRef>
          </c:tx>
          <c:spPr>
            <a:ln>
              <a:noFill/>
            </a:ln>
          </c:spPr>
          <c:dPt>
            <c:idx val="0"/>
            <c:bubble3D val="0"/>
            <c:spPr>
              <a:gradFill flip="none" rotWithShape="1">
                <a:gsLst>
                  <a:gs pos="92000">
                    <a:srgbClr val="002060"/>
                  </a:gs>
                  <a:gs pos="53000">
                    <a:srgbClr val="00B0F0"/>
                  </a:gs>
                  <a:gs pos="0">
                    <a:srgbClr val="0070C0"/>
                  </a:gs>
                  <a:gs pos="10000">
                    <a:srgbClr val="002060"/>
                  </a:gs>
                  <a:gs pos="100000">
                    <a:schemeClr val="accent1">
                      <a:lumMod val="30000"/>
                      <a:lumOff val="70000"/>
                    </a:schemeClr>
                  </a:gs>
                </a:gsLst>
                <a:path path="circle">
                  <a:fillToRect l="100000" t="100000"/>
                </a:path>
                <a:tileRect r="-100000" b="-100000"/>
              </a:gradFill>
              <a:ln w="19050">
                <a:noFill/>
              </a:ln>
              <a:effectLst/>
            </c:spPr>
            <c:extLst>
              <c:ext xmlns:c16="http://schemas.microsoft.com/office/drawing/2014/chart" uri="{C3380CC4-5D6E-409C-BE32-E72D297353CC}">
                <c16:uniqueId val="{00000001-A6A5-4674-BFBC-FAD922E8EC79}"/>
              </c:ext>
            </c:extLst>
          </c:dPt>
          <c:dPt>
            <c:idx val="1"/>
            <c:bubble3D val="0"/>
            <c:spPr>
              <a:solidFill>
                <a:schemeClr val="accent1">
                  <a:alpha val="20000"/>
                </a:schemeClr>
              </a:solidFill>
              <a:ln w="19050">
                <a:noFill/>
              </a:ln>
              <a:effectLst/>
            </c:spPr>
            <c:extLst>
              <c:ext xmlns:c16="http://schemas.microsoft.com/office/drawing/2014/chart" uri="{C3380CC4-5D6E-409C-BE32-E72D297353CC}">
                <c16:uniqueId val="{00000003-A6A5-4674-BFBC-FAD922E8EC79}"/>
              </c:ext>
            </c:extLst>
          </c:dPt>
          <c:dPt>
            <c:idx val="2"/>
            <c:bubble3D val="0"/>
            <c:spPr>
              <a:noFill/>
              <a:ln w="19050">
                <a:noFill/>
              </a:ln>
              <a:effectLst/>
            </c:spPr>
            <c:extLst>
              <c:ext xmlns:c16="http://schemas.microsoft.com/office/drawing/2014/chart" uri="{C3380CC4-5D6E-409C-BE32-E72D297353CC}">
                <c16:uniqueId val="{00000005-A6A5-4674-BFBC-FAD922E8EC79}"/>
              </c:ext>
            </c:extLst>
          </c:dPt>
          <c:cat>
            <c:strRef>
              <c:f>Pivot!$A$2:$A$4</c:f>
              <c:strCache>
                <c:ptCount val="3"/>
                <c:pt idx="0">
                  <c:v> Sale Conversion</c:v>
                </c:pt>
                <c:pt idx="1">
                  <c:v> Light Color</c:v>
                </c:pt>
                <c:pt idx="2">
                  <c:v> Transparent Color</c:v>
                </c:pt>
              </c:strCache>
            </c:strRef>
          </c:cat>
          <c:val>
            <c:numRef>
              <c:f>Pivot!$B$2:$B$4</c:f>
              <c:numCache>
                <c:formatCode>General</c:formatCode>
                <c:ptCount val="3"/>
                <c:pt idx="0">
                  <c:v>0.40351734245236931</c:v>
                </c:pt>
                <c:pt idx="1">
                  <c:v>0.59648265754763075</c:v>
                </c:pt>
                <c:pt idx="2">
                  <c:v>1</c:v>
                </c:pt>
              </c:numCache>
            </c:numRef>
          </c:val>
          <c:extLst>
            <c:ext xmlns:c16="http://schemas.microsoft.com/office/drawing/2014/chart" uri="{C3380CC4-5D6E-409C-BE32-E72D297353CC}">
              <c16:uniqueId val="{00000006-A6A5-4674-BFBC-FAD922E8EC79}"/>
            </c:ext>
          </c:extLst>
        </c:ser>
        <c:dLbls>
          <c:showLegendKey val="0"/>
          <c:showVal val="0"/>
          <c:showCatName val="0"/>
          <c:showSerName val="0"/>
          <c:showPercent val="0"/>
          <c:showBubbleSize val="0"/>
          <c:showLeaderLines val="1"/>
        </c:dLbls>
        <c:firstSliceAng val="27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[Outbound-Dashboard.xlsx]Pivot!Weekly chart</c:name>
    <c:fmtId val="17"/>
  </c:pivotSource>
  <c:chart>
    <c:title>
      <c:tx>
        <c:rich>
          <a:bodyPr rot="0" spcFirstLastPara="1" vertOverflow="ellipsis" vert="horz" wrap="square" anchor="ctr" anchorCtr="1"/>
          <a:lstStyle/>
          <a:p>
            <a:pPr>
              <a:defRPr sz="1400" b="0" i="0" u="none" strike="noStrike" kern="1200" spc="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a typeface="+mn-ea"/>
                <a:cs typeface="+mn-cs"/>
              </a:defRPr>
            </a:pPr>
            <a:r>
              <a:rPr lang="en-US" b="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rPr>
              <a:t>Weekly Outbound</a:t>
            </a:r>
            <a:r>
              <a:rPr lang="en-US" b="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rPr>
              <a:t> Calls Vs Sales</a:t>
            </a:r>
            <a:endParaRPr lang="en-US" b="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pivotFmt>
      <c:pivotFmt>
        <c:idx val="2"/>
        <c:spPr>
          <a:solidFill>
            <a:schemeClr val="accent1"/>
          </a:solidFill>
          <a:ln w="28575" cap="rnd">
            <a:solidFill>
              <a:schemeClr val="accent4"/>
            </a:solidFill>
            <a:round/>
          </a:ln>
          <a:effectLst/>
        </c:spPr>
        <c:marker>
          <c:symbol val="circle"/>
          <c:size val="7"/>
          <c:spPr>
            <a:solidFill>
              <a:schemeClr val="tx1"/>
            </a:solidFill>
            <a:ln w="9525">
              <a:solidFill>
                <a:schemeClr val="accent4"/>
              </a:solidFill>
            </a:ln>
            <a:effectLst/>
          </c:spPr>
        </c:marker>
      </c:pivotFmt>
      <c:pivotFmt>
        <c:idx val="3"/>
        <c:spPr>
          <a:solidFill>
            <a:srgbClr val="0070C0"/>
          </a:solidFill>
          <a:ln>
            <a:noFill/>
          </a:ln>
          <a:effectLst/>
        </c:spPr>
        <c:marker>
          <c:symbol val="none"/>
        </c:marker>
      </c:pivotFmt>
      <c:pivotFmt>
        <c:idx val="4"/>
        <c:spPr>
          <a:solidFill>
            <a:srgbClr val="002060"/>
          </a:solidFill>
          <a:ln>
            <a:noFill/>
          </a:ln>
          <a:effectLst/>
        </c:spPr>
        <c:marker>
          <c:symbol val="none"/>
        </c:marker>
      </c:pivotFmt>
      <c:pivotFmt>
        <c:idx val="5"/>
        <c:spPr>
          <a:solidFill>
            <a:srgbClr val="0070C0"/>
          </a:solidFill>
          <a:ln>
            <a:noFill/>
          </a:ln>
          <a:effectLst/>
        </c:spPr>
        <c:marker>
          <c:symbol val="none"/>
        </c:marker>
      </c:pivotFmt>
      <c:pivotFmt>
        <c:idx val="6"/>
        <c:spPr>
          <a:solidFill>
            <a:srgbClr val="002060"/>
          </a:solidFill>
          <a:ln>
            <a:noFill/>
          </a:ln>
          <a:effectLst/>
        </c:spPr>
        <c:marker>
          <c:symbol val="none"/>
        </c:marker>
      </c:pivotFmt>
      <c:pivotFmt>
        <c:idx val="7"/>
        <c:spPr>
          <a:solidFill>
            <a:srgbClr val="0070C0"/>
          </a:solidFill>
          <a:ln>
            <a:noFill/>
          </a:ln>
          <a:effectLst/>
        </c:spPr>
        <c:marker>
          <c:symbol val="none"/>
        </c:marker>
      </c:pivotFmt>
      <c:pivotFmt>
        <c:idx val="8"/>
        <c:spPr>
          <a:solidFill>
            <a:srgbClr val="002060"/>
          </a:solidFill>
          <a:ln>
            <a:noFill/>
          </a:ln>
          <a:effectLst/>
        </c:spPr>
        <c:marker>
          <c:symbol val="none"/>
        </c:marker>
      </c:pivotFmt>
      <c:pivotFmt>
        <c:idx val="9"/>
        <c:spPr>
          <a:gradFill flip="none" rotWithShape="1">
            <a:gsLst>
              <a:gs pos="0">
                <a:srgbClr val="00B0F0"/>
              </a:gs>
              <a:gs pos="100000">
                <a:srgbClr val="002060"/>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2060">
              <a:alpha val="7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Pivot!$M$1</c:f>
              <c:strCache>
                <c:ptCount val="1"/>
                <c:pt idx="0">
                  <c:v> Outbound call</c:v>
                </c:pt>
              </c:strCache>
            </c:strRef>
          </c:tx>
          <c:spPr>
            <a:gradFill flip="none" rotWithShape="1">
              <a:gsLst>
                <a:gs pos="0">
                  <a:srgbClr val="00B0F0"/>
                </a:gs>
                <a:gs pos="100000">
                  <a:srgbClr val="002060"/>
                </a:gs>
              </a:gsLst>
              <a:lin ang="16200000" scaled="1"/>
              <a:tileRect/>
            </a:gradFill>
            <a:ln>
              <a:noFill/>
            </a:ln>
            <a:effectLst/>
          </c:spPr>
          <c:cat>
            <c:strRef>
              <c:f>Pivot!$L$2:$L$7</c:f>
              <c:strCache>
                <c:ptCount val="6"/>
                <c:pt idx="0">
                  <c:v>1</c:v>
                </c:pt>
                <c:pt idx="1">
                  <c:v>2</c:v>
                </c:pt>
                <c:pt idx="2">
                  <c:v>3</c:v>
                </c:pt>
                <c:pt idx="3">
                  <c:v>4</c:v>
                </c:pt>
                <c:pt idx="4">
                  <c:v>5</c:v>
                </c:pt>
                <c:pt idx="5">
                  <c:v>6</c:v>
                </c:pt>
              </c:strCache>
            </c:strRef>
          </c:cat>
          <c:val>
            <c:numRef>
              <c:f>Pivot!$M$2:$M$7</c:f>
              <c:numCache>
                <c:formatCode>General</c:formatCode>
                <c:ptCount val="6"/>
                <c:pt idx="0">
                  <c:v>297</c:v>
                </c:pt>
                <c:pt idx="1">
                  <c:v>2123</c:v>
                </c:pt>
                <c:pt idx="2">
                  <c:v>1879</c:v>
                </c:pt>
                <c:pt idx="3">
                  <c:v>2047</c:v>
                </c:pt>
                <c:pt idx="4">
                  <c:v>2169</c:v>
                </c:pt>
                <c:pt idx="5">
                  <c:v>646</c:v>
                </c:pt>
              </c:numCache>
            </c:numRef>
          </c:val>
          <c:extLst>
            <c:ext xmlns:c16="http://schemas.microsoft.com/office/drawing/2014/chart" uri="{C3380CC4-5D6E-409C-BE32-E72D297353CC}">
              <c16:uniqueId val="{00000000-637C-4F85-B00D-0FEC44AC54D7}"/>
            </c:ext>
          </c:extLst>
        </c:ser>
        <c:ser>
          <c:idx val="1"/>
          <c:order val="1"/>
          <c:tx>
            <c:strRef>
              <c:f>Pivot!$N$1</c:f>
              <c:strCache>
                <c:ptCount val="1"/>
                <c:pt idx="0">
                  <c:v> Sales</c:v>
                </c:pt>
              </c:strCache>
            </c:strRef>
          </c:tx>
          <c:spPr>
            <a:solidFill>
              <a:srgbClr val="002060">
                <a:alpha val="70000"/>
              </a:srgbClr>
            </a:solidFill>
            <a:ln>
              <a:noFill/>
            </a:ln>
            <a:effectLst/>
          </c:spPr>
          <c:cat>
            <c:strRef>
              <c:f>Pivot!$L$2:$L$7</c:f>
              <c:strCache>
                <c:ptCount val="6"/>
                <c:pt idx="0">
                  <c:v>1</c:v>
                </c:pt>
                <c:pt idx="1">
                  <c:v>2</c:v>
                </c:pt>
                <c:pt idx="2">
                  <c:v>3</c:v>
                </c:pt>
                <c:pt idx="3">
                  <c:v>4</c:v>
                </c:pt>
                <c:pt idx="4">
                  <c:v>5</c:v>
                </c:pt>
                <c:pt idx="5">
                  <c:v>6</c:v>
                </c:pt>
              </c:strCache>
            </c:strRef>
          </c:cat>
          <c:val>
            <c:numRef>
              <c:f>Pivot!$N$2:$N$7</c:f>
              <c:numCache>
                <c:formatCode>General</c:formatCode>
                <c:ptCount val="6"/>
                <c:pt idx="0">
                  <c:v>133</c:v>
                </c:pt>
                <c:pt idx="1">
                  <c:v>894</c:v>
                </c:pt>
                <c:pt idx="2">
                  <c:v>859</c:v>
                </c:pt>
                <c:pt idx="3">
                  <c:v>826</c:v>
                </c:pt>
                <c:pt idx="4">
                  <c:v>924</c:v>
                </c:pt>
                <c:pt idx="5">
                  <c:v>266</c:v>
                </c:pt>
              </c:numCache>
            </c:numRef>
          </c:val>
          <c:extLst>
            <c:ext xmlns:c16="http://schemas.microsoft.com/office/drawing/2014/chart" uri="{C3380CC4-5D6E-409C-BE32-E72D297353CC}">
              <c16:uniqueId val="{00000001-637C-4F85-B00D-0FEC44AC54D7}"/>
            </c:ext>
          </c:extLst>
        </c:ser>
        <c:dLbls>
          <c:showLegendKey val="0"/>
          <c:showVal val="0"/>
          <c:showCatName val="0"/>
          <c:showSerName val="0"/>
          <c:showPercent val="0"/>
          <c:showBubbleSize val="0"/>
        </c:dLbls>
        <c:axId val="226317136"/>
        <c:axId val="226317920"/>
      </c:areaChart>
      <c:catAx>
        <c:axId val="226317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317920"/>
        <c:crosses val="autoZero"/>
        <c:auto val="1"/>
        <c:lblAlgn val="ctr"/>
        <c:lblOffset val="100"/>
        <c:noMultiLvlLbl val="0"/>
      </c:catAx>
      <c:valAx>
        <c:axId val="2263179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2631713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[Outbound-Dashboard.xlsx]Pivot!Monthly chart Table</c:name>
    <c:fmtId val="28"/>
  </c:pivotSource>
  <c:chart>
    <c:title>
      <c:tx>
        <c:rich>
          <a:bodyPr rot="0" spcFirstLastPara="1" vertOverflow="ellipsis" vert="horz" wrap="square" anchor="ctr" anchorCtr="1"/>
          <a:lstStyle/>
          <a:p>
            <a:pPr>
              <a:defRPr sz="1400" b="0" i="0" u="none" strike="noStrike" kern="1200" spc="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a typeface="+mn-ea"/>
                <a:cs typeface="+mn-cs"/>
              </a:defRPr>
            </a:pPr>
            <a:r>
              <a:rPr lang="en-US" b="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rPr>
              <a:t>Monthly Sales Conversion</a:t>
            </a:r>
          </a:p>
        </c:rich>
      </c:tx>
      <c:overlay val="0"/>
      <c:spPr>
        <a:noFill/>
        <a:ln>
          <a:noFill/>
        </a:ln>
        <a:effectLst/>
      </c:spPr>
      <c:txPr>
        <a:bodyPr rot="0" spcFirstLastPara="1" vertOverflow="ellipsis" vert="horz" wrap="square" anchor="ctr" anchorCtr="1"/>
        <a:lstStyle/>
        <a:p>
          <a:pPr>
            <a:defRPr sz="1400" b="0" i="0" u="none" strike="noStrike" kern="1200" spc="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rial Rounded MT Bold" panose="020F0704030504030204" pitchFamily="34" charset="0"/>
              <a:ea typeface="+mn-ea"/>
              <a:cs typeface="+mn-cs"/>
            </a:defRPr>
          </a:pPr>
          <a:endParaRPr lang="en-US"/>
        </a:p>
      </c:txPr>
    </c:title>
    <c:autoTitleDeleted val="0"/>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FB3FD3A0-C1A0-453C-83A7-EDBD5C3BD836}"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4F7EA413-F065-4EA6-B85F-2BA28966204D}"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52B4D3D2-C728-4948-9805-060094122B9F}"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2FE7DF2D-BE83-4D0A-B57D-2315CA4E84B8}"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7"/>
        <c:spPr>
          <a:blipFill>
            <a:blip xmlns:r="http://schemas.openxmlformats.org/officeDocument/2006/relationships" r:embed="rId3"/>
            <a:stretch>
              <a:fillRect/>
            </a:stretch>
          </a:blipFill>
          <a:ln>
            <a:noFill/>
          </a:ln>
          <a:effectLst/>
        </c:spPr>
        <c:marker>
          <c:symbol val="none"/>
        </c:marker>
      </c:pivotFmt>
      <c:pivotFmt>
        <c:idx val="8"/>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9"/>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A2EBEF83-A225-40DE-8D56-259BC6B0F001}"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EEFF9CC3-928A-4D03-B724-3892DB7EBD67}"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1"/>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D5E4E12E-1ADB-4CCE-8B97-DCEBE7055CDE}"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2"/>
        <c:spPr>
          <a:blipFill>
            <a:blip xmlns:r="http://schemas.openxmlformats.org/officeDocument/2006/relationships" r:embed="rId3"/>
            <a:stretch>
              <a:fillRect/>
            </a:stretch>
          </a:blipFill>
          <a:ln>
            <a:noFill/>
          </a:ln>
          <a:effectLst/>
        </c:spPr>
        <c:dLbl>
          <c:idx val="0"/>
          <c:tx>
            <c:rich>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fld id="{0B1B40D9-04B2-4340-8C12-1B91783BAA71}" type="CELLRANGE">
                  <a:rPr lang="en-US"/>
                  <a:pPr>
                    <a:defRPr sz="12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blipFill>
            <a:blip xmlns:r="http://schemas.openxmlformats.org/officeDocument/2006/relationships" r:embed="rId4"/>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blipFill>
            <a:blip xmlns:r="http://schemas.openxmlformats.org/officeDocument/2006/relationships" r:embed="rId5"/>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blipFill>
            <a:blip xmlns:r="http://schemas.openxmlformats.org/officeDocument/2006/relationships" r:embed="rId5"/>
            <a:stretch>
              <a:fillRect/>
            </a:stretch>
          </a:blipFill>
          <a:ln>
            <a:noFill/>
          </a:ln>
          <a:effectLst/>
        </c:spPr>
        <c:dLbl>
          <c:idx val="0"/>
          <c:tx>
            <c:rich>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fld id="{DC9403DE-E5FD-43ED-BFCA-A6AA1C87D950}" type="CELLRANGE">
                  <a:rPr lang="en-US"/>
                  <a:pPr algn="ctr">
                    <a:defRPr sz="1200" b="1">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6"/>
        <c:spPr>
          <a:blipFill>
            <a:blip xmlns:r="http://schemas.openxmlformats.org/officeDocument/2006/relationships" r:embed="rId5"/>
            <a:stretch>
              <a:fillRect/>
            </a:stretch>
          </a:blipFill>
          <a:ln>
            <a:noFill/>
          </a:ln>
          <a:effectLst/>
        </c:spPr>
        <c:dLbl>
          <c:idx val="0"/>
          <c:tx>
            <c:rich>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fld id="{52C1900C-DC72-4938-AA29-7BE665ABC0F4}" type="CELLRANGE">
                  <a:rPr lang="en-US"/>
                  <a:pPr algn="ctr">
                    <a:defRPr sz="1200" b="1">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7"/>
        <c:spPr>
          <a:blipFill>
            <a:blip xmlns:r="http://schemas.openxmlformats.org/officeDocument/2006/relationships" r:embed="rId5"/>
            <a:stretch>
              <a:fillRect/>
            </a:stretch>
          </a:blipFill>
          <a:ln>
            <a:noFill/>
          </a:ln>
          <a:effectLst/>
        </c:spPr>
        <c:dLbl>
          <c:idx val="0"/>
          <c:tx>
            <c:rich>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fld id="{4236FA33-4AAE-4269-BC7A-D440016EDEE4}" type="CELLRANGE">
                  <a:rPr lang="en-US"/>
                  <a:pPr algn="ctr">
                    <a:defRPr sz="1200" b="1">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8"/>
        <c:spPr>
          <a:blipFill>
            <a:blip xmlns:r="http://schemas.openxmlformats.org/officeDocument/2006/relationships" r:embed="rId5"/>
            <a:stretch>
              <a:fillRect/>
            </a:stretch>
          </a:blipFill>
          <a:ln>
            <a:noFill/>
          </a:ln>
          <a:effectLst/>
        </c:spPr>
        <c:dLbl>
          <c:idx val="0"/>
          <c:tx>
            <c:rich>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fld id="{FD55582C-21EA-4700-8AEF-E446A1C430CB}" type="CELLRANGE">
                  <a:rPr lang="en-US"/>
                  <a:pPr algn="ctr">
                    <a:defRPr sz="1200" b="1">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defRPr>
                  </a:pPr>
                  <a:t>[CELLRANGE]</a:t>
                </a:fld>
                <a:endParaRPr lang="en-US"/>
              </a:p>
            </c:rich>
          </c:tx>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barChart>
        <c:barDir val="col"/>
        <c:grouping val="clustered"/>
        <c:varyColors val="0"/>
        <c:ser>
          <c:idx val="0"/>
          <c:order val="0"/>
          <c:tx>
            <c:strRef>
              <c:f>Pivot!$Q$2:$Q$5</c:f>
              <c:strCache>
                <c:ptCount val="1"/>
                <c:pt idx="0">
                  <c:v> Sale Conversion</c:v>
                </c:pt>
              </c:strCache>
            </c:strRef>
          </c:tx>
          <c:spPr>
            <a:blipFill>
              <a:blip xmlns:r="http://schemas.openxmlformats.org/officeDocument/2006/relationships" r:embed="rId4"/>
              <a:stretch>
                <a:fillRect/>
              </a:stretch>
            </a:blipFill>
            <a:ln>
              <a:noFill/>
            </a:ln>
            <a:effectLst/>
          </c:spPr>
          <c:invertIfNegative val="0"/>
          <c:pictureOptions>
            <c:pictureFormat val="stackScale"/>
          </c:pictureOptions>
          <c:cat>
            <c:strRef>
              <c:f>Pivot!$Q$2:$Q$5</c:f>
              <c:strCache>
                <c:ptCount val="4"/>
                <c:pt idx="0">
                  <c:v>Jan</c:v>
                </c:pt>
                <c:pt idx="1">
                  <c:v>Feb</c:v>
                </c:pt>
                <c:pt idx="2">
                  <c:v>Mar</c:v>
                </c:pt>
                <c:pt idx="3">
                  <c:v>Apr</c:v>
                </c:pt>
              </c:strCache>
            </c:strRef>
          </c:cat>
          <c:val>
            <c:numRef>
              <c:f>Pivot!$Q$2:$Q$5</c:f>
              <c:numCache>
                <c:formatCode>0.0%</c:formatCode>
                <c:ptCount val="4"/>
                <c:pt idx="0">
                  <c:v>0.42593603318415019</c:v>
                </c:pt>
                <c:pt idx="1">
                  <c:v>0.47176640926640928</c:v>
                </c:pt>
                <c:pt idx="2">
                  <c:v>0.48506995197327207</c:v>
                </c:pt>
                <c:pt idx="3">
                  <c:v>0.64172240802675584</c:v>
                </c:pt>
              </c:numCache>
            </c:numRef>
          </c:val>
          <c:extLst>
            <c:ext xmlns:c16="http://schemas.microsoft.com/office/drawing/2014/chart" uri="{C3380CC4-5D6E-409C-BE32-E72D297353CC}">
              <c16:uniqueId val="{00000000-C117-41A5-B943-9D344B437A6D}"/>
            </c:ext>
          </c:extLst>
        </c:ser>
        <c:ser>
          <c:idx val="1"/>
          <c:order val="1"/>
          <c:tx>
            <c:strRef>
              <c:f>Pivot!$Q$2:$Q$5</c:f>
              <c:strCache>
                <c:ptCount val="1"/>
                <c:pt idx="0">
                  <c:v> Max Value</c:v>
                </c:pt>
              </c:strCache>
            </c:strRef>
          </c:tx>
          <c:spPr>
            <a:blipFill>
              <a:blip xmlns:r="http://schemas.openxmlformats.org/officeDocument/2006/relationships" r:embed="rId5"/>
              <a:stretch>
                <a:fillRect/>
              </a:stretch>
            </a:blipFill>
            <a:ln>
              <a:noFill/>
            </a:ln>
            <a:effectLst/>
          </c:spPr>
          <c:invertIfNegative val="0"/>
          <c:pictureOptions>
            <c:pictureFormat val="stackScale"/>
          </c:pictureOptions>
          <c:dLbls>
            <c:dLbl>
              <c:idx val="0"/>
              <c:tx>
                <c:rich>
                  <a:bodyPr/>
                  <a:lstStyle/>
                  <a:p>
                    <a:fld id="{DC9403DE-E5FD-43ED-BFCA-A6AA1C87D950}"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117-41A5-B943-9D344B437A6D}"/>
                </c:ext>
              </c:extLst>
            </c:dLbl>
            <c:dLbl>
              <c:idx val="1"/>
              <c:tx>
                <c:rich>
                  <a:bodyPr/>
                  <a:lstStyle/>
                  <a:p>
                    <a:fld id="{52C1900C-DC72-4938-AA29-7BE665ABC0F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117-41A5-B943-9D344B437A6D}"/>
                </c:ext>
              </c:extLst>
            </c:dLbl>
            <c:dLbl>
              <c:idx val="2"/>
              <c:tx>
                <c:rich>
                  <a:bodyPr/>
                  <a:lstStyle/>
                  <a:p>
                    <a:fld id="{4236FA33-4AAE-4269-BC7A-D440016EDEE4}"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117-41A5-B943-9D344B437A6D}"/>
                </c:ext>
              </c:extLst>
            </c:dLbl>
            <c:dLbl>
              <c:idx val="3"/>
              <c:tx>
                <c:rich>
                  <a:bodyPr/>
                  <a:lstStyle/>
                  <a:p>
                    <a:fld id="{FD55582C-21EA-4700-8AEF-E446A1C430CB}" type="CELLRANGE">
                      <a:rPr lang="en-US"/>
                      <a:pPr/>
                      <a:t>[CELLRANGE]</a:t>
                    </a:fld>
                    <a:endParaRPr lang="en-US"/>
                  </a:p>
                </c:rich>
              </c:tx>
              <c:dLblPos val="in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117-41A5-B943-9D344B437A6D}"/>
                </c:ext>
              </c:extLst>
            </c:dLbl>
            <c:spPr>
              <a:noFill/>
              <a:ln>
                <a:noFill/>
              </a:ln>
              <a:effectLst/>
            </c:spPr>
            <c:txPr>
              <a:bodyPr rot="0" spcFirstLastPara="1" vertOverflow="ellipsis" vert="horz" wrap="square" lIns="38100" tIns="19050" rIns="38100" bIns="19050" anchor="ctr" anchorCtr="0">
                <a:spAutoFit/>
              </a:bodyPr>
              <a:lstStyle/>
              <a:p>
                <a:pPr algn="ctr">
                  <a:defRPr sz="1200" b="1" i="0" u="none" strike="noStrike" kern="1200" baseline="0">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a typeface="+mn-ea"/>
                    <a:cs typeface="+mn-cs"/>
                  </a:defRPr>
                </a:pPr>
                <a:endParaRPr lang="en-US"/>
              </a:p>
            </c:txPr>
            <c:dLblPos val="in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Pivot!$Q$2:$Q$5</c:f>
              <c:strCache>
                <c:ptCount val="4"/>
                <c:pt idx="0">
                  <c:v>Jan</c:v>
                </c:pt>
                <c:pt idx="1">
                  <c:v>Feb</c:v>
                </c:pt>
                <c:pt idx="2">
                  <c:v>Mar</c:v>
                </c:pt>
                <c:pt idx="3">
                  <c:v>Apr</c:v>
                </c:pt>
              </c:strCache>
            </c:strRef>
          </c:cat>
          <c:val>
            <c:numRef>
              <c:f>Pivot!$Q$2:$Q$5</c:f>
              <c:numCache>
                <c:formatCode>0.00%</c:formatCode>
                <c:ptCount val="4"/>
                <c:pt idx="0">
                  <c:v>1</c:v>
                </c:pt>
                <c:pt idx="1">
                  <c:v>1</c:v>
                </c:pt>
                <c:pt idx="2">
                  <c:v>1</c:v>
                </c:pt>
                <c:pt idx="3">
                  <c:v>1</c:v>
                </c:pt>
              </c:numCache>
            </c:numRef>
          </c:val>
          <c:extLst>
            <c:ext xmlns:c15="http://schemas.microsoft.com/office/drawing/2012/chart" uri="{02D57815-91ED-43cb-92C2-25804820EDAC}">
              <c15:datalabelsRange>
                <c15:f>Pivot!$Q$2:$Q$5</c15:f>
                <c15:dlblRangeCache>
                  <c:ptCount val="4"/>
                  <c:pt idx="0">
                    <c:v>42.6%</c:v>
                  </c:pt>
                  <c:pt idx="1">
                    <c:v>47.2%</c:v>
                  </c:pt>
                  <c:pt idx="2">
                    <c:v>48.5%</c:v>
                  </c:pt>
                  <c:pt idx="3">
                    <c:v>64.2%</c:v>
                  </c:pt>
                </c15:dlblRangeCache>
              </c15:datalabelsRange>
            </c:ext>
            <c:ext xmlns:c16="http://schemas.microsoft.com/office/drawing/2014/chart" uri="{C3380CC4-5D6E-409C-BE32-E72D297353CC}">
              <c16:uniqueId val="{00000005-C117-41A5-B943-9D344B437A6D}"/>
            </c:ext>
          </c:extLst>
        </c:ser>
        <c:dLbls>
          <c:showLegendKey val="0"/>
          <c:showVal val="0"/>
          <c:showCatName val="0"/>
          <c:showSerName val="0"/>
          <c:showPercent val="0"/>
          <c:showBubbleSize val="0"/>
        </c:dLbls>
        <c:gapWidth val="10"/>
        <c:overlap val="100"/>
        <c:axId val="270169672"/>
        <c:axId val="270169280"/>
      </c:barChart>
      <c:catAx>
        <c:axId val="270169672"/>
        <c:scaling>
          <c:orientation val="minMax"/>
        </c:scaling>
        <c:delete val="0"/>
        <c:axPos val="b"/>
        <c:numFmt formatCode="General" sourceLinked="1"/>
        <c:majorTickMark val="none"/>
        <c:minorTickMark val="none"/>
        <c:tickLblPos val="nextTo"/>
        <c:spPr>
          <a:noFill/>
          <a:ln w="9525" cap="flat" cmpd="sng" algn="ctr">
            <a:solidFill>
              <a:srgbClr val="002060"/>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70169280"/>
        <c:crosses val="autoZero"/>
        <c:auto val="1"/>
        <c:lblAlgn val="ctr"/>
        <c:lblOffset val="100"/>
        <c:noMultiLvlLbl val="0"/>
      </c:catAx>
      <c:valAx>
        <c:axId val="270169280"/>
        <c:scaling>
          <c:orientation val="minMax"/>
          <c:max val="1"/>
          <c:min val="0"/>
        </c:scaling>
        <c:delete val="1"/>
        <c:axPos val="l"/>
        <c:numFmt formatCode="0.0%" sourceLinked="1"/>
        <c:majorTickMark val="none"/>
        <c:minorTickMark val="none"/>
        <c:tickLblPos val="nextTo"/>
        <c:crossAx val="270169672"/>
        <c:crosses val="autoZero"/>
        <c:crossBetween val="between"/>
      </c:valAx>
      <c:spPr>
        <a:noFill/>
        <a:ln>
          <a:noFill/>
        </a:ln>
        <a:effectLst/>
      </c:spPr>
    </c:plotArea>
    <c:plotVisOnly val="1"/>
    <c:dispBlanksAs val="gap"/>
    <c:showDLblsOverMax val="0"/>
  </c:chart>
  <c:spPr>
    <a:solidFill>
      <a:schemeClr val="bg1"/>
    </a:solidFill>
    <a:ln w="9525"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11</xdr:col>
      <xdr:colOff>457200</xdr:colOff>
      <xdr:row>3</xdr:row>
      <xdr:rowOff>38100</xdr:rowOff>
    </xdr:from>
    <xdr:to>
      <xdr:col>18</xdr:col>
      <xdr:colOff>47625</xdr:colOff>
      <xdr:row>18</xdr:row>
      <xdr:rowOff>38100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57150</xdr:colOff>
      <xdr:row>3</xdr:row>
      <xdr:rowOff>66675</xdr:rowOff>
    </xdr:from>
    <xdr:to>
      <xdr:col>20</xdr:col>
      <xdr:colOff>247650</xdr:colOff>
      <xdr:row>24</xdr:row>
      <xdr:rowOff>180975</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11029950" y="638175"/>
              <a:ext cx="1409700" cy="4114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38098</xdr:colOff>
      <xdr:row>8</xdr:row>
      <xdr:rowOff>66675</xdr:rowOff>
    </xdr:from>
    <xdr:to>
      <xdr:col>2</xdr:col>
      <xdr:colOff>391666</xdr:colOff>
      <xdr:row>24</xdr:row>
      <xdr:rowOff>180975</xdr:rowOff>
    </xdr:to>
    <mc:AlternateContent xmlns:mc="http://schemas.openxmlformats.org/markup-compatibility/2006" xmlns:a14="http://schemas.microsoft.com/office/drawing/2010/main">
      <mc:Choice Requires="a14">
        <xdr:graphicFrame macro="">
          <xdr:nvGraphicFramePr>
            <xdr:cNvPr id="4" name="Week">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Week"/>
            </a:graphicData>
          </a:graphic>
        </xdr:graphicFrame>
      </mc:Choice>
      <mc:Fallback xmlns="">
        <xdr:sp macro="" textlink="">
          <xdr:nvSpPr>
            <xdr:cNvPr id="0" name=""/>
            <xdr:cNvSpPr>
              <a:spLocks noTextEdit="1"/>
            </xdr:cNvSpPr>
          </xdr:nvSpPr>
          <xdr:spPr>
            <a:xfrm>
              <a:off x="38098" y="1590675"/>
              <a:ext cx="1572768" cy="3162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38098</xdr:colOff>
      <xdr:row>3</xdr:row>
      <xdr:rowOff>9524</xdr:rowOff>
    </xdr:from>
    <xdr:to>
      <xdr:col>2</xdr:col>
      <xdr:colOff>391666</xdr:colOff>
      <xdr:row>8</xdr:row>
      <xdr:rowOff>38100</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8098" y="581024"/>
              <a:ext cx="1572768" cy="9810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200025</xdr:colOff>
      <xdr:row>5</xdr:row>
      <xdr:rowOff>0</xdr:rowOff>
    </xdr:from>
    <xdr:to>
      <xdr:col>5</xdr:col>
      <xdr:colOff>384047</xdr:colOff>
      <xdr:row>11</xdr:row>
      <xdr:rowOff>66675</xdr:rowOff>
    </xdr:to>
    <xdr:grpSp>
      <xdr:nvGrpSpPr>
        <xdr:cNvPr id="11" name="Group 10">
          <a:extLst>
            <a:ext uri="{FF2B5EF4-FFF2-40B4-BE49-F238E27FC236}">
              <a16:creationId xmlns:a16="http://schemas.microsoft.com/office/drawing/2014/main" id="{00000000-0008-0000-0000-00000B000000}"/>
            </a:ext>
          </a:extLst>
        </xdr:cNvPr>
        <xdr:cNvGrpSpPr/>
      </xdr:nvGrpSpPr>
      <xdr:grpSpPr>
        <a:xfrm>
          <a:off x="2028825" y="952500"/>
          <a:ext cx="1403222" cy="1209675"/>
          <a:chOff x="2390775" y="952500"/>
          <a:chExt cx="1403222" cy="1209675"/>
        </a:xfrm>
      </xdr:grpSpPr>
      <xdr:sp macro="" textlink="">
        <xdr:nvSpPr>
          <xdr:cNvPr id="8" name="Hexagon 7">
            <a:extLst>
              <a:ext uri="{FF2B5EF4-FFF2-40B4-BE49-F238E27FC236}">
                <a16:creationId xmlns:a16="http://schemas.microsoft.com/office/drawing/2014/main" id="{00000000-0008-0000-0000-000008000000}"/>
              </a:ext>
            </a:extLst>
          </xdr:cNvPr>
          <xdr:cNvSpPr/>
        </xdr:nvSpPr>
        <xdr:spPr>
          <a:xfrm>
            <a:off x="2390775" y="952500"/>
            <a:ext cx="1403222" cy="1209675"/>
          </a:xfrm>
          <a:prstGeom prst="hexagon">
            <a:avLst/>
          </a:prstGeom>
          <a:solidFill>
            <a:schemeClr val="accent4"/>
          </a:solidFill>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l"/>
            <a:endParaRPr lang="en-US" sz="1100"/>
          </a:p>
        </xdr:txBody>
      </xdr:sp>
      <xdr:sp macro="" textlink="Pivot!E2">
        <xdr:nvSpPr>
          <xdr:cNvPr id="9" name="Rectangle 8">
            <a:extLst>
              <a:ext uri="{FF2B5EF4-FFF2-40B4-BE49-F238E27FC236}">
                <a16:creationId xmlns:a16="http://schemas.microsoft.com/office/drawing/2014/main" id="{00000000-0008-0000-0000-000009000000}"/>
              </a:ext>
            </a:extLst>
          </xdr:cNvPr>
          <xdr:cNvSpPr/>
        </xdr:nvSpPr>
        <xdr:spPr>
          <a:xfrm>
            <a:off x="2599199" y="1288548"/>
            <a:ext cx="935705" cy="517514"/>
          </a:xfrm>
          <a:prstGeom prst="rect">
            <a:avLst/>
          </a:prstGeom>
          <a:noFill/>
        </xdr:spPr>
        <xdr:txBody>
          <a:bodyPr wrap="none" lIns="91440" tIns="45720" rIns="91440" bIns="45720" anchor="ctr">
            <a:spAutoFit/>
          </a:bodyPr>
          <a:lstStyle/>
          <a:p>
            <a:pPr algn="ctr"/>
            <a:fld id="{0FD914AE-F84C-419B-AC1A-00629CCEEAA5}" type="TxLink">
              <a:rPr lang="en-US" sz="2800" b="0" i="0" u="none" strike="noStrike" cap="none" spc="0">
                <a:ln w="0"/>
                <a:solidFill>
                  <a:srgbClr val="000000"/>
                </a:solidFill>
                <a:effectLst>
                  <a:outerShdw blurRad="38100" dist="25400" dir="5400000" algn="ctr" rotWithShape="0">
                    <a:srgbClr val="6E747A">
                      <a:alpha val="43000"/>
                    </a:srgbClr>
                  </a:outerShdw>
                </a:effectLst>
                <a:latin typeface="Agency FB" panose="020B0503020202020204" pitchFamily="34" charset="0"/>
              </a:rPr>
              <a:pPr algn="ctr"/>
              <a:t>2047</a:t>
            </a:fld>
            <a:endParaRPr lang="en-US" sz="11500" b="0" cap="none" spc="0">
              <a:ln w="0"/>
              <a:solidFill>
                <a:schemeClr val="accent1"/>
              </a:solidFill>
              <a:effectLst>
                <a:outerShdw blurRad="38100" dist="25400" dir="5400000" algn="ctr" rotWithShape="0">
                  <a:srgbClr val="6E747A">
                    <a:alpha val="43000"/>
                  </a:srgbClr>
                </a:outerShdw>
              </a:effectLst>
              <a:latin typeface="Agency FB" panose="020B0503020202020204" pitchFamily="34" charset="0"/>
            </a:endParaRPr>
          </a:p>
        </xdr:txBody>
      </xdr:sp>
      <xdr:sp macro="" textlink="">
        <xdr:nvSpPr>
          <xdr:cNvPr id="10" name="Rectangle 9">
            <a:extLst>
              <a:ext uri="{FF2B5EF4-FFF2-40B4-BE49-F238E27FC236}">
                <a16:creationId xmlns:a16="http://schemas.microsoft.com/office/drawing/2014/main" id="{00000000-0008-0000-0000-00000A000000}"/>
              </a:ext>
            </a:extLst>
          </xdr:cNvPr>
          <xdr:cNvSpPr/>
        </xdr:nvSpPr>
        <xdr:spPr>
          <a:xfrm>
            <a:off x="2675700" y="1765619"/>
            <a:ext cx="801758" cy="389209"/>
          </a:xfrm>
          <a:prstGeom prst="rect">
            <a:avLst/>
          </a:prstGeom>
          <a:noFill/>
        </xdr:spPr>
        <xdr:txBody>
          <a:bodyPr wrap="none" lIns="91440" tIns="45720" rIns="91440" bIns="45720" anchor="ctr">
            <a:spAutoFit/>
          </a:bodyPr>
          <a:lstStyle/>
          <a:p>
            <a:pPr algn="ctr"/>
            <a:r>
              <a:rPr lang="en-US" sz="1000" b="0" i="0" u="none" strike="noStrike" cap="none" spc="0">
                <a:ln w="0"/>
                <a:solidFill>
                  <a:srgbClr val="000000"/>
                </a:solidFill>
                <a:effectLst>
                  <a:outerShdw blurRad="38100" dist="25400" dir="5400000" algn="ctr" rotWithShape="0">
                    <a:srgbClr val="6E747A">
                      <a:alpha val="43000"/>
                    </a:srgbClr>
                  </a:outerShdw>
                </a:effectLst>
                <a:latin typeface="Arial Rounded MT Bold" panose="020F0704030504030204" pitchFamily="34" charset="0"/>
              </a:rPr>
              <a:t>Outbound</a:t>
            </a:r>
          </a:p>
          <a:p>
            <a:pPr algn="ctr"/>
            <a:r>
              <a:rPr lang="en-US" sz="1000" b="0" i="0" u="none" strike="noStrike" cap="none" spc="0" baseline="0">
                <a:ln w="0"/>
                <a:solidFill>
                  <a:srgbClr val="000000"/>
                </a:solidFill>
                <a:effectLst>
                  <a:outerShdw blurRad="38100" dist="25400" dir="5400000" algn="ctr" rotWithShape="0">
                    <a:srgbClr val="6E747A">
                      <a:alpha val="43000"/>
                    </a:srgbClr>
                  </a:outerShdw>
                </a:effectLst>
                <a:latin typeface="Arial Rounded MT Bold" panose="020F0704030504030204" pitchFamily="34" charset="0"/>
              </a:rPr>
              <a:t>Calls</a:t>
            </a:r>
            <a:endParaRPr lang="en-US" sz="1000" b="0" i="0" u="none" strike="noStrike" cap="none" spc="0">
              <a:ln w="0"/>
              <a:solidFill>
                <a:srgbClr val="000000"/>
              </a:solidFill>
              <a:effectLst>
                <a:outerShdw blurRad="38100" dist="25400" dir="5400000" algn="ctr" rotWithShape="0">
                  <a:srgbClr val="6E747A">
                    <a:alpha val="43000"/>
                  </a:srgbClr>
                </a:outerShdw>
              </a:effectLst>
              <a:latin typeface="Arial Rounded MT Bold" panose="020F0704030504030204" pitchFamily="34" charset="0"/>
            </a:endParaRPr>
          </a:p>
        </xdr:txBody>
      </xdr:sp>
    </xdr:grpSp>
    <xdr:clientData/>
  </xdr:twoCellAnchor>
  <xdr:twoCellAnchor>
    <xdr:from>
      <xdr:col>6</xdr:col>
      <xdr:colOff>47625</xdr:colOff>
      <xdr:row>4</xdr:row>
      <xdr:rowOff>180975</xdr:rowOff>
    </xdr:from>
    <xdr:to>
      <xdr:col>8</xdr:col>
      <xdr:colOff>231647</xdr:colOff>
      <xdr:row>11</xdr:row>
      <xdr:rowOff>57150</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3705225" y="942975"/>
          <a:ext cx="1403222" cy="1209675"/>
          <a:chOff x="4448175" y="923925"/>
          <a:chExt cx="1403222" cy="1209675"/>
        </a:xfrm>
      </xdr:grpSpPr>
      <xdr:sp macro="" textlink="">
        <xdr:nvSpPr>
          <xdr:cNvPr id="13" name="Hexagon 12">
            <a:extLst>
              <a:ext uri="{FF2B5EF4-FFF2-40B4-BE49-F238E27FC236}">
                <a16:creationId xmlns:a16="http://schemas.microsoft.com/office/drawing/2014/main" id="{00000000-0008-0000-0000-00000D000000}"/>
              </a:ext>
            </a:extLst>
          </xdr:cNvPr>
          <xdr:cNvSpPr/>
        </xdr:nvSpPr>
        <xdr:spPr>
          <a:xfrm>
            <a:off x="4448175" y="923925"/>
            <a:ext cx="1403222" cy="1209675"/>
          </a:xfrm>
          <a:prstGeom prst="hexagon">
            <a:avLst/>
          </a:prstGeom>
          <a:solidFill>
            <a:schemeClr val="accent1"/>
          </a:solidFill>
          <a:ln/>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l"/>
            <a:endParaRPr lang="en-US" sz="1100">
              <a:solidFill>
                <a:schemeClr val="tx1"/>
              </a:solidFill>
            </a:endParaRPr>
          </a:p>
        </xdr:txBody>
      </xdr:sp>
      <xdr:sp macro="" textlink="Pivot!E3">
        <xdr:nvSpPr>
          <xdr:cNvPr id="14" name="Rectangle 13">
            <a:extLst>
              <a:ext uri="{FF2B5EF4-FFF2-40B4-BE49-F238E27FC236}">
                <a16:creationId xmlns:a16="http://schemas.microsoft.com/office/drawing/2014/main" id="{00000000-0008-0000-0000-00000E000000}"/>
              </a:ext>
            </a:extLst>
          </xdr:cNvPr>
          <xdr:cNvSpPr/>
        </xdr:nvSpPr>
        <xdr:spPr>
          <a:xfrm>
            <a:off x="4690967" y="1259973"/>
            <a:ext cx="866969" cy="517514"/>
          </a:xfrm>
          <a:prstGeom prst="rect">
            <a:avLst/>
          </a:prstGeom>
          <a:noFill/>
        </xdr:spPr>
        <xdr:txBody>
          <a:bodyPr wrap="none" lIns="91440" tIns="45720" rIns="91440" bIns="45720" anchor="ctr">
            <a:spAutoFit/>
          </a:bodyPr>
          <a:lstStyle/>
          <a:p>
            <a:pPr marL="0" indent="0" algn="ctr"/>
            <a:fld id="{B0B13DDB-D815-477B-A1A1-4B8DD876EE36}" type="TxLink">
              <a:rPr lang="en-US" sz="2800" b="0" i="0" u="none" strike="noStrike" cap="none" spc="0">
                <a:ln w="0"/>
                <a:solidFill>
                  <a:schemeClr val="tx1"/>
                </a:solidFill>
                <a:effectLst>
                  <a:outerShdw blurRad="38100" dist="25400" dir="5400000" algn="ctr" rotWithShape="0">
                    <a:srgbClr val="6E747A">
                      <a:alpha val="43000"/>
                    </a:srgbClr>
                  </a:outerShdw>
                </a:effectLst>
                <a:latin typeface="Agency FB" panose="020B0503020202020204" pitchFamily="34" charset="0"/>
                <a:ea typeface="+mn-ea"/>
                <a:cs typeface="+mn-cs"/>
              </a:rPr>
              <a:pPr marL="0" indent="0" algn="ctr"/>
              <a:t>826</a:t>
            </a:fld>
            <a:endParaRPr lang="en-US" sz="2800" b="0" i="0" u="none" strike="noStrike" cap="none" spc="0">
              <a:ln w="0"/>
              <a:solidFill>
                <a:schemeClr val="tx1"/>
              </a:solidFill>
              <a:effectLst>
                <a:outerShdw blurRad="38100" dist="25400" dir="5400000" algn="ctr" rotWithShape="0">
                  <a:srgbClr val="6E747A">
                    <a:alpha val="43000"/>
                  </a:srgbClr>
                </a:outerShdw>
              </a:effectLst>
              <a:latin typeface="Agency FB" panose="020B0503020202020204" pitchFamily="34" charset="0"/>
              <a:ea typeface="+mn-ea"/>
              <a:cs typeface="+mn-cs"/>
            </a:endParaRPr>
          </a:p>
        </xdr:txBody>
      </xdr:sp>
      <xdr:sp macro="" textlink="">
        <xdr:nvSpPr>
          <xdr:cNvPr id="15" name="Rectangle 14">
            <a:extLst>
              <a:ext uri="{FF2B5EF4-FFF2-40B4-BE49-F238E27FC236}">
                <a16:creationId xmlns:a16="http://schemas.microsoft.com/office/drawing/2014/main" id="{00000000-0008-0000-0000-00000F000000}"/>
              </a:ext>
            </a:extLst>
          </xdr:cNvPr>
          <xdr:cNvSpPr/>
        </xdr:nvSpPr>
        <xdr:spPr>
          <a:xfrm>
            <a:off x="4652854" y="1793373"/>
            <a:ext cx="962251" cy="276551"/>
          </a:xfrm>
          <a:prstGeom prst="rect">
            <a:avLst/>
          </a:prstGeom>
          <a:noFill/>
        </xdr:spPr>
        <xdr:txBody>
          <a:bodyPr wrap="none" lIns="91440" tIns="45720" rIns="91440" bIns="45720" anchor="ctr">
            <a:noAutofit/>
          </a:bodyPr>
          <a:lstStyle/>
          <a:p>
            <a:pPr algn="ctr"/>
            <a:r>
              <a:rPr lang="en-US" sz="1000" b="0" i="0" u="none" strike="noStrike" cap="none" spc="0">
                <a:ln w="0"/>
                <a:solidFill>
                  <a:schemeClr val="tx1"/>
                </a:solidFill>
                <a:effectLst>
                  <a:outerShdw blurRad="38100" dist="25400" dir="5400000" algn="ctr" rotWithShape="0">
                    <a:srgbClr val="6E747A">
                      <a:alpha val="43000"/>
                    </a:srgbClr>
                  </a:outerShdw>
                </a:effectLst>
                <a:latin typeface="Arial Rounded MT Bold" panose="020F0704030504030204" pitchFamily="34" charset="0"/>
              </a:rPr>
              <a:t>Sales</a:t>
            </a:r>
          </a:p>
        </xdr:txBody>
      </xdr:sp>
    </xdr:grpSp>
    <xdr:clientData/>
  </xdr:twoCellAnchor>
  <xdr:twoCellAnchor>
    <xdr:from>
      <xdr:col>2</xdr:col>
      <xdr:colOff>419100</xdr:colOff>
      <xdr:row>12</xdr:row>
      <xdr:rowOff>161925</xdr:rowOff>
    </xdr:from>
    <xdr:to>
      <xdr:col>18</xdr:col>
      <xdr:colOff>38100</xdr:colOff>
      <xdr:row>12</xdr:row>
      <xdr:rowOff>176212</xdr:rowOff>
    </xdr:to>
    <xdr:cxnSp macro="">
      <xdr:nvCxnSpPr>
        <xdr:cNvPr id="19" name="Straight Connector 18">
          <a:extLst>
            <a:ext uri="{FF2B5EF4-FFF2-40B4-BE49-F238E27FC236}">
              <a16:creationId xmlns:a16="http://schemas.microsoft.com/office/drawing/2014/main" id="{00000000-0008-0000-0000-000013000000}"/>
            </a:ext>
          </a:extLst>
        </xdr:cNvPr>
        <xdr:cNvCxnSpPr/>
      </xdr:nvCxnSpPr>
      <xdr:spPr>
        <a:xfrm>
          <a:off x="1638300" y="2447925"/>
          <a:ext cx="9372600" cy="14287"/>
        </a:xfrm>
        <a:prstGeom prst="line">
          <a:avLst/>
        </a:prstGeom>
        <a:ln>
          <a:solidFill>
            <a:srgbClr val="002060"/>
          </a:solidFill>
          <a:prstDash val="sysDash"/>
        </a:ln>
      </xdr:spPr>
      <xdr:style>
        <a:lnRef idx="3">
          <a:schemeClr val="accent5"/>
        </a:lnRef>
        <a:fillRef idx="0">
          <a:schemeClr val="accent5"/>
        </a:fillRef>
        <a:effectRef idx="2">
          <a:schemeClr val="accent5"/>
        </a:effectRef>
        <a:fontRef idx="minor">
          <a:schemeClr val="tx1"/>
        </a:fontRef>
      </xdr:style>
    </xdr:cxnSp>
    <xdr:clientData/>
  </xdr:twoCellAnchor>
  <xdr:twoCellAnchor>
    <xdr:from>
      <xdr:col>2</xdr:col>
      <xdr:colOff>552451</xdr:colOff>
      <xdr:row>13</xdr:row>
      <xdr:rowOff>85726</xdr:rowOff>
    </xdr:from>
    <xdr:to>
      <xdr:col>11</xdr:col>
      <xdr:colOff>295275</xdr:colOff>
      <xdr:row>24</xdr:row>
      <xdr:rowOff>180976</xdr:rowOff>
    </xdr:to>
    <xdr:graphicFrame macro="">
      <xdr:nvGraphicFramePr>
        <xdr:cNvPr id="20" name="Chart 19">
          <a:extLst>
            <a:ext uri="{FF2B5EF4-FFF2-40B4-BE49-F238E27FC236}">
              <a16:creationId xmlns:a16="http://schemas.microsoft.com/office/drawing/2014/main" id="{00000000-0008-0000-00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390525</xdr:colOff>
      <xdr:row>13</xdr:row>
      <xdr:rowOff>95251</xdr:rowOff>
    </xdr:from>
    <xdr:to>
      <xdr:col>17</xdr:col>
      <xdr:colOff>542926</xdr:colOff>
      <xdr:row>24</xdr:row>
      <xdr:rowOff>171451</xdr:rowOff>
    </xdr:to>
    <xdr:graphicFrame macro="">
      <xdr:nvGraphicFramePr>
        <xdr:cNvPr id="22" name="Chart 21">
          <a:extLst>
            <a:ext uri="{FF2B5EF4-FFF2-40B4-BE49-F238E27FC236}">
              <a16:creationId xmlns:a16="http://schemas.microsoft.com/office/drawing/2014/main" id="{00000000-0008-0000-00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21</xdr:col>
      <xdr:colOff>0</xdr:colOff>
      <xdr:row>2</xdr:row>
      <xdr:rowOff>142875</xdr:rowOff>
    </xdr:to>
    <xdr:grpSp>
      <xdr:nvGrpSpPr>
        <xdr:cNvPr id="24" name="Group 23">
          <a:extLst>
            <a:ext uri="{FF2B5EF4-FFF2-40B4-BE49-F238E27FC236}">
              <a16:creationId xmlns:a16="http://schemas.microsoft.com/office/drawing/2014/main" id="{00000000-0008-0000-0000-000018000000}"/>
            </a:ext>
          </a:extLst>
        </xdr:cNvPr>
        <xdr:cNvGrpSpPr/>
      </xdr:nvGrpSpPr>
      <xdr:grpSpPr>
        <a:xfrm>
          <a:off x="0" y="0"/>
          <a:ext cx="12477750" cy="523875"/>
          <a:chOff x="0" y="0"/>
          <a:chExt cx="12477750" cy="523875"/>
        </a:xfrm>
      </xdr:grpSpPr>
      <xdr:sp macro="" textlink="">
        <xdr:nvSpPr>
          <xdr:cNvPr id="6" name="Rectangle 5">
            <a:extLst>
              <a:ext uri="{FF2B5EF4-FFF2-40B4-BE49-F238E27FC236}">
                <a16:creationId xmlns:a16="http://schemas.microsoft.com/office/drawing/2014/main" id="{00000000-0008-0000-0000-000006000000}"/>
              </a:ext>
            </a:extLst>
          </xdr:cNvPr>
          <xdr:cNvSpPr/>
        </xdr:nvSpPr>
        <xdr:spPr>
          <a:xfrm>
            <a:off x="0" y="0"/>
            <a:ext cx="12477750" cy="523875"/>
          </a:xfrm>
          <a:prstGeom prst="rect">
            <a:avLst/>
          </a:prstGeom>
          <a:gradFill flip="none" rotWithShape="1">
            <a:gsLst>
              <a:gs pos="0">
                <a:srgbClr val="00B0F0">
                  <a:shade val="30000"/>
                  <a:satMod val="115000"/>
                </a:srgbClr>
              </a:gs>
              <a:gs pos="50000">
                <a:srgbClr val="00B0F0">
                  <a:shade val="67500"/>
                  <a:satMod val="115000"/>
                </a:srgbClr>
              </a:gs>
              <a:gs pos="100000">
                <a:srgbClr val="00B0F0">
                  <a:shade val="100000"/>
                  <a:satMod val="115000"/>
                </a:srgbClr>
              </a:gs>
            </a:gsLst>
            <a:lin ang="162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6">
            <a:extLst>
              <a:ext uri="{FF2B5EF4-FFF2-40B4-BE49-F238E27FC236}">
                <a16:creationId xmlns:a16="http://schemas.microsoft.com/office/drawing/2014/main" id="{00000000-0008-0000-0000-000007000000}"/>
              </a:ext>
            </a:extLst>
          </xdr:cNvPr>
          <xdr:cNvSpPr/>
        </xdr:nvSpPr>
        <xdr:spPr>
          <a:xfrm>
            <a:off x="3789536" y="0"/>
            <a:ext cx="4022383" cy="507831"/>
          </a:xfrm>
          <a:prstGeom prst="rect">
            <a:avLst/>
          </a:prstGeom>
          <a:noFill/>
        </xdr:spPr>
        <xdr:txBody>
          <a:bodyPr wrap="none" lIns="91440" tIns="45720" rIns="91440" bIns="45720">
            <a:spAutoFit/>
          </a:bodyPr>
          <a:lstStyle/>
          <a:p>
            <a:pPr algn="ctr"/>
            <a:r>
              <a:rPr lang="en-US" sz="2800" b="0"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Outbound</a:t>
            </a:r>
            <a:r>
              <a:rPr lang="en-US" sz="2800" b="0" cap="none" spc="0" baseline="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rPr>
              <a:t> Dashboard</a:t>
            </a:r>
            <a:endParaRPr lang="en-US" sz="2800" b="0" cap="none" spc="0">
              <a:ln w="0"/>
              <a:solidFill>
                <a:schemeClr val="bg1"/>
              </a:solidFill>
              <a:effectLst>
                <a:outerShdw blurRad="38100" dist="19050" dir="2700000" algn="tl" rotWithShape="0">
                  <a:schemeClr val="dk1">
                    <a:alpha val="40000"/>
                  </a:schemeClr>
                </a:outerShdw>
              </a:effectLst>
              <a:latin typeface="Arial Rounded MT Bold" panose="020F0704030504030204" pitchFamily="34" charset="0"/>
            </a:endParaRPr>
          </a:p>
        </xdr:txBody>
      </xdr:sp>
    </xdr:grpSp>
    <xdr:clientData/>
  </xdr:twoCellAnchor>
  <xdr:twoCellAnchor>
    <xdr:from>
      <xdr:col>9</xdr:col>
      <xdr:colOff>28575</xdr:colOff>
      <xdr:row>4</xdr:row>
      <xdr:rowOff>171450</xdr:rowOff>
    </xdr:from>
    <xdr:to>
      <xdr:col>11</xdr:col>
      <xdr:colOff>212597</xdr:colOff>
      <xdr:row>11</xdr:row>
      <xdr:rowOff>47625</xdr:rowOff>
    </xdr:to>
    <xdr:grpSp>
      <xdr:nvGrpSpPr>
        <xdr:cNvPr id="29" name="Group 28">
          <a:extLst>
            <a:ext uri="{FF2B5EF4-FFF2-40B4-BE49-F238E27FC236}">
              <a16:creationId xmlns:a16="http://schemas.microsoft.com/office/drawing/2014/main" id="{00000000-0008-0000-0000-00001D000000}"/>
            </a:ext>
          </a:extLst>
        </xdr:cNvPr>
        <xdr:cNvGrpSpPr/>
      </xdr:nvGrpSpPr>
      <xdr:grpSpPr>
        <a:xfrm>
          <a:off x="5514975" y="933450"/>
          <a:ext cx="1403222" cy="1209675"/>
          <a:chOff x="5514975" y="933450"/>
          <a:chExt cx="1403222" cy="1209675"/>
        </a:xfrm>
      </xdr:grpSpPr>
      <xdr:sp macro="" textlink="">
        <xdr:nvSpPr>
          <xdr:cNvPr id="26" name="Hexagon 25">
            <a:extLst>
              <a:ext uri="{FF2B5EF4-FFF2-40B4-BE49-F238E27FC236}">
                <a16:creationId xmlns:a16="http://schemas.microsoft.com/office/drawing/2014/main" id="{00000000-0008-0000-0000-00001A000000}"/>
              </a:ext>
            </a:extLst>
          </xdr:cNvPr>
          <xdr:cNvSpPr/>
        </xdr:nvSpPr>
        <xdr:spPr>
          <a:xfrm>
            <a:off x="5514975" y="933450"/>
            <a:ext cx="1403222" cy="1209675"/>
          </a:xfrm>
          <a:prstGeom prst="hexagon">
            <a:avLst/>
          </a:prstGeom>
          <a:ln/>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l"/>
            <a:endParaRPr lang="en-US" sz="1100">
              <a:solidFill>
                <a:schemeClr val="tx1"/>
              </a:solidFill>
            </a:endParaRPr>
          </a:p>
        </xdr:txBody>
      </xdr:sp>
      <xdr:sp macro="" textlink="Pivot!E4">
        <xdr:nvSpPr>
          <xdr:cNvPr id="27" name="Rectangle 26">
            <a:extLst>
              <a:ext uri="{FF2B5EF4-FFF2-40B4-BE49-F238E27FC236}">
                <a16:creationId xmlns:a16="http://schemas.microsoft.com/office/drawing/2014/main" id="{00000000-0008-0000-0000-00001B000000}"/>
              </a:ext>
            </a:extLst>
          </xdr:cNvPr>
          <xdr:cNvSpPr/>
        </xdr:nvSpPr>
        <xdr:spPr>
          <a:xfrm>
            <a:off x="5715001" y="1269498"/>
            <a:ext cx="923924" cy="517514"/>
          </a:xfrm>
          <a:prstGeom prst="rect">
            <a:avLst/>
          </a:prstGeom>
          <a:noFill/>
        </xdr:spPr>
        <xdr:txBody>
          <a:bodyPr wrap="square" lIns="91440" tIns="45720" rIns="91440" bIns="45720" anchor="ctr">
            <a:spAutoFit/>
          </a:bodyPr>
          <a:lstStyle/>
          <a:p>
            <a:pPr marL="0" indent="0" algn="ctr"/>
            <a:fld id="{03455928-B135-4B5A-8ADE-0187E1575060}" type="TxLink">
              <a:rPr lang="en-US" sz="2800" b="0" i="0" u="none" strike="noStrike" cap="none" spc="0">
                <a:ln w="0"/>
                <a:solidFill>
                  <a:schemeClr val="tx1"/>
                </a:solidFill>
                <a:effectLst>
                  <a:outerShdw blurRad="38100" dist="25400" dir="5400000" algn="ctr" rotWithShape="0">
                    <a:srgbClr val="6E747A">
                      <a:alpha val="43000"/>
                    </a:srgbClr>
                  </a:outerShdw>
                </a:effectLst>
                <a:latin typeface="Agency FB" panose="020B0503020202020204" pitchFamily="34" charset="0"/>
                <a:ea typeface="+mn-ea"/>
                <a:cs typeface="+mn-cs"/>
              </a:rPr>
              <a:pPr marL="0" indent="0" algn="ctr"/>
              <a:t>405</a:t>
            </a:fld>
            <a:endParaRPr lang="en-US" sz="2800" b="0" i="0" u="none" strike="noStrike" cap="none" spc="0">
              <a:ln w="0"/>
              <a:solidFill>
                <a:schemeClr val="tx1"/>
              </a:solidFill>
              <a:effectLst>
                <a:outerShdw blurRad="38100" dist="25400" dir="5400000" algn="ctr" rotWithShape="0">
                  <a:srgbClr val="6E747A">
                    <a:alpha val="43000"/>
                  </a:srgbClr>
                </a:outerShdw>
              </a:effectLst>
              <a:latin typeface="Agency FB" panose="020B0503020202020204" pitchFamily="34" charset="0"/>
              <a:ea typeface="+mn-ea"/>
              <a:cs typeface="+mn-cs"/>
            </a:endParaRPr>
          </a:p>
        </xdr:txBody>
      </xdr:sp>
      <xdr:sp macro="" textlink="">
        <xdr:nvSpPr>
          <xdr:cNvPr id="28" name="Rectangle 27">
            <a:extLst>
              <a:ext uri="{FF2B5EF4-FFF2-40B4-BE49-F238E27FC236}">
                <a16:creationId xmlns:a16="http://schemas.microsoft.com/office/drawing/2014/main" id="{00000000-0008-0000-0000-00001C000000}"/>
              </a:ext>
            </a:extLst>
          </xdr:cNvPr>
          <xdr:cNvSpPr/>
        </xdr:nvSpPr>
        <xdr:spPr>
          <a:xfrm>
            <a:off x="5729179" y="1783848"/>
            <a:ext cx="962251" cy="349752"/>
          </a:xfrm>
          <a:prstGeom prst="rect">
            <a:avLst/>
          </a:prstGeom>
          <a:noFill/>
        </xdr:spPr>
        <xdr:txBody>
          <a:bodyPr wrap="none" lIns="91440" tIns="45720" rIns="91440" bIns="45720" anchor="ctr">
            <a:noAutofit/>
          </a:bodyPr>
          <a:lstStyle/>
          <a:p>
            <a:pPr algn="ctr"/>
            <a:r>
              <a:rPr lang="en-US" sz="1000" b="0" i="0" u="none" strike="noStrike" cap="none" spc="0">
                <a:ln w="0"/>
                <a:solidFill>
                  <a:schemeClr val="tx1"/>
                </a:solidFill>
                <a:effectLst>
                  <a:outerShdw blurRad="38100" dist="25400" dir="5400000" algn="ctr" rotWithShape="0">
                    <a:srgbClr val="6E747A">
                      <a:alpha val="43000"/>
                    </a:srgbClr>
                  </a:outerShdw>
                </a:effectLst>
                <a:latin typeface="Arial Rounded MT Bold" panose="020F0704030504030204" pitchFamily="34" charset="0"/>
              </a:rPr>
              <a:t>Average Call</a:t>
            </a:r>
          </a:p>
          <a:p>
            <a:pPr algn="ctr"/>
            <a:r>
              <a:rPr lang="en-US" sz="1000" b="0" i="0" u="none" strike="noStrike" cap="none" spc="0">
                <a:ln w="0"/>
                <a:solidFill>
                  <a:schemeClr val="tx1"/>
                </a:solidFill>
                <a:effectLst>
                  <a:outerShdw blurRad="38100" dist="25400" dir="5400000" algn="ctr" rotWithShape="0">
                    <a:srgbClr val="6E747A">
                      <a:alpha val="43000"/>
                    </a:srgbClr>
                  </a:outerShdw>
                </a:effectLst>
                <a:latin typeface="Arial Rounded MT Bold" panose="020F0704030504030204" pitchFamily="34" charset="0"/>
              </a:rPr>
              <a:t> Duration</a:t>
            </a: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0.3557</cdr:x>
      <cdr:y>0.41842</cdr:y>
    </cdr:from>
    <cdr:to>
      <cdr:x>0.64691</cdr:x>
      <cdr:y>0.55082</cdr:y>
    </cdr:to>
    <cdr:sp macro="" textlink="Pivot!$B$2">
      <cdr:nvSpPr>
        <cdr:cNvPr id="2" name="TextBox 1"/>
        <cdr:cNvSpPr txBox="1"/>
      </cdr:nvSpPr>
      <cdr:spPr>
        <a:xfrm xmlns:a="http://schemas.openxmlformats.org/drawingml/2006/main">
          <a:off x="1372145" y="1195645"/>
          <a:ext cx="1123406" cy="378333"/>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C0162BCB-A8BF-41C1-9E1F-021540DA42C0}" type="TxLink">
            <a:rPr lang="en-US" sz="2400" b="1" i="0" u="none" strike="noStrike">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rPr>
            <a:pPr algn="ctr"/>
            <a:t>40.4%</a:t>
          </a:fld>
          <a:endParaRPr lang="en-US" sz="2400" b="1">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atin typeface="Agency FB" panose="020B050302020202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1</xdr:col>
      <xdr:colOff>47623</xdr:colOff>
      <xdr:row>9</xdr:row>
      <xdr:rowOff>142875</xdr:rowOff>
    </xdr:from>
    <xdr:to>
      <xdr:col>2</xdr:col>
      <xdr:colOff>114299</xdr:colOff>
      <xdr:row>17</xdr:row>
      <xdr:rowOff>95250</xdr:rowOff>
    </xdr:to>
    <xdr:sp macro="" textlink="">
      <xdr:nvSpPr>
        <xdr:cNvPr id="6" name="Wave 5">
          <a:extLst>
            <a:ext uri="{FF2B5EF4-FFF2-40B4-BE49-F238E27FC236}">
              <a16:creationId xmlns:a16="http://schemas.microsoft.com/office/drawing/2014/main" id="{00000000-0008-0000-0100-000006000000}"/>
            </a:ext>
          </a:extLst>
        </xdr:cNvPr>
        <xdr:cNvSpPr/>
      </xdr:nvSpPr>
      <xdr:spPr>
        <a:xfrm rot="5400000">
          <a:off x="776286" y="2290762"/>
          <a:ext cx="1476375" cy="609601"/>
        </a:xfrm>
        <a:prstGeom prst="wave">
          <a:avLst/>
        </a:prstGeom>
        <a:solidFill>
          <a:srgbClr val="00B0F0">
            <a:alpha val="7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571500</xdr:colOff>
      <xdr:row>9</xdr:row>
      <xdr:rowOff>123825</xdr:rowOff>
    </xdr:from>
    <xdr:to>
      <xdr:col>1</xdr:col>
      <xdr:colOff>19051</xdr:colOff>
      <xdr:row>17</xdr:row>
      <xdr:rowOff>76200</xdr:rowOff>
    </xdr:to>
    <xdr:sp macro="" textlink="">
      <xdr:nvSpPr>
        <xdr:cNvPr id="10" name="Wave 9">
          <a:extLst>
            <a:ext uri="{FF2B5EF4-FFF2-40B4-BE49-F238E27FC236}">
              <a16:creationId xmlns:a16="http://schemas.microsoft.com/office/drawing/2014/main" id="{00000000-0008-0000-0100-00000A000000}"/>
            </a:ext>
          </a:extLst>
        </xdr:cNvPr>
        <xdr:cNvSpPr/>
      </xdr:nvSpPr>
      <xdr:spPr>
        <a:xfrm rot="5400000">
          <a:off x="138113" y="2271712"/>
          <a:ext cx="1476375" cy="609601"/>
        </a:xfrm>
        <a:prstGeom prst="wave">
          <a:avLst/>
        </a:prstGeom>
        <a:noFill/>
        <a:ln w="6350">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55.74390277778" missingItemsLimit="0" createdVersion="5" refreshedVersion="8" minRefreshableVersion="3" recordCount="120" xr:uid="{00000000-000A-0000-FFFF-FFFF00000000}">
  <cacheSource type="worksheet">
    <worksheetSource ref="A1:H121" sheet="Data"/>
  </cacheSource>
  <cacheFields count="13">
    <cacheField name="Date" numFmtId="15">
      <sharedItems containsSemiMixedTypes="0" containsNonDate="0" containsDate="1" containsString="0" minDate="2022-01-01T00:00:00" maxDate="2022-05-01T00:00:00" count="12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sharedItems>
    </cacheField>
    <cacheField name="Week" numFmtId="0">
      <sharedItems containsSemiMixedTypes="0" containsString="0" containsNumber="1" containsInteger="1" minValue="1" maxValue="18" count="18">
        <n v="1"/>
        <n v="2"/>
        <n v="3"/>
        <n v="4"/>
        <n v="5"/>
        <n v="6"/>
        <n v="7"/>
        <n v="8"/>
        <n v="9"/>
        <n v="10"/>
        <n v="11"/>
        <n v="12"/>
        <n v="13"/>
        <n v="14"/>
        <n v="15"/>
        <n v="16"/>
        <n v="17"/>
        <n v="18"/>
      </sharedItems>
    </cacheField>
    <cacheField name="Month" numFmtId="0">
      <sharedItems count="4">
        <s v="Jan"/>
        <s v="Feb"/>
        <s v="Mar"/>
        <s v="Apr"/>
      </sharedItems>
    </cacheField>
    <cacheField name="Outbound call" numFmtId="0">
      <sharedItems containsSemiMixedTypes="0" containsString="0" containsNumber="1" containsInteger="1" minValue="201" maxValue="399"/>
    </cacheField>
    <cacheField name="Sales" numFmtId="0">
      <sharedItems containsSemiMixedTypes="0" containsString="0" containsNumber="1" containsInteger="1" minValue="100" maxValue="247"/>
    </cacheField>
    <cacheField name="Average Call Duration" numFmtId="0">
      <sharedItems containsSemiMixedTypes="0" containsString="0" containsNumber="1" containsInteger="1" minValue="300" maxValue="495"/>
    </cacheField>
    <cacheField name="Total Call Duration" numFmtId="0">
      <sharedItems containsSemiMixedTypes="0" containsString="0" containsNumber="1" containsInteger="1" minValue="67938" maxValue="193339"/>
    </cacheField>
    <cacheField name="Conversion" numFmtId="9">
      <sharedItems containsSemiMixedTypes="0" containsString="0" containsNumber="1" minValue="0.26178010471204188" maxValue="1.0421940928270041"/>
    </cacheField>
    <cacheField name="Sale Conversion" numFmtId="0" formula="Sales/'Outbound call'" databaseField="0"/>
    <cacheField name="Light Color" numFmtId="0" formula=" 1-'Sale Conversion'" databaseField="0"/>
    <cacheField name="Transparent Color" numFmtId="0" formula="1" databaseField="0"/>
    <cacheField name="Max Value" numFmtId="0" formula=" 1" databaseField="0"/>
    <cacheField name="ACD" numFmtId="0" formula="'Total Call Duration'/'Outbound call'"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n v="297"/>
    <n v="133"/>
    <n v="469"/>
    <n v="139293"/>
    <n v="0.44781144781144783"/>
  </r>
  <r>
    <x v="1"/>
    <x v="1"/>
    <x v="0"/>
    <n v="334"/>
    <n v="109"/>
    <n v="325"/>
    <n v="108550"/>
    <n v="0.32634730538922158"/>
  </r>
  <r>
    <x v="2"/>
    <x v="1"/>
    <x v="0"/>
    <n v="332"/>
    <n v="139"/>
    <n v="494"/>
    <n v="164008"/>
    <n v="0.41867469879518071"/>
  </r>
  <r>
    <x v="3"/>
    <x v="1"/>
    <x v="0"/>
    <n v="368"/>
    <n v="121"/>
    <n v="441"/>
    <n v="162288"/>
    <n v="0.32880434782608697"/>
  </r>
  <r>
    <x v="4"/>
    <x v="1"/>
    <x v="0"/>
    <n v="285"/>
    <n v="136"/>
    <n v="462"/>
    <n v="131670"/>
    <n v="0.47719298245614034"/>
  </r>
  <r>
    <x v="5"/>
    <x v="1"/>
    <x v="0"/>
    <n v="251"/>
    <n v="136"/>
    <n v="301"/>
    <n v="75551"/>
    <n v="0.54183266932270913"/>
  </r>
  <r>
    <x v="6"/>
    <x v="1"/>
    <x v="0"/>
    <n v="274"/>
    <n v="128"/>
    <n v="379"/>
    <n v="103846"/>
    <n v="0.46715328467153283"/>
  </r>
  <r>
    <x v="7"/>
    <x v="1"/>
    <x v="0"/>
    <n v="279"/>
    <n v="125"/>
    <n v="302"/>
    <n v="84258"/>
    <n v="0.44802867383512546"/>
  </r>
  <r>
    <x v="8"/>
    <x v="2"/>
    <x v="0"/>
    <n v="305"/>
    <n v="128"/>
    <n v="459"/>
    <n v="139995"/>
    <n v="0.41967213114754098"/>
  </r>
  <r>
    <x v="9"/>
    <x v="2"/>
    <x v="0"/>
    <n v="379"/>
    <n v="142"/>
    <n v="468"/>
    <n v="177372"/>
    <n v="0.37467018469656993"/>
  </r>
  <r>
    <x v="10"/>
    <x v="2"/>
    <x v="0"/>
    <n v="249"/>
    <n v="123"/>
    <n v="463"/>
    <n v="115287"/>
    <n v="0.49397590361445781"/>
  </r>
  <r>
    <x v="11"/>
    <x v="2"/>
    <x v="0"/>
    <n v="232"/>
    <n v="130"/>
    <n v="397"/>
    <n v="92104"/>
    <n v="0.56034482758620685"/>
  </r>
  <r>
    <x v="12"/>
    <x v="2"/>
    <x v="0"/>
    <n v="243"/>
    <n v="106"/>
    <n v="393"/>
    <n v="95499"/>
    <n v="0.43621399176954734"/>
  </r>
  <r>
    <x v="13"/>
    <x v="2"/>
    <x v="0"/>
    <n v="214"/>
    <n v="123"/>
    <n v="415"/>
    <n v="88810"/>
    <n v="0.57476635514018692"/>
  </r>
  <r>
    <x v="14"/>
    <x v="2"/>
    <x v="0"/>
    <n v="257"/>
    <n v="107"/>
    <n v="494"/>
    <n v="126958"/>
    <n v="0.41634241245136189"/>
  </r>
  <r>
    <x v="15"/>
    <x v="3"/>
    <x v="0"/>
    <n v="307"/>
    <n v="135"/>
    <n v="334"/>
    <n v="102538"/>
    <n v="0.43973941368078173"/>
  </r>
  <r>
    <x v="16"/>
    <x v="3"/>
    <x v="0"/>
    <n v="300"/>
    <n v="103"/>
    <n v="337"/>
    <n v="101100"/>
    <n v="0.34333333333333332"/>
  </r>
  <r>
    <x v="17"/>
    <x v="3"/>
    <x v="0"/>
    <n v="382"/>
    <n v="100"/>
    <n v="432"/>
    <n v="165024"/>
    <n v="0.26178010471204188"/>
  </r>
  <r>
    <x v="18"/>
    <x v="3"/>
    <x v="0"/>
    <n v="233"/>
    <n v="120"/>
    <n v="455"/>
    <n v="106015"/>
    <n v="0.51502145922746778"/>
  </r>
  <r>
    <x v="19"/>
    <x v="3"/>
    <x v="0"/>
    <n v="295"/>
    <n v="114"/>
    <n v="441"/>
    <n v="130095"/>
    <n v="0.38644067796610171"/>
  </r>
  <r>
    <x v="20"/>
    <x v="3"/>
    <x v="0"/>
    <n v="209"/>
    <n v="143"/>
    <n v="474"/>
    <n v="99066"/>
    <n v="0.68421052631578949"/>
  </r>
  <r>
    <x v="21"/>
    <x v="3"/>
    <x v="0"/>
    <n v="321"/>
    <n v="111"/>
    <n v="391"/>
    <n v="125511"/>
    <n v="0.34579439252336447"/>
  </r>
  <r>
    <x v="22"/>
    <x v="4"/>
    <x v="0"/>
    <n v="385"/>
    <n v="125"/>
    <n v="414"/>
    <n v="159390"/>
    <n v="0.32467532467532467"/>
  </r>
  <r>
    <x v="23"/>
    <x v="4"/>
    <x v="0"/>
    <n v="334"/>
    <n v="148"/>
    <n v="407"/>
    <n v="135938"/>
    <n v="0.44311377245508982"/>
  </r>
  <r>
    <x v="24"/>
    <x v="4"/>
    <x v="0"/>
    <n v="333"/>
    <n v="128"/>
    <n v="381"/>
    <n v="126873"/>
    <n v="0.38438438438438438"/>
  </r>
  <r>
    <x v="25"/>
    <x v="4"/>
    <x v="0"/>
    <n v="281"/>
    <n v="123"/>
    <n v="367"/>
    <n v="103127"/>
    <n v="0.4377224199288256"/>
  </r>
  <r>
    <x v="26"/>
    <x v="4"/>
    <x v="0"/>
    <n v="213"/>
    <n v="148"/>
    <n v="391"/>
    <n v="83283"/>
    <n v="0.69483568075117375"/>
  </r>
  <r>
    <x v="27"/>
    <x v="4"/>
    <x v="0"/>
    <n v="234"/>
    <n v="102"/>
    <n v="445"/>
    <n v="104130"/>
    <n v="0.4358974358974359"/>
  </r>
  <r>
    <x v="28"/>
    <x v="4"/>
    <x v="0"/>
    <n v="389"/>
    <n v="150"/>
    <n v="364"/>
    <n v="141596"/>
    <n v="0.38560411311053983"/>
  </r>
  <r>
    <x v="29"/>
    <x v="5"/>
    <x v="0"/>
    <n v="300"/>
    <n v="126"/>
    <n v="458"/>
    <n v="137400"/>
    <n v="0.42"/>
  </r>
  <r>
    <x v="30"/>
    <x v="5"/>
    <x v="0"/>
    <n v="346"/>
    <n v="140"/>
    <n v="458"/>
    <n v="158468"/>
    <n v="0.40462427745664742"/>
  </r>
  <r>
    <x v="31"/>
    <x v="5"/>
    <x v="1"/>
    <n v="383"/>
    <n v="144"/>
    <n v="370"/>
    <n v="141710"/>
    <n v="0.37597911227154046"/>
  </r>
  <r>
    <x v="32"/>
    <x v="5"/>
    <x v="1"/>
    <n v="297"/>
    <n v="149"/>
    <n v="335"/>
    <n v="99495"/>
    <n v="0.50168350168350173"/>
  </r>
  <r>
    <x v="33"/>
    <x v="5"/>
    <x v="1"/>
    <n v="359"/>
    <n v="120"/>
    <n v="451"/>
    <n v="161909"/>
    <n v="0.33426183844011143"/>
  </r>
  <r>
    <x v="34"/>
    <x v="5"/>
    <x v="1"/>
    <n v="210"/>
    <n v="120"/>
    <n v="344"/>
    <n v="72240"/>
    <n v="0.5714285714285714"/>
  </r>
  <r>
    <x v="35"/>
    <x v="5"/>
    <x v="1"/>
    <n v="301"/>
    <n v="162"/>
    <n v="495"/>
    <n v="148995"/>
    <n v="0.53820598006644516"/>
  </r>
  <r>
    <x v="36"/>
    <x v="6"/>
    <x v="1"/>
    <n v="289"/>
    <n v="121"/>
    <n v="349"/>
    <n v="100861"/>
    <n v="0.41868512110726641"/>
  </r>
  <r>
    <x v="37"/>
    <x v="6"/>
    <x v="1"/>
    <n v="277"/>
    <n v="141"/>
    <n v="315"/>
    <n v="87255"/>
    <n v="0.50902527075812276"/>
  </r>
  <r>
    <x v="38"/>
    <x v="6"/>
    <x v="1"/>
    <n v="343"/>
    <n v="152"/>
    <n v="340"/>
    <n v="116620"/>
    <n v="0.44314868804664725"/>
  </r>
  <r>
    <x v="39"/>
    <x v="6"/>
    <x v="1"/>
    <n v="289"/>
    <n v="140"/>
    <n v="341"/>
    <n v="98549"/>
    <n v="0.48442906574394462"/>
  </r>
  <r>
    <x v="40"/>
    <x v="6"/>
    <x v="1"/>
    <n v="358"/>
    <n v="118"/>
    <n v="378"/>
    <n v="135324"/>
    <n v="0.32960893854748602"/>
  </r>
  <r>
    <x v="41"/>
    <x v="6"/>
    <x v="1"/>
    <n v="203"/>
    <n v="131"/>
    <n v="493"/>
    <n v="100079"/>
    <n v="0.64532019704433496"/>
  </r>
  <r>
    <x v="42"/>
    <x v="6"/>
    <x v="1"/>
    <n v="286"/>
    <n v="126"/>
    <n v="300"/>
    <n v="85800"/>
    <n v="0.44055944055944057"/>
  </r>
  <r>
    <x v="43"/>
    <x v="7"/>
    <x v="1"/>
    <n v="318"/>
    <n v="124"/>
    <n v="357"/>
    <n v="113526"/>
    <n v="0.38993710691823902"/>
  </r>
  <r>
    <x v="44"/>
    <x v="7"/>
    <x v="1"/>
    <n v="233"/>
    <n v="127"/>
    <n v="338"/>
    <n v="78754"/>
    <n v="0.54506437768240346"/>
  </r>
  <r>
    <x v="45"/>
    <x v="7"/>
    <x v="1"/>
    <n v="273"/>
    <n v="142"/>
    <n v="390"/>
    <n v="106470"/>
    <n v="0.52014652014652019"/>
  </r>
  <r>
    <x v="46"/>
    <x v="7"/>
    <x v="1"/>
    <n v="256"/>
    <n v="169"/>
    <n v="470"/>
    <n v="120320"/>
    <n v="0.66015625"/>
  </r>
  <r>
    <x v="47"/>
    <x v="7"/>
    <x v="1"/>
    <n v="309"/>
    <n v="151"/>
    <n v="317"/>
    <n v="97953"/>
    <n v="0.48867313915857608"/>
  </r>
  <r>
    <x v="48"/>
    <x v="7"/>
    <x v="1"/>
    <n v="268"/>
    <n v="123"/>
    <n v="301"/>
    <n v="80668"/>
    <n v="0.45895522388059701"/>
  </r>
  <r>
    <x v="49"/>
    <x v="7"/>
    <x v="1"/>
    <n v="223"/>
    <n v="139"/>
    <n v="356"/>
    <n v="79388"/>
    <n v="0.62331838565022424"/>
  </r>
  <r>
    <x v="50"/>
    <x v="8"/>
    <x v="1"/>
    <n v="363"/>
    <n v="143"/>
    <n v="374"/>
    <n v="135762"/>
    <n v="0.39393939393939392"/>
  </r>
  <r>
    <x v="51"/>
    <x v="8"/>
    <x v="1"/>
    <n v="350"/>
    <n v="156"/>
    <n v="452"/>
    <n v="158200"/>
    <n v="0.44571428571428573"/>
  </r>
  <r>
    <x v="52"/>
    <x v="8"/>
    <x v="1"/>
    <n v="341"/>
    <n v="136"/>
    <n v="336"/>
    <n v="114576"/>
    <n v="0.39882697947214074"/>
  </r>
  <r>
    <x v="53"/>
    <x v="8"/>
    <x v="1"/>
    <n v="286"/>
    <n v="126"/>
    <n v="420"/>
    <n v="120120"/>
    <n v="0.44055944055944057"/>
  </r>
  <r>
    <x v="54"/>
    <x v="8"/>
    <x v="1"/>
    <n v="201"/>
    <n v="150"/>
    <n v="338"/>
    <n v="67938"/>
    <n v="0.74626865671641796"/>
  </r>
  <r>
    <x v="55"/>
    <x v="8"/>
    <x v="1"/>
    <n v="294"/>
    <n v="166"/>
    <n v="382"/>
    <n v="112308"/>
    <n v="0.56462585034013602"/>
  </r>
  <r>
    <x v="56"/>
    <x v="8"/>
    <x v="1"/>
    <n v="366"/>
    <n v="156"/>
    <n v="392"/>
    <n v="143472"/>
    <n v="0.42622950819672129"/>
  </r>
  <r>
    <x v="57"/>
    <x v="9"/>
    <x v="1"/>
    <n v="399"/>
    <n v="134"/>
    <n v="471"/>
    <n v="187929"/>
    <n v="0.33583959899749372"/>
  </r>
  <r>
    <x v="58"/>
    <x v="9"/>
    <x v="1"/>
    <n v="213"/>
    <n v="144"/>
    <n v="390"/>
    <n v="83070"/>
    <n v="0.676056338028169"/>
  </r>
  <r>
    <x v="59"/>
    <x v="9"/>
    <x v="2"/>
    <n v="201"/>
    <n v="135"/>
    <n v="383"/>
    <n v="76983"/>
    <n v="0.67164179104477617"/>
  </r>
  <r>
    <x v="60"/>
    <x v="9"/>
    <x v="2"/>
    <n v="313"/>
    <n v="125"/>
    <n v="465"/>
    <n v="145545"/>
    <n v="0.39936102236421728"/>
  </r>
  <r>
    <x v="61"/>
    <x v="9"/>
    <x v="2"/>
    <n v="350"/>
    <n v="143"/>
    <n v="483"/>
    <n v="169050"/>
    <n v="0.40857142857142859"/>
  </r>
  <r>
    <x v="62"/>
    <x v="9"/>
    <x v="2"/>
    <n v="353"/>
    <n v="155"/>
    <n v="372"/>
    <n v="131316"/>
    <n v="0.43909348441926344"/>
  </r>
  <r>
    <x v="63"/>
    <x v="9"/>
    <x v="2"/>
    <n v="387"/>
    <n v="135"/>
    <n v="454"/>
    <n v="175698"/>
    <n v="0.34883720930232559"/>
  </r>
  <r>
    <x v="64"/>
    <x v="10"/>
    <x v="2"/>
    <n v="224"/>
    <n v="133"/>
    <n v="456"/>
    <n v="102144"/>
    <n v="0.59375"/>
  </r>
  <r>
    <x v="65"/>
    <x v="10"/>
    <x v="2"/>
    <n v="347"/>
    <n v="182"/>
    <n v="402"/>
    <n v="139494"/>
    <n v="0.52449567723342938"/>
  </r>
  <r>
    <x v="66"/>
    <x v="10"/>
    <x v="2"/>
    <n v="331"/>
    <n v="136"/>
    <n v="379"/>
    <n v="125449"/>
    <n v="0.41087613293051362"/>
  </r>
  <r>
    <x v="67"/>
    <x v="10"/>
    <x v="2"/>
    <n v="391"/>
    <n v="146"/>
    <n v="432"/>
    <n v="168912"/>
    <n v="0.37340153452685421"/>
  </r>
  <r>
    <x v="68"/>
    <x v="10"/>
    <x v="2"/>
    <n v="322"/>
    <n v="131"/>
    <n v="415"/>
    <n v="133630"/>
    <n v="0.40683229813664595"/>
  </r>
  <r>
    <x v="69"/>
    <x v="10"/>
    <x v="2"/>
    <n v="357"/>
    <n v="131"/>
    <n v="362"/>
    <n v="129234"/>
    <n v="0.36694677871148457"/>
  </r>
  <r>
    <x v="70"/>
    <x v="10"/>
    <x v="2"/>
    <n v="288"/>
    <n v="171"/>
    <n v="371"/>
    <n v="106848"/>
    <n v="0.59375"/>
  </r>
  <r>
    <x v="71"/>
    <x v="11"/>
    <x v="2"/>
    <n v="346"/>
    <n v="176"/>
    <n v="303"/>
    <n v="104838"/>
    <n v="0.50867052023121384"/>
  </r>
  <r>
    <x v="72"/>
    <x v="11"/>
    <x v="2"/>
    <n v="245"/>
    <n v="148"/>
    <n v="494"/>
    <n v="121030"/>
    <n v="0.60408163265306125"/>
  </r>
  <r>
    <x v="73"/>
    <x v="11"/>
    <x v="2"/>
    <n v="257"/>
    <n v="182"/>
    <n v="396"/>
    <n v="101772"/>
    <n v="0.70817120622568097"/>
  </r>
  <r>
    <x v="74"/>
    <x v="11"/>
    <x v="2"/>
    <n v="245"/>
    <n v="151"/>
    <n v="339"/>
    <n v="83055"/>
    <n v="0.61632653061224485"/>
  </r>
  <r>
    <x v="75"/>
    <x v="11"/>
    <x v="2"/>
    <n v="257"/>
    <n v="126"/>
    <n v="468"/>
    <n v="120276"/>
    <n v="0.49027237354085601"/>
  </r>
  <r>
    <x v="76"/>
    <x v="11"/>
    <x v="2"/>
    <n v="320"/>
    <n v="177"/>
    <n v="419"/>
    <n v="134080"/>
    <n v="0.55312499999999998"/>
  </r>
  <r>
    <x v="77"/>
    <x v="11"/>
    <x v="2"/>
    <n v="332"/>
    <n v="163"/>
    <n v="473"/>
    <n v="157036"/>
    <n v="0.49096385542168675"/>
  </r>
  <r>
    <x v="78"/>
    <x v="12"/>
    <x v="2"/>
    <n v="318"/>
    <n v="170"/>
    <n v="470"/>
    <n v="149460"/>
    <n v="0.53459119496855345"/>
  </r>
  <r>
    <x v="79"/>
    <x v="12"/>
    <x v="2"/>
    <n v="232"/>
    <n v="143"/>
    <n v="323"/>
    <n v="74936"/>
    <n v="0.61637931034482762"/>
  </r>
  <r>
    <x v="80"/>
    <x v="12"/>
    <x v="2"/>
    <n v="392"/>
    <n v="171"/>
    <n v="336"/>
    <n v="131712"/>
    <n v="0.43622448979591838"/>
  </r>
  <r>
    <x v="81"/>
    <x v="12"/>
    <x v="2"/>
    <n v="246"/>
    <n v="133"/>
    <n v="326"/>
    <n v="80196"/>
    <n v="0.54065040650406504"/>
  </r>
  <r>
    <x v="82"/>
    <x v="12"/>
    <x v="2"/>
    <n v="345"/>
    <n v="133"/>
    <n v="423"/>
    <n v="145935"/>
    <n v="0.38550724637681161"/>
  </r>
  <r>
    <x v="83"/>
    <x v="12"/>
    <x v="2"/>
    <n v="382"/>
    <n v="126"/>
    <n v="310"/>
    <n v="118420"/>
    <n v="0.32984293193717279"/>
  </r>
  <r>
    <x v="84"/>
    <x v="12"/>
    <x v="2"/>
    <n v="279"/>
    <n v="153"/>
    <n v="381"/>
    <n v="106299"/>
    <n v="0.54838709677419351"/>
  </r>
  <r>
    <x v="85"/>
    <x v="13"/>
    <x v="2"/>
    <n v="371"/>
    <n v="152"/>
    <n v="462"/>
    <n v="171402"/>
    <n v="0.40970350404312667"/>
  </r>
  <r>
    <x v="86"/>
    <x v="13"/>
    <x v="2"/>
    <n v="257"/>
    <n v="157"/>
    <n v="414"/>
    <n v="106398"/>
    <n v="0.6108949416342413"/>
  </r>
  <r>
    <x v="87"/>
    <x v="13"/>
    <x v="2"/>
    <n v="256"/>
    <n v="151"/>
    <n v="479"/>
    <n v="122624"/>
    <n v="0.58984375"/>
  </r>
  <r>
    <x v="88"/>
    <x v="13"/>
    <x v="2"/>
    <n v="349"/>
    <n v="141"/>
    <n v="466"/>
    <n v="162634"/>
    <n v="0.4040114613180516"/>
  </r>
  <r>
    <x v="89"/>
    <x v="13"/>
    <x v="2"/>
    <n v="285"/>
    <n v="170"/>
    <n v="474"/>
    <n v="135090"/>
    <n v="0.59649122807017541"/>
  </r>
  <r>
    <x v="90"/>
    <x v="13"/>
    <x v="3"/>
    <n v="237"/>
    <n v="247"/>
    <n v="456"/>
    <n v="108072"/>
    <n v="1.0421940928270041"/>
  </r>
  <r>
    <x v="91"/>
    <x v="13"/>
    <x v="3"/>
    <n v="298"/>
    <n v="214"/>
    <n v="449"/>
    <n v="133802"/>
    <n v="0.71812080536912748"/>
  </r>
  <r>
    <x v="92"/>
    <x v="14"/>
    <x v="3"/>
    <n v="347"/>
    <n v="188"/>
    <n v="311"/>
    <n v="107917"/>
    <n v="0.5417867435158501"/>
  </r>
  <r>
    <x v="93"/>
    <x v="14"/>
    <x v="3"/>
    <n v="236"/>
    <n v="237"/>
    <n v="338"/>
    <n v="79768"/>
    <n v="1.0042372881355932"/>
  </r>
  <r>
    <x v="94"/>
    <x v="14"/>
    <x v="3"/>
    <n v="277"/>
    <n v="171"/>
    <n v="421"/>
    <n v="116617"/>
    <n v="0.61732851985559567"/>
  </r>
  <r>
    <x v="95"/>
    <x v="14"/>
    <x v="3"/>
    <n v="395"/>
    <n v="237"/>
    <n v="361"/>
    <n v="142595"/>
    <n v="0.6"/>
  </r>
  <r>
    <x v="96"/>
    <x v="14"/>
    <x v="3"/>
    <n v="379"/>
    <n v="216"/>
    <n v="321"/>
    <n v="121659"/>
    <n v="0.56992084432717682"/>
  </r>
  <r>
    <x v="97"/>
    <x v="14"/>
    <x v="3"/>
    <n v="332"/>
    <n v="219"/>
    <n v="306"/>
    <n v="101592"/>
    <n v="0.65963855421686746"/>
  </r>
  <r>
    <x v="98"/>
    <x v="14"/>
    <x v="3"/>
    <n v="331"/>
    <n v="169"/>
    <n v="336"/>
    <n v="111216"/>
    <n v="0.51057401812688818"/>
  </r>
  <r>
    <x v="99"/>
    <x v="15"/>
    <x v="3"/>
    <n v="253"/>
    <n v="164"/>
    <n v="409"/>
    <n v="103477"/>
    <n v="0.64822134387351782"/>
  </r>
  <r>
    <x v="100"/>
    <x v="15"/>
    <x v="3"/>
    <n v="327"/>
    <n v="164"/>
    <n v="314"/>
    <n v="102678"/>
    <n v="0.50152905198776754"/>
  </r>
  <r>
    <x v="101"/>
    <x v="15"/>
    <x v="3"/>
    <n v="286"/>
    <n v="223"/>
    <n v="471"/>
    <n v="134706"/>
    <n v="0.77972027972027969"/>
  </r>
  <r>
    <x v="102"/>
    <x v="15"/>
    <x v="3"/>
    <n v="315"/>
    <n v="195"/>
    <n v="471"/>
    <n v="148365"/>
    <n v="0.61904761904761907"/>
  </r>
  <r>
    <x v="103"/>
    <x v="15"/>
    <x v="3"/>
    <n v="300"/>
    <n v="213"/>
    <n v="377"/>
    <n v="113100"/>
    <n v="0.71"/>
  </r>
  <r>
    <x v="104"/>
    <x v="15"/>
    <x v="3"/>
    <n v="341"/>
    <n v="201"/>
    <n v="345"/>
    <n v="117645"/>
    <n v="0.58944281524926689"/>
  </r>
  <r>
    <x v="105"/>
    <x v="15"/>
    <x v="3"/>
    <n v="286"/>
    <n v="236"/>
    <n v="350"/>
    <n v="100100"/>
    <n v="0.82517482517482521"/>
  </r>
  <r>
    <x v="106"/>
    <x v="16"/>
    <x v="3"/>
    <n v="269"/>
    <n v="229"/>
    <n v="302"/>
    <n v="81238"/>
    <n v="0.85130111524163565"/>
  </r>
  <r>
    <x v="107"/>
    <x v="16"/>
    <x v="3"/>
    <n v="300"/>
    <n v="237"/>
    <n v="330"/>
    <n v="99000"/>
    <n v="0.79"/>
  </r>
  <r>
    <x v="108"/>
    <x v="16"/>
    <x v="3"/>
    <n v="300"/>
    <n v="206"/>
    <n v="391"/>
    <n v="117300"/>
    <n v="0.68666666666666665"/>
  </r>
  <r>
    <x v="109"/>
    <x v="16"/>
    <x v="3"/>
    <n v="385"/>
    <n v="204"/>
    <n v="450"/>
    <n v="173250"/>
    <n v="0.52987012987012982"/>
  </r>
  <r>
    <x v="110"/>
    <x v="16"/>
    <x v="3"/>
    <n v="272"/>
    <n v="183"/>
    <n v="421"/>
    <n v="114512"/>
    <n v="0.67279411764705888"/>
  </r>
  <r>
    <x v="111"/>
    <x v="16"/>
    <x v="3"/>
    <n v="358"/>
    <n v="192"/>
    <n v="480"/>
    <n v="171840"/>
    <n v="0.53631284916201116"/>
  </r>
  <r>
    <x v="112"/>
    <x v="16"/>
    <x v="3"/>
    <n v="354"/>
    <n v="164"/>
    <n v="421"/>
    <n v="149034"/>
    <n v="0.4632768361581921"/>
  </r>
  <r>
    <x v="113"/>
    <x v="17"/>
    <x v="3"/>
    <n v="395"/>
    <n v="196"/>
    <n v="350"/>
    <n v="138250"/>
    <n v="0.4962025316455696"/>
  </r>
  <r>
    <x v="114"/>
    <x v="17"/>
    <x v="3"/>
    <n v="397"/>
    <n v="216"/>
    <n v="487"/>
    <n v="193339"/>
    <n v="0.54408060453400509"/>
  </r>
  <r>
    <x v="115"/>
    <x v="17"/>
    <x v="3"/>
    <n v="300"/>
    <n v="234"/>
    <n v="472"/>
    <n v="141600"/>
    <n v="0.78"/>
  </r>
  <r>
    <x v="116"/>
    <x v="17"/>
    <x v="3"/>
    <n v="300"/>
    <n v="190"/>
    <n v="369"/>
    <n v="110700"/>
    <n v="0.6333333333333333"/>
  </r>
  <r>
    <x v="117"/>
    <x v="17"/>
    <x v="3"/>
    <n v="300"/>
    <n v="231"/>
    <n v="441"/>
    <n v="132300"/>
    <n v="0.77"/>
  </r>
  <r>
    <x v="118"/>
    <x v="17"/>
    <x v="3"/>
    <n v="344"/>
    <n v="178"/>
    <n v="303"/>
    <n v="104232"/>
    <n v="0.51744186046511631"/>
  </r>
  <r>
    <x v="119"/>
    <x v="17"/>
    <x v="3"/>
    <n v="354"/>
    <n v="186"/>
    <n v="308"/>
    <n v="109032"/>
    <n v="0.525423728813559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Outbound and Sale Table" cacheId="5" dataOnRows="1" applyNumberFormats="0" applyBorderFormats="0" applyFontFormats="0" applyPatternFormats="0" applyAlignmentFormats="0" applyWidthHeightFormats="1" dataCaption="Values" showError="1" updatedVersion="8" minRefreshableVersion="3" useAutoFormatting="1" itemPrintTitles="1" createdVersion="5" indent="0" outline="1" outlineData="1" multipleFieldFilters="0" chartFormat="9">
  <location ref="D1:E4" firstHeaderRow="1" firstDataRow="1" firstDataCol="1"/>
  <pivotFields count="13">
    <pivotField numFmtId="15"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h="1" x="110"/>
        <item x="111"/>
        <item x="112"/>
        <item x="113"/>
        <item x="114"/>
        <item x="115"/>
        <item x="116"/>
        <item x="117"/>
        <item x="118"/>
        <item x="119"/>
        <item t="default"/>
      </items>
    </pivotField>
    <pivotField showAll="0">
      <items count="19">
        <item h="1" x="0"/>
        <item h="1" x="1"/>
        <item h="1" x="2"/>
        <item x="3"/>
        <item h="1" x="4"/>
        <item h="1" x="5"/>
        <item h="1" x="6"/>
        <item h="1" x="7"/>
        <item h="1" x="8"/>
        <item h="1" x="9"/>
        <item h="1" x="10"/>
        <item h="1" x="11"/>
        <item h="1" x="12"/>
        <item h="1" x="13"/>
        <item h="1" x="14"/>
        <item h="1" x="15"/>
        <item h="1" x="16"/>
        <item h="1" x="17"/>
        <item t="default"/>
      </items>
    </pivotField>
    <pivotField showAll="0">
      <items count="5">
        <item x="0"/>
        <item h="1" x="1"/>
        <item h="1" x="2"/>
        <item h="1" x="3"/>
        <item t="default"/>
      </items>
    </pivotField>
    <pivotField dataField="1" showAll="0"/>
    <pivotField dataField="1" showAll="0"/>
    <pivotField showAll="0" defaultSubtotal="0"/>
    <pivotField showAll="0" defaultSubtotal="0"/>
    <pivotField numFmtId="9"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2"/>
  </rowFields>
  <rowItems count="3">
    <i>
      <x/>
    </i>
    <i i="1">
      <x v="1"/>
    </i>
    <i i="2">
      <x v="2"/>
    </i>
  </rowItems>
  <colItems count="1">
    <i/>
  </colItems>
  <dataFields count="3">
    <dataField name=" Outbound call" fld="3" baseField="0" baseItem="0"/>
    <dataField name=" Sales" fld="4" baseField="0" baseItem="0"/>
    <dataField name="Average Call Duration " fld="12" baseField="0" baseItem="0" numFmtId="1"/>
  </dataFields>
  <formats count="7">
    <format dxfId="260">
      <pivotArea type="all" dataOnly="0" outline="0" fieldPosition="0"/>
    </format>
    <format dxfId="259">
      <pivotArea outline="0" collapsedLevelsAreSubtotals="1" fieldPosition="0"/>
    </format>
    <format dxfId="258">
      <pivotArea dataOnly="0" labelOnly="1" outline="0" axis="axisValues" fieldPosition="0"/>
    </format>
    <format dxfId="257">
      <pivotArea type="all" dataOnly="0" outline="0" fieldPosition="0"/>
    </format>
    <format dxfId="256">
      <pivotArea outline="0" collapsedLevelsAreSubtotals="1" fieldPosition="0"/>
    </format>
    <format dxfId="255">
      <pivotArea dataOnly="0" labelOnly="1" outline="0" axis="axisValues" fieldPosition="0"/>
    </format>
    <format dxfId="254">
      <pivotArea outline="0" fieldPosition="0">
        <references count="1">
          <reference field="4294967294" count="1">
            <x v="2"/>
          </reference>
        </references>
      </pivotArea>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Conversion Chart Table" cacheId="5" dataOnRows="1" applyNumberFormats="0" applyBorderFormats="0" applyFontFormats="0" applyPatternFormats="0" applyAlignmentFormats="0" applyWidthHeightFormats="1" dataCaption="Values" showError="1" updatedVersion="8" minRefreshableVersion="3" useAutoFormatting="1" itemPrintTitles="1" createdVersion="5" indent="0" outline="1" outlineData="1" multipleFieldFilters="0" chartFormat="9">
  <location ref="A1:B4" firstHeaderRow="1" firstDataRow="1" firstDataCol="1"/>
  <pivotFields count="13">
    <pivotField numFmtId="15"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h="1" x="110"/>
        <item x="111"/>
        <item x="112"/>
        <item x="113"/>
        <item x="114"/>
        <item x="115"/>
        <item x="116"/>
        <item x="117"/>
        <item x="118"/>
        <item x="119"/>
        <item t="default"/>
      </items>
    </pivotField>
    <pivotField showAll="0">
      <items count="19">
        <item h="1" x="0"/>
        <item h="1" x="1"/>
        <item h="1" x="2"/>
        <item x="3"/>
        <item h="1" x="4"/>
        <item h="1" x="5"/>
        <item h="1" x="6"/>
        <item h="1" x="7"/>
        <item h="1" x="8"/>
        <item h="1" x="9"/>
        <item h="1" x="10"/>
        <item h="1" x="11"/>
        <item h="1" x="12"/>
        <item h="1" x="13"/>
        <item h="1" x="14"/>
        <item h="1" x="15"/>
        <item h="1" x="16"/>
        <item h="1" x="17"/>
        <item t="default"/>
      </items>
    </pivotField>
    <pivotField showAll="0">
      <items count="5">
        <item x="0"/>
        <item h="1" x="1"/>
        <item h="1" x="2"/>
        <item h="1" x="3"/>
        <item t="default"/>
      </items>
    </pivotField>
    <pivotField showAll="0"/>
    <pivotField showAll="0"/>
    <pivotField showAll="0" defaultSubtotal="0"/>
    <pivotField showAll="0" defaultSubtotal="0"/>
    <pivotField numFmtId="9" showAll="0"/>
    <pivotField dataField="1" dragToRow="0" dragToCol="0" dragToPage="0" showAll="0" defaultSubtotal="0"/>
    <pivotField dataField="1" dragToRow="0" dragToCol="0" dragToPage="0" showAll="0" defaultSubtotal="0"/>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3">
    <i>
      <x/>
    </i>
    <i i="1">
      <x v="1"/>
    </i>
    <i i="2">
      <x v="2"/>
    </i>
  </rowItems>
  <colItems count="1">
    <i/>
  </colItems>
  <dataFields count="3">
    <dataField name=" Sale Conversion" fld="8" baseField="0" baseItem="2616408" numFmtId="164"/>
    <dataField name=" Light Color" fld="9" baseField="0" baseItem="2616408" numFmtId="164"/>
    <dataField name=" Transparent Color" fld="10" baseField="0" baseItem="2" numFmtId="10"/>
  </dataFields>
  <formats count="9">
    <format dxfId="269">
      <pivotArea type="all" dataOnly="0" outline="0" fieldPosition="0"/>
    </format>
    <format dxfId="268">
      <pivotArea outline="0" collapsedLevelsAreSubtotals="1"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dataOnly="0" labelOnly="1" outline="0" axis="axisValues" fieldPosition="0"/>
    </format>
    <format dxfId="263">
      <pivotArea outline="0" fieldPosition="0">
        <references count="1">
          <reference field="4294967294" count="1">
            <x v="2"/>
          </reference>
        </references>
      </pivotArea>
    </format>
    <format dxfId="262">
      <pivotArea outline="0" fieldPosition="0">
        <references count="1">
          <reference field="4294967294" count="1">
            <x v="0"/>
          </reference>
        </references>
      </pivotArea>
    </format>
    <format dxfId="261">
      <pivotArea outline="0" fieldPosition="0">
        <references count="1">
          <reference field="4294967294" count="1">
            <x v="1"/>
          </reference>
        </references>
      </pivotArea>
    </format>
  </formats>
  <chartFormats count="4">
    <chartFormat chart="6" format="10" series="1">
      <pivotArea type="data" outline="0" fieldPosition="0">
        <references count="1">
          <reference field="4294967294" count="1" selected="0">
            <x v="0"/>
          </reference>
        </references>
      </pivotArea>
    </chartFormat>
    <chartFormat chart="6" format="11">
      <pivotArea type="data" outline="0" fieldPosition="0">
        <references count="1">
          <reference field="4294967294" count="1" selected="0">
            <x v="0"/>
          </reference>
        </references>
      </pivotArea>
    </chartFormat>
    <chartFormat chart="6" format="12">
      <pivotArea type="data" outline="0" fieldPosition="0">
        <references count="1">
          <reference field="4294967294" count="1" selected="0">
            <x v="1"/>
          </reference>
        </references>
      </pivotArea>
    </chartFormat>
    <chartFormat chart="6" format="13">
      <pivotArea type="data" outline="0" fieldPosition="0">
        <references count="1">
          <reference field="4294967294" count="1" selected="0">
            <x v="2"/>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Monthly chart Table" cacheId="5" applyNumberFormats="0" applyBorderFormats="0" applyFontFormats="0" applyPatternFormats="0" applyAlignmentFormats="0" applyWidthHeightFormats="1" dataCaption="Values" showError="1" updatedVersion="8" minRefreshableVersion="3" showDrill="0" useAutoFormatting="1" rowGrandTotals="0" colGrandTotals="0" itemPrintTitles="1" createdVersion="5" indent="0" compact="0" compactData="0" multipleFieldFilters="0" chartFormat="32">
  <location ref="P1:R5" firstHeaderRow="0" firstDataRow="1" firstDataCol="1"/>
  <pivotFields count="13">
    <pivotField compact="0" numFmtId="15" outline="0" showAll="0"/>
    <pivotField compact="0" outline="0" showAll="0"/>
    <pivotField axis="axisRow" compact="0" outline="0" showAll="0">
      <items count="5">
        <item x="0"/>
        <item x="1"/>
        <item x="2"/>
        <item x="3"/>
        <item t="default"/>
      </items>
    </pivotField>
    <pivotField compact="0" outline="0" showAll="0"/>
    <pivotField compact="0" outline="0" showAll="0"/>
    <pivotField compact="0" outline="0" showAll="0" defaultSubtotal="0"/>
    <pivotField compact="0" outline="0" showAll="0" defaultSubtotal="0"/>
    <pivotField compact="0" numFmtId="9"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s>
  <rowFields count="1">
    <field x="2"/>
  </rowFields>
  <rowItems count="4">
    <i>
      <x/>
    </i>
    <i>
      <x v="1"/>
    </i>
    <i>
      <x v="2"/>
    </i>
    <i>
      <x v="3"/>
    </i>
  </rowItems>
  <colFields count="1">
    <field x="-2"/>
  </colFields>
  <colItems count="2">
    <i>
      <x/>
    </i>
    <i i="1">
      <x v="1"/>
    </i>
  </colItems>
  <dataFields count="2">
    <dataField name=" Sale Conversion" fld="8" baseField="2" baseItem="0" numFmtId="164"/>
    <dataField name=" Max Value" fld="11" baseField="2" baseItem="0" numFmtId="10"/>
  </dataFields>
  <formats count="8">
    <format dxfId="277">
      <pivotArea type="all" dataOnly="0" outline="0" fieldPosition="0"/>
    </format>
    <format dxfId="276">
      <pivotArea outline="0" collapsedLevelsAreSubtotals="1"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dataOnly="0" labelOnly="1" outline="0" axis="axisValues" fieldPosition="0"/>
    </format>
    <format dxfId="271">
      <pivotArea outline="0" fieldPosition="0">
        <references count="1">
          <reference field="4294967294" count="1">
            <x v="0"/>
          </reference>
        </references>
      </pivotArea>
    </format>
    <format dxfId="270">
      <pivotArea outline="0" fieldPosition="0">
        <references count="1">
          <reference field="4294967294" count="1">
            <x v="1"/>
          </reference>
        </references>
      </pivotArea>
    </format>
  </formats>
  <chartFormats count="6">
    <chartFormat chart="28" format="13" series="1">
      <pivotArea type="data" outline="0" fieldPosition="0">
        <references count="1">
          <reference field="4294967294" count="1" selected="0">
            <x v="0"/>
          </reference>
        </references>
      </pivotArea>
    </chartFormat>
    <chartFormat chart="28" format="14" series="1">
      <pivotArea type="data" outline="0" fieldPosition="0">
        <references count="1">
          <reference field="4294967294" count="1" selected="0">
            <x v="1"/>
          </reference>
        </references>
      </pivotArea>
    </chartFormat>
    <chartFormat chart="28" format="15">
      <pivotArea type="data" outline="0" fieldPosition="0">
        <references count="2">
          <reference field="4294967294" count="1" selected="0">
            <x v="1"/>
          </reference>
          <reference field="2" count="1" selected="0">
            <x v="0"/>
          </reference>
        </references>
      </pivotArea>
    </chartFormat>
    <chartFormat chart="28" format="16">
      <pivotArea type="data" outline="0" fieldPosition="0">
        <references count="2">
          <reference field="4294967294" count="1" selected="0">
            <x v="1"/>
          </reference>
          <reference field="2" count="1" selected="0">
            <x v="1"/>
          </reference>
        </references>
      </pivotArea>
    </chartFormat>
    <chartFormat chart="28" format="17">
      <pivotArea type="data" outline="0" fieldPosition="0">
        <references count="2">
          <reference field="4294967294" count="1" selected="0">
            <x v="1"/>
          </reference>
          <reference field="2" count="1" selected="0">
            <x v="2"/>
          </reference>
        </references>
      </pivotArea>
    </chartFormat>
    <chartFormat chart="28" format="18">
      <pivotArea type="data" outline="0" fieldPosition="0">
        <references count="2">
          <reference field="4294967294" count="1" selected="0">
            <x v="1"/>
          </reference>
          <reference field="2" count="1" selected="0">
            <x v="3"/>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Weekly chart" cacheId="5" applyNumberFormats="0" applyBorderFormats="0" applyFontFormats="0" applyPatternFormats="0" applyAlignmentFormats="0" applyWidthHeightFormats="1" dataCaption="Values" showError="1" updatedVersion="8" minRefreshableVersion="3" useAutoFormatting="1" rowGrandTotals="0" colGrandTotals="0" itemPrintTitles="1" createdVersion="5" indent="0" compact="0" compactData="0" multipleFieldFilters="0" chartFormat="24">
  <location ref="L1:N7" firstHeaderRow="0" firstDataRow="1" firstDataCol="1"/>
  <pivotFields count="13">
    <pivotField compact="0" numFmtId="15" outline="0" showAll="0"/>
    <pivotField axis="axisRow" compact="0" outline="0" showAll="0">
      <items count="19">
        <item x="0"/>
        <item x="1"/>
        <item x="2"/>
        <item x="3"/>
        <item x="4"/>
        <item x="5"/>
        <item x="6"/>
        <item x="7"/>
        <item x="8"/>
        <item x="9"/>
        <item x="10"/>
        <item x="11"/>
        <item x="12"/>
        <item x="13"/>
        <item x="14"/>
        <item x="15"/>
        <item x="16"/>
        <item x="17"/>
        <item t="default"/>
      </items>
    </pivotField>
    <pivotField compact="0" outline="0" showAll="0">
      <items count="5">
        <item x="0"/>
        <item h="1" x="1"/>
        <item h="1" x="2"/>
        <item h="1" x="3"/>
        <item t="default"/>
      </items>
    </pivotField>
    <pivotField dataField="1" compact="0" outline="0" showAll="0"/>
    <pivotField dataField="1" compact="0" outline="0" showAll="0"/>
    <pivotField compact="0" outline="0" showAll="0" defaultSubtotal="0"/>
    <pivotField compact="0" outline="0" showAll="0" defaultSubtotal="0"/>
    <pivotField compact="0" numFmtId="9"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1"/>
  </rowFields>
  <rowItems count="6">
    <i>
      <x/>
    </i>
    <i>
      <x v="1"/>
    </i>
    <i>
      <x v="2"/>
    </i>
    <i>
      <x v="3"/>
    </i>
    <i>
      <x v="4"/>
    </i>
    <i>
      <x v="5"/>
    </i>
  </rowItems>
  <colFields count="1">
    <field x="-2"/>
  </colFields>
  <colItems count="2">
    <i>
      <x/>
    </i>
    <i i="1">
      <x v="1"/>
    </i>
  </colItems>
  <dataFields count="2">
    <dataField name=" Outbound call" fld="3" baseField="0" baseItem="0"/>
    <dataField name=" Sales" fld="4" baseField="0" baseItem="0"/>
  </dataFields>
  <formats count="6">
    <format dxfId="283">
      <pivotArea type="all" dataOnly="0" outline="0" fieldPosition="0"/>
    </format>
    <format dxfId="282">
      <pivotArea outline="0" collapsedLevelsAreSubtotals="1" fieldPosition="0"/>
    </format>
    <format dxfId="281">
      <pivotArea dataOnly="0" labelOnly="1" outline="0" axis="axisValues" fieldPosition="0"/>
    </format>
    <format dxfId="280">
      <pivotArea type="all" dataOnly="0" outline="0" fieldPosition="0"/>
    </format>
    <format dxfId="279">
      <pivotArea outline="0" collapsedLevelsAreSubtotals="1" fieldPosition="0"/>
    </format>
    <format dxfId="278">
      <pivotArea dataOnly="0" labelOnly="1" outline="0" axis="axisValues" fieldPosition="0"/>
    </format>
  </formats>
  <chartFormats count="2">
    <chartFormat chart="17" format="9"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1"/>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1000000}" sourceName="Date">
  <pivotTables>
    <pivotTable tabId="2" name="Conversion Chart Table"/>
    <pivotTable tabId="2" name="Outbound and Sale Table"/>
  </pivotTables>
  <data>
    <tabular pivotCacheId="1">
      <items count="120">
        <i x="15" s="1"/>
        <i x="16" s="1"/>
        <i x="17" s="1"/>
        <i x="18" s="1"/>
        <i x="19" s="1"/>
        <i x="20" s="1"/>
        <i x="21" s="1"/>
        <i x="0" s="1" nd="1"/>
        <i x="1" s="1" nd="1"/>
        <i x="2" s="1" nd="1"/>
        <i x="3" s="1" nd="1"/>
        <i x="4" s="1" nd="1"/>
        <i x="5" s="1" nd="1"/>
        <i x="6" s="1" nd="1"/>
        <i x="7" s="1" nd="1"/>
        <i x="8" s="1" nd="1"/>
        <i x="9" s="1" nd="1"/>
        <i x="10" s="1" nd="1"/>
        <i x="11" s="1" nd="1"/>
        <i x="12" s="1" nd="1"/>
        <i x="13" s="1" nd="1"/>
        <i x="14"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nd="1"/>
        <i x="111" s="1" nd="1"/>
        <i x="112" s="1" nd="1"/>
        <i x="113" s="1" nd="1"/>
        <i x="114" s="1" nd="1"/>
        <i x="115" s="1" nd="1"/>
        <i x="116" s="1" nd="1"/>
        <i x="117" s="1" nd="1"/>
        <i x="118" s="1" nd="1"/>
        <i x="119"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 xr10:uid="{00000000-0013-0000-FFFF-FFFF02000000}" sourceName="Week">
  <pivotTables>
    <pivotTable tabId="2" name="Conversion Chart Table"/>
    <pivotTable tabId="2" name="Outbound and Sale Table"/>
  </pivotTables>
  <data>
    <tabular pivotCacheId="1">
      <items count="18">
        <i x="0"/>
        <i x="1"/>
        <i x="2"/>
        <i x="3" s="1"/>
        <i x="4"/>
        <i x="5"/>
        <i x="6" nd="1"/>
        <i x="7" nd="1"/>
        <i x="8" nd="1"/>
        <i x="9" nd="1"/>
        <i x="10" nd="1"/>
        <i x="11" nd="1"/>
        <i x="12" nd="1"/>
        <i x="13" nd="1"/>
        <i x="14" nd="1"/>
        <i x="15" nd="1"/>
        <i x="16" nd="1"/>
        <i x="17"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3000000}" sourceName="Month">
  <pivotTables>
    <pivotTable tabId="2" name="Conversion Chart Table"/>
    <pivotTable tabId="2" name="Outbound and Sale Table"/>
    <pivotTable tabId="2" name="Weekly chart"/>
  </pivotTables>
  <data>
    <tabular pivotCacheId="1">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0000000-0014-0000-FFFF-FFFF01000000}" cache="Slicer_Date" caption="Date" startItem="106" style="SlicerStyleDark5 2" rowHeight="241300"/>
  <slicer name="Week" xr10:uid="{00000000-0014-0000-FFFF-FFFF02000000}" cache="Slicer_Week" caption="Week" columnCount="2" style="SlicerStyleDark5 2" rowHeight="241300"/>
  <slicer name="Month" xr10:uid="{00000000-0014-0000-FFFF-FFFF03000000}" cache="Slicer_Month" caption="Month" columnCount="2" style="SlicerStyleDark5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H121" totalsRowShown="0" headerRowDxfId="253" headerRowBorderDxfId="252" tableBorderDxfId="251" totalsRowBorderDxfId="250">
  <tableColumns count="8">
    <tableColumn id="1" xr3:uid="{00000000-0010-0000-0000-000001000000}" name="Date" dataDxfId="249"/>
    <tableColumn id="2" xr3:uid="{00000000-0010-0000-0000-000002000000}" name="Week" dataDxfId="248">
      <calculatedColumnFormula>WEEKNUM(A2)</calculatedColumnFormula>
    </tableColumn>
    <tableColumn id="3" xr3:uid="{00000000-0010-0000-0000-000003000000}" name="Month" dataDxfId="247">
      <calculatedColumnFormula>TEXT(A2,"MMM")</calculatedColumnFormula>
    </tableColumn>
    <tableColumn id="4" xr3:uid="{00000000-0010-0000-0000-000004000000}" name="Outbound call" dataDxfId="246"/>
    <tableColumn id="5" xr3:uid="{00000000-0010-0000-0000-000005000000}" name="Sales" dataDxfId="245"/>
    <tableColumn id="7" xr3:uid="{00000000-0010-0000-0000-000007000000}" name="Average Call Duration" dataDxfId="244">
      <calculatedColumnFormula>RANDBETWEEN(300,500)</calculatedColumnFormula>
    </tableColumn>
    <tableColumn id="8" xr3:uid="{00000000-0010-0000-0000-000008000000}" name="Total Call Duration" dataDxfId="243">
      <calculatedColumnFormula>Table1[[#This Row],[Outbound call]]*Table1[[#This Row],[Average Call Duration]]</calculatedColumnFormula>
    </tableColumn>
    <tableColumn id="6" xr3:uid="{00000000-0010-0000-0000-000006000000}" name="Conversion" dataDxfId="242">
      <calculatedColumnFormula>E2/D2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3.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
  <sheetViews>
    <sheetView showGridLines="0" showRowColHeaders="0" tabSelected="1" workbookViewId="0">
      <selection activeCell="E4" sqref="E4"/>
    </sheetView>
  </sheetViews>
  <sheetFormatPr defaultColWidth="0" defaultRowHeight="15" x14ac:dyDescent="0.25"/>
  <cols>
    <col min="1" max="20" width="9.140625" customWidth="1"/>
    <col min="21" max="21" width="4.28515625" customWidth="1"/>
    <col min="22" max="16384" width="9.140625" hidden="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7"/>
  <sheetViews>
    <sheetView showGridLines="0" workbookViewId="0">
      <selection activeCell="A3" sqref="A3"/>
    </sheetView>
  </sheetViews>
  <sheetFormatPr defaultRowHeight="15" x14ac:dyDescent="0.25"/>
  <cols>
    <col min="1" max="1" width="17.42578125" customWidth="1"/>
    <col min="2" max="2" width="8.140625" customWidth="1"/>
    <col min="3" max="3" width="13.5703125" customWidth="1"/>
    <col min="4" max="4" width="20.85546875" customWidth="1"/>
    <col min="5" max="5" width="5" bestFit="1" customWidth="1"/>
    <col min="6" max="6" width="4" customWidth="1"/>
    <col min="7" max="7" width="5.85546875" customWidth="1"/>
    <col min="8" max="10" width="4" customWidth="1"/>
    <col min="11" max="11" width="5" customWidth="1"/>
    <col min="12" max="12" width="10.7109375" customWidth="1"/>
    <col min="13" max="13" width="14" customWidth="1"/>
    <col min="14" max="14" width="6" customWidth="1"/>
    <col min="15" max="15" width="15.7109375" customWidth="1"/>
    <col min="16" max="16" width="11.42578125" customWidth="1"/>
    <col min="17" max="17" width="15.7109375" customWidth="1"/>
    <col min="18" max="18" width="10.7109375" customWidth="1"/>
    <col min="19" max="19" width="6" bestFit="1" customWidth="1"/>
    <col min="20" max="22" width="5" customWidth="1"/>
    <col min="23" max="25" width="4" customWidth="1"/>
    <col min="26" max="28" width="5" customWidth="1"/>
    <col min="29" max="29" width="4" customWidth="1"/>
    <col min="30" max="32" width="5" customWidth="1"/>
    <col min="33" max="34" width="4" customWidth="1"/>
    <col min="35" max="38" width="5" customWidth="1"/>
    <col min="39" max="39" width="4" customWidth="1"/>
    <col min="40" max="40" width="5" customWidth="1"/>
    <col min="41" max="44" width="4" customWidth="1"/>
    <col min="45" max="45" width="5" customWidth="1"/>
    <col min="46" max="49" width="4" customWidth="1"/>
    <col min="50" max="52" width="5" customWidth="1"/>
    <col min="53" max="54" width="4" customWidth="1"/>
    <col min="55" max="55" width="11.140625" customWidth="1"/>
    <col min="56" max="56" width="5.85546875" customWidth="1"/>
    <col min="57" max="57" width="8.85546875" customWidth="1"/>
    <col min="58" max="58" width="5.85546875" customWidth="1"/>
    <col min="59" max="59" width="8.85546875" customWidth="1"/>
    <col min="60" max="61" width="5.85546875" customWidth="1"/>
    <col min="62" max="62" width="8.85546875" customWidth="1"/>
    <col min="63" max="64" width="5.85546875" customWidth="1"/>
    <col min="65" max="65" width="8.85546875" customWidth="1"/>
    <col min="66" max="66" width="5.85546875" customWidth="1"/>
    <col min="67" max="67" width="8.85546875" customWidth="1"/>
    <col min="68" max="69" width="5.85546875" customWidth="1"/>
    <col min="70" max="70" width="8.85546875" customWidth="1"/>
    <col min="71" max="71" width="5.85546875" customWidth="1"/>
    <col min="72" max="72" width="8.85546875" customWidth="1"/>
    <col min="73" max="73" width="5.85546875" customWidth="1"/>
    <col min="74" max="74" width="8.85546875" customWidth="1"/>
    <col min="75" max="75" width="5.85546875" customWidth="1"/>
    <col min="76" max="76" width="8.85546875" customWidth="1"/>
    <col min="77" max="78" width="5.85546875" customWidth="1"/>
    <col min="79" max="79" width="8.85546875" customWidth="1"/>
    <col min="80" max="83" width="5.85546875" customWidth="1"/>
    <col min="84" max="84" width="8.85546875" customWidth="1"/>
    <col min="85" max="85" width="5.85546875" customWidth="1"/>
    <col min="86" max="86" width="8.85546875" customWidth="1"/>
    <col min="87" max="87" width="5.85546875" customWidth="1"/>
    <col min="88" max="88" width="8.85546875" customWidth="1"/>
    <col min="89" max="89" width="5.85546875" customWidth="1"/>
    <col min="90" max="90" width="8.85546875" customWidth="1"/>
    <col min="91" max="91" width="5.85546875" customWidth="1"/>
    <col min="92" max="92" width="8.85546875" customWidth="1"/>
    <col min="93" max="93" width="5.85546875" customWidth="1"/>
    <col min="94" max="94" width="8.85546875" customWidth="1"/>
    <col min="95" max="95" width="5.85546875" customWidth="1"/>
    <col min="96" max="96" width="8.85546875" customWidth="1"/>
    <col min="97" max="97" width="5.85546875" customWidth="1"/>
    <col min="98" max="98" width="8.85546875" customWidth="1"/>
    <col min="99" max="100" width="5.85546875" customWidth="1"/>
    <col min="101" max="101" width="8.85546875" customWidth="1"/>
    <col min="102" max="102" width="5.85546875" customWidth="1"/>
    <col min="103" max="103" width="8.85546875" customWidth="1"/>
    <col min="104" max="105" width="5.85546875" customWidth="1"/>
    <col min="106" max="106" width="8.85546875" customWidth="1"/>
    <col min="107" max="108" width="5.85546875" customWidth="1"/>
    <col min="109" max="109" width="8.85546875" customWidth="1"/>
    <col min="110" max="113" width="5.85546875" customWidth="1"/>
    <col min="114" max="114" width="8.85546875" customWidth="1"/>
    <col min="115" max="115" width="5.85546875" customWidth="1"/>
    <col min="116" max="116" width="8.85546875" customWidth="1"/>
    <col min="117" max="117" width="5.85546875" customWidth="1"/>
    <col min="118" max="118" width="8.85546875" customWidth="1"/>
    <col min="119" max="119" width="5.85546875" customWidth="1"/>
    <col min="120" max="120" width="8.85546875" customWidth="1"/>
    <col min="121" max="124" width="5.85546875" customWidth="1"/>
    <col min="125" max="125" width="8.85546875" customWidth="1"/>
    <col min="126" max="126" width="5.85546875" customWidth="1"/>
    <col min="127" max="127" width="8.85546875" customWidth="1"/>
    <col min="128" max="129" width="5.85546875" customWidth="1"/>
    <col min="130" max="130" width="8.85546875" customWidth="1"/>
    <col min="131" max="131" width="5.85546875" customWidth="1"/>
    <col min="132" max="132" width="8.85546875" customWidth="1"/>
    <col min="133" max="133" width="5.85546875" customWidth="1"/>
    <col min="134" max="134" width="8.85546875" customWidth="1"/>
    <col min="135" max="135" width="5.85546875" customWidth="1"/>
    <col min="136" max="136" width="8.85546875" customWidth="1"/>
    <col min="137" max="138" width="5.85546875" customWidth="1"/>
    <col min="139" max="139" width="8.85546875" customWidth="1"/>
    <col min="140" max="142" width="5.85546875" customWidth="1"/>
    <col min="143" max="143" width="8.85546875" customWidth="1"/>
    <col min="144" max="144" width="5.85546875" customWidth="1"/>
    <col min="145" max="145" width="8.85546875" customWidth="1"/>
    <col min="146" max="148" width="5.85546875" customWidth="1"/>
    <col min="149" max="149" width="8.85546875" customWidth="1"/>
    <col min="150" max="150" width="5.85546875" customWidth="1"/>
    <col min="151" max="151" width="8.85546875" customWidth="1"/>
    <col min="152" max="152" width="5.85546875" customWidth="1"/>
    <col min="153" max="153" width="8.85546875" customWidth="1"/>
    <col min="154" max="154" width="5.85546875" customWidth="1"/>
    <col min="155" max="155" width="8.85546875" customWidth="1"/>
    <col min="156" max="156" width="5.85546875" customWidth="1"/>
    <col min="157" max="157" width="8.85546875" customWidth="1"/>
    <col min="158" max="158" width="5.85546875" customWidth="1"/>
    <col min="159" max="159" width="8.85546875" customWidth="1"/>
    <col min="160" max="160" width="5.85546875" customWidth="1"/>
    <col min="161" max="161" width="8.85546875" customWidth="1"/>
    <col min="162" max="162" width="5.85546875" customWidth="1"/>
    <col min="163" max="163" width="8.85546875" customWidth="1"/>
    <col min="164" max="166" width="5.85546875" customWidth="1"/>
    <col min="167" max="167" width="8.85546875" customWidth="1"/>
    <col min="168" max="168" width="5.85546875" customWidth="1"/>
    <col min="169" max="169" width="8.85546875" customWidth="1"/>
    <col min="170" max="171" width="5.85546875" customWidth="1"/>
    <col min="172" max="172" width="8.85546875" customWidth="1"/>
    <col min="173" max="173" width="5.85546875" customWidth="1"/>
    <col min="174" max="174" width="8.85546875" customWidth="1"/>
    <col min="175" max="175" width="5.85546875" customWidth="1"/>
    <col min="176" max="176" width="8.85546875" customWidth="1"/>
    <col min="177" max="177" width="5.85546875" customWidth="1"/>
    <col min="178" max="178" width="8.85546875" customWidth="1"/>
    <col min="179" max="180" width="5.85546875" customWidth="1"/>
    <col min="181" max="181" width="8.85546875" customWidth="1"/>
    <col min="182" max="184" width="5.85546875" customWidth="1"/>
    <col min="185" max="185" width="8.85546875" customWidth="1"/>
    <col min="186" max="188" width="5.85546875" customWidth="1"/>
    <col min="189" max="189" width="8.85546875" customWidth="1"/>
    <col min="190" max="193" width="5.85546875" customWidth="1"/>
    <col min="194" max="194" width="8.85546875" customWidth="1"/>
    <col min="195" max="195" width="5.85546875" customWidth="1"/>
    <col min="196" max="196" width="8.85546875" customWidth="1"/>
    <col min="197" max="198" width="5.85546875" customWidth="1"/>
    <col min="199" max="199" width="8.85546875" customWidth="1"/>
    <col min="200" max="200" width="5.85546875" customWidth="1"/>
    <col min="201" max="201" width="8.85546875" customWidth="1"/>
    <col min="202" max="203" width="5.85546875" customWidth="1"/>
    <col min="204" max="204" width="8.85546875" customWidth="1"/>
    <col min="205" max="205" width="5.85546875" customWidth="1"/>
    <col min="206" max="206" width="8.85546875" customWidth="1"/>
    <col min="207" max="207" width="5.85546875" customWidth="1"/>
    <col min="208" max="208" width="8.85546875" customWidth="1"/>
    <col min="209" max="210" width="5.85546875" customWidth="1"/>
    <col min="211" max="211" width="8.85546875" customWidth="1"/>
    <col min="212" max="213" width="5.85546875" customWidth="1"/>
    <col min="214" max="214" width="8.85546875" customWidth="1"/>
    <col min="215" max="216" width="5.85546875" customWidth="1"/>
    <col min="217" max="217" width="8.85546875" customWidth="1"/>
    <col min="218" max="218" width="5.85546875" customWidth="1"/>
    <col min="219" max="219" width="8.85546875" customWidth="1"/>
    <col min="220" max="220" width="5.85546875" customWidth="1"/>
    <col min="221" max="221" width="8.85546875" customWidth="1"/>
    <col min="222" max="223" width="5.85546875" customWidth="1"/>
    <col min="224" max="224" width="8.85546875" customWidth="1"/>
    <col min="225" max="225" width="5.85546875" customWidth="1"/>
    <col min="226" max="226" width="8.85546875" customWidth="1"/>
    <col min="227" max="228" width="5.85546875" customWidth="1"/>
    <col min="229" max="229" width="8.85546875" customWidth="1"/>
    <col min="230" max="230" width="5.85546875" customWidth="1"/>
    <col min="231" max="231" width="8.85546875" customWidth="1"/>
    <col min="232" max="233" width="5.85546875" customWidth="1"/>
    <col min="234" max="234" width="8.85546875" customWidth="1"/>
    <col min="235" max="236" width="5.85546875" customWidth="1"/>
    <col min="237" max="237" width="8.85546875" customWidth="1"/>
    <col min="238" max="238" width="5.85546875" customWidth="1"/>
    <col min="239" max="239" width="8.85546875" customWidth="1"/>
    <col min="240" max="241" width="5.85546875" customWidth="1"/>
    <col min="242" max="242" width="8.85546875" customWidth="1"/>
    <col min="243" max="243" width="5.85546875" customWidth="1"/>
    <col min="244" max="244" width="8.85546875" customWidth="1"/>
    <col min="245" max="245" width="5.85546875" customWidth="1"/>
    <col min="246" max="246" width="8.85546875" customWidth="1"/>
    <col min="247" max="247" width="5.85546875" customWidth="1"/>
    <col min="248" max="248" width="8.85546875" customWidth="1"/>
    <col min="249" max="249" width="5.85546875" customWidth="1"/>
    <col min="250" max="250" width="8.85546875" customWidth="1"/>
    <col min="251" max="251" width="5.85546875" customWidth="1"/>
    <col min="252" max="252" width="8.85546875" customWidth="1"/>
    <col min="253" max="254" width="5.85546875" customWidth="1"/>
    <col min="255" max="255" width="8.85546875" customWidth="1"/>
    <col min="256" max="256" width="5.85546875" customWidth="1"/>
    <col min="257" max="257" width="8.85546875" customWidth="1"/>
    <col min="258" max="259" width="5.85546875" customWidth="1"/>
    <col min="260" max="260" width="8.85546875" customWidth="1"/>
    <col min="261" max="264" width="5.85546875" customWidth="1"/>
    <col min="265" max="265" width="8.85546875" customWidth="1"/>
    <col min="266" max="266" width="5.85546875" customWidth="1"/>
    <col min="267" max="267" width="8.85546875" customWidth="1"/>
    <col min="268" max="269" width="5.85546875" customWidth="1"/>
    <col min="270" max="270" width="8.85546875" customWidth="1"/>
    <col min="271" max="271" width="5.85546875" customWidth="1"/>
    <col min="272" max="272" width="8.85546875" customWidth="1"/>
    <col min="273" max="275" width="5.85546875" customWidth="1"/>
    <col min="276" max="276" width="8.85546875" customWidth="1"/>
    <col min="277" max="277" width="5.85546875" customWidth="1"/>
    <col min="278" max="278" width="8.85546875" customWidth="1"/>
    <col min="279" max="279" width="5.85546875" customWidth="1"/>
    <col min="280" max="280" width="8.85546875" customWidth="1"/>
    <col min="281" max="281" width="5.85546875" customWidth="1"/>
    <col min="282" max="282" width="8.85546875" customWidth="1"/>
    <col min="283" max="283" width="5.85546875" customWidth="1"/>
    <col min="284" max="284" width="8.85546875" customWidth="1"/>
    <col min="285" max="286" width="5.85546875" customWidth="1"/>
    <col min="287" max="287" width="8.85546875" customWidth="1"/>
    <col min="288" max="288" width="5.85546875" customWidth="1"/>
    <col min="289" max="289" width="8.85546875" customWidth="1"/>
    <col min="290" max="290" width="5.85546875" customWidth="1"/>
    <col min="291" max="291" width="8.85546875" customWidth="1"/>
    <col min="292" max="292" width="5.85546875" customWidth="1"/>
    <col min="293" max="293" width="8.85546875" customWidth="1"/>
    <col min="294" max="294" width="11.140625" bestFit="1" customWidth="1"/>
  </cols>
  <sheetData>
    <row r="1" spans="1:18" x14ac:dyDescent="0.25">
      <c r="A1" s="6" t="s">
        <v>9</v>
      </c>
      <c r="B1" s="1"/>
      <c r="D1" s="6" t="s">
        <v>9</v>
      </c>
      <c r="E1" s="1"/>
      <c r="L1" s="6" t="s">
        <v>1</v>
      </c>
      <c r="M1" s="1" t="s">
        <v>10</v>
      </c>
      <c r="N1" s="1" t="s">
        <v>11</v>
      </c>
      <c r="P1" s="6" t="s">
        <v>2</v>
      </c>
      <c r="Q1" s="1" t="s">
        <v>6</v>
      </c>
      <c r="R1" s="1" t="s">
        <v>16</v>
      </c>
    </row>
    <row r="2" spans="1:18" x14ac:dyDescent="0.25">
      <c r="A2" s="1" t="s">
        <v>6</v>
      </c>
      <c r="B2" s="7">
        <v>0.40351734245236931</v>
      </c>
      <c r="D2" s="1" t="s">
        <v>10</v>
      </c>
      <c r="E2" s="8">
        <v>2047</v>
      </c>
      <c r="L2" s="1">
        <v>1</v>
      </c>
      <c r="M2" s="8">
        <v>297</v>
      </c>
      <c r="N2" s="8">
        <v>133</v>
      </c>
      <c r="P2" s="1" t="s">
        <v>12</v>
      </c>
      <c r="Q2" s="7">
        <v>0.42593603318415019</v>
      </c>
      <c r="R2" s="5">
        <v>1</v>
      </c>
    </row>
    <row r="3" spans="1:18" x14ac:dyDescent="0.25">
      <c r="A3" s="1" t="s">
        <v>8</v>
      </c>
      <c r="B3" s="7">
        <v>0.59648265754763075</v>
      </c>
      <c r="D3" s="1" t="s">
        <v>11</v>
      </c>
      <c r="E3" s="8">
        <v>826</v>
      </c>
      <c r="L3" s="1">
        <v>2</v>
      </c>
      <c r="M3" s="8">
        <v>2123</v>
      </c>
      <c r="N3" s="8">
        <v>894</v>
      </c>
      <c r="P3" s="1" t="s">
        <v>13</v>
      </c>
      <c r="Q3" s="7">
        <v>0.47176640926640928</v>
      </c>
      <c r="R3" s="5">
        <v>1</v>
      </c>
    </row>
    <row r="4" spans="1:18" x14ac:dyDescent="0.25">
      <c r="A4" s="1" t="s">
        <v>7</v>
      </c>
      <c r="B4" s="5">
        <v>1</v>
      </c>
      <c r="D4" s="1" t="s">
        <v>19</v>
      </c>
      <c r="E4" s="20">
        <v>405.1533952125061</v>
      </c>
      <c r="L4" s="1">
        <v>3</v>
      </c>
      <c r="M4" s="8">
        <v>1879</v>
      </c>
      <c r="N4" s="8">
        <v>859</v>
      </c>
      <c r="P4" s="1" t="s">
        <v>14</v>
      </c>
      <c r="Q4" s="7">
        <v>0.48506995197327207</v>
      </c>
      <c r="R4" s="5">
        <v>1</v>
      </c>
    </row>
    <row r="5" spans="1:18" x14ac:dyDescent="0.25">
      <c r="L5" s="1">
        <v>4</v>
      </c>
      <c r="M5" s="8">
        <v>2047</v>
      </c>
      <c r="N5" s="8">
        <v>826</v>
      </c>
      <c r="P5" s="1" t="s">
        <v>15</v>
      </c>
      <c r="Q5" s="7">
        <v>0.64172240802675584</v>
      </c>
      <c r="R5" s="5">
        <v>1</v>
      </c>
    </row>
    <row r="6" spans="1:18" x14ac:dyDescent="0.25">
      <c r="L6" s="1">
        <v>5</v>
      </c>
      <c r="M6" s="8">
        <v>2169</v>
      </c>
      <c r="N6" s="8">
        <v>924</v>
      </c>
    </row>
    <row r="7" spans="1:18" x14ac:dyDescent="0.25">
      <c r="L7" s="1">
        <v>6</v>
      </c>
      <c r="M7" s="8">
        <v>646</v>
      </c>
      <c r="N7" s="8">
        <v>266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21"/>
  <sheetViews>
    <sheetView showGridLines="0" workbookViewId="0">
      <pane ySplit="1" topLeftCell="A2" activePane="bottomLeft" state="frozen"/>
      <selection pane="bottomLeft" activeCell="K18" sqref="K18"/>
    </sheetView>
  </sheetViews>
  <sheetFormatPr defaultRowHeight="15" x14ac:dyDescent="0.25"/>
  <cols>
    <col min="1" max="1" width="15.7109375" style="3" customWidth="1"/>
    <col min="2" max="5" width="15.7109375" customWidth="1"/>
    <col min="6" max="6" width="18.140625" bestFit="1" customWidth="1"/>
    <col min="7" max="7" width="18.140625" customWidth="1"/>
    <col min="8" max="8" width="15.7109375" customWidth="1"/>
  </cols>
  <sheetData>
    <row r="1" spans="1:8" ht="15" customHeight="1" x14ac:dyDescent="0.25">
      <c r="A1" s="11" t="s">
        <v>0</v>
      </c>
      <c r="B1" s="12" t="s">
        <v>1</v>
      </c>
      <c r="C1" s="12" t="s">
        <v>2</v>
      </c>
      <c r="D1" s="12" t="s">
        <v>4</v>
      </c>
      <c r="E1" s="12" t="s">
        <v>3</v>
      </c>
      <c r="F1" s="13" t="s">
        <v>17</v>
      </c>
      <c r="G1" s="21" t="s">
        <v>18</v>
      </c>
      <c r="H1" s="21" t="s">
        <v>5</v>
      </c>
    </row>
    <row r="2" spans="1:8" ht="15" customHeight="1" x14ac:dyDescent="0.25">
      <c r="A2" s="9">
        <v>44562</v>
      </c>
      <c r="B2" s="2">
        <f>WEEKNUM(A2)</f>
        <v>1</v>
      </c>
      <c r="C2" s="2" t="str">
        <f>TEXT(A2,"MMM")</f>
        <v>Jan</v>
      </c>
      <c r="D2" s="4">
        <v>297</v>
      </c>
      <c r="E2" s="4">
        <v>133</v>
      </c>
      <c r="F2" s="18">
        <f t="shared" ref="F2:F33" ca="1" si="0">RANDBETWEEN(300,500)</f>
        <v>383</v>
      </c>
      <c r="G2" s="18">
        <f ca="1">Table1[[#This Row],[Outbound call]]*Table1[[#This Row],[Average Call Duration]]</f>
        <v>113751</v>
      </c>
      <c r="H2" s="10">
        <f>E2/D2</f>
        <v>0.44781144781144783</v>
      </c>
    </row>
    <row r="3" spans="1:8" ht="15" customHeight="1" x14ac:dyDescent="0.25">
      <c r="A3" s="9">
        <v>44563</v>
      </c>
      <c r="B3" s="2">
        <f t="shared" ref="B3:B16" si="1">WEEKNUM(A3)</f>
        <v>2</v>
      </c>
      <c r="C3" s="2" t="str">
        <f t="shared" ref="C3:C66" si="2">TEXT(A3,"MMM")</f>
        <v>Jan</v>
      </c>
      <c r="D3" s="4">
        <v>334</v>
      </c>
      <c r="E3" s="4">
        <v>109</v>
      </c>
      <c r="F3" s="18">
        <f t="shared" ca="1" si="0"/>
        <v>381</v>
      </c>
      <c r="G3" s="18">
        <f ca="1">Table1[[#This Row],[Outbound call]]*Table1[[#This Row],[Average Call Duration]]</f>
        <v>127254</v>
      </c>
      <c r="H3" s="10">
        <f t="shared" ref="H3:H16" si="3">E3/D3</f>
        <v>0.32634730538922158</v>
      </c>
    </row>
    <row r="4" spans="1:8" ht="15" customHeight="1" x14ac:dyDescent="0.25">
      <c r="A4" s="9">
        <v>44564</v>
      </c>
      <c r="B4" s="2">
        <f t="shared" si="1"/>
        <v>2</v>
      </c>
      <c r="C4" s="2" t="str">
        <f t="shared" si="2"/>
        <v>Jan</v>
      </c>
      <c r="D4" s="4">
        <v>332</v>
      </c>
      <c r="E4" s="4">
        <v>139</v>
      </c>
      <c r="F4" s="18">
        <f t="shared" ca="1" si="0"/>
        <v>437</v>
      </c>
      <c r="G4" s="18">
        <f ca="1">Table1[[#This Row],[Outbound call]]*Table1[[#This Row],[Average Call Duration]]</f>
        <v>145084</v>
      </c>
      <c r="H4" s="10">
        <f t="shared" si="3"/>
        <v>0.41867469879518071</v>
      </c>
    </row>
    <row r="5" spans="1:8" ht="15" customHeight="1" x14ac:dyDescent="0.25">
      <c r="A5" s="9">
        <v>44565</v>
      </c>
      <c r="B5" s="2">
        <f t="shared" si="1"/>
        <v>2</v>
      </c>
      <c r="C5" s="2" t="str">
        <f t="shared" si="2"/>
        <v>Jan</v>
      </c>
      <c r="D5" s="4">
        <v>368</v>
      </c>
      <c r="E5" s="4">
        <v>121</v>
      </c>
      <c r="F5" s="18">
        <f t="shared" ca="1" si="0"/>
        <v>324</v>
      </c>
      <c r="G5" s="18">
        <f ca="1">Table1[[#This Row],[Outbound call]]*Table1[[#This Row],[Average Call Duration]]</f>
        <v>119232</v>
      </c>
      <c r="H5" s="10">
        <f t="shared" si="3"/>
        <v>0.32880434782608697</v>
      </c>
    </row>
    <row r="6" spans="1:8" ht="15" customHeight="1" x14ac:dyDescent="0.25">
      <c r="A6" s="9">
        <v>44566</v>
      </c>
      <c r="B6" s="2">
        <f t="shared" si="1"/>
        <v>2</v>
      </c>
      <c r="C6" s="2" t="str">
        <f t="shared" si="2"/>
        <v>Jan</v>
      </c>
      <c r="D6" s="4">
        <v>285</v>
      </c>
      <c r="E6" s="4">
        <v>136</v>
      </c>
      <c r="F6" s="18">
        <f t="shared" ca="1" si="0"/>
        <v>334</v>
      </c>
      <c r="G6" s="18">
        <f ca="1">Table1[[#This Row],[Outbound call]]*Table1[[#This Row],[Average Call Duration]]</f>
        <v>95190</v>
      </c>
      <c r="H6" s="10">
        <f t="shared" si="3"/>
        <v>0.47719298245614034</v>
      </c>
    </row>
    <row r="7" spans="1:8" ht="15" customHeight="1" x14ac:dyDescent="0.25">
      <c r="A7" s="9">
        <v>44567</v>
      </c>
      <c r="B7" s="2">
        <f t="shared" si="1"/>
        <v>2</v>
      </c>
      <c r="C7" s="2" t="str">
        <f t="shared" si="2"/>
        <v>Jan</v>
      </c>
      <c r="D7" s="4">
        <v>251</v>
      </c>
      <c r="E7" s="4">
        <v>136</v>
      </c>
      <c r="F7" s="18">
        <f t="shared" ca="1" si="0"/>
        <v>315</v>
      </c>
      <c r="G7" s="18">
        <f ca="1">Table1[[#This Row],[Outbound call]]*Table1[[#This Row],[Average Call Duration]]</f>
        <v>79065</v>
      </c>
      <c r="H7" s="10">
        <f t="shared" si="3"/>
        <v>0.54183266932270913</v>
      </c>
    </row>
    <row r="8" spans="1:8" ht="15" customHeight="1" x14ac:dyDescent="0.25">
      <c r="A8" s="9">
        <v>44568</v>
      </c>
      <c r="B8" s="2">
        <f t="shared" si="1"/>
        <v>2</v>
      </c>
      <c r="C8" s="2" t="str">
        <f t="shared" si="2"/>
        <v>Jan</v>
      </c>
      <c r="D8" s="4">
        <v>274</v>
      </c>
      <c r="E8" s="4">
        <v>128</v>
      </c>
      <c r="F8" s="18">
        <f t="shared" ca="1" si="0"/>
        <v>392</v>
      </c>
      <c r="G8" s="18">
        <f ca="1">Table1[[#This Row],[Outbound call]]*Table1[[#This Row],[Average Call Duration]]</f>
        <v>107408</v>
      </c>
      <c r="H8" s="10">
        <f t="shared" si="3"/>
        <v>0.46715328467153283</v>
      </c>
    </row>
    <row r="9" spans="1:8" ht="15" customHeight="1" x14ac:dyDescent="0.25">
      <c r="A9" s="9">
        <v>44569</v>
      </c>
      <c r="B9" s="2">
        <f t="shared" si="1"/>
        <v>2</v>
      </c>
      <c r="C9" s="2" t="str">
        <f t="shared" si="2"/>
        <v>Jan</v>
      </c>
      <c r="D9" s="4">
        <v>279</v>
      </c>
      <c r="E9" s="4">
        <v>125</v>
      </c>
      <c r="F9" s="18">
        <f t="shared" ca="1" si="0"/>
        <v>438</v>
      </c>
      <c r="G9" s="18">
        <f ca="1">Table1[[#This Row],[Outbound call]]*Table1[[#This Row],[Average Call Duration]]</f>
        <v>122202</v>
      </c>
      <c r="H9" s="10">
        <f t="shared" si="3"/>
        <v>0.44802867383512546</v>
      </c>
    </row>
    <row r="10" spans="1:8" ht="15" customHeight="1" x14ac:dyDescent="0.25">
      <c r="A10" s="9">
        <v>44570</v>
      </c>
      <c r="B10" s="2">
        <f t="shared" si="1"/>
        <v>3</v>
      </c>
      <c r="C10" s="2" t="str">
        <f t="shared" si="2"/>
        <v>Jan</v>
      </c>
      <c r="D10" s="4">
        <v>305</v>
      </c>
      <c r="E10" s="4">
        <v>128</v>
      </c>
      <c r="F10" s="18">
        <f t="shared" ca="1" si="0"/>
        <v>488</v>
      </c>
      <c r="G10" s="18">
        <f ca="1">Table1[[#This Row],[Outbound call]]*Table1[[#This Row],[Average Call Duration]]</f>
        <v>148840</v>
      </c>
      <c r="H10" s="10">
        <f t="shared" si="3"/>
        <v>0.41967213114754098</v>
      </c>
    </row>
    <row r="11" spans="1:8" ht="15" customHeight="1" x14ac:dyDescent="0.25">
      <c r="A11" s="9">
        <v>44571</v>
      </c>
      <c r="B11" s="2">
        <f t="shared" si="1"/>
        <v>3</v>
      </c>
      <c r="C11" s="2" t="str">
        <f t="shared" si="2"/>
        <v>Jan</v>
      </c>
      <c r="D11" s="4">
        <v>379</v>
      </c>
      <c r="E11" s="4">
        <v>142</v>
      </c>
      <c r="F11" s="18">
        <f t="shared" ca="1" si="0"/>
        <v>467</v>
      </c>
      <c r="G11" s="18">
        <f ca="1">Table1[[#This Row],[Outbound call]]*Table1[[#This Row],[Average Call Duration]]</f>
        <v>176993</v>
      </c>
      <c r="H11" s="10">
        <f t="shared" si="3"/>
        <v>0.37467018469656993</v>
      </c>
    </row>
    <row r="12" spans="1:8" ht="15" customHeight="1" x14ac:dyDescent="0.25">
      <c r="A12" s="9">
        <v>44572</v>
      </c>
      <c r="B12" s="2">
        <f t="shared" si="1"/>
        <v>3</v>
      </c>
      <c r="C12" s="2" t="str">
        <f t="shared" si="2"/>
        <v>Jan</v>
      </c>
      <c r="D12" s="4">
        <v>249</v>
      </c>
      <c r="E12" s="4">
        <v>123</v>
      </c>
      <c r="F12" s="18">
        <f t="shared" ca="1" si="0"/>
        <v>411</v>
      </c>
      <c r="G12" s="18">
        <f ca="1">Table1[[#This Row],[Outbound call]]*Table1[[#This Row],[Average Call Duration]]</f>
        <v>102339</v>
      </c>
      <c r="H12" s="10">
        <f t="shared" si="3"/>
        <v>0.49397590361445781</v>
      </c>
    </row>
    <row r="13" spans="1:8" ht="15" customHeight="1" x14ac:dyDescent="0.25">
      <c r="A13" s="9">
        <v>44573</v>
      </c>
      <c r="B13" s="2">
        <f t="shared" si="1"/>
        <v>3</v>
      </c>
      <c r="C13" s="2" t="str">
        <f t="shared" si="2"/>
        <v>Jan</v>
      </c>
      <c r="D13" s="4">
        <v>232</v>
      </c>
      <c r="E13" s="4">
        <v>130</v>
      </c>
      <c r="F13" s="18">
        <f t="shared" ca="1" si="0"/>
        <v>370</v>
      </c>
      <c r="G13" s="18">
        <f ca="1">Table1[[#This Row],[Outbound call]]*Table1[[#This Row],[Average Call Duration]]</f>
        <v>85840</v>
      </c>
      <c r="H13" s="10">
        <f t="shared" si="3"/>
        <v>0.56034482758620685</v>
      </c>
    </row>
    <row r="14" spans="1:8" ht="15" customHeight="1" x14ac:dyDescent="0.25">
      <c r="A14" s="9">
        <v>44574</v>
      </c>
      <c r="B14" s="2">
        <f t="shared" si="1"/>
        <v>3</v>
      </c>
      <c r="C14" s="2" t="str">
        <f t="shared" si="2"/>
        <v>Jan</v>
      </c>
      <c r="D14" s="4">
        <v>243</v>
      </c>
      <c r="E14" s="4">
        <v>106</v>
      </c>
      <c r="F14" s="18">
        <f t="shared" ca="1" si="0"/>
        <v>494</v>
      </c>
      <c r="G14" s="18">
        <f ca="1">Table1[[#This Row],[Outbound call]]*Table1[[#This Row],[Average Call Duration]]</f>
        <v>120042</v>
      </c>
      <c r="H14" s="10">
        <f t="shared" si="3"/>
        <v>0.43621399176954734</v>
      </c>
    </row>
    <row r="15" spans="1:8" ht="15" customHeight="1" x14ac:dyDescent="0.25">
      <c r="A15" s="9">
        <v>44575</v>
      </c>
      <c r="B15" s="2">
        <f t="shared" si="1"/>
        <v>3</v>
      </c>
      <c r="C15" s="2" t="str">
        <f t="shared" si="2"/>
        <v>Jan</v>
      </c>
      <c r="D15" s="4">
        <v>214</v>
      </c>
      <c r="E15" s="4">
        <v>123</v>
      </c>
      <c r="F15" s="18">
        <f t="shared" ca="1" si="0"/>
        <v>412</v>
      </c>
      <c r="G15" s="18">
        <f ca="1">Table1[[#This Row],[Outbound call]]*Table1[[#This Row],[Average Call Duration]]</f>
        <v>88168</v>
      </c>
      <c r="H15" s="10">
        <f t="shared" si="3"/>
        <v>0.57476635514018692</v>
      </c>
    </row>
    <row r="16" spans="1:8" ht="15" customHeight="1" x14ac:dyDescent="0.25">
      <c r="A16" s="9">
        <v>44576</v>
      </c>
      <c r="B16" s="2">
        <f t="shared" si="1"/>
        <v>3</v>
      </c>
      <c r="C16" s="2" t="str">
        <f t="shared" si="2"/>
        <v>Jan</v>
      </c>
      <c r="D16" s="4">
        <v>257</v>
      </c>
      <c r="E16" s="4">
        <v>107</v>
      </c>
      <c r="F16" s="18">
        <f t="shared" ca="1" si="0"/>
        <v>449</v>
      </c>
      <c r="G16" s="18">
        <f ca="1">Table1[[#This Row],[Outbound call]]*Table1[[#This Row],[Average Call Duration]]</f>
        <v>115393</v>
      </c>
      <c r="H16" s="10">
        <f t="shared" si="3"/>
        <v>0.41634241245136189</v>
      </c>
    </row>
    <row r="17" spans="1:8" x14ac:dyDescent="0.25">
      <c r="A17" s="9">
        <v>44577</v>
      </c>
      <c r="B17" s="2">
        <f t="shared" ref="B17:B65" si="4">WEEKNUM(A17)</f>
        <v>4</v>
      </c>
      <c r="C17" s="2" t="str">
        <f t="shared" si="2"/>
        <v>Jan</v>
      </c>
      <c r="D17" s="4">
        <v>307</v>
      </c>
      <c r="E17" s="4">
        <v>135</v>
      </c>
      <c r="F17" s="18">
        <f t="shared" ca="1" si="0"/>
        <v>384</v>
      </c>
      <c r="G17" s="18">
        <f ca="1">Table1[[#This Row],[Outbound call]]*Table1[[#This Row],[Average Call Duration]]</f>
        <v>117888</v>
      </c>
      <c r="H17" s="10">
        <f t="shared" ref="H17:H65" si="5">E17/D17</f>
        <v>0.43973941368078173</v>
      </c>
    </row>
    <row r="18" spans="1:8" x14ac:dyDescent="0.25">
      <c r="A18" s="9">
        <v>44578</v>
      </c>
      <c r="B18" s="2">
        <f t="shared" si="4"/>
        <v>4</v>
      </c>
      <c r="C18" s="2" t="str">
        <f t="shared" si="2"/>
        <v>Jan</v>
      </c>
      <c r="D18" s="4">
        <v>300</v>
      </c>
      <c r="E18" s="4">
        <v>103</v>
      </c>
      <c r="F18" s="18">
        <f t="shared" ca="1" si="0"/>
        <v>459</v>
      </c>
      <c r="G18" s="18">
        <f ca="1">Table1[[#This Row],[Outbound call]]*Table1[[#This Row],[Average Call Duration]]</f>
        <v>137700</v>
      </c>
      <c r="H18" s="10">
        <f t="shared" si="5"/>
        <v>0.34333333333333332</v>
      </c>
    </row>
    <row r="19" spans="1:8" x14ac:dyDescent="0.25">
      <c r="A19" s="9">
        <v>44579</v>
      </c>
      <c r="B19" s="2">
        <f t="shared" si="4"/>
        <v>4</v>
      </c>
      <c r="C19" s="2" t="str">
        <f t="shared" si="2"/>
        <v>Jan</v>
      </c>
      <c r="D19" s="4">
        <v>382</v>
      </c>
      <c r="E19" s="4">
        <v>100</v>
      </c>
      <c r="F19" s="18">
        <f t="shared" ca="1" si="0"/>
        <v>428</v>
      </c>
      <c r="G19" s="18">
        <f ca="1">Table1[[#This Row],[Outbound call]]*Table1[[#This Row],[Average Call Duration]]</f>
        <v>163496</v>
      </c>
      <c r="H19" s="10">
        <f t="shared" si="5"/>
        <v>0.26178010471204188</v>
      </c>
    </row>
    <row r="20" spans="1:8" x14ac:dyDescent="0.25">
      <c r="A20" s="9">
        <v>44580</v>
      </c>
      <c r="B20" s="2">
        <f t="shared" si="4"/>
        <v>4</v>
      </c>
      <c r="C20" s="2" t="str">
        <f t="shared" si="2"/>
        <v>Jan</v>
      </c>
      <c r="D20" s="4">
        <v>233</v>
      </c>
      <c r="E20" s="4">
        <v>120</v>
      </c>
      <c r="F20" s="18">
        <f t="shared" ca="1" si="0"/>
        <v>333</v>
      </c>
      <c r="G20" s="18">
        <f ca="1">Table1[[#This Row],[Outbound call]]*Table1[[#This Row],[Average Call Duration]]</f>
        <v>77589</v>
      </c>
      <c r="H20" s="10">
        <f t="shared" si="5"/>
        <v>0.51502145922746778</v>
      </c>
    </row>
    <row r="21" spans="1:8" x14ac:dyDescent="0.25">
      <c r="A21" s="9">
        <v>44581</v>
      </c>
      <c r="B21" s="2">
        <f t="shared" si="4"/>
        <v>4</v>
      </c>
      <c r="C21" s="2" t="str">
        <f t="shared" si="2"/>
        <v>Jan</v>
      </c>
      <c r="D21" s="4">
        <v>295</v>
      </c>
      <c r="E21" s="4">
        <v>114</v>
      </c>
      <c r="F21" s="18">
        <f t="shared" ca="1" si="0"/>
        <v>468</v>
      </c>
      <c r="G21" s="18">
        <f ca="1">Table1[[#This Row],[Outbound call]]*Table1[[#This Row],[Average Call Duration]]</f>
        <v>138060</v>
      </c>
      <c r="H21" s="10">
        <f t="shared" si="5"/>
        <v>0.38644067796610171</v>
      </c>
    </row>
    <row r="22" spans="1:8" x14ac:dyDescent="0.25">
      <c r="A22" s="9">
        <v>44582</v>
      </c>
      <c r="B22" s="2">
        <f t="shared" si="4"/>
        <v>4</v>
      </c>
      <c r="C22" s="2" t="str">
        <f t="shared" si="2"/>
        <v>Jan</v>
      </c>
      <c r="D22" s="4">
        <v>209</v>
      </c>
      <c r="E22" s="4">
        <v>143</v>
      </c>
      <c r="F22" s="18">
        <f t="shared" ca="1" si="0"/>
        <v>493</v>
      </c>
      <c r="G22" s="18">
        <f ca="1">Table1[[#This Row],[Outbound call]]*Table1[[#This Row],[Average Call Duration]]</f>
        <v>103037</v>
      </c>
      <c r="H22" s="10">
        <f t="shared" si="5"/>
        <v>0.68421052631578949</v>
      </c>
    </row>
    <row r="23" spans="1:8" x14ac:dyDescent="0.25">
      <c r="A23" s="9">
        <v>44583</v>
      </c>
      <c r="B23" s="2">
        <f t="shared" si="4"/>
        <v>4</v>
      </c>
      <c r="C23" s="2" t="str">
        <f t="shared" si="2"/>
        <v>Jan</v>
      </c>
      <c r="D23" s="4">
        <v>321</v>
      </c>
      <c r="E23" s="4">
        <v>111</v>
      </c>
      <c r="F23" s="18">
        <f t="shared" ca="1" si="0"/>
        <v>487</v>
      </c>
      <c r="G23" s="18">
        <f ca="1">Table1[[#This Row],[Outbound call]]*Table1[[#This Row],[Average Call Duration]]</f>
        <v>156327</v>
      </c>
      <c r="H23" s="10">
        <f t="shared" si="5"/>
        <v>0.34579439252336447</v>
      </c>
    </row>
    <row r="24" spans="1:8" x14ac:dyDescent="0.25">
      <c r="A24" s="9">
        <v>44584</v>
      </c>
      <c r="B24" s="2">
        <f t="shared" si="4"/>
        <v>5</v>
      </c>
      <c r="C24" s="2" t="str">
        <f t="shared" si="2"/>
        <v>Jan</v>
      </c>
      <c r="D24" s="4">
        <v>385</v>
      </c>
      <c r="E24" s="4">
        <v>125</v>
      </c>
      <c r="F24" s="18">
        <f t="shared" ca="1" si="0"/>
        <v>375</v>
      </c>
      <c r="G24" s="18">
        <f ca="1">Table1[[#This Row],[Outbound call]]*Table1[[#This Row],[Average Call Duration]]</f>
        <v>144375</v>
      </c>
      <c r="H24" s="10">
        <f t="shared" si="5"/>
        <v>0.32467532467532467</v>
      </c>
    </row>
    <row r="25" spans="1:8" x14ac:dyDescent="0.25">
      <c r="A25" s="9">
        <v>44585</v>
      </c>
      <c r="B25" s="2">
        <f t="shared" si="4"/>
        <v>5</v>
      </c>
      <c r="C25" s="2" t="str">
        <f t="shared" si="2"/>
        <v>Jan</v>
      </c>
      <c r="D25" s="4">
        <v>334</v>
      </c>
      <c r="E25" s="4">
        <v>148</v>
      </c>
      <c r="F25" s="18">
        <f t="shared" ca="1" si="0"/>
        <v>333</v>
      </c>
      <c r="G25" s="18">
        <f ca="1">Table1[[#This Row],[Outbound call]]*Table1[[#This Row],[Average Call Duration]]</f>
        <v>111222</v>
      </c>
      <c r="H25" s="10">
        <f t="shared" si="5"/>
        <v>0.44311377245508982</v>
      </c>
    </row>
    <row r="26" spans="1:8" x14ac:dyDescent="0.25">
      <c r="A26" s="9">
        <v>44586</v>
      </c>
      <c r="B26" s="2">
        <f t="shared" si="4"/>
        <v>5</v>
      </c>
      <c r="C26" s="2" t="str">
        <f t="shared" si="2"/>
        <v>Jan</v>
      </c>
      <c r="D26" s="4">
        <v>333</v>
      </c>
      <c r="E26" s="4">
        <v>128</v>
      </c>
      <c r="F26" s="18">
        <f t="shared" ca="1" si="0"/>
        <v>394</v>
      </c>
      <c r="G26" s="18">
        <f ca="1">Table1[[#This Row],[Outbound call]]*Table1[[#This Row],[Average Call Duration]]</f>
        <v>131202</v>
      </c>
      <c r="H26" s="10">
        <f t="shared" si="5"/>
        <v>0.38438438438438438</v>
      </c>
    </row>
    <row r="27" spans="1:8" x14ac:dyDescent="0.25">
      <c r="A27" s="9">
        <v>44587</v>
      </c>
      <c r="B27" s="2">
        <f t="shared" si="4"/>
        <v>5</v>
      </c>
      <c r="C27" s="2" t="str">
        <f t="shared" si="2"/>
        <v>Jan</v>
      </c>
      <c r="D27" s="4">
        <v>281</v>
      </c>
      <c r="E27" s="4">
        <v>123</v>
      </c>
      <c r="F27" s="18">
        <f t="shared" ca="1" si="0"/>
        <v>307</v>
      </c>
      <c r="G27" s="18">
        <f ca="1">Table1[[#This Row],[Outbound call]]*Table1[[#This Row],[Average Call Duration]]</f>
        <v>86267</v>
      </c>
      <c r="H27" s="10">
        <f t="shared" si="5"/>
        <v>0.4377224199288256</v>
      </c>
    </row>
    <row r="28" spans="1:8" x14ac:dyDescent="0.25">
      <c r="A28" s="9">
        <v>44588</v>
      </c>
      <c r="B28" s="2">
        <f t="shared" si="4"/>
        <v>5</v>
      </c>
      <c r="C28" s="2" t="str">
        <f t="shared" si="2"/>
        <v>Jan</v>
      </c>
      <c r="D28" s="4">
        <v>213</v>
      </c>
      <c r="E28" s="4">
        <v>148</v>
      </c>
      <c r="F28" s="18">
        <f t="shared" ca="1" si="0"/>
        <v>312</v>
      </c>
      <c r="G28" s="18">
        <f ca="1">Table1[[#This Row],[Outbound call]]*Table1[[#This Row],[Average Call Duration]]</f>
        <v>66456</v>
      </c>
      <c r="H28" s="10">
        <f t="shared" si="5"/>
        <v>0.69483568075117375</v>
      </c>
    </row>
    <row r="29" spans="1:8" x14ac:dyDescent="0.25">
      <c r="A29" s="9">
        <v>44589</v>
      </c>
      <c r="B29" s="2">
        <f t="shared" si="4"/>
        <v>5</v>
      </c>
      <c r="C29" s="2" t="str">
        <f t="shared" si="2"/>
        <v>Jan</v>
      </c>
      <c r="D29" s="4">
        <v>234</v>
      </c>
      <c r="E29" s="4">
        <v>102</v>
      </c>
      <c r="F29" s="18">
        <f t="shared" ca="1" si="0"/>
        <v>360</v>
      </c>
      <c r="G29" s="18">
        <f ca="1">Table1[[#This Row],[Outbound call]]*Table1[[#This Row],[Average Call Duration]]</f>
        <v>84240</v>
      </c>
      <c r="H29" s="10">
        <f t="shared" si="5"/>
        <v>0.4358974358974359</v>
      </c>
    </row>
    <row r="30" spans="1:8" x14ac:dyDescent="0.25">
      <c r="A30" s="9">
        <v>44590</v>
      </c>
      <c r="B30" s="2">
        <f t="shared" si="4"/>
        <v>5</v>
      </c>
      <c r="C30" s="2" t="str">
        <f t="shared" si="2"/>
        <v>Jan</v>
      </c>
      <c r="D30" s="4">
        <v>389</v>
      </c>
      <c r="E30" s="4">
        <v>150</v>
      </c>
      <c r="F30" s="18">
        <f t="shared" ca="1" si="0"/>
        <v>414</v>
      </c>
      <c r="G30" s="18">
        <f ca="1">Table1[[#This Row],[Outbound call]]*Table1[[#This Row],[Average Call Duration]]</f>
        <v>161046</v>
      </c>
      <c r="H30" s="10">
        <f t="shared" si="5"/>
        <v>0.38560411311053983</v>
      </c>
    </row>
    <row r="31" spans="1:8" x14ac:dyDescent="0.25">
      <c r="A31" s="9">
        <v>44591</v>
      </c>
      <c r="B31" s="2">
        <f t="shared" si="4"/>
        <v>6</v>
      </c>
      <c r="C31" s="2" t="str">
        <f t="shared" si="2"/>
        <v>Jan</v>
      </c>
      <c r="D31" s="4">
        <v>300</v>
      </c>
      <c r="E31" s="4">
        <v>126</v>
      </c>
      <c r="F31" s="18">
        <f t="shared" ca="1" si="0"/>
        <v>318</v>
      </c>
      <c r="G31" s="18">
        <f ca="1">Table1[[#This Row],[Outbound call]]*Table1[[#This Row],[Average Call Duration]]</f>
        <v>95400</v>
      </c>
      <c r="H31" s="10">
        <f t="shared" si="5"/>
        <v>0.42</v>
      </c>
    </row>
    <row r="32" spans="1:8" x14ac:dyDescent="0.25">
      <c r="A32" s="9">
        <v>44592</v>
      </c>
      <c r="B32" s="2">
        <f t="shared" si="4"/>
        <v>6</v>
      </c>
      <c r="C32" s="2" t="str">
        <f t="shared" si="2"/>
        <v>Jan</v>
      </c>
      <c r="D32" s="4">
        <v>346</v>
      </c>
      <c r="E32" s="4">
        <v>140</v>
      </c>
      <c r="F32" s="18">
        <f t="shared" ca="1" si="0"/>
        <v>374</v>
      </c>
      <c r="G32" s="18">
        <f ca="1">Table1[[#This Row],[Outbound call]]*Table1[[#This Row],[Average Call Duration]]</f>
        <v>129404</v>
      </c>
      <c r="H32" s="10">
        <f t="shared" si="5"/>
        <v>0.40462427745664742</v>
      </c>
    </row>
    <row r="33" spans="1:8" x14ac:dyDescent="0.25">
      <c r="A33" s="9">
        <v>44593</v>
      </c>
      <c r="B33" s="2">
        <f t="shared" si="4"/>
        <v>6</v>
      </c>
      <c r="C33" s="2" t="str">
        <f t="shared" si="2"/>
        <v>Feb</v>
      </c>
      <c r="D33" s="4">
        <v>383</v>
      </c>
      <c r="E33" s="4">
        <v>144</v>
      </c>
      <c r="F33" s="18">
        <f t="shared" ca="1" si="0"/>
        <v>444</v>
      </c>
      <c r="G33" s="18">
        <f ca="1">Table1[[#This Row],[Outbound call]]*Table1[[#This Row],[Average Call Duration]]</f>
        <v>170052</v>
      </c>
      <c r="H33" s="10">
        <f t="shared" si="5"/>
        <v>0.37597911227154046</v>
      </c>
    </row>
    <row r="34" spans="1:8" x14ac:dyDescent="0.25">
      <c r="A34" s="9">
        <v>44594</v>
      </c>
      <c r="B34" s="2">
        <f t="shared" si="4"/>
        <v>6</v>
      </c>
      <c r="C34" s="2" t="str">
        <f t="shared" si="2"/>
        <v>Feb</v>
      </c>
      <c r="D34" s="4">
        <v>297</v>
      </c>
      <c r="E34" s="4">
        <v>149</v>
      </c>
      <c r="F34" s="18">
        <f t="shared" ref="F34:F65" ca="1" si="6">RANDBETWEEN(300,500)</f>
        <v>490</v>
      </c>
      <c r="G34" s="18">
        <f ca="1">Table1[[#This Row],[Outbound call]]*Table1[[#This Row],[Average Call Duration]]</f>
        <v>145530</v>
      </c>
      <c r="H34" s="10">
        <f t="shared" si="5"/>
        <v>0.50168350168350173</v>
      </c>
    </row>
    <row r="35" spans="1:8" x14ac:dyDescent="0.25">
      <c r="A35" s="9">
        <v>44595</v>
      </c>
      <c r="B35" s="2">
        <f t="shared" si="4"/>
        <v>6</v>
      </c>
      <c r="C35" s="2" t="str">
        <f t="shared" si="2"/>
        <v>Feb</v>
      </c>
      <c r="D35" s="4">
        <v>359</v>
      </c>
      <c r="E35" s="4">
        <v>120</v>
      </c>
      <c r="F35" s="18">
        <f t="shared" ca="1" si="6"/>
        <v>464</v>
      </c>
      <c r="G35" s="18">
        <f ca="1">Table1[[#This Row],[Outbound call]]*Table1[[#This Row],[Average Call Duration]]</f>
        <v>166576</v>
      </c>
      <c r="H35" s="10">
        <f t="shared" si="5"/>
        <v>0.33426183844011143</v>
      </c>
    </row>
    <row r="36" spans="1:8" x14ac:dyDescent="0.25">
      <c r="A36" s="9">
        <v>44596</v>
      </c>
      <c r="B36" s="2">
        <f t="shared" si="4"/>
        <v>6</v>
      </c>
      <c r="C36" s="2" t="str">
        <f t="shared" si="2"/>
        <v>Feb</v>
      </c>
      <c r="D36" s="4">
        <v>210</v>
      </c>
      <c r="E36" s="4">
        <v>120</v>
      </c>
      <c r="F36" s="18">
        <f t="shared" ca="1" si="6"/>
        <v>374</v>
      </c>
      <c r="G36" s="18">
        <f ca="1">Table1[[#This Row],[Outbound call]]*Table1[[#This Row],[Average Call Duration]]</f>
        <v>78540</v>
      </c>
      <c r="H36" s="10">
        <f t="shared" si="5"/>
        <v>0.5714285714285714</v>
      </c>
    </row>
    <row r="37" spans="1:8" x14ac:dyDescent="0.25">
      <c r="A37" s="9">
        <v>44597</v>
      </c>
      <c r="B37" s="2">
        <f t="shared" si="4"/>
        <v>6</v>
      </c>
      <c r="C37" s="2" t="str">
        <f t="shared" si="2"/>
        <v>Feb</v>
      </c>
      <c r="D37" s="4">
        <v>301</v>
      </c>
      <c r="E37" s="4">
        <v>162</v>
      </c>
      <c r="F37" s="18">
        <f t="shared" ca="1" si="6"/>
        <v>361</v>
      </c>
      <c r="G37" s="18">
        <f ca="1">Table1[[#This Row],[Outbound call]]*Table1[[#This Row],[Average Call Duration]]</f>
        <v>108661</v>
      </c>
      <c r="H37" s="10">
        <f t="shared" si="5"/>
        <v>0.53820598006644516</v>
      </c>
    </row>
    <row r="38" spans="1:8" x14ac:dyDescent="0.25">
      <c r="A38" s="9">
        <v>44598</v>
      </c>
      <c r="B38" s="2">
        <f t="shared" si="4"/>
        <v>7</v>
      </c>
      <c r="C38" s="2" t="str">
        <f t="shared" si="2"/>
        <v>Feb</v>
      </c>
      <c r="D38" s="4">
        <v>289</v>
      </c>
      <c r="E38" s="4">
        <v>121</v>
      </c>
      <c r="F38" s="18">
        <f t="shared" ca="1" si="6"/>
        <v>330</v>
      </c>
      <c r="G38" s="18">
        <f ca="1">Table1[[#This Row],[Outbound call]]*Table1[[#This Row],[Average Call Duration]]</f>
        <v>95370</v>
      </c>
      <c r="H38" s="10">
        <f t="shared" si="5"/>
        <v>0.41868512110726641</v>
      </c>
    </row>
    <row r="39" spans="1:8" x14ac:dyDescent="0.25">
      <c r="A39" s="9">
        <v>44599</v>
      </c>
      <c r="B39" s="2">
        <f t="shared" si="4"/>
        <v>7</v>
      </c>
      <c r="C39" s="2" t="str">
        <f t="shared" si="2"/>
        <v>Feb</v>
      </c>
      <c r="D39" s="4">
        <v>277</v>
      </c>
      <c r="E39" s="4">
        <v>141</v>
      </c>
      <c r="F39" s="18">
        <f t="shared" ca="1" si="6"/>
        <v>434</v>
      </c>
      <c r="G39" s="18">
        <f ca="1">Table1[[#This Row],[Outbound call]]*Table1[[#This Row],[Average Call Duration]]</f>
        <v>120218</v>
      </c>
      <c r="H39" s="10">
        <f t="shared" si="5"/>
        <v>0.50902527075812276</v>
      </c>
    </row>
    <row r="40" spans="1:8" x14ac:dyDescent="0.25">
      <c r="A40" s="9">
        <v>44600</v>
      </c>
      <c r="B40" s="2">
        <f t="shared" si="4"/>
        <v>7</v>
      </c>
      <c r="C40" s="2" t="str">
        <f t="shared" si="2"/>
        <v>Feb</v>
      </c>
      <c r="D40" s="4">
        <v>343</v>
      </c>
      <c r="E40" s="4">
        <v>152</v>
      </c>
      <c r="F40" s="18">
        <f t="shared" ca="1" si="6"/>
        <v>342</v>
      </c>
      <c r="G40" s="18">
        <f ca="1">Table1[[#This Row],[Outbound call]]*Table1[[#This Row],[Average Call Duration]]</f>
        <v>117306</v>
      </c>
      <c r="H40" s="10">
        <f t="shared" si="5"/>
        <v>0.44314868804664725</v>
      </c>
    </row>
    <row r="41" spans="1:8" x14ac:dyDescent="0.25">
      <c r="A41" s="9">
        <v>44601</v>
      </c>
      <c r="B41" s="2">
        <f t="shared" si="4"/>
        <v>7</v>
      </c>
      <c r="C41" s="2" t="str">
        <f t="shared" si="2"/>
        <v>Feb</v>
      </c>
      <c r="D41" s="4">
        <v>289</v>
      </c>
      <c r="E41" s="4">
        <v>140</v>
      </c>
      <c r="F41" s="18">
        <f t="shared" ca="1" si="6"/>
        <v>320</v>
      </c>
      <c r="G41" s="18">
        <f ca="1">Table1[[#This Row],[Outbound call]]*Table1[[#This Row],[Average Call Duration]]</f>
        <v>92480</v>
      </c>
      <c r="H41" s="10">
        <f t="shared" si="5"/>
        <v>0.48442906574394462</v>
      </c>
    </row>
    <row r="42" spans="1:8" x14ac:dyDescent="0.25">
      <c r="A42" s="9">
        <v>44602</v>
      </c>
      <c r="B42" s="2">
        <f t="shared" si="4"/>
        <v>7</v>
      </c>
      <c r="C42" s="2" t="str">
        <f t="shared" si="2"/>
        <v>Feb</v>
      </c>
      <c r="D42" s="4">
        <v>358</v>
      </c>
      <c r="E42" s="4">
        <v>118</v>
      </c>
      <c r="F42" s="18">
        <f t="shared" ca="1" si="6"/>
        <v>372</v>
      </c>
      <c r="G42" s="18">
        <f ca="1">Table1[[#This Row],[Outbound call]]*Table1[[#This Row],[Average Call Duration]]</f>
        <v>133176</v>
      </c>
      <c r="H42" s="10">
        <f t="shared" si="5"/>
        <v>0.32960893854748602</v>
      </c>
    </row>
    <row r="43" spans="1:8" x14ac:dyDescent="0.25">
      <c r="A43" s="9">
        <v>44603</v>
      </c>
      <c r="B43" s="2">
        <f t="shared" si="4"/>
        <v>7</v>
      </c>
      <c r="C43" s="2" t="str">
        <f t="shared" si="2"/>
        <v>Feb</v>
      </c>
      <c r="D43" s="4">
        <v>203</v>
      </c>
      <c r="E43" s="4">
        <v>131</v>
      </c>
      <c r="F43" s="18">
        <f t="shared" ca="1" si="6"/>
        <v>347</v>
      </c>
      <c r="G43" s="18">
        <f ca="1">Table1[[#This Row],[Outbound call]]*Table1[[#This Row],[Average Call Duration]]</f>
        <v>70441</v>
      </c>
      <c r="H43" s="10">
        <f t="shared" si="5"/>
        <v>0.64532019704433496</v>
      </c>
    </row>
    <row r="44" spans="1:8" x14ac:dyDescent="0.25">
      <c r="A44" s="9">
        <v>44604</v>
      </c>
      <c r="B44" s="2">
        <f t="shared" si="4"/>
        <v>7</v>
      </c>
      <c r="C44" s="2" t="str">
        <f t="shared" si="2"/>
        <v>Feb</v>
      </c>
      <c r="D44" s="4">
        <v>286</v>
      </c>
      <c r="E44" s="4">
        <v>126</v>
      </c>
      <c r="F44" s="18">
        <f t="shared" ca="1" si="6"/>
        <v>400</v>
      </c>
      <c r="G44" s="18">
        <f ca="1">Table1[[#This Row],[Outbound call]]*Table1[[#This Row],[Average Call Duration]]</f>
        <v>114400</v>
      </c>
      <c r="H44" s="10">
        <f t="shared" si="5"/>
        <v>0.44055944055944057</v>
      </c>
    </row>
    <row r="45" spans="1:8" x14ac:dyDescent="0.25">
      <c r="A45" s="9">
        <v>44605</v>
      </c>
      <c r="B45" s="2">
        <f t="shared" si="4"/>
        <v>8</v>
      </c>
      <c r="C45" s="2" t="str">
        <f t="shared" si="2"/>
        <v>Feb</v>
      </c>
      <c r="D45" s="4">
        <v>318</v>
      </c>
      <c r="E45" s="4">
        <v>124</v>
      </c>
      <c r="F45" s="18">
        <f t="shared" ca="1" si="6"/>
        <v>497</v>
      </c>
      <c r="G45" s="18">
        <f ca="1">Table1[[#This Row],[Outbound call]]*Table1[[#This Row],[Average Call Duration]]</f>
        <v>158046</v>
      </c>
      <c r="H45" s="10">
        <f t="shared" si="5"/>
        <v>0.38993710691823902</v>
      </c>
    </row>
    <row r="46" spans="1:8" x14ac:dyDescent="0.25">
      <c r="A46" s="9">
        <v>44606</v>
      </c>
      <c r="B46" s="2">
        <f t="shared" si="4"/>
        <v>8</v>
      </c>
      <c r="C46" s="2" t="str">
        <f t="shared" si="2"/>
        <v>Feb</v>
      </c>
      <c r="D46" s="4">
        <v>233</v>
      </c>
      <c r="E46" s="4">
        <v>127</v>
      </c>
      <c r="F46" s="18">
        <f t="shared" ca="1" si="6"/>
        <v>340</v>
      </c>
      <c r="G46" s="18">
        <f ca="1">Table1[[#This Row],[Outbound call]]*Table1[[#This Row],[Average Call Duration]]</f>
        <v>79220</v>
      </c>
      <c r="H46" s="10">
        <f t="shared" si="5"/>
        <v>0.54506437768240346</v>
      </c>
    </row>
    <row r="47" spans="1:8" x14ac:dyDescent="0.25">
      <c r="A47" s="9">
        <v>44607</v>
      </c>
      <c r="B47" s="2">
        <f t="shared" si="4"/>
        <v>8</v>
      </c>
      <c r="C47" s="2" t="str">
        <f t="shared" si="2"/>
        <v>Feb</v>
      </c>
      <c r="D47" s="4">
        <v>273</v>
      </c>
      <c r="E47" s="4">
        <v>142</v>
      </c>
      <c r="F47" s="18">
        <f t="shared" ca="1" si="6"/>
        <v>301</v>
      </c>
      <c r="G47" s="18">
        <f ca="1">Table1[[#This Row],[Outbound call]]*Table1[[#This Row],[Average Call Duration]]</f>
        <v>82173</v>
      </c>
      <c r="H47" s="10">
        <f t="shared" si="5"/>
        <v>0.52014652014652019</v>
      </c>
    </row>
    <row r="48" spans="1:8" x14ac:dyDescent="0.25">
      <c r="A48" s="9">
        <v>44608</v>
      </c>
      <c r="B48" s="2">
        <f t="shared" si="4"/>
        <v>8</v>
      </c>
      <c r="C48" s="2" t="str">
        <f t="shared" si="2"/>
        <v>Feb</v>
      </c>
      <c r="D48" s="4">
        <v>256</v>
      </c>
      <c r="E48" s="4">
        <v>169</v>
      </c>
      <c r="F48" s="18">
        <f t="shared" ca="1" si="6"/>
        <v>344</v>
      </c>
      <c r="G48" s="18">
        <f ca="1">Table1[[#This Row],[Outbound call]]*Table1[[#This Row],[Average Call Duration]]</f>
        <v>88064</v>
      </c>
      <c r="H48" s="10">
        <f t="shared" si="5"/>
        <v>0.66015625</v>
      </c>
    </row>
    <row r="49" spans="1:8" x14ac:dyDescent="0.25">
      <c r="A49" s="9">
        <v>44609</v>
      </c>
      <c r="B49" s="2">
        <f t="shared" si="4"/>
        <v>8</v>
      </c>
      <c r="C49" s="2" t="str">
        <f t="shared" si="2"/>
        <v>Feb</v>
      </c>
      <c r="D49" s="4">
        <v>309</v>
      </c>
      <c r="E49" s="4">
        <v>151</v>
      </c>
      <c r="F49" s="18">
        <f t="shared" ca="1" si="6"/>
        <v>373</v>
      </c>
      <c r="G49" s="18">
        <f ca="1">Table1[[#This Row],[Outbound call]]*Table1[[#This Row],[Average Call Duration]]</f>
        <v>115257</v>
      </c>
      <c r="H49" s="10">
        <f t="shared" si="5"/>
        <v>0.48867313915857608</v>
      </c>
    </row>
    <row r="50" spans="1:8" x14ac:dyDescent="0.25">
      <c r="A50" s="9">
        <v>44610</v>
      </c>
      <c r="B50" s="2">
        <f t="shared" si="4"/>
        <v>8</v>
      </c>
      <c r="C50" s="2" t="str">
        <f t="shared" si="2"/>
        <v>Feb</v>
      </c>
      <c r="D50" s="4">
        <v>268</v>
      </c>
      <c r="E50" s="4">
        <v>123</v>
      </c>
      <c r="F50" s="18">
        <f t="shared" ca="1" si="6"/>
        <v>460</v>
      </c>
      <c r="G50" s="18">
        <f ca="1">Table1[[#This Row],[Outbound call]]*Table1[[#This Row],[Average Call Duration]]</f>
        <v>123280</v>
      </c>
      <c r="H50" s="10">
        <f t="shared" si="5"/>
        <v>0.45895522388059701</v>
      </c>
    </row>
    <row r="51" spans="1:8" x14ac:dyDescent="0.25">
      <c r="A51" s="9">
        <v>44611</v>
      </c>
      <c r="B51" s="2">
        <f t="shared" si="4"/>
        <v>8</v>
      </c>
      <c r="C51" s="2" t="str">
        <f t="shared" si="2"/>
        <v>Feb</v>
      </c>
      <c r="D51" s="4">
        <v>223</v>
      </c>
      <c r="E51" s="4">
        <v>139</v>
      </c>
      <c r="F51" s="18">
        <f t="shared" ca="1" si="6"/>
        <v>340</v>
      </c>
      <c r="G51" s="18">
        <f ca="1">Table1[[#This Row],[Outbound call]]*Table1[[#This Row],[Average Call Duration]]</f>
        <v>75820</v>
      </c>
      <c r="H51" s="10">
        <f t="shared" si="5"/>
        <v>0.62331838565022424</v>
      </c>
    </row>
    <row r="52" spans="1:8" x14ac:dyDescent="0.25">
      <c r="A52" s="9">
        <v>44612</v>
      </c>
      <c r="B52" s="2">
        <f t="shared" si="4"/>
        <v>9</v>
      </c>
      <c r="C52" s="2" t="str">
        <f t="shared" si="2"/>
        <v>Feb</v>
      </c>
      <c r="D52" s="4">
        <v>363</v>
      </c>
      <c r="E52" s="4">
        <v>143</v>
      </c>
      <c r="F52" s="18">
        <f t="shared" ca="1" si="6"/>
        <v>353</v>
      </c>
      <c r="G52" s="18">
        <f ca="1">Table1[[#This Row],[Outbound call]]*Table1[[#This Row],[Average Call Duration]]</f>
        <v>128139</v>
      </c>
      <c r="H52" s="10">
        <f t="shared" si="5"/>
        <v>0.39393939393939392</v>
      </c>
    </row>
    <row r="53" spans="1:8" x14ac:dyDescent="0.25">
      <c r="A53" s="9">
        <v>44613</v>
      </c>
      <c r="B53" s="2">
        <f t="shared" si="4"/>
        <v>9</v>
      </c>
      <c r="C53" s="2" t="str">
        <f t="shared" si="2"/>
        <v>Feb</v>
      </c>
      <c r="D53" s="4">
        <v>350</v>
      </c>
      <c r="E53" s="4">
        <v>156</v>
      </c>
      <c r="F53" s="18">
        <f t="shared" ca="1" si="6"/>
        <v>499</v>
      </c>
      <c r="G53" s="18">
        <f ca="1">Table1[[#This Row],[Outbound call]]*Table1[[#This Row],[Average Call Duration]]</f>
        <v>174650</v>
      </c>
      <c r="H53" s="10">
        <f t="shared" si="5"/>
        <v>0.44571428571428573</v>
      </c>
    </row>
    <row r="54" spans="1:8" x14ac:dyDescent="0.25">
      <c r="A54" s="9">
        <v>44614</v>
      </c>
      <c r="B54" s="2">
        <f t="shared" si="4"/>
        <v>9</v>
      </c>
      <c r="C54" s="2" t="str">
        <f t="shared" si="2"/>
        <v>Feb</v>
      </c>
      <c r="D54" s="4">
        <v>341</v>
      </c>
      <c r="E54" s="4">
        <v>136</v>
      </c>
      <c r="F54" s="18">
        <f t="shared" ca="1" si="6"/>
        <v>441</v>
      </c>
      <c r="G54" s="18">
        <f ca="1">Table1[[#This Row],[Outbound call]]*Table1[[#This Row],[Average Call Duration]]</f>
        <v>150381</v>
      </c>
      <c r="H54" s="10">
        <f t="shared" si="5"/>
        <v>0.39882697947214074</v>
      </c>
    </row>
    <row r="55" spans="1:8" x14ac:dyDescent="0.25">
      <c r="A55" s="9">
        <v>44615</v>
      </c>
      <c r="B55" s="2">
        <f t="shared" si="4"/>
        <v>9</v>
      </c>
      <c r="C55" s="2" t="str">
        <f t="shared" si="2"/>
        <v>Feb</v>
      </c>
      <c r="D55" s="4">
        <v>286</v>
      </c>
      <c r="E55" s="4">
        <v>126</v>
      </c>
      <c r="F55" s="18">
        <f t="shared" ca="1" si="6"/>
        <v>487</v>
      </c>
      <c r="G55" s="18">
        <f ca="1">Table1[[#This Row],[Outbound call]]*Table1[[#This Row],[Average Call Duration]]</f>
        <v>139282</v>
      </c>
      <c r="H55" s="10">
        <f t="shared" si="5"/>
        <v>0.44055944055944057</v>
      </c>
    </row>
    <row r="56" spans="1:8" x14ac:dyDescent="0.25">
      <c r="A56" s="9">
        <v>44616</v>
      </c>
      <c r="B56" s="2">
        <f t="shared" si="4"/>
        <v>9</v>
      </c>
      <c r="C56" s="2" t="str">
        <f t="shared" si="2"/>
        <v>Feb</v>
      </c>
      <c r="D56" s="4">
        <v>201</v>
      </c>
      <c r="E56" s="4">
        <v>150</v>
      </c>
      <c r="F56" s="18">
        <f t="shared" ca="1" si="6"/>
        <v>492</v>
      </c>
      <c r="G56" s="18">
        <f ca="1">Table1[[#This Row],[Outbound call]]*Table1[[#This Row],[Average Call Duration]]</f>
        <v>98892</v>
      </c>
      <c r="H56" s="10">
        <f t="shared" si="5"/>
        <v>0.74626865671641796</v>
      </c>
    </row>
    <row r="57" spans="1:8" x14ac:dyDescent="0.25">
      <c r="A57" s="9">
        <v>44617</v>
      </c>
      <c r="B57" s="2">
        <f t="shared" si="4"/>
        <v>9</v>
      </c>
      <c r="C57" s="2" t="str">
        <f t="shared" si="2"/>
        <v>Feb</v>
      </c>
      <c r="D57" s="4">
        <v>294</v>
      </c>
      <c r="E57" s="4">
        <v>166</v>
      </c>
      <c r="F57" s="18">
        <f t="shared" ca="1" si="6"/>
        <v>337</v>
      </c>
      <c r="G57" s="18">
        <f ca="1">Table1[[#This Row],[Outbound call]]*Table1[[#This Row],[Average Call Duration]]</f>
        <v>99078</v>
      </c>
      <c r="H57" s="10">
        <f t="shared" si="5"/>
        <v>0.56462585034013602</v>
      </c>
    </row>
    <row r="58" spans="1:8" x14ac:dyDescent="0.25">
      <c r="A58" s="9">
        <v>44618</v>
      </c>
      <c r="B58" s="2">
        <f t="shared" si="4"/>
        <v>9</v>
      </c>
      <c r="C58" s="2" t="str">
        <f t="shared" si="2"/>
        <v>Feb</v>
      </c>
      <c r="D58" s="4">
        <v>366</v>
      </c>
      <c r="E58" s="4">
        <v>156</v>
      </c>
      <c r="F58" s="18">
        <f t="shared" ca="1" si="6"/>
        <v>484</v>
      </c>
      <c r="G58" s="18">
        <f ca="1">Table1[[#This Row],[Outbound call]]*Table1[[#This Row],[Average Call Duration]]</f>
        <v>177144</v>
      </c>
      <c r="H58" s="10">
        <f t="shared" si="5"/>
        <v>0.42622950819672129</v>
      </c>
    </row>
    <row r="59" spans="1:8" x14ac:dyDescent="0.25">
      <c r="A59" s="9">
        <v>44619</v>
      </c>
      <c r="B59" s="2">
        <f t="shared" si="4"/>
        <v>10</v>
      </c>
      <c r="C59" s="2" t="str">
        <f t="shared" si="2"/>
        <v>Feb</v>
      </c>
      <c r="D59" s="4">
        <v>399</v>
      </c>
      <c r="E59" s="4">
        <v>134</v>
      </c>
      <c r="F59" s="18">
        <f t="shared" ca="1" si="6"/>
        <v>312</v>
      </c>
      <c r="G59" s="18">
        <f ca="1">Table1[[#This Row],[Outbound call]]*Table1[[#This Row],[Average Call Duration]]</f>
        <v>124488</v>
      </c>
      <c r="H59" s="10">
        <f t="shared" si="5"/>
        <v>0.33583959899749372</v>
      </c>
    </row>
    <row r="60" spans="1:8" x14ac:dyDescent="0.25">
      <c r="A60" s="9">
        <v>44620</v>
      </c>
      <c r="B60" s="2">
        <f t="shared" si="4"/>
        <v>10</v>
      </c>
      <c r="C60" s="2" t="str">
        <f t="shared" si="2"/>
        <v>Feb</v>
      </c>
      <c r="D60" s="4">
        <v>213</v>
      </c>
      <c r="E60" s="4">
        <v>144</v>
      </c>
      <c r="F60" s="18">
        <f t="shared" ca="1" si="6"/>
        <v>478</v>
      </c>
      <c r="G60" s="18">
        <f ca="1">Table1[[#This Row],[Outbound call]]*Table1[[#This Row],[Average Call Duration]]</f>
        <v>101814</v>
      </c>
      <c r="H60" s="10">
        <f t="shared" si="5"/>
        <v>0.676056338028169</v>
      </c>
    </row>
    <row r="61" spans="1:8" x14ac:dyDescent="0.25">
      <c r="A61" s="9">
        <v>44621</v>
      </c>
      <c r="B61" s="2">
        <f t="shared" si="4"/>
        <v>10</v>
      </c>
      <c r="C61" s="2" t="str">
        <f t="shared" si="2"/>
        <v>Mar</v>
      </c>
      <c r="D61" s="4">
        <v>201</v>
      </c>
      <c r="E61" s="4">
        <v>135</v>
      </c>
      <c r="F61" s="18">
        <f t="shared" ca="1" si="6"/>
        <v>335</v>
      </c>
      <c r="G61" s="18">
        <f ca="1">Table1[[#This Row],[Outbound call]]*Table1[[#This Row],[Average Call Duration]]</f>
        <v>67335</v>
      </c>
      <c r="H61" s="10">
        <f t="shared" si="5"/>
        <v>0.67164179104477617</v>
      </c>
    </row>
    <row r="62" spans="1:8" x14ac:dyDescent="0.25">
      <c r="A62" s="9">
        <v>44622</v>
      </c>
      <c r="B62" s="2">
        <f t="shared" si="4"/>
        <v>10</v>
      </c>
      <c r="C62" s="2" t="str">
        <f t="shared" si="2"/>
        <v>Mar</v>
      </c>
      <c r="D62" s="4">
        <v>313</v>
      </c>
      <c r="E62" s="4">
        <v>125</v>
      </c>
      <c r="F62" s="18">
        <f t="shared" ca="1" si="6"/>
        <v>491</v>
      </c>
      <c r="G62" s="18">
        <f ca="1">Table1[[#This Row],[Outbound call]]*Table1[[#This Row],[Average Call Duration]]</f>
        <v>153683</v>
      </c>
      <c r="H62" s="10">
        <f t="shared" si="5"/>
        <v>0.39936102236421728</v>
      </c>
    </row>
    <row r="63" spans="1:8" x14ac:dyDescent="0.25">
      <c r="A63" s="9">
        <v>44623</v>
      </c>
      <c r="B63" s="2">
        <f t="shared" si="4"/>
        <v>10</v>
      </c>
      <c r="C63" s="2" t="str">
        <f t="shared" si="2"/>
        <v>Mar</v>
      </c>
      <c r="D63" s="4">
        <v>350</v>
      </c>
      <c r="E63" s="4">
        <v>143</v>
      </c>
      <c r="F63" s="18">
        <f t="shared" ca="1" si="6"/>
        <v>443</v>
      </c>
      <c r="G63" s="18">
        <f ca="1">Table1[[#This Row],[Outbound call]]*Table1[[#This Row],[Average Call Duration]]</f>
        <v>155050</v>
      </c>
      <c r="H63" s="10">
        <f t="shared" si="5"/>
        <v>0.40857142857142859</v>
      </c>
    </row>
    <row r="64" spans="1:8" x14ac:dyDescent="0.25">
      <c r="A64" s="9">
        <v>44624</v>
      </c>
      <c r="B64" s="2">
        <f t="shared" si="4"/>
        <v>10</v>
      </c>
      <c r="C64" s="2" t="str">
        <f t="shared" si="2"/>
        <v>Mar</v>
      </c>
      <c r="D64" s="4">
        <v>353</v>
      </c>
      <c r="E64" s="4">
        <v>155</v>
      </c>
      <c r="F64" s="18">
        <f t="shared" ca="1" si="6"/>
        <v>342</v>
      </c>
      <c r="G64" s="18">
        <f ca="1">Table1[[#This Row],[Outbound call]]*Table1[[#This Row],[Average Call Duration]]</f>
        <v>120726</v>
      </c>
      <c r="H64" s="10">
        <f t="shared" si="5"/>
        <v>0.43909348441926344</v>
      </c>
    </row>
    <row r="65" spans="1:8" x14ac:dyDescent="0.25">
      <c r="A65" s="9">
        <v>44625</v>
      </c>
      <c r="B65" s="2">
        <f t="shared" si="4"/>
        <v>10</v>
      </c>
      <c r="C65" s="2" t="str">
        <f t="shared" si="2"/>
        <v>Mar</v>
      </c>
      <c r="D65" s="4">
        <v>387</v>
      </c>
      <c r="E65" s="4">
        <v>135</v>
      </c>
      <c r="F65" s="18">
        <f t="shared" ca="1" si="6"/>
        <v>335</v>
      </c>
      <c r="G65" s="18">
        <f ca="1">Table1[[#This Row],[Outbound call]]*Table1[[#This Row],[Average Call Duration]]</f>
        <v>129645</v>
      </c>
      <c r="H65" s="10">
        <f t="shared" si="5"/>
        <v>0.34883720930232559</v>
      </c>
    </row>
    <row r="66" spans="1:8" x14ac:dyDescent="0.25">
      <c r="A66" s="9">
        <v>44626</v>
      </c>
      <c r="B66" s="2">
        <f t="shared" ref="B66:B121" si="7">WEEKNUM(A66)</f>
        <v>11</v>
      </c>
      <c r="C66" s="2" t="str">
        <f t="shared" si="2"/>
        <v>Mar</v>
      </c>
      <c r="D66" s="4">
        <v>224</v>
      </c>
      <c r="E66" s="4">
        <v>133</v>
      </c>
      <c r="F66" s="18">
        <f t="shared" ref="F66:F97" ca="1" si="8">RANDBETWEEN(300,500)</f>
        <v>455</v>
      </c>
      <c r="G66" s="18">
        <f ca="1">Table1[[#This Row],[Outbound call]]*Table1[[#This Row],[Average Call Duration]]</f>
        <v>101920</v>
      </c>
      <c r="H66" s="10">
        <f t="shared" ref="H66:H121" si="9">E66/D66</f>
        <v>0.59375</v>
      </c>
    </row>
    <row r="67" spans="1:8" x14ac:dyDescent="0.25">
      <c r="A67" s="9">
        <v>44627</v>
      </c>
      <c r="B67" s="2">
        <f t="shared" si="7"/>
        <v>11</v>
      </c>
      <c r="C67" s="2" t="str">
        <f t="shared" ref="C67:C121" si="10">TEXT(A67,"MMM")</f>
        <v>Mar</v>
      </c>
      <c r="D67" s="4">
        <v>347</v>
      </c>
      <c r="E67" s="4">
        <v>182</v>
      </c>
      <c r="F67" s="18">
        <f t="shared" ca="1" si="8"/>
        <v>432</v>
      </c>
      <c r="G67" s="18">
        <f ca="1">Table1[[#This Row],[Outbound call]]*Table1[[#This Row],[Average Call Duration]]</f>
        <v>149904</v>
      </c>
      <c r="H67" s="10">
        <f t="shared" si="9"/>
        <v>0.52449567723342938</v>
      </c>
    </row>
    <row r="68" spans="1:8" x14ac:dyDescent="0.25">
      <c r="A68" s="9">
        <v>44628</v>
      </c>
      <c r="B68" s="2">
        <f t="shared" si="7"/>
        <v>11</v>
      </c>
      <c r="C68" s="2" t="str">
        <f t="shared" si="10"/>
        <v>Mar</v>
      </c>
      <c r="D68" s="4">
        <v>331</v>
      </c>
      <c r="E68" s="4">
        <v>136</v>
      </c>
      <c r="F68" s="18">
        <f t="shared" ca="1" si="8"/>
        <v>497</v>
      </c>
      <c r="G68" s="18">
        <f ca="1">Table1[[#This Row],[Outbound call]]*Table1[[#This Row],[Average Call Duration]]</f>
        <v>164507</v>
      </c>
      <c r="H68" s="10">
        <f t="shared" si="9"/>
        <v>0.41087613293051362</v>
      </c>
    </row>
    <row r="69" spans="1:8" x14ac:dyDescent="0.25">
      <c r="A69" s="9">
        <v>44629</v>
      </c>
      <c r="B69" s="2">
        <f t="shared" si="7"/>
        <v>11</v>
      </c>
      <c r="C69" s="2" t="str">
        <f t="shared" si="10"/>
        <v>Mar</v>
      </c>
      <c r="D69" s="4">
        <v>391</v>
      </c>
      <c r="E69" s="4">
        <v>146</v>
      </c>
      <c r="F69" s="18">
        <f t="shared" ca="1" si="8"/>
        <v>412</v>
      </c>
      <c r="G69" s="18">
        <f ca="1">Table1[[#This Row],[Outbound call]]*Table1[[#This Row],[Average Call Duration]]</f>
        <v>161092</v>
      </c>
      <c r="H69" s="10">
        <f t="shared" si="9"/>
        <v>0.37340153452685421</v>
      </c>
    </row>
    <row r="70" spans="1:8" x14ac:dyDescent="0.25">
      <c r="A70" s="9">
        <v>44630</v>
      </c>
      <c r="B70" s="2">
        <f t="shared" si="7"/>
        <v>11</v>
      </c>
      <c r="C70" s="2" t="str">
        <f t="shared" si="10"/>
        <v>Mar</v>
      </c>
      <c r="D70" s="4">
        <v>322</v>
      </c>
      <c r="E70" s="4">
        <v>131</v>
      </c>
      <c r="F70" s="18">
        <f t="shared" ca="1" si="8"/>
        <v>479</v>
      </c>
      <c r="G70" s="18">
        <f ca="1">Table1[[#This Row],[Outbound call]]*Table1[[#This Row],[Average Call Duration]]</f>
        <v>154238</v>
      </c>
      <c r="H70" s="10">
        <f t="shared" si="9"/>
        <v>0.40683229813664595</v>
      </c>
    </row>
    <row r="71" spans="1:8" x14ac:dyDescent="0.25">
      <c r="A71" s="9">
        <v>44631</v>
      </c>
      <c r="B71" s="2">
        <f t="shared" si="7"/>
        <v>11</v>
      </c>
      <c r="C71" s="2" t="str">
        <f t="shared" si="10"/>
        <v>Mar</v>
      </c>
      <c r="D71" s="4">
        <v>357</v>
      </c>
      <c r="E71" s="4">
        <v>131</v>
      </c>
      <c r="F71" s="18">
        <f t="shared" ca="1" si="8"/>
        <v>432</v>
      </c>
      <c r="G71" s="18">
        <f ca="1">Table1[[#This Row],[Outbound call]]*Table1[[#This Row],[Average Call Duration]]</f>
        <v>154224</v>
      </c>
      <c r="H71" s="10">
        <f t="shared" si="9"/>
        <v>0.36694677871148457</v>
      </c>
    </row>
    <row r="72" spans="1:8" x14ac:dyDescent="0.25">
      <c r="A72" s="9">
        <v>44632</v>
      </c>
      <c r="B72" s="2">
        <f t="shared" si="7"/>
        <v>11</v>
      </c>
      <c r="C72" s="2" t="str">
        <f t="shared" si="10"/>
        <v>Mar</v>
      </c>
      <c r="D72" s="4">
        <v>288</v>
      </c>
      <c r="E72" s="4">
        <v>171</v>
      </c>
      <c r="F72" s="18">
        <f t="shared" ca="1" si="8"/>
        <v>327</v>
      </c>
      <c r="G72" s="18">
        <f ca="1">Table1[[#This Row],[Outbound call]]*Table1[[#This Row],[Average Call Duration]]</f>
        <v>94176</v>
      </c>
      <c r="H72" s="10">
        <f t="shared" si="9"/>
        <v>0.59375</v>
      </c>
    </row>
    <row r="73" spans="1:8" x14ac:dyDescent="0.25">
      <c r="A73" s="9">
        <v>44633</v>
      </c>
      <c r="B73" s="2">
        <f t="shared" si="7"/>
        <v>12</v>
      </c>
      <c r="C73" s="2" t="str">
        <f t="shared" si="10"/>
        <v>Mar</v>
      </c>
      <c r="D73" s="4">
        <v>346</v>
      </c>
      <c r="E73" s="4">
        <v>176</v>
      </c>
      <c r="F73" s="18">
        <f t="shared" ca="1" si="8"/>
        <v>327</v>
      </c>
      <c r="G73" s="18">
        <f ca="1">Table1[[#This Row],[Outbound call]]*Table1[[#This Row],[Average Call Duration]]</f>
        <v>113142</v>
      </c>
      <c r="H73" s="10">
        <f t="shared" si="9"/>
        <v>0.50867052023121384</v>
      </c>
    </row>
    <row r="74" spans="1:8" x14ac:dyDescent="0.25">
      <c r="A74" s="9">
        <v>44634</v>
      </c>
      <c r="B74" s="2">
        <f t="shared" si="7"/>
        <v>12</v>
      </c>
      <c r="C74" s="2" t="str">
        <f t="shared" si="10"/>
        <v>Mar</v>
      </c>
      <c r="D74" s="4">
        <v>245</v>
      </c>
      <c r="E74" s="4">
        <v>148</v>
      </c>
      <c r="F74" s="18">
        <f t="shared" ca="1" si="8"/>
        <v>358</v>
      </c>
      <c r="G74" s="18">
        <f ca="1">Table1[[#This Row],[Outbound call]]*Table1[[#This Row],[Average Call Duration]]</f>
        <v>87710</v>
      </c>
      <c r="H74" s="10">
        <f t="shared" si="9"/>
        <v>0.60408163265306125</v>
      </c>
    </row>
    <row r="75" spans="1:8" x14ac:dyDescent="0.25">
      <c r="A75" s="9">
        <v>44635</v>
      </c>
      <c r="B75" s="2">
        <f t="shared" si="7"/>
        <v>12</v>
      </c>
      <c r="C75" s="2" t="str">
        <f t="shared" si="10"/>
        <v>Mar</v>
      </c>
      <c r="D75" s="4">
        <v>257</v>
      </c>
      <c r="E75" s="4">
        <v>182</v>
      </c>
      <c r="F75" s="18">
        <f t="shared" ca="1" si="8"/>
        <v>391</v>
      </c>
      <c r="G75" s="18">
        <f ca="1">Table1[[#This Row],[Outbound call]]*Table1[[#This Row],[Average Call Duration]]</f>
        <v>100487</v>
      </c>
      <c r="H75" s="10">
        <f t="shared" si="9"/>
        <v>0.70817120622568097</v>
      </c>
    </row>
    <row r="76" spans="1:8" x14ac:dyDescent="0.25">
      <c r="A76" s="9">
        <v>44636</v>
      </c>
      <c r="B76" s="2">
        <f t="shared" si="7"/>
        <v>12</v>
      </c>
      <c r="C76" s="2" t="str">
        <f t="shared" si="10"/>
        <v>Mar</v>
      </c>
      <c r="D76" s="4">
        <v>245</v>
      </c>
      <c r="E76" s="4">
        <v>151</v>
      </c>
      <c r="F76" s="18">
        <f t="shared" ca="1" si="8"/>
        <v>342</v>
      </c>
      <c r="G76" s="18">
        <f ca="1">Table1[[#This Row],[Outbound call]]*Table1[[#This Row],[Average Call Duration]]</f>
        <v>83790</v>
      </c>
      <c r="H76" s="10">
        <f t="shared" si="9"/>
        <v>0.61632653061224485</v>
      </c>
    </row>
    <row r="77" spans="1:8" x14ac:dyDescent="0.25">
      <c r="A77" s="9">
        <v>44637</v>
      </c>
      <c r="B77" s="2">
        <f t="shared" si="7"/>
        <v>12</v>
      </c>
      <c r="C77" s="2" t="str">
        <f t="shared" si="10"/>
        <v>Mar</v>
      </c>
      <c r="D77" s="4">
        <v>257</v>
      </c>
      <c r="E77" s="4">
        <v>126</v>
      </c>
      <c r="F77" s="18">
        <f t="shared" ca="1" si="8"/>
        <v>301</v>
      </c>
      <c r="G77" s="18">
        <f ca="1">Table1[[#This Row],[Outbound call]]*Table1[[#This Row],[Average Call Duration]]</f>
        <v>77357</v>
      </c>
      <c r="H77" s="10">
        <f t="shared" si="9"/>
        <v>0.49027237354085601</v>
      </c>
    </row>
    <row r="78" spans="1:8" x14ac:dyDescent="0.25">
      <c r="A78" s="9">
        <v>44638</v>
      </c>
      <c r="B78" s="2">
        <f t="shared" si="7"/>
        <v>12</v>
      </c>
      <c r="C78" s="2" t="str">
        <f t="shared" si="10"/>
        <v>Mar</v>
      </c>
      <c r="D78" s="4">
        <v>320</v>
      </c>
      <c r="E78" s="4">
        <v>177</v>
      </c>
      <c r="F78" s="18">
        <f t="shared" ca="1" si="8"/>
        <v>419</v>
      </c>
      <c r="G78" s="18">
        <f ca="1">Table1[[#This Row],[Outbound call]]*Table1[[#This Row],[Average Call Duration]]</f>
        <v>134080</v>
      </c>
      <c r="H78" s="10">
        <f t="shared" si="9"/>
        <v>0.55312499999999998</v>
      </c>
    </row>
    <row r="79" spans="1:8" x14ac:dyDescent="0.25">
      <c r="A79" s="9">
        <v>44639</v>
      </c>
      <c r="B79" s="2">
        <f t="shared" si="7"/>
        <v>12</v>
      </c>
      <c r="C79" s="2" t="str">
        <f t="shared" si="10"/>
        <v>Mar</v>
      </c>
      <c r="D79" s="4">
        <v>332</v>
      </c>
      <c r="E79" s="4">
        <v>163</v>
      </c>
      <c r="F79" s="18">
        <f t="shared" ca="1" si="8"/>
        <v>306</v>
      </c>
      <c r="G79" s="18">
        <f ca="1">Table1[[#This Row],[Outbound call]]*Table1[[#This Row],[Average Call Duration]]</f>
        <v>101592</v>
      </c>
      <c r="H79" s="10">
        <f t="shared" si="9"/>
        <v>0.49096385542168675</v>
      </c>
    </row>
    <row r="80" spans="1:8" x14ac:dyDescent="0.25">
      <c r="A80" s="9">
        <v>44640</v>
      </c>
      <c r="B80" s="2">
        <f t="shared" si="7"/>
        <v>13</v>
      </c>
      <c r="C80" s="2" t="str">
        <f t="shared" si="10"/>
        <v>Mar</v>
      </c>
      <c r="D80" s="4">
        <v>318</v>
      </c>
      <c r="E80" s="4">
        <v>170</v>
      </c>
      <c r="F80" s="18">
        <f t="shared" ca="1" si="8"/>
        <v>315</v>
      </c>
      <c r="G80" s="18">
        <f ca="1">Table1[[#This Row],[Outbound call]]*Table1[[#This Row],[Average Call Duration]]</f>
        <v>100170</v>
      </c>
      <c r="H80" s="10">
        <f t="shared" si="9"/>
        <v>0.53459119496855345</v>
      </c>
    </row>
    <row r="81" spans="1:8" x14ac:dyDescent="0.25">
      <c r="A81" s="9">
        <v>44641</v>
      </c>
      <c r="B81" s="2">
        <f t="shared" si="7"/>
        <v>13</v>
      </c>
      <c r="C81" s="2" t="str">
        <f t="shared" si="10"/>
        <v>Mar</v>
      </c>
      <c r="D81" s="4">
        <v>232</v>
      </c>
      <c r="E81" s="4">
        <v>143</v>
      </c>
      <c r="F81" s="18">
        <f t="shared" ca="1" si="8"/>
        <v>461</v>
      </c>
      <c r="G81" s="18">
        <f ca="1">Table1[[#This Row],[Outbound call]]*Table1[[#This Row],[Average Call Duration]]</f>
        <v>106952</v>
      </c>
      <c r="H81" s="10">
        <f t="shared" si="9"/>
        <v>0.61637931034482762</v>
      </c>
    </row>
    <row r="82" spans="1:8" x14ac:dyDescent="0.25">
      <c r="A82" s="9">
        <v>44642</v>
      </c>
      <c r="B82" s="2">
        <f t="shared" si="7"/>
        <v>13</v>
      </c>
      <c r="C82" s="2" t="str">
        <f t="shared" si="10"/>
        <v>Mar</v>
      </c>
      <c r="D82" s="4">
        <v>392</v>
      </c>
      <c r="E82" s="4">
        <v>171</v>
      </c>
      <c r="F82" s="18">
        <f t="shared" ca="1" si="8"/>
        <v>466</v>
      </c>
      <c r="G82" s="18">
        <f ca="1">Table1[[#This Row],[Outbound call]]*Table1[[#This Row],[Average Call Duration]]</f>
        <v>182672</v>
      </c>
      <c r="H82" s="10">
        <f t="shared" si="9"/>
        <v>0.43622448979591838</v>
      </c>
    </row>
    <row r="83" spans="1:8" x14ac:dyDescent="0.25">
      <c r="A83" s="9">
        <v>44643</v>
      </c>
      <c r="B83" s="2">
        <f t="shared" si="7"/>
        <v>13</v>
      </c>
      <c r="C83" s="2" t="str">
        <f t="shared" si="10"/>
        <v>Mar</v>
      </c>
      <c r="D83" s="4">
        <v>246</v>
      </c>
      <c r="E83" s="4">
        <v>133</v>
      </c>
      <c r="F83" s="18">
        <f t="shared" ca="1" si="8"/>
        <v>374</v>
      </c>
      <c r="G83" s="18">
        <f ca="1">Table1[[#This Row],[Outbound call]]*Table1[[#This Row],[Average Call Duration]]</f>
        <v>92004</v>
      </c>
      <c r="H83" s="10">
        <f t="shared" si="9"/>
        <v>0.54065040650406504</v>
      </c>
    </row>
    <row r="84" spans="1:8" x14ac:dyDescent="0.25">
      <c r="A84" s="9">
        <v>44644</v>
      </c>
      <c r="B84" s="2">
        <f t="shared" si="7"/>
        <v>13</v>
      </c>
      <c r="C84" s="2" t="str">
        <f t="shared" si="10"/>
        <v>Mar</v>
      </c>
      <c r="D84" s="4">
        <v>345</v>
      </c>
      <c r="E84" s="4">
        <v>133</v>
      </c>
      <c r="F84" s="18">
        <f t="shared" ca="1" si="8"/>
        <v>480</v>
      </c>
      <c r="G84" s="18">
        <f ca="1">Table1[[#This Row],[Outbound call]]*Table1[[#This Row],[Average Call Duration]]</f>
        <v>165600</v>
      </c>
      <c r="H84" s="10">
        <f t="shared" si="9"/>
        <v>0.38550724637681161</v>
      </c>
    </row>
    <row r="85" spans="1:8" x14ac:dyDescent="0.25">
      <c r="A85" s="9">
        <v>44645</v>
      </c>
      <c r="B85" s="2">
        <f t="shared" si="7"/>
        <v>13</v>
      </c>
      <c r="C85" s="2" t="str">
        <f t="shared" si="10"/>
        <v>Mar</v>
      </c>
      <c r="D85" s="4">
        <v>382</v>
      </c>
      <c r="E85" s="4">
        <v>126</v>
      </c>
      <c r="F85" s="18">
        <f t="shared" ca="1" si="8"/>
        <v>437</v>
      </c>
      <c r="G85" s="18">
        <f ca="1">Table1[[#This Row],[Outbound call]]*Table1[[#This Row],[Average Call Duration]]</f>
        <v>166934</v>
      </c>
      <c r="H85" s="10">
        <f t="shared" si="9"/>
        <v>0.32984293193717279</v>
      </c>
    </row>
    <row r="86" spans="1:8" x14ac:dyDescent="0.25">
      <c r="A86" s="9">
        <v>44646</v>
      </c>
      <c r="B86" s="2">
        <f t="shared" si="7"/>
        <v>13</v>
      </c>
      <c r="C86" s="2" t="str">
        <f t="shared" si="10"/>
        <v>Mar</v>
      </c>
      <c r="D86" s="4">
        <v>279</v>
      </c>
      <c r="E86" s="4">
        <v>153</v>
      </c>
      <c r="F86" s="18">
        <f t="shared" ca="1" si="8"/>
        <v>434</v>
      </c>
      <c r="G86" s="18">
        <f ca="1">Table1[[#This Row],[Outbound call]]*Table1[[#This Row],[Average Call Duration]]</f>
        <v>121086</v>
      </c>
      <c r="H86" s="10">
        <f t="shared" si="9"/>
        <v>0.54838709677419351</v>
      </c>
    </row>
    <row r="87" spans="1:8" x14ac:dyDescent="0.25">
      <c r="A87" s="9">
        <v>44647</v>
      </c>
      <c r="B87" s="2">
        <f t="shared" si="7"/>
        <v>14</v>
      </c>
      <c r="C87" s="2" t="str">
        <f t="shared" si="10"/>
        <v>Mar</v>
      </c>
      <c r="D87" s="4">
        <v>371</v>
      </c>
      <c r="E87" s="4">
        <v>152</v>
      </c>
      <c r="F87" s="18">
        <f t="shared" ca="1" si="8"/>
        <v>309</v>
      </c>
      <c r="G87" s="18">
        <f ca="1">Table1[[#This Row],[Outbound call]]*Table1[[#This Row],[Average Call Duration]]</f>
        <v>114639</v>
      </c>
      <c r="H87" s="10">
        <f t="shared" si="9"/>
        <v>0.40970350404312667</v>
      </c>
    </row>
    <row r="88" spans="1:8" x14ac:dyDescent="0.25">
      <c r="A88" s="9">
        <v>44648</v>
      </c>
      <c r="B88" s="2">
        <f t="shared" si="7"/>
        <v>14</v>
      </c>
      <c r="C88" s="2" t="str">
        <f t="shared" si="10"/>
        <v>Mar</v>
      </c>
      <c r="D88" s="4">
        <v>257</v>
      </c>
      <c r="E88" s="4">
        <v>157</v>
      </c>
      <c r="F88" s="18">
        <f t="shared" ca="1" si="8"/>
        <v>391</v>
      </c>
      <c r="G88" s="18">
        <f ca="1">Table1[[#This Row],[Outbound call]]*Table1[[#This Row],[Average Call Duration]]</f>
        <v>100487</v>
      </c>
      <c r="H88" s="10">
        <f t="shared" si="9"/>
        <v>0.6108949416342413</v>
      </c>
    </row>
    <row r="89" spans="1:8" x14ac:dyDescent="0.25">
      <c r="A89" s="9">
        <v>44649</v>
      </c>
      <c r="B89" s="2">
        <f t="shared" si="7"/>
        <v>14</v>
      </c>
      <c r="C89" s="2" t="str">
        <f t="shared" si="10"/>
        <v>Mar</v>
      </c>
      <c r="D89" s="4">
        <v>256</v>
      </c>
      <c r="E89" s="4">
        <v>151</v>
      </c>
      <c r="F89" s="18">
        <f t="shared" ca="1" si="8"/>
        <v>482</v>
      </c>
      <c r="G89" s="18">
        <f ca="1">Table1[[#This Row],[Outbound call]]*Table1[[#This Row],[Average Call Duration]]</f>
        <v>123392</v>
      </c>
      <c r="H89" s="10">
        <f t="shared" si="9"/>
        <v>0.58984375</v>
      </c>
    </row>
    <row r="90" spans="1:8" x14ac:dyDescent="0.25">
      <c r="A90" s="9">
        <v>44650</v>
      </c>
      <c r="B90" s="2">
        <f t="shared" si="7"/>
        <v>14</v>
      </c>
      <c r="C90" s="2" t="str">
        <f t="shared" si="10"/>
        <v>Mar</v>
      </c>
      <c r="D90" s="4">
        <v>349</v>
      </c>
      <c r="E90" s="4">
        <v>141</v>
      </c>
      <c r="F90" s="18">
        <f t="shared" ca="1" si="8"/>
        <v>351</v>
      </c>
      <c r="G90" s="18">
        <f ca="1">Table1[[#This Row],[Outbound call]]*Table1[[#This Row],[Average Call Duration]]</f>
        <v>122499</v>
      </c>
      <c r="H90" s="10">
        <f t="shared" si="9"/>
        <v>0.4040114613180516</v>
      </c>
    </row>
    <row r="91" spans="1:8" x14ac:dyDescent="0.25">
      <c r="A91" s="9">
        <v>44651</v>
      </c>
      <c r="B91" s="2">
        <f t="shared" si="7"/>
        <v>14</v>
      </c>
      <c r="C91" s="2" t="str">
        <f t="shared" si="10"/>
        <v>Mar</v>
      </c>
      <c r="D91" s="4">
        <v>285</v>
      </c>
      <c r="E91" s="4">
        <v>170</v>
      </c>
      <c r="F91" s="18">
        <f t="shared" ca="1" si="8"/>
        <v>443</v>
      </c>
      <c r="G91" s="18">
        <f ca="1">Table1[[#This Row],[Outbound call]]*Table1[[#This Row],[Average Call Duration]]</f>
        <v>126255</v>
      </c>
      <c r="H91" s="10">
        <f t="shared" si="9"/>
        <v>0.59649122807017541</v>
      </c>
    </row>
    <row r="92" spans="1:8" x14ac:dyDescent="0.25">
      <c r="A92" s="9">
        <v>44652</v>
      </c>
      <c r="B92" s="2">
        <f t="shared" si="7"/>
        <v>14</v>
      </c>
      <c r="C92" s="2" t="str">
        <f t="shared" si="10"/>
        <v>Apr</v>
      </c>
      <c r="D92" s="4">
        <v>237</v>
      </c>
      <c r="E92" s="4">
        <v>247</v>
      </c>
      <c r="F92" s="18">
        <f t="shared" ca="1" si="8"/>
        <v>371</v>
      </c>
      <c r="G92" s="18">
        <f ca="1">Table1[[#This Row],[Outbound call]]*Table1[[#This Row],[Average Call Duration]]</f>
        <v>87927</v>
      </c>
      <c r="H92" s="10">
        <f t="shared" si="9"/>
        <v>1.0421940928270041</v>
      </c>
    </row>
    <row r="93" spans="1:8" x14ac:dyDescent="0.25">
      <c r="A93" s="9">
        <v>44653</v>
      </c>
      <c r="B93" s="2">
        <f t="shared" si="7"/>
        <v>14</v>
      </c>
      <c r="C93" s="2" t="str">
        <f t="shared" si="10"/>
        <v>Apr</v>
      </c>
      <c r="D93" s="4">
        <v>298</v>
      </c>
      <c r="E93" s="4">
        <v>214</v>
      </c>
      <c r="F93" s="18">
        <f t="shared" ca="1" si="8"/>
        <v>470</v>
      </c>
      <c r="G93" s="18">
        <f ca="1">Table1[[#This Row],[Outbound call]]*Table1[[#This Row],[Average Call Duration]]</f>
        <v>140060</v>
      </c>
      <c r="H93" s="10">
        <f t="shared" si="9"/>
        <v>0.71812080536912748</v>
      </c>
    </row>
    <row r="94" spans="1:8" x14ac:dyDescent="0.25">
      <c r="A94" s="9">
        <v>44654</v>
      </c>
      <c r="B94" s="2">
        <f t="shared" si="7"/>
        <v>15</v>
      </c>
      <c r="C94" s="2" t="str">
        <f t="shared" si="10"/>
        <v>Apr</v>
      </c>
      <c r="D94" s="4">
        <v>347</v>
      </c>
      <c r="E94" s="4">
        <v>188</v>
      </c>
      <c r="F94" s="18">
        <f t="shared" ca="1" si="8"/>
        <v>348</v>
      </c>
      <c r="G94" s="18">
        <f ca="1">Table1[[#This Row],[Outbound call]]*Table1[[#This Row],[Average Call Duration]]</f>
        <v>120756</v>
      </c>
      <c r="H94" s="10">
        <f t="shared" si="9"/>
        <v>0.5417867435158501</v>
      </c>
    </row>
    <row r="95" spans="1:8" x14ac:dyDescent="0.25">
      <c r="A95" s="9">
        <v>44655</v>
      </c>
      <c r="B95" s="2">
        <f t="shared" si="7"/>
        <v>15</v>
      </c>
      <c r="C95" s="2" t="str">
        <f t="shared" si="10"/>
        <v>Apr</v>
      </c>
      <c r="D95" s="4">
        <v>236</v>
      </c>
      <c r="E95" s="4">
        <v>237</v>
      </c>
      <c r="F95" s="18">
        <f t="shared" ca="1" si="8"/>
        <v>481</v>
      </c>
      <c r="G95" s="18">
        <f ca="1">Table1[[#This Row],[Outbound call]]*Table1[[#This Row],[Average Call Duration]]</f>
        <v>113516</v>
      </c>
      <c r="H95" s="10">
        <f t="shared" si="9"/>
        <v>1.0042372881355932</v>
      </c>
    </row>
    <row r="96" spans="1:8" x14ac:dyDescent="0.25">
      <c r="A96" s="9">
        <v>44656</v>
      </c>
      <c r="B96" s="2">
        <f t="shared" si="7"/>
        <v>15</v>
      </c>
      <c r="C96" s="2" t="str">
        <f t="shared" si="10"/>
        <v>Apr</v>
      </c>
      <c r="D96" s="4">
        <v>277</v>
      </c>
      <c r="E96" s="4">
        <v>171</v>
      </c>
      <c r="F96" s="18">
        <f t="shared" ca="1" si="8"/>
        <v>348</v>
      </c>
      <c r="G96" s="18">
        <f ca="1">Table1[[#This Row],[Outbound call]]*Table1[[#This Row],[Average Call Duration]]</f>
        <v>96396</v>
      </c>
      <c r="H96" s="10">
        <f t="shared" si="9"/>
        <v>0.61732851985559567</v>
      </c>
    </row>
    <row r="97" spans="1:8" x14ac:dyDescent="0.25">
      <c r="A97" s="9">
        <v>44657</v>
      </c>
      <c r="B97" s="2">
        <f t="shared" si="7"/>
        <v>15</v>
      </c>
      <c r="C97" s="2" t="str">
        <f t="shared" si="10"/>
        <v>Apr</v>
      </c>
      <c r="D97" s="4">
        <v>395</v>
      </c>
      <c r="E97" s="4">
        <v>237</v>
      </c>
      <c r="F97" s="18">
        <f t="shared" ca="1" si="8"/>
        <v>399</v>
      </c>
      <c r="G97" s="18">
        <f ca="1">Table1[[#This Row],[Outbound call]]*Table1[[#This Row],[Average Call Duration]]</f>
        <v>157605</v>
      </c>
      <c r="H97" s="10">
        <f t="shared" si="9"/>
        <v>0.6</v>
      </c>
    </row>
    <row r="98" spans="1:8" x14ac:dyDescent="0.25">
      <c r="A98" s="9">
        <v>44658</v>
      </c>
      <c r="B98" s="2">
        <f t="shared" si="7"/>
        <v>15</v>
      </c>
      <c r="C98" s="2" t="str">
        <f t="shared" si="10"/>
        <v>Apr</v>
      </c>
      <c r="D98" s="4">
        <v>379</v>
      </c>
      <c r="E98" s="4">
        <v>216</v>
      </c>
      <c r="F98" s="18">
        <f t="shared" ref="F98:F121" ca="1" si="11">RANDBETWEEN(300,500)</f>
        <v>312</v>
      </c>
      <c r="G98" s="18">
        <f ca="1">Table1[[#This Row],[Outbound call]]*Table1[[#This Row],[Average Call Duration]]</f>
        <v>118248</v>
      </c>
      <c r="H98" s="10">
        <f t="shared" si="9"/>
        <v>0.56992084432717682</v>
      </c>
    </row>
    <row r="99" spans="1:8" x14ac:dyDescent="0.25">
      <c r="A99" s="9">
        <v>44659</v>
      </c>
      <c r="B99" s="2">
        <f t="shared" si="7"/>
        <v>15</v>
      </c>
      <c r="C99" s="2" t="str">
        <f t="shared" si="10"/>
        <v>Apr</v>
      </c>
      <c r="D99" s="4">
        <v>332</v>
      </c>
      <c r="E99" s="4">
        <v>219</v>
      </c>
      <c r="F99" s="18">
        <f t="shared" ca="1" si="11"/>
        <v>314</v>
      </c>
      <c r="G99" s="18">
        <f ca="1">Table1[[#This Row],[Outbound call]]*Table1[[#This Row],[Average Call Duration]]</f>
        <v>104248</v>
      </c>
      <c r="H99" s="10">
        <f t="shared" si="9"/>
        <v>0.65963855421686746</v>
      </c>
    </row>
    <row r="100" spans="1:8" x14ac:dyDescent="0.25">
      <c r="A100" s="9">
        <v>44660</v>
      </c>
      <c r="B100" s="2">
        <f t="shared" si="7"/>
        <v>15</v>
      </c>
      <c r="C100" s="2" t="str">
        <f t="shared" si="10"/>
        <v>Apr</v>
      </c>
      <c r="D100" s="4">
        <v>331</v>
      </c>
      <c r="E100" s="4">
        <v>169</v>
      </c>
      <c r="F100" s="18">
        <f t="shared" ca="1" si="11"/>
        <v>447</v>
      </c>
      <c r="G100" s="18">
        <f ca="1">Table1[[#This Row],[Outbound call]]*Table1[[#This Row],[Average Call Duration]]</f>
        <v>147957</v>
      </c>
      <c r="H100" s="10">
        <f t="shared" si="9"/>
        <v>0.51057401812688818</v>
      </c>
    </row>
    <row r="101" spans="1:8" x14ac:dyDescent="0.25">
      <c r="A101" s="9">
        <v>44661</v>
      </c>
      <c r="B101" s="2">
        <f t="shared" si="7"/>
        <v>16</v>
      </c>
      <c r="C101" s="2" t="str">
        <f t="shared" si="10"/>
        <v>Apr</v>
      </c>
      <c r="D101" s="4">
        <v>253</v>
      </c>
      <c r="E101" s="4">
        <v>164</v>
      </c>
      <c r="F101" s="18">
        <f t="shared" ca="1" si="11"/>
        <v>318</v>
      </c>
      <c r="G101" s="18">
        <f ca="1">Table1[[#This Row],[Outbound call]]*Table1[[#This Row],[Average Call Duration]]</f>
        <v>80454</v>
      </c>
      <c r="H101" s="10">
        <f t="shared" si="9"/>
        <v>0.64822134387351782</v>
      </c>
    </row>
    <row r="102" spans="1:8" x14ac:dyDescent="0.25">
      <c r="A102" s="9">
        <v>44662</v>
      </c>
      <c r="B102" s="2">
        <f t="shared" si="7"/>
        <v>16</v>
      </c>
      <c r="C102" s="2" t="str">
        <f t="shared" si="10"/>
        <v>Apr</v>
      </c>
      <c r="D102" s="4">
        <v>327</v>
      </c>
      <c r="E102" s="4">
        <v>164</v>
      </c>
      <c r="F102" s="18">
        <f t="shared" ca="1" si="11"/>
        <v>335</v>
      </c>
      <c r="G102" s="18">
        <f ca="1">Table1[[#This Row],[Outbound call]]*Table1[[#This Row],[Average Call Duration]]</f>
        <v>109545</v>
      </c>
      <c r="H102" s="10">
        <f t="shared" si="9"/>
        <v>0.50152905198776754</v>
      </c>
    </row>
    <row r="103" spans="1:8" x14ac:dyDescent="0.25">
      <c r="A103" s="9">
        <v>44663</v>
      </c>
      <c r="B103" s="2">
        <f t="shared" si="7"/>
        <v>16</v>
      </c>
      <c r="C103" s="2" t="str">
        <f t="shared" si="10"/>
        <v>Apr</v>
      </c>
      <c r="D103" s="4">
        <v>286</v>
      </c>
      <c r="E103" s="4">
        <v>223</v>
      </c>
      <c r="F103" s="18">
        <f t="shared" ca="1" si="11"/>
        <v>377</v>
      </c>
      <c r="G103" s="18">
        <f ca="1">Table1[[#This Row],[Outbound call]]*Table1[[#This Row],[Average Call Duration]]</f>
        <v>107822</v>
      </c>
      <c r="H103" s="10">
        <f t="shared" si="9"/>
        <v>0.77972027972027969</v>
      </c>
    </row>
    <row r="104" spans="1:8" x14ac:dyDescent="0.25">
      <c r="A104" s="9">
        <v>44664</v>
      </c>
      <c r="B104" s="2">
        <f t="shared" si="7"/>
        <v>16</v>
      </c>
      <c r="C104" s="2" t="str">
        <f t="shared" si="10"/>
        <v>Apr</v>
      </c>
      <c r="D104" s="4">
        <v>315</v>
      </c>
      <c r="E104" s="4">
        <v>195</v>
      </c>
      <c r="F104" s="18">
        <f t="shared" ca="1" si="11"/>
        <v>300</v>
      </c>
      <c r="G104" s="18">
        <f ca="1">Table1[[#This Row],[Outbound call]]*Table1[[#This Row],[Average Call Duration]]</f>
        <v>94500</v>
      </c>
      <c r="H104" s="10">
        <f t="shared" si="9"/>
        <v>0.61904761904761907</v>
      </c>
    </row>
    <row r="105" spans="1:8" x14ac:dyDescent="0.25">
      <c r="A105" s="9">
        <v>44665</v>
      </c>
      <c r="B105" s="2">
        <f t="shared" si="7"/>
        <v>16</v>
      </c>
      <c r="C105" s="2" t="str">
        <f t="shared" si="10"/>
        <v>Apr</v>
      </c>
      <c r="D105" s="4">
        <v>300</v>
      </c>
      <c r="E105" s="4">
        <v>213</v>
      </c>
      <c r="F105" s="18">
        <f t="shared" ca="1" si="11"/>
        <v>497</v>
      </c>
      <c r="G105" s="18">
        <f ca="1">Table1[[#This Row],[Outbound call]]*Table1[[#This Row],[Average Call Duration]]</f>
        <v>149100</v>
      </c>
      <c r="H105" s="10">
        <f t="shared" si="9"/>
        <v>0.71</v>
      </c>
    </row>
    <row r="106" spans="1:8" x14ac:dyDescent="0.25">
      <c r="A106" s="9">
        <v>44666</v>
      </c>
      <c r="B106" s="2">
        <f t="shared" si="7"/>
        <v>16</v>
      </c>
      <c r="C106" s="2" t="str">
        <f t="shared" si="10"/>
        <v>Apr</v>
      </c>
      <c r="D106" s="4">
        <v>341</v>
      </c>
      <c r="E106" s="4">
        <v>201</v>
      </c>
      <c r="F106" s="18">
        <f t="shared" ca="1" si="11"/>
        <v>344</v>
      </c>
      <c r="G106" s="18">
        <f ca="1">Table1[[#This Row],[Outbound call]]*Table1[[#This Row],[Average Call Duration]]</f>
        <v>117304</v>
      </c>
      <c r="H106" s="10">
        <f t="shared" si="9"/>
        <v>0.58944281524926689</v>
      </c>
    </row>
    <row r="107" spans="1:8" x14ac:dyDescent="0.25">
      <c r="A107" s="9">
        <v>44667</v>
      </c>
      <c r="B107" s="2">
        <f t="shared" si="7"/>
        <v>16</v>
      </c>
      <c r="C107" s="2" t="str">
        <f t="shared" si="10"/>
        <v>Apr</v>
      </c>
      <c r="D107" s="4">
        <v>286</v>
      </c>
      <c r="E107" s="4">
        <v>236</v>
      </c>
      <c r="F107" s="18">
        <f t="shared" ca="1" si="11"/>
        <v>394</v>
      </c>
      <c r="G107" s="18">
        <f ca="1">Table1[[#This Row],[Outbound call]]*Table1[[#This Row],[Average Call Duration]]</f>
        <v>112684</v>
      </c>
      <c r="H107" s="10">
        <f t="shared" si="9"/>
        <v>0.82517482517482521</v>
      </c>
    </row>
    <row r="108" spans="1:8" x14ac:dyDescent="0.25">
      <c r="A108" s="9">
        <v>44668</v>
      </c>
      <c r="B108" s="2">
        <f t="shared" si="7"/>
        <v>17</v>
      </c>
      <c r="C108" s="2" t="str">
        <f t="shared" si="10"/>
        <v>Apr</v>
      </c>
      <c r="D108" s="4">
        <v>269</v>
      </c>
      <c r="E108" s="4">
        <v>229</v>
      </c>
      <c r="F108" s="18">
        <f t="shared" ca="1" si="11"/>
        <v>303</v>
      </c>
      <c r="G108" s="18">
        <f ca="1">Table1[[#This Row],[Outbound call]]*Table1[[#This Row],[Average Call Duration]]</f>
        <v>81507</v>
      </c>
      <c r="H108" s="10">
        <f t="shared" si="9"/>
        <v>0.85130111524163565</v>
      </c>
    </row>
    <row r="109" spans="1:8" x14ac:dyDescent="0.25">
      <c r="A109" s="9">
        <v>44669</v>
      </c>
      <c r="B109" s="2">
        <f t="shared" si="7"/>
        <v>17</v>
      </c>
      <c r="C109" s="2" t="str">
        <f t="shared" si="10"/>
        <v>Apr</v>
      </c>
      <c r="D109" s="4">
        <v>300</v>
      </c>
      <c r="E109" s="4">
        <v>237</v>
      </c>
      <c r="F109" s="18">
        <f t="shared" ca="1" si="11"/>
        <v>411</v>
      </c>
      <c r="G109" s="18">
        <f ca="1">Table1[[#This Row],[Outbound call]]*Table1[[#This Row],[Average Call Duration]]</f>
        <v>123300</v>
      </c>
      <c r="H109" s="10">
        <f t="shared" si="9"/>
        <v>0.79</v>
      </c>
    </row>
    <row r="110" spans="1:8" x14ac:dyDescent="0.25">
      <c r="A110" s="9">
        <v>44670</v>
      </c>
      <c r="B110" s="2">
        <f t="shared" si="7"/>
        <v>17</v>
      </c>
      <c r="C110" s="2" t="str">
        <f t="shared" si="10"/>
        <v>Apr</v>
      </c>
      <c r="D110" s="4">
        <v>300</v>
      </c>
      <c r="E110" s="4">
        <v>206</v>
      </c>
      <c r="F110" s="18">
        <f t="shared" ca="1" si="11"/>
        <v>480</v>
      </c>
      <c r="G110" s="18">
        <f ca="1">Table1[[#This Row],[Outbound call]]*Table1[[#This Row],[Average Call Duration]]</f>
        <v>144000</v>
      </c>
      <c r="H110" s="10">
        <f t="shared" si="9"/>
        <v>0.68666666666666665</v>
      </c>
    </row>
    <row r="111" spans="1:8" x14ac:dyDescent="0.25">
      <c r="A111" s="9">
        <v>44671</v>
      </c>
      <c r="B111" s="2">
        <f t="shared" si="7"/>
        <v>17</v>
      </c>
      <c r="C111" s="2" t="str">
        <f t="shared" si="10"/>
        <v>Apr</v>
      </c>
      <c r="D111" s="4">
        <v>385</v>
      </c>
      <c r="E111" s="4">
        <v>204</v>
      </c>
      <c r="F111" s="18">
        <f t="shared" ca="1" si="11"/>
        <v>311</v>
      </c>
      <c r="G111" s="18">
        <f ca="1">Table1[[#This Row],[Outbound call]]*Table1[[#This Row],[Average Call Duration]]</f>
        <v>119735</v>
      </c>
      <c r="H111" s="10">
        <f t="shared" si="9"/>
        <v>0.52987012987012982</v>
      </c>
    </row>
    <row r="112" spans="1:8" x14ac:dyDescent="0.25">
      <c r="A112" s="9">
        <v>44672</v>
      </c>
      <c r="B112" s="2">
        <f t="shared" si="7"/>
        <v>17</v>
      </c>
      <c r="C112" s="2" t="str">
        <f t="shared" si="10"/>
        <v>Apr</v>
      </c>
      <c r="D112" s="4">
        <v>272</v>
      </c>
      <c r="E112" s="4">
        <v>183</v>
      </c>
      <c r="F112" s="18">
        <f t="shared" ca="1" si="11"/>
        <v>342</v>
      </c>
      <c r="G112" s="18">
        <f ca="1">Table1[[#This Row],[Outbound call]]*Table1[[#This Row],[Average Call Duration]]</f>
        <v>93024</v>
      </c>
      <c r="H112" s="10">
        <f t="shared" si="9"/>
        <v>0.67279411764705888</v>
      </c>
    </row>
    <row r="113" spans="1:8" x14ac:dyDescent="0.25">
      <c r="A113" s="9">
        <v>44673</v>
      </c>
      <c r="B113" s="2">
        <f t="shared" si="7"/>
        <v>17</v>
      </c>
      <c r="C113" s="2" t="str">
        <f t="shared" si="10"/>
        <v>Apr</v>
      </c>
      <c r="D113" s="4">
        <v>358</v>
      </c>
      <c r="E113" s="4">
        <v>192</v>
      </c>
      <c r="F113" s="18">
        <f t="shared" ca="1" si="11"/>
        <v>342</v>
      </c>
      <c r="G113" s="18">
        <f ca="1">Table1[[#This Row],[Outbound call]]*Table1[[#This Row],[Average Call Duration]]</f>
        <v>122436</v>
      </c>
      <c r="H113" s="10">
        <f t="shared" si="9"/>
        <v>0.53631284916201116</v>
      </c>
    </row>
    <row r="114" spans="1:8" x14ac:dyDescent="0.25">
      <c r="A114" s="9">
        <v>44674</v>
      </c>
      <c r="B114" s="2">
        <f t="shared" si="7"/>
        <v>17</v>
      </c>
      <c r="C114" s="2" t="str">
        <f t="shared" si="10"/>
        <v>Apr</v>
      </c>
      <c r="D114" s="4">
        <v>354</v>
      </c>
      <c r="E114" s="4">
        <v>164</v>
      </c>
      <c r="F114" s="18">
        <f t="shared" ca="1" si="11"/>
        <v>496</v>
      </c>
      <c r="G114" s="18">
        <f ca="1">Table1[[#This Row],[Outbound call]]*Table1[[#This Row],[Average Call Duration]]</f>
        <v>175584</v>
      </c>
      <c r="H114" s="10">
        <f t="shared" si="9"/>
        <v>0.4632768361581921</v>
      </c>
    </row>
    <row r="115" spans="1:8" x14ac:dyDescent="0.25">
      <c r="A115" s="9">
        <v>44675</v>
      </c>
      <c r="B115" s="2">
        <f t="shared" si="7"/>
        <v>18</v>
      </c>
      <c r="C115" s="2" t="str">
        <f t="shared" si="10"/>
        <v>Apr</v>
      </c>
      <c r="D115" s="4">
        <v>395</v>
      </c>
      <c r="E115" s="4">
        <v>196</v>
      </c>
      <c r="F115" s="18">
        <f t="shared" ca="1" si="11"/>
        <v>412</v>
      </c>
      <c r="G115" s="18">
        <f ca="1">Table1[[#This Row],[Outbound call]]*Table1[[#This Row],[Average Call Duration]]</f>
        <v>162740</v>
      </c>
      <c r="H115" s="10">
        <f t="shared" si="9"/>
        <v>0.4962025316455696</v>
      </c>
    </row>
    <row r="116" spans="1:8" x14ac:dyDescent="0.25">
      <c r="A116" s="9">
        <v>44676</v>
      </c>
      <c r="B116" s="2">
        <f t="shared" si="7"/>
        <v>18</v>
      </c>
      <c r="C116" s="2" t="str">
        <f t="shared" si="10"/>
        <v>Apr</v>
      </c>
      <c r="D116" s="4">
        <v>397</v>
      </c>
      <c r="E116" s="4">
        <v>216</v>
      </c>
      <c r="F116" s="18">
        <f t="shared" ca="1" si="11"/>
        <v>393</v>
      </c>
      <c r="G116" s="18">
        <f ca="1">Table1[[#This Row],[Outbound call]]*Table1[[#This Row],[Average Call Duration]]</f>
        <v>156021</v>
      </c>
      <c r="H116" s="10">
        <f t="shared" si="9"/>
        <v>0.54408060453400509</v>
      </c>
    </row>
    <row r="117" spans="1:8" x14ac:dyDescent="0.25">
      <c r="A117" s="9">
        <v>44677</v>
      </c>
      <c r="B117" s="2">
        <f t="shared" si="7"/>
        <v>18</v>
      </c>
      <c r="C117" s="2" t="str">
        <f t="shared" si="10"/>
        <v>Apr</v>
      </c>
      <c r="D117" s="4">
        <v>300</v>
      </c>
      <c r="E117" s="4">
        <v>234</v>
      </c>
      <c r="F117" s="18">
        <f t="shared" ca="1" si="11"/>
        <v>385</v>
      </c>
      <c r="G117" s="18">
        <f ca="1">Table1[[#This Row],[Outbound call]]*Table1[[#This Row],[Average Call Duration]]</f>
        <v>115500</v>
      </c>
      <c r="H117" s="10">
        <f t="shared" si="9"/>
        <v>0.78</v>
      </c>
    </row>
    <row r="118" spans="1:8" x14ac:dyDescent="0.25">
      <c r="A118" s="9">
        <v>44678</v>
      </c>
      <c r="B118" s="2">
        <f t="shared" si="7"/>
        <v>18</v>
      </c>
      <c r="C118" s="2" t="str">
        <f t="shared" si="10"/>
        <v>Apr</v>
      </c>
      <c r="D118" s="4">
        <v>300</v>
      </c>
      <c r="E118" s="4">
        <v>190</v>
      </c>
      <c r="F118" s="18">
        <f t="shared" ca="1" si="11"/>
        <v>454</v>
      </c>
      <c r="G118" s="18">
        <f ca="1">Table1[[#This Row],[Outbound call]]*Table1[[#This Row],[Average Call Duration]]</f>
        <v>136200</v>
      </c>
      <c r="H118" s="10">
        <f t="shared" si="9"/>
        <v>0.6333333333333333</v>
      </c>
    </row>
    <row r="119" spans="1:8" x14ac:dyDescent="0.25">
      <c r="A119" s="9">
        <v>44679</v>
      </c>
      <c r="B119" s="2">
        <f t="shared" si="7"/>
        <v>18</v>
      </c>
      <c r="C119" s="2" t="str">
        <f t="shared" si="10"/>
        <v>Apr</v>
      </c>
      <c r="D119" s="4">
        <v>300</v>
      </c>
      <c r="E119" s="4">
        <v>231</v>
      </c>
      <c r="F119" s="18">
        <f t="shared" ca="1" si="11"/>
        <v>326</v>
      </c>
      <c r="G119" s="18">
        <f ca="1">Table1[[#This Row],[Outbound call]]*Table1[[#This Row],[Average Call Duration]]</f>
        <v>97800</v>
      </c>
      <c r="H119" s="10">
        <f t="shared" si="9"/>
        <v>0.77</v>
      </c>
    </row>
    <row r="120" spans="1:8" x14ac:dyDescent="0.25">
      <c r="A120" s="9">
        <v>44680</v>
      </c>
      <c r="B120" s="2">
        <f t="shared" si="7"/>
        <v>18</v>
      </c>
      <c r="C120" s="2" t="str">
        <f t="shared" si="10"/>
        <v>Apr</v>
      </c>
      <c r="D120" s="4">
        <v>344</v>
      </c>
      <c r="E120" s="4">
        <v>178</v>
      </c>
      <c r="F120" s="18">
        <f t="shared" ca="1" si="11"/>
        <v>399</v>
      </c>
      <c r="G120" s="18">
        <f ca="1">Table1[[#This Row],[Outbound call]]*Table1[[#This Row],[Average Call Duration]]</f>
        <v>137256</v>
      </c>
      <c r="H120" s="10">
        <f t="shared" si="9"/>
        <v>0.51744186046511631</v>
      </c>
    </row>
    <row r="121" spans="1:8" x14ac:dyDescent="0.25">
      <c r="A121" s="14">
        <v>44681</v>
      </c>
      <c r="B121" s="15">
        <f t="shared" si="7"/>
        <v>18</v>
      </c>
      <c r="C121" s="15" t="str">
        <f t="shared" si="10"/>
        <v>Apr</v>
      </c>
      <c r="D121" s="16">
        <v>354</v>
      </c>
      <c r="E121" s="16">
        <v>186</v>
      </c>
      <c r="F121" s="19">
        <f t="shared" ca="1" si="11"/>
        <v>453</v>
      </c>
      <c r="G121" s="19">
        <f ca="1">Table1[[#This Row],[Outbound call]]*Table1[[#This Row],[Average Call Duration]]</f>
        <v>160362</v>
      </c>
      <c r="H121" s="17">
        <f t="shared" si="9"/>
        <v>0.52542372881355937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2018-09-01T06:38:27Z</dcterms:created>
  <dcterms:modified xsi:type="dcterms:W3CDTF">2022-10-21T09:52:19Z</dcterms:modified>
</cp:coreProperties>
</file>