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43C57D73-94E0-4F12-B951-2A53F834068C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5" r:id="rId1"/>
    <sheet name="Products" sheetId="1" r:id="rId2"/>
    <sheet name="Users" sheetId="2" r:id="rId3"/>
    <sheet name="States" sheetId="3" r:id="rId4"/>
    <sheet name="Processing" sheetId="4" r:id="rId5"/>
  </sheets>
  <functionGroups builtInGroupCount="19"/>
  <definedNames>
    <definedName name="ActiveUsersMonth">OFFSET(Users!$D$3,Processing!$B$3,0,Processing!$B$4,1)</definedName>
    <definedName name="Costs">SalesMonth-ProfitMonth</definedName>
    <definedName name="DaysInCurMonth">OFFSET(Users!$N$3,Processing!$B$3,0,Processing!$B$4,1)</definedName>
    <definedName name="DaysInPrevMonth">OFFSET(Users!$N$3,Processing!$B$3-INDEX(Processing!$C$1:$C$12,Processing!$B$5-1),0,INDEX(Processing!$C$1:$C$12,Processing!$B$5-1),1)</definedName>
    <definedName name="NewVisitorsMonth">OFFSET(Users!$C$3,Processing!$B$3,0,Processing!$B$4,1)</definedName>
    <definedName name="OldVisitorsMonth">OFFSET(Users!$E$3,Processing!$B$3,0,Processing!$B$4,1)</definedName>
    <definedName name="PassUsers">NewVisitorsMonth+OldVisitorsMonth-ActiveUsersMonth</definedName>
    <definedName name="ProfitMonth">OFFSET(Users!$M$3,Processing!$B$3,0,Processing!$B$4,1)</definedName>
    <definedName name="ProfitPrevMonth">OFFSET(Users!$M$3,Processing!$B$3-INDEX(Processing!$C$1:$C$12,Processing!$B$5-1),0,INDEX(Processing!$C$1:$C$12,Processing!$B$5-1),1)</definedName>
    <definedName name="SalesMonth">OFFSET(Users!$L$3,Processing!$B$3,0,Processing!$B$4,1)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1" i="5" l="1"/>
  <c r="H4" i="1" l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3" i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" i="2"/>
  <c r="K19" i="4" l="1"/>
  <c r="J18" i="4"/>
  <c r="K18" i="4"/>
  <c r="J16" i="4"/>
  <c r="L17" i="4"/>
  <c r="J15" i="4"/>
  <c r="L16" i="4"/>
  <c r="K17" i="4"/>
  <c r="J19" i="4"/>
  <c r="L19" i="4"/>
  <c r="L15" i="4"/>
  <c r="K16" i="4"/>
  <c r="K15" i="4"/>
  <c r="J17" i="4"/>
  <c r="L18" i="4"/>
  <c r="S2" i="4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1" i="4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A4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A5" i="3" l="1"/>
  <c r="A6" i="3" l="1"/>
  <c r="A7" i="3" l="1"/>
  <c r="A8" i="3" l="1"/>
  <c r="A9" i="3" l="1"/>
  <c r="A10" i="3" l="1"/>
  <c r="A11" i="3" l="1"/>
  <c r="A12" i="3" l="1"/>
  <c r="A13" i="3" l="1"/>
  <c r="A14" i="3" l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O1" i="4" s="1"/>
  <c r="R1" i="4" s="1"/>
  <c r="O27" i="4" l="1"/>
  <c r="O19" i="4"/>
  <c r="O36" i="4"/>
  <c r="O11" i="4"/>
  <c r="R11" i="4" s="1"/>
  <c r="O5" i="4"/>
  <c r="R5" i="4" s="1"/>
  <c r="O16" i="4"/>
  <c r="O25" i="4"/>
  <c r="O13" i="4"/>
  <c r="R13" i="4" s="1"/>
  <c r="O33" i="4"/>
  <c r="O3" i="4"/>
  <c r="R3" i="4" s="1"/>
  <c r="O26" i="4"/>
  <c r="O34" i="4"/>
  <c r="O14" i="4"/>
  <c r="O46" i="4"/>
  <c r="R46" i="4" s="1"/>
  <c r="O42" i="4"/>
  <c r="O18" i="4"/>
  <c r="O45" i="4"/>
  <c r="O29" i="4"/>
  <c r="O15" i="4"/>
  <c r="O10" i="4"/>
  <c r="R10" i="4" s="1"/>
  <c r="O7" i="4"/>
  <c r="R7" i="4" s="1"/>
  <c r="O2" i="4"/>
  <c r="R2" i="4" s="1"/>
  <c r="O41" i="4"/>
  <c r="O48" i="4"/>
  <c r="R48" i="4" s="1"/>
  <c r="O30" i="4"/>
  <c r="O17" i="4"/>
  <c r="O40" i="4"/>
  <c r="O32" i="4"/>
  <c r="O12" i="4"/>
  <c r="R12" i="4" s="1"/>
  <c r="O47" i="4"/>
  <c r="R47" i="4" s="1"/>
  <c r="O43" i="4"/>
  <c r="O6" i="4"/>
  <c r="R6" i="4" s="1"/>
  <c r="O38" i="4"/>
  <c r="O22" i="4"/>
  <c r="O8" i="4"/>
  <c r="R8" i="4" s="1"/>
  <c r="O21" i="4"/>
  <c r="O28" i="4"/>
  <c r="O37" i="4"/>
  <c r="O9" i="4"/>
  <c r="R9" i="4" s="1"/>
  <c r="O4" i="4"/>
  <c r="R4" i="4" s="1"/>
  <c r="O20" i="4"/>
  <c r="O35" i="4"/>
  <c r="O24" i="4"/>
  <c r="O39" i="4"/>
  <c r="O23" i="4"/>
  <c r="O31" i="4"/>
  <c r="O44" i="4"/>
  <c r="B2" i="4" l="1"/>
  <c r="C2" i="4" s="1"/>
  <c r="C12" i="4" l="1"/>
  <c r="C7" i="4"/>
  <c r="C11" i="4"/>
  <c r="C5" i="4"/>
  <c r="C9" i="4"/>
  <c r="C4" i="4"/>
  <c r="C1" i="4"/>
  <c r="C8" i="4"/>
  <c r="C3" i="4"/>
  <c r="C10" i="4"/>
  <c r="C6" i="4"/>
  <c r="B4" i="4" l="1"/>
  <c r="B3" i="4" s="1"/>
  <c r="G22" i="4" s="1"/>
  <c r="G3" i="4" l="1"/>
  <c r="F3" i="4" s="1"/>
  <c r="F8" i="4"/>
  <c r="I9" i="4" s="1"/>
  <c r="F17" i="4"/>
  <c r="E3" i="4"/>
  <c r="F20" i="4"/>
  <c r="G19" i="4"/>
  <c r="H3" i="4"/>
  <c r="L4" i="5" s="1"/>
  <c r="F7" i="4"/>
  <c r="I10" i="4" s="1"/>
  <c r="F19" i="4"/>
  <c r="F23" i="4"/>
  <c r="G18" i="4"/>
  <c r="F2" i="5"/>
  <c r="F10" i="4"/>
  <c r="I7" i="4" s="1"/>
  <c r="F18" i="4"/>
  <c r="F22" i="4"/>
  <c r="G21" i="4"/>
  <c r="D3" i="4"/>
  <c r="F6" i="4"/>
  <c r="I6" i="4" s="1"/>
  <c r="J6" i="4" s="1"/>
  <c r="F9" i="4"/>
  <c r="I8" i="4" s="1"/>
  <c r="F21" i="4"/>
  <c r="G17" i="4"/>
  <c r="G23" i="4"/>
  <c r="G20" i="4"/>
  <c r="K3" i="4" l="1"/>
  <c r="F11" i="4"/>
  <c r="G4" i="5"/>
  <c r="C4" i="5"/>
  <c r="J7" i="4"/>
  <c r="B45" i="4"/>
  <c r="C17" i="4"/>
  <c r="J9" i="4"/>
  <c r="B17" i="4"/>
  <c r="B2" i="5"/>
  <c r="J3" i="4"/>
  <c r="P4" i="5" s="1"/>
  <c r="B34" i="4"/>
  <c r="I3" i="4"/>
  <c r="K2" i="5" s="1"/>
  <c r="B20" i="4"/>
  <c r="B18" i="4"/>
  <c r="B28" i="4"/>
  <c r="B29" i="4"/>
  <c r="J8" i="4"/>
  <c r="B31" i="4"/>
  <c r="B16" i="4"/>
  <c r="B43" i="4"/>
  <c r="B27" i="4"/>
  <c r="B46" i="4"/>
  <c r="B30" i="4"/>
  <c r="B40" i="4"/>
  <c r="B41" i="4"/>
  <c r="B25" i="4"/>
  <c r="J10" i="4"/>
  <c r="B44" i="4"/>
  <c r="B39" i="4"/>
  <c r="B23" i="4"/>
  <c r="B42" i="4"/>
  <c r="B26" i="4"/>
  <c r="B32" i="4"/>
  <c r="B37" i="4"/>
  <c r="B21" i="4"/>
  <c r="B36" i="4"/>
  <c r="B35" i="4"/>
  <c r="B19" i="4"/>
  <c r="B38" i="4"/>
  <c r="B22" i="4"/>
  <c r="B24" i="4"/>
  <c r="B33" i="4"/>
  <c r="C27" i="4"/>
  <c r="C38" i="4"/>
  <c r="C22" i="4"/>
  <c r="C24" i="4"/>
  <c r="C45" i="4"/>
  <c r="C29" i="4"/>
  <c r="C16" i="4"/>
  <c r="C20" i="4"/>
  <c r="C19" i="4"/>
  <c r="C34" i="4"/>
  <c r="C18" i="4"/>
  <c r="C39" i="4"/>
  <c r="C41" i="4"/>
  <c r="C25" i="4"/>
  <c r="C40" i="4"/>
  <c r="C43" i="4"/>
  <c r="C46" i="4"/>
  <c r="C30" i="4"/>
  <c r="C44" i="4"/>
  <c r="C31" i="4"/>
  <c r="C37" i="4"/>
  <c r="C21" i="4"/>
  <c r="C28" i="4"/>
  <c r="C36" i="4"/>
  <c r="C35" i="4"/>
  <c r="C42" i="4"/>
  <c r="C26" i="4"/>
  <c r="C32" i="4"/>
  <c r="C23" i="4"/>
  <c r="C33" i="4"/>
  <c r="R17" i="4"/>
  <c r="R24" i="4"/>
  <c r="R21" i="4"/>
  <c r="R26" i="4"/>
  <c r="R27" i="4"/>
  <c r="R31" i="4"/>
  <c r="R39" i="4"/>
  <c r="R19" i="4"/>
  <c r="R40" i="4"/>
  <c r="R23" i="4"/>
  <c r="R44" i="4"/>
  <c r="R36" i="4"/>
  <c r="R14" i="4"/>
  <c r="R16" i="4"/>
  <c r="R38" i="4"/>
  <c r="R20" i="4"/>
  <c r="R29" i="4"/>
  <c r="R28" i="4"/>
  <c r="R43" i="4"/>
  <c r="R35" i="4"/>
  <c r="R37" i="4"/>
  <c r="R15" i="4"/>
  <c r="R18" i="4"/>
  <c r="R33" i="4"/>
  <c r="R41" i="4"/>
  <c r="R42" i="4"/>
  <c r="R22" i="4"/>
  <c r="R32" i="4"/>
  <c r="R34" i="4"/>
  <c r="R25" i="4"/>
  <c r="R30" i="4"/>
  <c r="R45" i="4"/>
  <c r="O2" i="5" l="1"/>
  <c r="U33" i="4" a="1"/>
  <c r="U33" i="4" s="1"/>
  <c r="V33" i="4" s="1"/>
  <c r="U44" i="4" a="1"/>
  <c r="U44" i="4" s="1"/>
  <c r="V44" i="4" s="1"/>
  <c r="U37" i="4" a="1"/>
  <c r="U37" i="4" s="1"/>
  <c r="V37" i="4" s="1"/>
  <c r="U19" i="4" a="1"/>
  <c r="U19" i="4" s="1"/>
  <c r="V19" i="4" s="1"/>
  <c r="U22" i="4" a="1"/>
  <c r="U22" i="4" s="1"/>
  <c r="V22" i="4" s="1"/>
  <c r="U14" i="4" a="1"/>
  <c r="U14" i="4" s="1"/>
  <c r="V14" i="4" s="1"/>
  <c r="U4" i="4" a="1"/>
  <c r="U4" i="4" s="1"/>
  <c r="V4" i="4" s="1"/>
  <c r="U30" i="4" a="1"/>
  <c r="U30" i="4" s="1"/>
  <c r="V30" i="4" s="1"/>
  <c r="U2" i="4" a="1"/>
  <c r="U2" i="4" s="1"/>
  <c r="V2" i="4" s="1"/>
  <c r="U5" i="4" a="1"/>
  <c r="U5" i="4" s="1"/>
  <c r="V5" i="4" s="1"/>
  <c r="U23" i="4" a="1"/>
  <c r="U23" i="4" s="1"/>
  <c r="V23" i="4" s="1"/>
  <c r="U8" i="4" a="1"/>
  <c r="U8" i="4" s="1"/>
  <c r="V8" i="4" s="1"/>
  <c r="U11" i="4" a="1"/>
  <c r="U11" i="4" s="1"/>
  <c r="V11" i="4" s="1"/>
  <c r="U12" i="4" a="1"/>
  <c r="U12" i="4" s="1"/>
  <c r="V12" i="4" s="1"/>
  <c r="U42" i="4" a="1"/>
  <c r="U42" i="4" s="1"/>
  <c r="V42" i="4" s="1"/>
  <c r="U34" i="4" a="1"/>
  <c r="U34" i="4" s="1"/>
  <c r="V34" i="4" s="1"/>
  <c r="U43" i="4" a="1"/>
  <c r="U43" i="4" s="1"/>
  <c r="V43" i="4" s="1"/>
  <c r="U17" i="4" a="1"/>
  <c r="U17" i="4" s="1"/>
  <c r="V17" i="4" s="1"/>
  <c r="U41" i="4" a="1"/>
  <c r="U41" i="4" s="1"/>
  <c r="V41" i="4" s="1"/>
  <c r="U13" i="4" a="1"/>
  <c r="U13" i="4" s="1"/>
  <c r="V13" i="4" s="1"/>
  <c r="U3" i="4" a="1"/>
  <c r="U3" i="4" s="1"/>
  <c r="V3" i="4" s="1"/>
  <c r="U6" i="4" a="1"/>
  <c r="U6" i="4" s="1"/>
  <c r="V6" i="4" s="1"/>
  <c r="U18" i="4" a="1"/>
  <c r="U18" i="4" s="1"/>
  <c r="V18" i="4" s="1"/>
  <c r="U28" i="4" a="1"/>
  <c r="U28" i="4" s="1"/>
  <c r="V28" i="4" s="1"/>
  <c r="U39" i="4" a="1"/>
  <c r="U39" i="4" s="1"/>
  <c r="V39" i="4" s="1"/>
  <c r="U16" i="4" a="1"/>
  <c r="U16" i="4" s="1"/>
  <c r="V16" i="4" s="1"/>
  <c r="U48" i="4" a="1"/>
  <c r="U48" i="4" s="1"/>
  <c r="V48" i="4" s="1"/>
  <c r="U15" i="4" a="1"/>
  <c r="U15" i="4" s="1"/>
  <c r="V15" i="4" s="1"/>
  <c r="U21" i="4" a="1"/>
  <c r="U21" i="4" s="1"/>
  <c r="V21" i="4" s="1"/>
  <c r="U27" i="4" a="1"/>
  <c r="U27" i="4" s="1"/>
  <c r="V27" i="4" s="1"/>
  <c r="T1" i="4"/>
  <c r="U20" i="4" a="1"/>
  <c r="U20" i="4" s="1"/>
  <c r="V20" i="4" s="1"/>
  <c r="U38" i="4" a="1"/>
  <c r="U38" i="4" s="1"/>
  <c r="V38" i="4" s="1"/>
  <c r="U36" i="4" a="1"/>
  <c r="U36" i="4" s="1"/>
  <c r="V36" i="4" s="1"/>
  <c r="U32" i="4" a="1"/>
  <c r="U32" i="4" s="1"/>
  <c r="V32" i="4" s="1"/>
  <c r="U46" i="4" a="1"/>
  <c r="U46" i="4" s="1"/>
  <c r="V46" i="4" s="1"/>
  <c r="U7" i="4" a="1"/>
  <c r="U7" i="4" s="1"/>
  <c r="V7" i="4" s="1"/>
  <c r="U9" i="4" a="1"/>
  <c r="U9" i="4" s="1"/>
  <c r="V9" i="4" s="1"/>
  <c r="U40" i="4" a="1"/>
  <c r="U40" i="4" s="1"/>
  <c r="V40" i="4" s="1"/>
  <c r="U25" i="4" a="1"/>
  <c r="U25" i="4" s="1"/>
  <c r="V25" i="4" s="1"/>
  <c r="U10" i="4" a="1"/>
  <c r="U10" i="4" s="1"/>
  <c r="V10" i="4" s="1"/>
  <c r="U26" i="4" a="1"/>
  <c r="U26" i="4" s="1"/>
  <c r="V26" i="4" s="1"/>
  <c r="U47" i="4" a="1"/>
  <c r="U47" i="4" s="1"/>
  <c r="V47" i="4" s="1"/>
  <c r="U35" i="4" a="1"/>
  <c r="U35" i="4" s="1"/>
  <c r="V35" i="4" s="1"/>
  <c r="U24" i="4" a="1"/>
  <c r="U24" i="4" s="1"/>
  <c r="V24" i="4" s="1"/>
  <c r="U45" i="4" a="1"/>
  <c r="U45" i="4" s="1"/>
  <c r="V45" i="4" s="1"/>
  <c r="U31" i="4" a="1"/>
  <c r="U31" i="4" s="1"/>
  <c r="V31" i="4" s="1"/>
  <c r="U29" i="4" a="1"/>
  <c r="U29" i="4" s="1"/>
  <c r="V29" i="4" s="1"/>
  <c r="U1" i="4" a="1"/>
  <c r="U1" i="4" s="1"/>
  <c r="V1" i="4" s="1"/>
  <c r="Y13" i="4" l="1"/>
  <c r="Y30" i="4"/>
  <c r="Y21" i="4"/>
  <c r="Y24" i="4"/>
  <c r="Y48" i="4"/>
  <c r="Y1" i="4"/>
  <c r="X1" i="4" s="1" a="1"/>
  <c r="X1" i="4" s="1"/>
  <c r="Y12" i="4"/>
  <c r="Y37" i="4"/>
  <c r="Y7" i="4"/>
  <c r="Y17" i="4"/>
  <c r="Y36" i="4"/>
  <c r="Y33" i="4"/>
  <c r="Y18" i="4"/>
  <c r="Y25" i="4"/>
  <c r="Y16" i="4"/>
  <c r="Y10" i="4"/>
  <c r="Y29" i="4"/>
  <c r="Y23" i="4"/>
  <c r="Y20" i="4"/>
  <c r="Y14" i="4"/>
  <c r="Y44" i="4"/>
  <c r="Y34" i="4"/>
  <c r="Y11" i="4"/>
  <c r="Y38" i="4"/>
  <c r="Y5" i="4"/>
  <c r="Y40" i="4"/>
  <c r="Y2" i="4"/>
  <c r="Y15" i="4"/>
  <c r="Y19" i="4"/>
  <c r="Y26" i="4"/>
  <c r="Y43" i="4"/>
  <c r="Y31" i="4"/>
  <c r="Y45" i="4"/>
  <c r="Y41" i="4"/>
  <c r="Y8" i="4"/>
  <c r="Y9" i="4"/>
  <c r="Y22" i="4"/>
  <c r="Y46" i="4"/>
  <c r="Y4" i="4"/>
  <c r="Y39" i="4"/>
  <c r="Y42" i="4"/>
  <c r="Y47" i="4"/>
  <c r="Y3" i="4"/>
  <c r="Y27" i="4"/>
  <c r="Y6" i="4"/>
  <c r="Y28" i="4"/>
  <c r="Y35" i="4"/>
  <c r="Y32" i="4"/>
  <c r="X25" i="4" l="1" a="1"/>
  <c r="X25" i="4" s="1"/>
  <c r="Z25" i="4" s="1"/>
  <c r="X3" i="4" a="1"/>
  <c r="X3" i="4" s="1"/>
  <c r="Z3" i="4" s="1"/>
  <c r="X40" i="4" a="1"/>
  <c r="X40" i="4" s="1"/>
  <c r="Z40" i="4" s="1"/>
  <c r="X11" i="4" a="1"/>
  <c r="X11" i="4" s="1"/>
  <c r="Z11" i="4" s="1"/>
  <c r="X47" i="4" a="1"/>
  <c r="X47" i="4" s="1"/>
  <c r="Z47" i="4" s="1"/>
  <c r="X48" i="4" a="1"/>
  <c r="X48" i="4" s="1"/>
  <c r="Z48" i="4" s="1"/>
  <c r="X33" i="4" a="1"/>
  <c r="X33" i="4" s="1"/>
  <c r="Z33" i="4" s="1"/>
  <c r="X37" i="4" a="1"/>
  <c r="X37" i="4" s="1"/>
  <c r="Z37" i="4" s="1"/>
  <c r="X24" i="4" a="1"/>
  <c r="X24" i="4" s="1"/>
  <c r="Z24" i="4" s="1"/>
  <c r="X15" i="4" a="1"/>
  <c r="X15" i="4" s="1"/>
  <c r="Z15" i="4" s="1"/>
  <c r="X43" i="4" a="1"/>
  <c r="X43" i="4" s="1"/>
  <c r="Z43" i="4" s="1"/>
  <c r="X42" i="4" a="1"/>
  <c r="X42" i="4" s="1"/>
  <c r="Z42" i="4" s="1"/>
  <c r="X46" i="4" a="1"/>
  <c r="X46" i="4" s="1"/>
  <c r="Z46" i="4" s="1"/>
  <c r="X23" i="4" a="1"/>
  <c r="X23" i="4" s="1"/>
  <c r="Z23" i="4" s="1"/>
  <c r="X32" i="4" a="1"/>
  <c r="X32" i="4" s="1"/>
  <c r="Z32" i="4" s="1"/>
  <c r="X22" i="4" a="1"/>
  <c r="X22" i="4" s="1"/>
  <c r="Z22" i="4" s="1"/>
  <c r="X45" i="4" a="1"/>
  <c r="X45" i="4" s="1"/>
  <c r="Z45" i="4" s="1"/>
  <c r="X19" i="4" a="1"/>
  <c r="X19" i="4" s="1"/>
  <c r="Z19" i="4" s="1"/>
  <c r="X5" i="4" a="1"/>
  <c r="X5" i="4" s="1"/>
  <c r="Z5" i="4" s="1"/>
  <c r="X29" i="4" a="1"/>
  <c r="X29" i="4" s="1"/>
  <c r="Z29" i="4" s="1"/>
  <c r="X14" i="4" a="1"/>
  <c r="X14" i="4" s="1"/>
  <c r="Z14" i="4" s="1"/>
  <c r="X27" i="4" a="1"/>
  <c r="X27" i="4" s="1"/>
  <c r="Z27" i="4" s="1"/>
  <c r="X4" i="4" a="1"/>
  <c r="X4" i="4" s="1"/>
  <c r="Z4" i="4" s="1"/>
  <c r="X16" i="4" a="1"/>
  <c r="X16" i="4" s="1"/>
  <c r="Z16" i="4" s="1"/>
  <c r="X9" i="4" a="1"/>
  <c r="X9" i="4" s="1"/>
  <c r="Z9" i="4" s="1"/>
  <c r="X31" i="4" a="1"/>
  <c r="X31" i="4" s="1"/>
  <c r="Z31" i="4" s="1"/>
  <c r="X38" i="4" a="1"/>
  <c r="X38" i="4" s="1"/>
  <c r="Z38" i="4" s="1"/>
  <c r="X10" i="4" a="1"/>
  <c r="X10" i="4" s="1"/>
  <c r="Z10" i="4" s="1"/>
  <c r="X6" i="4" a="1"/>
  <c r="X6" i="4" s="1"/>
  <c r="Z6" i="4" s="1"/>
  <c r="X8" i="4" a="1"/>
  <c r="X8" i="4" s="1"/>
  <c r="Z8" i="4" s="1"/>
  <c r="X41" i="4" a="1"/>
  <c r="X41" i="4" s="1"/>
  <c r="Z41" i="4" s="1"/>
  <c r="X36" i="4" a="1"/>
  <c r="X36" i="4" s="1"/>
  <c r="Z36" i="4" s="1"/>
  <c r="X18" i="4" a="1"/>
  <c r="X18" i="4" s="1"/>
  <c r="Z18" i="4" s="1"/>
  <c r="X34" i="4" a="1"/>
  <c r="X34" i="4" s="1"/>
  <c r="Z34" i="4" s="1"/>
  <c r="Z1" i="4"/>
  <c r="X12" i="4" a="1"/>
  <c r="X12" i="4" s="1"/>
  <c r="Z12" i="4" s="1"/>
  <c r="X39" i="4" a="1"/>
  <c r="X39" i="4" s="1"/>
  <c r="Z39" i="4" s="1"/>
  <c r="X21" i="4" a="1"/>
  <c r="X21" i="4" s="1"/>
  <c r="Z21" i="4" s="1"/>
  <c r="X30" i="4" a="1"/>
  <c r="X30" i="4" s="1"/>
  <c r="Z30" i="4" s="1"/>
  <c r="X17" i="4" a="1"/>
  <c r="X17" i="4" s="1"/>
  <c r="Z17" i="4" s="1"/>
  <c r="X7" i="4" a="1"/>
  <c r="X7" i="4" s="1"/>
  <c r="Z7" i="4" s="1"/>
  <c r="X2" i="4" a="1"/>
  <c r="X2" i="4" s="1"/>
  <c r="Z2" i="4" s="1"/>
  <c r="X13" i="4" a="1"/>
  <c r="X13" i="4" s="1"/>
  <c r="Z13" i="4" s="1"/>
  <c r="X20" i="4" a="1"/>
  <c r="X20" i="4" s="1"/>
  <c r="Z20" i="4" s="1"/>
  <c r="X26" i="4" a="1"/>
  <c r="X26" i="4" s="1"/>
  <c r="Z26" i="4" s="1"/>
  <c r="X35" i="4" a="1"/>
  <c r="X35" i="4" s="1"/>
  <c r="Z35" i="4" s="1"/>
  <c r="X44" i="4" a="1"/>
  <c r="X44" i="4" s="1"/>
  <c r="Z44" i="4" s="1"/>
  <c r="X28" i="4" a="1"/>
  <c r="X28" i="4" s="1"/>
  <c r="Z28" i="4" s="1"/>
</calcChain>
</file>

<file path=xl/sharedStrings.xml><?xml version="1.0" encoding="utf-8"?>
<sst xmlns="http://schemas.openxmlformats.org/spreadsheetml/2006/main" count="1867" uniqueCount="110">
  <si>
    <t>A</t>
  </si>
  <si>
    <t>B</t>
  </si>
  <si>
    <t>C</t>
  </si>
  <si>
    <t>Alabama</t>
  </si>
  <si>
    <t>Arizona</t>
  </si>
  <si>
    <t>Arkansas</t>
  </si>
  <si>
    <t>California</t>
  </si>
  <si>
    <t>Colorado</t>
  </si>
  <si>
    <t>Connecticut</t>
  </si>
  <si>
    <t>Delaware</t>
  </si>
  <si>
    <t>Florida</t>
  </si>
  <si>
    <t>Georgia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</si>
  <si>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</si>
  <si>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</si>
  <si>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</si>
  <si>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</si>
  <si>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</si>
  <si>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</si>
  <si>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</si>
  <si>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</si>
  <si>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</si>
  <si>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</si>
  <si>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</si>
  <si>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</si>
  <si>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</si>
  <si>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</si>
  <si>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</si>
  <si>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</si>
  <si>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</si>
  <si>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</si>
  <si>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</si>
  <si>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</si>
  <si>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</si>
  <si>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</si>
  <si>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</si>
  <si>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</si>
  <si>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</si>
  <si>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</si>
  <si>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</si>
  <si>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</si>
  <si>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</si>
  <si>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</si>
  <si>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</si>
  <si>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</si>
  <si>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</si>
  <si>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</si>
  <si>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</si>
  <si>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</si>
  <si>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</si>
  <si>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</si>
  <si>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</si>
  <si>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DASHBOARD</t>
  </si>
  <si>
    <t>Start Year Date:</t>
  </si>
  <si>
    <t>y = (c3 * x^3) + (c2 * x^2) + (c1 * x^1) + b</t>
  </si>
  <si>
    <t>b</t>
  </si>
  <si>
    <t>c1</t>
  </si>
  <si>
    <t>c2</t>
  </si>
  <si>
    <t>c3</t>
  </si>
  <si>
    <t>c4</t>
  </si>
  <si>
    <t>c5</t>
  </si>
  <si>
    <r>
      <t>R</t>
    </r>
    <r>
      <rPr>
        <vertAlign val="superscript"/>
        <sz val="10"/>
        <rFont val="Arial"/>
        <family val="2"/>
        <charset val="204"/>
      </rPr>
      <t>2</t>
    </r>
  </si>
  <si>
    <t>Date</t>
  </si>
  <si>
    <t>Number of sales by traffic sources</t>
  </si>
  <si>
    <t>Contextual Advertising</t>
  </si>
  <si>
    <t>Search Engines</t>
  </si>
  <si>
    <t>Direct transitions</t>
  </si>
  <si>
    <t>Referral links</t>
  </si>
  <si>
    <t>Other</t>
  </si>
  <si>
    <t>Product Categories</t>
  </si>
  <si>
    <t>Months</t>
  </si>
  <si>
    <t>Month</t>
  </si>
  <si>
    <t>State</t>
  </si>
  <si>
    <t>Code</t>
  </si>
  <si>
    <t>Margin</t>
  </si>
  <si>
    <t>Costs</t>
  </si>
  <si>
    <t>Days</t>
  </si>
  <si>
    <t>All visitors</t>
  </si>
  <si>
    <t>New visits</t>
  </si>
  <si>
    <t>Active users</t>
  </si>
  <si>
    <t>Repeat visits</t>
  </si>
  <si>
    <t>Sales in pcs</t>
  </si>
  <si>
    <t>Sales in $</t>
  </si>
  <si>
    <t>Profit</t>
  </si>
  <si>
    <t>Visitor Information</t>
  </si>
  <si>
    <t>Traffic sources</t>
  </si>
  <si>
    <t>Number of days in a month:</t>
  </si>
  <si>
    <t>Beginning period:</t>
  </si>
  <si>
    <t>End of period:</t>
  </si>
  <si>
    <t>Month number:</t>
  </si>
  <si>
    <t>Approximation</t>
  </si>
  <si>
    <t>Current</t>
  </si>
  <si>
    <t>Previous</t>
  </si>
  <si>
    <t>Channels of connection</t>
  </si>
  <si>
    <t>contextual advertising</t>
  </si>
  <si>
    <t>Search engines</t>
  </si>
  <si>
    <t>Other sources</t>
  </si>
  <si>
    <t>Visitors</t>
  </si>
  <si>
    <t>Sales / Profit</t>
  </si>
  <si>
    <t>New visitors returned</t>
  </si>
  <si>
    <t>New</t>
  </si>
  <si>
    <t>Old</t>
  </si>
  <si>
    <t>Active</t>
  </si>
  <si>
    <t>Passive</t>
  </si>
  <si>
    <t>Sales</t>
  </si>
  <si>
    <t>New Visitors</t>
  </si>
  <si>
    <t>Costs (Margin)</t>
  </si>
  <si>
    <t>Active Esers</t>
  </si>
  <si>
    <t>Returned new</t>
  </si>
  <si>
    <t>CHANNELS OF VISITOR SOURCES</t>
  </si>
  <si>
    <t>2/29/2022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</si>
</sst>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18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0"/>
      <color theme="1"/>
      <name val="Calibri"/>
      <family val="2"/>
      <charset val="1"/>
      <scheme val="minor"/>
    </font>
    <font>
      <b/>
      <sz val="11"/>
      <color theme="0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color theme="0"/>
      <name val="Calibri"/>
      <family val="2"/>
      <charset val="1"/>
      <scheme val="minor"/>
    </font>
    <font>
      <sz val="16"/>
      <color theme="0"/>
      <name val="Calibri"/>
      <family val="2"/>
      <charset val="1"/>
      <scheme val="minor"/>
    </font>
    <font>
      <sz val="18"/>
      <color theme="0"/>
      <name val="Calibri"/>
      <family val="2"/>
      <charset val="1"/>
      <scheme val="minor"/>
    </font>
    <font>
      <sz val="11"/>
      <color rgb="FF000000"/>
      <name val="Calibri"/>
      <family val="2"/>
      <charset val="1"/>
      <scheme val="minor"/>
    </font>
    <font>
      <vertAlign val="superscript"/>
      <sz val="10"/>
      <name val="Arial"/>
      <family val="2"/>
      <charset val="204"/>
    </font>
    <font>
      <sz val="11"/>
      <color rgb="FF033443"/>
      <name val="Calibri"/>
      <family val="2"/>
      <charset val="1"/>
      <scheme val="minor"/>
    </font>
    <font>
      <u/>
      <sz val="11"/>
      <color theme="10"/>
      <name val="Calibri"/>
      <family val="2"/>
      <charset val="1"/>
      <scheme val="minor"/>
    </font>
    <font>
      <u/>
      <sz val="18"/>
      <color theme="0"/>
      <name val="Calibri"/>
      <family val="2"/>
      <charset val="1"/>
      <scheme val="minor"/>
    </font>
    <font>
      <u/>
      <sz val="22"/>
      <color theme="0"/>
      <name val="Calibri"/>
      <family val="2"/>
      <charset val="1"/>
      <scheme val="minor"/>
    </font>
    <font>
      <sz val="22"/>
      <color theme="0"/>
      <name val="Calibri"/>
      <family val="2"/>
      <charset val="1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33443"/>
        <bgColor indexed="64"/>
      </patternFill>
    </fill>
    <fill>
      <patternFill patternType="solid">
        <fgColor rgb="FF181329"/>
        <bgColor indexed="64"/>
      </patternFill>
    </fill>
    <fill>
      <gradientFill degree="90">
        <stop position="0">
          <color rgb="FF033443"/>
        </stop>
        <stop position="1">
          <color rgb="FF181329"/>
        </stop>
      </gradientFill>
    </fill>
    <fill>
      <patternFill patternType="solid">
        <fgColor rgb="FF2056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4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vertical="center"/>
    </xf>
    <xf numFmtId="14" fontId="0" fillId="0" borderId="0" xfId="0" applyNumberFormat="1" applyAlignment="1"/>
    <xf numFmtId="164" fontId="0" fillId="0" borderId="0" xfId="0" applyNumberFormat="1" applyAlignment="1">
      <alignment horizontal="center"/>
    </xf>
    <xf numFmtId="0" fontId="0" fillId="2" borderId="0" xfId="0" applyFill="1"/>
    <xf numFmtId="0" fontId="7" fillId="2" borderId="0" xfId="0" applyFont="1" applyFill="1" applyAlignment="1">
      <alignment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8" fillId="5" borderId="0" xfId="0" applyFont="1" applyFill="1"/>
    <xf numFmtId="0" fontId="8" fillId="5" borderId="0" xfId="0" applyFont="1" applyFill="1" applyAlignment="1">
      <alignment vertical="top"/>
    </xf>
    <xf numFmtId="3" fontId="10" fillId="5" borderId="0" xfId="0" applyNumberFormat="1" applyFont="1" applyFill="1" applyAlignment="1">
      <alignment horizontal="left"/>
    </xf>
    <xf numFmtId="0" fontId="9" fillId="5" borderId="0" xfId="0" applyNumberFormat="1" applyFont="1" applyFill="1" applyAlignment="1"/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0" fontId="6" fillId="5" borderId="0" xfId="0" applyFont="1" applyFill="1" applyAlignment="1">
      <alignment horizontal="left" indent="1"/>
    </xf>
    <xf numFmtId="0" fontId="2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9" fillId="2" borderId="0" xfId="0" applyFont="1" applyFill="1" applyAlignment="1">
      <alignment horizontal="right" vertical="center"/>
    </xf>
    <xf numFmtId="0" fontId="11" fillId="0" borderId="0" xfId="0" applyFont="1" applyAlignment="1">
      <alignment horizontal="center"/>
    </xf>
    <xf numFmtId="164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Fill="1" applyBorder="1" applyAlignment="1">
      <alignment horizontal="center" vertical="center" wrapText="1"/>
    </xf>
    <xf numFmtId="0" fontId="11" fillId="0" borderId="0" xfId="0" applyFont="1"/>
    <xf numFmtId="0" fontId="4" fillId="0" borderId="0" xfId="0" applyFont="1"/>
    <xf numFmtId="0" fontId="13" fillId="2" borderId="0" xfId="0" applyFont="1" applyFill="1"/>
    <xf numFmtId="0" fontId="0" fillId="6" borderId="1" xfId="0" applyFill="1" applyBorder="1" applyAlignment="1">
      <alignment horizontal="center" vertical="center"/>
    </xf>
    <xf numFmtId="0" fontId="15" fillId="0" borderId="0" xfId="2" applyFont="1" applyFill="1" applyAlignment="1">
      <alignment horizontal="center"/>
    </xf>
    <xf numFmtId="0" fontId="10" fillId="0" borderId="0" xfId="0" applyFont="1" applyFill="1" applyAlignment="1">
      <alignment horizontal="center"/>
    </xf>
    <xf numFmtId="9" fontId="8" fillId="5" borderId="0" xfId="1" applyFont="1" applyFill="1" applyAlignment="1">
      <alignment horizontal="center" vertical="center"/>
    </xf>
    <xf numFmtId="0" fontId="4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6" fillId="3" borderId="0" xfId="2" applyFont="1" applyFill="1" applyAlignment="1">
      <alignment horizontal="center"/>
    </xf>
    <xf numFmtId="0" fontId="17" fillId="3" borderId="0" xfId="0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7" borderId="1" xfId="0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6">
    <dxf>
      <fill>
        <patternFill>
          <bgColor rgb="FF19454F"/>
        </patternFill>
      </fill>
    </dxf>
    <dxf>
      <fill>
        <patternFill>
          <bgColor theme="0"/>
        </patternFill>
      </fill>
    </dxf>
    <dxf>
      <fill>
        <patternFill>
          <bgColor rgb="FF00575D"/>
        </patternFill>
      </fill>
    </dxf>
    <dxf>
      <fill>
        <patternFill>
          <bgColor rgb="FF008375"/>
        </patternFill>
      </fill>
    </dxf>
    <dxf>
      <fill>
        <patternFill>
          <bgColor rgb="FF28BC8C"/>
        </patternFill>
      </fill>
    </dxf>
    <dxf>
      <fill>
        <patternFill>
          <bgColor rgb="FF9DF09E"/>
        </patternFill>
      </fill>
    </dxf>
  </dxfs>
  <tableStyles count="0" defaultTableStyle="TableStyleMedium2" defaultPivotStyle="PivotStyleLight16"/>
  <colors>
    <mruColors>
      <color rgb="FF9DF09E"/>
      <color rgb="FF29BB8C"/>
      <color rgb="FF033443"/>
      <color rgb="FF181329"/>
      <color rgb="FF2D303F"/>
      <color rgb="FF205663"/>
      <color rgb="FF005361"/>
      <color rgb="FF205662"/>
      <color rgb="FF7F7F7F"/>
      <color rgb="FF71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bg1">
                  <a:alpha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B8-4730-8286-2E7B527BB80C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9B8-4730-8286-2E7B527BB80C}"/>
              </c:ext>
            </c:extLst>
          </c:dPt>
          <c:val>
            <c:numRef>
              <c:f>Processing!$F$3:$G$3</c:f>
              <c:numCache>
                <c:formatCode>General</c:formatCode>
                <c:ptCount val="2"/>
                <c:pt idx="0">
                  <c:v>12339</c:v>
                </c:pt>
                <c:pt idx="1">
                  <c:v>5353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B8-4730-8286-2E7B527BB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bg1">
                  <a:alpha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ACA-4943-908E-35D3A34DB633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ACA-4943-908E-35D3A34DB633}"/>
              </c:ext>
            </c:extLst>
          </c:dPt>
          <c:val>
            <c:numRef>
              <c:f>Processing!$D$3:$E$3</c:f>
              <c:numCache>
                <c:formatCode>General</c:formatCode>
                <c:ptCount val="2"/>
                <c:pt idx="0">
                  <c:v>68016</c:v>
                </c:pt>
                <c:pt idx="1">
                  <c:v>15972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CA-4943-908E-35D3A34DB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bg1">
                  <a:alpha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1F-4DB3-A54F-390DB54124E6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1F-4DB3-A54F-390DB54124E6}"/>
              </c:ext>
            </c:extLst>
          </c:dPt>
          <c:val>
            <c:numRef>
              <c:f>Processing!$H$3:$I$3</c:f>
              <c:numCache>
                <c:formatCode>General</c:formatCode>
                <c:ptCount val="2"/>
                <c:pt idx="0">
                  <c:v>12658</c:v>
                </c:pt>
                <c:pt idx="1">
                  <c:v>71330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1F-4DB3-A54F-390DB5412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bg1">
                  <a:alpha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E51-463C-A978-41C27C11AD77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E51-463C-A978-41C27C11AD77}"/>
              </c:ext>
            </c:extLst>
          </c:dPt>
          <c:val>
            <c:numRef>
              <c:f>Processing!$H$3:$I$3</c:f>
              <c:numCache>
                <c:formatCode>General</c:formatCode>
                <c:ptCount val="2"/>
                <c:pt idx="0">
                  <c:v>12658</c:v>
                </c:pt>
                <c:pt idx="1">
                  <c:v>71330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51-463C-A978-41C27C11A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DAD-43EF-8446-A88200F3E4BD}"/>
              </c:ext>
            </c:extLst>
          </c:dPt>
          <c:dPt>
            <c:idx val="1"/>
            <c:bubble3D val="0"/>
            <c:spPr>
              <a:solidFill>
                <a:srgbClr val="00536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DAD-43EF-8446-A88200F3E4BD}"/>
              </c:ext>
            </c:extLst>
          </c:dPt>
          <c:dPt>
            <c:idx val="2"/>
            <c:bubble3D val="0"/>
            <c:spPr>
              <a:solidFill>
                <a:srgbClr val="00837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DAD-43EF-8446-A88200F3E4BD}"/>
              </c:ext>
            </c:extLst>
          </c:dPt>
          <c:dPt>
            <c:idx val="3"/>
            <c:bubble3D val="0"/>
            <c:spPr>
              <a:solidFill>
                <a:srgbClr val="29BB8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DAD-43EF-8446-A88200F3E4BD}"/>
              </c:ext>
            </c:extLst>
          </c:dPt>
          <c:dPt>
            <c:idx val="4"/>
            <c:bubble3D val="0"/>
            <c:spPr>
              <a:solidFill>
                <a:srgbClr val="9DF09E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DAD-43EF-8446-A88200F3E4BD}"/>
              </c:ext>
            </c:extLst>
          </c:dPt>
          <c:val>
            <c:numRef>
              <c:f>Processing!$F$6:$F$10</c:f>
              <c:numCache>
                <c:formatCode>General</c:formatCode>
                <c:ptCount val="5"/>
                <c:pt idx="0">
                  <c:v>27340</c:v>
                </c:pt>
                <c:pt idx="1">
                  <c:v>19561</c:v>
                </c:pt>
                <c:pt idx="2">
                  <c:v>19453</c:v>
                </c:pt>
                <c:pt idx="3">
                  <c:v>6091</c:v>
                </c:pt>
                <c:pt idx="4">
                  <c:v>5343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AD-43EF-8446-A88200F3E4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chemeClr val="bg1"/>
            </a:solidFill>
            <a:ln>
              <a:noFill/>
            </a:ln>
            <a:effectLst/>
          </c:spPr>
          <c:invertIfNegative val="0"/>
          <c:val>
            <c:numRef>
              <c:f>Processing!$I$6:$I$10</c:f>
              <c:numCache>
                <c:formatCode>General</c:formatCode>
                <c:ptCount val="5"/>
                <c:pt idx="0">
                  <c:v>27340</c:v>
                </c:pt>
                <c:pt idx="1">
                  <c:v>5343</c:v>
                </c:pt>
                <c:pt idx="2">
                  <c:v>6091</c:v>
                </c:pt>
                <c:pt idx="3">
                  <c:v>19453</c:v>
                </c:pt>
                <c:pt idx="4">
                  <c:v>19561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3-49D0-961E-1A1F0A4E810D}"/>
            </c:ext>
          </c:extLst>
        </c:ser>
        <c:ser>
          <c:idx val="1"/>
          <c:order val="1"/>
          <c:spPr>
            <a:solidFill>
              <a:srgbClr val="181329"/>
            </a:solidFill>
            <a:ln>
              <a:noFill/>
            </a:ln>
            <a:effectLst/>
          </c:spPr>
          <c:invertIfNegative val="0"/>
          <c:val>
            <c:numRef>
              <c:f>Processing!$J$6:$J$10</c:f>
              <c:numCache>
                <c:formatCode>General</c:formatCode>
                <c:ptCount val="5"/>
                <c:pt idx="0">
                  <c:v>0</c:v>
                </c:pt>
                <c:pt idx="1">
                  <c:v>21997</c:v>
                </c:pt>
                <c:pt idx="2">
                  <c:v>21249</c:v>
                </c:pt>
                <c:pt idx="3">
                  <c:v>7887</c:v>
                </c:pt>
                <c:pt idx="4">
                  <c:v>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33-49D0-961E-1A1F0A4E8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69145504"/>
        <c:axId val="-69141152"/>
      </c:barChart>
      <c:catAx>
        <c:axId val="-69145504"/>
        <c:scaling>
          <c:orientation val="maxMin"/>
        </c:scaling>
        <c:delete val="1"/>
        <c:axPos val="l"/>
        <c:majorTickMark val="none"/>
        <c:minorTickMark val="none"/>
        <c:tickLblPos val="nextTo"/>
        <c:crossAx val="-69141152"/>
        <c:crosses val="autoZero"/>
        <c:auto val="1"/>
        <c:lblAlgn val="ctr"/>
        <c:lblOffset val="100"/>
        <c:noMultiLvlLbl val="0"/>
      </c:catAx>
      <c:valAx>
        <c:axId val="-6914115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-6914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333333333333332E-3"/>
          <c:y val="1.5533977415798504E-2"/>
          <c:w val="0.97777777777777775"/>
          <c:h val="0.9637540526964703"/>
        </c:manualLayout>
      </c:layout>
      <c:barChart>
        <c:barDir val="bar"/>
        <c:grouping val="percentStacked"/>
        <c:varyColors val="0"/>
        <c:ser>
          <c:idx val="0"/>
          <c:order val="0"/>
          <c:spPr>
            <a:solidFill>
              <a:schemeClr val="bg1">
                <a:alpha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2395435-6481-4930-8215-84A83A003C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CFA-4C3C-AD70-D528DF63C7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10CFFA-2D61-4B30-BD5A-4EDCCB0CB0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CFA-4C3C-AD70-D528DF63C7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D3C0C2C-1184-4C9E-BD87-AD7721C3A2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CFA-4C3C-AD70-D528DF63C7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343147-A9B5-47F5-8923-73CB07E994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CFA-4C3C-AD70-D528DF63C7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C76115B-DB51-4118-92E6-996BA9168E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CFA-4C3C-AD70-D528DF63C7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D53A304-0C52-40E4-AF92-B3D78B5920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CFA-4C3C-AD70-D528DF63C7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13B0665-2422-4C2F-8183-01BA0A7AA6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CFA-4C3C-AD70-D528DF63C7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C08C260-9167-4E93-A07C-EEE5332F97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CFA-4C3C-AD70-D528DF63C7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Processing!$Y$1:$Y$8</c:f>
              <c:numCache>
                <c:formatCode>General</c:formatCode>
                <c:ptCount val="8"/>
                <c:pt idx="0">
                  <c:v>798</c:v>
                </c:pt>
                <c:pt idx="1">
                  <c:v>765</c:v>
                </c:pt>
                <c:pt idx="2">
                  <c:v>732</c:v>
                </c:pt>
                <c:pt idx="3">
                  <c:v>665</c:v>
                </c:pt>
                <c:pt idx="4">
                  <c:v>582</c:v>
                </c:pt>
                <c:pt idx="5">
                  <c:v>549</c:v>
                </c:pt>
                <c:pt idx="6">
                  <c:v>532</c:v>
                </c:pt>
                <c:pt idx="7">
                  <c:v>399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Processing!$X$1:$X$10</c15:f>
                <c15:dlblRangeCache>
                  <c:ptCount val="10"/>
                  <c:pt idx="0">
                    <c:v>South Carolina</c:v>
                  </c:pt>
                  <c:pt idx="1">
                    <c:v>Vermont</c:v>
                  </c:pt>
                  <c:pt idx="2">
                    <c:v>Ohio</c:v>
                  </c:pt>
                  <c:pt idx="3">
                    <c:v>Minnesota</c:v>
                  </c:pt>
                  <c:pt idx="4">
                    <c:v>Mississippi</c:v>
                  </c:pt>
                  <c:pt idx="5">
                    <c:v>Texas</c:v>
                  </c:pt>
                  <c:pt idx="6">
                    <c:v>New Mexico</c:v>
                  </c:pt>
                  <c:pt idx="7">
                    <c:v>New York</c:v>
                  </c:pt>
                  <c:pt idx="8">
                    <c:v>-</c:v>
                  </c:pt>
                  <c:pt idx="9">
                    <c:v>-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BCFA-4C3C-AD70-D528DF63C76D}"/>
            </c:ext>
          </c:extLst>
        </c:ser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ACBDA93-24F4-4B5E-B091-619D510539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CFA-4C3C-AD70-D528DF63C7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BD0D4DC-74C3-44A3-8CA4-7349304D63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CFA-4C3C-AD70-D528DF63C7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C45BEBC-3BE6-4E23-9822-2C1704820F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CFA-4C3C-AD70-D528DF63C7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3830DCA-3F80-4604-9382-284A022FB0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CFA-4C3C-AD70-D528DF63C7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C7AC3B3-130C-448F-862D-3937CDD993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CFA-4C3C-AD70-D528DF63C7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420A2D6-6ED6-4C91-9F51-DE1B4EFF77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CFA-4C3C-AD70-D528DF63C7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0B03730-87D2-4BB5-959A-90FD99A1FD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CFA-4C3C-AD70-D528DF63C7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01BC6AA-D545-4DF2-984A-5C38681E5D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CFA-4C3C-AD70-D528DF63C7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Processing!$Z$1:$Z$8</c:f>
              <c:numCache>
                <c:formatCode>General</c:formatCode>
                <c:ptCount val="8"/>
                <c:pt idx="0">
                  <c:v>0</c:v>
                </c:pt>
                <c:pt idx="1">
                  <c:v>33</c:v>
                </c:pt>
                <c:pt idx="2">
                  <c:v>66</c:v>
                </c:pt>
                <c:pt idx="3">
                  <c:v>133</c:v>
                </c:pt>
                <c:pt idx="4">
                  <c:v>216</c:v>
                </c:pt>
                <c:pt idx="5">
                  <c:v>249</c:v>
                </c:pt>
                <c:pt idx="6">
                  <c:v>266</c:v>
                </c:pt>
                <c:pt idx="7">
                  <c:v>399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Processing!$Y$1:$Y$8</c15:f>
                <c15:dlblRangeCache>
                  <c:ptCount val="8"/>
                  <c:pt idx="0">
                    <c:v>798</c:v>
                  </c:pt>
                  <c:pt idx="1">
                    <c:v>765</c:v>
                  </c:pt>
                  <c:pt idx="2">
                    <c:v>732</c:v>
                  </c:pt>
                  <c:pt idx="3">
                    <c:v>665</c:v>
                  </c:pt>
                  <c:pt idx="4">
                    <c:v>582</c:v>
                  </c:pt>
                  <c:pt idx="5">
                    <c:v>549</c:v>
                  </c:pt>
                  <c:pt idx="6">
                    <c:v>532</c:v>
                  </c:pt>
                  <c:pt idx="7">
                    <c:v>399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BCFA-4C3C-AD70-D528DF63C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-2043170512"/>
        <c:axId val="-2043177040"/>
      </c:barChart>
      <c:catAx>
        <c:axId val="-2043170512"/>
        <c:scaling>
          <c:orientation val="maxMin"/>
        </c:scaling>
        <c:delete val="1"/>
        <c:axPos val="l"/>
        <c:majorTickMark val="none"/>
        <c:minorTickMark val="none"/>
        <c:tickLblPos val="nextTo"/>
        <c:crossAx val="-2043177040"/>
        <c:crosses val="autoZero"/>
        <c:auto val="1"/>
        <c:lblAlgn val="ctr"/>
        <c:lblOffset val="100"/>
        <c:noMultiLvlLbl val="0"/>
      </c:catAx>
      <c:valAx>
        <c:axId val="-204317704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-204317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755585423771673E-2"/>
          <c:y val="5.1001837453456718E-2"/>
          <c:w val="0.91304769542271513"/>
          <c:h val="0.82902738364224671"/>
        </c:manualLayout>
      </c:layout>
      <c:areaChart>
        <c:grouping val="standard"/>
        <c:varyColors val="0"/>
        <c:ser>
          <c:idx val="1"/>
          <c:order val="0"/>
          <c:tx>
            <c:strRef>
              <c:f>Processing!$C$15</c:f>
              <c:strCache>
                <c:ptCount val="1"/>
                <c:pt idx="0">
                  <c:v>Previous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>
              <a:noFill/>
            </a:ln>
            <a:effectLst/>
          </c:spPr>
          <c:val>
            <c:numRef>
              <c:f>Processing!$C$18:$C$44</c:f>
              <c:numCache>
                <c:formatCode>General</c:formatCode>
                <c:ptCount val="27"/>
                <c:pt idx="0">
                  <c:v>175.25297417808312</c:v>
                </c:pt>
                <c:pt idx="1">
                  <c:v>177.85513912071073</c:v>
                </c:pt>
                <c:pt idx="2">
                  <c:v>181.37449621446623</c:v>
                </c:pt>
                <c:pt idx="3">
                  <c:v>185.30745515618511</c:v>
                </c:pt>
                <c:pt idx="4">
                  <c:v>189.23649676403502</c:v>
                </c:pt>
                <c:pt idx="5">
                  <c:v>192.8251816333543</c:v>
                </c:pt>
                <c:pt idx="6">
                  <c:v>195.8131587924903</c:v>
                </c:pt>
                <c:pt idx="7">
                  <c:v>198.01117435863799</c:v>
                </c:pt>
                <c:pt idx="8">
                  <c:v>199.29608019367845</c:v>
                </c:pt>
                <c:pt idx="9">
                  <c:v>199.60584256001732</c:v>
                </c:pt>
                <c:pt idx="10">
                  <c:v>198.93455077642312</c:v>
                </c:pt>
                <c:pt idx="11">
                  <c:v>197.3274258738661</c:v>
                </c:pt>
                <c:pt idx="12">
                  <c:v>194.87582925135644</c:v>
                </c:pt>
                <c:pt idx="13">
                  <c:v>191.71227133178269</c:v>
                </c:pt>
                <c:pt idx="14">
                  <c:v>188.00542021775044</c:v>
                </c:pt>
                <c:pt idx="15">
                  <c:v>183.95511034742074</c:v>
                </c:pt>
                <c:pt idx="16">
                  <c:v>179.78735115034829</c:v>
                </c:pt>
                <c:pt idx="17">
                  <c:v>175.74933570332072</c:v>
                </c:pt>
                <c:pt idx="18">
                  <c:v>172.10444938619611</c:v>
                </c:pt>
                <c:pt idx="19">
                  <c:v>169.127278537742</c:v>
                </c:pt>
                <c:pt idx="20">
                  <c:v>167.09861911147394</c:v>
                </c:pt>
                <c:pt idx="21">
                  <c:v>166.30048533149341</c:v>
                </c:pt>
                <c:pt idx="22">
                  <c:v>167.01111834832702</c:v>
                </c:pt>
                <c:pt idx="23">
                  <c:v>169.49999489476437</c:v>
                </c:pt>
                <c:pt idx="24">
                  <c:v>174.02283594169799</c:v>
                </c:pt>
                <c:pt idx="25">
                  <c:v>180.81661535395801</c:v>
                </c:pt>
                <c:pt idx="26">
                  <c:v>190.09456854615621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93-4BEE-9A4C-236C860A22F8}"/>
            </c:ext>
          </c:extLst>
        </c:ser>
        <c:ser>
          <c:idx val="0"/>
          <c:order val="1"/>
          <c:tx>
            <c:strRef>
              <c:f>Processing!$B$15</c:f>
              <c:strCache>
                <c:ptCount val="1"/>
                <c:pt idx="0">
                  <c:v>Current</c:v>
                </c:pt>
              </c:strCache>
            </c:strRef>
          </c:tx>
          <c:spPr>
            <a:solidFill>
              <a:srgbClr val="033443">
                <a:alpha val="50000"/>
              </a:srgbClr>
            </a:solidFill>
            <a:ln w="19050">
              <a:solidFill>
                <a:srgbClr val="02222C"/>
              </a:solidFill>
            </a:ln>
            <a:effectLst/>
          </c:spPr>
          <c:val>
            <c:numRef>
              <c:f>Processing!$B$18:$B$44</c:f>
              <c:numCache>
                <c:formatCode>General</c:formatCode>
                <c:ptCount val="27"/>
                <c:pt idx="0">
                  <c:v>201.21794969009068</c:v>
                </c:pt>
                <c:pt idx="1">
                  <c:v>183.58337167560072</c:v>
                </c:pt>
                <c:pt idx="2">
                  <c:v>174.51534832473948</c:v>
                </c:pt>
                <c:pt idx="3">
                  <c:v>171.05909016516352</c:v>
                </c:pt>
                <c:pt idx="4">
                  <c:v>170.86146257794201</c:v>
                </c:pt>
                <c:pt idx="5">
                  <c:v>172.1154015720814</c:v>
                </c:pt>
                <c:pt idx="6">
                  <c:v>173.50432955904864</c:v>
                </c:pt>
                <c:pt idx="7">
                  <c:v>174.14657112729594</c:v>
                </c:pt>
                <c:pt idx="8">
                  <c:v>173.53976881678489</c:v>
                </c:pt>
                <c:pt idx="9">
                  <c:v>171.50529889350958</c:v>
                </c:pt>
                <c:pt idx="10">
                  <c:v>168.13268712402214</c:v>
                </c:pt>
                <c:pt idx="11">
                  <c:v>163.72402454995495</c:v>
                </c:pt>
                <c:pt idx="12">
                  <c:v>158.73838326254736</c:v>
                </c:pt>
                <c:pt idx="13">
                  <c:v>153.73623217716613</c:v>
                </c:pt>
                <c:pt idx="14">
                  <c:v>149.32385280783365</c:v>
                </c:pt>
                <c:pt idx="15">
                  <c:v>146.09775504174786</c:v>
                </c:pt>
                <c:pt idx="16">
                  <c:v>144.58909291380905</c:v>
                </c:pt>
                <c:pt idx="17">
                  <c:v>145.20808038114501</c:v>
                </c:pt>
                <c:pt idx="18">
                  <c:v>148.18840709763049</c:v>
                </c:pt>
                <c:pt idx="19">
                  <c:v>153.53165418841422</c:v>
                </c:pt>
                <c:pt idx="20">
                  <c:v>160.95171002444499</c:v>
                </c:pt>
                <c:pt idx="21">
                  <c:v>169.81918599699407</c:v>
                </c:pt>
                <c:pt idx="22">
                  <c:v>179.1058322921765</c:v>
                </c:pt>
                <c:pt idx="23">
                  <c:v>187.32895366547427</c:v>
                </c:pt>
                <c:pt idx="24">
                  <c:v>192.49582521627281</c:v>
                </c:pt>
                <c:pt idx="25">
                  <c:v>192.04810816236613</c:v>
                </c:pt>
                <c:pt idx="26">
                  <c:v>182.80626561449617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93-4BEE-9A4C-236C860A2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3166704"/>
        <c:axId val="-2043175952"/>
      </c:areaChart>
      <c:catAx>
        <c:axId val="-2043166704"/>
        <c:scaling>
          <c:orientation val="minMax"/>
        </c:scaling>
        <c:delete val="1"/>
        <c:axPos val="b"/>
        <c:majorTickMark val="out"/>
        <c:minorTickMark val="none"/>
        <c:tickLblPos val="nextTo"/>
        <c:crossAx val="-2043175952"/>
        <c:crosses val="autoZero"/>
        <c:auto val="1"/>
        <c:lblAlgn val="ctr"/>
        <c:lblOffset val="100"/>
        <c:noMultiLvlLbl val="0"/>
      </c:catAx>
      <c:valAx>
        <c:axId val="-2043175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3166704"/>
        <c:crosses val="autoZero"/>
        <c:crossBetween val="midCat"/>
      </c:valAx>
      <c:spPr>
        <a:gradFill>
          <a:gsLst>
            <a:gs pos="0">
              <a:srgbClr val="595959"/>
            </a:gs>
            <a:gs pos="46000">
              <a:srgbClr val="595959">
                <a:alpha val="49804"/>
              </a:srgbClr>
            </a:gs>
            <a:gs pos="79000">
              <a:srgbClr val="595959">
                <a:alpha val="0"/>
              </a:srgbClr>
            </a:gs>
          </a:gsLst>
          <a:path path="circle">
            <a:fillToRect l="50000" t="50000" r="50000" b="50000"/>
          </a:path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875641025641027"/>
          <c:y val="0.13448280761579995"/>
          <c:w val="0.38483589743589741"/>
          <c:h val="0.79969096334185852"/>
        </c:manualLayout>
      </c:layout>
      <c:radarChart>
        <c:radarStyle val="marker"/>
        <c:varyColors val="0"/>
        <c:ser>
          <c:idx val="0"/>
          <c:order val="0"/>
          <c:tx>
            <c:strRef>
              <c:f>Processing!$J$14</c:f>
              <c:strCache>
                <c:ptCount val="1"/>
                <c:pt idx="0">
                  <c:v>A</c:v>
                </c:pt>
              </c:strCache>
            </c:strRef>
          </c:tx>
          <c:spPr>
            <a:ln w="34925" cap="rnd">
              <a:solidFill>
                <a:srgbClr val="00918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9184"/>
              </a:solidFill>
              <a:ln w="9525">
                <a:solidFill>
                  <a:srgbClr val="00918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Processing!$I$15:$I$19</c:f>
              <c:strCache>
                <c:ptCount val="5"/>
                <c:pt idx="0">
                  <c:v>Contextual Advertising</c:v>
                </c:pt>
                <c:pt idx="1">
                  <c:v>Search Engines</c:v>
                </c:pt>
                <c:pt idx="2">
                  <c:v>Direct transitions</c:v>
                </c:pt>
                <c:pt idx="3">
                  <c:v>Referral links</c:v>
                </c:pt>
                <c:pt idx="4">
                  <c:v>Other sources</c:v>
                </c:pt>
              </c:strCache>
            </c:strRef>
          </c:cat>
          <c:val>
            <c:numRef>
              <c:f>Processing!$J$15:$J$19</c:f>
              <c:numCache>
                <c:formatCode>General</c:formatCode>
                <c:ptCount val="5"/>
                <c:pt idx="0">
                  <c:v>112</c:v>
                </c:pt>
                <c:pt idx="1">
                  <c:v>111</c:v>
                </c:pt>
                <c:pt idx="2">
                  <c:v>112</c:v>
                </c:pt>
                <c:pt idx="3">
                  <c:v>102</c:v>
                </c:pt>
                <c:pt idx="4">
                  <c:v>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6-4459-B168-015F1343A236}"/>
            </c:ext>
          </c:extLst>
        </c:ser>
        <c:ser>
          <c:idx val="1"/>
          <c:order val="1"/>
          <c:tx>
            <c:strRef>
              <c:f>Processing!$K$14</c:f>
              <c:strCache>
                <c:ptCount val="1"/>
                <c:pt idx="0">
                  <c:v>B</c:v>
                </c:pt>
              </c:strCache>
            </c:strRef>
          </c:tx>
          <c:spPr>
            <a:ln w="34925" cap="rnd">
              <a:solidFill>
                <a:srgbClr val="FF33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3300"/>
              </a:solidFill>
              <a:ln w="9525">
                <a:solidFill>
                  <a:srgbClr val="FF33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Processing!$I$15:$I$19</c:f>
              <c:strCache>
                <c:ptCount val="5"/>
                <c:pt idx="0">
                  <c:v>Contextual Advertising</c:v>
                </c:pt>
                <c:pt idx="1">
                  <c:v>Search Engines</c:v>
                </c:pt>
                <c:pt idx="2">
                  <c:v>Direct transitions</c:v>
                </c:pt>
                <c:pt idx="3">
                  <c:v>Referral links</c:v>
                </c:pt>
                <c:pt idx="4">
                  <c:v>Other sources</c:v>
                </c:pt>
              </c:strCache>
            </c:strRef>
          </c:cat>
          <c:val>
            <c:numRef>
              <c:f>Processing!$K$15:$K$19</c:f>
              <c:numCache>
                <c:formatCode>General</c:formatCode>
                <c:ptCount val="5"/>
                <c:pt idx="0">
                  <c:v>114</c:v>
                </c:pt>
                <c:pt idx="1">
                  <c:v>99</c:v>
                </c:pt>
                <c:pt idx="2">
                  <c:v>108</c:v>
                </c:pt>
                <c:pt idx="3">
                  <c:v>121</c:v>
                </c:pt>
                <c:pt idx="4">
                  <c:v>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26-4459-B168-015F1343A236}"/>
            </c:ext>
          </c:extLst>
        </c:ser>
        <c:ser>
          <c:idx val="2"/>
          <c:order val="2"/>
          <c:tx>
            <c:strRef>
              <c:f>Processing!$L$14</c:f>
              <c:strCache>
                <c:ptCount val="1"/>
                <c:pt idx="0">
                  <c:v>C</c:v>
                </c:pt>
              </c:strCache>
            </c:strRef>
          </c:tx>
          <c:spPr>
            <a:ln w="34925" cap="rnd">
              <a:solidFill>
                <a:srgbClr val="5FA84F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5FA84F"/>
              </a:solidFill>
              <a:ln w="9525">
                <a:solidFill>
                  <a:srgbClr val="5FA84F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Processing!$I$15:$I$19</c:f>
              <c:strCache>
                <c:ptCount val="5"/>
                <c:pt idx="0">
                  <c:v>Contextual Advertising</c:v>
                </c:pt>
                <c:pt idx="1">
                  <c:v>Search Engines</c:v>
                </c:pt>
                <c:pt idx="2">
                  <c:v>Direct transitions</c:v>
                </c:pt>
                <c:pt idx="3">
                  <c:v>Referral links</c:v>
                </c:pt>
                <c:pt idx="4">
                  <c:v>Other sources</c:v>
                </c:pt>
              </c:strCache>
            </c:strRef>
          </c:cat>
          <c:val>
            <c:numRef>
              <c:f>Processing!$L$15:$L$19</c:f>
              <c:numCache>
                <c:formatCode>General</c:formatCode>
                <c:ptCount val="5"/>
                <c:pt idx="0">
                  <c:v>122</c:v>
                </c:pt>
                <c:pt idx="1">
                  <c:v>126</c:v>
                </c:pt>
                <c:pt idx="2">
                  <c:v>123</c:v>
                </c:pt>
                <c:pt idx="3">
                  <c:v>87</c:v>
                </c:pt>
                <c:pt idx="4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26-4459-B168-015F1343A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3177584"/>
        <c:axId val="-2043163984"/>
      </c:radarChart>
      <c:catAx>
        <c:axId val="-204317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3163984"/>
        <c:crosses val="autoZero"/>
        <c:auto val="1"/>
        <c:lblAlgn val="ctr"/>
        <c:lblOffset val="100"/>
        <c:noMultiLvlLbl val="0"/>
      </c:catAx>
      <c:valAx>
        <c:axId val="-204316398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-2043177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bg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ru-RU"/>
              <a:t>Новые посетители</a:t>
            </a:r>
          </a:p>
        </c:rich>
      </c:tx>
      <c:layout>
        <c:manualLayout>
          <c:xMode val="edge"/>
          <c:yMode val="edge"/>
          <c:x val="0.36485185185185187"/>
          <c:y val="2.46944444444444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Users!$E$2</c:f>
              <c:strCache>
                <c:ptCount val="1"/>
                <c:pt idx="0">
                  <c:v>Repeat visits</c:v>
                </c:pt>
              </c:strCache>
            </c:strRef>
          </c:tx>
          <c:spPr>
            <a:solidFill>
              <a:srgbClr val="29BB8C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[0]!OldVisitorsMonth</c:f>
              <c:numCache>
                <c:formatCode>General</c:formatCode>
                <c:ptCount val="31"/>
                <c:pt idx="0">
                  <c:v>400</c:v>
                </c:pt>
                <c:pt idx="1">
                  <c:v>786</c:v>
                </c:pt>
                <c:pt idx="2">
                  <c:v>467</c:v>
                </c:pt>
                <c:pt idx="3">
                  <c:v>374</c:v>
                </c:pt>
                <c:pt idx="4">
                  <c:v>277</c:v>
                </c:pt>
                <c:pt idx="5">
                  <c:v>225</c:v>
                </c:pt>
                <c:pt idx="6">
                  <c:v>466</c:v>
                </c:pt>
                <c:pt idx="7">
                  <c:v>487</c:v>
                </c:pt>
                <c:pt idx="8">
                  <c:v>315</c:v>
                </c:pt>
                <c:pt idx="9">
                  <c:v>535</c:v>
                </c:pt>
                <c:pt idx="10">
                  <c:v>676</c:v>
                </c:pt>
                <c:pt idx="11">
                  <c:v>246</c:v>
                </c:pt>
                <c:pt idx="12">
                  <c:v>421</c:v>
                </c:pt>
                <c:pt idx="13">
                  <c:v>681</c:v>
                </c:pt>
                <c:pt idx="14">
                  <c:v>488</c:v>
                </c:pt>
                <c:pt idx="15">
                  <c:v>628</c:v>
                </c:pt>
                <c:pt idx="16">
                  <c:v>627</c:v>
                </c:pt>
                <c:pt idx="17">
                  <c:v>957</c:v>
                </c:pt>
                <c:pt idx="18">
                  <c:v>387</c:v>
                </c:pt>
                <c:pt idx="19">
                  <c:v>280</c:v>
                </c:pt>
                <c:pt idx="20">
                  <c:v>214</c:v>
                </c:pt>
                <c:pt idx="21">
                  <c:v>576</c:v>
                </c:pt>
                <c:pt idx="22">
                  <c:v>870</c:v>
                </c:pt>
                <c:pt idx="23">
                  <c:v>291</c:v>
                </c:pt>
                <c:pt idx="24">
                  <c:v>662</c:v>
                </c:pt>
                <c:pt idx="25">
                  <c:v>745</c:v>
                </c:pt>
                <c:pt idx="26">
                  <c:v>491</c:v>
                </c:pt>
                <c:pt idx="27">
                  <c:v>787</c:v>
                </c:pt>
                <c:pt idx="28">
                  <c:v>558</c:v>
                </c:pt>
                <c:pt idx="29">
                  <c:v>442</c:v>
                </c:pt>
                <c:pt idx="30">
                  <c:v>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8D-4B83-90A0-52A60CC612FB}"/>
            </c:ext>
          </c:extLst>
        </c:ser>
        <c:ser>
          <c:idx val="0"/>
          <c:order val="1"/>
          <c:tx>
            <c:strRef>
              <c:f>Users!$C$2</c:f>
              <c:strCache>
                <c:ptCount val="1"/>
                <c:pt idx="0">
                  <c:v>New visits</c:v>
                </c:pt>
              </c:strCache>
            </c:strRef>
          </c:tx>
          <c:spPr>
            <a:solidFill>
              <a:srgbClr val="9DF09E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[0]!NewVisitorsMonth</c:f>
              <c:numCache>
                <c:formatCode>General</c:formatCode>
                <c:ptCount val="31"/>
                <c:pt idx="0">
                  <c:v>2455</c:v>
                </c:pt>
                <c:pt idx="1">
                  <c:v>2021</c:v>
                </c:pt>
                <c:pt idx="2">
                  <c:v>2645</c:v>
                </c:pt>
                <c:pt idx="3">
                  <c:v>3023</c:v>
                </c:pt>
                <c:pt idx="4">
                  <c:v>2487</c:v>
                </c:pt>
                <c:pt idx="5">
                  <c:v>1820</c:v>
                </c:pt>
                <c:pt idx="6">
                  <c:v>2862</c:v>
                </c:pt>
                <c:pt idx="7">
                  <c:v>2373</c:v>
                </c:pt>
                <c:pt idx="8">
                  <c:v>2828</c:v>
                </c:pt>
                <c:pt idx="9">
                  <c:v>1604</c:v>
                </c:pt>
                <c:pt idx="10">
                  <c:v>1827</c:v>
                </c:pt>
                <c:pt idx="11">
                  <c:v>1987</c:v>
                </c:pt>
                <c:pt idx="12">
                  <c:v>2583</c:v>
                </c:pt>
                <c:pt idx="13">
                  <c:v>2724</c:v>
                </c:pt>
                <c:pt idx="14">
                  <c:v>1834</c:v>
                </c:pt>
                <c:pt idx="15">
                  <c:v>1612</c:v>
                </c:pt>
                <c:pt idx="16">
                  <c:v>1982</c:v>
                </c:pt>
                <c:pt idx="17">
                  <c:v>2343</c:v>
                </c:pt>
                <c:pt idx="18">
                  <c:v>1370</c:v>
                </c:pt>
                <c:pt idx="19">
                  <c:v>2048</c:v>
                </c:pt>
                <c:pt idx="20">
                  <c:v>1918</c:v>
                </c:pt>
                <c:pt idx="21">
                  <c:v>2041</c:v>
                </c:pt>
                <c:pt idx="22">
                  <c:v>2029</c:v>
                </c:pt>
                <c:pt idx="23">
                  <c:v>2127</c:v>
                </c:pt>
                <c:pt idx="24">
                  <c:v>2344</c:v>
                </c:pt>
                <c:pt idx="25">
                  <c:v>2358</c:v>
                </c:pt>
                <c:pt idx="26">
                  <c:v>1963</c:v>
                </c:pt>
                <c:pt idx="27">
                  <c:v>1835</c:v>
                </c:pt>
                <c:pt idx="28">
                  <c:v>2095</c:v>
                </c:pt>
                <c:pt idx="29">
                  <c:v>2709</c:v>
                </c:pt>
                <c:pt idx="30">
                  <c:v>2169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D-4B83-90A0-52A60CC61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-2043167248"/>
        <c:axId val="-2043176496"/>
      </c:barChart>
      <c:catAx>
        <c:axId val="-20431672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3176496"/>
        <c:crosses val="autoZero"/>
        <c:auto val="1"/>
        <c:lblAlgn val="ctr"/>
        <c:lblOffset val="100"/>
        <c:noMultiLvlLbl val="0"/>
      </c:catAx>
      <c:valAx>
        <c:axId val="-204317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3167248"/>
        <c:crosses val="autoZero"/>
        <c:crossBetween val="between"/>
      </c:valAx>
      <c:spPr>
        <a:solidFill>
          <a:srgbClr val="181329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205663">
        <a:alpha val="80000"/>
      </a:srgbClr>
    </a:solidFill>
    <a:ln>
      <a:solidFill>
        <a:schemeClr val="bg1">
          <a:lumMod val="95000"/>
        </a:schemeClr>
      </a:solidFill>
    </a:ln>
    <a:effectLst>
      <a:outerShdw blurRad="50800" dist="5080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solidFill>
                  <a:schemeClr val="bg1"/>
                </a:solidFill>
              </a:rPr>
              <a:t>Расходы и Маржа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Users!$O$1</c:f>
              <c:strCache>
                <c:ptCount val="1"/>
                <c:pt idx="0">
                  <c:v>Costs</c:v>
                </c:pt>
              </c:strCache>
            </c:strRef>
          </c:tx>
          <c:spPr>
            <a:solidFill>
              <a:srgbClr val="29BB8C"/>
            </a:solidFill>
            <a:ln>
              <a:noFill/>
            </a:ln>
            <a:effectLst/>
          </c:spPr>
          <c:invertIfNegative val="0"/>
          <c:val>
            <c:numRef>
              <c:f>[0]!Costs</c:f>
              <c:numCache>
                <c:formatCode>General</c:formatCode>
                <c:ptCount val="31"/>
                <c:pt idx="0">
                  <c:v>600.13</c:v>
                </c:pt>
                <c:pt idx="1">
                  <c:v>486.85</c:v>
                </c:pt>
                <c:pt idx="2">
                  <c:v>478.54</c:v>
                </c:pt>
                <c:pt idx="3">
                  <c:v>230.62</c:v>
                </c:pt>
                <c:pt idx="4">
                  <c:v>561.73</c:v>
                </c:pt>
                <c:pt idx="5">
                  <c:v>302.45999999999998</c:v>
                </c:pt>
                <c:pt idx="6">
                  <c:v>234.06</c:v>
                </c:pt>
                <c:pt idx="7">
                  <c:v>237.53</c:v>
                </c:pt>
                <c:pt idx="8">
                  <c:v>457.03</c:v>
                </c:pt>
                <c:pt idx="9">
                  <c:v>507.92</c:v>
                </c:pt>
                <c:pt idx="10">
                  <c:v>601.75</c:v>
                </c:pt>
                <c:pt idx="11">
                  <c:v>207.68</c:v>
                </c:pt>
                <c:pt idx="12">
                  <c:v>357.35</c:v>
                </c:pt>
                <c:pt idx="13">
                  <c:v>320.06</c:v>
                </c:pt>
                <c:pt idx="14">
                  <c:v>404.52</c:v>
                </c:pt>
                <c:pt idx="15">
                  <c:v>382.43</c:v>
                </c:pt>
                <c:pt idx="16">
                  <c:v>358.97</c:v>
                </c:pt>
                <c:pt idx="17">
                  <c:v>281.78999999999996</c:v>
                </c:pt>
                <c:pt idx="18">
                  <c:v>341.68</c:v>
                </c:pt>
                <c:pt idx="19">
                  <c:v>275.56</c:v>
                </c:pt>
                <c:pt idx="20">
                  <c:v>469.52</c:v>
                </c:pt>
                <c:pt idx="21">
                  <c:v>431.64</c:v>
                </c:pt>
                <c:pt idx="22">
                  <c:v>319.87</c:v>
                </c:pt>
                <c:pt idx="23">
                  <c:v>466.65999999999997</c:v>
                </c:pt>
                <c:pt idx="24">
                  <c:v>512.54</c:v>
                </c:pt>
                <c:pt idx="25">
                  <c:v>202.62</c:v>
                </c:pt>
                <c:pt idx="26">
                  <c:v>482.5</c:v>
                </c:pt>
                <c:pt idx="27">
                  <c:v>563.07999999999993</c:v>
                </c:pt>
                <c:pt idx="28">
                  <c:v>225.95</c:v>
                </c:pt>
                <c:pt idx="29">
                  <c:v>603.67000000000007</c:v>
                </c:pt>
                <c:pt idx="30">
                  <c:v>432.34000000000003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00-410E-BCEF-7D2ABEB611F2}"/>
            </c:ext>
          </c:extLst>
        </c:ser>
        <c:ser>
          <c:idx val="1"/>
          <c:order val="1"/>
          <c:tx>
            <c:strRef>
              <c:f>Users!$N$1</c:f>
              <c:strCache>
                <c:ptCount val="1"/>
                <c:pt idx="0">
                  <c:v>Margin</c:v>
                </c:pt>
              </c:strCache>
            </c:strRef>
          </c:tx>
          <c:spPr>
            <a:solidFill>
              <a:srgbClr val="9DF09E"/>
            </a:solidFill>
            <a:ln>
              <a:noFill/>
            </a:ln>
            <a:effectLst/>
          </c:spPr>
          <c:invertIfNegative val="0"/>
          <c:val>
            <c:numRef>
              <c:f>[0]!ProfitMonth</c:f>
              <c:numCache>
                <c:formatCode>_-[$$-409]* #,##0.00_ ;_-[$$-409]* \-#,##0.00\ ;_-[$$-409]* "-"??_ ;_-@_ </c:formatCode>
                <c:ptCount val="31"/>
                <c:pt idx="0">
                  <c:v>211.87</c:v>
                </c:pt>
                <c:pt idx="1">
                  <c:v>293.14999999999998</c:v>
                </c:pt>
                <c:pt idx="2">
                  <c:v>305.45999999999998</c:v>
                </c:pt>
                <c:pt idx="3">
                  <c:v>94.38000000000001</c:v>
                </c:pt>
                <c:pt idx="4">
                  <c:v>222.26999999999998</c:v>
                </c:pt>
                <c:pt idx="5">
                  <c:v>111.54</c:v>
                </c:pt>
                <c:pt idx="6">
                  <c:v>131.94</c:v>
                </c:pt>
                <c:pt idx="7">
                  <c:v>122.47</c:v>
                </c:pt>
                <c:pt idx="8">
                  <c:v>235.97</c:v>
                </c:pt>
                <c:pt idx="9">
                  <c:v>181.07999999999998</c:v>
                </c:pt>
                <c:pt idx="10">
                  <c:v>243.25</c:v>
                </c:pt>
                <c:pt idx="11">
                  <c:v>86.320000000000007</c:v>
                </c:pt>
                <c:pt idx="12">
                  <c:v>236.64999999999998</c:v>
                </c:pt>
                <c:pt idx="13">
                  <c:v>95.940000000000012</c:v>
                </c:pt>
                <c:pt idx="14">
                  <c:v>145.47999999999999</c:v>
                </c:pt>
                <c:pt idx="15">
                  <c:v>241.57</c:v>
                </c:pt>
                <c:pt idx="16">
                  <c:v>211.03</c:v>
                </c:pt>
                <c:pt idx="17">
                  <c:v>84.210000000000008</c:v>
                </c:pt>
                <c:pt idx="18">
                  <c:v>128.32</c:v>
                </c:pt>
                <c:pt idx="19">
                  <c:v>81.440000000000012</c:v>
                </c:pt>
                <c:pt idx="20">
                  <c:v>190.48</c:v>
                </c:pt>
                <c:pt idx="21">
                  <c:v>108.36</c:v>
                </c:pt>
                <c:pt idx="22">
                  <c:v>135.13</c:v>
                </c:pt>
                <c:pt idx="23">
                  <c:v>229.34</c:v>
                </c:pt>
                <c:pt idx="24">
                  <c:v>229.45999999999998</c:v>
                </c:pt>
                <c:pt idx="25">
                  <c:v>103.38000000000001</c:v>
                </c:pt>
                <c:pt idx="26">
                  <c:v>237.5</c:v>
                </c:pt>
                <c:pt idx="27">
                  <c:v>276.92</c:v>
                </c:pt>
                <c:pt idx="28">
                  <c:v>79.050000000000011</c:v>
                </c:pt>
                <c:pt idx="29">
                  <c:v>155.32999999999998</c:v>
                </c:pt>
                <c:pt idx="30">
                  <c:v>143.66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00-410E-BCEF-7D2ABEB61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-2043172144"/>
        <c:axId val="-2043178672"/>
      </c:barChart>
      <c:catAx>
        <c:axId val="-20431721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3178672"/>
        <c:crosses val="autoZero"/>
        <c:auto val="1"/>
        <c:lblAlgn val="ctr"/>
        <c:lblOffset val="100"/>
        <c:noMultiLvlLbl val="0"/>
      </c:catAx>
      <c:valAx>
        <c:axId val="-204317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3172144"/>
        <c:crosses val="autoZero"/>
        <c:crossBetween val="between"/>
      </c:valAx>
      <c:spPr>
        <a:solidFill>
          <a:srgbClr val="181329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776095679012346"/>
          <c:y val="0.89665138888888885"/>
          <c:w val="0.22839783950617285"/>
          <c:h val="6.8070833333333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205662">
        <a:alpha val="70000"/>
      </a:srgb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5080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solidFill>
                  <a:schemeClr val="bg1"/>
                </a:solidFill>
              </a:rPr>
              <a:t>Активные</a:t>
            </a:r>
            <a:r>
              <a:rPr lang="ru-RU" baseline="0">
                <a:solidFill>
                  <a:schemeClr val="bg1"/>
                </a:solidFill>
              </a:rPr>
              <a:t> пользователи</a:t>
            </a:r>
            <a:endParaRPr lang="ru-RU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v>Менее активные</c:v>
          </c:tx>
          <c:spPr>
            <a:solidFill>
              <a:srgbClr val="29BB8C"/>
            </a:solidFill>
            <a:ln>
              <a:noFill/>
            </a:ln>
            <a:effectLst/>
          </c:spPr>
          <c:invertIfNegative val="0"/>
          <c:val>
            <c:numRef>
              <c:f>[0]!PassUsers</c:f>
              <c:numCache>
                <c:formatCode>General</c:formatCode>
                <c:ptCount val="31"/>
                <c:pt idx="0">
                  <c:v>2571</c:v>
                </c:pt>
                <c:pt idx="1">
                  <c:v>2179</c:v>
                </c:pt>
                <c:pt idx="2">
                  <c:v>2758</c:v>
                </c:pt>
                <c:pt idx="3">
                  <c:v>3065</c:v>
                </c:pt>
                <c:pt idx="4">
                  <c:v>2548</c:v>
                </c:pt>
                <c:pt idx="5">
                  <c:v>1843</c:v>
                </c:pt>
                <c:pt idx="6">
                  <c:v>2984</c:v>
                </c:pt>
                <c:pt idx="7">
                  <c:v>2481</c:v>
                </c:pt>
                <c:pt idx="8">
                  <c:v>2923</c:v>
                </c:pt>
                <c:pt idx="9">
                  <c:v>1749</c:v>
                </c:pt>
                <c:pt idx="10">
                  <c:v>1942</c:v>
                </c:pt>
                <c:pt idx="11">
                  <c:v>2017</c:v>
                </c:pt>
                <c:pt idx="12">
                  <c:v>2647</c:v>
                </c:pt>
                <c:pt idx="13">
                  <c:v>2793</c:v>
                </c:pt>
                <c:pt idx="14">
                  <c:v>1922</c:v>
                </c:pt>
                <c:pt idx="15">
                  <c:v>1769</c:v>
                </c:pt>
                <c:pt idx="16">
                  <c:v>2152</c:v>
                </c:pt>
                <c:pt idx="17">
                  <c:v>2497</c:v>
                </c:pt>
                <c:pt idx="18">
                  <c:v>1487</c:v>
                </c:pt>
                <c:pt idx="19">
                  <c:v>2082</c:v>
                </c:pt>
                <c:pt idx="20">
                  <c:v>1957</c:v>
                </c:pt>
                <c:pt idx="21">
                  <c:v>2162</c:v>
                </c:pt>
                <c:pt idx="22">
                  <c:v>2203</c:v>
                </c:pt>
                <c:pt idx="23">
                  <c:v>2194</c:v>
                </c:pt>
                <c:pt idx="24">
                  <c:v>2543</c:v>
                </c:pt>
                <c:pt idx="25">
                  <c:v>2470</c:v>
                </c:pt>
                <c:pt idx="26">
                  <c:v>2052</c:v>
                </c:pt>
                <c:pt idx="27">
                  <c:v>2056</c:v>
                </c:pt>
                <c:pt idx="28">
                  <c:v>2151</c:v>
                </c:pt>
                <c:pt idx="29">
                  <c:v>2798</c:v>
                </c:pt>
                <c:pt idx="30">
                  <c:v>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44-4991-96ED-7853B572A025}"/>
            </c:ext>
          </c:extLst>
        </c:ser>
        <c:ser>
          <c:idx val="0"/>
          <c:order val="1"/>
          <c:tx>
            <c:strRef>
              <c:f>Users!$D$2</c:f>
              <c:strCache>
                <c:ptCount val="1"/>
                <c:pt idx="0">
                  <c:v>Active users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[0]!ActiveUsersMonth</c:f>
              <c:numCache>
                <c:formatCode>General</c:formatCode>
                <c:ptCount val="31"/>
                <c:pt idx="0">
                  <c:v>284</c:v>
                </c:pt>
                <c:pt idx="1">
                  <c:v>628</c:v>
                </c:pt>
                <c:pt idx="2">
                  <c:v>354</c:v>
                </c:pt>
                <c:pt idx="3">
                  <c:v>332</c:v>
                </c:pt>
                <c:pt idx="4">
                  <c:v>216</c:v>
                </c:pt>
                <c:pt idx="5">
                  <c:v>202</c:v>
                </c:pt>
                <c:pt idx="6">
                  <c:v>344</c:v>
                </c:pt>
                <c:pt idx="7">
                  <c:v>379</c:v>
                </c:pt>
                <c:pt idx="8">
                  <c:v>220</c:v>
                </c:pt>
                <c:pt idx="9">
                  <c:v>390</c:v>
                </c:pt>
                <c:pt idx="10">
                  <c:v>561</c:v>
                </c:pt>
                <c:pt idx="11">
                  <c:v>216</c:v>
                </c:pt>
                <c:pt idx="12">
                  <c:v>357</c:v>
                </c:pt>
                <c:pt idx="13">
                  <c:v>612</c:v>
                </c:pt>
                <c:pt idx="14">
                  <c:v>400</c:v>
                </c:pt>
                <c:pt idx="15">
                  <c:v>471</c:v>
                </c:pt>
                <c:pt idx="16">
                  <c:v>457</c:v>
                </c:pt>
                <c:pt idx="17">
                  <c:v>803</c:v>
                </c:pt>
                <c:pt idx="18">
                  <c:v>270</c:v>
                </c:pt>
                <c:pt idx="19">
                  <c:v>246</c:v>
                </c:pt>
                <c:pt idx="20">
                  <c:v>175</c:v>
                </c:pt>
                <c:pt idx="21">
                  <c:v>455</c:v>
                </c:pt>
                <c:pt idx="22">
                  <c:v>696</c:v>
                </c:pt>
                <c:pt idx="23">
                  <c:v>224</c:v>
                </c:pt>
                <c:pt idx="24">
                  <c:v>463</c:v>
                </c:pt>
                <c:pt idx="25">
                  <c:v>633</c:v>
                </c:pt>
                <c:pt idx="26">
                  <c:v>402</c:v>
                </c:pt>
                <c:pt idx="27">
                  <c:v>566</c:v>
                </c:pt>
                <c:pt idx="28">
                  <c:v>502</c:v>
                </c:pt>
                <c:pt idx="29">
                  <c:v>353</c:v>
                </c:pt>
                <c:pt idx="30">
                  <c:v>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44-4991-96ED-7853B572A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-2043172688"/>
        <c:axId val="-2043171600"/>
      </c:barChart>
      <c:catAx>
        <c:axId val="-20431726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3171600"/>
        <c:crosses val="autoZero"/>
        <c:auto val="1"/>
        <c:lblAlgn val="ctr"/>
        <c:lblOffset val="100"/>
        <c:noMultiLvlLbl val="0"/>
      </c:catAx>
      <c:valAx>
        <c:axId val="-204317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3172688"/>
        <c:crosses val="autoZero"/>
        <c:crossBetween val="between"/>
      </c:valAx>
      <c:spPr>
        <a:solidFill>
          <a:srgbClr val="181329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647145061728398"/>
          <c:y val="0.88959583333333336"/>
          <c:w val="0.50705694444444449"/>
          <c:h val="6.8070833333333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205663">
        <a:alpha val="70000"/>
      </a:srgb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5080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21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/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Processing!$B$5" max="12" min="1" page="10" val="12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2197</xdr:rowOff>
    </xdr:from>
    <xdr:to>
      <xdr:col>3</xdr:col>
      <xdr:colOff>598200</xdr:colOff>
      <xdr:row>4</xdr:row>
      <xdr:rowOff>114674</xdr:rowOff>
    </xdr:to>
    <xdr:sp macro="" textlink="">
      <xdr:nvSpPr>
        <xdr:cNvPr id="2" name="Прямоугольник 1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1475" y="485774"/>
          <a:ext cx="2808000" cy="810000"/>
        </a:xfrm>
        <a:prstGeom prst="rect">
          <a:avLst/>
        </a:prstGeom>
        <a:solidFill>
          <a:srgbClr val="205662"/>
        </a:solidFill>
        <a:ln>
          <a:solidFill>
            <a:srgbClr val="20566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6350</xdr:colOff>
      <xdr:row>1</xdr:row>
      <xdr:rowOff>9524</xdr:rowOff>
    </xdr:from>
    <xdr:to>
      <xdr:col>9</xdr:col>
      <xdr:colOff>1300</xdr:colOff>
      <xdr:row>5</xdr:row>
      <xdr:rowOff>374</xdr:rowOff>
    </xdr:to>
    <xdr:sp macro="" textlink="">
      <xdr:nvSpPr>
        <xdr:cNvPr id="5" name="Прямоугольник 4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425825" y="495299"/>
          <a:ext cx="2808000" cy="810000"/>
        </a:xfrm>
        <a:prstGeom prst="rect">
          <a:avLst/>
        </a:prstGeom>
        <a:solidFill>
          <a:srgbClr val="2056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9</xdr:col>
      <xdr:colOff>231775</xdr:colOff>
      <xdr:row>1</xdr:row>
      <xdr:rowOff>9524</xdr:rowOff>
    </xdr:from>
    <xdr:to>
      <xdr:col>12</xdr:col>
      <xdr:colOff>591850</xdr:colOff>
      <xdr:row>5</xdr:row>
      <xdr:rowOff>374</xdr:rowOff>
    </xdr:to>
    <xdr:sp macro="" textlink="">
      <xdr:nvSpPr>
        <xdr:cNvPr id="6" name="Прямоугольник 5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470650" y="495299"/>
          <a:ext cx="2808000" cy="810000"/>
        </a:xfrm>
        <a:prstGeom prst="rect">
          <a:avLst/>
        </a:prstGeom>
        <a:solidFill>
          <a:srgbClr val="2056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13</xdr:col>
      <xdr:colOff>219075</xdr:colOff>
      <xdr:row>1</xdr:row>
      <xdr:rowOff>9524</xdr:rowOff>
    </xdr:from>
    <xdr:to>
      <xdr:col>16</xdr:col>
      <xdr:colOff>579150</xdr:colOff>
      <xdr:row>5</xdr:row>
      <xdr:rowOff>374</xdr:rowOff>
    </xdr:to>
    <xdr:sp macro="" textlink="">
      <xdr:nvSpPr>
        <xdr:cNvPr id="7" name="Прямоугольник 6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515475" y="495299"/>
          <a:ext cx="2808000" cy="810000"/>
        </a:xfrm>
        <a:prstGeom prst="rect">
          <a:avLst/>
        </a:prstGeom>
        <a:solidFill>
          <a:srgbClr val="2056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9525</xdr:colOff>
      <xdr:row>5</xdr:row>
      <xdr:rowOff>228600</xdr:rowOff>
    </xdr:from>
    <xdr:to>
      <xdr:col>8</xdr:col>
      <xdr:colOff>152400</xdr:colOff>
      <xdr:row>19</xdr:row>
      <xdr:rowOff>154729</xdr:rowOff>
    </xdr:to>
    <xdr:sp macro="" textlink="">
      <xdr:nvSpPr>
        <xdr:cNvPr id="9" name="Прямоугольник 8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81000" y="1533525"/>
          <a:ext cx="5848350" cy="2815379"/>
        </a:xfrm>
        <a:prstGeom prst="rect">
          <a:avLst/>
        </a:prstGeom>
        <a:solidFill>
          <a:srgbClr val="20566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10</xdr:col>
      <xdr:colOff>3663</xdr:colOff>
      <xdr:row>6</xdr:row>
      <xdr:rowOff>0</xdr:rowOff>
    </xdr:from>
    <xdr:to>
      <xdr:col>17</xdr:col>
      <xdr:colOff>6349</xdr:colOff>
      <xdr:row>19</xdr:row>
      <xdr:rowOff>164254</xdr:rowOff>
    </xdr:to>
    <xdr:sp macro="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476999" y="1543050"/>
          <a:ext cx="5883275" cy="2812204"/>
        </a:xfrm>
        <a:prstGeom prst="rect">
          <a:avLst/>
        </a:prstGeom>
        <a:solidFill>
          <a:srgbClr val="20566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4081</xdr:colOff>
      <xdr:row>20</xdr:row>
      <xdr:rowOff>206375</xdr:rowOff>
    </xdr:from>
    <xdr:to>
      <xdr:col>9</xdr:col>
      <xdr:colOff>28574</xdr:colOff>
      <xdr:row>32</xdr:row>
      <xdr:rowOff>21379</xdr:rowOff>
    </xdr:to>
    <xdr:sp macro="" textlink="">
      <xdr:nvSpPr>
        <xdr:cNvPr id="11" name="Прямоугольни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71474" y="4642304"/>
          <a:ext cx="5889171" cy="2822182"/>
        </a:xfrm>
        <a:prstGeom prst="rect">
          <a:avLst/>
        </a:prstGeom>
        <a:gradFill flip="none" rotWithShape="1">
          <a:gsLst>
            <a:gs pos="0">
              <a:srgbClr val="595959"/>
            </a:gs>
            <a:gs pos="23000">
              <a:srgbClr val="494949"/>
            </a:gs>
            <a:gs pos="69000">
              <a:srgbClr val="383838"/>
            </a:gs>
            <a:gs pos="97000">
              <a:srgbClr val="292929"/>
            </a:gs>
          </a:gsLst>
          <a:path path="circle">
            <a:fillToRect l="50000" t="50000" r="50000" b="50000"/>
          </a:path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1</xdr:row>
      <xdr:rowOff>0</xdr:rowOff>
    </xdr:from>
    <xdr:to>
      <xdr:col>9</xdr:col>
      <xdr:colOff>7650</xdr:colOff>
      <xdr:row>4</xdr:row>
      <xdr:rowOff>114675</xdr:rowOff>
    </xdr:to>
    <xdr:sp macro="" textlink="">
      <xdr:nvSpPr>
        <xdr:cNvPr id="22" name="Полилиния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438525" y="485775"/>
          <a:ext cx="2808000" cy="810000"/>
        </a:xfrm>
        <a:custGeom>
          <a:avLst/>
          <a:gdLst>
            <a:gd name="connsiteX0" fmla="*/ 2695017 w 2808000"/>
            <a:gd name="connsiteY0" fmla="*/ 0 h 810000"/>
            <a:gd name="connsiteX1" fmla="*/ 2808000 w 2808000"/>
            <a:gd name="connsiteY1" fmla="*/ 0 h 810000"/>
            <a:gd name="connsiteX2" fmla="*/ 2808000 w 2808000"/>
            <a:gd name="connsiteY2" fmla="*/ 810000 h 810000"/>
            <a:gd name="connsiteX3" fmla="*/ 0 w 2808000"/>
            <a:gd name="connsiteY3" fmla="*/ 810000 h 810000"/>
            <a:gd name="connsiteX4" fmla="*/ 0 w 2808000"/>
            <a:gd name="connsiteY4" fmla="*/ 756937 h 810000"/>
            <a:gd name="connsiteX5" fmla="*/ 2695017 w 2808000"/>
            <a:gd name="connsiteY5" fmla="*/ 756937 h 8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08000" h="810000">
              <a:moveTo>
                <a:pt x="2695017" y="0"/>
              </a:moveTo>
              <a:lnTo>
                <a:pt x="2808000" y="0"/>
              </a:lnTo>
              <a:lnTo>
                <a:pt x="2808000" y="810000"/>
              </a:lnTo>
              <a:lnTo>
                <a:pt x="0" y="810000"/>
              </a:lnTo>
              <a:lnTo>
                <a:pt x="0" y="756937"/>
              </a:lnTo>
              <a:lnTo>
                <a:pt x="2695017" y="756937"/>
              </a:lnTo>
              <a:close/>
            </a:path>
          </a:pathLst>
        </a:custGeom>
        <a:solidFill>
          <a:srgbClr val="205662"/>
        </a:solidFill>
        <a:ln>
          <a:solidFill>
            <a:srgbClr val="20566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oneCellAnchor>
    <xdr:from>
      <xdr:col>7</xdr:col>
      <xdr:colOff>95250</xdr:colOff>
      <xdr:row>1</xdr:row>
      <xdr:rowOff>114299</xdr:rowOff>
    </xdr:from>
    <xdr:ext cx="360000" cy="552451"/>
    <xdr:sp macro="" textlink="">
      <xdr:nvSpPr>
        <xdr:cNvPr id="23" name="Прямоугольни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5724525" y="600074"/>
          <a:ext cx="360000" cy="552451"/>
        </a:xfrm>
        <a:prstGeom prst="rect">
          <a:avLst/>
        </a:prstGeom>
        <a:noFill/>
        <a:ln>
          <a:noFill/>
        </a:ln>
        <a:effectLst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Impact" panose="020B0806030902050204" pitchFamily="34" charset="0"/>
              <a:cs typeface="Times New Roman" panose="02020603050405020304" pitchFamily="18" charset="0"/>
            </a:rPr>
            <a:t>$</a:t>
          </a:r>
          <a:endParaRPr lang="ru-RU" sz="32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Impact" panose="020B0806030902050204" pitchFamily="34" charset="0"/>
            <a:cs typeface="Times New Roman" panose="02020603050405020304" pitchFamily="18" charset="0"/>
          </a:endParaRPr>
        </a:p>
      </xdr:txBody>
    </xdr:sp>
    <xdr:clientData/>
  </xdr:oneCellAnchor>
  <xdr:twoCellAnchor>
    <xdr:from>
      <xdr:col>4</xdr:col>
      <xdr:colOff>0</xdr:colOff>
      <xdr:row>0</xdr:row>
      <xdr:rowOff>438150</xdr:rowOff>
    </xdr:from>
    <xdr:to>
      <xdr:col>6</xdr:col>
      <xdr:colOff>233800</xdr:colOff>
      <xdr:row>5</xdr:row>
      <xdr:rowOff>66674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129727</xdr:colOff>
      <xdr:row>0</xdr:row>
      <xdr:rowOff>438150</xdr:rowOff>
    </xdr:from>
    <xdr:to>
      <xdr:col>2</xdr:col>
      <xdr:colOff>230177</xdr:colOff>
      <xdr:row>5</xdr:row>
      <xdr:rowOff>66674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3</xdr:col>
      <xdr:colOff>598200</xdr:colOff>
      <xdr:row>4</xdr:row>
      <xdr:rowOff>114675</xdr:rowOff>
    </xdr:to>
    <xdr:sp macro="[0]!newvisit" textlink="">
      <xdr:nvSpPr>
        <xdr:cNvPr id="21" name="Полилиния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71475" y="485775"/>
          <a:ext cx="2808000" cy="810000"/>
        </a:xfrm>
        <a:custGeom>
          <a:avLst/>
          <a:gdLst>
            <a:gd name="connsiteX0" fmla="*/ 2695017 w 2808000"/>
            <a:gd name="connsiteY0" fmla="*/ 0 h 810000"/>
            <a:gd name="connsiteX1" fmla="*/ 2808000 w 2808000"/>
            <a:gd name="connsiteY1" fmla="*/ 0 h 810000"/>
            <a:gd name="connsiteX2" fmla="*/ 2808000 w 2808000"/>
            <a:gd name="connsiteY2" fmla="*/ 810000 h 810000"/>
            <a:gd name="connsiteX3" fmla="*/ 0 w 2808000"/>
            <a:gd name="connsiteY3" fmla="*/ 810000 h 810000"/>
            <a:gd name="connsiteX4" fmla="*/ 0 w 2808000"/>
            <a:gd name="connsiteY4" fmla="*/ 756937 h 810000"/>
            <a:gd name="connsiteX5" fmla="*/ 2695017 w 2808000"/>
            <a:gd name="connsiteY5" fmla="*/ 756937 h 8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08000" h="810000">
              <a:moveTo>
                <a:pt x="2695017" y="0"/>
              </a:moveTo>
              <a:lnTo>
                <a:pt x="2808000" y="0"/>
              </a:lnTo>
              <a:lnTo>
                <a:pt x="2808000" y="810000"/>
              </a:lnTo>
              <a:lnTo>
                <a:pt x="0" y="810000"/>
              </a:lnTo>
              <a:lnTo>
                <a:pt x="0" y="756937"/>
              </a:lnTo>
              <a:lnTo>
                <a:pt x="2695017" y="756937"/>
              </a:lnTo>
              <a:close/>
            </a:path>
          </a:pathLst>
        </a:custGeom>
        <a:solidFill>
          <a:srgbClr val="205662"/>
        </a:solidFill>
        <a:ln>
          <a:solidFill>
            <a:srgbClr val="20566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95250</xdr:colOff>
      <xdr:row>2</xdr:row>
      <xdr:rowOff>0</xdr:rowOff>
    </xdr:from>
    <xdr:to>
      <xdr:col>3</xdr:col>
      <xdr:colOff>455250</xdr:colOff>
      <xdr:row>3</xdr:row>
      <xdr:rowOff>140925</xdr:rowOff>
    </xdr:to>
    <xdr:sp macro="[0]!newvisit" textlink="">
      <xdr:nvSpPr>
        <xdr:cNvPr id="26" name="Полилиния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 rot="16200000">
          <a:off x="2676525" y="714375"/>
          <a:ext cx="360000" cy="360000"/>
        </a:xfrm>
        <a:custGeom>
          <a:avLst/>
          <a:gdLst>
            <a:gd name="connsiteX0" fmla="*/ 134946 w 360000"/>
            <a:gd name="connsiteY0" fmla="*/ 180000 h 360000"/>
            <a:gd name="connsiteX1" fmla="*/ 67473 w 360000"/>
            <a:gd name="connsiteY1" fmla="*/ 360000 h 360000"/>
            <a:gd name="connsiteX2" fmla="*/ 0 w 360000"/>
            <a:gd name="connsiteY2" fmla="*/ 360000 h 360000"/>
            <a:gd name="connsiteX3" fmla="*/ 0 w 360000"/>
            <a:gd name="connsiteY3" fmla="*/ 0 h 360000"/>
            <a:gd name="connsiteX4" fmla="*/ 67473 w 360000"/>
            <a:gd name="connsiteY4" fmla="*/ 0 h 360000"/>
            <a:gd name="connsiteX5" fmla="*/ 134946 w 360000"/>
            <a:gd name="connsiteY5" fmla="*/ 180000 h 360000"/>
            <a:gd name="connsiteX6" fmla="*/ 360000 w 360000"/>
            <a:gd name="connsiteY6" fmla="*/ 180001 h 360000"/>
            <a:gd name="connsiteX7" fmla="*/ 271694 w 360000"/>
            <a:gd name="connsiteY7" fmla="*/ 268343 h 360000"/>
            <a:gd name="connsiteX8" fmla="*/ 183388 w 360000"/>
            <a:gd name="connsiteY8" fmla="*/ 180001 h 360000"/>
            <a:gd name="connsiteX9" fmla="*/ 271694 w 360000"/>
            <a:gd name="connsiteY9" fmla="*/ 91659 h 360000"/>
            <a:gd name="connsiteX10" fmla="*/ 360000 w 360000"/>
            <a:gd name="connsiteY10" fmla="*/ 180001 h 36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360000" h="360000">
              <a:moveTo>
                <a:pt x="134946" y="180000"/>
              </a:moveTo>
              <a:cubicBezTo>
                <a:pt x="134946" y="279411"/>
                <a:pt x="104737" y="360000"/>
                <a:pt x="67473" y="360000"/>
              </a:cubicBezTo>
              <a:lnTo>
                <a:pt x="0" y="360000"/>
              </a:lnTo>
              <a:lnTo>
                <a:pt x="0" y="0"/>
              </a:lnTo>
              <a:lnTo>
                <a:pt x="67473" y="0"/>
              </a:lnTo>
              <a:cubicBezTo>
                <a:pt x="104737" y="0"/>
                <a:pt x="134946" y="80589"/>
                <a:pt x="134946" y="180000"/>
              </a:cubicBezTo>
              <a:close/>
              <a:moveTo>
                <a:pt x="360000" y="180001"/>
              </a:moveTo>
              <a:cubicBezTo>
                <a:pt x="360000" y="228791"/>
                <a:pt x="320464" y="268343"/>
                <a:pt x="271694" y="268343"/>
              </a:cubicBezTo>
              <a:cubicBezTo>
                <a:pt x="222924" y="268343"/>
                <a:pt x="183388" y="228791"/>
                <a:pt x="183388" y="180001"/>
              </a:cubicBezTo>
              <a:cubicBezTo>
                <a:pt x="183388" y="131211"/>
                <a:pt x="222924" y="91659"/>
                <a:pt x="271694" y="91659"/>
              </a:cubicBezTo>
              <a:cubicBezTo>
                <a:pt x="320464" y="91659"/>
                <a:pt x="360000" y="131211"/>
                <a:pt x="360000" y="180001"/>
              </a:cubicBezTo>
              <a:close/>
            </a:path>
          </a:pathLst>
        </a:cu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11</xdr:col>
      <xdr:colOff>1308613</xdr:colOff>
      <xdr:row>1</xdr:row>
      <xdr:rowOff>180975</xdr:rowOff>
    </xdr:from>
    <xdr:to>
      <xdr:col>12</xdr:col>
      <xdr:colOff>452638</xdr:colOff>
      <xdr:row>3</xdr:row>
      <xdr:rowOff>201300</xdr:rowOff>
    </xdr:to>
    <xdr:sp macro="" textlink="">
      <xdr:nvSpPr>
        <xdr:cNvPr id="27" name="Полилиния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8671438" y="666750"/>
          <a:ext cx="468000" cy="468000"/>
        </a:xfrm>
        <a:custGeom>
          <a:avLst/>
          <a:gdLst>
            <a:gd name="connsiteX0" fmla="*/ 482213 w 1946788"/>
            <a:gd name="connsiteY0" fmla="*/ 1154765 h 1946788"/>
            <a:gd name="connsiteX1" fmla="*/ 1456545 w 1946788"/>
            <a:gd name="connsiteY1" fmla="*/ 1154765 h 1946788"/>
            <a:gd name="connsiteX2" fmla="*/ 1436888 w 1946788"/>
            <a:gd name="connsiteY2" fmla="*/ 1218087 h 1946788"/>
            <a:gd name="connsiteX3" fmla="*/ 969379 w 1946788"/>
            <a:gd name="connsiteY3" fmla="*/ 1527973 h 1946788"/>
            <a:gd name="connsiteX4" fmla="*/ 501870 w 1946788"/>
            <a:gd name="connsiteY4" fmla="*/ 1218087 h 1946788"/>
            <a:gd name="connsiteX5" fmla="*/ 1323618 w 1946788"/>
            <a:gd name="connsiteY5" fmla="*/ 579576 h 1946788"/>
            <a:gd name="connsiteX6" fmla="*/ 1481679 w 1946788"/>
            <a:gd name="connsiteY6" fmla="*/ 737637 h 1946788"/>
            <a:gd name="connsiteX7" fmla="*/ 1323618 w 1946788"/>
            <a:gd name="connsiteY7" fmla="*/ 895698 h 1946788"/>
            <a:gd name="connsiteX8" fmla="*/ 1165557 w 1946788"/>
            <a:gd name="connsiteY8" fmla="*/ 737637 h 1946788"/>
            <a:gd name="connsiteX9" fmla="*/ 1323618 w 1946788"/>
            <a:gd name="connsiteY9" fmla="*/ 579576 h 1946788"/>
            <a:gd name="connsiteX10" fmla="*/ 640274 w 1946788"/>
            <a:gd name="connsiteY10" fmla="*/ 579576 h 1946788"/>
            <a:gd name="connsiteX11" fmla="*/ 798335 w 1946788"/>
            <a:gd name="connsiteY11" fmla="*/ 737637 h 1946788"/>
            <a:gd name="connsiteX12" fmla="*/ 640274 w 1946788"/>
            <a:gd name="connsiteY12" fmla="*/ 895698 h 1946788"/>
            <a:gd name="connsiteX13" fmla="*/ 482213 w 1946788"/>
            <a:gd name="connsiteY13" fmla="*/ 737637 h 1946788"/>
            <a:gd name="connsiteX14" fmla="*/ 640274 w 1946788"/>
            <a:gd name="connsiteY14" fmla="*/ 579576 h 1946788"/>
            <a:gd name="connsiteX15" fmla="*/ 974355 w 1946788"/>
            <a:gd name="connsiteY15" fmla="*/ 166002 h 1946788"/>
            <a:gd name="connsiteX16" fmla="*/ 178902 w 1946788"/>
            <a:gd name="connsiteY16" fmla="*/ 961455 h 1946788"/>
            <a:gd name="connsiteX17" fmla="*/ 974355 w 1946788"/>
            <a:gd name="connsiteY17" fmla="*/ 1756908 h 1946788"/>
            <a:gd name="connsiteX18" fmla="*/ 1769808 w 1946788"/>
            <a:gd name="connsiteY18" fmla="*/ 961455 h 1946788"/>
            <a:gd name="connsiteX19" fmla="*/ 974355 w 1946788"/>
            <a:gd name="connsiteY19" fmla="*/ 166002 h 1946788"/>
            <a:gd name="connsiteX20" fmla="*/ 973394 w 1946788"/>
            <a:gd name="connsiteY20" fmla="*/ 0 h 1946788"/>
            <a:gd name="connsiteX21" fmla="*/ 1946788 w 1946788"/>
            <a:gd name="connsiteY21" fmla="*/ 973394 h 1946788"/>
            <a:gd name="connsiteX22" fmla="*/ 973394 w 1946788"/>
            <a:gd name="connsiteY22" fmla="*/ 1946788 h 1946788"/>
            <a:gd name="connsiteX23" fmla="*/ 0 w 1946788"/>
            <a:gd name="connsiteY23" fmla="*/ 973394 h 1946788"/>
            <a:gd name="connsiteX24" fmla="*/ 973394 w 1946788"/>
            <a:gd name="connsiteY24" fmla="*/ 0 h 19467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</a:cxnLst>
          <a:rect l="l" t="t" r="r" b="b"/>
          <a:pathLst>
            <a:path w="1946788" h="1946788">
              <a:moveTo>
                <a:pt x="482213" y="1154765"/>
              </a:moveTo>
              <a:lnTo>
                <a:pt x="1456545" y="1154765"/>
              </a:lnTo>
              <a:lnTo>
                <a:pt x="1436888" y="1218087"/>
              </a:lnTo>
              <a:cubicBezTo>
                <a:pt x="1359864" y="1400194"/>
                <a:pt x="1179543" y="1527973"/>
                <a:pt x="969379" y="1527973"/>
              </a:cubicBezTo>
              <a:cubicBezTo>
                <a:pt x="759215" y="1527973"/>
                <a:pt x="578895" y="1400194"/>
                <a:pt x="501870" y="1218087"/>
              </a:cubicBezTo>
              <a:close/>
              <a:moveTo>
                <a:pt x="1323618" y="579576"/>
              </a:moveTo>
              <a:cubicBezTo>
                <a:pt x="1410913" y="579576"/>
                <a:pt x="1481679" y="650342"/>
                <a:pt x="1481679" y="737637"/>
              </a:cubicBezTo>
              <a:cubicBezTo>
                <a:pt x="1481679" y="824932"/>
                <a:pt x="1410913" y="895698"/>
                <a:pt x="1323618" y="895698"/>
              </a:cubicBezTo>
              <a:cubicBezTo>
                <a:pt x="1236323" y="895698"/>
                <a:pt x="1165557" y="824932"/>
                <a:pt x="1165557" y="737637"/>
              </a:cubicBezTo>
              <a:cubicBezTo>
                <a:pt x="1165557" y="650342"/>
                <a:pt x="1236323" y="579576"/>
                <a:pt x="1323618" y="579576"/>
              </a:cubicBezTo>
              <a:close/>
              <a:moveTo>
                <a:pt x="640274" y="579576"/>
              </a:moveTo>
              <a:cubicBezTo>
                <a:pt x="727569" y="579576"/>
                <a:pt x="798335" y="650342"/>
                <a:pt x="798335" y="737637"/>
              </a:cubicBezTo>
              <a:cubicBezTo>
                <a:pt x="798335" y="824932"/>
                <a:pt x="727569" y="895698"/>
                <a:pt x="640274" y="895698"/>
              </a:cubicBezTo>
              <a:cubicBezTo>
                <a:pt x="552979" y="895698"/>
                <a:pt x="482213" y="824932"/>
                <a:pt x="482213" y="737637"/>
              </a:cubicBezTo>
              <a:cubicBezTo>
                <a:pt x="482213" y="650342"/>
                <a:pt x="552979" y="579576"/>
                <a:pt x="640274" y="579576"/>
              </a:cubicBezTo>
              <a:close/>
              <a:moveTo>
                <a:pt x="974355" y="166002"/>
              </a:moveTo>
              <a:cubicBezTo>
                <a:pt x="535038" y="166002"/>
                <a:pt x="178902" y="522138"/>
                <a:pt x="178902" y="961455"/>
              </a:cubicBezTo>
              <a:cubicBezTo>
                <a:pt x="178902" y="1400772"/>
                <a:pt x="535038" y="1756908"/>
                <a:pt x="974355" y="1756908"/>
              </a:cubicBezTo>
              <a:cubicBezTo>
                <a:pt x="1413672" y="1756908"/>
                <a:pt x="1769808" y="1400772"/>
                <a:pt x="1769808" y="961455"/>
              </a:cubicBezTo>
              <a:cubicBezTo>
                <a:pt x="1769808" y="522138"/>
                <a:pt x="1413672" y="166002"/>
                <a:pt x="974355" y="166002"/>
              </a:cubicBezTo>
              <a:close/>
              <a:moveTo>
                <a:pt x="973394" y="0"/>
              </a:moveTo>
              <a:cubicBezTo>
                <a:pt x="1510985" y="0"/>
                <a:pt x="1946788" y="435803"/>
                <a:pt x="1946788" y="973394"/>
              </a:cubicBezTo>
              <a:cubicBezTo>
                <a:pt x="1946788" y="1510985"/>
                <a:pt x="1510985" y="1946788"/>
                <a:pt x="973394" y="1946788"/>
              </a:cubicBezTo>
              <a:cubicBezTo>
                <a:pt x="435803" y="1946788"/>
                <a:pt x="0" y="1510985"/>
                <a:pt x="0" y="973394"/>
              </a:cubicBezTo>
              <a:cubicBezTo>
                <a:pt x="0" y="435803"/>
                <a:pt x="435803" y="0"/>
                <a:pt x="973394" y="0"/>
              </a:cubicBezTo>
              <a:close/>
            </a:path>
          </a:pathLst>
        </a:cu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10</xdr:col>
      <xdr:colOff>3197</xdr:colOff>
      <xdr:row>1</xdr:row>
      <xdr:rowOff>11780</xdr:rowOff>
    </xdr:from>
    <xdr:to>
      <xdr:col>12</xdr:col>
      <xdr:colOff>603215</xdr:colOff>
      <xdr:row>5</xdr:row>
      <xdr:rowOff>2412</xdr:rowOff>
    </xdr:to>
    <xdr:sp macro="" textlink="">
      <xdr:nvSpPr>
        <xdr:cNvPr id="28" name="Полилиния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6480197" y="497555"/>
          <a:ext cx="2809818" cy="809782"/>
        </a:xfrm>
        <a:custGeom>
          <a:avLst/>
          <a:gdLst>
            <a:gd name="connsiteX0" fmla="*/ 2695017 w 2808000"/>
            <a:gd name="connsiteY0" fmla="*/ 0 h 810000"/>
            <a:gd name="connsiteX1" fmla="*/ 2808000 w 2808000"/>
            <a:gd name="connsiteY1" fmla="*/ 0 h 810000"/>
            <a:gd name="connsiteX2" fmla="*/ 2808000 w 2808000"/>
            <a:gd name="connsiteY2" fmla="*/ 810000 h 810000"/>
            <a:gd name="connsiteX3" fmla="*/ 0 w 2808000"/>
            <a:gd name="connsiteY3" fmla="*/ 810000 h 810000"/>
            <a:gd name="connsiteX4" fmla="*/ 0 w 2808000"/>
            <a:gd name="connsiteY4" fmla="*/ 756937 h 810000"/>
            <a:gd name="connsiteX5" fmla="*/ 2695017 w 2808000"/>
            <a:gd name="connsiteY5" fmla="*/ 756937 h 8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08000" h="810000">
              <a:moveTo>
                <a:pt x="2695017" y="0"/>
              </a:moveTo>
              <a:lnTo>
                <a:pt x="2808000" y="0"/>
              </a:lnTo>
              <a:lnTo>
                <a:pt x="2808000" y="810000"/>
              </a:lnTo>
              <a:lnTo>
                <a:pt x="0" y="810000"/>
              </a:lnTo>
              <a:lnTo>
                <a:pt x="0" y="756937"/>
              </a:lnTo>
              <a:lnTo>
                <a:pt x="2695017" y="756937"/>
              </a:lnTo>
              <a:close/>
            </a:path>
          </a:pathLst>
        </a:custGeom>
        <a:solidFill>
          <a:srgbClr val="205662"/>
        </a:solidFill>
        <a:ln>
          <a:solidFill>
            <a:srgbClr val="20566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9</xdr:col>
      <xdr:colOff>28575</xdr:colOff>
      <xdr:row>0</xdr:row>
      <xdr:rowOff>438150</xdr:rowOff>
    </xdr:from>
    <xdr:to>
      <xdr:col>11</xdr:col>
      <xdr:colOff>262375</xdr:colOff>
      <xdr:row>5</xdr:row>
      <xdr:rowOff>66674</xdr:rowOff>
    </xdr:to>
    <xdr:graphicFrame macro="">
      <xdr:nvGraphicFramePr>
        <xdr:cNvPr id="29" name="Диаграмма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1285875</xdr:colOff>
      <xdr:row>1</xdr:row>
      <xdr:rowOff>161925</xdr:rowOff>
    </xdr:from>
    <xdr:to>
      <xdr:col>16</xdr:col>
      <xdr:colOff>429900</xdr:colOff>
      <xdr:row>3</xdr:row>
      <xdr:rowOff>182250</xdr:rowOff>
    </xdr:to>
    <xdr:sp macro="" textlink="">
      <xdr:nvSpPr>
        <xdr:cNvPr id="31" name="Полилиния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1706225" y="647700"/>
          <a:ext cx="468000" cy="468000"/>
        </a:xfrm>
        <a:custGeom>
          <a:avLst/>
          <a:gdLst>
            <a:gd name="connsiteX0" fmla="*/ 973394 w 2011955"/>
            <a:gd name="connsiteY0" fmla="*/ 0 h 1946788"/>
            <a:gd name="connsiteX1" fmla="*/ 1709423 w 2011955"/>
            <a:gd name="connsiteY1" fmla="*/ 336380 h 1946788"/>
            <a:gd name="connsiteX2" fmla="*/ 1716929 w 2011955"/>
            <a:gd name="connsiteY2" fmla="*/ 346674 h 1946788"/>
            <a:gd name="connsiteX3" fmla="*/ 2011955 w 2011955"/>
            <a:gd name="connsiteY3" fmla="*/ 48353 h 1946788"/>
            <a:gd name="connsiteX4" fmla="*/ 2011955 w 2011955"/>
            <a:gd name="connsiteY4" fmla="*/ 808176 h 1946788"/>
            <a:gd name="connsiteX5" fmla="*/ 1260524 w 2011955"/>
            <a:gd name="connsiteY5" fmla="*/ 808176 h 1946788"/>
            <a:gd name="connsiteX6" fmla="*/ 1596170 w 2011955"/>
            <a:gd name="connsiteY6" fmla="*/ 468782 h 1946788"/>
            <a:gd name="connsiteX7" fmla="*/ 1575835 w 2011955"/>
            <a:gd name="connsiteY7" fmla="*/ 440890 h 1946788"/>
            <a:gd name="connsiteX8" fmla="*/ 974355 w 2011955"/>
            <a:gd name="connsiteY8" fmla="*/ 166002 h 1946788"/>
            <a:gd name="connsiteX9" fmla="*/ 178902 w 2011955"/>
            <a:gd name="connsiteY9" fmla="*/ 961455 h 1946788"/>
            <a:gd name="connsiteX10" fmla="*/ 974355 w 2011955"/>
            <a:gd name="connsiteY10" fmla="*/ 1756908 h 1946788"/>
            <a:gd name="connsiteX11" fmla="*/ 1707297 w 2011955"/>
            <a:gd name="connsiteY11" fmla="*/ 1271082 h 1946788"/>
            <a:gd name="connsiteX12" fmla="*/ 1720514 w 2011955"/>
            <a:gd name="connsiteY12" fmla="*/ 1228505 h 1946788"/>
            <a:gd name="connsiteX13" fmla="*/ 1908717 w 2011955"/>
            <a:gd name="connsiteY13" fmla="*/ 1228505 h 1946788"/>
            <a:gd name="connsiteX14" fmla="*/ 1870294 w 2011955"/>
            <a:gd name="connsiteY14" fmla="*/ 1352283 h 1946788"/>
            <a:gd name="connsiteX15" fmla="*/ 973394 w 2011955"/>
            <a:gd name="connsiteY15" fmla="*/ 1946788 h 1946788"/>
            <a:gd name="connsiteX16" fmla="*/ 0 w 2011955"/>
            <a:gd name="connsiteY16" fmla="*/ 973394 h 1946788"/>
            <a:gd name="connsiteX17" fmla="*/ 973394 w 2011955"/>
            <a:gd name="connsiteY17" fmla="*/ 0 h 19467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2011955" h="1946788">
              <a:moveTo>
                <a:pt x="973394" y="0"/>
              </a:moveTo>
              <a:cubicBezTo>
                <a:pt x="1267389" y="0"/>
                <a:pt x="1530942" y="130337"/>
                <a:pt x="1709423" y="336380"/>
              </a:cubicBezTo>
              <a:lnTo>
                <a:pt x="1716929" y="346674"/>
              </a:lnTo>
              <a:lnTo>
                <a:pt x="2011955" y="48353"/>
              </a:lnTo>
              <a:lnTo>
                <a:pt x="2011955" y="808176"/>
              </a:lnTo>
              <a:lnTo>
                <a:pt x="1260524" y="808176"/>
              </a:lnTo>
              <a:lnTo>
                <a:pt x="1596170" y="468782"/>
              </a:lnTo>
              <a:lnTo>
                <a:pt x="1575835" y="440890"/>
              </a:lnTo>
              <a:cubicBezTo>
                <a:pt x="1429981" y="272513"/>
                <a:pt x="1214606" y="166002"/>
                <a:pt x="974355" y="166002"/>
              </a:cubicBezTo>
              <a:cubicBezTo>
                <a:pt x="535038" y="166002"/>
                <a:pt x="178902" y="522138"/>
                <a:pt x="178902" y="961455"/>
              </a:cubicBezTo>
              <a:cubicBezTo>
                <a:pt x="178902" y="1400772"/>
                <a:pt x="535038" y="1756908"/>
                <a:pt x="974355" y="1756908"/>
              </a:cubicBezTo>
              <a:cubicBezTo>
                <a:pt x="1303843" y="1756908"/>
                <a:pt x="1586541" y="1556582"/>
                <a:pt x="1707297" y="1271082"/>
              </a:cubicBezTo>
              <a:lnTo>
                <a:pt x="1720514" y="1228505"/>
              </a:lnTo>
              <a:lnTo>
                <a:pt x="1908717" y="1228505"/>
              </a:lnTo>
              <a:lnTo>
                <a:pt x="1870294" y="1352283"/>
              </a:lnTo>
              <a:cubicBezTo>
                <a:pt x="1722525" y="1701649"/>
                <a:pt x="1376587" y="1946788"/>
                <a:pt x="973394" y="1946788"/>
              </a:cubicBezTo>
              <a:cubicBezTo>
                <a:pt x="435803" y="1946788"/>
                <a:pt x="0" y="1510985"/>
                <a:pt x="0" y="973394"/>
              </a:cubicBezTo>
              <a:cubicBezTo>
                <a:pt x="0" y="435803"/>
                <a:pt x="435803" y="0"/>
                <a:pt x="973394" y="0"/>
              </a:cubicBezTo>
              <a:close/>
            </a:path>
          </a:pathLst>
        </a:cu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13</xdr:col>
      <xdr:colOff>28575</xdr:colOff>
      <xdr:row>0</xdr:row>
      <xdr:rowOff>438150</xdr:rowOff>
    </xdr:from>
    <xdr:to>
      <xdr:col>15</xdr:col>
      <xdr:colOff>262375</xdr:colOff>
      <xdr:row>5</xdr:row>
      <xdr:rowOff>66674</xdr:rowOff>
    </xdr:to>
    <xdr:graphicFrame macro="">
      <xdr:nvGraphicFramePr>
        <xdr:cNvPr id="32" name="Диаграмма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1</xdr:row>
      <xdr:rowOff>19050</xdr:rowOff>
    </xdr:from>
    <xdr:to>
      <xdr:col>16</xdr:col>
      <xdr:colOff>600018</xdr:colOff>
      <xdr:row>5</xdr:row>
      <xdr:rowOff>9682</xdr:rowOff>
    </xdr:to>
    <xdr:sp macro="" textlink="">
      <xdr:nvSpPr>
        <xdr:cNvPr id="33" name="Полилиния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9534525" y="504825"/>
          <a:ext cx="2809818" cy="809782"/>
        </a:xfrm>
        <a:custGeom>
          <a:avLst/>
          <a:gdLst>
            <a:gd name="connsiteX0" fmla="*/ 2695017 w 2808000"/>
            <a:gd name="connsiteY0" fmla="*/ 0 h 810000"/>
            <a:gd name="connsiteX1" fmla="*/ 2808000 w 2808000"/>
            <a:gd name="connsiteY1" fmla="*/ 0 h 810000"/>
            <a:gd name="connsiteX2" fmla="*/ 2808000 w 2808000"/>
            <a:gd name="connsiteY2" fmla="*/ 810000 h 810000"/>
            <a:gd name="connsiteX3" fmla="*/ 0 w 2808000"/>
            <a:gd name="connsiteY3" fmla="*/ 810000 h 810000"/>
            <a:gd name="connsiteX4" fmla="*/ 0 w 2808000"/>
            <a:gd name="connsiteY4" fmla="*/ 756937 h 810000"/>
            <a:gd name="connsiteX5" fmla="*/ 2695017 w 2808000"/>
            <a:gd name="connsiteY5" fmla="*/ 756937 h 8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08000" h="810000">
              <a:moveTo>
                <a:pt x="2695017" y="0"/>
              </a:moveTo>
              <a:lnTo>
                <a:pt x="2808000" y="0"/>
              </a:lnTo>
              <a:lnTo>
                <a:pt x="2808000" y="810000"/>
              </a:lnTo>
              <a:lnTo>
                <a:pt x="0" y="810000"/>
              </a:lnTo>
              <a:lnTo>
                <a:pt x="0" y="756937"/>
              </a:lnTo>
              <a:lnTo>
                <a:pt x="2695017" y="756937"/>
              </a:lnTo>
              <a:close/>
            </a:path>
          </a:pathLst>
        </a:custGeom>
        <a:solidFill>
          <a:srgbClr val="205662"/>
        </a:solidFill>
        <a:ln>
          <a:solidFill>
            <a:srgbClr val="20566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114300</xdr:colOff>
      <xdr:row>7</xdr:row>
      <xdr:rowOff>123402</xdr:rowOff>
    </xdr:from>
    <xdr:to>
      <xdr:col>3</xdr:col>
      <xdr:colOff>161924</xdr:colOff>
      <xdr:row>18</xdr:row>
      <xdr:rowOff>304377</xdr:rowOff>
    </xdr:to>
    <xdr:grpSp>
      <xdr:nvGrpSpPr>
        <xdr:cNvPr id="37" name="Группа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pSpPr/>
      </xdr:nvGrpSpPr>
      <xdr:grpSpPr>
        <a:xfrm>
          <a:off x="481693" y="1892331"/>
          <a:ext cx="2251981" cy="2303689"/>
          <a:chOff x="866775" y="1704975"/>
          <a:chExt cx="2447924" cy="2447925"/>
        </a:xfrm>
      </xdr:grpSpPr>
      <xdr:sp macro="" textlink="">
        <xdr:nvSpPr>
          <xdr:cNvPr id="35" name="Овал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923925" y="1758937"/>
            <a:ext cx="2340000" cy="2340000"/>
          </a:xfrm>
          <a:prstGeom prst="ellipse">
            <a:avLst/>
          </a:prstGeom>
          <a:solidFill>
            <a:srgbClr val="181329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34" name="Диаграмма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GraphicFramePr>
            <a:graphicFrameLocks/>
          </xdr:cNvGraphicFramePr>
        </xdr:nvGraphicFramePr>
        <xdr:xfrm>
          <a:off x="866775" y="1704975"/>
          <a:ext cx="2447924" cy="24479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Processing!F11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/>
        </xdr:nvSpPr>
        <xdr:spPr>
          <a:xfrm>
            <a:off x="1455518" y="2639229"/>
            <a:ext cx="1249783" cy="5914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94B08638-BC79-417B-BF74-5EFA7453FFD1}" type="TxLink">
              <a:rPr lang="en-US" sz="12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Total visits
83 988</a:t>
            </a:fld>
            <a:endParaRPr lang="en-US" sz="12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6</xdr:row>
      <xdr:rowOff>0</xdr:rowOff>
    </xdr:from>
    <xdr:to>
      <xdr:col>9</xdr:col>
      <xdr:colOff>15000</xdr:colOff>
      <xdr:row>19</xdr:row>
      <xdr:rowOff>173175</xdr:rowOff>
    </xdr:to>
    <xdr:sp macro="" textlink="">
      <xdr:nvSpPr>
        <xdr:cNvPr id="39" name="Полилиния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371475" y="1543050"/>
          <a:ext cx="5882400" cy="2821125"/>
        </a:xfrm>
        <a:custGeom>
          <a:avLst/>
          <a:gdLst>
            <a:gd name="connsiteX0" fmla="*/ 2695017 w 2808000"/>
            <a:gd name="connsiteY0" fmla="*/ 0 h 810000"/>
            <a:gd name="connsiteX1" fmla="*/ 2808000 w 2808000"/>
            <a:gd name="connsiteY1" fmla="*/ 0 h 810000"/>
            <a:gd name="connsiteX2" fmla="*/ 2808000 w 2808000"/>
            <a:gd name="connsiteY2" fmla="*/ 810000 h 810000"/>
            <a:gd name="connsiteX3" fmla="*/ 0 w 2808000"/>
            <a:gd name="connsiteY3" fmla="*/ 810000 h 810000"/>
            <a:gd name="connsiteX4" fmla="*/ 0 w 2808000"/>
            <a:gd name="connsiteY4" fmla="*/ 756937 h 810000"/>
            <a:gd name="connsiteX5" fmla="*/ 2695017 w 2808000"/>
            <a:gd name="connsiteY5" fmla="*/ 756937 h 8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08000" h="810000">
              <a:moveTo>
                <a:pt x="2695017" y="0"/>
              </a:moveTo>
              <a:lnTo>
                <a:pt x="2808000" y="0"/>
              </a:lnTo>
              <a:lnTo>
                <a:pt x="2808000" y="810000"/>
              </a:lnTo>
              <a:lnTo>
                <a:pt x="0" y="810000"/>
              </a:lnTo>
              <a:lnTo>
                <a:pt x="0" y="756937"/>
              </a:lnTo>
              <a:lnTo>
                <a:pt x="2695017" y="756937"/>
              </a:lnTo>
              <a:close/>
            </a:path>
          </a:pathLst>
        </a:custGeom>
        <a:solidFill>
          <a:srgbClr val="205662"/>
        </a:solidFill>
        <a:ln>
          <a:solidFill>
            <a:srgbClr val="20566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466725</xdr:colOff>
      <xdr:row>7</xdr:row>
      <xdr:rowOff>171450</xdr:rowOff>
    </xdr:from>
    <xdr:to>
      <xdr:col>8</xdr:col>
      <xdr:colOff>133350</xdr:colOff>
      <xdr:row>19</xdr:row>
      <xdr:rowOff>0</xdr:rowOff>
    </xdr:to>
    <xdr:graphicFrame macro="">
      <xdr:nvGraphicFramePr>
        <xdr:cNvPr id="40" name="Диаграмма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561975</xdr:colOff>
      <xdr:row>9</xdr:row>
      <xdr:rowOff>20274</xdr:rowOff>
    </xdr:from>
    <xdr:to>
      <xdr:col>8</xdr:col>
      <xdr:colOff>47625</xdr:colOff>
      <xdr:row>18</xdr:row>
      <xdr:rowOff>127613</xdr:rowOff>
    </xdr:to>
    <xdr:grpSp>
      <xdr:nvGrpSpPr>
        <xdr:cNvPr id="53" name="Группа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3133725" y="2224631"/>
          <a:ext cx="2982686" cy="1794625"/>
          <a:chOff x="3143250" y="2201434"/>
          <a:chExt cx="2981325" cy="1755226"/>
        </a:xfrm>
      </xdr:grpSpPr>
      <xdr:sp macro="" textlink="">
        <xdr:nvSpPr>
          <xdr:cNvPr id="48" name="Прямоугольник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3143250" y="2201434"/>
            <a:ext cx="2981325" cy="180000"/>
          </a:xfrm>
          <a:prstGeom prst="rect">
            <a:avLst/>
          </a:prstGeom>
          <a:solidFill>
            <a:srgbClr val="20566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  <xdr:sp macro="" textlink="">
        <xdr:nvSpPr>
          <xdr:cNvPr id="49" name="Прямоугольник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/>
        </xdr:nvSpPr>
        <xdr:spPr>
          <a:xfrm>
            <a:off x="3143250" y="2597910"/>
            <a:ext cx="2981325" cy="180000"/>
          </a:xfrm>
          <a:prstGeom prst="rect">
            <a:avLst/>
          </a:prstGeom>
          <a:solidFill>
            <a:srgbClr val="20566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  <xdr:sp macro="" textlink="">
        <xdr:nvSpPr>
          <xdr:cNvPr id="50" name="Прямоугольник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SpPr/>
        </xdr:nvSpPr>
        <xdr:spPr>
          <a:xfrm>
            <a:off x="3143250" y="2993231"/>
            <a:ext cx="2981325" cy="180000"/>
          </a:xfrm>
          <a:prstGeom prst="rect">
            <a:avLst/>
          </a:prstGeom>
          <a:solidFill>
            <a:srgbClr val="20566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  <xdr:sp macro="" textlink="">
        <xdr:nvSpPr>
          <xdr:cNvPr id="51" name="Прямоугольник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/>
        </xdr:nvSpPr>
        <xdr:spPr>
          <a:xfrm>
            <a:off x="3143250" y="3389709"/>
            <a:ext cx="2981325" cy="180000"/>
          </a:xfrm>
          <a:prstGeom prst="rect">
            <a:avLst/>
          </a:prstGeom>
          <a:solidFill>
            <a:srgbClr val="20566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  <xdr:sp macro="" textlink="">
        <xdr:nvSpPr>
          <xdr:cNvPr id="52" name="Прямоугольник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/>
        </xdr:nvSpPr>
        <xdr:spPr>
          <a:xfrm>
            <a:off x="3143250" y="3776660"/>
            <a:ext cx="2981325" cy="180000"/>
          </a:xfrm>
          <a:prstGeom prst="rect">
            <a:avLst/>
          </a:prstGeom>
          <a:solidFill>
            <a:srgbClr val="20566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</xdr:grpSp>
    <xdr:clientData/>
  </xdr:twoCellAnchor>
  <xdr:twoCellAnchor>
    <xdr:from>
      <xdr:col>3</xdr:col>
      <xdr:colOff>276225</xdr:colOff>
      <xdr:row>8</xdr:row>
      <xdr:rowOff>19050</xdr:rowOff>
    </xdr:from>
    <xdr:to>
      <xdr:col>3</xdr:col>
      <xdr:colOff>503025</xdr:colOff>
      <xdr:row>17</xdr:row>
      <xdr:rowOff>17250</xdr:rowOff>
    </xdr:to>
    <xdr:grpSp>
      <xdr:nvGrpSpPr>
        <xdr:cNvPr id="59" name="Группа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2847975" y="2019300"/>
          <a:ext cx="226800" cy="1835164"/>
          <a:chOff x="2857500" y="2000250"/>
          <a:chExt cx="226800" cy="1798425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54" name="Овал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/>
        </xdr:nvSpPr>
        <xdr:spPr>
          <a:xfrm>
            <a:off x="2857500" y="2000250"/>
            <a:ext cx="226800" cy="226800"/>
          </a:xfrm>
          <a:prstGeom prst="ellipse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Овал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/>
        </xdr:nvSpPr>
        <xdr:spPr>
          <a:xfrm>
            <a:off x="2857500" y="2393156"/>
            <a:ext cx="226800" cy="226800"/>
          </a:xfrm>
          <a:prstGeom prst="ellipse">
            <a:avLst/>
          </a:prstGeom>
          <a:solidFill>
            <a:srgbClr val="9DF09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Овал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>
            <a:off x="2857500" y="2786062"/>
            <a:ext cx="226800" cy="226800"/>
          </a:xfrm>
          <a:prstGeom prst="ellipse">
            <a:avLst/>
          </a:prstGeom>
          <a:solidFill>
            <a:srgbClr val="29BB8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" name="Овал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/>
        </xdr:nvSpPr>
        <xdr:spPr>
          <a:xfrm>
            <a:off x="2857500" y="3178968"/>
            <a:ext cx="226800" cy="226800"/>
          </a:xfrm>
          <a:prstGeom prst="ellipse">
            <a:avLst/>
          </a:prstGeom>
          <a:solidFill>
            <a:srgbClr val="00837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Овал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2857500" y="3571875"/>
            <a:ext cx="226800" cy="226800"/>
          </a:xfrm>
          <a:prstGeom prst="ellipse">
            <a:avLst/>
          </a:prstGeom>
          <a:solidFill>
            <a:srgbClr val="00536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10</xdr:col>
      <xdr:colOff>190500</xdr:colOff>
      <xdr:row>8</xdr:row>
      <xdr:rowOff>13864</xdr:rowOff>
    </xdr:from>
    <xdr:to>
      <xdr:col>15</xdr:col>
      <xdr:colOff>0</xdr:colOff>
      <xdr:row>18</xdr:row>
      <xdr:rowOff>185314</xdr:rowOff>
    </xdr:to>
    <xdr:sp macro="" textlink="">
      <xdr:nvSpPr>
        <xdr:cNvPr id="109" name="Прямоугольник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>
        <a:xfrm>
          <a:off x="6667500" y="2004589"/>
          <a:ext cx="3752850" cy="2019300"/>
        </a:xfrm>
        <a:prstGeom prst="rect">
          <a:avLst/>
        </a:prstGeom>
        <a:solidFill>
          <a:srgbClr val="181329"/>
        </a:solidFill>
        <a:ln>
          <a:solidFill>
            <a:srgbClr val="20606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477828</xdr:colOff>
      <xdr:row>8</xdr:row>
      <xdr:rowOff>91254</xdr:rowOff>
    </xdr:from>
    <xdr:to>
      <xdr:col>14</xdr:col>
      <xdr:colOff>602872</xdr:colOff>
      <xdr:row>18</xdr:row>
      <xdr:rowOff>107925</xdr:rowOff>
    </xdr:to>
    <xdr:grpSp>
      <xdr:nvGrpSpPr>
        <xdr:cNvPr id="60" name="USA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pSpPr/>
      </xdr:nvGrpSpPr>
      <xdr:grpSpPr>
        <a:xfrm>
          <a:off x="6954828" y="2091504"/>
          <a:ext cx="3186651" cy="1908064"/>
          <a:chOff x="38100" y="228600"/>
          <a:chExt cx="9972675" cy="6105525"/>
        </a:xfrm>
      </xdr:grpSpPr>
      <xdr:sp macro="" textlink="">
        <xdr:nvSpPr>
          <xdr:cNvPr id="61" name="New Jersey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>
            <a:spLocks/>
          </xdr:cNvSpPr>
        </xdr:nvSpPr>
        <xdr:spPr bwMode="auto">
          <a:xfrm>
            <a:off x="8915400" y="2219325"/>
            <a:ext cx="238125" cy="523875"/>
          </a:xfrm>
          <a:custGeom>
            <a:avLst/>
            <a:gdLst>
              <a:gd name="T0" fmla="*/ 51 w 100"/>
              <a:gd name="T1" fmla="*/ 0 h 222"/>
              <a:gd name="T2" fmla="*/ 100 w 100"/>
              <a:gd name="T3" fmla="*/ 17 h 222"/>
              <a:gd name="T4" fmla="*/ 98 w 100"/>
              <a:gd name="T5" fmla="*/ 35 h 222"/>
              <a:gd name="T6" fmla="*/ 92 w 100"/>
              <a:gd name="T7" fmla="*/ 38 h 222"/>
              <a:gd name="T8" fmla="*/ 84 w 100"/>
              <a:gd name="T9" fmla="*/ 39 h 222"/>
              <a:gd name="T10" fmla="*/ 77 w 100"/>
              <a:gd name="T11" fmla="*/ 41 h 222"/>
              <a:gd name="T12" fmla="*/ 71 w 100"/>
              <a:gd name="T13" fmla="*/ 45 h 222"/>
              <a:gd name="T14" fmla="*/ 70 w 100"/>
              <a:gd name="T15" fmla="*/ 50 h 222"/>
              <a:gd name="T16" fmla="*/ 73 w 100"/>
              <a:gd name="T17" fmla="*/ 59 h 222"/>
              <a:gd name="T18" fmla="*/ 75 w 100"/>
              <a:gd name="T19" fmla="*/ 73 h 222"/>
              <a:gd name="T20" fmla="*/ 79 w 100"/>
              <a:gd name="T21" fmla="*/ 90 h 222"/>
              <a:gd name="T22" fmla="*/ 82 w 100"/>
              <a:gd name="T23" fmla="*/ 108 h 222"/>
              <a:gd name="T24" fmla="*/ 84 w 100"/>
              <a:gd name="T25" fmla="*/ 125 h 222"/>
              <a:gd name="T26" fmla="*/ 84 w 100"/>
              <a:gd name="T27" fmla="*/ 141 h 222"/>
              <a:gd name="T28" fmla="*/ 83 w 100"/>
              <a:gd name="T29" fmla="*/ 158 h 222"/>
              <a:gd name="T30" fmla="*/ 78 w 100"/>
              <a:gd name="T31" fmla="*/ 172 h 222"/>
              <a:gd name="T32" fmla="*/ 69 w 100"/>
              <a:gd name="T33" fmla="*/ 185 h 222"/>
              <a:gd name="T34" fmla="*/ 55 w 100"/>
              <a:gd name="T35" fmla="*/ 195 h 222"/>
              <a:gd name="T36" fmla="*/ 46 w 100"/>
              <a:gd name="T37" fmla="*/ 199 h 222"/>
              <a:gd name="T38" fmla="*/ 38 w 100"/>
              <a:gd name="T39" fmla="*/ 198 h 222"/>
              <a:gd name="T40" fmla="*/ 29 w 100"/>
              <a:gd name="T41" fmla="*/ 194 h 222"/>
              <a:gd name="T42" fmla="*/ 21 w 100"/>
              <a:gd name="T43" fmla="*/ 190 h 222"/>
              <a:gd name="T44" fmla="*/ 13 w 100"/>
              <a:gd name="T45" fmla="*/ 187 h 222"/>
              <a:gd name="T46" fmla="*/ 13 w 100"/>
              <a:gd name="T47" fmla="*/ 222 h 222"/>
              <a:gd name="T48" fmla="*/ 6 w 100"/>
              <a:gd name="T49" fmla="*/ 195 h 222"/>
              <a:gd name="T50" fmla="*/ 0 w 100"/>
              <a:gd name="T51" fmla="*/ 167 h 222"/>
              <a:gd name="T52" fmla="*/ 9 w 100"/>
              <a:gd name="T53" fmla="*/ 164 h 222"/>
              <a:gd name="T54" fmla="*/ 18 w 100"/>
              <a:gd name="T55" fmla="*/ 163 h 222"/>
              <a:gd name="T56" fmla="*/ 28 w 100"/>
              <a:gd name="T57" fmla="*/ 160 h 222"/>
              <a:gd name="T58" fmla="*/ 37 w 100"/>
              <a:gd name="T59" fmla="*/ 155 h 222"/>
              <a:gd name="T60" fmla="*/ 42 w 100"/>
              <a:gd name="T61" fmla="*/ 150 h 222"/>
              <a:gd name="T62" fmla="*/ 43 w 100"/>
              <a:gd name="T63" fmla="*/ 143 h 222"/>
              <a:gd name="T64" fmla="*/ 41 w 100"/>
              <a:gd name="T65" fmla="*/ 132 h 222"/>
              <a:gd name="T66" fmla="*/ 51 w 100"/>
              <a:gd name="T67" fmla="*/ 128 h 222"/>
              <a:gd name="T68" fmla="*/ 59 w 100"/>
              <a:gd name="T69" fmla="*/ 121 h 222"/>
              <a:gd name="T70" fmla="*/ 61 w 100"/>
              <a:gd name="T71" fmla="*/ 112 h 222"/>
              <a:gd name="T72" fmla="*/ 60 w 100"/>
              <a:gd name="T73" fmla="*/ 100 h 222"/>
              <a:gd name="T74" fmla="*/ 56 w 100"/>
              <a:gd name="T75" fmla="*/ 89 h 222"/>
              <a:gd name="T76" fmla="*/ 50 w 100"/>
              <a:gd name="T77" fmla="*/ 79 h 222"/>
              <a:gd name="T78" fmla="*/ 43 w 100"/>
              <a:gd name="T79" fmla="*/ 68 h 222"/>
              <a:gd name="T80" fmla="*/ 34 w 100"/>
              <a:gd name="T81" fmla="*/ 59 h 222"/>
              <a:gd name="T82" fmla="*/ 25 w 100"/>
              <a:gd name="T83" fmla="*/ 54 h 222"/>
              <a:gd name="T84" fmla="*/ 30 w 100"/>
              <a:gd name="T85" fmla="*/ 35 h 222"/>
              <a:gd name="T86" fmla="*/ 39 w 100"/>
              <a:gd name="T87" fmla="*/ 17 h 222"/>
              <a:gd name="T88" fmla="*/ 51 w 100"/>
              <a:gd name="T89" fmla="*/ 0 h 2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</a:cxnLst>
            <a:rect l="0" t="0" r="r" b="b"/>
            <a:pathLst>
              <a:path w="100" h="222">
                <a:moveTo>
                  <a:pt x="51" y="0"/>
                </a:moveTo>
                <a:lnTo>
                  <a:pt x="100" y="17"/>
                </a:lnTo>
                <a:lnTo>
                  <a:pt x="98" y="35"/>
                </a:lnTo>
                <a:lnTo>
                  <a:pt x="92" y="38"/>
                </a:lnTo>
                <a:lnTo>
                  <a:pt x="84" y="39"/>
                </a:lnTo>
                <a:lnTo>
                  <a:pt x="77" y="41"/>
                </a:lnTo>
                <a:lnTo>
                  <a:pt x="71" y="45"/>
                </a:lnTo>
                <a:lnTo>
                  <a:pt x="70" y="50"/>
                </a:lnTo>
                <a:lnTo>
                  <a:pt x="73" y="59"/>
                </a:lnTo>
                <a:lnTo>
                  <a:pt x="75" y="73"/>
                </a:lnTo>
                <a:lnTo>
                  <a:pt x="79" y="90"/>
                </a:lnTo>
                <a:lnTo>
                  <a:pt x="82" y="108"/>
                </a:lnTo>
                <a:lnTo>
                  <a:pt x="84" y="125"/>
                </a:lnTo>
                <a:lnTo>
                  <a:pt x="84" y="141"/>
                </a:lnTo>
                <a:lnTo>
                  <a:pt x="83" y="158"/>
                </a:lnTo>
                <a:lnTo>
                  <a:pt x="78" y="172"/>
                </a:lnTo>
                <a:lnTo>
                  <a:pt x="69" y="185"/>
                </a:lnTo>
                <a:lnTo>
                  <a:pt x="55" y="195"/>
                </a:lnTo>
                <a:lnTo>
                  <a:pt x="46" y="199"/>
                </a:lnTo>
                <a:lnTo>
                  <a:pt x="38" y="198"/>
                </a:lnTo>
                <a:lnTo>
                  <a:pt x="29" y="194"/>
                </a:lnTo>
                <a:lnTo>
                  <a:pt x="21" y="190"/>
                </a:lnTo>
                <a:lnTo>
                  <a:pt x="13" y="187"/>
                </a:lnTo>
                <a:lnTo>
                  <a:pt x="13" y="222"/>
                </a:lnTo>
                <a:lnTo>
                  <a:pt x="6" y="195"/>
                </a:lnTo>
                <a:lnTo>
                  <a:pt x="0" y="167"/>
                </a:lnTo>
                <a:lnTo>
                  <a:pt x="9" y="164"/>
                </a:lnTo>
                <a:lnTo>
                  <a:pt x="18" y="163"/>
                </a:lnTo>
                <a:lnTo>
                  <a:pt x="28" y="160"/>
                </a:lnTo>
                <a:lnTo>
                  <a:pt x="37" y="155"/>
                </a:lnTo>
                <a:lnTo>
                  <a:pt x="42" y="150"/>
                </a:lnTo>
                <a:lnTo>
                  <a:pt x="43" y="143"/>
                </a:lnTo>
                <a:lnTo>
                  <a:pt x="41" y="132"/>
                </a:lnTo>
                <a:lnTo>
                  <a:pt x="51" y="128"/>
                </a:lnTo>
                <a:lnTo>
                  <a:pt x="59" y="121"/>
                </a:lnTo>
                <a:lnTo>
                  <a:pt x="61" y="112"/>
                </a:lnTo>
                <a:lnTo>
                  <a:pt x="60" y="100"/>
                </a:lnTo>
                <a:lnTo>
                  <a:pt x="56" y="89"/>
                </a:lnTo>
                <a:lnTo>
                  <a:pt x="50" y="79"/>
                </a:lnTo>
                <a:lnTo>
                  <a:pt x="43" y="68"/>
                </a:lnTo>
                <a:lnTo>
                  <a:pt x="34" y="59"/>
                </a:lnTo>
                <a:lnTo>
                  <a:pt x="25" y="54"/>
                </a:lnTo>
                <a:lnTo>
                  <a:pt x="30" y="35"/>
                </a:lnTo>
                <a:lnTo>
                  <a:pt x="39" y="17"/>
                </a:lnTo>
                <a:lnTo>
                  <a:pt x="51" y="0"/>
                </a:lnTo>
                <a:close/>
              </a:path>
            </a:pathLst>
          </a:custGeom>
          <a:solidFill>
            <a:srgbClr val="00575D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62" name="Delaware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>
            <a:spLocks/>
          </xdr:cNvSpPr>
        </xdr:nvSpPr>
        <xdr:spPr bwMode="auto">
          <a:xfrm>
            <a:off x="8943975" y="2743200"/>
            <a:ext cx="123825" cy="152400"/>
          </a:xfrm>
          <a:custGeom>
            <a:avLst/>
            <a:gdLst>
              <a:gd name="T0" fmla="*/ 0 w 51"/>
              <a:gd name="T1" fmla="*/ 0 h 65"/>
              <a:gd name="T2" fmla="*/ 8 w 51"/>
              <a:gd name="T3" fmla="*/ 18 h 65"/>
              <a:gd name="T4" fmla="*/ 21 w 51"/>
              <a:gd name="T5" fmla="*/ 32 h 65"/>
              <a:gd name="T6" fmla="*/ 35 w 51"/>
              <a:gd name="T7" fmla="*/ 46 h 65"/>
              <a:gd name="T8" fmla="*/ 51 w 51"/>
              <a:gd name="T9" fmla="*/ 58 h 65"/>
              <a:gd name="T10" fmla="*/ 19 w 51"/>
              <a:gd name="T11" fmla="*/ 65 h 65"/>
              <a:gd name="T12" fmla="*/ 7 w 51"/>
              <a:gd name="T13" fmla="*/ 33 h 65"/>
              <a:gd name="T14" fmla="*/ 0 w 51"/>
              <a:gd name="T15" fmla="*/ 0 h 6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51" h="65">
                <a:moveTo>
                  <a:pt x="0" y="0"/>
                </a:moveTo>
                <a:lnTo>
                  <a:pt x="8" y="18"/>
                </a:lnTo>
                <a:lnTo>
                  <a:pt x="21" y="32"/>
                </a:lnTo>
                <a:lnTo>
                  <a:pt x="35" y="46"/>
                </a:lnTo>
                <a:lnTo>
                  <a:pt x="51" y="58"/>
                </a:lnTo>
                <a:lnTo>
                  <a:pt x="19" y="65"/>
                </a:lnTo>
                <a:lnTo>
                  <a:pt x="7" y="33"/>
                </a:lnTo>
                <a:lnTo>
                  <a:pt x="0" y="0"/>
                </a:lnTo>
                <a:close/>
              </a:path>
            </a:pathLst>
          </a:custGeom>
          <a:solidFill>
            <a:srgbClr val="00575D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63" name="Maryland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>
            <a:spLocks/>
          </xdr:cNvSpPr>
        </xdr:nvSpPr>
        <xdr:spPr bwMode="auto">
          <a:xfrm>
            <a:off x="8248650" y="2619375"/>
            <a:ext cx="800100" cy="409575"/>
          </a:xfrm>
          <a:custGeom>
            <a:avLst/>
            <a:gdLst>
              <a:gd name="T0" fmla="*/ 263 w 338"/>
              <a:gd name="T1" fmla="*/ 0 h 171"/>
              <a:gd name="T2" fmla="*/ 275 w 338"/>
              <a:gd name="T3" fmla="*/ 60 h 171"/>
              <a:gd name="T4" fmla="*/ 293 w 338"/>
              <a:gd name="T5" fmla="*/ 119 h 171"/>
              <a:gd name="T6" fmla="*/ 299 w 338"/>
              <a:gd name="T7" fmla="*/ 128 h 171"/>
              <a:gd name="T8" fmla="*/ 307 w 338"/>
              <a:gd name="T9" fmla="*/ 132 h 171"/>
              <a:gd name="T10" fmla="*/ 317 w 338"/>
              <a:gd name="T11" fmla="*/ 132 h 171"/>
              <a:gd name="T12" fmla="*/ 329 w 338"/>
              <a:gd name="T13" fmla="*/ 130 h 171"/>
              <a:gd name="T14" fmla="*/ 338 w 338"/>
              <a:gd name="T15" fmla="*/ 128 h 171"/>
              <a:gd name="T16" fmla="*/ 336 w 338"/>
              <a:gd name="T17" fmla="*/ 143 h 171"/>
              <a:gd name="T18" fmla="*/ 334 w 338"/>
              <a:gd name="T19" fmla="*/ 159 h 171"/>
              <a:gd name="T20" fmla="*/ 327 w 338"/>
              <a:gd name="T21" fmla="*/ 171 h 171"/>
              <a:gd name="T22" fmla="*/ 306 w 338"/>
              <a:gd name="T23" fmla="*/ 161 h 171"/>
              <a:gd name="T24" fmla="*/ 289 w 338"/>
              <a:gd name="T25" fmla="*/ 144 h 171"/>
              <a:gd name="T26" fmla="*/ 277 w 338"/>
              <a:gd name="T27" fmla="*/ 125 h 171"/>
              <a:gd name="T28" fmla="*/ 270 w 338"/>
              <a:gd name="T29" fmla="*/ 102 h 171"/>
              <a:gd name="T30" fmla="*/ 267 w 338"/>
              <a:gd name="T31" fmla="*/ 79 h 171"/>
              <a:gd name="T32" fmla="*/ 265 w 338"/>
              <a:gd name="T33" fmla="*/ 69 h 171"/>
              <a:gd name="T34" fmla="*/ 262 w 338"/>
              <a:gd name="T35" fmla="*/ 59 h 171"/>
              <a:gd name="T36" fmla="*/ 261 w 338"/>
              <a:gd name="T37" fmla="*/ 48 h 171"/>
              <a:gd name="T38" fmla="*/ 258 w 338"/>
              <a:gd name="T39" fmla="*/ 38 h 171"/>
              <a:gd name="T40" fmla="*/ 253 w 338"/>
              <a:gd name="T41" fmla="*/ 29 h 171"/>
              <a:gd name="T42" fmla="*/ 245 w 338"/>
              <a:gd name="T43" fmla="*/ 24 h 171"/>
              <a:gd name="T44" fmla="*/ 236 w 338"/>
              <a:gd name="T45" fmla="*/ 47 h 171"/>
              <a:gd name="T46" fmla="*/ 229 w 338"/>
              <a:gd name="T47" fmla="*/ 70 h 171"/>
              <a:gd name="T48" fmla="*/ 225 w 338"/>
              <a:gd name="T49" fmla="*/ 94 h 171"/>
              <a:gd name="T50" fmla="*/ 224 w 338"/>
              <a:gd name="T51" fmla="*/ 119 h 171"/>
              <a:gd name="T52" fmla="*/ 228 w 338"/>
              <a:gd name="T53" fmla="*/ 143 h 171"/>
              <a:gd name="T54" fmla="*/ 201 w 338"/>
              <a:gd name="T55" fmla="*/ 133 h 171"/>
              <a:gd name="T56" fmla="*/ 203 w 338"/>
              <a:gd name="T57" fmla="*/ 116 h 171"/>
              <a:gd name="T58" fmla="*/ 201 w 338"/>
              <a:gd name="T59" fmla="*/ 103 h 171"/>
              <a:gd name="T60" fmla="*/ 194 w 338"/>
              <a:gd name="T61" fmla="*/ 93 h 171"/>
              <a:gd name="T62" fmla="*/ 185 w 338"/>
              <a:gd name="T63" fmla="*/ 84 h 171"/>
              <a:gd name="T64" fmla="*/ 172 w 338"/>
              <a:gd name="T65" fmla="*/ 77 h 171"/>
              <a:gd name="T66" fmla="*/ 160 w 338"/>
              <a:gd name="T67" fmla="*/ 70 h 171"/>
              <a:gd name="T68" fmla="*/ 147 w 338"/>
              <a:gd name="T69" fmla="*/ 64 h 171"/>
              <a:gd name="T70" fmla="*/ 135 w 338"/>
              <a:gd name="T71" fmla="*/ 56 h 171"/>
              <a:gd name="T72" fmla="*/ 137 w 338"/>
              <a:gd name="T73" fmla="*/ 45 h 171"/>
              <a:gd name="T74" fmla="*/ 114 w 338"/>
              <a:gd name="T75" fmla="*/ 45 h 171"/>
              <a:gd name="T76" fmla="*/ 91 w 338"/>
              <a:gd name="T77" fmla="*/ 45 h 171"/>
              <a:gd name="T78" fmla="*/ 68 w 338"/>
              <a:gd name="T79" fmla="*/ 47 h 171"/>
              <a:gd name="T80" fmla="*/ 44 w 338"/>
              <a:gd name="T81" fmla="*/ 51 h 171"/>
              <a:gd name="T82" fmla="*/ 23 w 338"/>
              <a:gd name="T83" fmla="*/ 59 h 171"/>
              <a:gd name="T84" fmla="*/ 4 w 338"/>
              <a:gd name="T85" fmla="*/ 70 h 171"/>
              <a:gd name="T86" fmla="*/ 0 w 338"/>
              <a:gd name="T87" fmla="*/ 56 h 171"/>
              <a:gd name="T88" fmla="*/ 263 w 338"/>
              <a:gd name="T89" fmla="*/ 0 h 17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</a:cxnLst>
            <a:rect l="0" t="0" r="r" b="b"/>
            <a:pathLst>
              <a:path w="338" h="171">
                <a:moveTo>
                  <a:pt x="263" y="0"/>
                </a:moveTo>
                <a:lnTo>
                  <a:pt x="275" y="60"/>
                </a:lnTo>
                <a:lnTo>
                  <a:pt x="293" y="119"/>
                </a:lnTo>
                <a:lnTo>
                  <a:pt x="299" y="128"/>
                </a:lnTo>
                <a:lnTo>
                  <a:pt x="307" y="132"/>
                </a:lnTo>
                <a:lnTo>
                  <a:pt x="317" y="132"/>
                </a:lnTo>
                <a:lnTo>
                  <a:pt x="329" y="130"/>
                </a:lnTo>
                <a:lnTo>
                  <a:pt x="338" y="128"/>
                </a:lnTo>
                <a:lnTo>
                  <a:pt x="336" y="143"/>
                </a:lnTo>
                <a:lnTo>
                  <a:pt x="334" y="159"/>
                </a:lnTo>
                <a:lnTo>
                  <a:pt x="327" y="171"/>
                </a:lnTo>
                <a:lnTo>
                  <a:pt x="306" y="161"/>
                </a:lnTo>
                <a:lnTo>
                  <a:pt x="289" y="144"/>
                </a:lnTo>
                <a:lnTo>
                  <a:pt x="277" y="125"/>
                </a:lnTo>
                <a:lnTo>
                  <a:pt x="270" y="102"/>
                </a:lnTo>
                <a:lnTo>
                  <a:pt x="267" y="79"/>
                </a:lnTo>
                <a:lnTo>
                  <a:pt x="265" y="69"/>
                </a:lnTo>
                <a:lnTo>
                  <a:pt x="262" y="59"/>
                </a:lnTo>
                <a:lnTo>
                  <a:pt x="261" y="48"/>
                </a:lnTo>
                <a:lnTo>
                  <a:pt x="258" y="38"/>
                </a:lnTo>
                <a:lnTo>
                  <a:pt x="253" y="29"/>
                </a:lnTo>
                <a:lnTo>
                  <a:pt x="245" y="24"/>
                </a:lnTo>
                <a:lnTo>
                  <a:pt x="236" y="47"/>
                </a:lnTo>
                <a:lnTo>
                  <a:pt x="229" y="70"/>
                </a:lnTo>
                <a:lnTo>
                  <a:pt x="225" y="94"/>
                </a:lnTo>
                <a:lnTo>
                  <a:pt x="224" y="119"/>
                </a:lnTo>
                <a:lnTo>
                  <a:pt x="228" y="143"/>
                </a:lnTo>
                <a:lnTo>
                  <a:pt x="201" y="133"/>
                </a:lnTo>
                <a:lnTo>
                  <a:pt x="203" y="116"/>
                </a:lnTo>
                <a:lnTo>
                  <a:pt x="201" y="103"/>
                </a:lnTo>
                <a:lnTo>
                  <a:pt x="194" y="93"/>
                </a:lnTo>
                <a:lnTo>
                  <a:pt x="185" y="84"/>
                </a:lnTo>
                <a:lnTo>
                  <a:pt x="172" y="77"/>
                </a:lnTo>
                <a:lnTo>
                  <a:pt x="160" y="70"/>
                </a:lnTo>
                <a:lnTo>
                  <a:pt x="147" y="64"/>
                </a:lnTo>
                <a:lnTo>
                  <a:pt x="135" y="56"/>
                </a:lnTo>
                <a:lnTo>
                  <a:pt x="137" y="45"/>
                </a:lnTo>
                <a:lnTo>
                  <a:pt x="114" y="45"/>
                </a:lnTo>
                <a:lnTo>
                  <a:pt x="91" y="45"/>
                </a:lnTo>
                <a:lnTo>
                  <a:pt x="68" y="47"/>
                </a:lnTo>
                <a:lnTo>
                  <a:pt x="44" y="51"/>
                </a:lnTo>
                <a:lnTo>
                  <a:pt x="23" y="59"/>
                </a:lnTo>
                <a:lnTo>
                  <a:pt x="4" y="70"/>
                </a:lnTo>
                <a:lnTo>
                  <a:pt x="0" y="56"/>
                </a:lnTo>
                <a:lnTo>
                  <a:pt x="263" y="0"/>
                </a:lnTo>
                <a:close/>
              </a:path>
            </a:pathLst>
          </a:custGeom>
          <a:solidFill>
            <a:srgbClr val="00575D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64" name="Maine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>
            <a:spLocks/>
          </xdr:cNvSpPr>
        </xdr:nvSpPr>
        <xdr:spPr bwMode="auto">
          <a:xfrm>
            <a:off x="9439275" y="561975"/>
            <a:ext cx="571500" cy="1000125"/>
          </a:xfrm>
          <a:custGeom>
            <a:avLst/>
            <a:gdLst>
              <a:gd name="T0" fmla="*/ 116 w 239"/>
              <a:gd name="T1" fmla="*/ 3 h 421"/>
              <a:gd name="T2" fmla="*/ 137 w 239"/>
              <a:gd name="T3" fmla="*/ 35 h 421"/>
              <a:gd name="T4" fmla="*/ 155 w 239"/>
              <a:gd name="T5" fmla="*/ 86 h 421"/>
              <a:gd name="T6" fmla="*/ 177 w 239"/>
              <a:gd name="T7" fmla="*/ 134 h 421"/>
              <a:gd name="T8" fmla="*/ 189 w 239"/>
              <a:gd name="T9" fmla="*/ 146 h 421"/>
              <a:gd name="T10" fmla="*/ 205 w 239"/>
              <a:gd name="T11" fmla="*/ 152 h 421"/>
              <a:gd name="T12" fmla="*/ 215 w 239"/>
              <a:gd name="T13" fmla="*/ 164 h 421"/>
              <a:gd name="T14" fmla="*/ 219 w 239"/>
              <a:gd name="T15" fmla="*/ 174 h 421"/>
              <a:gd name="T16" fmla="*/ 226 w 239"/>
              <a:gd name="T17" fmla="*/ 175 h 421"/>
              <a:gd name="T18" fmla="*/ 233 w 239"/>
              <a:gd name="T19" fmla="*/ 179 h 421"/>
              <a:gd name="T20" fmla="*/ 239 w 239"/>
              <a:gd name="T21" fmla="*/ 183 h 421"/>
              <a:gd name="T22" fmla="*/ 239 w 239"/>
              <a:gd name="T23" fmla="*/ 188 h 421"/>
              <a:gd name="T24" fmla="*/ 233 w 239"/>
              <a:gd name="T25" fmla="*/ 193 h 421"/>
              <a:gd name="T26" fmla="*/ 205 w 239"/>
              <a:gd name="T27" fmla="*/ 218 h 421"/>
              <a:gd name="T28" fmla="*/ 175 w 239"/>
              <a:gd name="T29" fmla="*/ 239 h 421"/>
              <a:gd name="T30" fmla="*/ 139 w 239"/>
              <a:gd name="T31" fmla="*/ 247 h 421"/>
              <a:gd name="T32" fmla="*/ 134 w 239"/>
              <a:gd name="T33" fmla="*/ 278 h 421"/>
              <a:gd name="T34" fmla="*/ 114 w 239"/>
              <a:gd name="T35" fmla="*/ 302 h 421"/>
              <a:gd name="T36" fmla="*/ 91 w 239"/>
              <a:gd name="T37" fmla="*/ 323 h 421"/>
              <a:gd name="T38" fmla="*/ 72 w 239"/>
              <a:gd name="T39" fmla="*/ 352 h 421"/>
              <a:gd name="T40" fmla="*/ 64 w 239"/>
              <a:gd name="T41" fmla="*/ 387 h 421"/>
              <a:gd name="T42" fmla="*/ 58 w 239"/>
              <a:gd name="T43" fmla="*/ 421 h 421"/>
              <a:gd name="T44" fmla="*/ 26 w 239"/>
              <a:gd name="T45" fmla="*/ 338 h 421"/>
              <a:gd name="T46" fmla="*/ 0 w 239"/>
              <a:gd name="T47" fmla="*/ 252 h 421"/>
              <a:gd name="T48" fmla="*/ 4 w 239"/>
              <a:gd name="T49" fmla="*/ 234 h 421"/>
              <a:gd name="T50" fmla="*/ 17 w 239"/>
              <a:gd name="T51" fmla="*/ 219 h 421"/>
              <a:gd name="T52" fmla="*/ 39 w 239"/>
              <a:gd name="T53" fmla="*/ 169 h 421"/>
              <a:gd name="T54" fmla="*/ 47 w 239"/>
              <a:gd name="T55" fmla="*/ 115 h 421"/>
              <a:gd name="T56" fmla="*/ 53 w 239"/>
              <a:gd name="T57" fmla="*/ 61 h 421"/>
              <a:gd name="T58" fmla="*/ 66 w 239"/>
              <a:gd name="T59" fmla="*/ 24 h 421"/>
              <a:gd name="T60" fmla="*/ 84 w 239"/>
              <a:gd name="T61" fmla="*/ 6 h 421"/>
              <a:gd name="T62" fmla="*/ 105 w 239"/>
              <a:gd name="T63" fmla="*/ 0 h 42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</a:cxnLst>
            <a:rect l="0" t="0" r="r" b="b"/>
            <a:pathLst>
              <a:path w="239" h="421">
                <a:moveTo>
                  <a:pt x="105" y="0"/>
                </a:moveTo>
                <a:lnTo>
                  <a:pt x="116" y="3"/>
                </a:lnTo>
                <a:lnTo>
                  <a:pt x="125" y="10"/>
                </a:lnTo>
                <a:lnTo>
                  <a:pt x="137" y="35"/>
                </a:lnTo>
                <a:lnTo>
                  <a:pt x="146" y="60"/>
                </a:lnTo>
                <a:lnTo>
                  <a:pt x="155" y="86"/>
                </a:lnTo>
                <a:lnTo>
                  <a:pt x="164" y="110"/>
                </a:lnTo>
                <a:lnTo>
                  <a:pt x="177" y="134"/>
                </a:lnTo>
                <a:lnTo>
                  <a:pt x="182" y="141"/>
                </a:lnTo>
                <a:lnTo>
                  <a:pt x="189" y="146"/>
                </a:lnTo>
                <a:lnTo>
                  <a:pt x="198" y="150"/>
                </a:lnTo>
                <a:lnTo>
                  <a:pt x="205" y="152"/>
                </a:lnTo>
                <a:lnTo>
                  <a:pt x="212" y="157"/>
                </a:lnTo>
                <a:lnTo>
                  <a:pt x="215" y="164"/>
                </a:lnTo>
                <a:lnTo>
                  <a:pt x="215" y="174"/>
                </a:lnTo>
                <a:lnTo>
                  <a:pt x="219" y="174"/>
                </a:lnTo>
                <a:lnTo>
                  <a:pt x="222" y="175"/>
                </a:lnTo>
                <a:lnTo>
                  <a:pt x="226" y="175"/>
                </a:lnTo>
                <a:lnTo>
                  <a:pt x="230" y="177"/>
                </a:lnTo>
                <a:lnTo>
                  <a:pt x="233" y="179"/>
                </a:lnTo>
                <a:lnTo>
                  <a:pt x="236" y="181"/>
                </a:lnTo>
                <a:lnTo>
                  <a:pt x="239" y="183"/>
                </a:lnTo>
                <a:lnTo>
                  <a:pt x="239" y="186"/>
                </a:lnTo>
                <a:lnTo>
                  <a:pt x="239" y="188"/>
                </a:lnTo>
                <a:lnTo>
                  <a:pt x="237" y="191"/>
                </a:lnTo>
                <a:lnTo>
                  <a:pt x="233" y="193"/>
                </a:lnTo>
                <a:lnTo>
                  <a:pt x="219" y="205"/>
                </a:lnTo>
                <a:lnTo>
                  <a:pt x="205" y="218"/>
                </a:lnTo>
                <a:lnTo>
                  <a:pt x="190" y="229"/>
                </a:lnTo>
                <a:lnTo>
                  <a:pt x="175" y="239"/>
                </a:lnTo>
                <a:lnTo>
                  <a:pt x="157" y="246"/>
                </a:lnTo>
                <a:lnTo>
                  <a:pt x="139" y="247"/>
                </a:lnTo>
                <a:lnTo>
                  <a:pt x="139" y="264"/>
                </a:lnTo>
                <a:lnTo>
                  <a:pt x="134" y="278"/>
                </a:lnTo>
                <a:lnTo>
                  <a:pt x="126" y="291"/>
                </a:lnTo>
                <a:lnTo>
                  <a:pt x="114" y="302"/>
                </a:lnTo>
                <a:lnTo>
                  <a:pt x="103" y="314"/>
                </a:lnTo>
                <a:lnTo>
                  <a:pt x="91" y="323"/>
                </a:lnTo>
                <a:lnTo>
                  <a:pt x="79" y="337"/>
                </a:lnTo>
                <a:lnTo>
                  <a:pt x="72" y="352"/>
                </a:lnTo>
                <a:lnTo>
                  <a:pt x="67" y="369"/>
                </a:lnTo>
                <a:lnTo>
                  <a:pt x="64" y="387"/>
                </a:lnTo>
                <a:lnTo>
                  <a:pt x="62" y="403"/>
                </a:lnTo>
                <a:lnTo>
                  <a:pt x="58" y="421"/>
                </a:lnTo>
                <a:lnTo>
                  <a:pt x="40" y="380"/>
                </a:lnTo>
                <a:lnTo>
                  <a:pt x="26" y="338"/>
                </a:lnTo>
                <a:lnTo>
                  <a:pt x="15" y="295"/>
                </a:lnTo>
                <a:lnTo>
                  <a:pt x="0" y="252"/>
                </a:lnTo>
                <a:lnTo>
                  <a:pt x="0" y="243"/>
                </a:lnTo>
                <a:lnTo>
                  <a:pt x="4" y="234"/>
                </a:lnTo>
                <a:lnTo>
                  <a:pt x="11" y="227"/>
                </a:lnTo>
                <a:lnTo>
                  <a:pt x="17" y="219"/>
                </a:lnTo>
                <a:lnTo>
                  <a:pt x="30" y="195"/>
                </a:lnTo>
                <a:lnTo>
                  <a:pt x="39" y="169"/>
                </a:lnTo>
                <a:lnTo>
                  <a:pt x="43" y="142"/>
                </a:lnTo>
                <a:lnTo>
                  <a:pt x="47" y="115"/>
                </a:lnTo>
                <a:lnTo>
                  <a:pt x="49" y="88"/>
                </a:lnTo>
                <a:lnTo>
                  <a:pt x="53" y="61"/>
                </a:lnTo>
                <a:lnTo>
                  <a:pt x="61" y="35"/>
                </a:lnTo>
                <a:lnTo>
                  <a:pt x="66" y="24"/>
                </a:lnTo>
                <a:lnTo>
                  <a:pt x="73" y="15"/>
                </a:lnTo>
                <a:lnTo>
                  <a:pt x="84" y="6"/>
                </a:lnTo>
                <a:lnTo>
                  <a:pt x="94" y="1"/>
                </a:lnTo>
                <a:lnTo>
                  <a:pt x="105" y="0"/>
                </a:lnTo>
                <a:close/>
              </a:path>
            </a:pathLst>
          </a:custGeom>
          <a:solidFill>
            <a:srgbClr val="008375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65" name="Rhode Island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>
            <a:spLocks/>
          </xdr:cNvSpPr>
        </xdr:nvSpPr>
        <xdr:spPr bwMode="auto">
          <a:xfrm>
            <a:off x="9486900" y="1914525"/>
            <a:ext cx="123825" cy="104775"/>
          </a:xfrm>
          <a:custGeom>
            <a:avLst/>
            <a:gdLst>
              <a:gd name="T0" fmla="*/ 12 w 54"/>
              <a:gd name="T1" fmla="*/ 0 h 46"/>
              <a:gd name="T2" fmla="*/ 21 w 54"/>
              <a:gd name="T3" fmla="*/ 5 h 46"/>
              <a:gd name="T4" fmla="*/ 29 w 54"/>
              <a:gd name="T5" fmla="*/ 12 h 46"/>
              <a:gd name="T6" fmla="*/ 36 w 54"/>
              <a:gd name="T7" fmla="*/ 21 h 46"/>
              <a:gd name="T8" fmla="*/ 45 w 54"/>
              <a:gd name="T9" fmla="*/ 29 h 46"/>
              <a:gd name="T10" fmla="*/ 54 w 54"/>
              <a:gd name="T11" fmla="*/ 35 h 46"/>
              <a:gd name="T12" fmla="*/ 17 w 54"/>
              <a:gd name="T13" fmla="*/ 46 h 46"/>
              <a:gd name="T14" fmla="*/ 9 w 54"/>
              <a:gd name="T15" fmla="*/ 23 h 46"/>
              <a:gd name="T16" fmla="*/ 0 w 54"/>
              <a:gd name="T17" fmla="*/ 0 h 46"/>
              <a:gd name="T18" fmla="*/ 12 w 54"/>
              <a:gd name="T19" fmla="*/ 0 h 4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54" h="46">
                <a:moveTo>
                  <a:pt x="12" y="0"/>
                </a:moveTo>
                <a:lnTo>
                  <a:pt x="21" y="5"/>
                </a:lnTo>
                <a:lnTo>
                  <a:pt x="29" y="12"/>
                </a:lnTo>
                <a:lnTo>
                  <a:pt x="36" y="21"/>
                </a:lnTo>
                <a:lnTo>
                  <a:pt x="45" y="29"/>
                </a:lnTo>
                <a:lnTo>
                  <a:pt x="54" y="35"/>
                </a:lnTo>
                <a:lnTo>
                  <a:pt x="17" y="46"/>
                </a:lnTo>
                <a:lnTo>
                  <a:pt x="9" y="23"/>
                </a:lnTo>
                <a:lnTo>
                  <a:pt x="0" y="0"/>
                </a:lnTo>
                <a:lnTo>
                  <a:pt x="12" y="0"/>
                </a:lnTo>
                <a:close/>
              </a:path>
            </a:pathLst>
          </a:custGeom>
          <a:solidFill>
            <a:srgbClr val="008375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66" name="Connecticut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>
            <a:spLocks/>
          </xdr:cNvSpPr>
        </xdr:nvSpPr>
        <xdr:spPr bwMode="auto">
          <a:xfrm>
            <a:off x="9191625" y="1933575"/>
            <a:ext cx="295275" cy="219075"/>
          </a:xfrm>
          <a:custGeom>
            <a:avLst/>
            <a:gdLst>
              <a:gd name="T0" fmla="*/ 105 w 121"/>
              <a:gd name="T1" fmla="*/ 0 h 92"/>
              <a:gd name="T2" fmla="*/ 121 w 121"/>
              <a:gd name="T3" fmla="*/ 46 h 92"/>
              <a:gd name="T4" fmla="*/ 86 w 121"/>
              <a:gd name="T5" fmla="*/ 59 h 92"/>
              <a:gd name="T6" fmla="*/ 50 w 121"/>
              <a:gd name="T7" fmla="*/ 73 h 92"/>
              <a:gd name="T8" fmla="*/ 16 w 121"/>
              <a:gd name="T9" fmla="*/ 92 h 92"/>
              <a:gd name="T10" fmla="*/ 6 w 121"/>
              <a:gd name="T11" fmla="*/ 59 h 92"/>
              <a:gd name="T12" fmla="*/ 0 w 121"/>
              <a:gd name="T13" fmla="*/ 26 h 92"/>
              <a:gd name="T14" fmla="*/ 105 w 121"/>
              <a:gd name="T15" fmla="*/ 0 h 9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1" h="92">
                <a:moveTo>
                  <a:pt x="105" y="0"/>
                </a:moveTo>
                <a:lnTo>
                  <a:pt x="121" y="46"/>
                </a:lnTo>
                <a:lnTo>
                  <a:pt x="86" y="59"/>
                </a:lnTo>
                <a:lnTo>
                  <a:pt x="50" y="73"/>
                </a:lnTo>
                <a:lnTo>
                  <a:pt x="16" y="92"/>
                </a:lnTo>
                <a:lnTo>
                  <a:pt x="6" y="59"/>
                </a:lnTo>
                <a:lnTo>
                  <a:pt x="0" y="26"/>
                </a:lnTo>
                <a:lnTo>
                  <a:pt x="105" y="0"/>
                </a:lnTo>
                <a:close/>
              </a:path>
            </a:pathLst>
          </a:custGeom>
          <a:solidFill>
            <a:srgbClr val="00575D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67" name="Massachusetts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>
            <a:spLocks/>
          </xdr:cNvSpPr>
        </xdr:nvSpPr>
        <xdr:spPr bwMode="auto">
          <a:xfrm>
            <a:off x="9191625" y="1695450"/>
            <a:ext cx="466725" cy="276225"/>
          </a:xfrm>
          <a:custGeom>
            <a:avLst/>
            <a:gdLst>
              <a:gd name="T0" fmla="*/ 144 w 195"/>
              <a:gd name="T1" fmla="*/ 0 h 114"/>
              <a:gd name="T2" fmla="*/ 139 w 195"/>
              <a:gd name="T3" fmla="*/ 14 h 114"/>
              <a:gd name="T4" fmla="*/ 140 w 195"/>
              <a:gd name="T5" fmla="*/ 25 h 114"/>
              <a:gd name="T6" fmla="*/ 145 w 195"/>
              <a:gd name="T7" fmla="*/ 34 h 114"/>
              <a:gd name="T8" fmla="*/ 153 w 195"/>
              <a:gd name="T9" fmla="*/ 43 h 114"/>
              <a:gd name="T10" fmla="*/ 163 w 195"/>
              <a:gd name="T11" fmla="*/ 52 h 114"/>
              <a:gd name="T12" fmla="*/ 173 w 195"/>
              <a:gd name="T13" fmla="*/ 60 h 114"/>
              <a:gd name="T14" fmla="*/ 182 w 195"/>
              <a:gd name="T15" fmla="*/ 69 h 114"/>
              <a:gd name="T16" fmla="*/ 190 w 195"/>
              <a:gd name="T17" fmla="*/ 78 h 114"/>
              <a:gd name="T18" fmla="*/ 194 w 195"/>
              <a:gd name="T19" fmla="*/ 88 h 114"/>
              <a:gd name="T20" fmla="*/ 195 w 195"/>
              <a:gd name="T21" fmla="*/ 100 h 114"/>
              <a:gd name="T22" fmla="*/ 190 w 195"/>
              <a:gd name="T23" fmla="*/ 114 h 114"/>
              <a:gd name="T24" fmla="*/ 173 w 195"/>
              <a:gd name="T25" fmla="*/ 101 h 114"/>
              <a:gd name="T26" fmla="*/ 158 w 195"/>
              <a:gd name="T27" fmla="*/ 85 h 114"/>
              <a:gd name="T28" fmla="*/ 141 w 195"/>
              <a:gd name="T29" fmla="*/ 70 h 114"/>
              <a:gd name="T30" fmla="*/ 95 w 195"/>
              <a:gd name="T31" fmla="*/ 82 h 114"/>
              <a:gd name="T32" fmla="*/ 48 w 195"/>
              <a:gd name="T33" fmla="*/ 93 h 114"/>
              <a:gd name="T34" fmla="*/ 2 w 195"/>
              <a:gd name="T35" fmla="*/ 105 h 114"/>
              <a:gd name="T36" fmla="*/ 0 w 195"/>
              <a:gd name="T37" fmla="*/ 51 h 114"/>
              <a:gd name="T38" fmla="*/ 71 w 195"/>
              <a:gd name="T39" fmla="*/ 24 h 114"/>
              <a:gd name="T40" fmla="*/ 144 w 195"/>
              <a:gd name="T41" fmla="*/ 0 h 1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</a:cxnLst>
            <a:rect l="0" t="0" r="r" b="b"/>
            <a:pathLst>
              <a:path w="195" h="114">
                <a:moveTo>
                  <a:pt x="144" y="0"/>
                </a:moveTo>
                <a:lnTo>
                  <a:pt x="139" y="14"/>
                </a:lnTo>
                <a:lnTo>
                  <a:pt x="140" y="25"/>
                </a:lnTo>
                <a:lnTo>
                  <a:pt x="145" y="34"/>
                </a:lnTo>
                <a:lnTo>
                  <a:pt x="153" y="43"/>
                </a:lnTo>
                <a:lnTo>
                  <a:pt x="163" y="52"/>
                </a:lnTo>
                <a:lnTo>
                  <a:pt x="173" y="60"/>
                </a:lnTo>
                <a:lnTo>
                  <a:pt x="182" y="69"/>
                </a:lnTo>
                <a:lnTo>
                  <a:pt x="190" y="78"/>
                </a:lnTo>
                <a:lnTo>
                  <a:pt x="194" y="88"/>
                </a:lnTo>
                <a:lnTo>
                  <a:pt x="195" y="100"/>
                </a:lnTo>
                <a:lnTo>
                  <a:pt x="190" y="114"/>
                </a:lnTo>
                <a:lnTo>
                  <a:pt x="173" y="101"/>
                </a:lnTo>
                <a:lnTo>
                  <a:pt x="158" y="85"/>
                </a:lnTo>
                <a:lnTo>
                  <a:pt x="141" y="70"/>
                </a:lnTo>
                <a:lnTo>
                  <a:pt x="95" y="82"/>
                </a:lnTo>
                <a:lnTo>
                  <a:pt x="48" y="93"/>
                </a:lnTo>
                <a:lnTo>
                  <a:pt x="2" y="105"/>
                </a:lnTo>
                <a:lnTo>
                  <a:pt x="0" y="51"/>
                </a:lnTo>
                <a:lnTo>
                  <a:pt x="71" y="24"/>
                </a:lnTo>
                <a:lnTo>
                  <a:pt x="144" y="0"/>
                </a:lnTo>
                <a:close/>
              </a:path>
            </a:pathLst>
          </a:custGeom>
          <a:solidFill>
            <a:srgbClr val="008375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68" name="New hampshire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>
            <a:spLocks/>
          </xdr:cNvSpPr>
        </xdr:nvSpPr>
        <xdr:spPr bwMode="auto">
          <a:xfrm>
            <a:off x="9315450" y="1171575"/>
            <a:ext cx="247650" cy="561975"/>
          </a:xfrm>
          <a:custGeom>
            <a:avLst/>
            <a:gdLst>
              <a:gd name="T0" fmla="*/ 39 w 103"/>
              <a:gd name="T1" fmla="*/ 0 h 233"/>
              <a:gd name="T2" fmla="*/ 50 w 103"/>
              <a:gd name="T3" fmla="*/ 37 h 233"/>
              <a:gd name="T4" fmla="*/ 61 w 103"/>
              <a:gd name="T5" fmla="*/ 74 h 233"/>
              <a:gd name="T6" fmla="*/ 71 w 103"/>
              <a:gd name="T7" fmla="*/ 111 h 233"/>
              <a:gd name="T8" fmla="*/ 85 w 103"/>
              <a:gd name="T9" fmla="*/ 147 h 233"/>
              <a:gd name="T10" fmla="*/ 102 w 103"/>
              <a:gd name="T11" fmla="*/ 182 h 233"/>
              <a:gd name="T12" fmla="*/ 103 w 103"/>
              <a:gd name="T13" fmla="*/ 185 h 233"/>
              <a:gd name="T14" fmla="*/ 103 w 103"/>
              <a:gd name="T15" fmla="*/ 189 h 233"/>
              <a:gd name="T16" fmla="*/ 102 w 103"/>
              <a:gd name="T17" fmla="*/ 193 h 233"/>
              <a:gd name="T18" fmla="*/ 100 w 103"/>
              <a:gd name="T19" fmla="*/ 196 h 233"/>
              <a:gd name="T20" fmla="*/ 97 w 103"/>
              <a:gd name="T21" fmla="*/ 198 h 233"/>
              <a:gd name="T22" fmla="*/ 93 w 103"/>
              <a:gd name="T23" fmla="*/ 199 h 233"/>
              <a:gd name="T24" fmla="*/ 47 w 103"/>
              <a:gd name="T25" fmla="*/ 216 h 233"/>
              <a:gd name="T26" fmla="*/ 0 w 103"/>
              <a:gd name="T27" fmla="*/ 233 h 233"/>
              <a:gd name="T28" fmla="*/ 0 w 103"/>
              <a:gd name="T29" fmla="*/ 187 h 233"/>
              <a:gd name="T30" fmla="*/ 0 w 103"/>
              <a:gd name="T31" fmla="*/ 141 h 233"/>
              <a:gd name="T32" fmla="*/ 5 w 103"/>
              <a:gd name="T33" fmla="*/ 94 h 233"/>
              <a:gd name="T34" fmla="*/ 6 w 103"/>
              <a:gd name="T35" fmla="*/ 85 h 233"/>
              <a:gd name="T36" fmla="*/ 11 w 103"/>
              <a:gd name="T37" fmla="*/ 79 h 233"/>
              <a:gd name="T38" fmla="*/ 19 w 103"/>
              <a:gd name="T39" fmla="*/ 74 h 233"/>
              <a:gd name="T40" fmla="*/ 27 w 103"/>
              <a:gd name="T41" fmla="*/ 69 h 233"/>
              <a:gd name="T42" fmla="*/ 33 w 103"/>
              <a:gd name="T43" fmla="*/ 62 h 233"/>
              <a:gd name="T44" fmla="*/ 37 w 103"/>
              <a:gd name="T45" fmla="*/ 56 h 233"/>
              <a:gd name="T46" fmla="*/ 36 w 103"/>
              <a:gd name="T47" fmla="*/ 46 h 233"/>
              <a:gd name="T48" fmla="*/ 32 w 103"/>
              <a:gd name="T49" fmla="*/ 36 h 233"/>
              <a:gd name="T50" fmla="*/ 28 w 103"/>
              <a:gd name="T51" fmla="*/ 25 h 233"/>
              <a:gd name="T52" fmla="*/ 27 w 103"/>
              <a:gd name="T53" fmla="*/ 16 h 233"/>
              <a:gd name="T54" fmla="*/ 29 w 103"/>
              <a:gd name="T55" fmla="*/ 7 h 233"/>
              <a:gd name="T56" fmla="*/ 39 w 103"/>
              <a:gd name="T57" fmla="*/ 0 h 23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</a:cxnLst>
            <a:rect l="0" t="0" r="r" b="b"/>
            <a:pathLst>
              <a:path w="103" h="233">
                <a:moveTo>
                  <a:pt x="39" y="0"/>
                </a:moveTo>
                <a:lnTo>
                  <a:pt x="50" y="37"/>
                </a:lnTo>
                <a:lnTo>
                  <a:pt x="61" y="74"/>
                </a:lnTo>
                <a:lnTo>
                  <a:pt x="71" y="111"/>
                </a:lnTo>
                <a:lnTo>
                  <a:pt x="85" y="147"/>
                </a:lnTo>
                <a:lnTo>
                  <a:pt x="102" y="182"/>
                </a:lnTo>
                <a:lnTo>
                  <a:pt x="103" y="185"/>
                </a:lnTo>
                <a:lnTo>
                  <a:pt x="103" y="189"/>
                </a:lnTo>
                <a:lnTo>
                  <a:pt x="102" y="193"/>
                </a:lnTo>
                <a:lnTo>
                  <a:pt x="100" y="196"/>
                </a:lnTo>
                <a:lnTo>
                  <a:pt x="97" y="198"/>
                </a:lnTo>
                <a:lnTo>
                  <a:pt x="93" y="199"/>
                </a:lnTo>
                <a:lnTo>
                  <a:pt x="47" y="216"/>
                </a:lnTo>
                <a:lnTo>
                  <a:pt x="0" y="233"/>
                </a:lnTo>
                <a:lnTo>
                  <a:pt x="0" y="187"/>
                </a:lnTo>
                <a:lnTo>
                  <a:pt x="0" y="141"/>
                </a:lnTo>
                <a:lnTo>
                  <a:pt x="5" y="94"/>
                </a:lnTo>
                <a:lnTo>
                  <a:pt x="6" y="85"/>
                </a:lnTo>
                <a:lnTo>
                  <a:pt x="11" y="79"/>
                </a:lnTo>
                <a:lnTo>
                  <a:pt x="19" y="74"/>
                </a:lnTo>
                <a:lnTo>
                  <a:pt x="27" y="69"/>
                </a:lnTo>
                <a:lnTo>
                  <a:pt x="33" y="62"/>
                </a:lnTo>
                <a:lnTo>
                  <a:pt x="37" y="56"/>
                </a:lnTo>
                <a:lnTo>
                  <a:pt x="36" y="46"/>
                </a:lnTo>
                <a:lnTo>
                  <a:pt x="32" y="36"/>
                </a:lnTo>
                <a:lnTo>
                  <a:pt x="28" y="25"/>
                </a:lnTo>
                <a:lnTo>
                  <a:pt x="27" y="16"/>
                </a:lnTo>
                <a:lnTo>
                  <a:pt x="29" y="7"/>
                </a:lnTo>
                <a:lnTo>
                  <a:pt x="39" y="0"/>
                </a:lnTo>
                <a:close/>
              </a:path>
            </a:pathLst>
          </a:custGeom>
          <a:solidFill>
            <a:srgbClr val="008375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69" name="Vermon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>
            <a:spLocks/>
          </xdr:cNvSpPr>
        </xdr:nvSpPr>
        <xdr:spPr bwMode="auto">
          <a:xfrm>
            <a:off x="9086850" y="1247775"/>
            <a:ext cx="276225" cy="523875"/>
          </a:xfrm>
          <a:custGeom>
            <a:avLst/>
            <a:gdLst>
              <a:gd name="T0" fmla="*/ 109 w 115"/>
              <a:gd name="T1" fmla="*/ 0 h 219"/>
              <a:gd name="T2" fmla="*/ 115 w 115"/>
              <a:gd name="T3" fmla="*/ 20 h 219"/>
              <a:gd name="T4" fmla="*/ 106 w 115"/>
              <a:gd name="T5" fmla="*/ 27 h 219"/>
              <a:gd name="T6" fmla="*/ 99 w 115"/>
              <a:gd name="T7" fmla="*/ 32 h 219"/>
              <a:gd name="T8" fmla="*/ 91 w 115"/>
              <a:gd name="T9" fmla="*/ 38 h 219"/>
              <a:gd name="T10" fmla="*/ 84 w 115"/>
              <a:gd name="T11" fmla="*/ 47 h 219"/>
              <a:gd name="T12" fmla="*/ 83 w 115"/>
              <a:gd name="T13" fmla="*/ 57 h 219"/>
              <a:gd name="T14" fmla="*/ 79 w 115"/>
              <a:gd name="T15" fmla="*/ 94 h 219"/>
              <a:gd name="T16" fmla="*/ 77 w 115"/>
              <a:gd name="T17" fmla="*/ 132 h 219"/>
              <a:gd name="T18" fmla="*/ 77 w 115"/>
              <a:gd name="T19" fmla="*/ 169 h 219"/>
              <a:gd name="T20" fmla="*/ 82 w 115"/>
              <a:gd name="T21" fmla="*/ 206 h 219"/>
              <a:gd name="T22" fmla="*/ 42 w 115"/>
              <a:gd name="T23" fmla="*/ 219 h 219"/>
              <a:gd name="T24" fmla="*/ 29 w 115"/>
              <a:gd name="T25" fmla="*/ 155 h 219"/>
              <a:gd name="T26" fmla="*/ 14 w 115"/>
              <a:gd name="T27" fmla="*/ 91 h 219"/>
              <a:gd name="T28" fmla="*/ 0 w 115"/>
              <a:gd name="T29" fmla="*/ 27 h 219"/>
              <a:gd name="T30" fmla="*/ 28 w 115"/>
              <a:gd name="T31" fmla="*/ 25 h 219"/>
              <a:gd name="T32" fmla="*/ 56 w 115"/>
              <a:gd name="T33" fmla="*/ 21 h 219"/>
              <a:gd name="T34" fmla="*/ 83 w 115"/>
              <a:gd name="T35" fmla="*/ 12 h 219"/>
              <a:gd name="T36" fmla="*/ 109 w 115"/>
              <a:gd name="T37" fmla="*/ 0 h 21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115" h="219">
                <a:moveTo>
                  <a:pt x="109" y="0"/>
                </a:moveTo>
                <a:lnTo>
                  <a:pt x="115" y="20"/>
                </a:lnTo>
                <a:lnTo>
                  <a:pt x="106" y="27"/>
                </a:lnTo>
                <a:lnTo>
                  <a:pt x="99" y="32"/>
                </a:lnTo>
                <a:lnTo>
                  <a:pt x="91" y="38"/>
                </a:lnTo>
                <a:lnTo>
                  <a:pt x="84" y="47"/>
                </a:lnTo>
                <a:lnTo>
                  <a:pt x="83" y="57"/>
                </a:lnTo>
                <a:lnTo>
                  <a:pt x="79" y="94"/>
                </a:lnTo>
                <a:lnTo>
                  <a:pt x="77" y="132"/>
                </a:lnTo>
                <a:lnTo>
                  <a:pt x="77" y="169"/>
                </a:lnTo>
                <a:lnTo>
                  <a:pt x="82" y="206"/>
                </a:lnTo>
                <a:lnTo>
                  <a:pt x="42" y="219"/>
                </a:lnTo>
                <a:lnTo>
                  <a:pt x="29" y="155"/>
                </a:lnTo>
                <a:lnTo>
                  <a:pt x="14" y="91"/>
                </a:lnTo>
                <a:lnTo>
                  <a:pt x="0" y="27"/>
                </a:lnTo>
                <a:lnTo>
                  <a:pt x="28" y="25"/>
                </a:lnTo>
                <a:lnTo>
                  <a:pt x="56" y="21"/>
                </a:lnTo>
                <a:lnTo>
                  <a:pt x="83" y="12"/>
                </a:lnTo>
                <a:lnTo>
                  <a:pt x="109" y="0"/>
                </a:lnTo>
                <a:close/>
              </a:path>
            </a:pathLst>
          </a:custGeom>
          <a:solidFill>
            <a:srgbClr val="FFFFFF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0" name="New York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>
            <a:spLocks/>
          </xdr:cNvSpPr>
        </xdr:nvSpPr>
        <xdr:spPr bwMode="auto">
          <a:xfrm>
            <a:off x="8105775" y="1314450"/>
            <a:ext cx="1209675" cy="971550"/>
          </a:xfrm>
          <a:custGeom>
            <a:avLst/>
            <a:gdLst>
              <a:gd name="T0" fmla="*/ 394 w 508"/>
              <a:gd name="T1" fmla="*/ 0 h 405"/>
              <a:gd name="T2" fmla="*/ 417 w 508"/>
              <a:gd name="T3" fmla="*/ 97 h 405"/>
              <a:gd name="T4" fmla="*/ 438 w 508"/>
              <a:gd name="T5" fmla="*/ 196 h 405"/>
              <a:gd name="T6" fmla="*/ 439 w 508"/>
              <a:gd name="T7" fmla="*/ 229 h 405"/>
              <a:gd name="T8" fmla="*/ 439 w 508"/>
              <a:gd name="T9" fmla="*/ 262 h 405"/>
              <a:gd name="T10" fmla="*/ 441 w 508"/>
              <a:gd name="T11" fmla="*/ 296 h 405"/>
              <a:gd name="T12" fmla="*/ 448 w 508"/>
              <a:gd name="T13" fmla="*/ 328 h 405"/>
              <a:gd name="T14" fmla="*/ 459 w 508"/>
              <a:gd name="T15" fmla="*/ 360 h 405"/>
              <a:gd name="T16" fmla="*/ 458 w 508"/>
              <a:gd name="T17" fmla="*/ 379 h 405"/>
              <a:gd name="T18" fmla="*/ 508 w 508"/>
              <a:gd name="T19" fmla="*/ 380 h 405"/>
              <a:gd name="T20" fmla="*/ 482 w 508"/>
              <a:gd name="T21" fmla="*/ 394 h 405"/>
              <a:gd name="T22" fmla="*/ 454 w 508"/>
              <a:gd name="T23" fmla="*/ 405 h 405"/>
              <a:gd name="T24" fmla="*/ 457 w 508"/>
              <a:gd name="T25" fmla="*/ 382 h 405"/>
              <a:gd name="T26" fmla="*/ 438 w 508"/>
              <a:gd name="T27" fmla="*/ 378 h 405"/>
              <a:gd name="T28" fmla="*/ 422 w 508"/>
              <a:gd name="T29" fmla="*/ 370 h 405"/>
              <a:gd name="T30" fmla="*/ 406 w 508"/>
              <a:gd name="T31" fmla="*/ 361 h 405"/>
              <a:gd name="T32" fmla="*/ 390 w 508"/>
              <a:gd name="T33" fmla="*/ 353 h 405"/>
              <a:gd name="T34" fmla="*/ 374 w 508"/>
              <a:gd name="T35" fmla="*/ 347 h 405"/>
              <a:gd name="T36" fmla="*/ 356 w 508"/>
              <a:gd name="T37" fmla="*/ 346 h 405"/>
              <a:gd name="T38" fmla="*/ 344 w 508"/>
              <a:gd name="T39" fmla="*/ 338 h 405"/>
              <a:gd name="T40" fmla="*/ 334 w 508"/>
              <a:gd name="T41" fmla="*/ 326 h 405"/>
              <a:gd name="T42" fmla="*/ 326 w 508"/>
              <a:gd name="T43" fmla="*/ 315 h 405"/>
              <a:gd name="T44" fmla="*/ 319 w 508"/>
              <a:gd name="T45" fmla="*/ 302 h 405"/>
              <a:gd name="T46" fmla="*/ 1 w 508"/>
              <a:gd name="T47" fmla="*/ 371 h 405"/>
              <a:gd name="T48" fmla="*/ 0 w 508"/>
              <a:gd name="T49" fmla="*/ 356 h 405"/>
              <a:gd name="T50" fmla="*/ 5 w 508"/>
              <a:gd name="T51" fmla="*/ 342 h 405"/>
              <a:gd name="T52" fmla="*/ 14 w 508"/>
              <a:gd name="T53" fmla="*/ 329 h 405"/>
              <a:gd name="T54" fmla="*/ 25 w 508"/>
              <a:gd name="T55" fmla="*/ 316 h 405"/>
              <a:gd name="T56" fmla="*/ 38 w 508"/>
              <a:gd name="T57" fmla="*/ 306 h 405"/>
              <a:gd name="T58" fmla="*/ 51 w 508"/>
              <a:gd name="T59" fmla="*/ 294 h 405"/>
              <a:gd name="T60" fmla="*/ 63 w 508"/>
              <a:gd name="T61" fmla="*/ 284 h 405"/>
              <a:gd name="T62" fmla="*/ 60 w 508"/>
              <a:gd name="T63" fmla="*/ 275 h 405"/>
              <a:gd name="T64" fmla="*/ 54 w 508"/>
              <a:gd name="T65" fmla="*/ 266 h 405"/>
              <a:gd name="T66" fmla="*/ 48 w 508"/>
              <a:gd name="T67" fmla="*/ 259 h 405"/>
              <a:gd name="T68" fmla="*/ 45 w 508"/>
              <a:gd name="T69" fmla="*/ 250 h 405"/>
              <a:gd name="T70" fmla="*/ 46 w 508"/>
              <a:gd name="T71" fmla="*/ 242 h 405"/>
              <a:gd name="T72" fmla="*/ 61 w 508"/>
              <a:gd name="T73" fmla="*/ 234 h 405"/>
              <a:gd name="T74" fmla="*/ 78 w 508"/>
              <a:gd name="T75" fmla="*/ 229 h 405"/>
              <a:gd name="T76" fmla="*/ 96 w 508"/>
              <a:gd name="T77" fmla="*/ 227 h 405"/>
              <a:gd name="T78" fmla="*/ 112 w 508"/>
              <a:gd name="T79" fmla="*/ 228 h 405"/>
              <a:gd name="T80" fmla="*/ 129 w 508"/>
              <a:gd name="T81" fmla="*/ 234 h 405"/>
              <a:gd name="T82" fmla="*/ 143 w 508"/>
              <a:gd name="T83" fmla="*/ 234 h 405"/>
              <a:gd name="T84" fmla="*/ 159 w 508"/>
              <a:gd name="T85" fmla="*/ 233 h 405"/>
              <a:gd name="T86" fmla="*/ 174 w 508"/>
              <a:gd name="T87" fmla="*/ 230 h 405"/>
              <a:gd name="T88" fmla="*/ 188 w 508"/>
              <a:gd name="T89" fmla="*/ 227 h 405"/>
              <a:gd name="T90" fmla="*/ 199 w 508"/>
              <a:gd name="T91" fmla="*/ 220 h 405"/>
              <a:gd name="T92" fmla="*/ 210 w 508"/>
              <a:gd name="T93" fmla="*/ 210 h 405"/>
              <a:gd name="T94" fmla="*/ 216 w 508"/>
              <a:gd name="T95" fmla="*/ 196 h 405"/>
              <a:gd name="T96" fmla="*/ 223 w 508"/>
              <a:gd name="T97" fmla="*/ 169 h 405"/>
              <a:gd name="T98" fmla="*/ 228 w 508"/>
              <a:gd name="T99" fmla="*/ 142 h 405"/>
              <a:gd name="T100" fmla="*/ 233 w 508"/>
              <a:gd name="T101" fmla="*/ 115 h 405"/>
              <a:gd name="T102" fmla="*/ 240 w 508"/>
              <a:gd name="T103" fmla="*/ 88 h 405"/>
              <a:gd name="T104" fmla="*/ 251 w 508"/>
              <a:gd name="T105" fmla="*/ 63 h 405"/>
              <a:gd name="T106" fmla="*/ 266 w 508"/>
              <a:gd name="T107" fmla="*/ 40 h 405"/>
              <a:gd name="T108" fmla="*/ 283 w 508"/>
              <a:gd name="T109" fmla="*/ 24 h 405"/>
              <a:gd name="T110" fmla="*/ 303 w 508"/>
              <a:gd name="T111" fmla="*/ 14 h 405"/>
              <a:gd name="T112" fmla="*/ 325 w 508"/>
              <a:gd name="T113" fmla="*/ 8 h 405"/>
              <a:gd name="T114" fmla="*/ 348 w 508"/>
              <a:gd name="T115" fmla="*/ 4 h 405"/>
              <a:gd name="T116" fmla="*/ 371 w 508"/>
              <a:gd name="T117" fmla="*/ 1 h 405"/>
              <a:gd name="T118" fmla="*/ 394 w 508"/>
              <a:gd name="T119" fmla="*/ 0 h 40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</a:cxnLst>
            <a:rect l="0" t="0" r="r" b="b"/>
            <a:pathLst>
              <a:path w="508" h="405">
                <a:moveTo>
                  <a:pt x="394" y="0"/>
                </a:moveTo>
                <a:lnTo>
                  <a:pt x="417" y="97"/>
                </a:lnTo>
                <a:lnTo>
                  <a:pt x="438" y="196"/>
                </a:lnTo>
                <a:lnTo>
                  <a:pt x="439" y="229"/>
                </a:lnTo>
                <a:lnTo>
                  <a:pt x="439" y="262"/>
                </a:lnTo>
                <a:lnTo>
                  <a:pt x="441" y="296"/>
                </a:lnTo>
                <a:lnTo>
                  <a:pt x="448" y="328"/>
                </a:lnTo>
                <a:lnTo>
                  <a:pt x="459" y="360"/>
                </a:lnTo>
                <a:lnTo>
                  <a:pt x="458" y="379"/>
                </a:lnTo>
                <a:lnTo>
                  <a:pt x="508" y="380"/>
                </a:lnTo>
                <a:lnTo>
                  <a:pt x="482" y="394"/>
                </a:lnTo>
                <a:lnTo>
                  <a:pt x="454" y="405"/>
                </a:lnTo>
                <a:lnTo>
                  <a:pt x="457" y="382"/>
                </a:lnTo>
                <a:lnTo>
                  <a:pt x="438" y="378"/>
                </a:lnTo>
                <a:lnTo>
                  <a:pt x="422" y="370"/>
                </a:lnTo>
                <a:lnTo>
                  <a:pt x="406" y="361"/>
                </a:lnTo>
                <a:lnTo>
                  <a:pt x="390" y="353"/>
                </a:lnTo>
                <a:lnTo>
                  <a:pt x="374" y="347"/>
                </a:lnTo>
                <a:lnTo>
                  <a:pt x="356" y="346"/>
                </a:lnTo>
                <a:lnTo>
                  <a:pt x="344" y="338"/>
                </a:lnTo>
                <a:lnTo>
                  <a:pt x="334" y="326"/>
                </a:lnTo>
                <a:lnTo>
                  <a:pt x="326" y="315"/>
                </a:lnTo>
                <a:lnTo>
                  <a:pt x="319" y="302"/>
                </a:lnTo>
                <a:lnTo>
                  <a:pt x="1" y="371"/>
                </a:lnTo>
                <a:lnTo>
                  <a:pt x="0" y="356"/>
                </a:lnTo>
                <a:lnTo>
                  <a:pt x="5" y="342"/>
                </a:lnTo>
                <a:lnTo>
                  <a:pt x="14" y="329"/>
                </a:lnTo>
                <a:lnTo>
                  <a:pt x="25" y="316"/>
                </a:lnTo>
                <a:lnTo>
                  <a:pt x="38" y="306"/>
                </a:lnTo>
                <a:lnTo>
                  <a:pt x="51" y="294"/>
                </a:lnTo>
                <a:lnTo>
                  <a:pt x="63" y="284"/>
                </a:lnTo>
                <a:lnTo>
                  <a:pt x="60" y="275"/>
                </a:lnTo>
                <a:lnTo>
                  <a:pt x="54" y="266"/>
                </a:lnTo>
                <a:lnTo>
                  <a:pt x="48" y="259"/>
                </a:lnTo>
                <a:lnTo>
                  <a:pt x="45" y="250"/>
                </a:lnTo>
                <a:lnTo>
                  <a:pt x="46" y="242"/>
                </a:lnTo>
                <a:lnTo>
                  <a:pt x="61" y="234"/>
                </a:lnTo>
                <a:lnTo>
                  <a:pt x="78" y="229"/>
                </a:lnTo>
                <a:lnTo>
                  <a:pt x="96" y="227"/>
                </a:lnTo>
                <a:lnTo>
                  <a:pt x="112" y="228"/>
                </a:lnTo>
                <a:lnTo>
                  <a:pt x="129" y="234"/>
                </a:lnTo>
                <a:lnTo>
                  <a:pt x="143" y="234"/>
                </a:lnTo>
                <a:lnTo>
                  <a:pt x="159" y="233"/>
                </a:lnTo>
                <a:lnTo>
                  <a:pt x="174" y="230"/>
                </a:lnTo>
                <a:lnTo>
                  <a:pt x="188" y="227"/>
                </a:lnTo>
                <a:lnTo>
                  <a:pt x="199" y="220"/>
                </a:lnTo>
                <a:lnTo>
                  <a:pt x="210" y="210"/>
                </a:lnTo>
                <a:lnTo>
                  <a:pt x="216" y="196"/>
                </a:lnTo>
                <a:lnTo>
                  <a:pt x="223" y="169"/>
                </a:lnTo>
                <a:lnTo>
                  <a:pt x="228" y="142"/>
                </a:lnTo>
                <a:lnTo>
                  <a:pt x="233" y="115"/>
                </a:lnTo>
                <a:lnTo>
                  <a:pt x="240" y="88"/>
                </a:lnTo>
                <a:lnTo>
                  <a:pt x="251" y="63"/>
                </a:lnTo>
                <a:lnTo>
                  <a:pt x="266" y="40"/>
                </a:lnTo>
                <a:lnTo>
                  <a:pt x="283" y="24"/>
                </a:lnTo>
                <a:lnTo>
                  <a:pt x="303" y="14"/>
                </a:lnTo>
                <a:lnTo>
                  <a:pt x="325" y="8"/>
                </a:lnTo>
                <a:lnTo>
                  <a:pt x="348" y="4"/>
                </a:lnTo>
                <a:lnTo>
                  <a:pt x="371" y="1"/>
                </a:lnTo>
                <a:lnTo>
                  <a:pt x="394" y="0"/>
                </a:lnTo>
                <a:close/>
              </a:path>
            </a:pathLst>
          </a:custGeom>
          <a:solidFill>
            <a:srgbClr val="FFFFFF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1" name="Pennsylvania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>
            <a:spLocks/>
          </xdr:cNvSpPr>
        </xdr:nvSpPr>
        <xdr:spPr bwMode="auto">
          <a:xfrm>
            <a:off x="7972425" y="2085975"/>
            <a:ext cx="1047750" cy="657225"/>
          </a:xfrm>
          <a:custGeom>
            <a:avLst/>
            <a:gdLst>
              <a:gd name="T0" fmla="*/ 368 w 439"/>
              <a:gd name="T1" fmla="*/ 0 h 278"/>
              <a:gd name="T2" fmla="*/ 375 w 439"/>
              <a:gd name="T3" fmla="*/ 13 h 278"/>
              <a:gd name="T4" fmla="*/ 384 w 439"/>
              <a:gd name="T5" fmla="*/ 23 h 278"/>
              <a:gd name="T6" fmla="*/ 394 w 439"/>
              <a:gd name="T7" fmla="*/ 34 h 278"/>
              <a:gd name="T8" fmla="*/ 406 w 439"/>
              <a:gd name="T9" fmla="*/ 40 h 278"/>
              <a:gd name="T10" fmla="*/ 420 w 439"/>
              <a:gd name="T11" fmla="*/ 44 h 278"/>
              <a:gd name="T12" fmla="*/ 435 w 439"/>
              <a:gd name="T13" fmla="*/ 43 h 278"/>
              <a:gd name="T14" fmla="*/ 425 w 439"/>
              <a:gd name="T15" fmla="*/ 57 h 278"/>
              <a:gd name="T16" fmla="*/ 416 w 439"/>
              <a:gd name="T17" fmla="*/ 71 h 278"/>
              <a:gd name="T18" fmla="*/ 409 w 439"/>
              <a:gd name="T19" fmla="*/ 87 h 278"/>
              <a:gd name="T20" fmla="*/ 406 w 439"/>
              <a:gd name="T21" fmla="*/ 104 h 278"/>
              <a:gd name="T22" fmla="*/ 410 w 439"/>
              <a:gd name="T23" fmla="*/ 121 h 278"/>
              <a:gd name="T24" fmla="*/ 421 w 439"/>
              <a:gd name="T25" fmla="*/ 130 h 278"/>
              <a:gd name="T26" fmla="*/ 429 w 439"/>
              <a:gd name="T27" fmla="*/ 141 h 278"/>
              <a:gd name="T28" fmla="*/ 435 w 439"/>
              <a:gd name="T29" fmla="*/ 154 h 278"/>
              <a:gd name="T30" fmla="*/ 439 w 439"/>
              <a:gd name="T31" fmla="*/ 168 h 278"/>
              <a:gd name="T32" fmla="*/ 428 w 439"/>
              <a:gd name="T33" fmla="*/ 172 h 278"/>
              <a:gd name="T34" fmla="*/ 420 w 439"/>
              <a:gd name="T35" fmla="*/ 177 h 278"/>
              <a:gd name="T36" fmla="*/ 417 w 439"/>
              <a:gd name="T37" fmla="*/ 187 h 278"/>
              <a:gd name="T38" fmla="*/ 420 w 439"/>
              <a:gd name="T39" fmla="*/ 198 h 278"/>
              <a:gd name="T40" fmla="*/ 314 w 439"/>
              <a:gd name="T41" fmla="*/ 223 h 278"/>
              <a:gd name="T42" fmla="*/ 206 w 439"/>
              <a:gd name="T43" fmla="*/ 245 h 278"/>
              <a:gd name="T44" fmla="*/ 100 w 439"/>
              <a:gd name="T45" fmla="*/ 268 h 278"/>
              <a:gd name="T46" fmla="*/ 86 w 439"/>
              <a:gd name="T47" fmla="*/ 276 h 278"/>
              <a:gd name="T48" fmla="*/ 69 w 439"/>
              <a:gd name="T49" fmla="*/ 278 h 278"/>
              <a:gd name="T50" fmla="*/ 53 w 439"/>
              <a:gd name="T51" fmla="*/ 278 h 278"/>
              <a:gd name="T52" fmla="*/ 37 w 439"/>
              <a:gd name="T53" fmla="*/ 278 h 278"/>
              <a:gd name="T54" fmla="*/ 32 w 439"/>
              <a:gd name="T55" fmla="*/ 263 h 278"/>
              <a:gd name="T56" fmla="*/ 30 w 439"/>
              <a:gd name="T57" fmla="*/ 245 h 278"/>
              <a:gd name="T58" fmla="*/ 27 w 439"/>
              <a:gd name="T59" fmla="*/ 228 h 278"/>
              <a:gd name="T60" fmla="*/ 22 w 439"/>
              <a:gd name="T61" fmla="*/ 213 h 278"/>
              <a:gd name="T62" fmla="*/ 14 w 439"/>
              <a:gd name="T63" fmla="*/ 198 h 278"/>
              <a:gd name="T64" fmla="*/ 9 w 439"/>
              <a:gd name="T65" fmla="*/ 142 h 278"/>
              <a:gd name="T66" fmla="*/ 0 w 439"/>
              <a:gd name="T67" fmla="*/ 87 h 278"/>
              <a:gd name="T68" fmla="*/ 22 w 439"/>
              <a:gd name="T69" fmla="*/ 68 h 278"/>
              <a:gd name="T70" fmla="*/ 41 w 439"/>
              <a:gd name="T71" fmla="*/ 46 h 278"/>
              <a:gd name="T72" fmla="*/ 46 w 439"/>
              <a:gd name="T73" fmla="*/ 69 h 278"/>
              <a:gd name="T74" fmla="*/ 208 w 439"/>
              <a:gd name="T75" fmla="*/ 35 h 278"/>
              <a:gd name="T76" fmla="*/ 368 w 439"/>
              <a:gd name="T77" fmla="*/ 0 h 27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</a:cxnLst>
            <a:rect l="0" t="0" r="r" b="b"/>
            <a:pathLst>
              <a:path w="439" h="278">
                <a:moveTo>
                  <a:pt x="368" y="0"/>
                </a:moveTo>
                <a:lnTo>
                  <a:pt x="375" y="13"/>
                </a:lnTo>
                <a:lnTo>
                  <a:pt x="384" y="23"/>
                </a:lnTo>
                <a:lnTo>
                  <a:pt x="394" y="34"/>
                </a:lnTo>
                <a:lnTo>
                  <a:pt x="406" y="40"/>
                </a:lnTo>
                <a:lnTo>
                  <a:pt x="420" y="44"/>
                </a:lnTo>
                <a:lnTo>
                  <a:pt x="435" y="43"/>
                </a:lnTo>
                <a:lnTo>
                  <a:pt x="425" y="57"/>
                </a:lnTo>
                <a:lnTo>
                  <a:pt x="416" y="71"/>
                </a:lnTo>
                <a:lnTo>
                  <a:pt x="409" y="87"/>
                </a:lnTo>
                <a:lnTo>
                  <a:pt x="406" y="104"/>
                </a:lnTo>
                <a:lnTo>
                  <a:pt x="410" y="121"/>
                </a:lnTo>
                <a:lnTo>
                  <a:pt x="421" y="130"/>
                </a:lnTo>
                <a:lnTo>
                  <a:pt x="429" y="141"/>
                </a:lnTo>
                <a:lnTo>
                  <a:pt x="435" y="154"/>
                </a:lnTo>
                <a:lnTo>
                  <a:pt x="439" y="168"/>
                </a:lnTo>
                <a:lnTo>
                  <a:pt x="428" y="172"/>
                </a:lnTo>
                <a:lnTo>
                  <a:pt x="420" y="177"/>
                </a:lnTo>
                <a:lnTo>
                  <a:pt x="417" y="187"/>
                </a:lnTo>
                <a:lnTo>
                  <a:pt x="420" y="198"/>
                </a:lnTo>
                <a:lnTo>
                  <a:pt x="314" y="223"/>
                </a:lnTo>
                <a:lnTo>
                  <a:pt x="206" y="245"/>
                </a:lnTo>
                <a:lnTo>
                  <a:pt x="100" y="268"/>
                </a:lnTo>
                <a:lnTo>
                  <a:pt x="86" y="276"/>
                </a:lnTo>
                <a:lnTo>
                  <a:pt x="69" y="278"/>
                </a:lnTo>
                <a:lnTo>
                  <a:pt x="53" y="278"/>
                </a:lnTo>
                <a:lnTo>
                  <a:pt x="37" y="278"/>
                </a:lnTo>
                <a:lnTo>
                  <a:pt x="32" y="263"/>
                </a:lnTo>
                <a:lnTo>
                  <a:pt x="30" y="245"/>
                </a:lnTo>
                <a:lnTo>
                  <a:pt x="27" y="228"/>
                </a:lnTo>
                <a:lnTo>
                  <a:pt x="22" y="213"/>
                </a:lnTo>
                <a:lnTo>
                  <a:pt x="14" y="198"/>
                </a:lnTo>
                <a:lnTo>
                  <a:pt x="9" y="142"/>
                </a:lnTo>
                <a:lnTo>
                  <a:pt x="0" y="87"/>
                </a:lnTo>
                <a:lnTo>
                  <a:pt x="22" y="68"/>
                </a:lnTo>
                <a:lnTo>
                  <a:pt x="41" y="46"/>
                </a:lnTo>
                <a:lnTo>
                  <a:pt x="46" y="69"/>
                </a:lnTo>
                <a:lnTo>
                  <a:pt x="208" y="35"/>
                </a:lnTo>
                <a:lnTo>
                  <a:pt x="368" y="0"/>
                </a:lnTo>
                <a:close/>
              </a:path>
            </a:pathLst>
          </a:custGeom>
          <a:solidFill>
            <a:srgbClr val="008375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2" name="Ohio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SpPr>
            <a:spLocks/>
          </xdr:cNvSpPr>
        </xdr:nvSpPr>
        <xdr:spPr bwMode="auto">
          <a:xfrm>
            <a:off x="7210425" y="2314575"/>
            <a:ext cx="752475" cy="800100"/>
          </a:xfrm>
          <a:custGeom>
            <a:avLst/>
            <a:gdLst>
              <a:gd name="T0" fmla="*/ 303 w 316"/>
              <a:gd name="T1" fmla="*/ 0 h 335"/>
              <a:gd name="T2" fmla="*/ 307 w 316"/>
              <a:gd name="T3" fmla="*/ 29 h 335"/>
              <a:gd name="T4" fmla="*/ 311 w 316"/>
              <a:gd name="T5" fmla="*/ 59 h 335"/>
              <a:gd name="T6" fmla="*/ 315 w 316"/>
              <a:gd name="T7" fmla="*/ 88 h 335"/>
              <a:gd name="T8" fmla="*/ 316 w 316"/>
              <a:gd name="T9" fmla="*/ 119 h 335"/>
              <a:gd name="T10" fmla="*/ 316 w 316"/>
              <a:gd name="T11" fmla="*/ 148 h 335"/>
              <a:gd name="T12" fmla="*/ 312 w 316"/>
              <a:gd name="T13" fmla="*/ 178 h 335"/>
              <a:gd name="T14" fmla="*/ 303 w 316"/>
              <a:gd name="T15" fmla="*/ 205 h 335"/>
              <a:gd name="T16" fmla="*/ 289 w 316"/>
              <a:gd name="T17" fmla="*/ 232 h 335"/>
              <a:gd name="T18" fmla="*/ 267 w 316"/>
              <a:gd name="T19" fmla="*/ 239 h 335"/>
              <a:gd name="T20" fmla="*/ 249 w 316"/>
              <a:gd name="T21" fmla="*/ 252 h 335"/>
              <a:gd name="T22" fmla="*/ 234 w 316"/>
              <a:gd name="T23" fmla="*/ 270 h 335"/>
              <a:gd name="T24" fmla="*/ 225 w 316"/>
              <a:gd name="T25" fmla="*/ 291 h 335"/>
              <a:gd name="T26" fmla="*/ 221 w 316"/>
              <a:gd name="T27" fmla="*/ 314 h 335"/>
              <a:gd name="T28" fmla="*/ 220 w 316"/>
              <a:gd name="T29" fmla="*/ 323 h 335"/>
              <a:gd name="T30" fmla="*/ 216 w 316"/>
              <a:gd name="T31" fmla="*/ 329 h 335"/>
              <a:gd name="T32" fmla="*/ 208 w 316"/>
              <a:gd name="T33" fmla="*/ 332 h 335"/>
              <a:gd name="T34" fmla="*/ 201 w 316"/>
              <a:gd name="T35" fmla="*/ 332 h 335"/>
              <a:gd name="T36" fmla="*/ 193 w 316"/>
              <a:gd name="T37" fmla="*/ 330 h 335"/>
              <a:gd name="T38" fmla="*/ 185 w 316"/>
              <a:gd name="T39" fmla="*/ 329 h 335"/>
              <a:gd name="T40" fmla="*/ 162 w 316"/>
              <a:gd name="T41" fmla="*/ 325 h 335"/>
              <a:gd name="T42" fmla="*/ 139 w 316"/>
              <a:gd name="T43" fmla="*/ 328 h 335"/>
              <a:gd name="T44" fmla="*/ 118 w 316"/>
              <a:gd name="T45" fmla="*/ 332 h 335"/>
              <a:gd name="T46" fmla="*/ 94 w 316"/>
              <a:gd name="T47" fmla="*/ 335 h 335"/>
              <a:gd name="T48" fmla="*/ 73 w 316"/>
              <a:gd name="T49" fmla="*/ 333 h 335"/>
              <a:gd name="T50" fmla="*/ 65 w 316"/>
              <a:gd name="T51" fmla="*/ 324 h 335"/>
              <a:gd name="T52" fmla="*/ 57 w 316"/>
              <a:gd name="T53" fmla="*/ 315 h 335"/>
              <a:gd name="T54" fmla="*/ 50 w 316"/>
              <a:gd name="T55" fmla="*/ 306 h 335"/>
              <a:gd name="T56" fmla="*/ 39 w 316"/>
              <a:gd name="T57" fmla="*/ 300 h 335"/>
              <a:gd name="T58" fmla="*/ 28 w 316"/>
              <a:gd name="T59" fmla="*/ 297 h 335"/>
              <a:gd name="T60" fmla="*/ 14 w 316"/>
              <a:gd name="T61" fmla="*/ 168 h 335"/>
              <a:gd name="T62" fmla="*/ 0 w 316"/>
              <a:gd name="T63" fmla="*/ 38 h 335"/>
              <a:gd name="T64" fmla="*/ 18 w 316"/>
              <a:gd name="T65" fmla="*/ 37 h 335"/>
              <a:gd name="T66" fmla="*/ 36 w 316"/>
              <a:gd name="T67" fmla="*/ 35 h 335"/>
              <a:gd name="T68" fmla="*/ 55 w 316"/>
              <a:gd name="T69" fmla="*/ 32 h 335"/>
              <a:gd name="T70" fmla="*/ 73 w 316"/>
              <a:gd name="T71" fmla="*/ 31 h 335"/>
              <a:gd name="T72" fmla="*/ 89 w 316"/>
              <a:gd name="T73" fmla="*/ 35 h 335"/>
              <a:gd name="T74" fmla="*/ 106 w 316"/>
              <a:gd name="T75" fmla="*/ 42 h 335"/>
              <a:gd name="T76" fmla="*/ 139 w 316"/>
              <a:gd name="T77" fmla="*/ 51 h 335"/>
              <a:gd name="T78" fmla="*/ 174 w 316"/>
              <a:gd name="T79" fmla="*/ 51 h 335"/>
              <a:gd name="T80" fmla="*/ 208 w 316"/>
              <a:gd name="T81" fmla="*/ 46 h 335"/>
              <a:gd name="T82" fmla="*/ 242 w 316"/>
              <a:gd name="T83" fmla="*/ 35 h 335"/>
              <a:gd name="T84" fmla="*/ 274 w 316"/>
              <a:gd name="T85" fmla="*/ 19 h 335"/>
              <a:gd name="T86" fmla="*/ 303 w 316"/>
              <a:gd name="T87" fmla="*/ 0 h 3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316" h="335">
                <a:moveTo>
                  <a:pt x="303" y="0"/>
                </a:moveTo>
                <a:lnTo>
                  <a:pt x="307" y="29"/>
                </a:lnTo>
                <a:lnTo>
                  <a:pt x="311" y="59"/>
                </a:lnTo>
                <a:lnTo>
                  <a:pt x="315" y="88"/>
                </a:lnTo>
                <a:lnTo>
                  <a:pt x="316" y="119"/>
                </a:lnTo>
                <a:lnTo>
                  <a:pt x="316" y="148"/>
                </a:lnTo>
                <a:lnTo>
                  <a:pt x="312" y="178"/>
                </a:lnTo>
                <a:lnTo>
                  <a:pt x="303" y="205"/>
                </a:lnTo>
                <a:lnTo>
                  <a:pt x="289" y="232"/>
                </a:lnTo>
                <a:lnTo>
                  <a:pt x="267" y="239"/>
                </a:lnTo>
                <a:lnTo>
                  <a:pt x="249" y="252"/>
                </a:lnTo>
                <a:lnTo>
                  <a:pt x="234" y="270"/>
                </a:lnTo>
                <a:lnTo>
                  <a:pt x="225" y="291"/>
                </a:lnTo>
                <a:lnTo>
                  <a:pt x="221" y="314"/>
                </a:lnTo>
                <a:lnTo>
                  <a:pt x="220" y="323"/>
                </a:lnTo>
                <a:lnTo>
                  <a:pt x="216" y="329"/>
                </a:lnTo>
                <a:lnTo>
                  <a:pt x="208" y="332"/>
                </a:lnTo>
                <a:lnTo>
                  <a:pt x="201" y="332"/>
                </a:lnTo>
                <a:lnTo>
                  <a:pt x="193" y="330"/>
                </a:lnTo>
                <a:lnTo>
                  <a:pt x="185" y="329"/>
                </a:lnTo>
                <a:lnTo>
                  <a:pt x="162" y="325"/>
                </a:lnTo>
                <a:lnTo>
                  <a:pt x="139" y="328"/>
                </a:lnTo>
                <a:lnTo>
                  <a:pt x="118" y="332"/>
                </a:lnTo>
                <a:lnTo>
                  <a:pt x="94" y="335"/>
                </a:lnTo>
                <a:lnTo>
                  <a:pt x="73" y="333"/>
                </a:lnTo>
                <a:lnTo>
                  <a:pt x="65" y="324"/>
                </a:lnTo>
                <a:lnTo>
                  <a:pt x="57" y="315"/>
                </a:lnTo>
                <a:lnTo>
                  <a:pt x="50" y="306"/>
                </a:lnTo>
                <a:lnTo>
                  <a:pt x="39" y="300"/>
                </a:lnTo>
                <a:lnTo>
                  <a:pt x="28" y="297"/>
                </a:lnTo>
                <a:lnTo>
                  <a:pt x="14" y="168"/>
                </a:lnTo>
                <a:lnTo>
                  <a:pt x="0" y="38"/>
                </a:lnTo>
                <a:lnTo>
                  <a:pt x="18" y="37"/>
                </a:lnTo>
                <a:lnTo>
                  <a:pt x="36" y="35"/>
                </a:lnTo>
                <a:lnTo>
                  <a:pt x="55" y="32"/>
                </a:lnTo>
                <a:lnTo>
                  <a:pt x="73" y="31"/>
                </a:lnTo>
                <a:lnTo>
                  <a:pt x="89" y="35"/>
                </a:lnTo>
                <a:lnTo>
                  <a:pt x="106" y="42"/>
                </a:lnTo>
                <a:lnTo>
                  <a:pt x="139" y="51"/>
                </a:lnTo>
                <a:lnTo>
                  <a:pt x="174" y="51"/>
                </a:lnTo>
                <a:lnTo>
                  <a:pt x="208" y="46"/>
                </a:lnTo>
                <a:lnTo>
                  <a:pt x="242" y="35"/>
                </a:lnTo>
                <a:lnTo>
                  <a:pt x="274" y="19"/>
                </a:lnTo>
                <a:lnTo>
                  <a:pt x="303" y="0"/>
                </a:lnTo>
                <a:close/>
              </a:path>
            </a:pathLst>
          </a:custGeom>
          <a:solidFill>
            <a:srgbClr val="FFFFFF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3" name="West Virginia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>
            <a:spLocks/>
          </xdr:cNvSpPr>
        </xdr:nvSpPr>
        <xdr:spPr bwMode="auto">
          <a:xfrm>
            <a:off x="7743825" y="2705100"/>
            <a:ext cx="781050" cy="666750"/>
          </a:xfrm>
          <a:custGeom>
            <a:avLst/>
            <a:gdLst>
              <a:gd name="T0" fmla="*/ 119 w 329"/>
              <a:gd name="T1" fmla="*/ 37 h 283"/>
              <a:gd name="T2" fmla="*/ 199 w 329"/>
              <a:gd name="T3" fmla="*/ 35 h 283"/>
              <a:gd name="T4" fmla="*/ 219 w 329"/>
              <a:gd name="T5" fmla="*/ 63 h 283"/>
              <a:gd name="T6" fmla="*/ 245 w 329"/>
              <a:gd name="T7" fmla="*/ 41 h 283"/>
              <a:gd name="T8" fmla="*/ 277 w 329"/>
              <a:gd name="T9" fmla="*/ 31 h 283"/>
              <a:gd name="T10" fmla="*/ 313 w 329"/>
              <a:gd name="T11" fmla="*/ 28 h 283"/>
              <a:gd name="T12" fmla="*/ 328 w 329"/>
              <a:gd name="T13" fmla="*/ 41 h 283"/>
              <a:gd name="T14" fmla="*/ 301 w 329"/>
              <a:gd name="T15" fmla="*/ 33 h 283"/>
              <a:gd name="T16" fmla="*/ 275 w 329"/>
              <a:gd name="T17" fmla="*/ 41 h 283"/>
              <a:gd name="T18" fmla="*/ 287 w 329"/>
              <a:gd name="T19" fmla="*/ 70 h 283"/>
              <a:gd name="T20" fmla="*/ 269 w 329"/>
              <a:gd name="T21" fmla="*/ 108 h 283"/>
              <a:gd name="T22" fmla="*/ 238 w 329"/>
              <a:gd name="T23" fmla="*/ 133 h 283"/>
              <a:gd name="T24" fmla="*/ 209 w 329"/>
              <a:gd name="T25" fmla="*/ 142 h 283"/>
              <a:gd name="T26" fmla="*/ 200 w 329"/>
              <a:gd name="T27" fmla="*/ 159 h 283"/>
              <a:gd name="T28" fmla="*/ 197 w 329"/>
              <a:gd name="T29" fmla="*/ 179 h 283"/>
              <a:gd name="T30" fmla="*/ 190 w 329"/>
              <a:gd name="T31" fmla="*/ 201 h 283"/>
              <a:gd name="T32" fmla="*/ 177 w 329"/>
              <a:gd name="T33" fmla="*/ 231 h 283"/>
              <a:gd name="T34" fmla="*/ 160 w 329"/>
              <a:gd name="T35" fmla="*/ 255 h 283"/>
              <a:gd name="T36" fmla="*/ 127 w 329"/>
              <a:gd name="T37" fmla="*/ 272 h 283"/>
              <a:gd name="T38" fmla="*/ 85 w 329"/>
              <a:gd name="T39" fmla="*/ 283 h 283"/>
              <a:gd name="T40" fmla="*/ 42 w 329"/>
              <a:gd name="T41" fmla="*/ 278 h 283"/>
              <a:gd name="T42" fmla="*/ 17 w 329"/>
              <a:gd name="T43" fmla="*/ 255 h 283"/>
              <a:gd name="T44" fmla="*/ 4 w 329"/>
              <a:gd name="T45" fmla="*/ 223 h 283"/>
              <a:gd name="T46" fmla="*/ 0 w 329"/>
              <a:gd name="T47" fmla="*/ 188 h 283"/>
              <a:gd name="T48" fmla="*/ 14 w 329"/>
              <a:gd name="T49" fmla="*/ 170 h 283"/>
              <a:gd name="T50" fmla="*/ 18 w 329"/>
              <a:gd name="T51" fmla="*/ 147 h 283"/>
              <a:gd name="T52" fmla="*/ 23 w 329"/>
              <a:gd name="T53" fmla="*/ 124 h 283"/>
              <a:gd name="T54" fmla="*/ 37 w 329"/>
              <a:gd name="T55" fmla="*/ 105 h 283"/>
              <a:gd name="T56" fmla="*/ 58 w 329"/>
              <a:gd name="T57" fmla="*/ 95 h 283"/>
              <a:gd name="T58" fmla="*/ 80 w 329"/>
              <a:gd name="T59" fmla="*/ 85 h 283"/>
              <a:gd name="T60" fmla="*/ 97 w 329"/>
              <a:gd name="T61" fmla="*/ 59 h 283"/>
              <a:gd name="T62" fmla="*/ 106 w 329"/>
              <a:gd name="T63" fmla="*/ 19 h 28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</a:cxnLst>
            <a:rect l="0" t="0" r="r" b="b"/>
            <a:pathLst>
              <a:path w="329" h="283">
                <a:moveTo>
                  <a:pt x="110" y="0"/>
                </a:moveTo>
                <a:lnTo>
                  <a:pt x="119" y="37"/>
                </a:lnTo>
                <a:lnTo>
                  <a:pt x="159" y="36"/>
                </a:lnTo>
                <a:lnTo>
                  <a:pt x="199" y="35"/>
                </a:lnTo>
                <a:lnTo>
                  <a:pt x="211" y="79"/>
                </a:lnTo>
                <a:lnTo>
                  <a:pt x="219" y="63"/>
                </a:lnTo>
                <a:lnTo>
                  <a:pt x="231" y="50"/>
                </a:lnTo>
                <a:lnTo>
                  <a:pt x="245" y="41"/>
                </a:lnTo>
                <a:lnTo>
                  <a:pt x="260" y="35"/>
                </a:lnTo>
                <a:lnTo>
                  <a:pt x="277" y="31"/>
                </a:lnTo>
                <a:lnTo>
                  <a:pt x="295" y="29"/>
                </a:lnTo>
                <a:lnTo>
                  <a:pt x="313" y="28"/>
                </a:lnTo>
                <a:lnTo>
                  <a:pt x="329" y="28"/>
                </a:lnTo>
                <a:lnTo>
                  <a:pt x="328" y="41"/>
                </a:lnTo>
                <a:lnTo>
                  <a:pt x="315" y="37"/>
                </a:lnTo>
                <a:lnTo>
                  <a:pt x="301" y="33"/>
                </a:lnTo>
                <a:lnTo>
                  <a:pt x="288" y="35"/>
                </a:lnTo>
                <a:lnTo>
                  <a:pt x="275" y="41"/>
                </a:lnTo>
                <a:lnTo>
                  <a:pt x="292" y="50"/>
                </a:lnTo>
                <a:lnTo>
                  <a:pt x="287" y="70"/>
                </a:lnTo>
                <a:lnTo>
                  <a:pt x="279" y="90"/>
                </a:lnTo>
                <a:lnTo>
                  <a:pt x="269" y="108"/>
                </a:lnTo>
                <a:lnTo>
                  <a:pt x="255" y="122"/>
                </a:lnTo>
                <a:lnTo>
                  <a:pt x="238" y="133"/>
                </a:lnTo>
                <a:lnTo>
                  <a:pt x="218" y="138"/>
                </a:lnTo>
                <a:lnTo>
                  <a:pt x="209" y="142"/>
                </a:lnTo>
                <a:lnTo>
                  <a:pt x="202" y="150"/>
                </a:lnTo>
                <a:lnTo>
                  <a:pt x="200" y="159"/>
                </a:lnTo>
                <a:lnTo>
                  <a:pt x="199" y="169"/>
                </a:lnTo>
                <a:lnTo>
                  <a:pt x="197" y="179"/>
                </a:lnTo>
                <a:lnTo>
                  <a:pt x="197" y="188"/>
                </a:lnTo>
                <a:lnTo>
                  <a:pt x="190" y="201"/>
                </a:lnTo>
                <a:lnTo>
                  <a:pt x="183" y="215"/>
                </a:lnTo>
                <a:lnTo>
                  <a:pt x="177" y="231"/>
                </a:lnTo>
                <a:lnTo>
                  <a:pt x="169" y="243"/>
                </a:lnTo>
                <a:lnTo>
                  <a:pt x="160" y="255"/>
                </a:lnTo>
                <a:lnTo>
                  <a:pt x="147" y="264"/>
                </a:lnTo>
                <a:lnTo>
                  <a:pt x="127" y="272"/>
                </a:lnTo>
                <a:lnTo>
                  <a:pt x="105" y="278"/>
                </a:lnTo>
                <a:lnTo>
                  <a:pt x="85" y="283"/>
                </a:lnTo>
                <a:lnTo>
                  <a:pt x="63" y="283"/>
                </a:lnTo>
                <a:lnTo>
                  <a:pt x="42" y="278"/>
                </a:lnTo>
                <a:lnTo>
                  <a:pt x="27" y="268"/>
                </a:lnTo>
                <a:lnTo>
                  <a:pt x="17" y="255"/>
                </a:lnTo>
                <a:lnTo>
                  <a:pt x="9" y="240"/>
                </a:lnTo>
                <a:lnTo>
                  <a:pt x="4" y="223"/>
                </a:lnTo>
                <a:lnTo>
                  <a:pt x="1" y="205"/>
                </a:lnTo>
                <a:lnTo>
                  <a:pt x="0" y="188"/>
                </a:lnTo>
                <a:lnTo>
                  <a:pt x="9" y="181"/>
                </a:lnTo>
                <a:lnTo>
                  <a:pt x="14" y="170"/>
                </a:lnTo>
                <a:lnTo>
                  <a:pt x="17" y="159"/>
                </a:lnTo>
                <a:lnTo>
                  <a:pt x="18" y="147"/>
                </a:lnTo>
                <a:lnTo>
                  <a:pt x="21" y="136"/>
                </a:lnTo>
                <a:lnTo>
                  <a:pt x="23" y="124"/>
                </a:lnTo>
                <a:lnTo>
                  <a:pt x="30" y="115"/>
                </a:lnTo>
                <a:lnTo>
                  <a:pt x="37" y="105"/>
                </a:lnTo>
                <a:lnTo>
                  <a:pt x="48" y="99"/>
                </a:lnTo>
                <a:lnTo>
                  <a:pt x="58" y="95"/>
                </a:lnTo>
                <a:lnTo>
                  <a:pt x="69" y="91"/>
                </a:lnTo>
                <a:lnTo>
                  <a:pt x="80" y="85"/>
                </a:lnTo>
                <a:lnTo>
                  <a:pt x="87" y="77"/>
                </a:lnTo>
                <a:lnTo>
                  <a:pt x="97" y="59"/>
                </a:lnTo>
                <a:lnTo>
                  <a:pt x="103" y="40"/>
                </a:lnTo>
                <a:lnTo>
                  <a:pt x="106" y="19"/>
                </a:lnTo>
                <a:lnTo>
                  <a:pt x="110" y="0"/>
                </a:lnTo>
                <a:close/>
              </a:path>
            </a:pathLst>
          </a:custGeom>
          <a:solidFill>
            <a:srgbClr val="008375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4" name="North Carolina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>
            <a:spLocks/>
          </xdr:cNvSpPr>
        </xdr:nvSpPr>
        <xdr:spPr bwMode="auto">
          <a:xfrm>
            <a:off x="7486650" y="3438525"/>
            <a:ext cx="1524000" cy="647700"/>
          </a:xfrm>
          <a:custGeom>
            <a:avLst/>
            <a:gdLst>
              <a:gd name="T0" fmla="*/ 615 w 640"/>
              <a:gd name="T1" fmla="*/ 7 h 272"/>
              <a:gd name="T2" fmla="*/ 598 w 640"/>
              <a:gd name="T3" fmla="*/ 20 h 272"/>
              <a:gd name="T4" fmla="*/ 583 w 640"/>
              <a:gd name="T5" fmla="*/ 33 h 272"/>
              <a:gd name="T6" fmla="*/ 574 w 640"/>
              <a:gd name="T7" fmla="*/ 50 h 272"/>
              <a:gd name="T8" fmla="*/ 580 w 640"/>
              <a:gd name="T9" fmla="*/ 71 h 272"/>
              <a:gd name="T10" fmla="*/ 594 w 640"/>
              <a:gd name="T11" fmla="*/ 78 h 272"/>
              <a:gd name="T12" fmla="*/ 612 w 640"/>
              <a:gd name="T13" fmla="*/ 75 h 272"/>
              <a:gd name="T14" fmla="*/ 631 w 640"/>
              <a:gd name="T15" fmla="*/ 73 h 272"/>
              <a:gd name="T16" fmla="*/ 626 w 640"/>
              <a:gd name="T17" fmla="*/ 79 h 272"/>
              <a:gd name="T18" fmla="*/ 598 w 640"/>
              <a:gd name="T19" fmla="*/ 87 h 272"/>
              <a:gd name="T20" fmla="*/ 575 w 640"/>
              <a:gd name="T21" fmla="*/ 102 h 272"/>
              <a:gd name="T22" fmla="*/ 578 w 640"/>
              <a:gd name="T23" fmla="*/ 120 h 272"/>
              <a:gd name="T24" fmla="*/ 589 w 640"/>
              <a:gd name="T25" fmla="*/ 133 h 272"/>
              <a:gd name="T26" fmla="*/ 601 w 640"/>
              <a:gd name="T27" fmla="*/ 148 h 272"/>
              <a:gd name="T28" fmla="*/ 590 w 640"/>
              <a:gd name="T29" fmla="*/ 167 h 272"/>
              <a:gd name="T30" fmla="*/ 566 w 640"/>
              <a:gd name="T31" fmla="*/ 183 h 272"/>
              <a:gd name="T32" fmla="*/ 537 w 640"/>
              <a:gd name="T33" fmla="*/ 206 h 272"/>
              <a:gd name="T34" fmla="*/ 509 w 640"/>
              <a:gd name="T35" fmla="*/ 240 h 272"/>
              <a:gd name="T36" fmla="*/ 478 w 640"/>
              <a:gd name="T37" fmla="*/ 272 h 272"/>
              <a:gd name="T38" fmla="*/ 430 w 640"/>
              <a:gd name="T39" fmla="*/ 233 h 272"/>
              <a:gd name="T40" fmla="*/ 373 w 640"/>
              <a:gd name="T41" fmla="*/ 212 h 272"/>
              <a:gd name="T42" fmla="*/ 333 w 640"/>
              <a:gd name="T43" fmla="*/ 214 h 272"/>
              <a:gd name="T44" fmla="*/ 310 w 640"/>
              <a:gd name="T45" fmla="*/ 216 h 272"/>
              <a:gd name="T46" fmla="*/ 288 w 640"/>
              <a:gd name="T47" fmla="*/ 214 h 272"/>
              <a:gd name="T48" fmla="*/ 277 w 640"/>
              <a:gd name="T49" fmla="*/ 202 h 272"/>
              <a:gd name="T50" fmla="*/ 244 w 640"/>
              <a:gd name="T51" fmla="*/ 191 h 272"/>
              <a:gd name="T52" fmla="*/ 177 w 640"/>
              <a:gd name="T53" fmla="*/ 197 h 272"/>
              <a:gd name="T54" fmla="*/ 116 w 640"/>
              <a:gd name="T55" fmla="*/ 216 h 272"/>
              <a:gd name="T56" fmla="*/ 44 w 640"/>
              <a:gd name="T57" fmla="*/ 239 h 272"/>
              <a:gd name="T58" fmla="*/ 36 w 640"/>
              <a:gd name="T59" fmla="*/ 212 h 272"/>
              <a:gd name="T60" fmla="*/ 113 w 640"/>
              <a:gd name="T61" fmla="*/ 156 h 272"/>
              <a:gd name="T62" fmla="*/ 168 w 640"/>
              <a:gd name="T63" fmla="*/ 116 h 272"/>
              <a:gd name="T64" fmla="*/ 194 w 640"/>
              <a:gd name="T65" fmla="*/ 85 h 272"/>
              <a:gd name="T66" fmla="*/ 306 w 640"/>
              <a:gd name="T67" fmla="*/ 55 h 272"/>
              <a:gd name="T68" fmla="*/ 518 w 640"/>
              <a:gd name="T69" fmla="*/ 23 h 27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640" h="272">
                <a:moveTo>
                  <a:pt x="621" y="0"/>
                </a:moveTo>
                <a:lnTo>
                  <a:pt x="615" y="7"/>
                </a:lnTo>
                <a:lnTo>
                  <a:pt x="607" y="15"/>
                </a:lnTo>
                <a:lnTo>
                  <a:pt x="598" y="20"/>
                </a:lnTo>
                <a:lnTo>
                  <a:pt x="590" y="27"/>
                </a:lnTo>
                <a:lnTo>
                  <a:pt x="583" y="33"/>
                </a:lnTo>
                <a:lnTo>
                  <a:pt x="576" y="41"/>
                </a:lnTo>
                <a:lnTo>
                  <a:pt x="574" y="50"/>
                </a:lnTo>
                <a:lnTo>
                  <a:pt x="575" y="61"/>
                </a:lnTo>
                <a:lnTo>
                  <a:pt x="580" y="71"/>
                </a:lnTo>
                <a:lnTo>
                  <a:pt x="587" y="77"/>
                </a:lnTo>
                <a:lnTo>
                  <a:pt x="594" y="78"/>
                </a:lnTo>
                <a:lnTo>
                  <a:pt x="603" y="78"/>
                </a:lnTo>
                <a:lnTo>
                  <a:pt x="612" y="75"/>
                </a:lnTo>
                <a:lnTo>
                  <a:pt x="622" y="74"/>
                </a:lnTo>
                <a:lnTo>
                  <a:pt x="631" y="73"/>
                </a:lnTo>
                <a:lnTo>
                  <a:pt x="640" y="74"/>
                </a:lnTo>
                <a:lnTo>
                  <a:pt x="626" y="79"/>
                </a:lnTo>
                <a:lnTo>
                  <a:pt x="612" y="83"/>
                </a:lnTo>
                <a:lnTo>
                  <a:pt x="598" y="87"/>
                </a:lnTo>
                <a:lnTo>
                  <a:pt x="585" y="93"/>
                </a:lnTo>
                <a:lnTo>
                  <a:pt x="575" y="102"/>
                </a:lnTo>
                <a:lnTo>
                  <a:pt x="574" y="112"/>
                </a:lnTo>
                <a:lnTo>
                  <a:pt x="578" y="120"/>
                </a:lnTo>
                <a:lnTo>
                  <a:pt x="583" y="126"/>
                </a:lnTo>
                <a:lnTo>
                  <a:pt x="589" y="133"/>
                </a:lnTo>
                <a:lnTo>
                  <a:pt x="596" y="141"/>
                </a:lnTo>
                <a:lnTo>
                  <a:pt x="601" y="148"/>
                </a:lnTo>
                <a:lnTo>
                  <a:pt x="601" y="157"/>
                </a:lnTo>
                <a:lnTo>
                  <a:pt x="590" y="167"/>
                </a:lnTo>
                <a:lnTo>
                  <a:pt x="579" y="175"/>
                </a:lnTo>
                <a:lnTo>
                  <a:pt x="566" y="183"/>
                </a:lnTo>
                <a:lnTo>
                  <a:pt x="555" y="192"/>
                </a:lnTo>
                <a:lnTo>
                  <a:pt x="537" y="206"/>
                </a:lnTo>
                <a:lnTo>
                  <a:pt x="523" y="223"/>
                </a:lnTo>
                <a:lnTo>
                  <a:pt x="509" y="240"/>
                </a:lnTo>
                <a:lnTo>
                  <a:pt x="494" y="257"/>
                </a:lnTo>
                <a:lnTo>
                  <a:pt x="478" y="272"/>
                </a:lnTo>
                <a:lnTo>
                  <a:pt x="456" y="251"/>
                </a:lnTo>
                <a:lnTo>
                  <a:pt x="430" y="233"/>
                </a:lnTo>
                <a:lnTo>
                  <a:pt x="402" y="220"/>
                </a:lnTo>
                <a:lnTo>
                  <a:pt x="373" y="212"/>
                </a:lnTo>
                <a:lnTo>
                  <a:pt x="342" y="212"/>
                </a:lnTo>
                <a:lnTo>
                  <a:pt x="333" y="214"/>
                </a:lnTo>
                <a:lnTo>
                  <a:pt x="322" y="215"/>
                </a:lnTo>
                <a:lnTo>
                  <a:pt x="310" y="216"/>
                </a:lnTo>
                <a:lnTo>
                  <a:pt x="299" y="216"/>
                </a:lnTo>
                <a:lnTo>
                  <a:pt x="288" y="214"/>
                </a:lnTo>
                <a:lnTo>
                  <a:pt x="281" y="210"/>
                </a:lnTo>
                <a:lnTo>
                  <a:pt x="277" y="202"/>
                </a:lnTo>
                <a:lnTo>
                  <a:pt x="277" y="189"/>
                </a:lnTo>
                <a:lnTo>
                  <a:pt x="244" y="191"/>
                </a:lnTo>
                <a:lnTo>
                  <a:pt x="210" y="192"/>
                </a:lnTo>
                <a:lnTo>
                  <a:pt x="177" y="197"/>
                </a:lnTo>
                <a:lnTo>
                  <a:pt x="145" y="203"/>
                </a:lnTo>
                <a:lnTo>
                  <a:pt x="116" y="216"/>
                </a:lnTo>
                <a:lnTo>
                  <a:pt x="87" y="233"/>
                </a:lnTo>
                <a:lnTo>
                  <a:pt x="44" y="239"/>
                </a:lnTo>
                <a:lnTo>
                  <a:pt x="0" y="242"/>
                </a:lnTo>
                <a:lnTo>
                  <a:pt x="36" y="212"/>
                </a:lnTo>
                <a:lnTo>
                  <a:pt x="75" y="184"/>
                </a:lnTo>
                <a:lnTo>
                  <a:pt x="113" y="156"/>
                </a:lnTo>
                <a:lnTo>
                  <a:pt x="151" y="128"/>
                </a:lnTo>
                <a:lnTo>
                  <a:pt x="168" y="116"/>
                </a:lnTo>
                <a:lnTo>
                  <a:pt x="182" y="102"/>
                </a:lnTo>
                <a:lnTo>
                  <a:pt x="194" y="85"/>
                </a:lnTo>
                <a:lnTo>
                  <a:pt x="200" y="66"/>
                </a:lnTo>
                <a:lnTo>
                  <a:pt x="306" y="55"/>
                </a:lnTo>
                <a:lnTo>
                  <a:pt x="411" y="41"/>
                </a:lnTo>
                <a:lnTo>
                  <a:pt x="518" y="23"/>
                </a:lnTo>
                <a:lnTo>
                  <a:pt x="621" y="0"/>
                </a:lnTo>
                <a:close/>
              </a:path>
            </a:pathLst>
          </a:custGeom>
          <a:solidFill>
            <a:srgbClr val="00575D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5" name="Virginia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>
            <a:spLocks/>
          </xdr:cNvSpPr>
        </xdr:nvSpPr>
        <xdr:spPr bwMode="auto">
          <a:xfrm>
            <a:off x="7629525" y="2800350"/>
            <a:ext cx="1352550" cy="790575"/>
          </a:xfrm>
          <a:custGeom>
            <a:avLst/>
            <a:gdLst>
              <a:gd name="T0" fmla="*/ 392 w 566"/>
              <a:gd name="T1" fmla="*/ 0 h 332"/>
              <a:gd name="T2" fmla="*/ 417 w 566"/>
              <a:gd name="T3" fmla="*/ 14 h 332"/>
              <a:gd name="T4" fmla="*/ 443 w 566"/>
              <a:gd name="T5" fmla="*/ 28 h 332"/>
              <a:gd name="T6" fmla="*/ 443 w 566"/>
              <a:gd name="T7" fmla="*/ 37 h 332"/>
              <a:gd name="T8" fmla="*/ 443 w 566"/>
              <a:gd name="T9" fmla="*/ 46 h 332"/>
              <a:gd name="T10" fmla="*/ 442 w 566"/>
              <a:gd name="T11" fmla="*/ 57 h 332"/>
              <a:gd name="T12" fmla="*/ 442 w 566"/>
              <a:gd name="T13" fmla="*/ 66 h 332"/>
              <a:gd name="T14" fmla="*/ 446 w 566"/>
              <a:gd name="T15" fmla="*/ 73 h 332"/>
              <a:gd name="T16" fmla="*/ 453 w 566"/>
              <a:gd name="T17" fmla="*/ 80 h 332"/>
              <a:gd name="T18" fmla="*/ 470 w 566"/>
              <a:gd name="T19" fmla="*/ 91 h 332"/>
              <a:gd name="T20" fmla="*/ 485 w 566"/>
              <a:gd name="T21" fmla="*/ 105 h 332"/>
              <a:gd name="T22" fmla="*/ 499 w 566"/>
              <a:gd name="T23" fmla="*/ 122 h 332"/>
              <a:gd name="T24" fmla="*/ 508 w 566"/>
              <a:gd name="T25" fmla="*/ 141 h 332"/>
              <a:gd name="T26" fmla="*/ 512 w 566"/>
              <a:gd name="T27" fmla="*/ 162 h 332"/>
              <a:gd name="T28" fmla="*/ 512 w 566"/>
              <a:gd name="T29" fmla="*/ 171 h 332"/>
              <a:gd name="T30" fmla="*/ 507 w 566"/>
              <a:gd name="T31" fmla="*/ 177 h 332"/>
              <a:gd name="T32" fmla="*/ 499 w 566"/>
              <a:gd name="T33" fmla="*/ 181 h 332"/>
              <a:gd name="T34" fmla="*/ 492 w 566"/>
              <a:gd name="T35" fmla="*/ 183 h 332"/>
              <a:gd name="T36" fmla="*/ 484 w 566"/>
              <a:gd name="T37" fmla="*/ 187 h 332"/>
              <a:gd name="T38" fmla="*/ 501 w 566"/>
              <a:gd name="T39" fmla="*/ 198 h 332"/>
              <a:gd name="T40" fmla="*/ 519 w 566"/>
              <a:gd name="T41" fmla="*/ 208 h 332"/>
              <a:gd name="T42" fmla="*/ 536 w 566"/>
              <a:gd name="T43" fmla="*/ 218 h 332"/>
              <a:gd name="T44" fmla="*/ 553 w 566"/>
              <a:gd name="T45" fmla="*/ 230 h 332"/>
              <a:gd name="T46" fmla="*/ 566 w 566"/>
              <a:gd name="T47" fmla="*/ 245 h 332"/>
              <a:gd name="T48" fmla="*/ 474 w 566"/>
              <a:gd name="T49" fmla="*/ 268 h 332"/>
              <a:gd name="T50" fmla="*/ 380 w 566"/>
              <a:gd name="T51" fmla="*/ 286 h 332"/>
              <a:gd name="T52" fmla="*/ 286 w 566"/>
              <a:gd name="T53" fmla="*/ 300 h 332"/>
              <a:gd name="T54" fmla="*/ 191 w 566"/>
              <a:gd name="T55" fmla="*/ 310 h 332"/>
              <a:gd name="T56" fmla="*/ 95 w 566"/>
              <a:gd name="T57" fmla="*/ 320 h 332"/>
              <a:gd name="T58" fmla="*/ 0 w 566"/>
              <a:gd name="T59" fmla="*/ 332 h 332"/>
              <a:gd name="T60" fmla="*/ 21 w 566"/>
              <a:gd name="T61" fmla="*/ 312 h 332"/>
              <a:gd name="T62" fmla="*/ 41 w 566"/>
              <a:gd name="T63" fmla="*/ 291 h 332"/>
              <a:gd name="T64" fmla="*/ 62 w 566"/>
              <a:gd name="T65" fmla="*/ 272 h 332"/>
              <a:gd name="T66" fmla="*/ 85 w 566"/>
              <a:gd name="T67" fmla="*/ 255 h 332"/>
              <a:gd name="T68" fmla="*/ 119 w 566"/>
              <a:gd name="T69" fmla="*/ 258 h 332"/>
              <a:gd name="T70" fmla="*/ 154 w 566"/>
              <a:gd name="T71" fmla="*/ 254 h 332"/>
              <a:gd name="T72" fmla="*/ 187 w 566"/>
              <a:gd name="T73" fmla="*/ 242 h 332"/>
              <a:gd name="T74" fmla="*/ 218 w 566"/>
              <a:gd name="T75" fmla="*/ 227 h 332"/>
              <a:gd name="T76" fmla="*/ 236 w 566"/>
              <a:gd name="T77" fmla="*/ 201 h 332"/>
              <a:gd name="T78" fmla="*/ 248 w 566"/>
              <a:gd name="T79" fmla="*/ 174 h 332"/>
              <a:gd name="T80" fmla="*/ 257 w 566"/>
              <a:gd name="T81" fmla="*/ 145 h 332"/>
              <a:gd name="T82" fmla="*/ 265 w 566"/>
              <a:gd name="T83" fmla="*/ 116 h 332"/>
              <a:gd name="T84" fmla="*/ 288 w 566"/>
              <a:gd name="T85" fmla="*/ 108 h 332"/>
              <a:gd name="T86" fmla="*/ 309 w 566"/>
              <a:gd name="T87" fmla="*/ 95 h 332"/>
              <a:gd name="T88" fmla="*/ 325 w 566"/>
              <a:gd name="T89" fmla="*/ 78 h 332"/>
              <a:gd name="T90" fmla="*/ 339 w 566"/>
              <a:gd name="T91" fmla="*/ 58 h 332"/>
              <a:gd name="T92" fmla="*/ 350 w 566"/>
              <a:gd name="T93" fmla="*/ 36 h 332"/>
              <a:gd name="T94" fmla="*/ 355 w 566"/>
              <a:gd name="T95" fmla="*/ 12 h 332"/>
              <a:gd name="T96" fmla="*/ 364 w 566"/>
              <a:gd name="T97" fmla="*/ 16 h 332"/>
              <a:gd name="T98" fmla="*/ 371 w 566"/>
              <a:gd name="T99" fmla="*/ 17 h 332"/>
              <a:gd name="T100" fmla="*/ 379 w 566"/>
              <a:gd name="T101" fmla="*/ 17 h 332"/>
              <a:gd name="T102" fmla="*/ 385 w 566"/>
              <a:gd name="T103" fmla="*/ 16 h 332"/>
              <a:gd name="T104" fmla="*/ 391 w 566"/>
              <a:gd name="T105" fmla="*/ 9 h 332"/>
              <a:gd name="T106" fmla="*/ 392 w 566"/>
              <a:gd name="T107" fmla="*/ 0 h 3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566" h="332">
                <a:moveTo>
                  <a:pt x="392" y="0"/>
                </a:moveTo>
                <a:lnTo>
                  <a:pt x="417" y="14"/>
                </a:lnTo>
                <a:lnTo>
                  <a:pt x="443" y="28"/>
                </a:lnTo>
                <a:lnTo>
                  <a:pt x="443" y="37"/>
                </a:lnTo>
                <a:lnTo>
                  <a:pt x="443" y="46"/>
                </a:lnTo>
                <a:lnTo>
                  <a:pt x="442" y="57"/>
                </a:lnTo>
                <a:lnTo>
                  <a:pt x="442" y="66"/>
                </a:lnTo>
                <a:lnTo>
                  <a:pt x="446" y="73"/>
                </a:lnTo>
                <a:lnTo>
                  <a:pt x="453" y="80"/>
                </a:lnTo>
                <a:lnTo>
                  <a:pt x="470" y="91"/>
                </a:lnTo>
                <a:lnTo>
                  <a:pt x="485" y="105"/>
                </a:lnTo>
                <a:lnTo>
                  <a:pt x="499" y="122"/>
                </a:lnTo>
                <a:lnTo>
                  <a:pt x="508" y="141"/>
                </a:lnTo>
                <a:lnTo>
                  <a:pt x="512" y="162"/>
                </a:lnTo>
                <a:lnTo>
                  <a:pt x="512" y="171"/>
                </a:lnTo>
                <a:lnTo>
                  <a:pt x="507" y="177"/>
                </a:lnTo>
                <a:lnTo>
                  <a:pt x="499" y="181"/>
                </a:lnTo>
                <a:lnTo>
                  <a:pt x="492" y="183"/>
                </a:lnTo>
                <a:lnTo>
                  <a:pt x="484" y="187"/>
                </a:lnTo>
                <a:lnTo>
                  <a:pt x="501" y="198"/>
                </a:lnTo>
                <a:lnTo>
                  <a:pt x="519" y="208"/>
                </a:lnTo>
                <a:lnTo>
                  <a:pt x="536" y="218"/>
                </a:lnTo>
                <a:lnTo>
                  <a:pt x="553" y="230"/>
                </a:lnTo>
                <a:lnTo>
                  <a:pt x="566" y="245"/>
                </a:lnTo>
                <a:lnTo>
                  <a:pt x="474" y="268"/>
                </a:lnTo>
                <a:lnTo>
                  <a:pt x="380" y="286"/>
                </a:lnTo>
                <a:lnTo>
                  <a:pt x="286" y="300"/>
                </a:lnTo>
                <a:lnTo>
                  <a:pt x="191" y="310"/>
                </a:lnTo>
                <a:lnTo>
                  <a:pt x="95" y="320"/>
                </a:lnTo>
                <a:lnTo>
                  <a:pt x="0" y="332"/>
                </a:lnTo>
                <a:lnTo>
                  <a:pt x="21" y="312"/>
                </a:lnTo>
                <a:lnTo>
                  <a:pt x="41" y="291"/>
                </a:lnTo>
                <a:lnTo>
                  <a:pt x="62" y="272"/>
                </a:lnTo>
                <a:lnTo>
                  <a:pt x="85" y="255"/>
                </a:lnTo>
                <a:lnTo>
                  <a:pt x="119" y="258"/>
                </a:lnTo>
                <a:lnTo>
                  <a:pt x="154" y="254"/>
                </a:lnTo>
                <a:lnTo>
                  <a:pt x="187" y="242"/>
                </a:lnTo>
                <a:lnTo>
                  <a:pt x="218" y="227"/>
                </a:lnTo>
                <a:lnTo>
                  <a:pt x="236" y="201"/>
                </a:lnTo>
                <a:lnTo>
                  <a:pt x="248" y="174"/>
                </a:lnTo>
                <a:lnTo>
                  <a:pt x="257" y="145"/>
                </a:lnTo>
                <a:lnTo>
                  <a:pt x="265" y="116"/>
                </a:lnTo>
                <a:lnTo>
                  <a:pt x="288" y="108"/>
                </a:lnTo>
                <a:lnTo>
                  <a:pt x="309" y="95"/>
                </a:lnTo>
                <a:lnTo>
                  <a:pt x="325" y="78"/>
                </a:lnTo>
                <a:lnTo>
                  <a:pt x="339" y="58"/>
                </a:lnTo>
                <a:lnTo>
                  <a:pt x="350" y="36"/>
                </a:lnTo>
                <a:lnTo>
                  <a:pt x="355" y="12"/>
                </a:lnTo>
                <a:lnTo>
                  <a:pt x="364" y="16"/>
                </a:lnTo>
                <a:lnTo>
                  <a:pt x="371" y="17"/>
                </a:lnTo>
                <a:lnTo>
                  <a:pt x="379" y="17"/>
                </a:lnTo>
                <a:lnTo>
                  <a:pt x="385" y="16"/>
                </a:lnTo>
                <a:lnTo>
                  <a:pt x="391" y="9"/>
                </a:lnTo>
                <a:lnTo>
                  <a:pt x="392" y="0"/>
                </a:lnTo>
                <a:close/>
              </a:path>
            </a:pathLst>
          </a:custGeom>
          <a:solidFill>
            <a:srgbClr val="008375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6" name="Florida">
            <a:extLst>
              <a:ext uri="{FF2B5EF4-FFF2-40B4-BE49-F238E27FC236}">
                <a16:creationId xmlns:a16="http://schemas.microsoft.com/office/drawing/2014/main" id="{00000000-0008-0000-0000-00004C000000}"/>
              </a:ext>
            </a:extLst>
          </xdr:cNvPr>
          <xdr:cNvSpPr>
            <a:spLocks/>
          </xdr:cNvSpPr>
        </xdr:nvSpPr>
        <xdr:spPr bwMode="auto">
          <a:xfrm>
            <a:off x="6943725" y="4991100"/>
            <a:ext cx="1676400" cy="1247775"/>
          </a:xfrm>
          <a:custGeom>
            <a:avLst/>
            <a:gdLst>
              <a:gd name="T0" fmla="*/ 513 w 704"/>
              <a:gd name="T1" fmla="*/ 18 h 521"/>
              <a:gd name="T2" fmla="*/ 536 w 704"/>
              <a:gd name="T3" fmla="*/ 96 h 521"/>
              <a:gd name="T4" fmla="*/ 573 w 704"/>
              <a:gd name="T5" fmla="*/ 168 h 521"/>
              <a:gd name="T6" fmla="*/ 604 w 704"/>
              <a:gd name="T7" fmla="*/ 220 h 521"/>
              <a:gd name="T8" fmla="*/ 628 w 704"/>
              <a:gd name="T9" fmla="*/ 277 h 521"/>
              <a:gd name="T10" fmla="*/ 656 w 704"/>
              <a:gd name="T11" fmla="*/ 319 h 521"/>
              <a:gd name="T12" fmla="*/ 682 w 704"/>
              <a:gd name="T13" fmla="*/ 363 h 521"/>
              <a:gd name="T14" fmla="*/ 696 w 704"/>
              <a:gd name="T15" fmla="*/ 406 h 521"/>
              <a:gd name="T16" fmla="*/ 704 w 704"/>
              <a:gd name="T17" fmla="*/ 447 h 521"/>
              <a:gd name="T18" fmla="*/ 700 w 704"/>
              <a:gd name="T19" fmla="*/ 487 h 521"/>
              <a:gd name="T20" fmla="*/ 678 w 704"/>
              <a:gd name="T21" fmla="*/ 521 h 521"/>
              <a:gd name="T22" fmla="*/ 652 w 704"/>
              <a:gd name="T23" fmla="*/ 511 h 521"/>
              <a:gd name="T24" fmla="*/ 637 w 704"/>
              <a:gd name="T25" fmla="*/ 489 h 521"/>
              <a:gd name="T26" fmla="*/ 625 w 704"/>
              <a:gd name="T27" fmla="*/ 464 h 521"/>
              <a:gd name="T28" fmla="*/ 602 w 704"/>
              <a:gd name="T29" fmla="*/ 457 h 521"/>
              <a:gd name="T30" fmla="*/ 578 w 704"/>
              <a:gd name="T31" fmla="*/ 448 h 521"/>
              <a:gd name="T32" fmla="*/ 564 w 704"/>
              <a:gd name="T33" fmla="*/ 418 h 521"/>
              <a:gd name="T34" fmla="*/ 549 w 704"/>
              <a:gd name="T35" fmla="*/ 388 h 521"/>
              <a:gd name="T36" fmla="*/ 524 w 704"/>
              <a:gd name="T37" fmla="*/ 369 h 521"/>
              <a:gd name="T38" fmla="*/ 500 w 704"/>
              <a:gd name="T39" fmla="*/ 356 h 521"/>
              <a:gd name="T40" fmla="*/ 497 w 704"/>
              <a:gd name="T41" fmla="*/ 334 h 521"/>
              <a:gd name="T42" fmla="*/ 505 w 704"/>
              <a:gd name="T43" fmla="*/ 313 h 521"/>
              <a:gd name="T44" fmla="*/ 483 w 704"/>
              <a:gd name="T45" fmla="*/ 291 h 521"/>
              <a:gd name="T46" fmla="*/ 477 w 704"/>
              <a:gd name="T47" fmla="*/ 263 h 521"/>
              <a:gd name="T48" fmla="*/ 476 w 704"/>
              <a:gd name="T49" fmla="*/ 232 h 521"/>
              <a:gd name="T50" fmla="*/ 469 w 704"/>
              <a:gd name="T51" fmla="*/ 205 h 521"/>
              <a:gd name="T52" fmla="*/ 450 w 704"/>
              <a:gd name="T53" fmla="*/ 183 h 521"/>
              <a:gd name="T54" fmla="*/ 450 w 704"/>
              <a:gd name="T55" fmla="*/ 160 h 521"/>
              <a:gd name="T56" fmla="*/ 435 w 704"/>
              <a:gd name="T57" fmla="*/ 147 h 521"/>
              <a:gd name="T58" fmla="*/ 413 w 704"/>
              <a:gd name="T59" fmla="*/ 140 h 521"/>
              <a:gd name="T60" fmla="*/ 391 w 704"/>
              <a:gd name="T61" fmla="*/ 132 h 521"/>
              <a:gd name="T62" fmla="*/ 368 w 704"/>
              <a:gd name="T63" fmla="*/ 117 h 521"/>
              <a:gd name="T64" fmla="*/ 340 w 704"/>
              <a:gd name="T65" fmla="*/ 95 h 521"/>
              <a:gd name="T66" fmla="*/ 309 w 704"/>
              <a:gd name="T67" fmla="*/ 81 h 521"/>
              <a:gd name="T68" fmla="*/ 275 w 704"/>
              <a:gd name="T69" fmla="*/ 82 h 521"/>
              <a:gd name="T70" fmla="*/ 249 w 704"/>
              <a:gd name="T71" fmla="*/ 99 h 521"/>
              <a:gd name="T72" fmla="*/ 226 w 704"/>
              <a:gd name="T73" fmla="*/ 122 h 521"/>
              <a:gd name="T74" fmla="*/ 203 w 704"/>
              <a:gd name="T75" fmla="*/ 119 h 521"/>
              <a:gd name="T76" fmla="*/ 183 w 704"/>
              <a:gd name="T77" fmla="*/ 92 h 521"/>
              <a:gd name="T78" fmla="*/ 133 w 704"/>
              <a:gd name="T79" fmla="*/ 73 h 521"/>
              <a:gd name="T80" fmla="*/ 55 w 704"/>
              <a:gd name="T81" fmla="*/ 71 h 521"/>
              <a:gd name="T82" fmla="*/ 0 w 704"/>
              <a:gd name="T83" fmla="*/ 44 h 521"/>
              <a:gd name="T84" fmla="*/ 198 w 704"/>
              <a:gd name="T85" fmla="*/ 24 h 521"/>
              <a:gd name="T86" fmla="*/ 212 w 704"/>
              <a:gd name="T87" fmla="*/ 32 h 521"/>
              <a:gd name="T88" fmla="*/ 225 w 704"/>
              <a:gd name="T89" fmla="*/ 42 h 521"/>
              <a:gd name="T90" fmla="*/ 291 w 704"/>
              <a:gd name="T91" fmla="*/ 45 h 521"/>
              <a:gd name="T92" fmla="*/ 407 w 704"/>
              <a:gd name="T93" fmla="*/ 40 h 521"/>
              <a:gd name="T94" fmla="*/ 474 w 704"/>
              <a:gd name="T95" fmla="*/ 42 h 521"/>
              <a:gd name="T96" fmla="*/ 487 w 704"/>
              <a:gd name="T97" fmla="*/ 36 h 521"/>
              <a:gd name="T98" fmla="*/ 492 w 704"/>
              <a:gd name="T99" fmla="*/ 19 h 521"/>
              <a:gd name="T100" fmla="*/ 491 w 704"/>
              <a:gd name="T101" fmla="*/ 0 h 52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</a:cxnLst>
            <a:rect l="0" t="0" r="r" b="b"/>
            <a:pathLst>
              <a:path w="704" h="521">
                <a:moveTo>
                  <a:pt x="491" y="0"/>
                </a:moveTo>
                <a:lnTo>
                  <a:pt x="513" y="18"/>
                </a:lnTo>
                <a:lnTo>
                  <a:pt x="523" y="58"/>
                </a:lnTo>
                <a:lnTo>
                  <a:pt x="536" y="96"/>
                </a:lnTo>
                <a:lnTo>
                  <a:pt x="551" y="133"/>
                </a:lnTo>
                <a:lnTo>
                  <a:pt x="573" y="168"/>
                </a:lnTo>
                <a:lnTo>
                  <a:pt x="590" y="194"/>
                </a:lnTo>
                <a:lnTo>
                  <a:pt x="604" y="220"/>
                </a:lnTo>
                <a:lnTo>
                  <a:pt x="617" y="249"/>
                </a:lnTo>
                <a:lnTo>
                  <a:pt x="628" y="277"/>
                </a:lnTo>
                <a:lnTo>
                  <a:pt x="642" y="297"/>
                </a:lnTo>
                <a:lnTo>
                  <a:pt x="656" y="319"/>
                </a:lnTo>
                <a:lnTo>
                  <a:pt x="670" y="341"/>
                </a:lnTo>
                <a:lnTo>
                  <a:pt x="682" y="363"/>
                </a:lnTo>
                <a:lnTo>
                  <a:pt x="689" y="387"/>
                </a:lnTo>
                <a:lnTo>
                  <a:pt x="696" y="406"/>
                </a:lnTo>
                <a:lnTo>
                  <a:pt x="701" y="427"/>
                </a:lnTo>
                <a:lnTo>
                  <a:pt x="704" y="447"/>
                </a:lnTo>
                <a:lnTo>
                  <a:pt x="704" y="468"/>
                </a:lnTo>
                <a:lnTo>
                  <a:pt x="700" y="487"/>
                </a:lnTo>
                <a:lnTo>
                  <a:pt x="691" y="505"/>
                </a:lnTo>
                <a:lnTo>
                  <a:pt x="678" y="521"/>
                </a:lnTo>
                <a:lnTo>
                  <a:pt x="664" y="519"/>
                </a:lnTo>
                <a:lnTo>
                  <a:pt x="652" y="511"/>
                </a:lnTo>
                <a:lnTo>
                  <a:pt x="645" y="501"/>
                </a:lnTo>
                <a:lnTo>
                  <a:pt x="637" y="489"/>
                </a:lnTo>
                <a:lnTo>
                  <a:pt x="631" y="477"/>
                </a:lnTo>
                <a:lnTo>
                  <a:pt x="625" y="464"/>
                </a:lnTo>
                <a:lnTo>
                  <a:pt x="619" y="451"/>
                </a:lnTo>
                <a:lnTo>
                  <a:pt x="602" y="457"/>
                </a:lnTo>
                <a:lnTo>
                  <a:pt x="587" y="461"/>
                </a:lnTo>
                <a:lnTo>
                  <a:pt x="578" y="448"/>
                </a:lnTo>
                <a:lnTo>
                  <a:pt x="572" y="433"/>
                </a:lnTo>
                <a:lnTo>
                  <a:pt x="564" y="418"/>
                </a:lnTo>
                <a:lnTo>
                  <a:pt x="556" y="402"/>
                </a:lnTo>
                <a:lnTo>
                  <a:pt x="549" y="388"/>
                </a:lnTo>
                <a:lnTo>
                  <a:pt x="537" y="377"/>
                </a:lnTo>
                <a:lnTo>
                  <a:pt x="524" y="369"/>
                </a:lnTo>
                <a:lnTo>
                  <a:pt x="508" y="364"/>
                </a:lnTo>
                <a:lnTo>
                  <a:pt x="500" y="356"/>
                </a:lnTo>
                <a:lnTo>
                  <a:pt x="496" y="346"/>
                </a:lnTo>
                <a:lnTo>
                  <a:pt x="497" y="334"/>
                </a:lnTo>
                <a:lnTo>
                  <a:pt x="500" y="323"/>
                </a:lnTo>
                <a:lnTo>
                  <a:pt x="505" y="313"/>
                </a:lnTo>
                <a:lnTo>
                  <a:pt x="492" y="302"/>
                </a:lnTo>
                <a:lnTo>
                  <a:pt x="483" y="291"/>
                </a:lnTo>
                <a:lnTo>
                  <a:pt x="480" y="277"/>
                </a:lnTo>
                <a:lnTo>
                  <a:pt x="477" y="263"/>
                </a:lnTo>
                <a:lnTo>
                  <a:pt x="477" y="247"/>
                </a:lnTo>
                <a:lnTo>
                  <a:pt x="476" y="232"/>
                </a:lnTo>
                <a:lnTo>
                  <a:pt x="474" y="218"/>
                </a:lnTo>
                <a:lnTo>
                  <a:pt x="469" y="205"/>
                </a:lnTo>
                <a:lnTo>
                  <a:pt x="463" y="192"/>
                </a:lnTo>
                <a:lnTo>
                  <a:pt x="450" y="183"/>
                </a:lnTo>
                <a:lnTo>
                  <a:pt x="453" y="170"/>
                </a:lnTo>
                <a:lnTo>
                  <a:pt x="450" y="160"/>
                </a:lnTo>
                <a:lnTo>
                  <a:pt x="444" y="153"/>
                </a:lnTo>
                <a:lnTo>
                  <a:pt x="435" y="147"/>
                </a:lnTo>
                <a:lnTo>
                  <a:pt x="425" y="144"/>
                </a:lnTo>
                <a:lnTo>
                  <a:pt x="413" y="140"/>
                </a:lnTo>
                <a:lnTo>
                  <a:pt x="401" y="136"/>
                </a:lnTo>
                <a:lnTo>
                  <a:pt x="391" y="132"/>
                </a:lnTo>
                <a:lnTo>
                  <a:pt x="381" y="128"/>
                </a:lnTo>
                <a:lnTo>
                  <a:pt x="368" y="117"/>
                </a:lnTo>
                <a:lnTo>
                  <a:pt x="354" y="105"/>
                </a:lnTo>
                <a:lnTo>
                  <a:pt x="340" y="95"/>
                </a:lnTo>
                <a:lnTo>
                  <a:pt x="325" y="86"/>
                </a:lnTo>
                <a:lnTo>
                  <a:pt x="309" y="81"/>
                </a:lnTo>
                <a:lnTo>
                  <a:pt x="291" y="80"/>
                </a:lnTo>
                <a:lnTo>
                  <a:pt x="275" y="82"/>
                </a:lnTo>
                <a:lnTo>
                  <a:pt x="261" y="88"/>
                </a:lnTo>
                <a:lnTo>
                  <a:pt x="249" y="99"/>
                </a:lnTo>
                <a:lnTo>
                  <a:pt x="238" y="110"/>
                </a:lnTo>
                <a:lnTo>
                  <a:pt x="226" y="122"/>
                </a:lnTo>
                <a:lnTo>
                  <a:pt x="215" y="132"/>
                </a:lnTo>
                <a:lnTo>
                  <a:pt x="203" y="119"/>
                </a:lnTo>
                <a:lnTo>
                  <a:pt x="193" y="105"/>
                </a:lnTo>
                <a:lnTo>
                  <a:pt x="183" y="92"/>
                </a:lnTo>
                <a:lnTo>
                  <a:pt x="170" y="82"/>
                </a:lnTo>
                <a:lnTo>
                  <a:pt x="133" y="73"/>
                </a:lnTo>
                <a:lnTo>
                  <a:pt x="94" y="71"/>
                </a:lnTo>
                <a:lnTo>
                  <a:pt x="55" y="71"/>
                </a:lnTo>
                <a:lnTo>
                  <a:pt x="16" y="73"/>
                </a:lnTo>
                <a:lnTo>
                  <a:pt x="0" y="44"/>
                </a:lnTo>
                <a:lnTo>
                  <a:pt x="98" y="33"/>
                </a:lnTo>
                <a:lnTo>
                  <a:pt x="198" y="24"/>
                </a:lnTo>
                <a:lnTo>
                  <a:pt x="206" y="27"/>
                </a:lnTo>
                <a:lnTo>
                  <a:pt x="212" y="32"/>
                </a:lnTo>
                <a:lnTo>
                  <a:pt x="218" y="37"/>
                </a:lnTo>
                <a:lnTo>
                  <a:pt x="225" y="42"/>
                </a:lnTo>
                <a:lnTo>
                  <a:pt x="234" y="45"/>
                </a:lnTo>
                <a:lnTo>
                  <a:pt x="291" y="45"/>
                </a:lnTo>
                <a:lnTo>
                  <a:pt x="349" y="42"/>
                </a:lnTo>
                <a:lnTo>
                  <a:pt x="407" y="40"/>
                </a:lnTo>
                <a:lnTo>
                  <a:pt x="464" y="40"/>
                </a:lnTo>
                <a:lnTo>
                  <a:pt x="474" y="42"/>
                </a:lnTo>
                <a:lnTo>
                  <a:pt x="482" y="41"/>
                </a:lnTo>
                <a:lnTo>
                  <a:pt x="487" y="36"/>
                </a:lnTo>
                <a:lnTo>
                  <a:pt x="491" y="28"/>
                </a:lnTo>
                <a:lnTo>
                  <a:pt x="492" y="19"/>
                </a:lnTo>
                <a:lnTo>
                  <a:pt x="492" y="9"/>
                </a:lnTo>
                <a:lnTo>
                  <a:pt x="491" y="0"/>
                </a:lnTo>
                <a:close/>
              </a:path>
            </a:pathLst>
          </a:custGeom>
          <a:solidFill>
            <a:srgbClr val="9DF09E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7" name="South Carolina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SpPr>
            <a:spLocks/>
          </xdr:cNvSpPr>
        </xdr:nvSpPr>
        <xdr:spPr bwMode="auto">
          <a:xfrm>
            <a:off x="7705725" y="3933825"/>
            <a:ext cx="876300" cy="609600"/>
          </a:xfrm>
          <a:custGeom>
            <a:avLst/>
            <a:gdLst>
              <a:gd name="T0" fmla="*/ 165 w 369"/>
              <a:gd name="T1" fmla="*/ 0 h 259"/>
              <a:gd name="T2" fmla="*/ 172 w 369"/>
              <a:gd name="T3" fmla="*/ 12 h 259"/>
              <a:gd name="T4" fmla="*/ 181 w 369"/>
              <a:gd name="T5" fmla="*/ 19 h 259"/>
              <a:gd name="T6" fmla="*/ 194 w 369"/>
              <a:gd name="T7" fmla="*/ 24 h 259"/>
              <a:gd name="T8" fmla="*/ 207 w 369"/>
              <a:gd name="T9" fmla="*/ 26 h 259"/>
              <a:gd name="T10" fmla="*/ 220 w 369"/>
              <a:gd name="T11" fmla="*/ 26 h 259"/>
              <a:gd name="T12" fmla="*/ 234 w 369"/>
              <a:gd name="T13" fmla="*/ 24 h 259"/>
              <a:gd name="T14" fmla="*/ 248 w 369"/>
              <a:gd name="T15" fmla="*/ 22 h 259"/>
              <a:gd name="T16" fmla="*/ 261 w 369"/>
              <a:gd name="T17" fmla="*/ 21 h 259"/>
              <a:gd name="T18" fmla="*/ 285 w 369"/>
              <a:gd name="T19" fmla="*/ 23 h 259"/>
              <a:gd name="T20" fmla="*/ 309 w 369"/>
              <a:gd name="T21" fmla="*/ 31 h 259"/>
              <a:gd name="T22" fmla="*/ 331 w 369"/>
              <a:gd name="T23" fmla="*/ 42 h 259"/>
              <a:gd name="T24" fmla="*/ 352 w 369"/>
              <a:gd name="T25" fmla="*/ 57 h 259"/>
              <a:gd name="T26" fmla="*/ 369 w 369"/>
              <a:gd name="T27" fmla="*/ 73 h 259"/>
              <a:gd name="T28" fmla="*/ 358 w 369"/>
              <a:gd name="T29" fmla="*/ 80 h 259"/>
              <a:gd name="T30" fmla="*/ 350 w 369"/>
              <a:gd name="T31" fmla="*/ 89 h 259"/>
              <a:gd name="T32" fmla="*/ 348 w 369"/>
              <a:gd name="T33" fmla="*/ 99 h 259"/>
              <a:gd name="T34" fmla="*/ 345 w 369"/>
              <a:gd name="T35" fmla="*/ 109 h 259"/>
              <a:gd name="T36" fmla="*/ 344 w 369"/>
              <a:gd name="T37" fmla="*/ 121 h 259"/>
              <a:gd name="T38" fmla="*/ 341 w 369"/>
              <a:gd name="T39" fmla="*/ 132 h 259"/>
              <a:gd name="T40" fmla="*/ 336 w 369"/>
              <a:gd name="T41" fmla="*/ 144 h 259"/>
              <a:gd name="T42" fmla="*/ 327 w 369"/>
              <a:gd name="T43" fmla="*/ 164 h 259"/>
              <a:gd name="T44" fmla="*/ 314 w 369"/>
              <a:gd name="T45" fmla="*/ 182 h 259"/>
              <a:gd name="T46" fmla="*/ 299 w 369"/>
              <a:gd name="T47" fmla="*/ 196 h 259"/>
              <a:gd name="T48" fmla="*/ 281 w 369"/>
              <a:gd name="T49" fmla="*/ 209 h 259"/>
              <a:gd name="T50" fmla="*/ 262 w 369"/>
              <a:gd name="T51" fmla="*/ 222 h 259"/>
              <a:gd name="T52" fmla="*/ 244 w 369"/>
              <a:gd name="T53" fmla="*/ 233 h 259"/>
              <a:gd name="T54" fmla="*/ 225 w 369"/>
              <a:gd name="T55" fmla="*/ 245 h 259"/>
              <a:gd name="T56" fmla="*/ 209 w 369"/>
              <a:gd name="T57" fmla="*/ 259 h 259"/>
              <a:gd name="T58" fmla="*/ 175 w 369"/>
              <a:gd name="T59" fmla="*/ 215 h 259"/>
              <a:gd name="T60" fmla="*/ 138 w 369"/>
              <a:gd name="T61" fmla="*/ 173 h 259"/>
              <a:gd name="T62" fmla="*/ 99 w 369"/>
              <a:gd name="T63" fmla="*/ 133 h 259"/>
              <a:gd name="T64" fmla="*/ 60 w 369"/>
              <a:gd name="T65" fmla="*/ 94 h 259"/>
              <a:gd name="T66" fmla="*/ 49 w 369"/>
              <a:gd name="T67" fmla="*/ 85 h 259"/>
              <a:gd name="T68" fmla="*/ 37 w 369"/>
              <a:gd name="T69" fmla="*/ 80 h 259"/>
              <a:gd name="T70" fmla="*/ 24 w 369"/>
              <a:gd name="T71" fmla="*/ 76 h 259"/>
              <a:gd name="T72" fmla="*/ 12 w 369"/>
              <a:gd name="T73" fmla="*/ 71 h 259"/>
              <a:gd name="T74" fmla="*/ 2 w 369"/>
              <a:gd name="T75" fmla="*/ 62 h 259"/>
              <a:gd name="T76" fmla="*/ 0 w 369"/>
              <a:gd name="T77" fmla="*/ 51 h 259"/>
              <a:gd name="T78" fmla="*/ 3 w 369"/>
              <a:gd name="T79" fmla="*/ 42 h 259"/>
              <a:gd name="T80" fmla="*/ 11 w 369"/>
              <a:gd name="T81" fmla="*/ 35 h 259"/>
              <a:gd name="T82" fmla="*/ 20 w 369"/>
              <a:gd name="T83" fmla="*/ 30 h 259"/>
              <a:gd name="T84" fmla="*/ 47 w 369"/>
              <a:gd name="T85" fmla="*/ 17 h 259"/>
              <a:gd name="T86" fmla="*/ 75 w 369"/>
              <a:gd name="T87" fmla="*/ 9 h 259"/>
              <a:gd name="T88" fmla="*/ 105 w 369"/>
              <a:gd name="T89" fmla="*/ 4 h 259"/>
              <a:gd name="T90" fmla="*/ 135 w 369"/>
              <a:gd name="T91" fmla="*/ 1 h 259"/>
              <a:gd name="T92" fmla="*/ 165 w 369"/>
              <a:gd name="T93" fmla="*/ 0 h 25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369" h="259">
                <a:moveTo>
                  <a:pt x="165" y="0"/>
                </a:moveTo>
                <a:lnTo>
                  <a:pt x="172" y="12"/>
                </a:lnTo>
                <a:lnTo>
                  <a:pt x="181" y="19"/>
                </a:lnTo>
                <a:lnTo>
                  <a:pt x="194" y="24"/>
                </a:lnTo>
                <a:lnTo>
                  <a:pt x="207" y="26"/>
                </a:lnTo>
                <a:lnTo>
                  <a:pt x="220" y="26"/>
                </a:lnTo>
                <a:lnTo>
                  <a:pt x="234" y="24"/>
                </a:lnTo>
                <a:lnTo>
                  <a:pt x="248" y="22"/>
                </a:lnTo>
                <a:lnTo>
                  <a:pt x="261" y="21"/>
                </a:lnTo>
                <a:lnTo>
                  <a:pt x="285" y="23"/>
                </a:lnTo>
                <a:lnTo>
                  <a:pt x="309" y="31"/>
                </a:lnTo>
                <a:lnTo>
                  <a:pt x="331" y="42"/>
                </a:lnTo>
                <a:lnTo>
                  <a:pt x="352" y="57"/>
                </a:lnTo>
                <a:lnTo>
                  <a:pt x="369" y="73"/>
                </a:lnTo>
                <a:lnTo>
                  <a:pt x="358" y="80"/>
                </a:lnTo>
                <a:lnTo>
                  <a:pt x="350" y="89"/>
                </a:lnTo>
                <a:lnTo>
                  <a:pt x="348" y="99"/>
                </a:lnTo>
                <a:lnTo>
                  <a:pt x="345" y="109"/>
                </a:lnTo>
                <a:lnTo>
                  <a:pt x="344" y="121"/>
                </a:lnTo>
                <a:lnTo>
                  <a:pt x="341" y="132"/>
                </a:lnTo>
                <a:lnTo>
                  <a:pt x="336" y="144"/>
                </a:lnTo>
                <a:lnTo>
                  <a:pt x="327" y="164"/>
                </a:lnTo>
                <a:lnTo>
                  <a:pt x="314" y="182"/>
                </a:lnTo>
                <a:lnTo>
                  <a:pt x="299" y="196"/>
                </a:lnTo>
                <a:lnTo>
                  <a:pt x="281" y="209"/>
                </a:lnTo>
                <a:lnTo>
                  <a:pt x="262" y="222"/>
                </a:lnTo>
                <a:lnTo>
                  <a:pt x="244" y="233"/>
                </a:lnTo>
                <a:lnTo>
                  <a:pt x="225" y="245"/>
                </a:lnTo>
                <a:lnTo>
                  <a:pt x="209" y="259"/>
                </a:lnTo>
                <a:lnTo>
                  <a:pt x="175" y="215"/>
                </a:lnTo>
                <a:lnTo>
                  <a:pt x="138" y="173"/>
                </a:lnTo>
                <a:lnTo>
                  <a:pt x="99" y="133"/>
                </a:lnTo>
                <a:lnTo>
                  <a:pt x="60" y="94"/>
                </a:lnTo>
                <a:lnTo>
                  <a:pt x="49" y="85"/>
                </a:lnTo>
                <a:lnTo>
                  <a:pt x="37" y="80"/>
                </a:lnTo>
                <a:lnTo>
                  <a:pt x="24" y="76"/>
                </a:lnTo>
                <a:lnTo>
                  <a:pt x="12" y="71"/>
                </a:lnTo>
                <a:lnTo>
                  <a:pt x="2" y="62"/>
                </a:lnTo>
                <a:lnTo>
                  <a:pt x="0" y="51"/>
                </a:lnTo>
                <a:lnTo>
                  <a:pt x="3" y="42"/>
                </a:lnTo>
                <a:lnTo>
                  <a:pt x="11" y="35"/>
                </a:lnTo>
                <a:lnTo>
                  <a:pt x="20" y="30"/>
                </a:lnTo>
                <a:lnTo>
                  <a:pt x="47" y="17"/>
                </a:lnTo>
                <a:lnTo>
                  <a:pt x="75" y="9"/>
                </a:lnTo>
                <a:lnTo>
                  <a:pt x="105" y="4"/>
                </a:lnTo>
                <a:lnTo>
                  <a:pt x="135" y="1"/>
                </a:lnTo>
                <a:lnTo>
                  <a:pt x="165" y="0"/>
                </a:lnTo>
                <a:close/>
              </a:path>
            </a:pathLst>
          </a:custGeom>
          <a:solidFill>
            <a:srgbClr val="FFFFFF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8" name="Georgia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SpPr>
            <a:spLocks/>
          </xdr:cNvSpPr>
        </xdr:nvSpPr>
        <xdr:spPr bwMode="auto">
          <a:xfrm>
            <a:off x="7239000" y="4038600"/>
            <a:ext cx="933450" cy="1019175"/>
          </a:xfrm>
          <a:custGeom>
            <a:avLst/>
            <a:gdLst>
              <a:gd name="T0" fmla="*/ 176 w 391"/>
              <a:gd name="T1" fmla="*/ 0 h 429"/>
              <a:gd name="T2" fmla="*/ 177 w 391"/>
              <a:gd name="T3" fmla="*/ 14 h 429"/>
              <a:gd name="T4" fmla="*/ 182 w 391"/>
              <a:gd name="T5" fmla="*/ 26 h 429"/>
              <a:gd name="T6" fmla="*/ 191 w 391"/>
              <a:gd name="T7" fmla="*/ 35 h 429"/>
              <a:gd name="T8" fmla="*/ 201 w 391"/>
              <a:gd name="T9" fmla="*/ 41 h 429"/>
              <a:gd name="T10" fmla="*/ 213 w 391"/>
              <a:gd name="T11" fmla="*/ 47 h 429"/>
              <a:gd name="T12" fmla="*/ 226 w 391"/>
              <a:gd name="T13" fmla="*/ 52 h 429"/>
              <a:gd name="T14" fmla="*/ 237 w 391"/>
              <a:gd name="T15" fmla="*/ 58 h 429"/>
              <a:gd name="T16" fmla="*/ 286 w 391"/>
              <a:gd name="T17" fmla="*/ 105 h 429"/>
              <a:gd name="T18" fmla="*/ 333 w 391"/>
              <a:gd name="T19" fmla="*/ 155 h 429"/>
              <a:gd name="T20" fmla="*/ 377 w 391"/>
              <a:gd name="T21" fmla="*/ 206 h 429"/>
              <a:gd name="T22" fmla="*/ 386 w 391"/>
              <a:gd name="T23" fmla="*/ 219 h 429"/>
              <a:gd name="T24" fmla="*/ 389 w 391"/>
              <a:gd name="T25" fmla="*/ 232 h 429"/>
              <a:gd name="T26" fmla="*/ 391 w 391"/>
              <a:gd name="T27" fmla="*/ 247 h 429"/>
              <a:gd name="T28" fmla="*/ 389 w 391"/>
              <a:gd name="T29" fmla="*/ 263 h 429"/>
              <a:gd name="T30" fmla="*/ 388 w 391"/>
              <a:gd name="T31" fmla="*/ 278 h 429"/>
              <a:gd name="T32" fmla="*/ 389 w 391"/>
              <a:gd name="T33" fmla="*/ 292 h 429"/>
              <a:gd name="T34" fmla="*/ 380 w 391"/>
              <a:gd name="T35" fmla="*/ 316 h 429"/>
              <a:gd name="T36" fmla="*/ 375 w 391"/>
              <a:gd name="T37" fmla="*/ 342 h 429"/>
              <a:gd name="T38" fmla="*/ 375 w 391"/>
              <a:gd name="T39" fmla="*/ 366 h 429"/>
              <a:gd name="T40" fmla="*/ 382 w 391"/>
              <a:gd name="T41" fmla="*/ 392 h 429"/>
              <a:gd name="T42" fmla="*/ 371 w 391"/>
              <a:gd name="T43" fmla="*/ 385 h 429"/>
              <a:gd name="T44" fmla="*/ 361 w 391"/>
              <a:gd name="T45" fmla="*/ 385 h 429"/>
              <a:gd name="T46" fmla="*/ 355 w 391"/>
              <a:gd name="T47" fmla="*/ 389 h 429"/>
              <a:gd name="T48" fmla="*/ 350 w 391"/>
              <a:gd name="T49" fmla="*/ 396 h 429"/>
              <a:gd name="T50" fmla="*/ 347 w 391"/>
              <a:gd name="T51" fmla="*/ 406 h 429"/>
              <a:gd name="T52" fmla="*/ 347 w 391"/>
              <a:gd name="T53" fmla="*/ 416 h 429"/>
              <a:gd name="T54" fmla="*/ 350 w 391"/>
              <a:gd name="T55" fmla="*/ 426 h 429"/>
              <a:gd name="T56" fmla="*/ 302 w 391"/>
              <a:gd name="T57" fmla="*/ 423 h 429"/>
              <a:gd name="T58" fmla="*/ 254 w 391"/>
              <a:gd name="T59" fmla="*/ 424 h 429"/>
              <a:gd name="T60" fmla="*/ 206 w 391"/>
              <a:gd name="T61" fmla="*/ 426 h 429"/>
              <a:gd name="T62" fmla="*/ 158 w 391"/>
              <a:gd name="T63" fmla="*/ 429 h 429"/>
              <a:gd name="T64" fmla="*/ 110 w 391"/>
              <a:gd name="T65" fmla="*/ 429 h 429"/>
              <a:gd name="T66" fmla="*/ 100 w 391"/>
              <a:gd name="T67" fmla="*/ 423 h 429"/>
              <a:gd name="T68" fmla="*/ 95 w 391"/>
              <a:gd name="T69" fmla="*/ 414 h 429"/>
              <a:gd name="T70" fmla="*/ 94 w 391"/>
              <a:gd name="T71" fmla="*/ 403 h 429"/>
              <a:gd name="T72" fmla="*/ 94 w 391"/>
              <a:gd name="T73" fmla="*/ 392 h 429"/>
              <a:gd name="T74" fmla="*/ 94 w 391"/>
              <a:gd name="T75" fmla="*/ 380 h 429"/>
              <a:gd name="T76" fmla="*/ 92 w 391"/>
              <a:gd name="T77" fmla="*/ 369 h 429"/>
              <a:gd name="T78" fmla="*/ 90 w 391"/>
              <a:gd name="T79" fmla="*/ 357 h 429"/>
              <a:gd name="T80" fmla="*/ 82 w 391"/>
              <a:gd name="T81" fmla="*/ 348 h 429"/>
              <a:gd name="T82" fmla="*/ 75 w 391"/>
              <a:gd name="T83" fmla="*/ 338 h 429"/>
              <a:gd name="T84" fmla="*/ 72 w 391"/>
              <a:gd name="T85" fmla="*/ 327 h 429"/>
              <a:gd name="T86" fmla="*/ 73 w 391"/>
              <a:gd name="T87" fmla="*/ 316 h 429"/>
              <a:gd name="T88" fmla="*/ 78 w 391"/>
              <a:gd name="T89" fmla="*/ 305 h 429"/>
              <a:gd name="T90" fmla="*/ 89 w 391"/>
              <a:gd name="T91" fmla="*/ 297 h 429"/>
              <a:gd name="T92" fmla="*/ 68 w 391"/>
              <a:gd name="T93" fmla="*/ 227 h 429"/>
              <a:gd name="T94" fmla="*/ 45 w 391"/>
              <a:gd name="T95" fmla="*/ 158 h 429"/>
              <a:gd name="T96" fmla="*/ 22 w 391"/>
              <a:gd name="T97" fmla="*/ 88 h 429"/>
              <a:gd name="T98" fmla="*/ 0 w 391"/>
              <a:gd name="T99" fmla="*/ 18 h 429"/>
              <a:gd name="T100" fmla="*/ 176 w 391"/>
              <a:gd name="T101" fmla="*/ 0 h 4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</a:cxnLst>
            <a:rect l="0" t="0" r="r" b="b"/>
            <a:pathLst>
              <a:path w="391" h="429">
                <a:moveTo>
                  <a:pt x="176" y="0"/>
                </a:moveTo>
                <a:lnTo>
                  <a:pt x="177" y="14"/>
                </a:lnTo>
                <a:lnTo>
                  <a:pt x="182" y="26"/>
                </a:lnTo>
                <a:lnTo>
                  <a:pt x="191" y="35"/>
                </a:lnTo>
                <a:lnTo>
                  <a:pt x="201" y="41"/>
                </a:lnTo>
                <a:lnTo>
                  <a:pt x="213" y="47"/>
                </a:lnTo>
                <a:lnTo>
                  <a:pt x="226" y="52"/>
                </a:lnTo>
                <a:lnTo>
                  <a:pt x="237" y="58"/>
                </a:lnTo>
                <a:lnTo>
                  <a:pt x="286" y="105"/>
                </a:lnTo>
                <a:lnTo>
                  <a:pt x="333" y="155"/>
                </a:lnTo>
                <a:lnTo>
                  <a:pt x="377" y="206"/>
                </a:lnTo>
                <a:lnTo>
                  <a:pt x="386" y="219"/>
                </a:lnTo>
                <a:lnTo>
                  <a:pt x="389" y="232"/>
                </a:lnTo>
                <a:lnTo>
                  <a:pt x="391" y="247"/>
                </a:lnTo>
                <a:lnTo>
                  <a:pt x="389" y="263"/>
                </a:lnTo>
                <a:lnTo>
                  <a:pt x="388" y="278"/>
                </a:lnTo>
                <a:lnTo>
                  <a:pt x="389" y="292"/>
                </a:lnTo>
                <a:lnTo>
                  <a:pt x="380" y="316"/>
                </a:lnTo>
                <a:lnTo>
                  <a:pt x="375" y="342"/>
                </a:lnTo>
                <a:lnTo>
                  <a:pt x="375" y="366"/>
                </a:lnTo>
                <a:lnTo>
                  <a:pt x="382" y="392"/>
                </a:lnTo>
                <a:lnTo>
                  <a:pt x="371" y="385"/>
                </a:lnTo>
                <a:lnTo>
                  <a:pt x="361" y="385"/>
                </a:lnTo>
                <a:lnTo>
                  <a:pt x="355" y="389"/>
                </a:lnTo>
                <a:lnTo>
                  <a:pt x="350" y="396"/>
                </a:lnTo>
                <a:lnTo>
                  <a:pt x="347" y="406"/>
                </a:lnTo>
                <a:lnTo>
                  <a:pt x="347" y="416"/>
                </a:lnTo>
                <a:lnTo>
                  <a:pt x="350" y="426"/>
                </a:lnTo>
                <a:lnTo>
                  <a:pt x="302" y="423"/>
                </a:lnTo>
                <a:lnTo>
                  <a:pt x="254" y="424"/>
                </a:lnTo>
                <a:lnTo>
                  <a:pt x="206" y="426"/>
                </a:lnTo>
                <a:lnTo>
                  <a:pt x="158" y="429"/>
                </a:lnTo>
                <a:lnTo>
                  <a:pt x="110" y="429"/>
                </a:lnTo>
                <a:lnTo>
                  <a:pt x="100" y="423"/>
                </a:lnTo>
                <a:lnTo>
                  <a:pt x="95" y="414"/>
                </a:lnTo>
                <a:lnTo>
                  <a:pt x="94" y="403"/>
                </a:lnTo>
                <a:lnTo>
                  <a:pt x="94" y="392"/>
                </a:lnTo>
                <a:lnTo>
                  <a:pt x="94" y="380"/>
                </a:lnTo>
                <a:lnTo>
                  <a:pt x="92" y="369"/>
                </a:lnTo>
                <a:lnTo>
                  <a:pt x="90" y="357"/>
                </a:lnTo>
                <a:lnTo>
                  <a:pt x="82" y="348"/>
                </a:lnTo>
                <a:lnTo>
                  <a:pt x="75" y="338"/>
                </a:lnTo>
                <a:lnTo>
                  <a:pt x="72" y="327"/>
                </a:lnTo>
                <a:lnTo>
                  <a:pt x="73" y="316"/>
                </a:lnTo>
                <a:lnTo>
                  <a:pt x="78" y="305"/>
                </a:lnTo>
                <a:lnTo>
                  <a:pt x="89" y="297"/>
                </a:lnTo>
                <a:lnTo>
                  <a:pt x="68" y="227"/>
                </a:lnTo>
                <a:lnTo>
                  <a:pt x="45" y="158"/>
                </a:lnTo>
                <a:lnTo>
                  <a:pt x="22" y="88"/>
                </a:lnTo>
                <a:lnTo>
                  <a:pt x="0" y="18"/>
                </a:lnTo>
                <a:lnTo>
                  <a:pt x="176" y="0"/>
                </a:lnTo>
                <a:close/>
              </a:path>
            </a:pathLst>
          </a:custGeom>
          <a:solidFill>
            <a:srgbClr val="9DF09E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9" name="Tennessee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SpPr>
            <a:spLocks/>
          </xdr:cNvSpPr>
        </xdr:nvSpPr>
        <xdr:spPr bwMode="auto">
          <a:xfrm>
            <a:off x="6334125" y="3600450"/>
            <a:ext cx="1581150" cy="533400"/>
          </a:xfrm>
          <a:custGeom>
            <a:avLst/>
            <a:gdLst>
              <a:gd name="T0" fmla="*/ 663 w 663"/>
              <a:gd name="T1" fmla="*/ 0 h 223"/>
              <a:gd name="T2" fmla="*/ 657 w 663"/>
              <a:gd name="T3" fmla="*/ 13 h 223"/>
              <a:gd name="T4" fmla="*/ 648 w 663"/>
              <a:gd name="T5" fmla="*/ 24 h 223"/>
              <a:gd name="T6" fmla="*/ 638 w 663"/>
              <a:gd name="T7" fmla="*/ 33 h 223"/>
              <a:gd name="T8" fmla="*/ 561 w 663"/>
              <a:gd name="T9" fmla="*/ 85 h 223"/>
              <a:gd name="T10" fmla="*/ 488 w 663"/>
              <a:gd name="T11" fmla="*/ 140 h 223"/>
              <a:gd name="T12" fmla="*/ 478 w 663"/>
              <a:gd name="T13" fmla="*/ 150 h 223"/>
              <a:gd name="T14" fmla="*/ 470 w 663"/>
              <a:gd name="T15" fmla="*/ 161 h 223"/>
              <a:gd name="T16" fmla="*/ 463 w 663"/>
              <a:gd name="T17" fmla="*/ 174 h 223"/>
              <a:gd name="T18" fmla="*/ 0 w 663"/>
              <a:gd name="T19" fmla="*/ 223 h 223"/>
              <a:gd name="T20" fmla="*/ 19 w 663"/>
              <a:gd name="T21" fmla="*/ 179 h 223"/>
              <a:gd name="T22" fmla="*/ 33 w 663"/>
              <a:gd name="T23" fmla="*/ 133 h 223"/>
              <a:gd name="T24" fmla="*/ 45 w 663"/>
              <a:gd name="T25" fmla="*/ 87 h 223"/>
              <a:gd name="T26" fmla="*/ 165 w 663"/>
              <a:gd name="T27" fmla="*/ 68 h 223"/>
              <a:gd name="T28" fmla="*/ 165 w 663"/>
              <a:gd name="T29" fmla="*/ 48 h 223"/>
              <a:gd name="T30" fmla="*/ 330 w 663"/>
              <a:gd name="T31" fmla="*/ 33 h 223"/>
              <a:gd name="T32" fmla="*/ 497 w 663"/>
              <a:gd name="T33" fmla="*/ 15 h 223"/>
              <a:gd name="T34" fmla="*/ 663 w 663"/>
              <a:gd name="T35" fmla="*/ 0 h 2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663" h="223">
                <a:moveTo>
                  <a:pt x="663" y="0"/>
                </a:moveTo>
                <a:lnTo>
                  <a:pt x="657" y="13"/>
                </a:lnTo>
                <a:lnTo>
                  <a:pt x="648" y="24"/>
                </a:lnTo>
                <a:lnTo>
                  <a:pt x="638" y="33"/>
                </a:lnTo>
                <a:lnTo>
                  <a:pt x="561" y="85"/>
                </a:lnTo>
                <a:lnTo>
                  <a:pt x="488" y="140"/>
                </a:lnTo>
                <a:lnTo>
                  <a:pt x="478" y="150"/>
                </a:lnTo>
                <a:lnTo>
                  <a:pt x="470" y="161"/>
                </a:lnTo>
                <a:lnTo>
                  <a:pt x="463" y="174"/>
                </a:lnTo>
                <a:lnTo>
                  <a:pt x="0" y="223"/>
                </a:lnTo>
                <a:lnTo>
                  <a:pt x="19" y="179"/>
                </a:lnTo>
                <a:lnTo>
                  <a:pt x="33" y="133"/>
                </a:lnTo>
                <a:lnTo>
                  <a:pt x="45" y="87"/>
                </a:lnTo>
                <a:lnTo>
                  <a:pt x="165" y="68"/>
                </a:lnTo>
                <a:lnTo>
                  <a:pt x="165" y="48"/>
                </a:lnTo>
                <a:lnTo>
                  <a:pt x="330" y="33"/>
                </a:lnTo>
                <a:lnTo>
                  <a:pt x="497" y="15"/>
                </a:lnTo>
                <a:lnTo>
                  <a:pt x="663" y="0"/>
                </a:lnTo>
                <a:close/>
              </a:path>
            </a:pathLst>
          </a:custGeom>
          <a:solidFill>
            <a:srgbClr val="008375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80" name="Kentucky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SpPr>
            <a:spLocks/>
          </xdr:cNvSpPr>
        </xdr:nvSpPr>
        <xdr:spPr bwMode="auto">
          <a:xfrm>
            <a:off x="6448425" y="3067050"/>
            <a:ext cx="1343025" cy="695325"/>
          </a:xfrm>
          <a:custGeom>
            <a:avLst/>
            <a:gdLst>
              <a:gd name="T0" fmla="*/ 364 w 565"/>
              <a:gd name="T1" fmla="*/ 9 h 292"/>
              <a:gd name="T2" fmla="*/ 379 w 565"/>
              <a:gd name="T3" fmla="*/ 27 h 292"/>
              <a:gd name="T4" fmla="*/ 399 w 565"/>
              <a:gd name="T5" fmla="*/ 36 h 292"/>
              <a:gd name="T6" fmla="*/ 450 w 565"/>
              <a:gd name="T7" fmla="*/ 32 h 292"/>
              <a:gd name="T8" fmla="*/ 501 w 565"/>
              <a:gd name="T9" fmla="*/ 28 h 292"/>
              <a:gd name="T10" fmla="*/ 528 w 565"/>
              <a:gd name="T11" fmla="*/ 55 h 292"/>
              <a:gd name="T12" fmla="*/ 539 w 565"/>
              <a:gd name="T13" fmla="*/ 97 h 292"/>
              <a:gd name="T14" fmla="*/ 565 w 565"/>
              <a:gd name="T15" fmla="*/ 131 h 292"/>
              <a:gd name="T16" fmla="*/ 518 w 565"/>
              <a:gd name="T17" fmla="*/ 175 h 292"/>
              <a:gd name="T18" fmla="*/ 474 w 565"/>
              <a:gd name="T19" fmla="*/ 222 h 292"/>
              <a:gd name="T20" fmla="*/ 228 w 565"/>
              <a:gd name="T21" fmla="*/ 245 h 292"/>
              <a:gd name="T22" fmla="*/ 102 w 565"/>
              <a:gd name="T23" fmla="*/ 257 h 292"/>
              <a:gd name="T24" fmla="*/ 100 w 565"/>
              <a:gd name="T25" fmla="*/ 268 h 292"/>
              <a:gd name="T26" fmla="*/ 100 w 565"/>
              <a:gd name="T27" fmla="*/ 278 h 292"/>
              <a:gd name="T28" fmla="*/ 0 w 565"/>
              <a:gd name="T29" fmla="*/ 292 h 292"/>
              <a:gd name="T30" fmla="*/ 9 w 565"/>
              <a:gd name="T31" fmla="*/ 274 h 292"/>
              <a:gd name="T32" fmla="*/ 22 w 565"/>
              <a:gd name="T33" fmla="*/ 259 h 292"/>
              <a:gd name="T34" fmla="*/ 25 w 565"/>
              <a:gd name="T35" fmla="*/ 242 h 292"/>
              <a:gd name="T36" fmla="*/ 35 w 565"/>
              <a:gd name="T37" fmla="*/ 224 h 292"/>
              <a:gd name="T38" fmla="*/ 50 w 565"/>
              <a:gd name="T39" fmla="*/ 239 h 292"/>
              <a:gd name="T40" fmla="*/ 68 w 565"/>
              <a:gd name="T41" fmla="*/ 243 h 292"/>
              <a:gd name="T42" fmla="*/ 80 w 565"/>
              <a:gd name="T43" fmla="*/ 234 h 292"/>
              <a:gd name="T44" fmla="*/ 77 w 565"/>
              <a:gd name="T45" fmla="*/ 211 h 292"/>
              <a:gd name="T46" fmla="*/ 105 w 565"/>
              <a:gd name="T47" fmla="*/ 195 h 292"/>
              <a:gd name="T48" fmla="*/ 125 w 565"/>
              <a:gd name="T49" fmla="*/ 168 h 292"/>
              <a:gd name="T50" fmla="*/ 149 w 565"/>
              <a:gd name="T51" fmla="*/ 151 h 292"/>
              <a:gd name="T52" fmla="*/ 190 w 565"/>
              <a:gd name="T53" fmla="*/ 140 h 292"/>
              <a:gd name="T54" fmla="*/ 230 w 565"/>
              <a:gd name="T55" fmla="*/ 126 h 292"/>
              <a:gd name="T56" fmla="*/ 249 w 565"/>
              <a:gd name="T57" fmla="*/ 120 h 292"/>
              <a:gd name="T58" fmla="*/ 268 w 565"/>
              <a:gd name="T59" fmla="*/ 111 h 292"/>
              <a:gd name="T60" fmla="*/ 281 w 565"/>
              <a:gd name="T61" fmla="*/ 91 h 292"/>
              <a:gd name="T62" fmla="*/ 292 w 565"/>
              <a:gd name="T63" fmla="*/ 67 h 292"/>
              <a:gd name="T64" fmla="*/ 306 w 565"/>
              <a:gd name="T65" fmla="*/ 46 h 292"/>
              <a:gd name="T66" fmla="*/ 328 w 565"/>
              <a:gd name="T67" fmla="*/ 37 h 292"/>
              <a:gd name="T68" fmla="*/ 346 w 565"/>
              <a:gd name="T69" fmla="*/ 28 h 292"/>
              <a:gd name="T70" fmla="*/ 355 w 565"/>
              <a:gd name="T71" fmla="*/ 10 h 29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</a:cxnLst>
            <a:rect l="0" t="0" r="r" b="b"/>
            <a:pathLst>
              <a:path w="565" h="292">
                <a:moveTo>
                  <a:pt x="356" y="0"/>
                </a:moveTo>
                <a:lnTo>
                  <a:pt x="364" y="9"/>
                </a:lnTo>
                <a:lnTo>
                  <a:pt x="372" y="18"/>
                </a:lnTo>
                <a:lnTo>
                  <a:pt x="379" y="27"/>
                </a:lnTo>
                <a:lnTo>
                  <a:pt x="387" y="33"/>
                </a:lnTo>
                <a:lnTo>
                  <a:pt x="399" y="36"/>
                </a:lnTo>
                <a:lnTo>
                  <a:pt x="424" y="36"/>
                </a:lnTo>
                <a:lnTo>
                  <a:pt x="450" y="32"/>
                </a:lnTo>
                <a:lnTo>
                  <a:pt x="475" y="28"/>
                </a:lnTo>
                <a:lnTo>
                  <a:pt x="501" y="28"/>
                </a:lnTo>
                <a:lnTo>
                  <a:pt x="527" y="35"/>
                </a:lnTo>
                <a:lnTo>
                  <a:pt x="528" y="55"/>
                </a:lnTo>
                <a:lnTo>
                  <a:pt x="532" y="77"/>
                </a:lnTo>
                <a:lnTo>
                  <a:pt x="539" y="97"/>
                </a:lnTo>
                <a:lnTo>
                  <a:pt x="550" y="115"/>
                </a:lnTo>
                <a:lnTo>
                  <a:pt x="565" y="131"/>
                </a:lnTo>
                <a:lnTo>
                  <a:pt x="542" y="154"/>
                </a:lnTo>
                <a:lnTo>
                  <a:pt x="518" y="175"/>
                </a:lnTo>
                <a:lnTo>
                  <a:pt x="495" y="197"/>
                </a:lnTo>
                <a:lnTo>
                  <a:pt x="474" y="222"/>
                </a:lnTo>
                <a:lnTo>
                  <a:pt x="351" y="234"/>
                </a:lnTo>
                <a:lnTo>
                  <a:pt x="228" y="245"/>
                </a:lnTo>
                <a:lnTo>
                  <a:pt x="107" y="256"/>
                </a:lnTo>
                <a:lnTo>
                  <a:pt x="102" y="257"/>
                </a:lnTo>
                <a:lnTo>
                  <a:pt x="100" y="263"/>
                </a:lnTo>
                <a:lnTo>
                  <a:pt x="100" y="268"/>
                </a:lnTo>
                <a:lnTo>
                  <a:pt x="100" y="273"/>
                </a:lnTo>
                <a:lnTo>
                  <a:pt x="100" y="278"/>
                </a:lnTo>
                <a:lnTo>
                  <a:pt x="50" y="286"/>
                </a:lnTo>
                <a:lnTo>
                  <a:pt x="0" y="292"/>
                </a:lnTo>
                <a:lnTo>
                  <a:pt x="4" y="283"/>
                </a:lnTo>
                <a:lnTo>
                  <a:pt x="9" y="274"/>
                </a:lnTo>
                <a:lnTo>
                  <a:pt x="16" y="266"/>
                </a:lnTo>
                <a:lnTo>
                  <a:pt x="22" y="259"/>
                </a:lnTo>
                <a:lnTo>
                  <a:pt x="26" y="251"/>
                </a:lnTo>
                <a:lnTo>
                  <a:pt x="25" y="242"/>
                </a:lnTo>
                <a:lnTo>
                  <a:pt x="18" y="233"/>
                </a:lnTo>
                <a:lnTo>
                  <a:pt x="35" y="224"/>
                </a:lnTo>
                <a:lnTo>
                  <a:pt x="43" y="234"/>
                </a:lnTo>
                <a:lnTo>
                  <a:pt x="50" y="239"/>
                </a:lnTo>
                <a:lnTo>
                  <a:pt x="61" y="243"/>
                </a:lnTo>
                <a:lnTo>
                  <a:pt x="68" y="243"/>
                </a:lnTo>
                <a:lnTo>
                  <a:pt x="76" y="239"/>
                </a:lnTo>
                <a:lnTo>
                  <a:pt x="80" y="234"/>
                </a:lnTo>
                <a:lnTo>
                  <a:pt x="81" y="224"/>
                </a:lnTo>
                <a:lnTo>
                  <a:pt x="77" y="211"/>
                </a:lnTo>
                <a:lnTo>
                  <a:pt x="93" y="204"/>
                </a:lnTo>
                <a:lnTo>
                  <a:pt x="105" y="195"/>
                </a:lnTo>
                <a:lnTo>
                  <a:pt x="117" y="182"/>
                </a:lnTo>
                <a:lnTo>
                  <a:pt x="125" y="168"/>
                </a:lnTo>
                <a:lnTo>
                  <a:pt x="127" y="151"/>
                </a:lnTo>
                <a:lnTo>
                  <a:pt x="149" y="151"/>
                </a:lnTo>
                <a:lnTo>
                  <a:pt x="169" y="147"/>
                </a:lnTo>
                <a:lnTo>
                  <a:pt x="190" y="140"/>
                </a:lnTo>
                <a:lnTo>
                  <a:pt x="209" y="132"/>
                </a:lnTo>
                <a:lnTo>
                  <a:pt x="230" y="126"/>
                </a:lnTo>
                <a:lnTo>
                  <a:pt x="235" y="118"/>
                </a:lnTo>
                <a:lnTo>
                  <a:pt x="249" y="120"/>
                </a:lnTo>
                <a:lnTo>
                  <a:pt x="259" y="118"/>
                </a:lnTo>
                <a:lnTo>
                  <a:pt x="268" y="111"/>
                </a:lnTo>
                <a:lnTo>
                  <a:pt x="276" y="102"/>
                </a:lnTo>
                <a:lnTo>
                  <a:pt x="281" y="91"/>
                </a:lnTo>
                <a:lnTo>
                  <a:pt x="287" y="78"/>
                </a:lnTo>
                <a:lnTo>
                  <a:pt x="292" y="67"/>
                </a:lnTo>
                <a:lnTo>
                  <a:pt x="299" y="55"/>
                </a:lnTo>
                <a:lnTo>
                  <a:pt x="306" y="46"/>
                </a:lnTo>
                <a:lnTo>
                  <a:pt x="315" y="40"/>
                </a:lnTo>
                <a:lnTo>
                  <a:pt x="328" y="37"/>
                </a:lnTo>
                <a:lnTo>
                  <a:pt x="338" y="35"/>
                </a:lnTo>
                <a:lnTo>
                  <a:pt x="346" y="28"/>
                </a:lnTo>
                <a:lnTo>
                  <a:pt x="351" y="20"/>
                </a:lnTo>
                <a:lnTo>
                  <a:pt x="355" y="10"/>
                </a:lnTo>
                <a:lnTo>
                  <a:pt x="356" y="0"/>
                </a:lnTo>
                <a:close/>
              </a:path>
            </a:pathLst>
          </a:custGeom>
          <a:solidFill>
            <a:srgbClr val="00575D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81" name="Alabama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SpPr>
            <a:spLocks/>
          </xdr:cNvSpPr>
        </xdr:nvSpPr>
        <xdr:spPr bwMode="auto">
          <a:xfrm>
            <a:off x="6753225" y="4086225"/>
            <a:ext cx="676275" cy="1095375"/>
          </a:xfrm>
          <a:custGeom>
            <a:avLst/>
            <a:gdLst>
              <a:gd name="T0" fmla="*/ 187 w 283"/>
              <a:gd name="T1" fmla="*/ 0 h 462"/>
              <a:gd name="T2" fmla="*/ 231 w 283"/>
              <a:gd name="T3" fmla="*/ 135 h 462"/>
              <a:gd name="T4" fmla="*/ 274 w 283"/>
              <a:gd name="T5" fmla="*/ 269 h 462"/>
              <a:gd name="T6" fmla="*/ 263 w 283"/>
              <a:gd name="T7" fmla="*/ 284 h 462"/>
              <a:gd name="T8" fmla="*/ 260 w 283"/>
              <a:gd name="T9" fmla="*/ 298 h 462"/>
              <a:gd name="T10" fmla="*/ 262 w 283"/>
              <a:gd name="T11" fmla="*/ 312 h 462"/>
              <a:gd name="T12" fmla="*/ 267 w 283"/>
              <a:gd name="T13" fmla="*/ 327 h 462"/>
              <a:gd name="T14" fmla="*/ 274 w 283"/>
              <a:gd name="T15" fmla="*/ 342 h 462"/>
              <a:gd name="T16" fmla="*/ 281 w 283"/>
              <a:gd name="T17" fmla="*/ 358 h 462"/>
              <a:gd name="T18" fmla="*/ 283 w 283"/>
              <a:gd name="T19" fmla="*/ 373 h 462"/>
              <a:gd name="T20" fmla="*/ 282 w 283"/>
              <a:gd name="T21" fmla="*/ 389 h 462"/>
              <a:gd name="T22" fmla="*/ 50 w 283"/>
              <a:gd name="T23" fmla="*/ 410 h 462"/>
              <a:gd name="T24" fmla="*/ 64 w 283"/>
              <a:gd name="T25" fmla="*/ 437 h 462"/>
              <a:gd name="T26" fmla="*/ 81 w 283"/>
              <a:gd name="T27" fmla="*/ 462 h 462"/>
              <a:gd name="T28" fmla="*/ 70 w 283"/>
              <a:gd name="T29" fmla="*/ 460 h 462"/>
              <a:gd name="T30" fmla="*/ 61 w 283"/>
              <a:gd name="T31" fmla="*/ 456 h 462"/>
              <a:gd name="T32" fmla="*/ 50 w 283"/>
              <a:gd name="T33" fmla="*/ 451 h 462"/>
              <a:gd name="T34" fmla="*/ 41 w 283"/>
              <a:gd name="T35" fmla="*/ 445 h 462"/>
              <a:gd name="T36" fmla="*/ 32 w 283"/>
              <a:gd name="T37" fmla="*/ 440 h 462"/>
              <a:gd name="T38" fmla="*/ 22 w 283"/>
              <a:gd name="T39" fmla="*/ 437 h 462"/>
              <a:gd name="T40" fmla="*/ 12 w 283"/>
              <a:gd name="T41" fmla="*/ 438 h 462"/>
              <a:gd name="T42" fmla="*/ 0 w 283"/>
              <a:gd name="T43" fmla="*/ 444 h 462"/>
              <a:gd name="T44" fmla="*/ 2 w 283"/>
              <a:gd name="T45" fmla="*/ 21 h 462"/>
              <a:gd name="T46" fmla="*/ 187 w 283"/>
              <a:gd name="T47" fmla="*/ 0 h 46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283" h="462">
                <a:moveTo>
                  <a:pt x="187" y="0"/>
                </a:moveTo>
                <a:lnTo>
                  <a:pt x="231" y="135"/>
                </a:lnTo>
                <a:lnTo>
                  <a:pt x="274" y="269"/>
                </a:lnTo>
                <a:lnTo>
                  <a:pt x="263" y="284"/>
                </a:lnTo>
                <a:lnTo>
                  <a:pt x="260" y="298"/>
                </a:lnTo>
                <a:lnTo>
                  <a:pt x="262" y="312"/>
                </a:lnTo>
                <a:lnTo>
                  <a:pt x="267" y="327"/>
                </a:lnTo>
                <a:lnTo>
                  <a:pt x="274" y="342"/>
                </a:lnTo>
                <a:lnTo>
                  <a:pt x="281" y="358"/>
                </a:lnTo>
                <a:lnTo>
                  <a:pt x="283" y="373"/>
                </a:lnTo>
                <a:lnTo>
                  <a:pt x="282" y="389"/>
                </a:lnTo>
                <a:lnTo>
                  <a:pt x="50" y="410"/>
                </a:lnTo>
                <a:lnTo>
                  <a:pt x="64" y="437"/>
                </a:lnTo>
                <a:lnTo>
                  <a:pt x="81" y="462"/>
                </a:lnTo>
                <a:lnTo>
                  <a:pt x="70" y="460"/>
                </a:lnTo>
                <a:lnTo>
                  <a:pt x="61" y="456"/>
                </a:lnTo>
                <a:lnTo>
                  <a:pt x="50" y="451"/>
                </a:lnTo>
                <a:lnTo>
                  <a:pt x="41" y="445"/>
                </a:lnTo>
                <a:lnTo>
                  <a:pt x="32" y="440"/>
                </a:lnTo>
                <a:lnTo>
                  <a:pt x="22" y="437"/>
                </a:lnTo>
                <a:lnTo>
                  <a:pt x="12" y="438"/>
                </a:lnTo>
                <a:lnTo>
                  <a:pt x="0" y="444"/>
                </a:lnTo>
                <a:lnTo>
                  <a:pt x="2" y="21"/>
                </a:lnTo>
                <a:lnTo>
                  <a:pt x="187" y="0"/>
                </a:lnTo>
                <a:close/>
              </a:path>
            </a:pathLst>
          </a:custGeom>
          <a:solidFill>
            <a:srgbClr val="008375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82" name="Indiana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SpPr>
            <a:spLocks/>
          </xdr:cNvSpPr>
        </xdr:nvSpPr>
        <xdr:spPr bwMode="auto">
          <a:xfrm>
            <a:off x="6705600" y="2419350"/>
            <a:ext cx="542925" cy="981075"/>
          </a:xfrm>
          <a:custGeom>
            <a:avLst/>
            <a:gdLst>
              <a:gd name="T0" fmla="*/ 199 w 230"/>
              <a:gd name="T1" fmla="*/ 0 h 412"/>
              <a:gd name="T2" fmla="*/ 215 w 230"/>
              <a:gd name="T3" fmla="*/ 141 h 412"/>
              <a:gd name="T4" fmla="*/ 230 w 230"/>
              <a:gd name="T5" fmla="*/ 282 h 412"/>
              <a:gd name="T6" fmla="*/ 226 w 230"/>
              <a:gd name="T7" fmla="*/ 289 h 412"/>
              <a:gd name="T8" fmla="*/ 221 w 230"/>
              <a:gd name="T9" fmla="*/ 293 h 412"/>
              <a:gd name="T10" fmla="*/ 213 w 230"/>
              <a:gd name="T11" fmla="*/ 296 h 412"/>
              <a:gd name="T12" fmla="*/ 205 w 230"/>
              <a:gd name="T13" fmla="*/ 296 h 412"/>
              <a:gd name="T14" fmla="*/ 196 w 230"/>
              <a:gd name="T15" fmla="*/ 298 h 412"/>
              <a:gd name="T16" fmla="*/ 190 w 230"/>
              <a:gd name="T17" fmla="*/ 303 h 412"/>
              <a:gd name="T18" fmla="*/ 178 w 230"/>
              <a:gd name="T19" fmla="*/ 321 h 412"/>
              <a:gd name="T20" fmla="*/ 167 w 230"/>
              <a:gd name="T21" fmla="*/ 341 h 412"/>
              <a:gd name="T22" fmla="*/ 156 w 230"/>
              <a:gd name="T23" fmla="*/ 361 h 412"/>
              <a:gd name="T24" fmla="*/ 143 w 230"/>
              <a:gd name="T25" fmla="*/ 379 h 412"/>
              <a:gd name="T26" fmla="*/ 133 w 230"/>
              <a:gd name="T27" fmla="*/ 371 h 412"/>
              <a:gd name="T28" fmla="*/ 120 w 230"/>
              <a:gd name="T29" fmla="*/ 366 h 412"/>
              <a:gd name="T30" fmla="*/ 115 w 230"/>
              <a:gd name="T31" fmla="*/ 383 h 412"/>
              <a:gd name="T32" fmla="*/ 80 w 230"/>
              <a:gd name="T33" fmla="*/ 396 h 412"/>
              <a:gd name="T34" fmla="*/ 46 w 230"/>
              <a:gd name="T35" fmla="*/ 406 h 412"/>
              <a:gd name="T36" fmla="*/ 10 w 230"/>
              <a:gd name="T37" fmla="*/ 412 h 412"/>
              <a:gd name="T38" fmla="*/ 2 w 230"/>
              <a:gd name="T39" fmla="*/ 403 h 412"/>
              <a:gd name="T40" fmla="*/ 0 w 230"/>
              <a:gd name="T41" fmla="*/ 393 h 412"/>
              <a:gd name="T42" fmla="*/ 2 w 230"/>
              <a:gd name="T43" fmla="*/ 383 h 412"/>
              <a:gd name="T44" fmla="*/ 6 w 230"/>
              <a:gd name="T45" fmla="*/ 373 h 412"/>
              <a:gd name="T46" fmla="*/ 13 w 230"/>
              <a:gd name="T47" fmla="*/ 361 h 412"/>
              <a:gd name="T48" fmla="*/ 19 w 230"/>
              <a:gd name="T49" fmla="*/ 350 h 412"/>
              <a:gd name="T50" fmla="*/ 24 w 230"/>
              <a:gd name="T51" fmla="*/ 338 h 412"/>
              <a:gd name="T52" fmla="*/ 27 w 230"/>
              <a:gd name="T53" fmla="*/ 328 h 412"/>
              <a:gd name="T54" fmla="*/ 19 w 230"/>
              <a:gd name="T55" fmla="*/ 228 h 412"/>
              <a:gd name="T56" fmla="*/ 10 w 230"/>
              <a:gd name="T57" fmla="*/ 128 h 412"/>
              <a:gd name="T58" fmla="*/ 1 w 230"/>
              <a:gd name="T59" fmla="*/ 28 h 412"/>
              <a:gd name="T60" fmla="*/ 15 w 230"/>
              <a:gd name="T61" fmla="*/ 31 h 412"/>
              <a:gd name="T62" fmla="*/ 29 w 230"/>
              <a:gd name="T63" fmla="*/ 31 h 412"/>
              <a:gd name="T64" fmla="*/ 42 w 230"/>
              <a:gd name="T65" fmla="*/ 27 h 412"/>
              <a:gd name="T66" fmla="*/ 52 w 230"/>
              <a:gd name="T67" fmla="*/ 20 h 412"/>
              <a:gd name="T68" fmla="*/ 61 w 230"/>
              <a:gd name="T69" fmla="*/ 9 h 412"/>
              <a:gd name="T70" fmla="*/ 130 w 230"/>
              <a:gd name="T71" fmla="*/ 4 h 412"/>
              <a:gd name="T72" fmla="*/ 199 w 230"/>
              <a:gd name="T73" fmla="*/ 0 h 4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</a:cxnLst>
            <a:rect l="0" t="0" r="r" b="b"/>
            <a:pathLst>
              <a:path w="230" h="412">
                <a:moveTo>
                  <a:pt x="199" y="0"/>
                </a:moveTo>
                <a:lnTo>
                  <a:pt x="215" y="141"/>
                </a:lnTo>
                <a:lnTo>
                  <a:pt x="230" y="282"/>
                </a:lnTo>
                <a:lnTo>
                  <a:pt x="226" y="289"/>
                </a:lnTo>
                <a:lnTo>
                  <a:pt x="221" y="293"/>
                </a:lnTo>
                <a:lnTo>
                  <a:pt x="213" y="296"/>
                </a:lnTo>
                <a:lnTo>
                  <a:pt x="205" y="296"/>
                </a:lnTo>
                <a:lnTo>
                  <a:pt x="196" y="298"/>
                </a:lnTo>
                <a:lnTo>
                  <a:pt x="190" y="303"/>
                </a:lnTo>
                <a:lnTo>
                  <a:pt x="178" y="321"/>
                </a:lnTo>
                <a:lnTo>
                  <a:pt x="167" y="341"/>
                </a:lnTo>
                <a:lnTo>
                  <a:pt x="156" y="361"/>
                </a:lnTo>
                <a:lnTo>
                  <a:pt x="143" y="379"/>
                </a:lnTo>
                <a:lnTo>
                  <a:pt x="133" y="371"/>
                </a:lnTo>
                <a:lnTo>
                  <a:pt x="120" y="366"/>
                </a:lnTo>
                <a:lnTo>
                  <a:pt x="115" y="383"/>
                </a:lnTo>
                <a:lnTo>
                  <a:pt x="80" y="396"/>
                </a:lnTo>
                <a:lnTo>
                  <a:pt x="46" y="406"/>
                </a:lnTo>
                <a:lnTo>
                  <a:pt x="10" y="412"/>
                </a:lnTo>
                <a:lnTo>
                  <a:pt x="2" y="403"/>
                </a:lnTo>
                <a:lnTo>
                  <a:pt x="0" y="393"/>
                </a:lnTo>
                <a:lnTo>
                  <a:pt x="2" y="383"/>
                </a:lnTo>
                <a:lnTo>
                  <a:pt x="6" y="373"/>
                </a:lnTo>
                <a:lnTo>
                  <a:pt x="13" y="361"/>
                </a:lnTo>
                <a:lnTo>
                  <a:pt x="19" y="350"/>
                </a:lnTo>
                <a:lnTo>
                  <a:pt x="24" y="338"/>
                </a:lnTo>
                <a:lnTo>
                  <a:pt x="27" y="328"/>
                </a:lnTo>
                <a:lnTo>
                  <a:pt x="19" y="228"/>
                </a:lnTo>
                <a:lnTo>
                  <a:pt x="10" y="128"/>
                </a:lnTo>
                <a:lnTo>
                  <a:pt x="1" y="28"/>
                </a:lnTo>
                <a:lnTo>
                  <a:pt x="15" y="31"/>
                </a:lnTo>
                <a:lnTo>
                  <a:pt x="29" y="31"/>
                </a:lnTo>
                <a:lnTo>
                  <a:pt x="42" y="27"/>
                </a:lnTo>
                <a:lnTo>
                  <a:pt x="52" y="20"/>
                </a:lnTo>
                <a:lnTo>
                  <a:pt x="61" y="9"/>
                </a:lnTo>
                <a:lnTo>
                  <a:pt x="130" y="4"/>
                </a:lnTo>
                <a:lnTo>
                  <a:pt x="199" y="0"/>
                </a:lnTo>
                <a:close/>
              </a:path>
            </a:pathLst>
          </a:custGeom>
          <a:solidFill>
            <a:srgbClr val="9DF09E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83" name="Mississippi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SpPr>
            <a:spLocks/>
          </xdr:cNvSpPr>
        </xdr:nvSpPr>
        <xdr:spPr bwMode="auto">
          <a:xfrm>
            <a:off x="6105525" y="4133850"/>
            <a:ext cx="609600" cy="1104900"/>
          </a:xfrm>
          <a:custGeom>
            <a:avLst/>
            <a:gdLst>
              <a:gd name="T0" fmla="*/ 256 w 256"/>
              <a:gd name="T1" fmla="*/ 0 h 461"/>
              <a:gd name="T2" fmla="*/ 256 w 256"/>
              <a:gd name="T3" fmla="*/ 144 h 461"/>
              <a:gd name="T4" fmla="*/ 255 w 256"/>
              <a:gd name="T5" fmla="*/ 286 h 461"/>
              <a:gd name="T6" fmla="*/ 256 w 256"/>
              <a:gd name="T7" fmla="*/ 428 h 461"/>
              <a:gd name="T8" fmla="*/ 228 w 256"/>
              <a:gd name="T9" fmla="*/ 443 h 461"/>
              <a:gd name="T10" fmla="*/ 197 w 256"/>
              <a:gd name="T11" fmla="*/ 455 h 461"/>
              <a:gd name="T12" fmla="*/ 165 w 256"/>
              <a:gd name="T13" fmla="*/ 461 h 461"/>
              <a:gd name="T14" fmla="*/ 159 w 256"/>
              <a:gd name="T15" fmla="*/ 446 h 461"/>
              <a:gd name="T16" fmla="*/ 158 w 256"/>
              <a:gd name="T17" fmla="*/ 431 h 461"/>
              <a:gd name="T18" fmla="*/ 164 w 256"/>
              <a:gd name="T19" fmla="*/ 415 h 461"/>
              <a:gd name="T20" fmla="*/ 174 w 256"/>
              <a:gd name="T21" fmla="*/ 402 h 461"/>
              <a:gd name="T22" fmla="*/ 0 w 256"/>
              <a:gd name="T23" fmla="*/ 408 h 461"/>
              <a:gd name="T24" fmla="*/ 3 w 256"/>
              <a:gd name="T25" fmla="*/ 386 h 461"/>
              <a:gd name="T26" fmla="*/ 8 w 256"/>
              <a:gd name="T27" fmla="*/ 367 h 461"/>
              <a:gd name="T28" fmla="*/ 17 w 256"/>
              <a:gd name="T29" fmla="*/ 346 h 461"/>
              <a:gd name="T30" fmla="*/ 26 w 256"/>
              <a:gd name="T31" fmla="*/ 327 h 461"/>
              <a:gd name="T32" fmla="*/ 35 w 256"/>
              <a:gd name="T33" fmla="*/ 308 h 461"/>
              <a:gd name="T34" fmla="*/ 41 w 256"/>
              <a:gd name="T35" fmla="*/ 287 h 461"/>
              <a:gd name="T36" fmla="*/ 44 w 256"/>
              <a:gd name="T37" fmla="*/ 267 h 461"/>
              <a:gd name="T38" fmla="*/ 41 w 256"/>
              <a:gd name="T39" fmla="*/ 245 h 461"/>
              <a:gd name="T40" fmla="*/ 40 w 256"/>
              <a:gd name="T41" fmla="*/ 232 h 461"/>
              <a:gd name="T42" fmla="*/ 36 w 256"/>
              <a:gd name="T43" fmla="*/ 221 h 461"/>
              <a:gd name="T44" fmla="*/ 30 w 256"/>
              <a:gd name="T45" fmla="*/ 210 h 461"/>
              <a:gd name="T46" fmla="*/ 22 w 256"/>
              <a:gd name="T47" fmla="*/ 200 h 461"/>
              <a:gd name="T48" fmla="*/ 17 w 256"/>
              <a:gd name="T49" fmla="*/ 190 h 461"/>
              <a:gd name="T50" fmla="*/ 15 w 256"/>
              <a:gd name="T51" fmla="*/ 178 h 461"/>
              <a:gd name="T52" fmla="*/ 18 w 256"/>
              <a:gd name="T53" fmla="*/ 167 h 461"/>
              <a:gd name="T54" fmla="*/ 39 w 256"/>
              <a:gd name="T55" fmla="*/ 116 h 461"/>
              <a:gd name="T56" fmla="*/ 63 w 256"/>
              <a:gd name="T57" fmla="*/ 67 h 461"/>
              <a:gd name="T58" fmla="*/ 87 w 256"/>
              <a:gd name="T59" fmla="*/ 19 h 461"/>
              <a:gd name="T60" fmla="*/ 172 w 256"/>
              <a:gd name="T61" fmla="*/ 9 h 461"/>
              <a:gd name="T62" fmla="*/ 256 w 256"/>
              <a:gd name="T63" fmla="*/ 0 h 46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</a:cxnLst>
            <a:rect l="0" t="0" r="r" b="b"/>
            <a:pathLst>
              <a:path w="256" h="461">
                <a:moveTo>
                  <a:pt x="256" y="0"/>
                </a:moveTo>
                <a:lnTo>
                  <a:pt x="256" y="144"/>
                </a:lnTo>
                <a:lnTo>
                  <a:pt x="255" y="286"/>
                </a:lnTo>
                <a:lnTo>
                  <a:pt x="256" y="428"/>
                </a:lnTo>
                <a:lnTo>
                  <a:pt x="228" y="443"/>
                </a:lnTo>
                <a:lnTo>
                  <a:pt x="197" y="455"/>
                </a:lnTo>
                <a:lnTo>
                  <a:pt x="165" y="461"/>
                </a:lnTo>
                <a:lnTo>
                  <a:pt x="159" y="446"/>
                </a:lnTo>
                <a:lnTo>
                  <a:pt x="158" y="431"/>
                </a:lnTo>
                <a:lnTo>
                  <a:pt x="164" y="415"/>
                </a:lnTo>
                <a:lnTo>
                  <a:pt x="174" y="402"/>
                </a:lnTo>
                <a:lnTo>
                  <a:pt x="0" y="408"/>
                </a:lnTo>
                <a:lnTo>
                  <a:pt x="3" y="386"/>
                </a:lnTo>
                <a:lnTo>
                  <a:pt x="8" y="367"/>
                </a:lnTo>
                <a:lnTo>
                  <a:pt x="17" y="346"/>
                </a:lnTo>
                <a:lnTo>
                  <a:pt x="26" y="327"/>
                </a:lnTo>
                <a:lnTo>
                  <a:pt x="35" y="308"/>
                </a:lnTo>
                <a:lnTo>
                  <a:pt x="41" y="287"/>
                </a:lnTo>
                <a:lnTo>
                  <a:pt x="44" y="267"/>
                </a:lnTo>
                <a:lnTo>
                  <a:pt x="41" y="245"/>
                </a:lnTo>
                <a:lnTo>
                  <a:pt x="40" y="232"/>
                </a:lnTo>
                <a:lnTo>
                  <a:pt x="36" y="221"/>
                </a:lnTo>
                <a:lnTo>
                  <a:pt x="30" y="210"/>
                </a:lnTo>
                <a:lnTo>
                  <a:pt x="22" y="200"/>
                </a:lnTo>
                <a:lnTo>
                  <a:pt x="17" y="190"/>
                </a:lnTo>
                <a:lnTo>
                  <a:pt x="15" y="178"/>
                </a:lnTo>
                <a:lnTo>
                  <a:pt x="18" y="167"/>
                </a:lnTo>
                <a:lnTo>
                  <a:pt x="39" y="116"/>
                </a:lnTo>
                <a:lnTo>
                  <a:pt x="63" y="67"/>
                </a:lnTo>
                <a:lnTo>
                  <a:pt x="87" y="19"/>
                </a:lnTo>
                <a:lnTo>
                  <a:pt x="172" y="9"/>
                </a:lnTo>
                <a:lnTo>
                  <a:pt x="256" y="0"/>
                </a:lnTo>
                <a:close/>
              </a:path>
            </a:pathLst>
          </a:custGeom>
          <a:solidFill>
            <a:srgbClr val="FFFFFF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84" name="Illinois">
            <a:extLst>
              <a:ext uri="{FF2B5EF4-FFF2-40B4-BE49-F238E27FC236}">
                <a16:creationId xmlns:a16="http://schemas.microsoft.com/office/drawing/2014/main" id="{00000000-0008-0000-0000-000054000000}"/>
              </a:ext>
            </a:extLst>
          </xdr:cNvPr>
          <xdr:cNvSpPr>
            <a:spLocks/>
          </xdr:cNvSpPr>
        </xdr:nvSpPr>
        <xdr:spPr bwMode="auto">
          <a:xfrm>
            <a:off x="6019800" y="2305050"/>
            <a:ext cx="704850" cy="1295400"/>
          </a:xfrm>
          <a:custGeom>
            <a:avLst/>
            <a:gdLst>
              <a:gd name="T0" fmla="*/ 233 w 297"/>
              <a:gd name="T1" fmla="*/ 16 h 543"/>
              <a:gd name="T2" fmla="*/ 246 w 297"/>
              <a:gd name="T3" fmla="*/ 46 h 543"/>
              <a:gd name="T4" fmla="*/ 271 w 297"/>
              <a:gd name="T5" fmla="*/ 66 h 543"/>
              <a:gd name="T6" fmla="*/ 297 w 297"/>
              <a:gd name="T7" fmla="*/ 366 h 543"/>
              <a:gd name="T8" fmla="*/ 284 w 297"/>
              <a:gd name="T9" fmla="*/ 399 h 543"/>
              <a:gd name="T10" fmla="*/ 271 w 297"/>
              <a:gd name="T11" fmla="*/ 433 h 543"/>
              <a:gd name="T12" fmla="*/ 271 w 297"/>
              <a:gd name="T13" fmla="*/ 457 h 543"/>
              <a:gd name="T14" fmla="*/ 282 w 297"/>
              <a:gd name="T15" fmla="*/ 469 h 543"/>
              <a:gd name="T16" fmla="*/ 289 w 297"/>
              <a:gd name="T17" fmla="*/ 479 h 543"/>
              <a:gd name="T18" fmla="*/ 282 w 297"/>
              <a:gd name="T19" fmla="*/ 495 h 543"/>
              <a:gd name="T20" fmla="*/ 266 w 297"/>
              <a:gd name="T21" fmla="*/ 507 h 543"/>
              <a:gd name="T22" fmla="*/ 248 w 297"/>
              <a:gd name="T23" fmla="*/ 513 h 543"/>
              <a:gd name="T24" fmla="*/ 237 w 297"/>
              <a:gd name="T25" fmla="*/ 524 h 543"/>
              <a:gd name="T26" fmla="*/ 241 w 297"/>
              <a:gd name="T27" fmla="*/ 543 h 543"/>
              <a:gd name="T28" fmla="*/ 210 w 297"/>
              <a:gd name="T29" fmla="*/ 527 h 543"/>
              <a:gd name="T30" fmla="*/ 197 w 297"/>
              <a:gd name="T31" fmla="*/ 535 h 543"/>
              <a:gd name="T32" fmla="*/ 184 w 297"/>
              <a:gd name="T33" fmla="*/ 536 h 543"/>
              <a:gd name="T34" fmla="*/ 173 w 297"/>
              <a:gd name="T35" fmla="*/ 515 h 543"/>
              <a:gd name="T36" fmla="*/ 157 w 297"/>
              <a:gd name="T37" fmla="*/ 481 h 543"/>
              <a:gd name="T38" fmla="*/ 134 w 297"/>
              <a:gd name="T39" fmla="*/ 454 h 543"/>
              <a:gd name="T40" fmla="*/ 109 w 297"/>
              <a:gd name="T41" fmla="*/ 439 h 543"/>
              <a:gd name="T42" fmla="*/ 104 w 297"/>
              <a:gd name="T43" fmla="*/ 420 h 543"/>
              <a:gd name="T44" fmla="*/ 110 w 297"/>
              <a:gd name="T45" fmla="*/ 398 h 543"/>
              <a:gd name="T46" fmla="*/ 119 w 297"/>
              <a:gd name="T47" fmla="*/ 378 h 543"/>
              <a:gd name="T48" fmla="*/ 100 w 297"/>
              <a:gd name="T49" fmla="*/ 365 h 543"/>
              <a:gd name="T50" fmla="*/ 82 w 297"/>
              <a:gd name="T51" fmla="*/ 355 h 543"/>
              <a:gd name="T52" fmla="*/ 70 w 297"/>
              <a:gd name="T53" fmla="*/ 335 h 543"/>
              <a:gd name="T54" fmla="*/ 56 w 297"/>
              <a:gd name="T55" fmla="*/ 315 h 543"/>
              <a:gd name="T56" fmla="*/ 36 w 297"/>
              <a:gd name="T57" fmla="*/ 302 h 543"/>
              <a:gd name="T58" fmla="*/ 17 w 297"/>
              <a:gd name="T59" fmla="*/ 287 h 543"/>
              <a:gd name="T60" fmla="*/ 5 w 297"/>
              <a:gd name="T61" fmla="*/ 259 h 543"/>
              <a:gd name="T62" fmla="*/ 0 w 297"/>
              <a:gd name="T63" fmla="*/ 224 h 543"/>
              <a:gd name="T64" fmla="*/ 12 w 297"/>
              <a:gd name="T65" fmla="*/ 191 h 543"/>
              <a:gd name="T66" fmla="*/ 28 w 297"/>
              <a:gd name="T67" fmla="*/ 151 h 543"/>
              <a:gd name="T68" fmla="*/ 42 w 297"/>
              <a:gd name="T69" fmla="*/ 119 h 543"/>
              <a:gd name="T70" fmla="*/ 69 w 297"/>
              <a:gd name="T71" fmla="*/ 92 h 543"/>
              <a:gd name="T72" fmla="*/ 82 w 297"/>
              <a:gd name="T73" fmla="*/ 59 h 543"/>
              <a:gd name="T74" fmla="*/ 76 w 297"/>
              <a:gd name="T75" fmla="*/ 24 h 543"/>
              <a:gd name="T76" fmla="*/ 229 w 297"/>
              <a:gd name="T77" fmla="*/ 0 h 5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</a:cxnLst>
            <a:rect l="0" t="0" r="r" b="b"/>
            <a:pathLst>
              <a:path w="297" h="543">
                <a:moveTo>
                  <a:pt x="229" y="0"/>
                </a:moveTo>
                <a:lnTo>
                  <a:pt x="233" y="16"/>
                </a:lnTo>
                <a:lnTo>
                  <a:pt x="239" y="32"/>
                </a:lnTo>
                <a:lnTo>
                  <a:pt x="246" y="46"/>
                </a:lnTo>
                <a:lnTo>
                  <a:pt x="256" y="57"/>
                </a:lnTo>
                <a:lnTo>
                  <a:pt x="271" y="66"/>
                </a:lnTo>
                <a:lnTo>
                  <a:pt x="283" y="216"/>
                </a:lnTo>
                <a:lnTo>
                  <a:pt x="297" y="366"/>
                </a:lnTo>
                <a:lnTo>
                  <a:pt x="292" y="383"/>
                </a:lnTo>
                <a:lnTo>
                  <a:pt x="284" y="399"/>
                </a:lnTo>
                <a:lnTo>
                  <a:pt x="276" y="416"/>
                </a:lnTo>
                <a:lnTo>
                  <a:pt x="271" y="433"/>
                </a:lnTo>
                <a:lnTo>
                  <a:pt x="269" y="451"/>
                </a:lnTo>
                <a:lnTo>
                  <a:pt x="271" y="457"/>
                </a:lnTo>
                <a:lnTo>
                  <a:pt x="276" y="463"/>
                </a:lnTo>
                <a:lnTo>
                  <a:pt x="282" y="469"/>
                </a:lnTo>
                <a:lnTo>
                  <a:pt x="287" y="472"/>
                </a:lnTo>
                <a:lnTo>
                  <a:pt x="289" y="479"/>
                </a:lnTo>
                <a:lnTo>
                  <a:pt x="287" y="486"/>
                </a:lnTo>
                <a:lnTo>
                  <a:pt x="282" y="495"/>
                </a:lnTo>
                <a:lnTo>
                  <a:pt x="275" y="502"/>
                </a:lnTo>
                <a:lnTo>
                  <a:pt x="266" y="507"/>
                </a:lnTo>
                <a:lnTo>
                  <a:pt x="256" y="510"/>
                </a:lnTo>
                <a:lnTo>
                  <a:pt x="248" y="513"/>
                </a:lnTo>
                <a:lnTo>
                  <a:pt x="241" y="519"/>
                </a:lnTo>
                <a:lnTo>
                  <a:pt x="237" y="524"/>
                </a:lnTo>
                <a:lnTo>
                  <a:pt x="236" y="533"/>
                </a:lnTo>
                <a:lnTo>
                  <a:pt x="241" y="543"/>
                </a:lnTo>
                <a:lnTo>
                  <a:pt x="216" y="524"/>
                </a:lnTo>
                <a:lnTo>
                  <a:pt x="210" y="527"/>
                </a:lnTo>
                <a:lnTo>
                  <a:pt x="204" y="531"/>
                </a:lnTo>
                <a:lnTo>
                  <a:pt x="197" y="535"/>
                </a:lnTo>
                <a:lnTo>
                  <a:pt x="191" y="538"/>
                </a:lnTo>
                <a:lnTo>
                  <a:pt x="184" y="536"/>
                </a:lnTo>
                <a:lnTo>
                  <a:pt x="180" y="531"/>
                </a:lnTo>
                <a:lnTo>
                  <a:pt x="173" y="515"/>
                </a:lnTo>
                <a:lnTo>
                  <a:pt x="165" y="498"/>
                </a:lnTo>
                <a:lnTo>
                  <a:pt x="157" y="481"/>
                </a:lnTo>
                <a:lnTo>
                  <a:pt x="147" y="467"/>
                </a:lnTo>
                <a:lnTo>
                  <a:pt x="134" y="454"/>
                </a:lnTo>
                <a:lnTo>
                  <a:pt x="119" y="446"/>
                </a:lnTo>
                <a:lnTo>
                  <a:pt x="109" y="439"/>
                </a:lnTo>
                <a:lnTo>
                  <a:pt x="104" y="430"/>
                </a:lnTo>
                <a:lnTo>
                  <a:pt x="104" y="420"/>
                </a:lnTo>
                <a:lnTo>
                  <a:pt x="106" y="408"/>
                </a:lnTo>
                <a:lnTo>
                  <a:pt x="110" y="398"/>
                </a:lnTo>
                <a:lnTo>
                  <a:pt x="114" y="387"/>
                </a:lnTo>
                <a:lnTo>
                  <a:pt x="119" y="378"/>
                </a:lnTo>
                <a:lnTo>
                  <a:pt x="110" y="370"/>
                </a:lnTo>
                <a:lnTo>
                  <a:pt x="100" y="365"/>
                </a:lnTo>
                <a:lnTo>
                  <a:pt x="91" y="360"/>
                </a:lnTo>
                <a:lnTo>
                  <a:pt x="82" y="355"/>
                </a:lnTo>
                <a:lnTo>
                  <a:pt x="76" y="346"/>
                </a:lnTo>
                <a:lnTo>
                  <a:pt x="70" y="335"/>
                </a:lnTo>
                <a:lnTo>
                  <a:pt x="65" y="324"/>
                </a:lnTo>
                <a:lnTo>
                  <a:pt x="56" y="315"/>
                </a:lnTo>
                <a:lnTo>
                  <a:pt x="46" y="308"/>
                </a:lnTo>
                <a:lnTo>
                  <a:pt x="36" y="302"/>
                </a:lnTo>
                <a:lnTo>
                  <a:pt x="26" y="296"/>
                </a:lnTo>
                <a:lnTo>
                  <a:pt x="17" y="287"/>
                </a:lnTo>
                <a:lnTo>
                  <a:pt x="10" y="275"/>
                </a:lnTo>
                <a:lnTo>
                  <a:pt x="5" y="259"/>
                </a:lnTo>
                <a:lnTo>
                  <a:pt x="0" y="241"/>
                </a:lnTo>
                <a:lnTo>
                  <a:pt x="0" y="224"/>
                </a:lnTo>
                <a:lnTo>
                  <a:pt x="3" y="206"/>
                </a:lnTo>
                <a:lnTo>
                  <a:pt x="12" y="191"/>
                </a:lnTo>
                <a:lnTo>
                  <a:pt x="23" y="171"/>
                </a:lnTo>
                <a:lnTo>
                  <a:pt x="28" y="151"/>
                </a:lnTo>
                <a:lnTo>
                  <a:pt x="27" y="128"/>
                </a:lnTo>
                <a:lnTo>
                  <a:pt x="42" y="119"/>
                </a:lnTo>
                <a:lnTo>
                  <a:pt x="56" y="106"/>
                </a:lnTo>
                <a:lnTo>
                  <a:pt x="69" y="92"/>
                </a:lnTo>
                <a:lnTo>
                  <a:pt x="77" y="75"/>
                </a:lnTo>
                <a:lnTo>
                  <a:pt x="82" y="59"/>
                </a:lnTo>
                <a:lnTo>
                  <a:pt x="82" y="41"/>
                </a:lnTo>
                <a:lnTo>
                  <a:pt x="76" y="24"/>
                </a:lnTo>
                <a:lnTo>
                  <a:pt x="64" y="9"/>
                </a:lnTo>
                <a:lnTo>
                  <a:pt x="229" y="0"/>
                </a:lnTo>
                <a:close/>
              </a:path>
            </a:pathLst>
          </a:custGeom>
          <a:solidFill>
            <a:srgbClr val="008375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85" name="Wisconsin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SpPr>
            <a:spLocks/>
          </xdr:cNvSpPr>
        </xdr:nvSpPr>
        <xdr:spPr bwMode="auto">
          <a:xfrm>
            <a:off x="5743575" y="1295400"/>
            <a:ext cx="866775" cy="990600"/>
          </a:xfrm>
          <a:custGeom>
            <a:avLst/>
            <a:gdLst>
              <a:gd name="T0" fmla="*/ 77 w 362"/>
              <a:gd name="T1" fmla="*/ 0 h 415"/>
              <a:gd name="T2" fmla="*/ 88 w 362"/>
              <a:gd name="T3" fmla="*/ 0 h 415"/>
              <a:gd name="T4" fmla="*/ 98 w 362"/>
              <a:gd name="T5" fmla="*/ 5 h 415"/>
              <a:gd name="T6" fmla="*/ 107 w 362"/>
              <a:gd name="T7" fmla="*/ 14 h 415"/>
              <a:gd name="T8" fmla="*/ 164 w 362"/>
              <a:gd name="T9" fmla="*/ 27 h 415"/>
              <a:gd name="T10" fmla="*/ 221 w 362"/>
              <a:gd name="T11" fmla="*/ 42 h 415"/>
              <a:gd name="T12" fmla="*/ 278 w 362"/>
              <a:gd name="T13" fmla="*/ 59 h 415"/>
              <a:gd name="T14" fmla="*/ 334 w 362"/>
              <a:gd name="T15" fmla="*/ 73 h 415"/>
              <a:gd name="T16" fmla="*/ 344 w 362"/>
              <a:gd name="T17" fmla="*/ 86 h 415"/>
              <a:gd name="T18" fmla="*/ 345 w 362"/>
              <a:gd name="T19" fmla="*/ 99 h 415"/>
              <a:gd name="T20" fmla="*/ 343 w 362"/>
              <a:gd name="T21" fmla="*/ 111 h 415"/>
              <a:gd name="T22" fmla="*/ 338 w 362"/>
              <a:gd name="T23" fmla="*/ 125 h 415"/>
              <a:gd name="T24" fmla="*/ 331 w 362"/>
              <a:gd name="T25" fmla="*/ 139 h 415"/>
              <a:gd name="T26" fmla="*/ 327 w 362"/>
              <a:gd name="T27" fmla="*/ 154 h 415"/>
              <a:gd name="T28" fmla="*/ 326 w 362"/>
              <a:gd name="T29" fmla="*/ 168 h 415"/>
              <a:gd name="T30" fmla="*/ 330 w 362"/>
              <a:gd name="T31" fmla="*/ 182 h 415"/>
              <a:gd name="T32" fmla="*/ 333 w 362"/>
              <a:gd name="T33" fmla="*/ 189 h 415"/>
              <a:gd name="T34" fmla="*/ 338 w 362"/>
              <a:gd name="T35" fmla="*/ 195 h 415"/>
              <a:gd name="T36" fmla="*/ 345 w 362"/>
              <a:gd name="T37" fmla="*/ 198 h 415"/>
              <a:gd name="T38" fmla="*/ 352 w 362"/>
              <a:gd name="T39" fmla="*/ 202 h 415"/>
              <a:gd name="T40" fmla="*/ 358 w 362"/>
              <a:gd name="T41" fmla="*/ 206 h 415"/>
              <a:gd name="T42" fmla="*/ 362 w 362"/>
              <a:gd name="T43" fmla="*/ 212 h 415"/>
              <a:gd name="T44" fmla="*/ 348 w 362"/>
              <a:gd name="T45" fmla="*/ 237 h 415"/>
              <a:gd name="T46" fmla="*/ 340 w 362"/>
              <a:gd name="T47" fmla="*/ 264 h 415"/>
              <a:gd name="T48" fmla="*/ 336 w 362"/>
              <a:gd name="T49" fmla="*/ 292 h 415"/>
              <a:gd name="T50" fmla="*/ 335 w 362"/>
              <a:gd name="T51" fmla="*/ 321 h 415"/>
              <a:gd name="T52" fmla="*/ 336 w 362"/>
              <a:gd name="T53" fmla="*/ 350 h 415"/>
              <a:gd name="T54" fmla="*/ 339 w 362"/>
              <a:gd name="T55" fmla="*/ 379 h 415"/>
              <a:gd name="T56" fmla="*/ 340 w 362"/>
              <a:gd name="T57" fmla="*/ 407 h 415"/>
              <a:gd name="T58" fmla="*/ 252 w 362"/>
              <a:gd name="T59" fmla="*/ 412 h 415"/>
              <a:gd name="T60" fmla="*/ 165 w 362"/>
              <a:gd name="T61" fmla="*/ 415 h 415"/>
              <a:gd name="T62" fmla="*/ 151 w 362"/>
              <a:gd name="T63" fmla="*/ 401 h 415"/>
              <a:gd name="T64" fmla="*/ 138 w 362"/>
              <a:gd name="T65" fmla="*/ 387 h 415"/>
              <a:gd name="T66" fmla="*/ 127 w 362"/>
              <a:gd name="T67" fmla="*/ 371 h 415"/>
              <a:gd name="T68" fmla="*/ 127 w 362"/>
              <a:gd name="T69" fmla="*/ 343 h 415"/>
              <a:gd name="T70" fmla="*/ 120 w 362"/>
              <a:gd name="T71" fmla="*/ 319 h 415"/>
              <a:gd name="T72" fmla="*/ 109 w 362"/>
              <a:gd name="T73" fmla="*/ 294 h 415"/>
              <a:gd name="T74" fmla="*/ 93 w 362"/>
              <a:gd name="T75" fmla="*/ 273 h 415"/>
              <a:gd name="T76" fmla="*/ 74 w 362"/>
              <a:gd name="T77" fmla="*/ 252 h 415"/>
              <a:gd name="T78" fmla="*/ 54 w 362"/>
              <a:gd name="T79" fmla="*/ 234 h 415"/>
              <a:gd name="T80" fmla="*/ 33 w 362"/>
              <a:gd name="T81" fmla="*/ 219 h 415"/>
              <a:gd name="T82" fmla="*/ 19 w 362"/>
              <a:gd name="T83" fmla="*/ 206 h 415"/>
              <a:gd name="T84" fmla="*/ 9 w 362"/>
              <a:gd name="T85" fmla="*/ 189 h 415"/>
              <a:gd name="T86" fmla="*/ 4 w 362"/>
              <a:gd name="T87" fmla="*/ 172 h 415"/>
              <a:gd name="T88" fmla="*/ 4 w 362"/>
              <a:gd name="T89" fmla="*/ 152 h 415"/>
              <a:gd name="T90" fmla="*/ 7 w 362"/>
              <a:gd name="T91" fmla="*/ 134 h 415"/>
              <a:gd name="T92" fmla="*/ 0 w 362"/>
              <a:gd name="T93" fmla="*/ 120 h 415"/>
              <a:gd name="T94" fmla="*/ 0 w 362"/>
              <a:gd name="T95" fmla="*/ 106 h 415"/>
              <a:gd name="T96" fmla="*/ 5 w 362"/>
              <a:gd name="T97" fmla="*/ 93 h 415"/>
              <a:gd name="T98" fmla="*/ 15 w 362"/>
              <a:gd name="T99" fmla="*/ 82 h 415"/>
              <a:gd name="T100" fmla="*/ 28 w 362"/>
              <a:gd name="T101" fmla="*/ 74 h 415"/>
              <a:gd name="T102" fmla="*/ 29 w 362"/>
              <a:gd name="T103" fmla="*/ 6 h 415"/>
              <a:gd name="T104" fmla="*/ 41 w 362"/>
              <a:gd name="T105" fmla="*/ 6 h 415"/>
              <a:gd name="T106" fmla="*/ 54 w 362"/>
              <a:gd name="T107" fmla="*/ 4 h 415"/>
              <a:gd name="T108" fmla="*/ 65 w 362"/>
              <a:gd name="T109" fmla="*/ 1 h 415"/>
              <a:gd name="T110" fmla="*/ 77 w 362"/>
              <a:gd name="T111" fmla="*/ 0 h 4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</a:cxnLst>
            <a:rect l="0" t="0" r="r" b="b"/>
            <a:pathLst>
              <a:path w="362" h="415">
                <a:moveTo>
                  <a:pt x="77" y="0"/>
                </a:moveTo>
                <a:lnTo>
                  <a:pt x="88" y="0"/>
                </a:lnTo>
                <a:lnTo>
                  <a:pt x="98" y="5"/>
                </a:lnTo>
                <a:lnTo>
                  <a:pt x="107" y="14"/>
                </a:lnTo>
                <a:lnTo>
                  <a:pt x="164" y="27"/>
                </a:lnTo>
                <a:lnTo>
                  <a:pt x="221" y="42"/>
                </a:lnTo>
                <a:lnTo>
                  <a:pt x="278" y="59"/>
                </a:lnTo>
                <a:lnTo>
                  <a:pt x="334" y="73"/>
                </a:lnTo>
                <a:lnTo>
                  <a:pt x="344" y="86"/>
                </a:lnTo>
                <a:lnTo>
                  <a:pt x="345" y="99"/>
                </a:lnTo>
                <a:lnTo>
                  <a:pt x="343" y="111"/>
                </a:lnTo>
                <a:lnTo>
                  <a:pt x="338" y="125"/>
                </a:lnTo>
                <a:lnTo>
                  <a:pt x="331" y="139"/>
                </a:lnTo>
                <a:lnTo>
                  <a:pt x="327" y="154"/>
                </a:lnTo>
                <a:lnTo>
                  <a:pt x="326" y="168"/>
                </a:lnTo>
                <a:lnTo>
                  <a:pt x="330" y="182"/>
                </a:lnTo>
                <a:lnTo>
                  <a:pt x="333" y="189"/>
                </a:lnTo>
                <a:lnTo>
                  <a:pt x="338" y="195"/>
                </a:lnTo>
                <a:lnTo>
                  <a:pt x="345" y="198"/>
                </a:lnTo>
                <a:lnTo>
                  <a:pt x="352" y="202"/>
                </a:lnTo>
                <a:lnTo>
                  <a:pt x="358" y="206"/>
                </a:lnTo>
                <a:lnTo>
                  <a:pt x="362" y="212"/>
                </a:lnTo>
                <a:lnTo>
                  <a:pt x="348" y="237"/>
                </a:lnTo>
                <a:lnTo>
                  <a:pt x="340" y="264"/>
                </a:lnTo>
                <a:lnTo>
                  <a:pt x="336" y="292"/>
                </a:lnTo>
                <a:lnTo>
                  <a:pt x="335" y="321"/>
                </a:lnTo>
                <a:lnTo>
                  <a:pt x="336" y="350"/>
                </a:lnTo>
                <a:lnTo>
                  <a:pt x="339" y="379"/>
                </a:lnTo>
                <a:lnTo>
                  <a:pt x="340" y="407"/>
                </a:lnTo>
                <a:lnTo>
                  <a:pt x="252" y="412"/>
                </a:lnTo>
                <a:lnTo>
                  <a:pt x="165" y="415"/>
                </a:lnTo>
                <a:lnTo>
                  <a:pt x="151" y="401"/>
                </a:lnTo>
                <a:lnTo>
                  <a:pt x="138" y="387"/>
                </a:lnTo>
                <a:lnTo>
                  <a:pt x="127" y="371"/>
                </a:lnTo>
                <a:lnTo>
                  <a:pt x="127" y="343"/>
                </a:lnTo>
                <a:lnTo>
                  <a:pt x="120" y="319"/>
                </a:lnTo>
                <a:lnTo>
                  <a:pt x="109" y="294"/>
                </a:lnTo>
                <a:lnTo>
                  <a:pt x="93" y="273"/>
                </a:lnTo>
                <a:lnTo>
                  <a:pt x="74" y="252"/>
                </a:lnTo>
                <a:lnTo>
                  <a:pt x="54" y="234"/>
                </a:lnTo>
                <a:lnTo>
                  <a:pt x="33" y="219"/>
                </a:lnTo>
                <a:lnTo>
                  <a:pt x="19" y="206"/>
                </a:lnTo>
                <a:lnTo>
                  <a:pt x="9" y="189"/>
                </a:lnTo>
                <a:lnTo>
                  <a:pt x="4" y="172"/>
                </a:lnTo>
                <a:lnTo>
                  <a:pt x="4" y="152"/>
                </a:lnTo>
                <a:lnTo>
                  <a:pt x="7" y="134"/>
                </a:lnTo>
                <a:lnTo>
                  <a:pt x="0" y="120"/>
                </a:lnTo>
                <a:lnTo>
                  <a:pt x="0" y="106"/>
                </a:lnTo>
                <a:lnTo>
                  <a:pt x="5" y="93"/>
                </a:lnTo>
                <a:lnTo>
                  <a:pt x="15" y="82"/>
                </a:lnTo>
                <a:lnTo>
                  <a:pt x="28" y="74"/>
                </a:lnTo>
                <a:lnTo>
                  <a:pt x="29" y="6"/>
                </a:lnTo>
                <a:lnTo>
                  <a:pt x="41" y="6"/>
                </a:lnTo>
                <a:lnTo>
                  <a:pt x="54" y="4"/>
                </a:lnTo>
                <a:lnTo>
                  <a:pt x="65" y="1"/>
                </a:lnTo>
                <a:lnTo>
                  <a:pt x="77" y="0"/>
                </a:lnTo>
                <a:close/>
              </a:path>
            </a:pathLst>
          </a:custGeom>
          <a:solidFill>
            <a:srgbClr val="008375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86" name="Louisiana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SpPr>
            <a:spLocks/>
          </xdr:cNvSpPr>
        </xdr:nvSpPr>
        <xdr:spPr bwMode="auto">
          <a:xfrm>
            <a:off x="5581650" y="4648200"/>
            <a:ext cx="876300" cy="838200"/>
          </a:xfrm>
          <a:custGeom>
            <a:avLst/>
            <a:gdLst>
              <a:gd name="T0" fmla="*/ 244 w 368"/>
              <a:gd name="T1" fmla="*/ 23 h 352"/>
              <a:gd name="T2" fmla="*/ 244 w 368"/>
              <a:gd name="T3" fmla="*/ 68 h 352"/>
              <a:gd name="T4" fmla="*/ 228 w 368"/>
              <a:gd name="T5" fmla="*/ 112 h 352"/>
              <a:gd name="T6" fmla="*/ 210 w 368"/>
              <a:gd name="T7" fmla="*/ 156 h 352"/>
              <a:gd name="T8" fmla="*/ 204 w 368"/>
              <a:gd name="T9" fmla="*/ 173 h 352"/>
              <a:gd name="T10" fmla="*/ 203 w 368"/>
              <a:gd name="T11" fmla="*/ 192 h 352"/>
              <a:gd name="T12" fmla="*/ 210 w 368"/>
              <a:gd name="T13" fmla="*/ 205 h 352"/>
              <a:gd name="T14" fmla="*/ 362 w 368"/>
              <a:gd name="T15" fmla="*/ 203 h 352"/>
              <a:gd name="T16" fmla="*/ 368 w 368"/>
              <a:gd name="T17" fmla="*/ 247 h 352"/>
              <a:gd name="T18" fmla="*/ 341 w 368"/>
              <a:gd name="T19" fmla="*/ 248 h 352"/>
              <a:gd name="T20" fmla="*/ 317 w 368"/>
              <a:gd name="T21" fmla="*/ 256 h 352"/>
              <a:gd name="T22" fmla="*/ 303 w 368"/>
              <a:gd name="T23" fmla="*/ 276 h 352"/>
              <a:gd name="T24" fmla="*/ 308 w 368"/>
              <a:gd name="T25" fmla="*/ 296 h 352"/>
              <a:gd name="T26" fmla="*/ 325 w 368"/>
              <a:gd name="T27" fmla="*/ 306 h 352"/>
              <a:gd name="T28" fmla="*/ 343 w 368"/>
              <a:gd name="T29" fmla="*/ 313 h 352"/>
              <a:gd name="T30" fmla="*/ 341 w 368"/>
              <a:gd name="T31" fmla="*/ 321 h 352"/>
              <a:gd name="T32" fmla="*/ 324 w 368"/>
              <a:gd name="T33" fmla="*/ 331 h 352"/>
              <a:gd name="T34" fmla="*/ 317 w 368"/>
              <a:gd name="T35" fmla="*/ 352 h 352"/>
              <a:gd name="T36" fmla="*/ 263 w 368"/>
              <a:gd name="T37" fmla="*/ 352 h 352"/>
              <a:gd name="T38" fmla="*/ 230 w 368"/>
              <a:gd name="T39" fmla="*/ 339 h 352"/>
              <a:gd name="T40" fmla="*/ 221 w 368"/>
              <a:gd name="T41" fmla="*/ 321 h 352"/>
              <a:gd name="T42" fmla="*/ 207 w 368"/>
              <a:gd name="T43" fmla="*/ 308 h 352"/>
              <a:gd name="T44" fmla="*/ 179 w 368"/>
              <a:gd name="T45" fmla="*/ 308 h 352"/>
              <a:gd name="T46" fmla="*/ 153 w 368"/>
              <a:gd name="T47" fmla="*/ 319 h 352"/>
              <a:gd name="T48" fmla="*/ 107 w 368"/>
              <a:gd name="T49" fmla="*/ 320 h 352"/>
              <a:gd name="T50" fmla="*/ 43 w 368"/>
              <a:gd name="T51" fmla="*/ 308 h 352"/>
              <a:gd name="T52" fmla="*/ 34 w 368"/>
              <a:gd name="T53" fmla="*/ 281 h 352"/>
              <a:gd name="T54" fmla="*/ 41 w 368"/>
              <a:gd name="T55" fmla="*/ 242 h 352"/>
              <a:gd name="T56" fmla="*/ 37 w 368"/>
              <a:gd name="T57" fmla="*/ 187 h 352"/>
              <a:gd name="T58" fmla="*/ 19 w 368"/>
              <a:gd name="T59" fmla="*/ 134 h 352"/>
              <a:gd name="T60" fmla="*/ 2 w 368"/>
              <a:gd name="T61" fmla="*/ 89 h 352"/>
              <a:gd name="T62" fmla="*/ 0 w 368"/>
              <a:gd name="T63" fmla="*/ 50 h 352"/>
              <a:gd name="T64" fmla="*/ 1 w 368"/>
              <a:gd name="T65" fmla="*/ 10 h 352"/>
              <a:gd name="T66" fmla="*/ 157 w 368"/>
              <a:gd name="T67" fmla="*/ 4 h 35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</a:cxnLst>
            <a:rect l="0" t="0" r="r" b="b"/>
            <a:pathLst>
              <a:path w="368" h="352">
                <a:moveTo>
                  <a:pt x="234" y="0"/>
                </a:moveTo>
                <a:lnTo>
                  <a:pt x="244" y="23"/>
                </a:lnTo>
                <a:lnTo>
                  <a:pt x="248" y="46"/>
                </a:lnTo>
                <a:lnTo>
                  <a:pt x="244" y="68"/>
                </a:lnTo>
                <a:lnTo>
                  <a:pt x="238" y="91"/>
                </a:lnTo>
                <a:lnTo>
                  <a:pt x="228" y="112"/>
                </a:lnTo>
                <a:lnTo>
                  <a:pt x="217" y="134"/>
                </a:lnTo>
                <a:lnTo>
                  <a:pt x="210" y="156"/>
                </a:lnTo>
                <a:lnTo>
                  <a:pt x="207" y="164"/>
                </a:lnTo>
                <a:lnTo>
                  <a:pt x="204" y="173"/>
                </a:lnTo>
                <a:lnTo>
                  <a:pt x="203" y="183"/>
                </a:lnTo>
                <a:lnTo>
                  <a:pt x="203" y="192"/>
                </a:lnTo>
                <a:lnTo>
                  <a:pt x="204" y="199"/>
                </a:lnTo>
                <a:lnTo>
                  <a:pt x="210" y="205"/>
                </a:lnTo>
                <a:lnTo>
                  <a:pt x="219" y="208"/>
                </a:lnTo>
                <a:lnTo>
                  <a:pt x="362" y="203"/>
                </a:lnTo>
                <a:lnTo>
                  <a:pt x="362" y="225"/>
                </a:lnTo>
                <a:lnTo>
                  <a:pt x="368" y="247"/>
                </a:lnTo>
                <a:lnTo>
                  <a:pt x="356" y="247"/>
                </a:lnTo>
                <a:lnTo>
                  <a:pt x="341" y="248"/>
                </a:lnTo>
                <a:lnTo>
                  <a:pt x="329" y="251"/>
                </a:lnTo>
                <a:lnTo>
                  <a:pt x="317" y="256"/>
                </a:lnTo>
                <a:lnTo>
                  <a:pt x="308" y="265"/>
                </a:lnTo>
                <a:lnTo>
                  <a:pt x="303" y="276"/>
                </a:lnTo>
                <a:lnTo>
                  <a:pt x="304" y="287"/>
                </a:lnTo>
                <a:lnTo>
                  <a:pt x="308" y="296"/>
                </a:lnTo>
                <a:lnTo>
                  <a:pt x="316" y="301"/>
                </a:lnTo>
                <a:lnTo>
                  <a:pt x="325" y="306"/>
                </a:lnTo>
                <a:lnTo>
                  <a:pt x="334" y="310"/>
                </a:lnTo>
                <a:lnTo>
                  <a:pt x="343" y="313"/>
                </a:lnTo>
                <a:lnTo>
                  <a:pt x="352" y="319"/>
                </a:lnTo>
                <a:lnTo>
                  <a:pt x="341" y="321"/>
                </a:lnTo>
                <a:lnTo>
                  <a:pt x="331" y="325"/>
                </a:lnTo>
                <a:lnTo>
                  <a:pt x="324" y="331"/>
                </a:lnTo>
                <a:lnTo>
                  <a:pt x="318" y="340"/>
                </a:lnTo>
                <a:lnTo>
                  <a:pt x="317" y="352"/>
                </a:lnTo>
                <a:lnTo>
                  <a:pt x="290" y="352"/>
                </a:lnTo>
                <a:lnTo>
                  <a:pt x="263" y="352"/>
                </a:lnTo>
                <a:lnTo>
                  <a:pt x="236" y="345"/>
                </a:lnTo>
                <a:lnTo>
                  <a:pt x="230" y="339"/>
                </a:lnTo>
                <a:lnTo>
                  <a:pt x="225" y="330"/>
                </a:lnTo>
                <a:lnTo>
                  <a:pt x="221" y="321"/>
                </a:lnTo>
                <a:lnTo>
                  <a:pt x="215" y="313"/>
                </a:lnTo>
                <a:lnTo>
                  <a:pt x="207" y="308"/>
                </a:lnTo>
                <a:lnTo>
                  <a:pt x="193" y="306"/>
                </a:lnTo>
                <a:lnTo>
                  <a:pt x="179" y="308"/>
                </a:lnTo>
                <a:lnTo>
                  <a:pt x="166" y="313"/>
                </a:lnTo>
                <a:lnTo>
                  <a:pt x="153" y="319"/>
                </a:lnTo>
                <a:lnTo>
                  <a:pt x="139" y="321"/>
                </a:lnTo>
                <a:lnTo>
                  <a:pt x="107" y="320"/>
                </a:lnTo>
                <a:lnTo>
                  <a:pt x="74" y="316"/>
                </a:lnTo>
                <a:lnTo>
                  <a:pt x="43" y="308"/>
                </a:lnTo>
                <a:lnTo>
                  <a:pt x="38" y="296"/>
                </a:lnTo>
                <a:lnTo>
                  <a:pt x="34" y="281"/>
                </a:lnTo>
                <a:lnTo>
                  <a:pt x="34" y="269"/>
                </a:lnTo>
                <a:lnTo>
                  <a:pt x="41" y="242"/>
                </a:lnTo>
                <a:lnTo>
                  <a:pt x="41" y="214"/>
                </a:lnTo>
                <a:lnTo>
                  <a:pt x="37" y="187"/>
                </a:lnTo>
                <a:lnTo>
                  <a:pt x="29" y="160"/>
                </a:lnTo>
                <a:lnTo>
                  <a:pt x="19" y="134"/>
                </a:lnTo>
                <a:lnTo>
                  <a:pt x="9" y="109"/>
                </a:lnTo>
                <a:lnTo>
                  <a:pt x="2" y="89"/>
                </a:lnTo>
                <a:lnTo>
                  <a:pt x="0" y="70"/>
                </a:lnTo>
                <a:lnTo>
                  <a:pt x="0" y="50"/>
                </a:lnTo>
                <a:lnTo>
                  <a:pt x="1" y="30"/>
                </a:lnTo>
                <a:lnTo>
                  <a:pt x="1" y="10"/>
                </a:lnTo>
                <a:lnTo>
                  <a:pt x="79" y="6"/>
                </a:lnTo>
                <a:lnTo>
                  <a:pt x="157" y="4"/>
                </a:lnTo>
                <a:lnTo>
                  <a:pt x="234" y="0"/>
                </a:lnTo>
                <a:close/>
              </a:path>
            </a:pathLst>
          </a:custGeom>
          <a:solidFill>
            <a:srgbClr val="28BC8C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87" name="Missouri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SpPr>
            <a:spLocks/>
          </xdr:cNvSpPr>
        </xdr:nvSpPr>
        <xdr:spPr bwMode="auto">
          <a:xfrm>
            <a:off x="5248275" y="2819400"/>
            <a:ext cx="1219200" cy="1047750"/>
          </a:xfrm>
          <a:custGeom>
            <a:avLst/>
            <a:gdLst>
              <a:gd name="T0" fmla="*/ 305 w 511"/>
              <a:gd name="T1" fmla="*/ 0 h 440"/>
              <a:gd name="T2" fmla="*/ 306 w 511"/>
              <a:gd name="T3" fmla="*/ 17 h 440"/>
              <a:gd name="T4" fmla="*/ 309 w 511"/>
              <a:gd name="T5" fmla="*/ 35 h 440"/>
              <a:gd name="T6" fmla="*/ 313 w 511"/>
              <a:gd name="T7" fmla="*/ 53 h 440"/>
              <a:gd name="T8" fmla="*/ 319 w 511"/>
              <a:gd name="T9" fmla="*/ 69 h 440"/>
              <a:gd name="T10" fmla="*/ 328 w 511"/>
              <a:gd name="T11" fmla="*/ 83 h 440"/>
              <a:gd name="T12" fmla="*/ 341 w 511"/>
              <a:gd name="T13" fmla="*/ 96 h 440"/>
              <a:gd name="T14" fmla="*/ 356 w 511"/>
              <a:gd name="T15" fmla="*/ 104 h 440"/>
              <a:gd name="T16" fmla="*/ 368 w 511"/>
              <a:gd name="T17" fmla="*/ 110 h 440"/>
              <a:gd name="T18" fmla="*/ 377 w 511"/>
              <a:gd name="T19" fmla="*/ 121 h 440"/>
              <a:gd name="T20" fmla="*/ 383 w 511"/>
              <a:gd name="T21" fmla="*/ 132 h 440"/>
              <a:gd name="T22" fmla="*/ 387 w 511"/>
              <a:gd name="T23" fmla="*/ 145 h 440"/>
              <a:gd name="T24" fmla="*/ 390 w 511"/>
              <a:gd name="T25" fmla="*/ 156 h 440"/>
              <a:gd name="T26" fmla="*/ 404 w 511"/>
              <a:gd name="T27" fmla="*/ 158 h 440"/>
              <a:gd name="T28" fmla="*/ 411 w 511"/>
              <a:gd name="T29" fmla="*/ 160 h 440"/>
              <a:gd name="T30" fmla="*/ 415 w 511"/>
              <a:gd name="T31" fmla="*/ 167 h 440"/>
              <a:gd name="T32" fmla="*/ 415 w 511"/>
              <a:gd name="T33" fmla="*/ 174 h 440"/>
              <a:gd name="T34" fmla="*/ 414 w 511"/>
              <a:gd name="T35" fmla="*/ 185 h 440"/>
              <a:gd name="T36" fmla="*/ 413 w 511"/>
              <a:gd name="T37" fmla="*/ 195 h 440"/>
              <a:gd name="T38" fmla="*/ 410 w 511"/>
              <a:gd name="T39" fmla="*/ 205 h 440"/>
              <a:gd name="T40" fmla="*/ 409 w 511"/>
              <a:gd name="T41" fmla="*/ 215 h 440"/>
              <a:gd name="T42" fmla="*/ 410 w 511"/>
              <a:gd name="T43" fmla="*/ 224 h 440"/>
              <a:gd name="T44" fmla="*/ 414 w 511"/>
              <a:gd name="T45" fmla="*/ 233 h 440"/>
              <a:gd name="T46" fmla="*/ 423 w 511"/>
              <a:gd name="T47" fmla="*/ 240 h 440"/>
              <a:gd name="T48" fmla="*/ 441 w 511"/>
              <a:gd name="T49" fmla="*/ 247 h 440"/>
              <a:gd name="T50" fmla="*/ 454 w 511"/>
              <a:gd name="T51" fmla="*/ 259 h 440"/>
              <a:gd name="T52" fmla="*/ 464 w 511"/>
              <a:gd name="T53" fmla="*/ 274 h 440"/>
              <a:gd name="T54" fmla="*/ 473 w 511"/>
              <a:gd name="T55" fmla="*/ 290 h 440"/>
              <a:gd name="T56" fmla="*/ 482 w 511"/>
              <a:gd name="T57" fmla="*/ 306 h 440"/>
              <a:gd name="T58" fmla="*/ 489 w 511"/>
              <a:gd name="T59" fmla="*/ 323 h 440"/>
              <a:gd name="T60" fmla="*/ 500 w 511"/>
              <a:gd name="T61" fmla="*/ 340 h 440"/>
              <a:gd name="T62" fmla="*/ 511 w 511"/>
              <a:gd name="T63" fmla="*/ 352 h 440"/>
              <a:gd name="T64" fmla="*/ 500 w 511"/>
              <a:gd name="T65" fmla="*/ 367 h 440"/>
              <a:gd name="T66" fmla="*/ 492 w 511"/>
              <a:gd name="T67" fmla="*/ 382 h 440"/>
              <a:gd name="T68" fmla="*/ 487 w 511"/>
              <a:gd name="T69" fmla="*/ 399 h 440"/>
              <a:gd name="T70" fmla="*/ 484 w 511"/>
              <a:gd name="T71" fmla="*/ 415 h 440"/>
              <a:gd name="T72" fmla="*/ 480 w 511"/>
              <a:gd name="T73" fmla="*/ 433 h 440"/>
              <a:gd name="T74" fmla="*/ 442 w 511"/>
              <a:gd name="T75" fmla="*/ 440 h 440"/>
              <a:gd name="T76" fmla="*/ 456 w 511"/>
              <a:gd name="T77" fmla="*/ 395 h 440"/>
              <a:gd name="T78" fmla="*/ 79 w 511"/>
              <a:gd name="T79" fmla="*/ 408 h 440"/>
              <a:gd name="T80" fmla="*/ 71 w 511"/>
              <a:gd name="T81" fmla="*/ 127 h 440"/>
              <a:gd name="T82" fmla="*/ 59 w 511"/>
              <a:gd name="T83" fmla="*/ 123 h 440"/>
              <a:gd name="T84" fmla="*/ 52 w 511"/>
              <a:gd name="T85" fmla="*/ 117 h 440"/>
              <a:gd name="T86" fmla="*/ 48 w 511"/>
              <a:gd name="T87" fmla="*/ 108 h 440"/>
              <a:gd name="T88" fmla="*/ 48 w 511"/>
              <a:gd name="T89" fmla="*/ 98 h 440"/>
              <a:gd name="T90" fmla="*/ 52 w 511"/>
              <a:gd name="T91" fmla="*/ 89 h 440"/>
              <a:gd name="T92" fmla="*/ 57 w 511"/>
              <a:gd name="T93" fmla="*/ 80 h 440"/>
              <a:gd name="T94" fmla="*/ 64 w 511"/>
              <a:gd name="T95" fmla="*/ 71 h 440"/>
              <a:gd name="T96" fmla="*/ 48 w 511"/>
              <a:gd name="T97" fmla="*/ 62 h 440"/>
              <a:gd name="T98" fmla="*/ 32 w 511"/>
              <a:gd name="T99" fmla="*/ 50 h 440"/>
              <a:gd name="T100" fmla="*/ 20 w 511"/>
              <a:gd name="T101" fmla="*/ 37 h 440"/>
              <a:gd name="T102" fmla="*/ 8 w 511"/>
              <a:gd name="T103" fmla="*/ 21 h 440"/>
              <a:gd name="T104" fmla="*/ 0 w 511"/>
              <a:gd name="T105" fmla="*/ 3 h 440"/>
              <a:gd name="T106" fmla="*/ 305 w 511"/>
              <a:gd name="T107" fmla="*/ 0 h 44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511" h="440">
                <a:moveTo>
                  <a:pt x="305" y="0"/>
                </a:moveTo>
                <a:lnTo>
                  <a:pt x="306" y="17"/>
                </a:lnTo>
                <a:lnTo>
                  <a:pt x="309" y="35"/>
                </a:lnTo>
                <a:lnTo>
                  <a:pt x="313" y="53"/>
                </a:lnTo>
                <a:lnTo>
                  <a:pt x="319" y="69"/>
                </a:lnTo>
                <a:lnTo>
                  <a:pt x="328" y="83"/>
                </a:lnTo>
                <a:lnTo>
                  <a:pt x="341" y="96"/>
                </a:lnTo>
                <a:lnTo>
                  <a:pt x="356" y="104"/>
                </a:lnTo>
                <a:lnTo>
                  <a:pt x="368" y="110"/>
                </a:lnTo>
                <a:lnTo>
                  <a:pt x="377" y="121"/>
                </a:lnTo>
                <a:lnTo>
                  <a:pt x="383" y="132"/>
                </a:lnTo>
                <a:lnTo>
                  <a:pt x="387" y="145"/>
                </a:lnTo>
                <a:lnTo>
                  <a:pt x="390" y="156"/>
                </a:lnTo>
                <a:lnTo>
                  <a:pt x="404" y="158"/>
                </a:lnTo>
                <a:lnTo>
                  <a:pt x="411" y="160"/>
                </a:lnTo>
                <a:lnTo>
                  <a:pt x="415" y="167"/>
                </a:lnTo>
                <a:lnTo>
                  <a:pt x="415" y="174"/>
                </a:lnTo>
                <a:lnTo>
                  <a:pt x="414" y="185"/>
                </a:lnTo>
                <a:lnTo>
                  <a:pt x="413" y="195"/>
                </a:lnTo>
                <a:lnTo>
                  <a:pt x="410" y="205"/>
                </a:lnTo>
                <a:lnTo>
                  <a:pt x="409" y="215"/>
                </a:lnTo>
                <a:lnTo>
                  <a:pt x="410" y="224"/>
                </a:lnTo>
                <a:lnTo>
                  <a:pt x="414" y="233"/>
                </a:lnTo>
                <a:lnTo>
                  <a:pt x="423" y="240"/>
                </a:lnTo>
                <a:lnTo>
                  <a:pt x="441" y="247"/>
                </a:lnTo>
                <a:lnTo>
                  <a:pt x="454" y="259"/>
                </a:lnTo>
                <a:lnTo>
                  <a:pt x="464" y="274"/>
                </a:lnTo>
                <a:lnTo>
                  <a:pt x="473" y="290"/>
                </a:lnTo>
                <a:lnTo>
                  <a:pt x="482" y="306"/>
                </a:lnTo>
                <a:lnTo>
                  <a:pt x="489" y="323"/>
                </a:lnTo>
                <a:lnTo>
                  <a:pt x="500" y="340"/>
                </a:lnTo>
                <a:lnTo>
                  <a:pt x="511" y="352"/>
                </a:lnTo>
                <a:lnTo>
                  <a:pt x="500" y="367"/>
                </a:lnTo>
                <a:lnTo>
                  <a:pt x="492" y="382"/>
                </a:lnTo>
                <a:lnTo>
                  <a:pt x="487" y="399"/>
                </a:lnTo>
                <a:lnTo>
                  <a:pt x="484" y="415"/>
                </a:lnTo>
                <a:lnTo>
                  <a:pt x="480" y="433"/>
                </a:lnTo>
                <a:lnTo>
                  <a:pt x="442" y="440"/>
                </a:lnTo>
                <a:lnTo>
                  <a:pt x="456" y="395"/>
                </a:lnTo>
                <a:lnTo>
                  <a:pt x="79" y="408"/>
                </a:lnTo>
                <a:lnTo>
                  <a:pt x="71" y="127"/>
                </a:lnTo>
                <a:lnTo>
                  <a:pt x="59" y="123"/>
                </a:lnTo>
                <a:lnTo>
                  <a:pt x="52" y="117"/>
                </a:lnTo>
                <a:lnTo>
                  <a:pt x="48" y="108"/>
                </a:lnTo>
                <a:lnTo>
                  <a:pt x="48" y="98"/>
                </a:lnTo>
                <a:lnTo>
                  <a:pt x="52" y="89"/>
                </a:lnTo>
                <a:lnTo>
                  <a:pt x="57" y="80"/>
                </a:lnTo>
                <a:lnTo>
                  <a:pt x="64" y="71"/>
                </a:lnTo>
                <a:lnTo>
                  <a:pt x="48" y="62"/>
                </a:lnTo>
                <a:lnTo>
                  <a:pt x="32" y="50"/>
                </a:lnTo>
                <a:lnTo>
                  <a:pt x="20" y="37"/>
                </a:lnTo>
                <a:lnTo>
                  <a:pt x="8" y="21"/>
                </a:lnTo>
                <a:lnTo>
                  <a:pt x="0" y="3"/>
                </a:lnTo>
                <a:lnTo>
                  <a:pt x="305" y="0"/>
                </a:lnTo>
                <a:close/>
              </a:path>
            </a:pathLst>
          </a:custGeom>
          <a:solidFill>
            <a:srgbClr val="00575D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88" name="Arkansas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SpPr>
            <a:spLocks/>
          </xdr:cNvSpPr>
        </xdr:nvSpPr>
        <xdr:spPr bwMode="auto">
          <a:xfrm>
            <a:off x="5438775" y="3800475"/>
            <a:ext cx="942975" cy="828675"/>
          </a:xfrm>
          <a:custGeom>
            <a:avLst/>
            <a:gdLst>
              <a:gd name="T0" fmla="*/ 354 w 396"/>
              <a:gd name="T1" fmla="*/ 0 h 347"/>
              <a:gd name="T2" fmla="*/ 339 w 396"/>
              <a:gd name="T3" fmla="*/ 48 h 347"/>
              <a:gd name="T4" fmla="*/ 396 w 396"/>
              <a:gd name="T5" fmla="*/ 39 h 347"/>
              <a:gd name="T6" fmla="*/ 381 w 396"/>
              <a:gd name="T7" fmla="*/ 84 h 347"/>
              <a:gd name="T8" fmla="*/ 363 w 396"/>
              <a:gd name="T9" fmla="*/ 129 h 347"/>
              <a:gd name="T10" fmla="*/ 341 w 396"/>
              <a:gd name="T11" fmla="*/ 171 h 347"/>
              <a:gd name="T12" fmla="*/ 320 w 396"/>
              <a:gd name="T13" fmla="*/ 215 h 347"/>
              <a:gd name="T14" fmla="*/ 299 w 396"/>
              <a:gd name="T15" fmla="*/ 258 h 347"/>
              <a:gd name="T16" fmla="*/ 282 w 396"/>
              <a:gd name="T17" fmla="*/ 303 h 347"/>
              <a:gd name="T18" fmla="*/ 280 w 396"/>
              <a:gd name="T19" fmla="*/ 321 h 347"/>
              <a:gd name="T20" fmla="*/ 281 w 396"/>
              <a:gd name="T21" fmla="*/ 340 h 347"/>
              <a:gd name="T22" fmla="*/ 61 w 396"/>
              <a:gd name="T23" fmla="*/ 347 h 347"/>
              <a:gd name="T24" fmla="*/ 61 w 396"/>
              <a:gd name="T25" fmla="*/ 297 h 347"/>
              <a:gd name="T26" fmla="*/ 17 w 396"/>
              <a:gd name="T27" fmla="*/ 293 h 347"/>
              <a:gd name="T28" fmla="*/ 25 w 396"/>
              <a:gd name="T29" fmla="*/ 237 h 347"/>
              <a:gd name="T30" fmla="*/ 28 w 396"/>
              <a:gd name="T31" fmla="*/ 180 h 347"/>
              <a:gd name="T32" fmla="*/ 24 w 396"/>
              <a:gd name="T33" fmla="*/ 123 h 347"/>
              <a:gd name="T34" fmla="*/ 15 w 396"/>
              <a:gd name="T35" fmla="*/ 68 h 347"/>
              <a:gd name="T36" fmla="*/ 0 w 396"/>
              <a:gd name="T37" fmla="*/ 12 h 347"/>
              <a:gd name="T38" fmla="*/ 354 w 396"/>
              <a:gd name="T39" fmla="*/ 0 h 34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</a:cxnLst>
            <a:rect l="0" t="0" r="r" b="b"/>
            <a:pathLst>
              <a:path w="396" h="347">
                <a:moveTo>
                  <a:pt x="354" y="0"/>
                </a:moveTo>
                <a:lnTo>
                  <a:pt x="339" y="48"/>
                </a:lnTo>
                <a:lnTo>
                  <a:pt x="396" y="39"/>
                </a:lnTo>
                <a:lnTo>
                  <a:pt x="381" y="84"/>
                </a:lnTo>
                <a:lnTo>
                  <a:pt x="363" y="129"/>
                </a:lnTo>
                <a:lnTo>
                  <a:pt x="341" y="171"/>
                </a:lnTo>
                <a:lnTo>
                  <a:pt x="320" y="215"/>
                </a:lnTo>
                <a:lnTo>
                  <a:pt x="299" y="258"/>
                </a:lnTo>
                <a:lnTo>
                  <a:pt x="282" y="303"/>
                </a:lnTo>
                <a:lnTo>
                  <a:pt x="280" y="321"/>
                </a:lnTo>
                <a:lnTo>
                  <a:pt x="281" y="340"/>
                </a:lnTo>
                <a:lnTo>
                  <a:pt x="61" y="347"/>
                </a:lnTo>
                <a:lnTo>
                  <a:pt x="61" y="297"/>
                </a:lnTo>
                <a:lnTo>
                  <a:pt x="17" y="293"/>
                </a:lnTo>
                <a:lnTo>
                  <a:pt x="25" y="237"/>
                </a:lnTo>
                <a:lnTo>
                  <a:pt x="28" y="180"/>
                </a:lnTo>
                <a:lnTo>
                  <a:pt x="24" y="123"/>
                </a:lnTo>
                <a:lnTo>
                  <a:pt x="15" y="68"/>
                </a:lnTo>
                <a:lnTo>
                  <a:pt x="0" y="12"/>
                </a:lnTo>
                <a:lnTo>
                  <a:pt x="354" y="0"/>
                </a:lnTo>
                <a:close/>
              </a:path>
            </a:pathLst>
          </a:custGeom>
          <a:solidFill>
            <a:srgbClr val="008375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89" name="Iowa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SpPr>
            <a:spLocks/>
          </xdr:cNvSpPr>
        </xdr:nvSpPr>
        <xdr:spPr bwMode="auto">
          <a:xfrm>
            <a:off x="5067300" y="2085975"/>
            <a:ext cx="1104900" cy="704850"/>
          </a:xfrm>
          <a:custGeom>
            <a:avLst/>
            <a:gdLst>
              <a:gd name="T0" fmla="*/ 396 w 467"/>
              <a:gd name="T1" fmla="*/ 0 h 296"/>
              <a:gd name="T2" fmla="*/ 398 w 467"/>
              <a:gd name="T3" fmla="*/ 16 h 296"/>
              <a:gd name="T4" fmla="*/ 397 w 467"/>
              <a:gd name="T5" fmla="*/ 32 h 296"/>
              <a:gd name="T6" fmla="*/ 392 w 467"/>
              <a:gd name="T7" fmla="*/ 48 h 296"/>
              <a:gd name="T8" fmla="*/ 419 w 467"/>
              <a:gd name="T9" fmla="*/ 75 h 296"/>
              <a:gd name="T10" fmla="*/ 444 w 467"/>
              <a:gd name="T11" fmla="*/ 103 h 296"/>
              <a:gd name="T12" fmla="*/ 466 w 467"/>
              <a:gd name="T13" fmla="*/ 135 h 296"/>
              <a:gd name="T14" fmla="*/ 467 w 467"/>
              <a:gd name="T15" fmla="*/ 153 h 296"/>
              <a:gd name="T16" fmla="*/ 462 w 467"/>
              <a:gd name="T17" fmla="*/ 168 h 296"/>
              <a:gd name="T18" fmla="*/ 452 w 467"/>
              <a:gd name="T19" fmla="*/ 182 h 296"/>
              <a:gd name="T20" fmla="*/ 438 w 467"/>
              <a:gd name="T21" fmla="*/ 195 h 296"/>
              <a:gd name="T22" fmla="*/ 422 w 467"/>
              <a:gd name="T23" fmla="*/ 207 h 296"/>
              <a:gd name="T24" fmla="*/ 408 w 467"/>
              <a:gd name="T25" fmla="*/ 215 h 296"/>
              <a:gd name="T26" fmla="*/ 414 w 467"/>
              <a:gd name="T27" fmla="*/ 230 h 296"/>
              <a:gd name="T28" fmla="*/ 414 w 467"/>
              <a:gd name="T29" fmla="*/ 244 h 296"/>
              <a:gd name="T30" fmla="*/ 410 w 467"/>
              <a:gd name="T31" fmla="*/ 256 h 296"/>
              <a:gd name="T32" fmla="*/ 403 w 467"/>
              <a:gd name="T33" fmla="*/ 269 h 296"/>
              <a:gd name="T34" fmla="*/ 396 w 467"/>
              <a:gd name="T35" fmla="*/ 282 h 296"/>
              <a:gd name="T36" fmla="*/ 388 w 467"/>
              <a:gd name="T37" fmla="*/ 294 h 296"/>
              <a:gd name="T38" fmla="*/ 279 w 467"/>
              <a:gd name="T39" fmla="*/ 295 h 296"/>
              <a:gd name="T40" fmla="*/ 172 w 467"/>
              <a:gd name="T41" fmla="*/ 295 h 296"/>
              <a:gd name="T42" fmla="*/ 63 w 467"/>
              <a:gd name="T43" fmla="*/ 296 h 296"/>
              <a:gd name="T44" fmla="*/ 56 w 467"/>
              <a:gd name="T45" fmla="*/ 240 h 296"/>
              <a:gd name="T46" fmla="*/ 42 w 467"/>
              <a:gd name="T47" fmla="*/ 186 h 296"/>
              <a:gd name="T48" fmla="*/ 24 w 467"/>
              <a:gd name="T49" fmla="*/ 132 h 296"/>
              <a:gd name="T50" fmla="*/ 0 w 467"/>
              <a:gd name="T51" fmla="*/ 81 h 296"/>
              <a:gd name="T52" fmla="*/ 9 w 467"/>
              <a:gd name="T53" fmla="*/ 66 h 296"/>
              <a:gd name="T54" fmla="*/ 14 w 467"/>
              <a:gd name="T55" fmla="*/ 48 h 296"/>
              <a:gd name="T56" fmla="*/ 15 w 467"/>
              <a:gd name="T57" fmla="*/ 30 h 296"/>
              <a:gd name="T58" fmla="*/ 17 w 467"/>
              <a:gd name="T59" fmla="*/ 11 h 296"/>
              <a:gd name="T60" fmla="*/ 206 w 467"/>
              <a:gd name="T61" fmla="*/ 4 h 296"/>
              <a:gd name="T62" fmla="*/ 396 w 467"/>
              <a:gd name="T63" fmla="*/ 0 h 29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</a:cxnLst>
            <a:rect l="0" t="0" r="r" b="b"/>
            <a:pathLst>
              <a:path w="467" h="296">
                <a:moveTo>
                  <a:pt x="396" y="0"/>
                </a:moveTo>
                <a:lnTo>
                  <a:pt x="398" y="16"/>
                </a:lnTo>
                <a:lnTo>
                  <a:pt x="397" y="32"/>
                </a:lnTo>
                <a:lnTo>
                  <a:pt x="392" y="48"/>
                </a:lnTo>
                <a:lnTo>
                  <a:pt x="419" y="75"/>
                </a:lnTo>
                <a:lnTo>
                  <a:pt x="444" y="103"/>
                </a:lnTo>
                <a:lnTo>
                  <a:pt x="466" y="135"/>
                </a:lnTo>
                <a:lnTo>
                  <a:pt x="467" y="153"/>
                </a:lnTo>
                <a:lnTo>
                  <a:pt x="462" y="168"/>
                </a:lnTo>
                <a:lnTo>
                  <a:pt x="452" y="182"/>
                </a:lnTo>
                <a:lnTo>
                  <a:pt x="438" y="195"/>
                </a:lnTo>
                <a:lnTo>
                  <a:pt x="422" y="207"/>
                </a:lnTo>
                <a:lnTo>
                  <a:pt x="408" y="215"/>
                </a:lnTo>
                <a:lnTo>
                  <a:pt x="414" y="230"/>
                </a:lnTo>
                <a:lnTo>
                  <a:pt x="414" y="244"/>
                </a:lnTo>
                <a:lnTo>
                  <a:pt x="410" y="256"/>
                </a:lnTo>
                <a:lnTo>
                  <a:pt x="403" y="269"/>
                </a:lnTo>
                <a:lnTo>
                  <a:pt x="396" y="282"/>
                </a:lnTo>
                <a:lnTo>
                  <a:pt x="388" y="294"/>
                </a:lnTo>
                <a:lnTo>
                  <a:pt x="279" y="295"/>
                </a:lnTo>
                <a:lnTo>
                  <a:pt x="172" y="295"/>
                </a:lnTo>
                <a:lnTo>
                  <a:pt x="63" y="296"/>
                </a:lnTo>
                <a:lnTo>
                  <a:pt x="56" y="240"/>
                </a:lnTo>
                <a:lnTo>
                  <a:pt x="42" y="186"/>
                </a:lnTo>
                <a:lnTo>
                  <a:pt x="24" y="132"/>
                </a:lnTo>
                <a:lnTo>
                  <a:pt x="0" y="81"/>
                </a:lnTo>
                <a:lnTo>
                  <a:pt x="9" y="66"/>
                </a:lnTo>
                <a:lnTo>
                  <a:pt x="14" y="48"/>
                </a:lnTo>
                <a:lnTo>
                  <a:pt x="15" y="30"/>
                </a:lnTo>
                <a:lnTo>
                  <a:pt x="17" y="11"/>
                </a:lnTo>
                <a:lnTo>
                  <a:pt x="206" y="4"/>
                </a:lnTo>
                <a:lnTo>
                  <a:pt x="396" y="0"/>
                </a:lnTo>
                <a:close/>
              </a:path>
            </a:pathLst>
          </a:custGeom>
          <a:solidFill>
            <a:srgbClr val="9DF09E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0" name="Minnesota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SpPr>
            <a:spLocks/>
          </xdr:cNvSpPr>
        </xdr:nvSpPr>
        <xdr:spPr bwMode="auto">
          <a:xfrm>
            <a:off x="5000625" y="790575"/>
            <a:ext cx="1066800" cy="1276350"/>
          </a:xfrm>
          <a:custGeom>
            <a:avLst/>
            <a:gdLst>
              <a:gd name="T0" fmla="*/ 138 w 449"/>
              <a:gd name="T1" fmla="*/ 4 h 538"/>
              <a:gd name="T2" fmla="*/ 141 w 449"/>
              <a:gd name="T3" fmla="*/ 10 h 538"/>
              <a:gd name="T4" fmla="*/ 145 w 449"/>
              <a:gd name="T5" fmla="*/ 17 h 538"/>
              <a:gd name="T6" fmla="*/ 174 w 449"/>
              <a:gd name="T7" fmla="*/ 27 h 538"/>
              <a:gd name="T8" fmla="*/ 231 w 449"/>
              <a:gd name="T9" fmla="*/ 41 h 538"/>
              <a:gd name="T10" fmla="*/ 288 w 449"/>
              <a:gd name="T11" fmla="*/ 37 h 538"/>
              <a:gd name="T12" fmla="*/ 320 w 449"/>
              <a:gd name="T13" fmla="*/ 51 h 538"/>
              <a:gd name="T14" fmla="*/ 350 w 449"/>
              <a:gd name="T15" fmla="*/ 72 h 538"/>
              <a:gd name="T16" fmla="*/ 380 w 449"/>
              <a:gd name="T17" fmla="*/ 85 h 538"/>
              <a:gd name="T18" fmla="*/ 411 w 449"/>
              <a:gd name="T19" fmla="*/ 77 h 538"/>
              <a:gd name="T20" fmla="*/ 437 w 449"/>
              <a:gd name="T21" fmla="*/ 77 h 538"/>
              <a:gd name="T22" fmla="*/ 414 w 449"/>
              <a:gd name="T23" fmla="*/ 106 h 538"/>
              <a:gd name="T24" fmla="*/ 347 w 449"/>
              <a:gd name="T25" fmla="*/ 163 h 538"/>
              <a:gd name="T26" fmla="*/ 325 w 449"/>
              <a:gd name="T27" fmla="*/ 236 h 538"/>
              <a:gd name="T28" fmla="*/ 314 w 449"/>
              <a:gd name="T29" fmla="*/ 288 h 538"/>
              <a:gd name="T30" fmla="*/ 297 w 449"/>
              <a:gd name="T31" fmla="*/ 313 h 538"/>
              <a:gd name="T32" fmla="*/ 300 w 449"/>
              <a:gd name="T33" fmla="*/ 345 h 538"/>
              <a:gd name="T34" fmla="*/ 302 w 449"/>
              <a:gd name="T35" fmla="*/ 380 h 538"/>
              <a:gd name="T36" fmla="*/ 309 w 449"/>
              <a:gd name="T37" fmla="*/ 415 h 538"/>
              <a:gd name="T38" fmla="*/ 345 w 449"/>
              <a:gd name="T39" fmla="*/ 452 h 538"/>
              <a:gd name="T40" fmla="*/ 393 w 449"/>
              <a:gd name="T41" fmla="*/ 498 h 538"/>
              <a:gd name="T42" fmla="*/ 45 w 449"/>
              <a:gd name="T43" fmla="*/ 538 h 538"/>
              <a:gd name="T44" fmla="*/ 42 w 449"/>
              <a:gd name="T45" fmla="*/ 469 h 538"/>
              <a:gd name="T46" fmla="*/ 42 w 449"/>
              <a:gd name="T47" fmla="*/ 400 h 538"/>
              <a:gd name="T48" fmla="*/ 28 w 449"/>
              <a:gd name="T49" fmla="*/ 334 h 538"/>
              <a:gd name="T50" fmla="*/ 33 w 449"/>
              <a:gd name="T51" fmla="*/ 310 h 538"/>
              <a:gd name="T52" fmla="*/ 36 w 449"/>
              <a:gd name="T53" fmla="*/ 287 h 538"/>
              <a:gd name="T54" fmla="*/ 12 w 449"/>
              <a:gd name="T55" fmla="*/ 104 h 538"/>
              <a:gd name="T56" fmla="*/ 19 w 449"/>
              <a:gd name="T57" fmla="*/ 12 h 538"/>
              <a:gd name="T58" fmla="*/ 62 w 449"/>
              <a:gd name="T59" fmla="*/ 15 h 538"/>
              <a:gd name="T60" fmla="*/ 101 w 449"/>
              <a:gd name="T61" fmla="*/ 15 h 538"/>
              <a:gd name="T62" fmla="*/ 138 w 449"/>
              <a:gd name="T63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</a:cxnLst>
            <a:rect l="0" t="0" r="r" b="b"/>
            <a:pathLst>
              <a:path w="449" h="538">
                <a:moveTo>
                  <a:pt x="138" y="0"/>
                </a:moveTo>
                <a:lnTo>
                  <a:pt x="138" y="4"/>
                </a:lnTo>
                <a:lnTo>
                  <a:pt x="140" y="6"/>
                </a:lnTo>
                <a:lnTo>
                  <a:pt x="141" y="10"/>
                </a:lnTo>
                <a:lnTo>
                  <a:pt x="142" y="14"/>
                </a:lnTo>
                <a:lnTo>
                  <a:pt x="145" y="17"/>
                </a:lnTo>
                <a:lnTo>
                  <a:pt x="147" y="18"/>
                </a:lnTo>
                <a:lnTo>
                  <a:pt x="174" y="27"/>
                </a:lnTo>
                <a:lnTo>
                  <a:pt x="202" y="36"/>
                </a:lnTo>
                <a:lnTo>
                  <a:pt x="231" y="41"/>
                </a:lnTo>
                <a:lnTo>
                  <a:pt x="260" y="41"/>
                </a:lnTo>
                <a:lnTo>
                  <a:pt x="288" y="37"/>
                </a:lnTo>
                <a:lnTo>
                  <a:pt x="305" y="42"/>
                </a:lnTo>
                <a:lnTo>
                  <a:pt x="320" y="51"/>
                </a:lnTo>
                <a:lnTo>
                  <a:pt x="334" y="61"/>
                </a:lnTo>
                <a:lnTo>
                  <a:pt x="350" y="72"/>
                </a:lnTo>
                <a:lnTo>
                  <a:pt x="365" y="81"/>
                </a:lnTo>
                <a:lnTo>
                  <a:pt x="380" y="85"/>
                </a:lnTo>
                <a:lnTo>
                  <a:pt x="400" y="82"/>
                </a:lnTo>
                <a:lnTo>
                  <a:pt x="411" y="77"/>
                </a:lnTo>
                <a:lnTo>
                  <a:pt x="424" y="76"/>
                </a:lnTo>
                <a:lnTo>
                  <a:pt x="437" y="77"/>
                </a:lnTo>
                <a:lnTo>
                  <a:pt x="449" y="83"/>
                </a:lnTo>
                <a:lnTo>
                  <a:pt x="414" y="106"/>
                </a:lnTo>
                <a:lnTo>
                  <a:pt x="379" y="133"/>
                </a:lnTo>
                <a:lnTo>
                  <a:pt x="347" y="163"/>
                </a:lnTo>
                <a:lnTo>
                  <a:pt x="319" y="196"/>
                </a:lnTo>
                <a:lnTo>
                  <a:pt x="325" y="236"/>
                </a:lnTo>
                <a:lnTo>
                  <a:pt x="325" y="278"/>
                </a:lnTo>
                <a:lnTo>
                  <a:pt x="314" y="288"/>
                </a:lnTo>
                <a:lnTo>
                  <a:pt x="304" y="300"/>
                </a:lnTo>
                <a:lnTo>
                  <a:pt x="297" y="313"/>
                </a:lnTo>
                <a:lnTo>
                  <a:pt x="296" y="328"/>
                </a:lnTo>
                <a:lnTo>
                  <a:pt x="300" y="345"/>
                </a:lnTo>
                <a:lnTo>
                  <a:pt x="301" y="362"/>
                </a:lnTo>
                <a:lnTo>
                  <a:pt x="302" y="380"/>
                </a:lnTo>
                <a:lnTo>
                  <a:pt x="304" y="398"/>
                </a:lnTo>
                <a:lnTo>
                  <a:pt x="309" y="415"/>
                </a:lnTo>
                <a:lnTo>
                  <a:pt x="318" y="430"/>
                </a:lnTo>
                <a:lnTo>
                  <a:pt x="345" y="452"/>
                </a:lnTo>
                <a:lnTo>
                  <a:pt x="370" y="474"/>
                </a:lnTo>
                <a:lnTo>
                  <a:pt x="393" y="498"/>
                </a:lnTo>
                <a:lnTo>
                  <a:pt x="414" y="526"/>
                </a:lnTo>
                <a:lnTo>
                  <a:pt x="45" y="538"/>
                </a:lnTo>
                <a:lnTo>
                  <a:pt x="42" y="503"/>
                </a:lnTo>
                <a:lnTo>
                  <a:pt x="42" y="469"/>
                </a:lnTo>
                <a:lnTo>
                  <a:pt x="44" y="434"/>
                </a:lnTo>
                <a:lnTo>
                  <a:pt x="42" y="400"/>
                </a:lnTo>
                <a:lnTo>
                  <a:pt x="37" y="366"/>
                </a:lnTo>
                <a:lnTo>
                  <a:pt x="28" y="334"/>
                </a:lnTo>
                <a:lnTo>
                  <a:pt x="30" y="321"/>
                </a:lnTo>
                <a:lnTo>
                  <a:pt x="33" y="310"/>
                </a:lnTo>
                <a:lnTo>
                  <a:pt x="36" y="298"/>
                </a:lnTo>
                <a:lnTo>
                  <a:pt x="36" y="287"/>
                </a:lnTo>
                <a:lnTo>
                  <a:pt x="25" y="196"/>
                </a:lnTo>
                <a:lnTo>
                  <a:pt x="12" y="104"/>
                </a:lnTo>
                <a:lnTo>
                  <a:pt x="0" y="13"/>
                </a:lnTo>
                <a:lnTo>
                  <a:pt x="19" y="12"/>
                </a:lnTo>
                <a:lnTo>
                  <a:pt x="40" y="13"/>
                </a:lnTo>
                <a:lnTo>
                  <a:pt x="62" y="15"/>
                </a:lnTo>
                <a:lnTo>
                  <a:pt x="82" y="15"/>
                </a:lnTo>
                <a:lnTo>
                  <a:pt x="101" y="15"/>
                </a:lnTo>
                <a:lnTo>
                  <a:pt x="121" y="10"/>
                </a:lnTo>
                <a:lnTo>
                  <a:pt x="138" y="0"/>
                </a:lnTo>
                <a:close/>
              </a:path>
            </a:pathLst>
          </a:custGeom>
          <a:solidFill>
            <a:srgbClr val="FFFFFF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1" name="Texas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SpPr>
            <a:spLocks/>
          </xdr:cNvSpPr>
        </xdr:nvSpPr>
        <xdr:spPr bwMode="auto">
          <a:xfrm>
            <a:off x="3028950" y="3762375"/>
            <a:ext cx="2609850" cy="2571750"/>
          </a:xfrm>
          <a:custGeom>
            <a:avLst/>
            <a:gdLst>
              <a:gd name="T0" fmla="*/ 555 w 1094"/>
              <a:gd name="T1" fmla="*/ 114 h 1080"/>
              <a:gd name="T2" fmla="*/ 558 w 1094"/>
              <a:gd name="T3" fmla="*/ 228 h 1080"/>
              <a:gd name="T4" fmla="*/ 587 w 1094"/>
              <a:gd name="T5" fmla="*/ 250 h 1080"/>
              <a:gd name="T6" fmla="*/ 673 w 1094"/>
              <a:gd name="T7" fmla="*/ 282 h 1080"/>
              <a:gd name="T8" fmla="*/ 873 w 1094"/>
              <a:gd name="T9" fmla="*/ 313 h 1080"/>
              <a:gd name="T10" fmla="*/ 1017 w 1094"/>
              <a:gd name="T11" fmla="*/ 328 h 1080"/>
              <a:gd name="T12" fmla="*/ 1054 w 1094"/>
              <a:gd name="T13" fmla="*/ 332 h 1080"/>
              <a:gd name="T14" fmla="*/ 1057 w 1094"/>
              <a:gd name="T15" fmla="*/ 474 h 1080"/>
              <a:gd name="T16" fmla="*/ 1088 w 1094"/>
              <a:gd name="T17" fmla="*/ 555 h 1080"/>
              <a:gd name="T18" fmla="*/ 1088 w 1094"/>
              <a:gd name="T19" fmla="*/ 640 h 1080"/>
              <a:gd name="T20" fmla="*/ 1094 w 1094"/>
              <a:gd name="T21" fmla="*/ 680 h 1080"/>
              <a:gd name="T22" fmla="*/ 1065 w 1094"/>
              <a:gd name="T23" fmla="*/ 692 h 1080"/>
              <a:gd name="T24" fmla="*/ 1042 w 1094"/>
              <a:gd name="T25" fmla="*/ 713 h 1080"/>
              <a:gd name="T26" fmla="*/ 1016 w 1094"/>
              <a:gd name="T27" fmla="*/ 702 h 1080"/>
              <a:gd name="T28" fmla="*/ 990 w 1094"/>
              <a:gd name="T29" fmla="*/ 701 h 1080"/>
              <a:gd name="T30" fmla="*/ 966 w 1094"/>
              <a:gd name="T31" fmla="*/ 732 h 1080"/>
              <a:gd name="T32" fmla="*/ 958 w 1094"/>
              <a:gd name="T33" fmla="*/ 773 h 1080"/>
              <a:gd name="T34" fmla="*/ 910 w 1094"/>
              <a:gd name="T35" fmla="*/ 797 h 1080"/>
              <a:gd name="T36" fmla="*/ 843 w 1094"/>
              <a:gd name="T37" fmla="*/ 829 h 1080"/>
              <a:gd name="T38" fmla="*/ 762 w 1094"/>
              <a:gd name="T39" fmla="*/ 905 h 1080"/>
              <a:gd name="T40" fmla="*/ 729 w 1094"/>
              <a:gd name="T41" fmla="*/ 965 h 1080"/>
              <a:gd name="T42" fmla="*/ 738 w 1094"/>
              <a:gd name="T43" fmla="*/ 1011 h 1080"/>
              <a:gd name="T44" fmla="*/ 738 w 1094"/>
              <a:gd name="T45" fmla="*/ 1062 h 1080"/>
              <a:gd name="T46" fmla="*/ 688 w 1094"/>
              <a:gd name="T47" fmla="*/ 1076 h 1080"/>
              <a:gd name="T48" fmla="*/ 619 w 1094"/>
              <a:gd name="T49" fmla="*/ 1034 h 1080"/>
              <a:gd name="T50" fmla="*/ 583 w 1094"/>
              <a:gd name="T51" fmla="*/ 960 h 1080"/>
              <a:gd name="T52" fmla="*/ 553 w 1094"/>
              <a:gd name="T53" fmla="*/ 894 h 1080"/>
              <a:gd name="T54" fmla="*/ 509 w 1094"/>
              <a:gd name="T55" fmla="*/ 835 h 1080"/>
              <a:gd name="T56" fmla="*/ 486 w 1094"/>
              <a:gd name="T57" fmla="*/ 778 h 1080"/>
              <a:gd name="T58" fmla="*/ 458 w 1094"/>
              <a:gd name="T59" fmla="*/ 753 h 1080"/>
              <a:gd name="T60" fmla="*/ 435 w 1094"/>
              <a:gd name="T61" fmla="*/ 723 h 1080"/>
              <a:gd name="T62" fmla="*/ 425 w 1094"/>
              <a:gd name="T63" fmla="*/ 678 h 1080"/>
              <a:gd name="T64" fmla="*/ 390 w 1094"/>
              <a:gd name="T65" fmla="*/ 673 h 1080"/>
              <a:gd name="T66" fmla="*/ 355 w 1094"/>
              <a:gd name="T67" fmla="*/ 682 h 1080"/>
              <a:gd name="T68" fmla="*/ 313 w 1094"/>
              <a:gd name="T69" fmla="*/ 682 h 1080"/>
              <a:gd name="T70" fmla="*/ 279 w 1094"/>
              <a:gd name="T71" fmla="*/ 715 h 1080"/>
              <a:gd name="T72" fmla="*/ 249 w 1094"/>
              <a:gd name="T73" fmla="*/ 752 h 1080"/>
              <a:gd name="T74" fmla="*/ 180 w 1094"/>
              <a:gd name="T75" fmla="*/ 704 h 1080"/>
              <a:gd name="T76" fmla="*/ 137 w 1094"/>
              <a:gd name="T77" fmla="*/ 633 h 1080"/>
              <a:gd name="T78" fmla="*/ 114 w 1094"/>
              <a:gd name="T79" fmla="*/ 568 h 1080"/>
              <a:gd name="T80" fmla="*/ 65 w 1094"/>
              <a:gd name="T81" fmla="*/ 526 h 1080"/>
              <a:gd name="T82" fmla="*/ 23 w 1094"/>
              <a:gd name="T83" fmla="*/ 481 h 1080"/>
              <a:gd name="T84" fmla="*/ 281 w 1094"/>
              <a:gd name="T85" fmla="*/ 470 h 1080"/>
              <a:gd name="T86" fmla="*/ 317 w 1094"/>
              <a:gd name="T87" fmla="*/ 118 h 108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1094" h="1080">
                <a:moveTo>
                  <a:pt x="330" y="0"/>
                </a:moveTo>
                <a:lnTo>
                  <a:pt x="559" y="25"/>
                </a:lnTo>
                <a:lnTo>
                  <a:pt x="555" y="114"/>
                </a:lnTo>
                <a:lnTo>
                  <a:pt x="551" y="204"/>
                </a:lnTo>
                <a:lnTo>
                  <a:pt x="553" y="217"/>
                </a:lnTo>
                <a:lnTo>
                  <a:pt x="558" y="228"/>
                </a:lnTo>
                <a:lnTo>
                  <a:pt x="565" y="236"/>
                </a:lnTo>
                <a:lnTo>
                  <a:pt x="576" y="244"/>
                </a:lnTo>
                <a:lnTo>
                  <a:pt x="587" y="250"/>
                </a:lnTo>
                <a:lnTo>
                  <a:pt x="599" y="255"/>
                </a:lnTo>
                <a:lnTo>
                  <a:pt x="609" y="262"/>
                </a:lnTo>
                <a:lnTo>
                  <a:pt x="673" y="282"/>
                </a:lnTo>
                <a:lnTo>
                  <a:pt x="738" y="298"/>
                </a:lnTo>
                <a:lnTo>
                  <a:pt x="805" y="307"/>
                </a:lnTo>
                <a:lnTo>
                  <a:pt x="873" y="313"/>
                </a:lnTo>
                <a:lnTo>
                  <a:pt x="939" y="318"/>
                </a:lnTo>
                <a:lnTo>
                  <a:pt x="1007" y="322"/>
                </a:lnTo>
                <a:lnTo>
                  <a:pt x="1017" y="328"/>
                </a:lnTo>
                <a:lnTo>
                  <a:pt x="1029" y="331"/>
                </a:lnTo>
                <a:lnTo>
                  <a:pt x="1042" y="331"/>
                </a:lnTo>
                <a:lnTo>
                  <a:pt x="1054" y="332"/>
                </a:lnTo>
                <a:lnTo>
                  <a:pt x="1053" y="380"/>
                </a:lnTo>
                <a:lnTo>
                  <a:pt x="1053" y="427"/>
                </a:lnTo>
                <a:lnTo>
                  <a:pt x="1057" y="474"/>
                </a:lnTo>
                <a:lnTo>
                  <a:pt x="1067" y="501"/>
                </a:lnTo>
                <a:lnTo>
                  <a:pt x="1077" y="528"/>
                </a:lnTo>
                <a:lnTo>
                  <a:pt x="1088" y="555"/>
                </a:lnTo>
                <a:lnTo>
                  <a:pt x="1094" y="583"/>
                </a:lnTo>
                <a:lnTo>
                  <a:pt x="1094" y="611"/>
                </a:lnTo>
                <a:lnTo>
                  <a:pt x="1088" y="640"/>
                </a:lnTo>
                <a:lnTo>
                  <a:pt x="1086" y="654"/>
                </a:lnTo>
                <a:lnTo>
                  <a:pt x="1090" y="668"/>
                </a:lnTo>
                <a:lnTo>
                  <a:pt x="1094" y="680"/>
                </a:lnTo>
                <a:lnTo>
                  <a:pt x="1082" y="680"/>
                </a:lnTo>
                <a:lnTo>
                  <a:pt x="1072" y="684"/>
                </a:lnTo>
                <a:lnTo>
                  <a:pt x="1065" y="692"/>
                </a:lnTo>
                <a:lnTo>
                  <a:pt x="1057" y="701"/>
                </a:lnTo>
                <a:lnTo>
                  <a:pt x="1050" y="710"/>
                </a:lnTo>
                <a:lnTo>
                  <a:pt x="1042" y="713"/>
                </a:lnTo>
                <a:lnTo>
                  <a:pt x="1033" y="711"/>
                </a:lnTo>
                <a:lnTo>
                  <a:pt x="1024" y="707"/>
                </a:lnTo>
                <a:lnTo>
                  <a:pt x="1016" y="702"/>
                </a:lnTo>
                <a:lnTo>
                  <a:pt x="1007" y="697"/>
                </a:lnTo>
                <a:lnTo>
                  <a:pt x="998" y="697"/>
                </a:lnTo>
                <a:lnTo>
                  <a:pt x="990" y="701"/>
                </a:lnTo>
                <a:lnTo>
                  <a:pt x="978" y="709"/>
                </a:lnTo>
                <a:lnTo>
                  <a:pt x="970" y="719"/>
                </a:lnTo>
                <a:lnTo>
                  <a:pt x="966" y="732"/>
                </a:lnTo>
                <a:lnTo>
                  <a:pt x="966" y="745"/>
                </a:lnTo>
                <a:lnTo>
                  <a:pt x="970" y="759"/>
                </a:lnTo>
                <a:lnTo>
                  <a:pt x="958" y="773"/>
                </a:lnTo>
                <a:lnTo>
                  <a:pt x="944" y="783"/>
                </a:lnTo>
                <a:lnTo>
                  <a:pt x="928" y="791"/>
                </a:lnTo>
                <a:lnTo>
                  <a:pt x="910" y="797"/>
                </a:lnTo>
                <a:lnTo>
                  <a:pt x="892" y="802"/>
                </a:lnTo>
                <a:lnTo>
                  <a:pt x="875" y="810"/>
                </a:lnTo>
                <a:lnTo>
                  <a:pt x="843" y="829"/>
                </a:lnTo>
                <a:lnTo>
                  <a:pt x="814" y="851"/>
                </a:lnTo>
                <a:lnTo>
                  <a:pt x="787" y="876"/>
                </a:lnTo>
                <a:lnTo>
                  <a:pt x="762" y="905"/>
                </a:lnTo>
                <a:lnTo>
                  <a:pt x="743" y="937"/>
                </a:lnTo>
                <a:lnTo>
                  <a:pt x="736" y="949"/>
                </a:lnTo>
                <a:lnTo>
                  <a:pt x="729" y="965"/>
                </a:lnTo>
                <a:lnTo>
                  <a:pt x="728" y="980"/>
                </a:lnTo>
                <a:lnTo>
                  <a:pt x="732" y="996"/>
                </a:lnTo>
                <a:lnTo>
                  <a:pt x="738" y="1011"/>
                </a:lnTo>
                <a:lnTo>
                  <a:pt x="738" y="1028"/>
                </a:lnTo>
                <a:lnTo>
                  <a:pt x="737" y="1045"/>
                </a:lnTo>
                <a:lnTo>
                  <a:pt x="738" y="1062"/>
                </a:lnTo>
                <a:lnTo>
                  <a:pt x="743" y="1078"/>
                </a:lnTo>
                <a:lnTo>
                  <a:pt x="715" y="1080"/>
                </a:lnTo>
                <a:lnTo>
                  <a:pt x="688" y="1076"/>
                </a:lnTo>
                <a:lnTo>
                  <a:pt x="663" y="1066"/>
                </a:lnTo>
                <a:lnTo>
                  <a:pt x="640" y="1052"/>
                </a:lnTo>
                <a:lnTo>
                  <a:pt x="619" y="1034"/>
                </a:lnTo>
                <a:lnTo>
                  <a:pt x="602" y="1012"/>
                </a:lnTo>
                <a:lnTo>
                  <a:pt x="590" y="987"/>
                </a:lnTo>
                <a:lnTo>
                  <a:pt x="583" y="960"/>
                </a:lnTo>
                <a:lnTo>
                  <a:pt x="577" y="937"/>
                </a:lnTo>
                <a:lnTo>
                  <a:pt x="565" y="915"/>
                </a:lnTo>
                <a:lnTo>
                  <a:pt x="553" y="894"/>
                </a:lnTo>
                <a:lnTo>
                  <a:pt x="537" y="875"/>
                </a:lnTo>
                <a:lnTo>
                  <a:pt x="522" y="855"/>
                </a:lnTo>
                <a:lnTo>
                  <a:pt x="509" y="835"/>
                </a:lnTo>
                <a:lnTo>
                  <a:pt x="498" y="814"/>
                </a:lnTo>
                <a:lnTo>
                  <a:pt x="490" y="791"/>
                </a:lnTo>
                <a:lnTo>
                  <a:pt x="486" y="778"/>
                </a:lnTo>
                <a:lnTo>
                  <a:pt x="478" y="769"/>
                </a:lnTo>
                <a:lnTo>
                  <a:pt x="468" y="761"/>
                </a:lnTo>
                <a:lnTo>
                  <a:pt x="458" y="753"/>
                </a:lnTo>
                <a:lnTo>
                  <a:pt x="449" y="746"/>
                </a:lnTo>
                <a:lnTo>
                  <a:pt x="441" y="736"/>
                </a:lnTo>
                <a:lnTo>
                  <a:pt x="435" y="723"/>
                </a:lnTo>
                <a:lnTo>
                  <a:pt x="431" y="707"/>
                </a:lnTo>
                <a:lnTo>
                  <a:pt x="430" y="692"/>
                </a:lnTo>
                <a:lnTo>
                  <a:pt x="425" y="678"/>
                </a:lnTo>
                <a:lnTo>
                  <a:pt x="413" y="672"/>
                </a:lnTo>
                <a:lnTo>
                  <a:pt x="402" y="670"/>
                </a:lnTo>
                <a:lnTo>
                  <a:pt x="390" y="673"/>
                </a:lnTo>
                <a:lnTo>
                  <a:pt x="378" y="677"/>
                </a:lnTo>
                <a:lnTo>
                  <a:pt x="367" y="680"/>
                </a:lnTo>
                <a:lnTo>
                  <a:pt x="355" y="682"/>
                </a:lnTo>
                <a:lnTo>
                  <a:pt x="340" y="675"/>
                </a:lnTo>
                <a:lnTo>
                  <a:pt x="326" y="677"/>
                </a:lnTo>
                <a:lnTo>
                  <a:pt x="313" y="682"/>
                </a:lnTo>
                <a:lnTo>
                  <a:pt x="300" y="691"/>
                </a:lnTo>
                <a:lnTo>
                  <a:pt x="290" y="702"/>
                </a:lnTo>
                <a:lnTo>
                  <a:pt x="279" y="715"/>
                </a:lnTo>
                <a:lnTo>
                  <a:pt x="268" y="729"/>
                </a:lnTo>
                <a:lnTo>
                  <a:pt x="259" y="742"/>
                </a:lnTo>
                <a:lnTo>
                  <a:pt x="249" y="752"/>
                </a:lnTo>
                <a:lnTo>
                  <a:pt x="225" y="739"/>
                </a:lnTo>
                <a:lnTo>
                  <a:pt x="202" y="723"/>
                </a:lnTo>
                <a:lnTo>
                  <a:pt x="180" y="704"/>
                </a:lnTo>
                <a:lnTo>
                  <a:pt x="162" y="683"/>
                </a:lnTo>
                <a:lnTo>
                  <a:pt x="147" y="659"/>
                </a:lnTo>
                <a:lnTo>
                  <a:pt x="137" y="633"/>
                </a:lnTo>
                <a:lnTo>
                  <a:pt x="130" y="606"/>
                </a:lnTo>
                <a:lnTo>
                  <a:pt x="124" y="584"/>
                </a:lnTo>
                <a:lnTo>
                  <a:pt x="114" y="568"/>
                </a:lnTo>
                <a:lnTo>
                  <a:pt x="98" y="552"/>
                </a:lnTo>
                <a:lnTo>
                  <a:pt x="82" y="538"/>
                </a:lnTo>
                <a:lnTo>
                  <a:pt x="65" y="526"/>
                </a:lnTo>
                <a:lnTo>
                  <a:pt x="48" y="513"/>
                </a:lnTo>
                <a:lnTo>
                  <a:pt x="34" y="497"/>
                </a:lnTo>
                <a:lnTo>
                  <a:pt x="23" y="481"/>
                </a:lnTo>
                <a:lnTo>
                  <a:pt x="11" y="464"/>
                </a:lnTo>
                <a:lnTo>
                  <a:pt x="0" y="447"/>
                </a:lnTo>
                <a:lnTo>
                  <a:pt x="281" y="470"/>
                </a:lnTo>
                <a:lnTo>
                  <a:pt x="295" y="354"/>
                </a:lnTo>
                <a:lnTo>
                  <a:pt x="307" y="236"/>
                </a:lnTo>
                <a:lnTo>
                  <a:pt x="317" y="118"/>
                </a:lnTo>
                <a:lnTo>
                  <a:pt x="330" y="0"/>
                </a:lnTo>
                <a:close/>
              </a:path>
            </a:pathLst>
          </a:custGeom>
          <a:solidFill>
            <a:srgbClr val="FFFFFF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2" name="Oklahoma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SpPr>
            <a:spLocks/>
          </xdr:cNvSpPr>
        </xdr:nvSpPr>
        <xdr:spPr bwMode="auto">
          <a:xfrm>
            <a:off x="3829050" y="3676650"/>
            <a:ext cx="1628775" cy="800100"/>
          </a:xfrm>
          <a:custGeom>
            <a:avLst/>
            <a:gdLst>
              <a:gd name="T0" fmla="*/ 3 w 688"/>
              <a:gd name="T1" fmla="*/ 0 h 339"/>
              <a:gd name="T2" fmla="*/ 167 w 688"/>
              <a:gd name="T3" fmla="*/ 10 h 339"/>
              <a:gd name="T4" fmla="*/ 331 w 688"/>
              <a:gd name="T5" fmla="*/ 18 h 339"/>
              <a:gd name="T6" fmla="*/ 496 w 688"/>
              <a:gd name="T7" fmla="*/ 20 h 339"/>
              <a:gd name="T8" fmla="*/ 660 w 688"/>
              <a:gd name="T9" fmla="*/ 18 h 339"/>
              <a:gd name="T10" fmla="*/ 660 w 688"/>
              <a:gd name="T11" fmla="*/ 43 h 339"/>
              <a:gd name="T12" fmla="*/ 661 w 688"/>
              <a:gd name="T13" fmla="*/ 69 h 339"/>
              <a:gd name="T14" fmla="*/ 666 w 688"/>
              <a:gd name="T15" fmla="*/ 93 h 339"/>
              <a:gd name="T16" fmla="*/ 679 w 688"/>
              <a:gd name="T17" fmla="*/ 134 h 339"/>
              <a:gd name="T18" fmla="*/ 685 w 688"/>
              <a:gd name="T19" fmla="*/ 174 h 339"/>
              <a:gd name="T20" fmla="*/ 688 w 688"/>
              <a:gd name="T21" fmla="*/ 215 h 339"/>
              <a:gd name="T22" fmla="*/ 686 w 688"/>
              <a:gd name="T23" fmla="*/ 257 h 339"/>
              <a:gd name="T24" fmla="*/ 684 w 688"/>
              <a:gd name="T25" fmla="*/ 298 h 339"/>
              <a:gd name="T26" fmla="*/ 681 w 688"/>
              <a:gd name="T27" fmla="*/ 339 h 339"/>
              <a:gd name="T28" fmla="*/ 608 w 688"/>
              <a:gd name="T29" fmla="*/ 336 h 339"/>
              <a:gd name="T30" fmla="*/ 535 w 688"/>
              <a:gd name="T31" fmla="*/ 331 h 339"/>
              <a:gd name="T32" fmla="*/ 462 w 688"/>
              <a:gd name="T33" fmla="*/ 324 h 339"/>
              <a:gd name="T34" fmla="*/ 391 w 688"/>
              <a:gd name="T35" fmla="*/ 312 h 339"/>
              <a:gd name="T36" fmla="*/ 320 w 688"/>
              <a:gd name="T37" fmla="*/ 294 h 339"/>
              <a:gd name="T38" fmla="*/ 297 w 688"/>
              <a:gd name="T39" fmla="*/ 286 h 339"/>
              <a:gd name="T40" fmla="*/ 276 w 688"/>
              <a:gd name="T41" fmla="*/ 277 h 339"/>
              <a:gd name="T42" fmla="*/ 255 w 688"/>
              <a:gd name="T43" fmla="*/ 266 h 339"/>
              <a:gd name="T44" fmla="*/ 237 w 688"/>
              <a:gd name="T45" fmla="*/ 251 h 339"/>
              <a:gd name="T46" fmla="*/ 238 w 688"/>
              <a:gd name="T47" fmla="*/ 181 h 339"/>
              <a:gd name="T48" fmla="*/ 242 w 688"/>
              <a:gd name="T49" fmla="*/ 114 h 339"/>
              <a:gd name="T50" fmla="*/ 244 w 688"/>
              <a:gd name="T51" fmla="*/ 44 h 339"/>
              <a:gd name="T52" fmla="*/ 0 w 688"/>
              <a:gd name="T53" fmla="*/ 19 h 339"/>
              <a:gd name="T54" fmla="*/ 3 w 688"/>
              <a:gd name="T55" fmla="*/ 0 h 33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</a:cxnLst>
            <a:rect l="0" t="0" r="r" b="b"/>
            <a:pathLst>
              <a:path w="688" h="339">
                <a:moveTo>
                  <a:pt x="3" y="0"/>
                </a:moveTo>
                <a:lnTo>
                  <a:pt x="167" y="10"/>
                </a:lnTo>
                <a:lnTo>
                  <a:pt x="331" y="18"/>
                </a:lnTo>
                <a:lnTo>
                  <a:pt x="496" y="20"/>
                </a:lnTo>
                <a:lnTo>
                  <a:pt x="660" y="18"/>
                </a:lnTo>
                <a:lnTo>
                  <a:pt x="660" y="43"/>
                </a:lnTo>
                <a:lnTo>
                  <a:pt x="661" y="69"/>
                </a:lnTo>
                <a:lnTo>
                  <a:pt x="666" y="93"/>
                </a:lnTo>
                <a:lnTo>
                  <a:pt x="679" y="134"/>
                </a:lnTo>
                <a:lnTo>
                  <a:pt x="685" y="174"/>
                </a:lnTo>
                <a:lnTo>
                  <a:pt x="688" y="215"/>
                </a:lnTo>
                <a:lnTo>
                  <a:pt x="686" y="257"/>
                </a:lnTo>
                <a:lnTo>
                  <a:pt x="684" y="298"/>
                </a:lnTo>
                <a:lnTo>
                  <a:pt x="681" y="339"/>
                </a:lnTo>
                <a:lnTo>
                  <a:pt x="608" y="336"/>
                </a:lnTo>
                <a:lnTo>
                  <a:pt x="535" y="331"/>
                </a:lnTo>
                <a:lnTo>
                  <a:pt x="462" y="324"/>
                </a:lnTo>
                <a:lnTo>
                  <a:pt x="391" y="312"/>
                </a:lnTo>
                <a:lnTo>
                  <a:pt x="320" y="294"/>
                </a:lnTo>
                <a:lnTo>
                  <a:pt x="297" y="286"/>
                </a:lnTo>
                <a:lnTo>
                  <a:pt x="276" y="277"/>
                </a:lnTo>
                <a:lnTo>
                  <a:pt x="255" y="266"/>
                </a:lnTo>
                <a:lnTo>
                  <a:pt x="237" y="251"/>
                </a:lnTo>
                <a:lnTo>
                  <a:pt x="238" y="181"/>
                </a:lnTo>
                <a:lnTo>
                  <a:pt x="242" y="114"/>
                </a:lnTo>
                <a:lnTo>
                  <a:pt x="244" y="44"/>
                </a:lnTo>
                <a:lnTo>
                  <a:pt x="0" y="19"/>
                </a:lnTo>
                <a:lnTo>
                  <a:pt x="3" y="0"/>
                </a:lnTo>
                <a:close/>
              </a:path>
            </a:pathLst>
          </a:custGeom>
          <a:solidFill>
            <a:srgbClr val="00575D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3" name="Kansas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>
            <a:spLocks/>
          </xdr:cNvSpPr>
        </xdr:nvSpPr>
        <xdr:spPr bwMode="auto">
          <a:xfrm>
            <a:off x="4000500" y="2933700"/>
            <a:ext cx="1390650" cy="752475"/>
          </a:xfrm>
          <a:custGeom>
            <a:avLst/>
            <a:gdLst>
              <a:gd name="T0" fmla="*/ 23 w 586"/>
              <a:gd name="T1" fmla="*/ 0 h 313"/>
              <a:gd name="T2" fmla="*/ 282 w 586"/>
              <a:gd name="T3" fmla="*/ 3 h 313"/>
              <a:gd name="T4" fmla="*/ 540 w 586"/>
              <a:gd name="T5" fmla="*/ 6 h 313"/>
              <a:gd name="T6" fmla="*/ 565 w 586"/>
              <a:gd name="T7" fmla="*/ 27 h 313"/>
              <a:gd name="T8" fmla="*/ 558 w 586"/>
              <a:gd name="T9" fmla="*/ 41 h 313"/>
              <a:gd name="T10" fmla="*/ 557 w 586"/>
              <a:gd name="T11" fmla="*/ 56 h 313"/>
              <a:gd name="T12" fmla="*/ 561 w 586"/>
              <a:gd name="T13" fmla="*/ 70 h 313"/>
              <a:gd name="T14" fmla="*/ 568 w 586"/>
              <a:gd name="T15" fmla="*/ 82 h 313"/>
              <a:gd name="T16" fmla="*/ 580 w 586"/>
              <a:gd name="T17" fmla="*/ 91 h 313"/>
              <a:gd name="T18" fmla="*/ 586 w 586"/>
              <a:gd name="T19" fmla="*/ 310 h 313"/>
              <a:gd name="T20" fmla="*/ 440 w 586"/>
              <a:gd name="T21" fmla="*/ 313 h 313"/>
              <a:gd name="T22" fmla="*/ 293 w 586"/>
              <a:gd name="T23" fmla="*/ 311 h 313"/>
              <a:gd name="T24" fmla="*/ 146 w 586"/>
              <a:gd name="T25" fmla="*/ 306 h 313"/>
              <a:gd name="T26" fmla="*/ 0 w 586"/>
              <a:gd name="T27" fmla="*/ 298 h 313"/>
              <a:gd name="T28" fmla="*/ 23 w 586"/>
              <a:gd name="T29" fmla="*/ 0 h 3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</a:cxnLst>
            <a:rect l="0" t="0" r="r" b="b"/>
            <a:pathLst>
              <a:path w="586" h="313">
                <a:moveTo>
                  <a:pt x="23" y="0"/>
                </a:moveTo>
                <a:lnTo>
                  <a:pt x="282" y="3"/>
                </a:lnTo>
                <a:lnTo>
                  <a:pt x="540" y="6"/>
                </a:lnTo>
                <a:lnTo>
                  <a:pt x="565" y="27"/>
                </a:lnTo>
                <a:lnTo>
                  <a:pt x="558" y="41"/>
                </a:lnTo>
                <a:lnTo>
                  <a:pt x="557" y="56"/>
                </a:lnTo>
                <a:lnTo>
                  <a:pt x="561" y="70"/>
                </a:lnTo>
                <a:lnTo>
                  <a:pt x="568" y="82"/>
                </a:lnTo>
                <a:lnTo>
                  <a:pt x="580" y="91"/>
                </a:lnTo>
                <a:lnTo>
                  <a:pt x="586" y="310"/>
                </a:lnTo>
                <a:lnTo>
                  <a:pt x="440" y="313"/>
                </a:lnTo>
                <a:lnTo>
                  <a:pt x="293" y="311"/>
                </a:lnTo>
                <a:lnTo>
                  <a:pt x="146" y="306"/>
                </a:lnTo>
                <a:lnTo>
                  <a:pt x="0" y="298"/>
                </a:lnTo>
                <a:lnTo>
                  <a:pt x="23" y="0"/>
                </a:lnTo>
                <a:close/>
              </a:path>
            </a:pathLst>
          </a:custGeom>
          <a:solidFill>
            <a:srgbClr val="9DF09E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4" name="Nebraska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>
            <a:spLocks/>
          </xdr:cNvSpPr>
        </xdr:nvSpPr>
        <xdr:spPr bwMode="auto">
          <a:xfrm>
            <a:off x="3714750" y="2162175"/>
            <a:ext cx="1533525" cy="752475"/>
          </a:xfrm>
          <a:custGeom>
            <a:avLst/>
            <a:gdLst>
              <a:gd name="T0" fmla="*/ 15 w 645"/>
              <a:gd name="T1" fmla="*/ 0 h 314"/>
              <a:gd name="T2" fmla="*/ 211 w 645"/>
              <a:gd name="T3" fmla="*/ 11 h 314"/>
              <a:gd name="T4" fmla="*/ 407 w 645"/>
              <a:gd name="T5" fmla="*/ 26 h 314"/>
              <a:gd name="T6" fmla="*/ 422 w 645"/>
              <a:gd name="T7" fmla="*/ 28 h 314"/>
              <a:gd name="T8" fmla="*/ 437 w 645"/>
              <a:gd name="T9" fmla="*/ 33 h 314"/>
              <a:gd name="T10" fmla="*/ 451 w 645"/>
              <a:gd name="T11" fmla="*/ 37 h 314"/>
              <a:gd name="T12" fmla="*/ 466 w 645"/>
              <a:gd name="T13" fmla="*/ 41 h 314"/>
              <a:gd name="T14" fmla="*/ 481 w 645"/>
              <a:gd name="T15" fmla="*/ 40 h 314"/>
              <a:gd name="T16" fmla="*/ 497 w 645"/>
              <a:gd name="T17" fmla="*/ 40 h 314"/>
              <a:gd name="T18" fmla="*/ 513 w 645"/>
              <a:gd name="T19" fmla="*/ 41 h 314"/>
              <a:gd name="T20" fmla="*/ 530 w 645"/>
              <a:gd name="T21" fmla="*/ 45 h 314"/>
              <a:gd name="T22" fmla="*/ 544 w 645"/>
              <a:gd name="T23" fmla="*/ 52 h 314"/>
              <a:gd name="T24" fmla="*/ 556 w 645"/>
              <a:gd name="T25" fmla="*/ 63 h 314"/>
              <a:gd name="T26" fmla="*/ 565 w 645"/>
              <a:gd name="T27" fmla="*/ 77 h 314"/>
              <a:gd name="T28" fmla="*/ 580 w 645"/>
              <a:gd name="T29" fmla="*/ 116 h 314"/>
              <a:gd name="T30" fmla="*/ 594 w 645"/>
              <a:gd name="T31" fmla="*/ 156 h 314"/>
              <a:gd name="T32" fmla="*/ 604 w 645"/>
              <a:gd name="T33" fmla="*/ 197 h 314"/>
              <a:gd name="T34" fmla="*/ 611 w 645"/>
              <a:gd name="T35" fmla="*/ 239 h 314"/>
              <a:gd name="T36" fmla="*/ 612 w 645"/>
              <a:gd name="T37" fmla="*/ 282 h 314"/>
              <a:gd name="T38" fmla="*/ 630 w 645"/>
              <a:gd name="T39" fmla="*/ 279 h 314"/>
              <a:gd name="T40" fmla="*/ 645 w 645"/>
              <a:gd name="T41" fmla="*/ 314 h 314"/>
              <a:gd name="T42" fmla="*/ 143 w 645"/>
              <a:gd name="T43" fmla="*/ 305 h 314"/>
              <a:gd name="T44" fmla="*/ 147 w 645"/>
              <a:gd name="T45" fmla="*/ 271 h 314"/>
              <a:gd name="T46" fmla="*/ 150 w 645"/>
              <a:gd name="T47" fmla="*/ 239 h 314"/>
              <a:gd name="T48" fmla="*/ 150 w 645"/>
              <a:gd name="T49" fmla="*/ 206 h 314"/>
              <a:gd name="T50" fmla="*/ 0 w 645"/>
              <a:gd name="T51" fmla="*/ 193 h 314"/>
              <a:gd name="T52" fmla="*/ 8 w 645"/>
              <a:gd name="T53" fmla="*/ 96 h 314"/>
              <a:gd name="T54" fmla="*/ 15 w 645"/>
              <a:gd name="T55" fmla="*/ 0 h 3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</a:cxnLst>
            <a:rect l="0" t="0" r="r" b="b"/>
            <a:pathLst>
              <a:path w="645" h="314">
                <a:moveTo>
                  <a:pt x="15" y="0"/>
                </a:moveTo>
                <a:lnTo>
                  <a:pt x="211" y="11"/>
                </a:lnTo>
                <a:lnTo>
                  <a:pt x="407" y="26"/>
                </a:lnTo>
                <a:lnTo>
                  <a:pt x="422" y="28"/>
                </a:lnTo>
                <a:lnTo>
                  <a:pt x="437" y="33"/>
                </a:lnTo>
                <a:lnTo>
                  <a:pt x="451" y="37"/>
                </a:lnTo>
                <a:lnTo>
                  <a:pt x="466" y="41"/>
                </a:lnTo>
                <a:lnTo>
                  <a:pt x="481" y="40"/>
                </a:lnTo>
                <a:lnTo>
                  <a:pt x="497" y="40"/>
                </a:lnTo>
                <a:lnTo>
                  <a:pt x="513" y="41"/>
                </a:lnTo>
                <a:lnTo>
                  <a:pt x="530" y="45"/>
                </a:lnTo>
                <a:lnTo>
                  <a:pt x="544" y="52"/>
                </a:lnTo>
                <a:lnTo>
                  <a:pt x="556" y="63"/>
                </a:lnTo>
                <a:lnTo>
                  <a:pt x="565" y="77"/>
                </a:lnTo>
                <a:lnTo>
                  <a:pt x="580" y="116"/>
                </a:lnTo>
                <a:lnTo>
                  <a:pt x="594" y="156"/>
                </a:lnTo>
                <a:lnTo>
                  <a:pt x="604" y="197"/>
                </a:lnTo>
                <a:lnTo>
                  <a:pt x="611" y="239"/>
                </a:lnTo>
                <a:lnTo>
                  <a:pt x="612" y="282"/>
                </a:lnTo>
                <a:lnTo>
                  <a:pt x="630" y="279"/>
                </a:lnTo>
                <a:lnTo>
                  <a:pt x="645" y="314"/>
                </a:lnTo>
                <a:lnTo>
                  <a:pt x="143" y="305"/>
                </a:lnTo>
                <a:lnTo>
                  <a:pt x="147" y="271"/>
                </a:lnTo>
                <a:lnTo>
                  <a:pt x="150" y="239"/>
                </a:lnTo>
                <a:lnTo>
                  <a:pt x="150" y="206"/>
                </a:lnTo>
                <a:lnTo>
                  <a:pt x="0" y="193"/>
                </a:lnTo>
                <a:lnTo>
                  <a:pt x="8" y="96"/>
                </a:lnTo>
                <a:lnTo>
                  <a:pt x="15" y="0"/>
                </a:lnTo>
                <a:close/>
              </a:path>
            </a:pathLst>
          </a:custGeom>
          <a:solidFill>
            <a:srgbClr val="008375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5" name="South Dakota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>
            <a:spLocks/>
          </xdr:cNvSpPr>
        </xdr:nvSpPr>
        <xdr:spPr bwMode="auto">
          <a:xfrm>
            <a:off x="3752850" y="1466850"/>
            <a:ext cx="1314450" cy="790575"/>
          </a:xfrm>
          <a:custGeom>
            <a:avLst/>
            <a:gdLst>
              <a:gd name="T0" fmla="*/ 23 w 551"/>
              <a:gd name="T1" fmla="*/ 0 h 330"/>
              <a:gd name="T2" fmla="*/ 540 w 551"/>
              <a:gd name="T3" fmla="*/ 15 h 330"/>
              <a:gd name="T4" fmla="*/ 535 w 551"/>
              <a:gd name="T5" fmla="*/ 32 h 330"/>
              <a:gd name="T6" fmla="*/ 535 w 551"/>
              <a:gd name="T7" fmla="*/ 49 h 330"/>
              <a:gd name="T8" fmla="*/ 540 w 551"/>
              <a:gd name="T9" fmla="*/ 65 h 330"/>
              <a:gd name="T10" fmla="*/ 544 w 551"/>
              <a:gd name="T11" fmla="*/ 81 h 330"/>
              <a:gd name="T12" fmla="*/ 548 w 551"/>
              <a:gd name="T13" fmla="*/ 97 h 330"/>
              <a:gd name="T14" fmla="*/ 548 w 551"/>
              <a:gd name="T15" fmla="*/ 114 h 330"/>
              <a:gd name="T16" fmla="*/ 548 w 551"/>
              <a:gd name="T17" fmla="*/ 157 h 330"/>
              <a:gd name="T18" fmla="*/ 550 w 551"/>
              <a:gd name="T19" fmla="*/ 201 h 330"/>
              <a:gd name="T20" fmla="*/ 551 w 551"/>
              <a:gd name="T21" fmla="*/ 245 h 330"/>
              <a:gd name="T22" fmla="*/ 548 w 551"/>
              <a:gd name="T23" fmla="*/ 288 h 330"/>
              <a:gd name="T24" fmla="*/ 539 w 551"/>
              <a:gd name="T25" fmla="*/ 330 h 330"/>
              <a:gd name="T26" fmla="*/ 518 w 551"/>
              <a:gd name="T27" fmla="*/ 321 h 330"/>
              <a:gd name="T28" fmla="*/ 496 w 551"/>
              <a:gd name="T29" fmla="*/ 318 h 330"/>
              <a:gd name="T30" fmla="*/ 475 w 551"/>
              <a:gd name="T31" fmla="*/ 315 h 330"/>
              <a:gd name="T32" fmla="*/ 453 w 551"/>
              <a:gd name="T33" fmla="*/ 314 h 330"/>
              <a:gd name="T34" fmla="*/ 431 w 551"/>
              <a:gd name="T35" fmla="*/ 311 h 330"/>
              <a:gd name="T36" fmla="*/ 411 w 551"/>
              <a:gd name="T37" fmla="*/ 303 h 330"/>
              <a:gd name="T38" fmla="*/ 274 w 551"/>
              <a:gd name="T39" fmla="*/ 292 h 330"/>
              <a:gd name="T40" fmla="*/ 137 w 551"/>
              <a:gd name="T41" fmla="*/ 283 h 330"/>
              <a:gd name="T42" fmla="*/ 0 w 551"/>
              <a:gd name="T43" fmla="*/ 274 h 330"/>
              <a:gd name="T44" fmla="*/ 11 w 551"/>
              <a:gd name="T45" fmla="*/ 137 h 330"/>
              <a:gd name="T46" fmla="*/ 23 w 551"/>
              <a:gd name="T47" fmla="*/ 0 h 33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551" h="330">
                <a:moveTo>
                  <a:pt x="23" y="0"/>
                </a:moveTo>
                <a:lnTo>
                  <a:pt x="540" y="15"/>
                </a:lnTo>
                <a:lnTo>
                  <a:pt x="535" y="32"/>
                </a:lnTo>
                <a:lnTo>
                  <a:pt x="535" y="49"/>
                </a:lnTo>
                <a:lnTo>
                  <a:pt x="540" y="65"/>
                </a:lnTo>
                <a:lnTo>
                  <a:pt x="544" y="81"/>
                </a:lnTo>
                <a:lnTo>
                  <a:pt x="548" y="97"/>
                </a:lnTo>
                <a:lnTo>
                  <a:pt x="548" y="114"/>
                </a:lnTo>
                <a:lnTo>
                  <a:pt x="548" y="157"/>
                </a:lnTo>
                <a:lnTo>
                  <a:pt x="550" y="201"/>
                </a:lnTo>
                <a:lnTo>
                  <a:pt x="551" y="245"/>
                </a:lnTo>
                <a:lnTo>
                  <a:pt x="548" y="288"/>
                </a:lnTo>
                <a:lnTo>
                  <a:pt x="539" y="330"/>
                </a:lnTo>
                <a:lnTo>
                  <a:pt x="518" y="321"/>
                </a:lnTo>
                <a:lnTo>
                  <a:pt x="496" y="318"/>
                </a:lnTo>
                <a:lnTo>
                  <a:pt x="475" y="315"/>
                </a:lnTo>
                <a:lnTo>
                  <a:pt x="453" y="314"/>
                </a:lnTo>
                <a:lnTo>
                  <a:pt x="431" y="311"/>
                </a:lnTo>
                <a:lnTo>
                  <a:pt x="411" y="303"/>
                </a:lnTo>
                <a:lnTo>
                  <a:pt x="274" y="292"/>
                </a:lnTo>
                <a:lnTo>
                  <a:pt x="137" y="283"/>
                </a:lnTo>
                <a:lnTo>
                  <a:pt x="0" y="274"/>
                </a:lnTo>
                <a:lnTo>
                  <a:pt x="11" y="137"/>
                </a:lnTo>
                <a:lnTo>
                  <a:pt x="23" y="0"/>
                </a:lnTo>
                <a:close/>
              </a:path>
            </a:pathLst>
          </a:custGeom>
          <a:solidFill>
            <a:srgbClr val="00575D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6" name="North Dakota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>
            <a:spLocks/>
          </xdr:cNvSpPr>
        </xdr:nvSpPr>
        <xdr:spPr bwMode="auto">
          <a:xfrm>
            <a:off x="3810000" y="752475"/>
            <a:ext cx="1238250" cy="714375"/>
          </a:xfrm>
          <a:custGeom>
            <a:avLst/>
            <a:gdLst>
              <a:gd name="T0" fmla="*/ 24 w 518"/>
              <a:gd name="T1" fmla="*/ 0 h 301"/>
              <a:gd name="T2" fmla="*/ 252 w 518"/>
              <a:gd name="T3" fmla="*/ 16 h 301"/>
              <a:gd name="T4" fmla="*/ 481 w 518"/>
              <a:gd name="T5" fmla="*/ 28 h 301"/>
              <a:gd name="T6" fmla="*/ 500 w 518"/>
              <a:gd name="T7" fmla="*/ 164 h 301"/>
              <a:gd name="T8" fmla="*/ 518 w 518"/>
              <a:gd name="T9" fmla="*/ 301 h 301"/>
              <a:gd name="T10" fmla="*/ 259 w 518"/>
              <a:gd name="T11" fmla="*/ 293 h 301"/>
              <a:gd name="T12" fmla="*/ 0 w 518"/>
              <a:gd name="T13" fmla="*/ 284 h 301"/>
              <a:gd name="T14" fmla="*/ 24 w 518"/>
              <a:gd name="T15" fmla="*/ 0 h 30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518" h="301">
                <a:moveTo>
                  <a:pt x="24" y="0"/>
                </a:moveTo>
                <a:lnTo>
                  <a:pt x="252" y="16"/>
                </a:lnTo>
                <a:lnTo>
                  <a:pt x="481" y="28"/>
                </a:lnTo>
                <a:lnTo>
                  <a:pt x="500" y="164"/>
                </a:lnTo>
                <a:lnTo>
                  <a:pt x="518" y="301"/>
                </a:lnTo>
                <a:lnTo>
                  <a:pt x="259" y="293"/>
                </a:lnTo>
                <a:lnTo>
                  <a:pt x="0" y="284"/>
                </a:lnTo>
                <a:lnTo>
                  <a:pt x="24" y="0"/>
                </a:lnTo>
                <a:close/>
              </a:path>
            </a:pathLst>
          </a:custGeom>
          <a:solidFill>
            <a:srgbClr val="008375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7" name="Colorado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SpPr>
            <a:spLocks/>
          </xdr:cNvSpPr>
        </xdr:nvSpPr>
        <xdr:spPr bwMode="auto">
          <a:xfrm>
            <a:off x="2657475" y="2571750"/>
            <a:ext cx="1371600" cy="1066800"/>
          </a:xfrm>
          <a:custGeom>
            <a:avLst/>
            <a:gdLst>
              <a:gd name="T0" fmla="*/ 57 w 575"/>
              <a:gd name="T1" fmla="*/ 0 h 450"/>
              <a:gd name="T2" fmla="*/ 230 w 575"/>
              <a:gd name="T3" fmla="*/ 19 h 450"/>
              <a:gd name="T4" fmla="*/ 402 w 575"/>
              <a:gd name="T5" fmla="*/ 39 h 450"/>
              <a:gd name="T6" fmla="*/ 575 w 575"/>
              <a:gd name="T7" fmla="*/ 51 h 450"/>
              <a:gd name="T8" fmla="*/ 543 w 575"/>
              <a:gd name="T9" fmla="*/ 450 h 450"/>
              <a:gd name="T10" fmla="*/ 363 w 575"/>
              <a:gd name="T11" fmla="*/ 434 h 450"/>
              <a:gd name="T12" fmla="*/ 181 w 575"/>
              <a:gd name="T13" fmla="*/ 414 h 450"/>
              <a:gd name="T14" fmla="*/ 0 w 575"/>
              <a:gd name="T15" fmla="*/ 391 h 450"/>
              <a:gd name="T16" fmla="*/ 29 w 575"/>
              <a:gd name="T17" fmla="*/ 195 h 450"/>
              <a:gd name="T18" fmla="*/ 57 w 575"/>
              <a:gd name="T19" fmla="*/ 0 h 45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575" h="450">
                <a:moveTo>
                  <a:pt x="57" y="0"/>
                </a:moveTo>
                <a:lnTo>
                  <a:pt x="230" y="19"/>
                </a:lnTo>
                <a:lnTo>
                  <a:pt x="402" y="39"/>
                </a:lnTo>
                <a:lnTo>
                  <a:pt x="575" y="51"/>
                </a:lnTo>
                <a:lnTo>
                  <a:pt x="543" y="450"/>
                </a:lnTo>
                <a:lnTo>
                  <a:pt x="363" y="434"/>
                </a:lnTo>
                <a:lnTo>
                  <a:pt x="181" y="414"/>
                </a:lnTo>
                <a:lnTo>
                  <a:pt x="0" y="391"/>
                </a:lnTo>
                <a:lnTo>
                  <a:pt x="29" y="195"/>
                </a:lnTo>
                <a:lnTo>
                  <a:pt x="57" y="0"/>
                </a:lnTo>
                <a:close/>
              </a:path>
            </a:pathLst>
          </a:custGeom>
          <a:solidFill>
            <a:srgbClr val="008375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8" name="Montana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SpPr>
            <a:spLocks/>
          </xdr:cNvSpPr>
        </xdr:nvSpPr>
        <xdr:spPr bwMode="auto">
          <a:xfrm>
            <a:off x="1914525" y="466725"/>
            <a:ext cx="1914525" cy="1171575"/>
          </a:xfrm>
          <a:custGeom>
            <a:avLst/>
            <a:gdLst>
              <a:gd name="T0" fmla="*/ 5 w 801"/>
              <a:gd name="T1" fmla="*/ 0 h 493"/>
              <a:gd name="T2" fmla="*/ 204 w 801"/>
              <a:gd name="T3" fmla="*/ 39 h 493"/>
              <a:gd name="T4" fmla="*/ 402 w 801"/>
              <a:gd name="T5" fmla="*/ 71 h 493"/>
              <a:gd name="T6" fmla="*/ 602 w 801"/>
              <a:gd name="T7" fmla="*/ 98 h 493"/>
              <a:gd name="T8" fmla="*/ 801 w 801"/>
              <a:gd name="T9" fmla="*/ 119 h 493"/>
              <a:gd name="T10" fmla="*/ 787 w 801"/>
              <a:gd name="T11" fmla="*/ 306 h 493"/>
              <a:gd name="T12" fmla="*/ 771 w 801"/>
              <a:gd name="T13" fmla="*/ 493 h 493"/>
              <a:gd name="T14" fmla="*/ 645 w 801"/>
              <a:gd name="T15" fmla="*/ 483 h 493"/>
              <a:gd name="T16" fmla="*/ 521 w 801"/>
              <a:gd name="T17" fmla="*/ 469 h 493"/>
              <a:gd name="T18" fmla="*/ 396 w 801"/>
              <a:gd name="T19" fmla="*/ 452 h 493"/>
              <a:gd name="T20" fmla="*/ 271 w 801"/>
              <a:gd name="T21" fmla="*/ 437 h 493"/>
              <a:gd name="T22" fmla="*/ 265 w 801"/>
              <a:gd name="T23" fmla="*/ 474 h 493"/>
              <a:gd name="T24" fmla="*/ 236 w 801"/>
              <a:gd name="T25" fmla="*/ 477 h 493"/>
              <a:gd name="T26" fmla="*/ 206 w 801"/>
              <a:gd name="T27" fmla="*/ 481 h 493"/>
              <a:gd name="T28" fmla="*/ 178 w 801"/>
              <a:gd name="T29" fmla="*/ 483 h 493"/>
              <a:gd name="T30" fmla="*/ 149 w 801"/>
              <a:gd name="T31" fmla="*/ 482 h 493"/>
              <a:gd name="T32" fmla="*/ 141 w 801"/>
              <a:gd name="T33" fmla="*/ 478 h 493"/>
              <a:gd name="T34" fmla="*/ 135 w 801"/>
              <a:gd name="T35" fmla="*/ 472 h 493"/>
              <a:gd name="T36" fmla="*/ 131 w 801"/>
              <a:gd name="T37" fmla="*/ 464 h 493"/>
              <a:gd name="T38" fmla="*/ 129 w 801"/>
              <a:gd name="T39" fmla="*/ 455 h 493"/>
              <a:gd name="T40" fmla="*/ 120 w 801"/>
              <a:gd name="T41" fmla="*/ 413 h 493"/>
              <a:gd name="T42" fmla="*/ 108 w 801"/>
              <a:gd name="T43" fmla="*/ 372 h 493"/>
              <a:gd name="T44" fmla="*/ 97 w 801"/>
              <a:gd name="T45" fmla="*/ 329 h 493"/>
              <a:gd name="T46" fmla="*/ 54 w 801"/>
              <a:gd name="T47" fmla="*/ 342 h 493"/>
              <a:gd name="T48" fmla="*/ 55 w 801"/>
              <a:gd name="T49" fmla="*/ 317 h 493"/>
              <a:gd name="T50" fmla="*/ 53 w 801"/>
              <a:gd name="T51" fmla="*/ 291 h 493"/>
              <a:gd name="T52" fmla="*/ 59 w 801"/>
              <a:gd name="T53" fmla="*/ 282 h 493"/>
              <a:gd name="T54" fmla="*/ 67 w 801"/>
              <a:gd name="T55" fmla="*/ 274 h 493"/>
              <a:gd name="T56" fmla="*/ 73 w 801"/>
              <a:gd name="T57" fmla="*/ 265 h 493"/>
              <a:gd name="T58" fmla="*/ 78 w 801"/>
              <a:gd name="T59" fmla="*/ 255 h 493"/>
              <a:gd name="T60" fmla="*/ 79 w 801"/>
              <a:gd name="T61" fmla="*/ 245 h 493"/>
              <a:gd name="T62" fmla="*/ 62 w 801"/>
              <a:gd name="T63" fmla="*/ 226 h 493"/>
              <a:gd name="T64" fmla="*/ 45 w 801"/>
              <a:gd name="T65" fmla="*/ 205 h 493"/>
              <a:gd name="T66" fmla="*/ 30 w 801"/>
              <a:gd name="T67" fmla="*/ 183 h 493"/>
              <a:gd name="T68" fmla="*/ 17 w 801"/>
              <a:gd name="T69" fmla="*/ 160 h 493"/>
              <a:gd name="T70" fmla="*/ 9 w 801"/>
              <a:gd name="T71" fmla="*/ 136 h 493"/>
              <a:gd name="T72" fmla="*/ 8 w 801"/>
              <a:gd name="T73" fmla="*/ 109 h 493"/>
              <a:gd name="T74" fmla="*/ 0 w 801"/>
              <a:gd name="T75" fmla="*/ 82 h 493"/>
              <a:gd name="T76" fmla="*/ 0 w 801"/>
              <a:gd name="T77" fmla="*/ 55 h 493"/>
              <a:gd name="T78" fmla="*/ 3 w 801"/>
              <a:gd name="T79" fmla="*/ 27 h 493"/>
              <a:gd name="T80" fmla="*/ 5 w 801"/>
              <a:gd name="T81" fmla="*/ 0 h 4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</a:cxnLst>
            <a:rect l="0" t="0" r="r" b="b"/>
            <a:pathLst>
              <a:path w="801" h="493">
                <a:moveTo>
                  <a:pt x="5" y="0"/>
                </a:moveTo>
                <a:lnTo>
                  <a:pt x="204" y="39"/>
                </a:lnTo>
                <a:lnTo>
                  <a:pt x="402" y="71"/>
                </a:lnTo>
                <a:lnTo>
                  <a:pt x="602" y="98"/>
                </a:lnTo>
                <a:lnTo>
                  <a:pt x="801" y="119"/>
                </a:lnTo>
                <a:lnTo>
                  <a:pt x="787" y="306"/>
                </a:lnTo>
                <a:lnTo>
                  <a:pt x="771" y="493"/>
                </a:lnTo>
                <a:lnTo>
                  <a:pt x="645" y="483"/>
                </a:lnTo>
                <a:lnTo>
                  <a:pt x="521" y="469"/>
                </a:lnTo>
                <a:lnTo>
                  <a:pt x="396" y="452"/>
                </a:lnTo>
                <a:lnTo>
                  <a:pt x="271" y="437"/>
                </a:lnTo>
                <a:lnTo>
                  <a:pt x="265" y="474"/>
                </a:lnTo>
                <a:lnTo>
                  <a:pt x="236" y="477"/>
                </a:lnTo>
                <a:lnTo>
                  <a:pt x="206" y="481"/>
                </a:lnTo>
                <a:lnTo>
                  <a:pt x="178" y="483"/>
                </a:lnTo>
                <a:lnTo>
                  <a:pt x="149" y="482"/>
                </a:lnTo>
                <a:lnTo>
                  <a:pt x="141" y="478"/>
                </a:lnTo>
                <a:lnTo>
                  <a:pt x="135" y="472"/>
                </a:lnTo>
                <a:lnTo>
                  <a:pt x="131" y="464"/>
                </a:lnTo>
                <a:lnTo>
                  <a:pt x="129" y="455"/>
                </a:lnTo>
                <a:lnTo>
                  <a:pt x="120" y="413"/>
                </a:lnTo>
                <a:lnTo>
                  <a:pt x="108" y="372"/>
                </a:lnTo>
                <a:lnTo>
                  <a:pt x="97" y="329"/>
                </a:lnTo>
                <a:lnTo>
                  <a:pt x="54" y="342"/>
                </a:lnTo>
                <a:lnTo>
                  <a:pt x="55" y="317"/>
                </a:lnTo>
                <a:lnTo>
                  <a:pt x="53" y="291"/>
                </a:lnTo>
                <a:lnTo>
                  <a:pt x="59" y="282"/>
                </a:lnTo>
                <a:lnTo>
                  <a:pt x="67" y="274"/>
                </a:lnTo>
                <a:lnTo>
                  <a:pt x="73" y="265"/>
                </a:lnTo>
                <a:lnTo>
                  <a:pt x="78" y="255"/>
                </a:lnTo>
                <a:lnTo>
                  <a:pt x="79" y="245"/>
                </a:lnTo>
                <a:lnTo>
                  <a:pt x="62" y="226"/>
                </a:lnTo>
                <a:lnTo>
                  <a:pt x="45" y="205"/>
                </a:lnTo>
                <a:lnTo>
                  <a:pt x="30" y="183"/>
                </a:lnTo>
                <a:lnTo>
                  <a:pt x="17" y="160"/>
                </a:lnTo>
                <a:lnTo>
                  <a:pt x="9" y="136"/>
                </a:lnTo>
                <a:lnTo>
                  <a:pt x="8" y="109"/>
                </a:lnTo>
                <a:lnTo>
                  <a:pt x="0" y="82"/>
                </a:lnTo>
                <a:lnTo>
                  <a:pt x="0" y="55"/>
                </a:lnTo>
                <a:lnTo>
                  <a:pt x="3" y="27"/>
                </a:lnTo>
                <a:lnTo>
                  <a:pt x="5" y="0"/>
                </a:lnTo>
                <a:close/>
              </a:path>
            </a:pathLst>
          </a:custGeom>
          <a:solidFill>
            <a:srgbClr val="008375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9" name="Wyoming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>
            <a:spLocks/>
          </xdr:cNvSpPr>
        </xdr:nvSpPr>
        <xdr:spPr bwMode="auto">
          <a:xfrm>
            <a:off x="2428875" y="1543050"/>
            <a:ext cx="1314450" cy="1085850"/>
          </a:xfrm>
          <a:custGeom>
            <a:avLst/>
            <a:gdLst>
              <a:gd name="T0" fmla="*/ 70 w 554"/>
              <a:gd name="T1" fmla="*/ 0 h 453"/>
              <a:gd name="T2" fmla="*/ 232 w 554"/>
              <a:gd name="T3" fmla="*/ 23 h 453"/>
              <a:gd name="T4" fmla="*/ 393 w 554"/>
              <a:gd name="T5" fmla="*/ 39 h 453"/>
              <a:gd name="T6" fmla="*/ 554 w 554"/>
              <a:gd name="T7" fmla="*/ 57 h 453"/>
              <a:gd name="T8" fmla="*/ 545 w 554"/>
              <a:gd name="T9" fmla="*/ 189 h 453"/>
              <a:gd name="T10" fmla="*/ 535 w 554"/>
              <a:gd name="T11" fmla="*/ 321 h 453"/>
              <a:gd name="T12" fmla="*/ 522 w 554"/>
              <a:gd name="T13" fmla="*/ 453 h 453"/>
              <a:gd name="T14" fmla="*/ 348 w 554"/>
              <a:gd name="T15" fmla="*/ 436 h 453"/>
              <a:gd name="T16" fmla="*/ 174 w 554"/>
              <a:gd name="T17" fmla="*/ 415 h 453"/>
              <a:gd name="T18" fmla="*/ 0 w 554"/>
              <a:gd name="T19" fmla="*/ 389 h 453"/>
              <a:gd name="T20" fmla="*/ 36 w 554"/>
              <a:gd name="T21" fmla="*/ 194 h 453"/>
              <a:gd name="T22" fmla="*/ 70 w 554"/>
              <a:gd name="T23" fmla="*/ 0 h 45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554" h="453">
                <a:moveTo>
                  <a:pt x="70" y="0"/>
                </a:moveTo>
                <a:lnTo>
                  <a:pt x="232" y="23"/>
                </a:lnTo>
                <a:lnTo>
                  <a:pt x="393" y="39"/>
                </a:lnTo>
                <a:lnTo>
                  <a:pt x="554" y="57"/>
                </a:lnTo>
                <a:lnTo>
                  <a:pt x="545" y="189"/>
                </a:lnTo>
                <a:lnTo>
                  <a:pt x="535" y="321"/>
                </a:lnTo>
                <a:lnTo>
                  <a:pt x="522" y="453"/>
                </a:lnTo>
                <a:lnTo>
                  <a:pt x="348" y="436"/>
                </a:lnTo>
                <a:lnTo>
                  <a:pt x="174" y="415"/>
                </a:lnTo>
                <a:lnTo>
                  <a:pt x="0" y="389"/>
                </a:lnTo>
                <a:lnTo>
                  <a:pt x="36" y="194"/>
                </a:lnTo>
                <a:lnTo>
                  <a:pt x="70" y="0"/>
                </a:lnTo>
                <a:close/>
              </a:path>
            </a:pathLst>
          </a:custGeom>
          <a:solidFill>
            <a:srgbClr val="008375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00" name="New Mexico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SpPr>
            <a:spLocks/>
          </xdr:cNvSpPr>
        </xdr:nvSpPr>
        <xdr:spPr bwMode="auto">
          <a:xfrm>
            <a:off x="2457450" y="3543300"/>
            <a:ext cx="1333500" cy="1343025"/>
          </a:xfrm>
          <a:custGeom>
            <a:avLst/>
            <a:gdLst>
              <a:gd name="T0" fmla="*/ 82 w 558"/>
              <a:gd name="T1" fmla="*/ 0 h 564"/>
              <a:gd name="T2" fmla="*/ 241 w 558"/>
              <a:gd name="T3" fmla="*/ 21 h 564"/>
              <a:gd name="T4" fmla="*/ 399 w 558"/>
              <a:gd name="T5" fmla="*/ 39 h 564"/>
              <a:gd name="T6" fmla="*/ 558 w 558"/>
              <a:gd name="T7" fmla="*/ 55 h 564"/>
              <a:gd name="T8" fmla="*/ 508 w 558"/>
              <a:gd name="T9" fmla="*/ 544 h 564"/>
              <a:gd name="T10" fmla="*/ 440 w 558"/>
              <a:gd name="T11" fmla="*/ 537 h 564"/>
              <a:gd name="T12" fmla="*/ 371 w 558"/>
              <a:gd name="T13" fmla="*/ 531 h 564"/>
              <a:gd name="T14" fmla="*/ 302 w 558"/>
              <a:gd name="T15" fmla="*/ 525 h 564"/>
              <a:gd name="T16" fmla="*/ 233 w 558"/>
              <a:gd name="T17" fmla="*/ 522 h 564"/>
              <a:gd name="T18" fmla="*/ 164 w 558"/>
              <a:gd name="T19" fmla="*/ 525 h 564"/>
              <a:gd name="T20" fmla="*/ 142 w 558"/>
              <a:gd name="T21" fmla="*/ 528 h 564"/>
              <a:gd name="T22" fmla="*/ 119 w 558"/>
              <a:gd name="T23" fmla="*/ 530 h 564"/>
              <a:gd name="T24" fmla="*/ 97 w 558"/>
              <a:gd name="T25" fmla="*/ 527 h 564"/>
              <a:gd name="T26" fmla="*/ 75 w 558"/>
              <a:gd name="T27" fmla="*/ 519 h 564"/>
              <a:gd name="T28" fmla="*/ 65 w 558"/>
              <a:gd name="T29" fmla="*/ 519 h 564"/>
              <a:gd name="T30" fmla="*/ 59 w 558"/>
              <a:gd name="T31" fmla="*/ 522 h 564"/>
              <a:gd name="T32" fmla="*/ 54 w 558"/>
              <a:gd name="T33" fmla="*/ 528 h 564"/>
              <a:gd name="T34" fmla="*/ 51 w 558"/>
              <a:gd name="T35" fmla="*/ 537 h 564"/>
              <a:gd name="T36" fmla="*/ 51 w 558"/>
              <a:gd name="T37" fmla="*/ 546 h 564"/>
              <a:gd name="T38" fmla="*/ 52 w 558"/>
              <a:gd name="T39" fmla="*/ 555 h 564"/>
              <a:gd name="T40" fmla="*/ 54 w 558"/>
              <a:gd name="T41" fmla="*/ 564 h 564"/>
              <a:gd name="T42" fmla="*/ 0 w 558"/>
              <a:gd name="T43" fmla="*/ 560 h 564"/>
              <a:gd name="T44" fmla="*/ 27 w 558"/>
              <a:gd name="T45" fmla="*/ 373 h 564"/>
              <a:gd name="T46" fmla="*/ 55 w 558"/>
              <a:gd name="T47" fmla="*/ 186 h 564"/>
              <a:gd name="T48" fmla="*/ 82 w 558"/>
              <a:gd name="T49" fmla="*/ 0 h 56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</a:cxnLst>
            <a:rect l="0" t="0" r="r" b="b"/>
            <a:pathLst>
              <a:path w="558" h="564">
                <a:moveTo>
                  <a:pt x="82" y="0"/>
                </a:moveTo>
                <a:lnTo>
                  <a:pt x="241" y="21"/>
                </a:lnTo>
                <a:lnTo>
                  <a:pt x="399" y="39"/>
                </a:lnTo>
                <a:lnTo>
                  <a:pt x="558" y="55"/>
                </a:lnTo>
                <a:lnTo>
                  <a:pt x="508" y="544"/>
                </a:lnTo>
                <a:lnTo>
                  <a:pt x="440" y="537"/>
                </a:lnTo>
                <a:lnTo>
                  <a:pt x="371" y="531"/>
                </a:lnTo>
                <a:lnTo>
                  <a:pt x="302" y="525"/>
                </a:lnTo>
                <a:lnTo>
                  <a:pt x="233" y="522"/>
                </a:lnTo>
                <a:lnTo>
                  <a:pt x="164" y="525"/>
                </a:lnTo>
                <a:lnTo>
                  <a:pt x="142" y="528"/>
                </a:lnTo>
                <a:lnTo>
                  <a:pt x="119" y="530"/>
                </a:lnTo>
                <a:lnTo>
                  <a:pt x="97" y="527"/>
                </a:lnTo>
                <a:lnTo>
                  <a:pt x="75" y="519"/>
                </a:lnTo>
                <a:lnTo>
                  <a:pt x="65" y="519"/>
                </a:lnTo>
                <a:lnTo>
                  <a:pt x="59" y="522"/>
                </a:lnTo>
                <a:lnTo>
                  <a:pt x="54" y="528"/>
                </a:lnTo>
                <a:lnTo>
                  <a:pt x="51" y="537"/>
                </a:lnTo>
                <a:lnTo>
                  <a:pt x="51" y="546"/>
                </a:lnTo>
                <a:lnTo>
                  <a:pt x="52" y="555"/>
                </a:lnTo>
                <a:lnTo>
                  <a:pt x="54" y="564"/>
                </a:lnTo>
                <a:lnTo>
                  <a:pt x="0" y="560"/>
                </a:lnTo>
                <a:lnTo>
                  <a:pt x="27" y="373"/>
                </a:lnTo>
                <a:lnTo>
                  <a:pt x="55" y="186"/>
                </a:lnTo>
                <a:lnTo>
                  <a:pt x="82" y="0"/>
                </a:lnTo>
                <a:close/>
              </a:path>
            </a:pathLst>
          </a:custGeom>
          <a:solidFill>
            <a:srgbClr val="FFFFFF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01" name="Utah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SpPr>
            <a:spLocks/>
          </xdr:cNvSpPr>
        </xdr:nvSpPr>
        <xdr:spPr bwMode="auto">
          <a:xfrm>
            <a:off x="1714500" y="2181225"/>
            <a:ext cx="1038225" cy="1314450"/>
          </a:xfrm>
          <a:custGeom>
            <a:avLst/>
            <a:gdLst>
              <a:gd name="T0" fmla="*/ 95 w 435"/>
              <a:gd name="T1" fmla="*/ 0 h 549"/>
              <a:gd name="T2" fmla="*/ 146 w 435"/>
              <a:gd name="T3" fmla="*/ 7 h 549"/>
              <a:gd name="T4" fmla="*/ 196 w 435"/>
              <a:gd name="T5" fmla="*/ 18 h 549"/>
              <a:gd name="T6" fmla="*/ 246 w 435"/>
              <a:gd name="T7" fmla="*/ 25 h 549"/>
              <a:gd name="T8" fmla="*/ 296 w 435"/>
              <a:gd name="T9" fmla="*/ 30 h 549"/>
              <a:gd name="T10" fmla="*/ 278 w 435"/>
              <a:gd name="T11" fmla="*/ 131 h 549"/>
              <a:gd name="T12" fmla="*/ 316 w 435"/>
              <a:gd name="T13" fmla="*/ 142 h 549"/>
              <a:gd name="T14" fmla="*/ 356 w 435"/>
              <a:gd name="T15" fmla="*/ 147 h 549"/>
              <a:gd name="T16" fmla="*/ 395 w 435"/>
              <a:gd name="T17" fmla="*/ 152 h 549"/>
              <a:gd name="T18" fmla="*/ 435 w 435"/>
              <a:gd name="T19" fmla="*/ 160 h 549"/>
              <a:gd name="T20" fmla="*/ 378 w 435"/>
              <a:gd name="T21" fmla="*/ 549 h 549"/>
              <a:gd name="T22" fmla="*/ 251 w 435"/>
              <a:gd name="T23" fmla="*/ 530 h 549"/>
              <a:gd name="T24" fmla="*/ 125 w 435"/>
              <a:gd name="T25" fmla="*/ 508 h 549"/>
              <a:gd name="T26" fmla="*/ 0 w 435"/>
              <a:gd name="T27" fmla="*/ 484 h 549"/>
              <a:gd name="T28" fmla="*/ 31 w 435"/>
              <a:gd name="T29" fmla="*/ 322 h 549"/>
              <a:gd name="T30" fmla="*/ 63 w 435"/>
              <a:gd name="T31" fmla="*/ 161 h 549"/>
              <a:gd name="T32" fmla="*/ 95 w 435"/>
              <a:gd name="T33" fmla="*/ 0 h 54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435" h="549">
                <a:moveTo>
                  <a:pt x="95" y="0"/>
                </a:moveTo>
                <a:lnTo>
                  <a:pt x="146" y="7"/>
                </a:lnTo>
                <a:lnTo>
                  <a:pt x="196" y="18"/>
                </a:lnTo>
                <a:lnTo>
                  <a:pt x="246" y="25"/>
                </a:lnTo>
                <a:lnTo>
                  <a:pt x="296" y="30"/>
                </a:lnTo>
                <a:lnTo>
                  <a:pt x="278" y="131"/>
                </a:lnTo>
                <a:lnTo>
                  <a:pt x="316" y="142"/>
                </a:lnTo>
                <a:lnTo>
                  <a:pt x="356" y="147"/>
                </a:lnTo>
                <a:lnTo>
                  <a:pt x="395" y="152"/>
                </a:lnTo>
                <a:lnTo>
                  <a:pt x="435" y="160"/>
                </a:lnTo>
                <a:lnTo>
                  <a:pt x="378" y="549"/>
                </a:lnTo>
                <a:lnTo>
                  <a:pt x="251" y="530"/>
                </a:lnTo>
                <a:lnTo>
                  <a:pt x="125" y="508"/>
                </a:lnTo>
                <a:lnTo>
                  <a:pt x="0" y="484"/>
                </a:lnTo>
                <a:lnTo>
                  <a:pt x="31" y="322"/>
                </a:lnTo>
                <a:lnTo>
                  <a:pt x="63" y="161"/>
                </a:lnTo>
                <a:lnTo>
                  <a:pt x="95" y="0"/>
                </a:lnTo>
                <a:close/>
              </a:path>
            </a:pathLst>
          </a:custGeom>
          <a:solidFill>
            <a:srgbClr val="008375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02" name="Arizona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>
            <a:spLocks/>
          </xdr:cNvSpPr>
        </xdr:nvSpPr>
        <xdr:spPr bwMode="auto">
          <a:xfrm>
            <a:off x="1371600" y="3381375"/>
            <a:ext cx="1238250" cy="1495425"/>
          </a:xfrm>
          <a:custGeom>
            <a:avLst/>
            <a:gdLst>
              <a:gd name="T0" fmla="*/ 145 w 521"/>
              <a:gd name="T1" fmla="*/ 0 h 627"/>
              <a:gd name="T2" fmla="*/ 333 w 521"/>
              <a:gd name="T3" fmla="*/ 33 h 627"/>
              <a:gd name="T4" fmla="*/ 521 w 521"/>
              <a:gd name="T5" fmla="*/ 65 h 627"/>
              <a:gd name="T6" fmla="*/ 439 w 521"/>
              <a:gd name="T7" fmla="*/ 627 h 627"/>
              <a:gd name="T8" fmla="*/ 401 w 521"/>
              <a:gd name="T9" fmla="*/ 619 h 627"/>
              <a:gd name="T10" fmla="*/ 362 w 521"/>
              <a:gd name="T11" fmla="*/ 607 h 627"/>
              <a:gd name="T12" fmla="*/ 326 w 521"/>
              <a:gd name="T13" fmla="*/ 591 h 627"/>
              <a:gd name="T14" fmla="*/ 291 w 521"/>
              <a:gd name="T15" fmla="*/ 576 h 627"/>
              <a:gd name="T16" fmla="*/ 216 w 521"/>
              <a:gd name="T17" fmla="*/ 543 h 627"/>
              <a:gd name="T18" fmla="*/ 142 w 521"/>
              <a:gd name="T19" fmla="*/ 508 h 627"/>
              <a:gd name="T20" fmla="*/ 70 w 521"/>
              <a:gd name="T21" fmla="*/ 471 h 627"/>
              <a:gd name="T22" fmla="*/ 0 w 521"/>
              <a:gd name="T23" fmla="*/ 430 h 627"/>
              <a:gd name="T24" fmla="*/ 10 w 521"/>
              <a:gd name="T25" fmla="*/ 416 h 627"/>
              <a:gd name="T26" fmla="*/ 17 w 521"/>
              <a:gd name="T27" fmla="*/ 400 h 627"/>
              <a:gd name="T28" fmla="*/ 18 w 521"/>
              <a:gd name="T29" fmla="*/ 384 h 627"/>
              <a:gd name="T30" fmla="*/ 14 w 521"/>
              <a:gd name="T31" fmla="*/ 367 h 627"/>
              <a:gd name="T32" fmla="*/ 17 w 521"/>
              <a:gd name="T33" fmla="*/ 348 h 627"/>
              <a:gd name="T34" fmla="*/ 24 w 521"/>
              <a:gd name="T35" fmla="*/ 331 h 627"/>
              <a:gd name="T36" fmla="*/ 35 w 521"/>
              <a:gd name="T37" fmla="*/ 316 h 627"/>
              <a:gd name="T38" fmla="*/ 47 w 521"/>
              <a:gd name="T39" fmla="*/ 301 h 627"/>
              <a:gd name="T40" fmla="*/ 60 w 521"/>
              <a:gd name="T41" fmla="*/ 287 h 627"/>
              <a:gd name="T42" fmla="*/ 73 w 521"/>
              <a:gd name="T43" fmla="*/ 271 h 627"/>
              <a:gd name="T44" fmla="*/ 82 w 521"/>
              <a:gd name="T45" fmla="*/ 254 h 627"/>
              <a:gd name="T46" fmla="*/ 69 w 521"/>
              <a:gd name="T47" fmla="*/ 229 h 627"/>
              <a:gd name="T48" fmla="*/ 61 w 521"/>
              <a:gd name="T49" fmla="*/ 201 h 627"/>
              <a:gd name="T50" fmla="*/ 60 w 521"/>
              <a:gd name="T51" fmla="*/ 173 h 627"/>
              <a:gd name="T52" fmla="*/ 61 w 521"/>
              <a:gd name="T53" fmla="*/ 144 h 627"/>
              <a:gd name="T54" fmla="*/ 65 w 521"/>
              <a:gd name="T55" fmla="*/ 116 h 627"/>
              <a:gd name="T56" fmla="*/ 70 w 521"/>
              <a:gd name="T57" fmla="*/ 88 h 627"/>
              <a:gd name="T58" fmla="*/ 124 w 521"/>
              <a:gd name="T59" fmla="*/ 97 h 627"/>
              <a:gd name="T60" fmla="*/ 145 w 521"/>
              <a:gd name="T61" fmla="*/ 0 h 6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</a:cxnLst>
            <a:rect l="0" t="0" r="r" b="b"/>
            <a:pathLst>
              <a:path w="521" h="627">
                <a:moveTo>
                  <a:pt x="145" y="0"/>
                </a:moveTo>
                <a:lnTo>
                  <a:pt x="333" y="33"/>
                </a:lnTo>
                <a:lnTo>
                  <a:pt x="521" y="65"/>
                </a:lnTo>
                <a:lnTo>
                  <a:pt x="439" y="627"/>
                </a:lnTo>
                <a:lnTo>
                  <a:pt x="401" y="619"/>
                </a:lnTo>
                <a:lnTo>
                  <a:pt x="362" y="607"/>
                </a:lnTo>
                <a:lnTo>
                  <a:pt x="326" y="591"/>
                </a:lnTo>
                <a:lnTo>
                  <a:pt x="291" y="576"/>
                </a:lnTo>
                <a:lnTo>
                  <a:pt x="216" y="543"/>
                </a:lnTo>
                <a:lnTo>
                  <a:pt x="142" y="508"/>
                </a:lnTo>
                <a:lnTo>
                  <a:pt x="70" y="471"/>
                </a:lnTo>
                <a:lnTo>
                  <a:pt x="0" y="430"/>
                </a:lnTo>
                <a:lnTo>
                  <a:pt x="10" y="416"/>
                </a:lnTo>
                <a:lnTo>
                  <a:pt x="17" y="400"/>
                </a:lnTo>
                <a:lnTo>
                  <a:pt x="18" y="384"/>
                </a:lnTo>
                <a:lnTo>
                  <a:pt x="14" y="367"/>
                </a:lnTo>
                <a:lnTo>
                  <a:pt x="17" y="348"/>
                </a:lnTo>
                <a:lnTo>
                  <a:pt x="24" y="331"/>
                </a:lnTo>
                <a:lnTo>
                  <a:pt x="35" y="316"/>
                </a:lnTo>
                <a:lnTo>
                  <a:pt x="47" y="301"/>
                </a:lnTo>
                <a:lnTo>
                  <a:pt x="60" y="287"/>
                </a:lnTo>
                <a:lnTo>
                  <a:pt x="73" y="271"/>
                </a:lnTo>
                <a:lnTo>
                  <a:pt x="82" y="254"/>
                </a:lnTo>
                <a:lnTo>
                  <a:pt x="69" y="229"/>
                </a:lnTo>
                <a:lnTo>
                  <a:pt x="61" y="201"/>
                </a:lnTo>
                <a:lnTo>
                  <a:pt x="60" y="173"/>
                </a:lnTo>
                <a:lnTo>
                  <a:pt x="61" y="144"/>
                </a:lnTo>
                <a:lnTo>
                  <a:pt x="65" y="116"/>
                </a:lnTo>
                <a:lnTo>
                  <a:pt x="70" y="88"/>
                </a:lnTo>
                <a:lnTo>
                  <a:pt x="124" y="97"/>
                </a:lnTo>
                <a:lnTo>
                  <a:pt x="145" y="0"/>
                </a:lnTo>
                <a:close/>
              </a:path>
            </a:pathLst>
          </a:custGeom>
          <a:solidFill>
            <a:srgbClr val="008375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03" name="Idaho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>
            <a:spLocks/>
          </xdr:cNvSpPr>
        </xdr:nvSpPr>
        <xdr:spPr bwMode="auto">
          <a:xfrm>
            <a:off x="1409700" y="428625"/>
            <a:ext cx="1133475" cy="1790700"/>
          </a:xfrm>
          <a:custGeom>
            <a:avLst/>
            <a:gdLst>
              <a:gd name="T0" fmla="*/ 149 w 475"/>
              <a:gd name="T1" fmla="*/ 0 h 751"/>
              <a:gd name="T2" fmla="*/ 201 w 475"/>
              <a:gd name="T3" fmla="*/ 12 h 751"/>
              <a:gd name="T4" fmla="*/ 196 w 475"/>
              <a:gd name="T5" fmla="*/ 50 h 751"/>
              <a:gd name="T6" fmla="*/ 197 w 475"/>
              <a:gd name="T7" fmla="*/ 90 h 751"/>
              <a:gd name="T8" fmla="*/ 203 w 475"/>
              <a:gd name="T9" fmla="*/ 128 h 751"/>
              <a:gd name="T10" fmla="*/ 208 w 475"/>
              <a:gd name="T11" fmla="*/ 167 h 751"/>
              <a:gd name="T12" fmla="*/ 227 w 475"/>
              <a:gd name="T13" fmla="*/ 203 h 751"/>
              <a:gd name="T14" fmla="*/ 250 w 475"/>
              <a:gd name="T15" fmla="*/ 237 h 751"/>
              <a:gd name="T16" fmla="*/ 274 w 475"/>
              <a:gd name="T17" fmla="*/ 267 h 751"/>
              <a:gd name="T18" fmla="*/ 261 w 475"/>
              <a:gd name="T19" fmla="*/ 281 h 751"/>
              <a:gd name="T20" fmla="*/ 254 w 475"/>
              <a:gd name="T21" fmla="*/ 296 h 751"/>
              <a:gd name="T22" fmla="*/ 250 w 475"/>
              <a:gd name="T23" fmla="*/ 314 h 751"/>
              <a:gd name="T24" fmla="*/ 250 w 475"/>
              <a:gd name="T25" fmla="*/ 332 h 751"/>
              <a:gd name="T26" fmla="*/ 251 w 475"/>
              <a:gd name="T27" fmla="*/ 350 h 751"/>
              <a:gd name="T28" fmla="*/ 253 w 475"/>
              <a:gd name="T29" fmla="*/ 368 h 751"/>
              <a:gd name="T30" fmla="*/ 261 w 475"/>
              <a:gd name="T31" fmla="*/ 373 h 751"/>
              <a:gd name="T32" fmla="*/ 270 w 475"/>
              <a:gd name="T33" fmla="*/ 374 h 751"/>
              <a:gd name="T34" fmla="*/ 281 w 475"/>
              <a:gd name="T35" fmla="*/ 372 h 751"/>
              <a:gd name="T36" fmla="*/ 290 w 475"/>
              <a:gd name="T37" fmla="*/ 369 h 751"/>
              <a:gd name="T38" fmla="*/ 300 w 475"/>
              <a:gd name="T39" fmla="*/ 366 h 751"/>
              <a:gd name="T40" fmla="*/ 310 w 475"/>
              <a:gd name="T41" fmla="*/ 400 h 751"/>
              <a:gd name="T42" fmla="*/ 318 w 475"/>
              <a:gd name="T43" fmla="*/ 433 h 751"/>
              <a:gd name="T44" fmla="*/ 327 w 475"/>
              <a:gd name="T45" fmla="*/ 468 h 751"/>
              <a:gd name="T46" fmla="*/ 337 w 475"/>
              <a:gd name="T47" fmla="*/ 500 h 751"/>
              <a:gd name="T48" fmla="*/ 355 w 475"/>
              <a:gd name="T49" fmla="*/ 510 h 751"/>
              <a:gd name="T50" fmla="*/ 374 w 475"/>
              <a:gd name="T51" fmla="*/ 515 h 751"/>
              <a:gd name="T52" fmla="*/ 393 w 475"/>
              <a:gd name="T53" fmla="*/ 515 h 751"/>
              <a:gd name="T54" fmla="*/ 415 w 475"/>
              <a:gd name="T55" fmla="*/ 514 h 751"/>
              <a:gd name="T56" fmla="*/ 436 w 475"/>
              <a:gd name="T57" fmla="*/ 510 h 751"/>
              <a:gd name="T58" fmla="*/ 456 w 475"/>
              <a:gd name="T59" fmla="*/ 506 h 751"/>
              <a:gd name="T60" fmla="*/ 475 w 475"/>
              <a:gd name="T61" fmla="*/ 503 h 751"/>
              <a:gd name="T62" fmla="*/ 430 w 475"/>
              <a:gd name="T63" fmla="*/ 751 h 751"/>
              <a:gd name="T64" fmla="*/ 322 w 475"/>
              <a:gd name="T65" fmla="*/ 737 h 751"/>
              <a:gd name="T66" fmla="*/ 214 w 475"/>
              <a:gd name="T67" fmla="*/ 716 h 751"/>
              <a:gd name="T68" fmla="*/ 107 w 475"/>
              <a:gd name="T69" fmla="*/ 694 h 751"/>
              <a:gd name="T70" fmla="*/ 0 w 475"/>
              <a:gd name="T71" fmla="*/ 670 h 751"/>
              <a:gd name="T72" fmla="*/ 7 w 475"/>
              <a:gd name="T73" fmla="*/ 628 h 751"/>
              <a:gd name="T74" fmla="*/ 18 w 475"/>
              <a:gd name="T75" fmla="*/ 588 h 751"/>
              <a:gd name="T76" fmla="*/ 32 w 475"/>
              <a:gd name="T77" fmla="*/ 548 h 751"/>
              <a:gd name="T78" fmla="*/ 49 w 475"/>
              <a:gd name="T79" fmla="*/ 509 h 751"/>
              <a:gd name="T80" fmla="*/ 66 w 475"/>
              <a:gd name="T81" fmla="*/ 470 h 751"/>
              <a:gd name="T82" fmla="*/ 67 w 475"/>
              <a:gd name="T83" fmla="*/ 463 h 751"/>
              <a:gd name="T84" fmla="*/ 64 w 475"/>
              <a:gd name="T85" fmla="*/ 456 h 751"/>
              <a:gd name="T86" fmla="*/ 61 w 475"/>
              <a:gd name="T87" fmla="*/ 451 h 751"/>
              <a:gd name="T88" fmla="*/ 55 w 475"/>
              <a:gd name="T89" fmla="*/ 445 h 751"/>
              <a:gd name="T90" fmla="*/ 54 w 475"/>
              <a:gd name="T91" fmla="*/ 438 h 751"/>
              <a:gd name="T92" fmla="*/ 55 w 475"/>
              <a:gd name="T93" fmla="*/ 432 h 751"/>
              <a:gd name="T94" fmla="*/ 69 w 475"/>
              <a:gd name="T95" fmla="*/ 409 h 751"/>
              <a:gd name="T96" fmla="*/ 84 w 475"/>
              <a:gd name="T97" fmla="*/ 387 h 751"/>
              <a:gd name="T98" fmla="*/ 99 w 475"/>
              <a:gd name="T99" fmla="*/ 365 h 751"/>
              <a:gd name="T100" fmla="*/ 110 w 475"/>
              <a:gd name="T101" fmla="*/ 341 h 751"/>
              <a:gd name="T102" fmla="*/ 119 w 475"/>
              <a:gd name="T103" fmla="*/ 317 h 751"/>
              <a:gd name="T104" fmla="*/ 119 w 475"/>
              <a:gd name="T105" fmla="*/ 304 h 751"/>
              <a:gd name="T106" fmla="*/ 116 w 475"/>
              <a:gd name="T107" fmla="*/ 292 h 751"/>
              <a:gd name="T108" fmla="*/ 109 w 475"/>
              <a:gd name="T109" fmla="*/ 282 h 751"/>
              <a:gd name="T110" fmla="*/ 105 w 475"/>
              <a:gd name="T111" fmla="*/ 270 h 751"/>
              <a:gd name="T112" fmla="*/ 105 w 475"/>
              <a:gd name="T113" fmla="*/ 259 h 751"/>
              <a:gd name="T114" fmla="*/ 128 w 475"/>
              <a:gd name="T115" fmla="*/ 130 h 751"/>
              <a:gd name="T116" fmla="*/ 149 w 475"/>
              <a:gd name="T117" fmla="*/ 0 h 7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</a:cxnLst>
            <a:rect l="0" t="0" r="r" b="b"/>
            <a:pathLst>
              <a:path w="475" h="751">
                <a:moveTo>
                  <a:pt x="149" y="0"/>
                </a:moveTo>
                <a:lnTo>
                  <a:pt x="201" y="12"/>
                </a:lnTo>
                <a:lnTo>
                  <a:pt x="196" y="50"/>
                </a:lnTo>
                <a:lnTo>
                  <a:pt x="197" y="90"/>
                </a:lnTo>
                <a:lnTo>
                  <a:pt x="203" y="128"/>
                </a:lnTo>
                <a:lnTo>
                  <a:pt x="208" y="167"/>
                </a:lnTo>
                <a:lnTo>
                  <a:pt x="227" y="203"/>
                </a:lnTo>
                <a:lnTo>
                  <a:pt x="250" y="237"/>
                </a:lnTo>
                <a:lnTo>
                  <a:pt x="274" y="267"/>
                </a:lnTo>
                <a:lnTo>
                  <a:pt x="261" y="281"/>
                </a:lnTo>
                <a:lnTo>
                  <a:pt x="254" y="296"/>
                </a:lnTo>
                <a:lnTo>
                  <a:pt x="250" y="314"/>
                </a:lnTo>
                <a:lnTo>
                  <a:pt x="250" y="332"/>
                </a:lnTo>
                <a:lnTo>
                  <a:pt x="251" y="350"/>
                </a:lnTo>
                <a:lnTo>
                  <a:pt x="253" y="368"/>
                </a:lnTo>
                <a:lnTo>
                  <a:pt x="261" y="373"/>
                </a:lnTo>
                <a:lnTo>
                  <a:pt x="270" y="374"/>
                </a:lnTo>
                <a:lnTo>
                  <a:pt x="281" y="372"/>
                </a:lnTo>
                <a:lnTo>
                  <a:pt x="290" y="369"/>
                </a:lnTo>
                <a:lnTo>
                  <a:pt x="300" y="366"/>
                </a:lnTo>
                <a:lnTo>
                  <a:pt x="310" y="400"/>
                </a:lnTo>
                <a:lnTo>
                  <a:pt x="318" y="433"/>
                </a:lnTo>
                <a:lnTo>
                  <a:pt x="327" y="468"/>
                </a:lnTo>
                <a:lnTo>
                  <a:pt x="337" y="500"/>
                </a:lnTo>
                <a:lnTo>
                  <a:pt x="355" y="510"/>
                </a:lnTo>
                <a:lnTo>
                  <a:pt x="374" y="515"/>
                </a:lnTo>
                <a:lnTo>
                  <a:pt x="393" y="515"/>
                </a:lnTo>
                <a:lnTo>
                  <a:pt x="415" y="514"/>
                </a:lnTo>
                <a:lnTo>
                  <a:pt x="436" y="510"/>
                </a:lnTo>
                <a:lnTo>
                  <a:pt x="456" y="506"/>
                </a:lnTo>
                <a:lnTo>
                  <a:pt x="475" y="503"/>
                </a:lnTo>
                <a:lnTo>
                  <a:pt x="430" y="751"/>
                </a:lnTo>
                <a:lnTo>
                  <a:pt x="322" y="737"/>
                </a:lnTo>
                <a:lnTo>
                  <a:pt x="214" y="716"/>
                </a:lnTo>
                <a:lnTo>
                  <a:pt x="107" y="694"/>
                </a:lnTo>
                <a:lnTo>
                  <a:pt x="0" y="670"/>
                </a:lnTo>
                <a:lnTo>
                  <a:pt x="7" y="628"/>
                </a:lnTo>
                <a:lnTo>
                  <a:pt x="18" y="588"/>
                </a:lnTo>
                <a:lnTo>
                  <a:pt x="32" y="548"/>
                </a:lnTo>
                <a:lnTo>
                  <a:pt x="49" y="509"/>
                </a:lnTo>
                <a:lnTo>
                  <a:pt x="66" y="470"/>
                </a:lnTo>
                <a:lnTo>
                  <a:pt x="67" y="463"/>
                </a:lnTo>
                <a:lnTo>
                  <a:pt x="64" y="456"/>
                </a:lnTo>
                <a:lnTo>
                  <a:pt x="61" y="451"/>
                </a:lnTo>
                <a:lnTo>
                  <a:pt x="55" y="445"/>
                </a:lnTo>
                <a:lnTo>
                  <a:pt x="54" y="438"/>
                </a:lnTo>
                <a:lnTo>
                  <a:pt x="55" y="432"/>
                </a:lnTo>
                <a:lnTo>
                  <a:pt x="69" y="409"/>
                </a:lnTo>
                <a:lnTo>
                  <a:pt x="84" y="387"/>
                </a:lnTo>
                <a:lnTo>
                  <a:pt x="99" y="365"/>
                </a:lnTo>
                <a:lnTo>
                  <a:pt x="110" y="341"/>
                </a:lnTo>
                <a:lnTo>
                  <a:pt x="119" y="317"/>
                </a:lnTo>
                <a:lnTo>
                  <a:pt x="119" y="304"/>
                </a:lnTo>
                <a:lnTo>
                  <a:pt x="116" y="292"/>
                </a:lnTo>
                <a:lnTo>
                  <a:pt x="109" y="282"/>
                </a:lnTo>
                <a:lnTo>
                  <a:pt x="105" y="270"/>
                </a:lnTo>
                <a:lnTo>
                  <a:pt x="105" y="259"/>
                </a:lnTo>
                <a:lnTo>
                  <a:pt x="128" y="130"/>
                </a:lnTo>
                <a:lnTo>
                  <a:pt x="149" y="0"/>
                </a:lnTo>
                <a:close/>
              </a:path>
            </a:pathLst>
          </a:custGeom>
          <a:solidFill>
            <a:srgbClr val="9DF09E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04" name="Nevada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>
            <a:spLocks/>
          </xdr:cNvSpPr>
        </xdr:nvSpPr>
        <xdr:spPr bwMode="auto">
          <a:xfrm>
            <a:off x="714375" y="1943100"/>
            <a:ext cx="1190625" cy="1828800"/>
          </a:xfrm>
          <a:custGeom>
            <a:avLst/>
            <a:gdLst>
              <a:gd name="T0" fmla="*/ 81 w 499"/>
              <a:gd name="T1" fmla="*/ 0 h 769"/>
              <a:gd name="T2" fmla="*/ 220 w 499"/>
              <a:gd name="T3" fmla="*/ 35 h 769"/>
              <a:gd name="T4" fmla="*/ 359 w 499"/>
              <a:gd name="T5" fmla="*/ 68 h 769"/>
              <a:gd name="T6" fmla="*/ 499 w 499"/>
              <a:gd name="T7" fmla="*/ 98 h 769"/>
              <a:gd name="T8" fmla="*/ 462 w 499"/>
              <a:gd name="T9" fmla="*/ 292 h 769"/>
              <a:gd name="T10" fmla="*/ 423 w 499"/>
              <a:gd name="T11" fmla="*/ 486 h 769"/>
              <a:gd name="T12" fmla="*/ 386 w 499"/>
              <a:gd name="T13" fmla="*/ 680 h 769"/>
              <a:gd name="T14" fmla="*/ 360 w 499"/>
              <a:gd name="T15" fmla="*/ 677 h 769"/>
              <a:gd name="T16" fmla="*/ 335 w 499"/>
              <a:gd name="T17" fmla="*/ 674 h 769"/>
              <a:gd name="T18" fmla="*/ 326 w 499"/>
              <a:gd name="T19" fmla="*/ 705 h 769"/>
              <a:gd name="T20" fmla="*/ 321 w 499"/>
              <a:gd name="T21" fmla="*/ 737 h 769"/>
              <a:gd name="T22" fmla="*/ 318 w 499"/>
              <a:gd name="T23" fmla="*/ 769 h 769"/>
              <a:gd name="T24" fmla="*/ 170 w 499"/>
              <a:gd name="T25" fmla="*/ 545 h 769"/>
              <a:gd name="T26" fmla="*/ 20 w 499"/>
              <a:gd name="T27" fmla="*/ 321 h 769"/>
              <a:gd name="T28" fmla="*/ 15 w 499"/>
              <a:gd name="T29" fmla="*/ 312 h 769"/>
              <a:gd name="T30" fmla="*/ 8 w 499"/>
              <a:gd name="T31" fmla="*/ 301 h 769"/>
              <a:gd name="T32" fmla="*/ 2 w 499"/>
              <a:gd name="T33" fmla="*/ 291 h 769"/>
              <a:gd name="T34" fmla="*/ 0 w 499"/>
              <a:gd name="T35" fmla="*/ 281 h 769"/>
              <a:gd name="T36" fmla="*/ 1 w 499"/>
              <a:gd name="T37" fmla="*/ 269 h 769"/>
              <a:gd name="T38" fmla="*/ 81 w 499"/>
              <a:gd name="T39" fmla="*/ 0 h 76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</a:cxnLst>
            <a:rect l="0" t="0" r="r" b="b"/>
            <a:pathLst>
              <a:path w="499" h="769">
                <a:moveTo>
                  <a:pt x="81" y="0"/>
                </a:moveTo>
                <a:lnTo>
                  <a:pt x="220" y="35"/>
                </a:lnTo>
                <a:lnTo>
                  <a:pt x="359" y="68"/>
                </a:lnTo>
                <a:lnTo>
                  <a:pt x="499" y="98"/>
                </a:lnTo>
                <a:lnTo>
                  <a:pt x="462" y="292"/>
                </a:lnTo>
                <a:lnTo>
                  <a:pt x="423" y="486"/>
                </a:lnTo>
                <a:lnTo>
                  <a:pt x="386" y="680"/>
                </a:lnTo>
                <a:lnTo>
                  <a:pt x="360" y="677"/>
                </a:lnTo>
                <a:lnTo>
                  <a:pt x="335" y="674"/>
                </a:lnTo>
                <a:lnTo>
                  <a:pt x="326" y="705"/>
                </a:lnTo>
                <a:lnTo>
                  <a:pt x="321" y="737"/>
                </a:lnTo>
                <a:lnTo>
                  <a:pt x="318" y="769"/>
                </a:lnTo>
                <a:lnTo>
                  <a:pt x="170" y="545"/>
                </a:lnTo>
                <a:lnTo>
                  <a:pt x="20" y="321"/>
                </a:lnTo>
                <a:lnTo>
                  <a:pt x="15" y="312"/>
                </a:lnTo>
                <a:lnTo>
                  <a:pt x="8" y="301"/>
                </a:lnTo>
                <a:lnTo>
                  <a:pt x="2" y="291"/>
                </a:lnTo>
                <a:lnTo>
                  <a:pt x="0" y="281"/>
                </a:lnTo>
                <a:lnTo>
                  <a:pt x="1" y="269"/>
                </a:lnTo>
                <a:lnTo>
                  <a:pt x="81" y="0"/>
                </a:lnTo>
                <a:close/>
              </a:path>
            </a:pathLst>
          </a:custGeom>
          <a:solidFill>
            <a:srgbClr val="008375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05" name="Washington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SpPr>
            <a:spLocks/>
          </xdr:cNvSpPr>
        </xdr:nvSpPr>
        <xdr:spPr bwMode="auto">
          <a:xfrm>
            <a:off x="514350" y="228600"/>
            <a:ext cx="1209675" cy="828675"/>
          </a:xfrm>
          <a:custGeom>
            <a:avLst/>
            <a:gdLst>
              <a:gd name="T0" fmla="*/ 255 w 508"/>
              <a:gd name="T1" fmla="*/ 16 h 348"/>
              <a:gd name="T2" fmla="*/ 422 w 508"/>
              <a:gd name="T3" fmla="*/ 60 h 348"/>
              <a:gd name="T4" fmla="*/ 486 w 508"/>
              <a:gd name="T5" fmla="*/ 215 h 348"/>
              <a:gd name="T6" fmla="*/ 419 w 508"/>
              <a:gd name="T7" fmla="*/ 339 h 348"/>
              <a:gd name="T8" fmla="*/ 330 w 508"/>
              <a:gd name="T9" fmla="*/ 319 h 348"/>
              <a:gd name="T10" fmla="*/ 265 w 508"/>
              <a:gd name="T11" fmla="*/ 316 h 348"/>
              <a:gd name="T12" fmla="*/ 223 w 508"/>
              <a:gd name="T13" fmla="*/ 320 h 348"/>
              <a:gd name="T14" fmla="*/ 183 w 508"/>
              <a:gd name="T15" fmla="*/ 315 h 348"/>
              <a:gd name="T16" fmla="*/ 150 w 508"/>
              <a:gd name="T17" fmla="*/ 299 h 348"/>
              <a:gd name="T18" fmla="*/ 120 w 508"/>
              <a:gd name="T19" fmla="*/ 299 h 348"/>
              <a:gd name="T20" fmla="*/ 90 w 508"/>
              <a:gd name="T21" fmla="*/ 302 h 348"/>
              <a:gd name="T22" fmla="*/ 68 w 508"/>
              <a:gd name="T23" fmla="*/ 290 h 348"/>
              <a:gd name="T24" fmla="*/ 63 w 508"/>
              <a:gd name="T25" fmla="*/ 272 h 348"/>
              <a:gd name="T26" fmla="*/ 63 w 508"/>
              <a:gd name="T27" fmla="*/ 253 h 348"/>
              <a:gd name="T28" fmla="*/ 59 w 508"/>
              <a:gd name="T29" fmla="*/ 235 h 348"/>
              <a:gd name="T30" fmla="*/ 42 w 508"/>
              <a:gd name="T31" fmla="*/ 225 h 348"/>
              <a:gd name="T32" fmla="*/ 50 w 508"/>
              <a:gd name="T33" fmla="*/ 207 h 348"/>
              <a:gd name="T34" fmla="*/ 38 w 508"/>
              <a:gd name="T35" fmla="*/ 190 h 348"/>
              <a:gd name="T36" fmla="*/ 31 w 508"/>
              <a:gd name="T37" fmla="*/ 174 h 348"/>
              <a:gd name="T38" fmla="*/ 28 w 508"/>
              <a:gd name="T39" fmla="*/ 152 h 348"/>
              <a:gd name="T40" fmla="*/ 13 w 508"/>
              <a:gd name="T41" fmla="*/ 137 h 348"/>
              <a:gd name="T42" fmla="*/ 8 w 508"/>
              <a:gd name="T43" fmla="*/ 115 h 348"/>
              <a:gd name="T44" fmla="*/ 21 w 508"/>
              <a:gd name="T45" fmla="*/ 76 h 348"/>
              <a:gd name="T46" fmla="*/ 21 w 508"/>
              <a:gd name="T47" fmla="*/ 37 h 348"/>
              <a:gd name="T48" fmla="*/ 32 w 508"/>
              <a:gd name="T49" fmla="*/ 32 h 348"/>
              <a:gd name="T50" fmla="*/ 76 w 508"/>
              <a:gd name="T51" fmla="*/ 51 h 348"/>
              <a:gd name="T52" fmla="*/ 119 w 508"/>
              <a:gd name="T53" fmla="*/ 70 h 348"/>
              <a:gd name="T54" fmla="*/ 110 w 508"/>
              <a:gd name="T55" fmla="*/ 91 h 348"/>
              <a:gd name="T56" fmla="*/ 90 w 508"/>
              <a:gd name="T57" fmla="*/ 106 h 348"/>
              <a:gd name="T58" fmla="*/ 72 w 508"/>
              <a:gd name="T59" fmla="*/ 123 h 348"/>
              <a:gd name="T60" fmla="*/ 79 w 508"/>
              <a:gd name="T61" fmla="*/ 142 h 348"/>
              <a:gd name="T62" fmla="*/ 110 w 508"/>
              <a:gd name="T63" fmla="*/ 143 h 348"/>
              <a:gd name="T64" fmla="*/ 134 w 508"/>
              <a:gd name="T65" fmla="*/ 135 h 348"/>
              <a:gd name="T66" fmla="*/ 143 w 508"/>
              <a:gd name="T67" fmla="*/ 117 h 348"/>
              <a:gd name="T68" fmla="*/ 150 w 508"/>
              <a:gd name="T69" fmla="*/ 97 h 348"/>
              <a:gd name="T70" fmla="*/ 161 w 508"/>
              <a:gd name="T71" fmla="*/ 80 h 348"/>
              <a:gd name="T72" fmla="*/ 174 w 508"/>
              <a:gd name="T73" fmla="*/ 56 h 348"/>
              <a:gd name="T74" fmla="*/ 173 w 508"/>
              <a:gd name="T75" fmla="*/ 28 h 348"/>
              <a:gd name="T76" fmla="*/ 169 w 508"/>
              <a:gd name="T77" fmla="*/ 0 h 34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</a:cxnLst>
            <a:rect l="0" t="0" r="r" b="b"/>
            <a:pathLst>
              <a:path w="508" h="348">
                <a:moveTo>
                  <a:pt x="169" y="0"/>
                </a:moveTo>
                <a:lnTo>
                  <a:pt x="255" y="16"/>
                </a:lnTo>
                <a:lnTo>
                  <a:pt x="339" y="38"/>
                </a:lnTo>
                <a:lnTo>
                  <a:pt x="422" y="60"/>
                </a:lnTo>
                <a:lnTo>
                  <a:pt x="508" y="79"/>
                </a:lnTo>
                <a:lnTo>
                  <a:pt x="486" y="215"/>
                </a:lnTo>
                <a:lnTo>
                  <a:pt x="462" y="348"/>
                </a:lnTo>
                <a:lnTo>
                  <a:pt x="419" y="339"/>
                </a:lnTo>
                <a:lnTo>
                  <a:pt x="374" y="328"/>
                </a:lnTo>
                <a:lnTo>
                  <a:pt x="330" y="319"/>
                </a:lnTo>
                <a:lnTo>
                  <a:pt x="285" y="316"/>
                </a:lnTo>
                <a:lnTo>
                  <a:pt x="265" y="316"/>
                </a:lnTo>
                <a:lnTo>
                  <a:pt x="245" y="319"/>
                </a:lnTo>
                <a:lnTo>
                  <a:pt x="223" y="320"/>
                </a:lnTo>
                <a:lnTo>
                  <a:pt x="202" y="319"/>
                </a:lnTo>
                <a:lnTo>
                  <a:pt x="183" y="315"/>
                </a:lnTo>
                <a:lnTo>
                  <a:pt x="164" y="306"/>
                </a:lnTo>
                <a:lnTo>
                  <a:pt x="150" y="299"/>
                </a:lnTo>
                <a:lnTo>
                  <a:pt x="136" y="298"/>
                </a:lnTo>
                <a:lnTo>
                  <a:pt x="120" y="299"/>
                </a:lnTo>
                <a:lnTo>
                  <a:pt x="105" y="302"/>
                </a:lnTo>
                <a:lnTo>
                  <a:pt x="90" y="302"/>
                </a:lnTo>
                <a:lnTo>
                  <a:pt x="76" y="298"/>
                </a:lnTo>
                <a:lnTo>
                  <a:pt x="68" y="290"/>
                </a:lnTo>
                <a:lnTo>
                  <a:pt x="64" y="283"/>
                </a:lnTo>
                <a:lnTo>
                  <a:pt x="63" y="272"/>
                </a:lnTo>
                <a:lnTo>
                  <a:pt x="63" y="262"/>
                </a:lnTo>
                <a:lnTo>
                  <a:pt x="63" y="253"/>
                </a:lnTo>
                <a:lnTo>
                  <a:pt x="61" y="243"/>
                </a:lnTo>
                <a:lnTo>
                  <a:pt x="59" y="235"/>
                </a:lnTo>
                <a:lnTo>
                  <a:pt x="53" y="229"/>
                </a:lnTo>
                <a:lnTo>
                  <a:pt x="42" y="225"/>
                </a:lnTo>
                <a:lnTo>
                  <a:pt x="50" y="216"/>
                </a:lnTo>
                <a:lnTo>
                  <a:pt x="50" y="207"/>
                </a:lnTo>
                <a:lnTo>
                  <a:pt x="45" y="198"/>
                </a:lnTo>
                <a:lnTo>
                  <a:pt x="38" y="190"/>
                </a:lnTo>
                <a:lnTo>
                  <a:pt x="28" y="185"/>
                </a:lnTo>
                <a:lnTo>
                  <a:pt x="31" y="174"/>
                </a:lnTo>
                <a:lnTo>
                  <a:pt x="31" y="162"/>
                </a:lnTo>
                <a:lnTo>
                  <a:pt x="28" y="152"/>
                </a:lnTo>
                <a:lnTo>
                  <a:pt x="22" y="143"/>
                </a:lnTo>
                <a:lnTo>
                  <a:pt x="13" y="137"/>
                </a:lnTo>
                <a:lnTo>
                  <a:pt x="0" y="134"/>
                </a:lnTo>
                <a:lnTo>
                  <a:pt x="8" y="115"/>
                </a:lnTo>
                <a:lnTo>
                  <a:pt x="14" y="96"/>
                </a:lnTo>
                <a:lnTo>
                  <a:pt x="21" y="76"/>
                </a:lnTo>
                <a:lnTo>
                  <a:pt x="23" y="57"/>
                </a:lnTo>
                <a:lnTo>
                  <a:pt x="21" y="37"/>
                </a:lnTo>
                <a:lnTo>
                  <a:pt x="13" y="18"/>
                </a:lnTo>
                <a:lnTo>
                  <a:pt x="32" y="32"/>
                </a:lnTo>
                <a:lnTo>
                  <a:pt x="54" y="42"/>
                </a:lnTo>
                <a:lnTo>
                  <a:pt x="76" y="51"/>
                </a:lnTo>
                <a:lnTo>
                  <a:pt x="99" y="60"/>
                </a:lnTo>
                <a:lnTo>
                  <a:pt x="119" y="70"/>
                </a:lnTo>
                <a:lnTo>
                  <a:pt x="117" y="80"/>
                </a:lnTo>
                <a:lnTo>
                  <a:pt x="110" y="91"/>
                </a:lnTo>
                <a:lnTo>
                  <a:pt x="100" y="98"/>
                </a:lnTo>
                <a:lnTo>
                  <a:pt x="90" y="106"/>
                </a:lnTo>
                <a:lnTo>
                  <a:pt x="79" y="114"/>
                </a:lnTo>
                <a:lnTo>
                  <a:pt x="72" y="123"/>
                </a:lnTo>
                <a:lnTo>
                  <a:pt x="67" y="134"/>
                </a:lnTo>
                <a:lnTo>
                  <a:pt x="79" y="142"/>
                </a:lnTo>
                <a:lnTo>
                  <a:pt x="95" y="144"/>
                </a:lnTo>
                <a:lnTo>
                  <a:pt x="110" y="143"/>
                </a:lnTo>
                <a:lnTo>
                  <a:pt x="124" y="141"/>
                </a:lnTo>
                <a:lnTo>
                  <a:pt x="134" y="135"/>
                </a:lnTo>
                <a:lnTo>
                  <a:pt x="140" y="128"/>
                </a:lnTo>
                <a:lnTo>
                  <a:pt x="143" y="117"/>
                </a:lnTo>
                <a:lnTo>
                  <a:pt x="146" y="107"/>
                </a:lnTo>
                <a:lnTo>
                  <a:pt x="150" y="97"/>
                </a:lnTo>
                <a:lnTo>
                  <a:pt x="154" y="88"/>
                </a:lnTo>
                <a:lnTo>
                  <a:pt x="161" y="80"/>
                </a:lnTo>
                <a:lnTo>
                  <a:pt x="170" y="69"/>
                </a:lnTo>
                <a:lnTo>
                  <a:pt x="174" y="56"/>
                </a:lnTo>
                <a:lnTo>
                  <a:pt x="174" y="42"/>
                </a:lnTo>
                <a:lnTo>
                  <a:pt x="173" y="28"/>
                </a:lnTo>
                <a:lnTo>
                  <a:pt x="170" y="14"/>
                </a:lnTo>
                <a:lnTo>
                  <a:pt x="169" y="0"/>
                </a:lnTo>
                <a:close/>
              </a:path>
            </a:pathLst>
          </a:custGeom>
          <a:solidFill>
            <a:srgbClr val="008375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06" name="Oregon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SpPr>
            <a:spLocks/>
          </xdr:cNvSpPr>
        </xdr:nvSpPr>
        <xdr:spPr bwMode="auto">
          <a:xfrm>
            <a:off x="171450" y="790575"/>
            <a:ext cx="1476375" cy="1228725"/>
          </a:xfrm>
          <a:custGeom>
            <a:avLst/>
            <a:gdLst>
              <a:gd name="T0" fmla="*/ 171 w 619"/>
              <a:gd name="T1" fmla="*/ 3 h 515"/>
              <a:gd name="T2" fmla="*/ 187 w 619"/>
              <a:gd name="T3" fmla="*/ 26 h 515"/>
              <a:gd name="T4" fmla="*/ 191 w 619"/>
              <a:gd name="T5" fmla="*/ 55 h 515"/>
              <a:gd name="T6" fmla="*/ 207 w 619"/>
              <a:gd name="T7" fmla="*/ 78 h 515"/>
              <a:gd name="T8" fmla="*/ 237 w 619"/>
              <a:gd name="T9" fmla="*/ 84 h 515"/>
              <a:gd name="T10" fmla="*/ 267 w 619"/>
              <a:gd name="T11" fmla="*/ 81 h 515"/>
              <a:gd name="T12" fmla="*/ 297 w 619"/>
              <a:gd name="T13" fmla="*/ 85 h 515"/>
              <a:gd name="T14" fmla="*/ 331 w 619"/>
              <a:gd name="T15" fmla="*/ 99 h 515"/>
              <a:gd name="T16" fmla="*/ 376 w 619"/>
              <a:gd name="T17" fmla="*/ 100 h 515"/>
              <a:gd name="T18" fmla="*/ 421 w 619"/>
              <a:gd name="T19" fmla="*/ 99 h 515"/>
              <a:gd name="T20" fmla="*/ 508 w 619"/>
              <a:gd name="T21" fmla="*/ 108 h 515"/>
              <a:gd name="T22" fmla="*/ 594 w 619"/>
              <a:gd name="T23" fmla="*/ 128 h 515"/>
              <a:gd name="T24" fmla="*/ 614 w 619"/>
              <a:gd name="T25" fmla="*/ 140 h 515"/>
              <a:gd name="T26" fmla="*/ 619 w 619"/>
              <a:gd name="T27" fmla="*/ 163 h 515"/>
              <a:gd name="T28" fmla="*/ 603 w 619"/>
              <a:gd name="T29" fmla="*/ 203 h 515"/>
              <a:gd name="T30" fmla="*/ 570 w 619"/>
              <a:gd name="T31" fmla="*/ 254 h 515"/>
              <a:gd name="T32" fmla="*/ 550 w 619"/>
              <a:gd name="T33" fmla="*/ 288 h 515"/>
              <a:gd name="T34" fmla="*/ 558 w 619"/>
              <a:gd name="T35" fmla="*/ 301 h 515"/>
              <a:gd name="T36" fmla="*/ 566 w 619"/>
              <a:gd name="T37" fmla="*/ 315 h 515"/>
              <a:gd name="T38" fmla="*/ 543 w 619"/>
              <a:gd name="T39" fmla="*/ 369 h 515"/>
              <a:gd name="T40" fmla="*/ 511 w 619"/>
              <a:gd name="T41" fmla="*/ 465 h 515"/>
              <a:gd name="T42" fmla="*/ 334 w 619"/>
              <a:gd name="T43" fmla="*/ 474 h 515"/>
              <a:gd name="T44" fmla="*/ 0 w 619"/>
              <a:gd name="T45" fmla="*/ 382 h 515"/>
              <a:gd name="T46" fmla="*/ 1 w 619"/>
              <a:gd name="T47" fmla="*/ 337 h 515"/>
              <a:gd name="T48" fmla="*/ 10 w 619"/>
              <a:gd name="T49" fmla="*/ 292 h 515"/>
              <a:gd name="T50" fmla="*/ 32 w 619"/>
              <a:gd name="T51" fmla="*/ 253 h 515"/>
              <a:gd name="T52" fmla="*/ 59 w 619"/>
              <a:gd name="T53" fmla="*/ 222 h 515"/>
              <a:gd name="T54" fmla="*/ 72 w 619"/>
              <a:gd name="T55" fmla="*/ 186 h 515"/>
              <a:gd name="T56" fmla="*/ 81 w 619"/>
              <a:gd name="T57" fmla="*/ 149 h 515"/>
              <a:gd name="T58" fmla="*/ 100 w 619"/>
              <a:gd name="T59" fmla="*/ 117 h 515"/>
              <a:gd name="T60" fmla="*/ 125 w 619"/>
              <a:gd name="T61" fmla="*/ 40 h 515"/>
              <a:gd name="T62" fmla="*/ 156 w 619"/>
              <a:gd name="T63" fmla="*/ 0 h 5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</a:cxnLst>
            <a:rect l="0" t="0" r="r" b="b"/>
            <a:pathLst>
              <a:path w="619" h="515">
                <a:moveTo>
                  <a:pt x="156" y="0"/>
                </a:moveTo>
                <a:lnTo>
                  <a:pt x="171" y="3"/>
                </a:lnTo>
                <a:lnTo>
                  <a:pt x="187" y="12"/>
                </a:lnTo>
                <a:lnTo>
                  <a:pt x="187" y="26"/>
                </a:lnTo>
                <a:lnTo>
                  <a:pt x="188" y="40"/>
                </a:lnTo>
                <a:lnTo>
                  <a:pt x="191" y="55"/>
                </a:lnTo>
                <a:lnTo>
                  <a:pt x="197" y="68"/>
                </a:lnTo>
                <a:lnTo>
                  <a:pt x="207" y="78"/>
                </a:lnTo>
                <a:lnTo>
                  <a:pt x="223" y="84"/>
                </a:lnTo>
                <a:lnTo>
                  <a:pt x="237" y="84"/>
                </a:lnTo>
                <a:lnTo>
                  <a:pt x="252" y="84"/>
                </a:lnTo>
                <a:lnTo>
                  <a:pt x="267" y="81"/>
                </a:lnTo>
                <a:lnTo>
                  <a:pt x="283" y="81"/>
                </a:lnTo>
                <a:lnTo>
                  <a:pt x="297" y="85"/>
                </a:lnTo>
                <a:lnTo>
                  <a:pt x="311" y="93"/>
                </a:lnTo>
                <a:lnTo>
                  <a:pt x="331" y="99"/>
                </a:lnTo>
                <a:lnTo>
                  <a:pt x="355" y="100"/>
                </a:lnTo>
                <a:lnTo>
                  <a:pt x="376" y="100"/>
                </a:lnTo>
                <a:lnTo>
                  <a:pt x="399" y="99"/>
                </a:lnTo>
                <a:lnTo>
                  <a:pt x="421" y="99"/>
                </a:lnTo>
                <a:lnTo>
                  <a:pt x="465" y="101"/>
                </a:lnTo>
                <a:lnTo>
                  <a:pt x="508" y="108"/>
                </a:lnTo>
                <a:lnTo>
                  <a:pt x="552" y="118"/>
                </a:lnTo>
                <a:lnTo>
                  <a:pt x="594" y="128"/>
                </a:lnTo>
                <a:lnTo>
                  <a:pt x="605" y="132"/>
                </a:lnTo>
                <a:lnTo>
                  <a:pt x="614" y="140"/>
                </a:lnTo>
                <a:lnTo>
                  <a:pt x="618" y="151"/>
                </a:lnTo>
                <a:lnTo>
                  <a:pt x="619" y="163"/>
                </a:lnTo>
                <a:lnTo>
                  <a:pt x="617" y="174"/>
                </a:lnTo>
                <a:lnTo>
                  <a:pt x="603" y="203"/>
                </a:lnTo>
                <a:lnTo>
                  <a:pt x="586" y="228"/>
                </a:lnTo>
                <a:lnTo>
                  <a:pt x="570" y="254"/>
                </a:lnTo>
                <a:lnTo>
                  <a:pt x="553" y="281"/>
                </a:lnTo>
                <a:lnTo>
                  <a:pt x="550" y="288"/>
                </a:lnTo>
                <a:lnTo>
                  <a:pt x="553" y="295"/>
                </a:lnTo>
                <a:lnTo>
                  <a:pt x="558" y="301"/>
                </a:lnTo>
                <a:lnTo>
                  <a:pt x="563" y="308"/>
                </a:lnTo>
                <a:lnTo>
                  <a:pt x="566" y="315"/>
                </a:lnTo>
                <a:lnTo>
                  <a:pt x="564" y="323"/>
                </a:lnTo>
                <a:lnTo>
                  <a:pt x="543" y="369"/>
                </a:lnTo>
                <a:lnTo>
                  <a:pt x="525" y="417"/>
                </a:lnTo>
                <a:lnTo>
                  <a:pt x="511" y="465"/>
                </a:lnTo>
                <a:lnTo>
                  <a:pt x="502" y="515"/>
                </a:lnTo>
                <a:lnTo>
                  <a:pt x="334" y="474"/>
                </a:lnTo>
                <a:lnTo>
                  <a:pt x="166" y="429"/>
                </a:lnTo>
                <a:lnTo>
                  <a:pt x="0" y="382"/>
                </a:lnTo>
                <a:lnTo>
                  <a:pt x="0" y="359"/>
                </a:lnTo>
                <a:lnTo>
                  <a:pt x="1" y="337"/>
                </a:lnTo>
                <a:lnTo>
                  <a:pt x="5" y="314"/>
                </a:lnTo>
                <a:lnTo>
                  <a:pt x="10" y="292"/>
                </a:lnTo>
                <a:lnTo>
                  <a:pt x="19" y="272"/>
                </a:lnTo>
                <a:lnTo>
                  <a:pt x="32" y="253"/>
                </a:lnTo>
                <a:lnTo>
                  <a:pt x="49" y="237"/>
                </a:lnTo>
                <a:lnTo>
                  <a:pt x="59" y="222"/>
                </a:lnTo>
                <a:lnTo>
                  <a:pt x="67" y="205"/>
                </a:lnTo>
                <a:lnTo>
                  <a:pt x="72" y="186"/>
                </a:lnTo>
                <a:lnTo>
                  <a:pt x="75" y="168"/>
                </a:lnTo>
                <a:lnTo>
                  <a:pt x="81" y="149"/>
                </a:lnTo>
                <a:lnTo>
                  <a:pt x="88" y="132"/>
                </a:lnTo>
                <a:lnTo>
                  <a:pt x="100" y="117"/>
                </a:lnTo>
                <a:lnTo>
                  <a:pt x="114" y="78"/>
                </a:lnTo>
                <a:lnTo>
                  <a:pt x="125" y="40"/>
                </a:lnTo>
                <a:lnTo>
                  <a:pt x="139" y="3"/>
                </a:lnTo>
                <a:lnTo>
                  <a:pt x="156" y="0"/>
                </a:lnTo>
                <a:close/>
              </a:path>
            </a:pathLst>
          </a:custGeom>
          <a:solidFill>
            <a:srgbClr val="008375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07" name="California">
            <a:extLst>
              <a:ext uri="{FF2B5EF4-FFF2-40B4-BE49-F238E27FC236}">
                <a16:creationId xmlns:a16="http://schemas.microsoft.com/office/drawing/2014/main" id="{00000000-0008-0000-0000-00006B000000}"/>
              </a:ext>
            </a:extLst>
          </xdr:cNvPr>
          <xdr:cNvSpPr>
            <a:spLocks/>
          </xdr:cNvSpPr>
        </xdr:nvSpPr>
        <xdr:spPr bwMode="auto">
          <a:xfrm>
            <a:off x="38100" y="1752600"/>
            <a:ext cx="1476375" cy="2628900"/>
          </a:xfrm>
          <a:custGeom>
            <a:avLst/>
            <a:gdLst>
              <a:gd name="T0" fmla="*/ 345 w 620"/>
              <a:gd name="T1" fmla="*/ 82 h 1105"/>
              <a:gd name="T2" fmla="*/ 275 w 620"/>
              <a:gd name="T3" fmla="*/ 325 h 1105"/>
              <a:gd name="T4" fmla="*/ 265 w 620"/>
              <a:gd name="T5" fmla="*/ 354 h 1105"/>
              <a:gd name="T6" fmla="*/ 268 w 620"/>
              <a:gd name="T7" fmla="*/ 383 h 1105"/>
              <a:gd name="T8" fmla="*/ 583 w 620"/>
              <a:gd name="T9" fmla="*/ 859 h 1105"/>
              <a:gd name="T10" fmla="*/ 603 w 620"/>
              <a:gd name="T11" fmla="*/ 878 h 1105"/>
              <a:gd name="T12" fmla="*/ 613 w 620"/>
              <a:gd name="T13" fmla="*/ 924 h 1105"/>
              <a:gd name="T14" fmla="*/ 608 w 620"/>
              <a:gd name="T15" fmla="*/ 961 h 1105"/>
              <a:gd name="T16" fmla="*/ 581 w 620"/>
              <a:gd name="T17" fmla="*/ 995 h 1105"/>
              <a:gd name="T18" fmla="*/ 560 w 620"/>
              <a:gd name="T19" fmla="*/ 1031 h 1105"/>
              <a:gd name="T20" fmla="*/ 558 w 620"/>
              <a:gd name="T21" fmla="*/ 1072 h 1105"/>
              <a:gd name="T22" fmla="*/ 558 w 620"/>
              <a:gd name="T23" fmla="*/ 1092 h 1105"/>
              <a:gd name="T24" fmla="*/ 542 w 620"/>
              <a:gd name="T25" fmla="*/ 1105 h 1105"/>
              <a:gd name="T26" fmla="*/ 491 w 620"/>
              <a:gd name="T27" fmla="*/ 1087 h 1105"/>
              <a:gd name="T28" fmla="*/ 407 w 620"/>
              <a:gd name="T29" fmla="*/ 1069 h 1105"/>
              <a:gd name="T30" fmla="*/ 361 w 620"/>
              <a:gd name="T31" fmla="*/ 1049 h 1105"/>
              <a:gd name="T32" fmla="*/ 354 w 620"/>
              <a:gd name="T33" fmla="*/ 1010 h 1105"/>
              <a:gd name="T34" fmla="*/ 343 w 620"/>
              <a:gd name="T35" fmla="*/ 973 h 1105"/>
              <a:gd name="T36" fmla="*/ 322 w 620"/>
              <a:gd name="T37" fmla="*/ 942 h 1105"/>
              <a:gd name="T38" fmla="*/ 290 w 620"/>
              <a:gd name="T39" fmla="*/ 923 h 1105"/>
              <a:gd name="T40" fmla="*/ 279 w 620"/>
              <a:gd name="T41" fmla="*/ 899 h 1105"/>
              <a:gd name="T42" fmla="*/ 257 w 620"/>
              <a:gd name="T43" fmla="*/ 885 h 1105"/>
              <a:gd name="T44" fmla="*/ 233 w 620"/>
              <a:gd name="T45" fmla="*/ 872 h 1105"/>
              <a:gd name="T46" fmla="*/ 216 w 620"/>
              <a:gd name="T47" fmla="*/ 851 h 1105"/>
              <a:gd name="T48" fmla="*/ 194 w 620"/>
              <a:gd name="T49" fmla="*/ 831 h 1105"/>
              <a:gd name="T50" fmla="*/ 166 w 620"/>
              <a:gd name="T51" fmla="*/ 822 h 1105"/>
              <a:gd name="T52" fmla="*/ 137 w 620"/>
              <a:gd name="T53" fmla="*/ 813 h 1105"/>
              <a:gd name="T54" fmla="*/ 128 w 620"/>
              <a:gd name="T55" fmla="*/ 785 h 1105"/>
              <a:gd name="T56" fmla="*/ 131 w 620"/>
              <a:gd name="T57" fmla="*/ 741 h 1105"/>
              <a:gd name="T58" fmla="*/ 120 w 620"/>
              <a:gd name="T59" fmla="*/ 701 h 1105"/>
              <a:gd name="T60" fmla="*/ 98 w 620"/>
              <a:gd name="T61" fmla="*/ 667 h 1105"/>
              <a:gd name="T62" fmla="*/ 76 w 620"/>
              <a:gd name="T63" fmla="*/ 632 h 1105"/>
              <a:gd name="T64" fmla="*/ 70 w 620"/>
              <a:gd name="T65" fmla="*/ 603 h 1105"/>
              <a:gd name="T66" fmla="*/ 79 w 620"/>
              <a:gd name="T67" fmla="*/ 585 h 1105"/>
              <a:gd name="T68" fmla="*/ 84 w 620"/>
              <a:gd name="T69" fmla="*/ 566 h 1105"/>
              <a:gd name="T70" fmla="*/ 71 w 620"/>
              <a:gd name="T71" fmla="*/ 512 h 1105"/>
              <a:gd name="T72" fmla="*/ 71 w 620"/>
              <a:gd name="T73" fmla="*/ 475 h 1105"/>
              <a:gd name="T74" fmla="*/ 76 w 620"/>
              <a:gd name="T75" fmla="*/ 447 h 1105"/>
              <a:gd name="T76" fmla="*/ 80 w 620"/>
              <a:gd name="T77" fmla="*/ 435 h 1105"/>
              <a:gd name="T78" fmla="*/ 99 w 620"/>
              <a:gd name="T79" fmla="*/ 441 h 1105"/>
              <a:gd name="T80" fmla="*/ 117 w 620"/>
              <a:gd name="T81" fmla="*/ 443 h 1105"/>
              <a:gd name="T82" fmla="*/ 129 w 620"/>
              <a:gd name="T83" fmla="*/ 431 h 1105"/>
              <a:gd name="T84" fmla="*/ 108 w 620"/>
              <a:gd name="T85" fmla="*/ 407 h 1105"/>
              <a:gd name="T86" fmla="*/ 76 w 620"/>
              <a:gd name="T87" fmla="*/ 395 h 1105"/>
              <a:gd name="T88" fmla="*/ 43 w 620"/>
              <a:gd name="T89" fmla="*/ 395 h 1105"/>
              <a:gd name="T90" fmla="*/ 44 w 620"/>
              <a:gd name="T91" fmla="*/ 352 h 1105"/>
              <a:gd name="T92" fmla="*/ 37 w 620"/>
              <a:gd name="T93" fmla="*/ 338 h 1105"/>
              <a:gd name="T94" fmla="*/ 23 w 620"/>
              <a:gd name="T95" fmla="*/ 326 h 1105"/>
              <a:gd name="T96" fmla="*/ 11 w 620"/>
              <a:gd name="T97" fmla="*/ 313 h 1105"/>
              <a:gd name="T98" fmla="*/ 14 w 620"/>
              <a:gd name="T99" fmla="*/ 276 h 1105"/>
              <a:gd name="T100" fmla="*/ 16 w 620"/>
              <a:gd name="T101" fmla="*/ 221 h 1105"/>
              <a:gd name="T102" fmla="*/ 10 w 620"/>
              <a:gd name="T103" fmla="*/ 167 h 1105"/>
              <a:gd name="T104" fmla="*/ 20 w 620"/>
              <a:gd name="T105" fmla="*/ 117 h 1105"/>
              <a:gd name="T106" fmla="*/ 51 w 620"/>
              <a:gd name="T107" fmla="*/ 62 h 1105"/>
              <a:gd name="T108" fmla="*/ 56 w 620"/>
              <a:gd name="T109" fmla="*/ 0 h 110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</a:cxnLst>
            <a:rect l="0" t="0" r="r" b="b"/>
            <a:pathLst>
              <a:path w="620" h="1105">
                <a:moveTo>
                  <a:pt x="56" y="0"/>
                </a:moveTo>
                <a:lnTo>
                  <a:pt x="345" y="82"/>
                </a:lnTo>
                <a:lnTo>
                  <a:pt x="311" y="203"/>
                </a:lnTo>
                <a:lnTo>
                  <a:pt x="275" y="325"/>
                </a:lnTo>
                <a:lnTo>
                  <a:pt x="270" y="339"/>
                </a:lnTo>
                <a:lnTo>
                  <a:pt x="265" y="354"/>
                </a:lnTo>
                <a:lnTo>
                  <a:pt x="263" y="368"/>
                </a:lnTo>
                <a:lnTo>
                  <a:pt x="268" y="383"/>
                </a:lnTo>
                <a:lnTo>
                  <a:pt x="577" y="847"/>
                </a:lnTo>
                <a:lnTo>
                  <a:pt x="583" y="859"/>
                </a:lnTo>
                <a:lnTo>
                  <a:pt x="592" y="869"/>
                </a:lnTo>
                <a:lnTo>
                  <a:pt x="603" y="878"/>
                </a:lnTo>
                <a:lnTo>
                  <a:pt x="606" y="901"/>
                </a:lnTo>
                <a:lnTo>
                  <a:pt x="613" y="924"/>
                </a:lnTo>
                <a:lnTo>
                  <a:pt x="620" y="946"/>
                </a:lnTo>
                <a:lnTo>
                  <a:pt x="608" y="961"/>
                </a:lnTo>
                <a:lnTo>
                  <a:pt x="594" y="978"/>
                </a:lnTo>
                <a:lnTo>
                  <a:pt x="581" y="995"/>
                </a:lnTo>
                <a:lnTo>
                  <a:pt x="569" y="1011"/>
                </a:lnTo>
                <a:lnTo>
                  <a:pt x="560" y="1031"/>
                </a:lnTo>
                <a:lnTo>
                  <a:pt x="556" y="1050"/>
                </a:lnTo>
                <a:lnTo>
                  <a:pt x="558" y="1072"/>
                </a:lnTo>
                <a:lnTo>
                  <a:pt x="560" y="1082"/>
                </a:lnTo>
                <a:lnTo>
                  <a:pt x="558" y="1092"/>
                </a:lnTo>
                <a:lnTo>
                  <a:pt x="551" y="1100"/>
                </a:lnTo>
                <a:lnTo>
                  <a:pt x="542" y="1105"/>
                </a:lnTo>
                <a:lnTo>
                  <a:pt x="532" y="1102"/>
                </a:lnTo>
                <a:lnTo>
                  <a:pt x="491" y="1087"/>
                </a:lnTo>
                <a:lnTo>
                  <a:pt x="450" y="1075"/>
                </a:lnTo>
                <a:lnTo>
                  <a:pt x="407" y="1069"/>
                </a:lnTo>
                <a:lnTo>
                  <a:pt x="364" y="1066"/>
                </a:lnTo>
                <a:lnTo>
                  <a:pt x="361" y="1049"/>
                </a:lnTo>
                <a:lnTo>
                  <a:pt x="358" y="1029"/>
                </a:lnTo>
                <a:lnTo>
                  <a:pt x="354" y="1010"/>
                </a:lnTo>
                <a:lnTo>
                  <a:pt x="349" y="991"/>
                </a:lnTo>
                <a:lnTo>
                  <a:pt x="343" y="973"/>
                </a:lnTo>
                <a:lnTo>
                  <a:pt x="334" y="956"/>
                </a:lnTo>
                <a:lnTo>
                  <a:pt x="322" y="942"/>
                </a:lnTo>
                <a:lnTo>
                  <a:pt x="308" y="931"/>
                </a:lnTo>
                <a:lnTo>
                  <a:pt x="290" y="923"/>
                </a:lnTo>
                <a:lnTo>
                  <a:pt x="286" y="909"/>
                </a:lnTo>
                <a:lnTo>
                  <a:pt x="279" y="899"/>
                </a:lnTo>
                <a:lnTo>
                  <a:pt x="268" y="891"/>
                </a:lnTo>
                <a:lnTo>
                  <a:pt x="257" y="885"/>
                </a:lnTo>
                <a:lnTo>
                  <a:pt x="244" y="878"/>
                </a:lnTo>
                <a:lnTo>
                  <a:pt x="233" y="872"/>
                </a:lnTo>
                <a:lnTo>
                  <a:pt x="224" y="863"/>
                </a:lnTo>
                <a:lnTo>
                  <a:pt x="216" y="851"/>
                </a:lnTo>
                <a:lnTo>
                  <a:pt x="207" y="840"/>
                </a:lnTo>
                <a:lnTo>
                  <a:pt x="194" y="831"/>
                </a:lnTo>
                <a:lnTo>
                  <a:pt x="181" y="826"/>
                </a:lnTo>
                <a:lnTo>
                  <a:pt x="166" y="822"/>
                </a:lnTo>
                <a:lnTo>
                  <a:pt x="152" y="818"/>
                </a:lnTo>
                <a:lnTo>
                  <a:pt x="137" y="813"/>
                </a:lnTo>
                <a:lnTo>
                  <a:pt x="124" y="805"/>
                </a:lnTo>
                <a:lnTo>
                  <a:pt x="128" y="785"/>
                </a:lnTo>
                <a:lnTo>
                  <a:pt x="131" y="763"/>
                </a:lnTo>
                <a:lnTo>
                  <a:pt x="131" y="741"/>
                </a:lnTo>
                <a:lnTo>
                  <a:pt x="128" y="721"/>
                </a:lnTo>
                <a:lnTo>
                  <a:pt x="120" y="701"/>
                </a:lnTo>
                <a:lnTo>
                  <a:pt x="110" y="684"/>
                </a:lnTo>
                <a:lnTo>
                  <a:pt x="98" y="667"/>
                </a:lnTo>
                <a:lnTo>
                  <a:pt x="87" y="650"/>
                </a:lnTo>
                <a:lnTo>
                  <a:pt x="76" y="632"/>
                </a:lnTo>
                <a:lnTo>
                  <a:pt x="70" y="613"/>
                </a:lnTo>
                <a:lnTo>
                  <a:pt x="70" y="603"/>
                </a:lnTo>
                <a:lnTo>
                  <a:pt x="74" y="594"/>
                </a:lnTo>
                <a:lnTo>
                  <a:pt x="79" y="585"/>
                </a:lnTo>
                <a:lnTo>
                  <a:pt x="83" y="576"/>
                </a:lnTo>
                <a:lnTo>
                  <a:pt x="84" y="566"/>
                </a:lnTo>
                <a:lnTo>
                  <a:pt x="79" y="539"/>
                </a:lnTo>
                <a:lnTo>
                  <a:pt x="71" y="512"/>
                </a:lnTo>
                <a:lnTo>
                  <a:pt x="62" y="485"/>
                </a:lnTo>
                <a:lnTo>
                  <a:pt x="71" y="475"/>
                </a:lnTo>
                <a:lnTo>
                  <a:pt x="76" y="461"/>
                </a:lnTo>
                <a:lnTo>
                  <a:pt x="76" y="447"/>
                </a:lnTo>
                <a:lnTo>
                  <a:pt x="73" y="432"/>
                </a:lnTo>
                <a:lnTo>
                  <a:pt x="80" y="435"/>
                </a:lnTo>
                <a:lnTo>
                  <a:pt x="91" y="439"/>
                </a:lnTo>
                <a:lnTo>
                  <a:pt x="99" y="441"/>
                </a:lnTo>
                <a:lnTo>
                  <a:pt x="108" y="443"/>
                </a:lnTo>
                <a:lnTo>
                  <a:pt x="117" y="443"/>
                </a:lnTo>
                <a:lnTo>
                  <a:pt x="124" y="439"/>
                </a:lnTo>
                <a:lnTo>
                  <a:pt x="129" y="431"/>
                </a:lnTo>
                <a:lnTo>
                  <a:pt x="120" y="417"/>
                </a:lnTo>
                <a:lnTo>
                  <a:pt x="108" y="407"/>
                </a:lnTo>
                <a:lnTo>
                  <a:pt x="93" y="399"/>
                </a:lnTo>
                <a:lnTo>
                  <a:pt x="76" y="395"/>
                </a:lnTo>
                <a:lnTo>
                  <a:pt x="60" y="394"/>
                </a:lnTo>
                <a:lnTo>
                  <a:pt x="43" y="395"/>
                </a:lnTo>
                <a:lnTo>
                  <a:pt x="46" y="374"/>
                </a:lnTo>
                <a:lnTo>
                  <a:pt x="44" y="352"/>
                </a:lnTo>
                <a:lnTo>
                  <a:pt x="42" y="344"/>
                </a:lnTo>
                <a:lnTo>
                  <a:pt x="37" y="338"/>
                </a:lnTo>
                <a:lnTo>
                  <a:pt x="29" y="331"/>
                </a:lnTo>
                <a:lnTo>
                  <a:pt x="23" y="326"/>
                </a:lnTo>
                <a:lnTo>
                  <a:pt x="16" y="321"/>
                </a:lnTo>
                <a:lnTo>
                  <a:pt x="11" y="313"/>
                </a:lnTo>
                <a:lnTo>
                  <a:pt x="11" y="304"/>
                </a:lnTo>
                <a:lnTo>
                  <a:pt x="14" y="276"/>
                </a:lnTo>
                <a:lnTo>
                  <a:pt x="16" y="249"/>
                </a:lnTo>
                <a:lnTo>
                  <a:pt x="16" y="221"/>
                </a:lnTo>
                <a:lnTo>
                  <a:pt x="15" y="194"/>
                </a:lnTo>
                <a:lnTo>
                  <a:pt x="10" y="167"/>
                </a:lnTo>
                <a:lnTo>
                  <a:pt x="0" y="140"/>
                </a:lnTo>
                <a:lnTo>
                  <a:pt x="20" y="117"/>
                </a:lnTo>
                <a:lnTo>
                  <a:pt x="38" y="91"/>
                </a:lnTo>
                <a:lnTo>
                  <a:pt x="51" y="62"/>
                </a:lnTo>
                <a:lnTo>
                  <a:pt x="57" y="32"/>
                </a:lnTo>
                <a:lnTo>
                  <a:pt x="56" y="0"/>
                </a:lnTo>
                <a:close/>
              </a:path>
            </a:pathLst>
          </a:custGeom>
          <a:solidFill>
            <a:srgbClr val="00575D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08" name="Michigan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>
            <a:spLocks/>
          </xdr:cNvSpPr>
        </xdr:nvSpPr>
        <xdr:spPr bwMode="auto">
          <a:xfrm>
            <a:off x="6162675" y="1238250"/>
            <a:ext cx="1381125" cy="1162050"/>
          </a:xfrm>
          <a:custGeom>
            <a:avLst/>
            <a:gdLst>
              <a:gd name="connsiteX0" fmla="*/ 900754 w 1381125"/>
              <a:gd name="connsiteY0" fmla="*/ 247650 h 1162050"/>
              <a:gd name="connsiteX1" fmla="*/ 943772 w 1381125"/>
              <a:gd name="connsiteY1" fmla="*/ 257101 h 1162050"/>
              <a:gd name="connsiteX2" fmla="*/ 984400 w 1381125"/>
              <a:gd name="connsiteY2" fmla="*/ 276004 h 1162050"/>
              <a:gd name="connsiteX3" fmla="*/ 1020249 w 1381125"/>
              <a:gd name="connsiteY3" fmla="*/ 292543 h 1162050"/>
              <a:gd name="connsiteX4" fmla="*/ 1060877 w 1381125"/>
              <a:gd name="connsiteY4" fmla="*/ 311445 h 1162050"/>
              <a:gd name="connsiteX5" fmla="*/ 1103896 w 1381125"/>
              <a:gd name="connsiteY5" fmla="*/ 318534 h 1162050"/>
              <a:gd name="connsiteX6" fmla="*/ 1130185 w 1381125"/>
              <a:gd name="connsiteY6" fmla="*/ 353976 h 1162050"/>
              <a:gd name="connsiteX7" fmla="*/ 1142134 w 1381125"/>
              <a:gd name="connsiteY7" fmla="*/ 394143 h 1162050"/>
              <a:gd name="connsiteX8" fmla="*/ 1142134 w 1381125"/>
              <a:gd name="connsiteY8" fmla="*/ 431948 h 1162050"/>
              <a:gd name="connsiteX9" fmla="*/ 1137355 w 1381125"/>
              <a:gd name="connsiteY9" fmla="*/ 474478 h 1162050"/>
              <a:gd name="connsiteX10" fmla="*/ 1125405 w 1381125"/>
              <a:gd name="connsiteY10" fmla="*/ 517008 h 1162050"/>
              <a:gd name="connsiteX11" fmla="*/ 1113455 w 1381125"/>
              <a:gd name="connsiteY11" fmla="*/ 557176 h 1162050"/>
              <a:gd name="connsiteX12" fmla="*/ 1106286 w 1381125"/>
              <a:gd name="connsiteY12" fmla="*/ 599706 h 1162050"/>
              <a:gd name="connsiteX13" fmla="*/ 1103896 w 1381125"/>
              <a:gd name="connsiteY13" fmla="*/ 642236 h 1162050"/>
              <a:gd name="connsiteX14" fmla="*/ 1113455 w 1381125"/>
              <a:gd name="connsiteY14" fmla="*/ 680041 h 1162050"/>
              <a:gd name="connsiteX15" fmla="*/ 1134965 w 1381125"/>
              <a:gd name="connsiteY15" fmla="*/ 717845 h 1162050"/>
              <a:gd name="connsiteX16" fmla="*/ 1161254 w 1381125"/>
              <a:gd name="connsiteY16" fmla="*/ 732022 h 1162050"/>
              <a:gd name="connsiteX17" fmla="*/ 1185153 w 1381125"/>
              <a:gd name="connsiteY17" fmla="*/ 732022 h 1162050"/>
              <a:gd name="connsiteX18" fmla="*/ 1211442 w 1381125"/>
              <a:gd name="connsiteY18" fmla="*/ 717845 h 1162050"/>
              <a:gd name="connsiteX19" fmla="*/ 1232951 w 1381125"/>
              <a:gd name="connsiteY19" fmla="*/ 698943 h 1162050"/>
              <a:gd name="connsiteX20" fmla="*/ 1249680 w 1381125"/>
              <a:gd name="connsiteY20" fmla="*/ 675315 h 1162050"/>
              <a:gd name="connsiteX21" fmla="*/ 1268799 w 1381125"/>
              <a:gd name="connsiteY21" fmla="*/ 651687 h 1162050"/>
              <a:gd name="connsiteX22" fmla="*/ 1290309 w 1381125"/>
              <a:gd name="connsiteY22" fmla="*/ 630422 h 1162050"/>
              <a:gd name="connsiteX23" fmla="*/ 1321377 w 1381125"/>
              <a:gd name="connsiteY23" fmla="*/ 668227 h 1162050"/>
              <a:gd name="connsiteX24" fmla="*/ 1345277 w 1381125"/>
              <a:gd name="connsiteY24" fmla="*/ 713120 h 1162050"/>
              <a:gd name="connsiteX25" fmla="*/ 1364396 w 1381125"/>
              <a:gd name="connsiteY25" fmla="*/ 762739 h 1162050"/>
              <a:gd name="connsiteX26" fmla="*/ 1376345 w 1381125"/>
              <a:gd name="connsiteY26" fmla="*/ 814720 h 1162050"/>
              <a:gd name="connsiteX27" fmla="*/ 1381125 w 1381125"/>
              <a:gd name="connsiteY27" fmla="*/ 864339 h 1162050"/>
              <a:gd name="connsiteX28" fmla="*/ 1352446 w 1381125"/>
              <a:gd name="connsiteY28" fmla="*/ 895055 h 1162050"/>
              <a:gd name="connsiteX29" fmla="*/ 1321377 w 1381125"/>
              <a:gd name="connsiteY29" fmla="*/ 925771 h 1162050"/>
              <a:gd name="connsiteX30" fmla="*/ 1290309 w 1381125"/>
              <a:gd name="connsiteY30" fmla="*/ 958850 h 1162050"/>
              <a:gd name="connsiteX31" fmla="*/ 1261630 w 1381125"/>
              <a:gd name="connsiteY31" fmla="*/ 996655 h 1162050"/>
              <a:gd name="connsiteX32" fmla="*/ 1244900 w 1381125"/>
              <a:gd name="connsiteY32" fmla="*/ 1034459 h 1162050"/>
              <a:gd name="connsiteX33" fmla="*/ 1237731 w 1381125"/>
              <a:gd name="connsiteY33" fmla="*/ 1076990 h 1162050"/>
              <a:gd name="connsiteX34" fmla="*/ 1247290 w 1381125"/>
              <a:gd name="connsiteY34" fmla="*/ 1121883 h 1162050"/>
              <a:gd name="connsiteX35" fmla="*/ 726290 w 1381125"/>
              <a:gd name="connsiteY35" fmla="*/ 1162050 h 1162050"/>
              <a:gd name="connsiteX36" fmla="*/ 754969 w 1381125"/>
              <a:gd name="connsiteY36" fmla="*/ 1100618 h 1162050"/>
              <a:gd name="connsiteX37" fmla="*/ 778868 w 1381125"/>
              <a:gd name="connsiteY37" fmla="*/ 1036822 h 1162050"/>
              <a:gd name="connsiteX38" fmla="*/ 795598 w 1381125"/>
              <a:gd name="connsiteY38" fmla="*/ 970664 h 1162050"/>
              <a:gd name="connsiteX39" fmla="*/ 797987 w 1381125"/>
              <a:gd name="connsiteY39" fmla="*/ 906869 h 1162050"/>
              <a:gd name="connsiteX40" fmla="*/ 786038 w 1381125"/>
              <a:gd name="connsiteY40" fmla="*/ 840711 h 1162050"/>
              <a:gd name="connsiteX41" fmla="*/ 769309 w 1381125"/>
              <a:gd name="connsiteY41" fmla="*/ 802906 h 1162050"/>
              <a:gd name="connsiteX42" fmla="*/ 752579 w 1381125"/>
              <a:gd name="connsiteY42" fmla="*/ 765101 h 1162050"/>
              <a:gd name="connsiteX43" fmla="*/ 735850 w 1381125"/>
              <a:gd name="connsiteY43" fmla="*/ 727297 h 1162050"/>
              <a:gd name="connsiteX44" fmla="*/ 723900 w 1381125"/>
              <a:gd name="connsiteY44" fmla="*/ 687129 h 1162050"/>
              <a:gd name="connsiteX45" fmla="*/ 723900 w 1381125"/>
              <a:gd name="connsiteY45" fmla="*/ 644599 h 1162050"/>
              <a:gd name="connsiteX46" fmla="*/ 735850 w 1381125"/>
              <a:gd name="connsiteY46" fmla="*/ 604432 h 1162050"/>
              <a:gd name="connsiteX47" fmla="*/ 745409 w 1381125"/>
              <a:gd name="connsiteY47" fmla="*/ 571352 h 1162050"/>
              <a:gd name="connsiteX48" fmla="*/ 745409 w 1381125"/>
              <a:gd name="connsiteY48" fmla="*/ 535911 h 1162050"/>
              <a:gd name="connsiteX49" fmla="*/ 740630 w 1381125"/>
              <a:gd name="connsiteY49" fmla="*/ 502832 h 1162050"/>
              <a:gd name="connsiteX50" fmla="*/ 743020 w 1381125"/>
              <a:gd name="connsiteY50" fmla="*/ 465027 h 1162050"/>
              <a:gd name="connsiteX51" fmla="*/ 774088 w 1381125"/>
              <a:gd name="connsiteY51" fmla="*/ 472115 h 1162050"/>
              <a:gd name="connsiteX52" fmla="*/ 802767 w 1381125"/>
              <a:gd name="connsiteY52" fmla="*/ 474478 h 1162050"/>
              <a:gd name="connsiteX53" fmla="*/ 831446 w 1381125"/>
              <a:gd name="connsiteY53" fmla="*/ 469752 h 1162050"/>
              <a:gd name="connsiteX54" fmla="*/ 855345 w 1381125"/>
              <a:gd name="connsiteY54" fmla="*/ 453213 h 1162050"/>
              <a:gd name="connsiteX55" fmla="*/ 876854 w 1381125"/>
              <a:gd name="connsiteY55" fmla="*/ 415408 h 1162050"/>
              <a:gd name="connsiteX56" fmla="*/ 886414 w 1381125"/>
              <a:gd name="connsiteY56" fmla="*/ 375241 h 1162050"/>
              <a:gd name="connsiteX57" fmla="*/ 893584 w 1381125"/>
              <a:gd name="connsiteY57" fmla="*/ 332711 h 1162050"/>
              <a:gd name="connsiteX58" fmla="*/ 895974 w 1381125"/>
              <a:gd name="connsiteY58" fmla="*/ 290180 h 1162050"/>
              <a:gd name="connsiteX59" fmla="*/ 825340 w 1381125"/>
              <a:gd name="connsiteY59" fmla="*/ 0 h 1162050"/>
              <a:gd name="connsiteX60" fmla="*/ 815743 w 1381125"/>
              <a:gd name="connsiteY60" fmla="*/ 44390 h 1162050"/>
              <a:gd name="connsiteX61" fmla="*/ 882922 w 1381125"/>
              <a:gd name="connsiteY61" fmla="*/ 44390 h 1162050"/>
              <a:gd name="connsiteX62" fmla="*/ 952500 w 1381125"/>
              <a:gd name="connsiteY62" fmla="*/ 53735 h 1162050"/>
              <a:gd name="connsiteX63" fmla="*/ 878124 w 1381125"/>
              <a:gd name="connsiteY63" fmla="*/ 84107 h 1162050"/>
              <a:gd name="connsiteX64" fmla="*/ 798949 w 1381125"/>
              <a:gd name="connsiteY64" fmla="*/ 105134 h 1162050"/>
              <a:gd name="connsiteX65" fmla="*/ 722172 w 1381125"/>
              <a:gd name="connsiteY65" fmla="*/ 119152 h 1162050"/>
              <a:gd name="connsiteX66" fmla="*/ 640598 w 1381125"/>
              <a:gd name="connsiteY66" fmla="*/ 133170 h 1162050"/>
              <a:gd name="connsiteX67" fmla="*/ 561423 w 1381125"/>
              <a:gd name="connsiteY67" fmla="*/ 144852 h 1162050"/>
              <a:gd name="connsiteX68" fmla="*/ 520636 w 1381125"/>
              <a:gd name="connsiteY68" fmla="*/ 156533 h 1162050"/>
              <a:gd name="connsiteX69" fmla="*/ 491845 w 1381125"/>
              <a:gd name="connsiteY69" fmla="*/ 179897 h 1162050"/>
              <a:gd name="connsiteX70" fmla="*/ 465453 w 1381125"/>
              <a:gd name="connsiteY70" fmla="*/ 210269 h 1162050"/>
              <a:gd name="connsiteX71" fmla="*/ 453457 w 1381125"/>
              <a:gd name="connsiteY71" fmla="*/ 247650 h 1162050"/>
              <a:gd name="connsiteX72" fmla="*/ 439061 w 1381125"/>
              <a:gd name="connsiteY72" fmla="*/ 224287 h 1162050"/>
              <a:gd name="connsiteX73" fmla="*/ 417468 w 1381125"/>
              <a:gd name="connsiteY73" fmla="*/ 203260 h 1162050"/>
              <a:gd name="connsiteX74" fmla="*/ 388677 w 1381125"/>
              <a:gd name="connsiteY74" fmla="*/ 193914 h 1162050"/>
              <a:gd name="connsiteX75" fmla="*/ 256719 w 1381125"/>
              <a:gd name="connsiteY75" fmla="*/ 170551 h 1162050"/>
              <a:gd name="connsiteX76" fmla="*/ 129559 w 1381125"/>
              <a:gd name="connsiteY76" fmla="*/ 135506 h 1162050"/>
              <a:gd name="connsiteX77" fmla="*/ 0 w 1381125"/>
              <a:gd name="connsiteY77" fmla="*/ 95789 h 1162050"/>
              <a:gd name="connsiteX78" fmla="*/ 38388 w 1381125"/>
              <a:gd name="connsiteY78" fmla="*/ 81771 h 1162050"/>
              <a:gd name="connsiteX79" fmla="*/ 79175 w 1381125"/>
              <a:gd name="connsiteY79" fmla="*/ 60744 h 1162050"/>
              <a:gd name="connsiteX80" fmla="*/ 122361 w 1381125"/>
              <a:gd name="connsiteY80" fmla="*/ 39717 h 1162050"/>
              <a:gd name="connsiteX81" fmla="*/ 163148 w 1381125"/>
              <a:gd name="connsiteY81" fmla="*/ 21027 h 1162050"/>
              <a:gd name="connsiteX82" fmla="*/ 201536 w 1381125"/>
              <a:gd name="connsiteY82" fmla="*/ 11681 h 1162050"/>
              <a:gd name="connsiteX83" fmla="*/ 242323 w 1381125"/>
              <a:gd name="connsiteY83" fmla="*/ 16354 h 1162050"/>
              <a:gd name="connsiteX84" fmla="*/ 283111 w 1381125"/>
              <a:gd name="connsiteY84" fmla="*/ 30372 h 1162050"/>
              <a:gd name="connsiteX85" fmla="*/ 323898 w 1381125"/>
              <a:gd name="connsiteY85" fmla="*/ 28036 h 1162050"/>
              <a:gd name="connsiteX86" fmla="*/ 362286 w 1381125"/>
              <a:gd name="connsiteY86" fmla="*/ 32708 h 1162050"/>
              <a:gd name="connsiteX87" fmla="*/ 398274 w 1381125"/>
              <a:gd name="connsiteY87" fmla="*/ 49063 h 1162050"/>
              <a:gd name="connsiteX88" fmla="*/ 436662 w 1381125"/>
              <a:gd name="connsiteY88" fmla="*/ 63081 h 1162050"/>
              <a:gd name="connsiteX89" fmla="*/ 472651 w 1381125"/>
              <a:gd name="connsiteY89" fmla="*/ 81771 h 1162050"/>
              <a:gd name="connsiteX90" fmla="*/ 508640 w 1381125"/>
              <a:gd name="connsiteY90" fmla="*/ 91116 h 1162050"/>
              <a:gd name="connsiteX91" fmla="*/ 549427 w 1381125"/>
              <a:gd name="connsiteY91" fmla="*/ 93453 h 1162050"/>
              <a:gd name="connsiteX92" fmla="*/ 607009 w 1381125"/>
              <a:gd name="connsiteY92" fmla="*/ 81771 h 1162050"/>
              <a:gd name="connsiteX93" fmla="*/ 662191 w 1381125"/>
              <a:gd name="connsiteY93" fmla="*/ 60744 h 1162050"/>
              <a:gd name="connsiteX94" fmla="*/ 714975 w 1381125"/>
              <a:gd name="connsiteY94" fmla="*/ 37381 h 1162050"/>
              <a:gd name="connsiteX95" fmla="*/ 770158 w 1381125"/>
              <a:gd name="connsiteY95" fmla="*/ 16354 h 11620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</a:cxnLst>
            <a:rect l="l" t="t" r="r" b="b"/>
            <a:pathLst>
              <a:path w="1381125" h="1162050">
                <a:moveTo>
                  <a:pt x="900754" y="247650"/>
                </a:moveTo>
                <a:lnTo>
                  <a:pt x="943772" y="257101"/>
                </a:lnTo>
                <a:lnTo>
                  <a:pt x="984400" y="276004"/>
                </a:lnTo>
                <a:lnTo>
                  <a:pt x="1020249" y="292543"/>
                </a:lnTo>
                <a:lnTo>
                  <a:pt x="1060877" y="311445"/>
                </a:lnTo>
                <a:lnTo>
                  <a:pt x="1103896" y="318534"/>
                </a:lnTo>
                <a:lnTo>
                  <a:pt x="1130185" y="353976"/>
                </a:lnTo>
                <a:lnTo>
                  <a:pt x="1142134" y="394143"/>
                </a:lnTo>
                <a:lnTo>
                  <a:pt x="1142134" y="431948"/>
                </a:lnTo>
                <a:lnTo>
                  <a:pt x="1137355" y="474478"/>
                </a:lnTo>
                <a:lnTo>
                  <a:pt x="1125405" y="517008"/>
                </a:lnTo>
                <a:lnTo>
                  <a:pt x="1113455" y="557176"/>
                </a:lnTo>
                <a:lnTo>
                  <a:pt x="1106286" y="599706"/>
                </a:lnTo>
                <a:lnTo>
                  <a:pt x="1103896" y="642236"/>
                </a:lnTo>
                <a:lnTo>
                  <a:pt x="1113455" y="680041"/>
                </a:lnTo>
                <a:lnTo>
                  <a:pt x="1134965" y="717845"/>
                </a:lnTo>
                <a:lnTo>
                  <a:pt x="1161254" y="732022"/>
                </a:lnTo>
                <a:lnTo>
                  <a:pt x="1185153" y="732022"/>
                </a:lnTo>
                <a:lnTo>
                  <a:pt x="1211442" y="717845"/>
                </a:lnTo>
                <a:lnTo>
                  <a:pt x="1232951" y="698943"/>
                </a:lnTo>
                <a:lnTo>
                  <a:pt x="1249680" y="675315"/>
                </a:lnTo>
                <a:lnTo>
                  <a:pt x="1268799" y="651687"/>
                </a:lnTo>
                <a:lnTo>
                  <a:pt x="1290309" y="630422"/>
                </a:lnTo>
                <a:lnTo>
                  <a:pt x="1321377" y="668227"/>
                </a:lnTo>
                <a:lnTo>
                  <a:pt x="1345277" y="713120"/>
                </a:lnTo>
                <a:lnTo>
                  <a:pt x="1364396" y="762739"/>
                </a:lnTo>
                <a:lnTo>
                  <a:pt x="1376345" y="814720"/>
                </a:lnTo>
                <a:lnTo>
                  <a:pt x="1381125" y="864339"/>
                </a:lnTo>
                <a:lnTo>
                  <a:pt x="1352446" y="895055"/>
                </a:lnTo>
                <a:lnTo>
                  <a:pt x="1321377" y="925771"/>
                </a:lnTo>
                <a:lnTo>
                  <a:pt x="1290309" y="958850"/>
                </a:lnTo>
                <a:lnTo>
                  <a:pt x="1261630" y="996655"/>
                </a:lnTo>
                <a:lnTo>
                  <a:pt x="1244900" y="1034459"/>
                </a:lnTo>
                <a:lnTo>
                  <a:pt x="1237731" y="1076990"/>
                </a:lnTo>
                <a:lnTo>
                  <a:pt x="1247290" y="1121883"/>
                </a:lnTo>
                <a:lnTo>
                  <a:pt x="726290" y="1162050"/>
                </a:lnTo>
                <a:lnTo>
                  <a:pt x="754969" y="1100618"/>
                </a:lnTo>
                <a:lnTo>
                  <a:pt x="778868" y="1036822"/>
                </a:lnTo>
                <a:lnTo>
                  <a:pt x="795598" y="970664"/>
                </a:lnTo>
                <a:lnTo>
                  <a:pt x="797987" y="906869"/>
                </a:lnTo>
                <a:lnTo>
                  <a:pt x="786038" y="840711"/>
                </a:lnTo>
                <a:lnTo>
                  <a:pt x="769309" y="802906"/>
                </a:lnTo>
                <a:lnTo>
                  <a:pt x="752579" y="765101"/>
                </a:lnTo>
                <a:lnTo>
                  <a:pt x="735850" y="727297"/>
                </a:lnTo>
                <a:lnTo>
                  <a:pt x="723900" y="687129"/>
                </a:lnTo>
                <a:lnTo>
                  <a:pt x="723900" y="644599"/>
                </a:lnTo>
                <a:lnTo>
                  <a:pt x="735850" y="604432"/>
                </a:lnTo>
                <a:lnTo>
                  <a:pt x="745409" y="571352"/>
                </a:lnTo>
                <a:lnTo>
                  <a:pt x="745409" y="535911"/>
                </a:lnTo>
                <a:lnTo>
                  <a:pt x="740630" y="502832"/>
                </a:lnTo>
                <a:lnTo>
                  <a:pt x="743020" y="465027"/>
                </a:lnTo>
                <a:lnTo>
                  <a:pt x="774088" y="472115"/>
                </a:lnTo>
                <a:lnTo>
                  <a:pt x="802767" y="474478"/>
                </a:lnTo>
                <a:lnTo>
                  <a:pt x="831446" y="469752"/>
                </a:lnTo>
                <a:lnTo>
                  <a:pt x="855345" y="453213"/>
                </a:lnTo>
                <a:lnTo>
                  <a:pt x="876854" y="415408"/>
                </a:lnTo>
                <a:lnTo>
                  <a:pt x="886414" y="375241"/>
                </a:lnTo>
                <a:lnTo>
                  <a:pt x="893584" y="332711"/>
                </a:lnTo>
                <a:lnTo>
                  <a:pt x="895974" y="290180"/>
                </a:lnTo>
                <a:close/>
                <a:moveTo>
                  <a:pt x="825340" y="0"/>
                </a:moveTo>
                <a:lnTo>
                  <a:pt x="815743" y="44390"/>
                </a:lnTo>
                <a:lnTo>
                  <a:pt x="882922" y="44390"/>
                </a:lnTo>
                <a:lnTo>
                  <a:pt x="952500" y="53735"/>
                </a:lnTo>
                <a:lnTo>
                  <a:pt x="878124" y="84107"/>
                </a:lnTo>
                <a:lnTo>
                  <a:pt x="798949" y="105134"/>
                </a:lnTo>
                <a:lnTo>
                  <a:pt x="722172" y="119152"/>
                </a:lnTo>
                <a:lnTo>
                  <a:pt x="640598" y="133170"/>
                </a:lnTo>
                <a:lnTo>
                  <a:pt x="561423" y="144852"/>
                </a:lnTo>
                <a:lnTo>
                  <a:pt x="520636" y="156533"/>
                </a:lnTo>
                <a:lnTo>
                  <a:pt x="491845" y="179897"/>
                </a:lnTo>
                <a:lnTo>
                  <a:pt x="465453" y="210269"/>
                </a:lnTo>
                <a:lnTo>
                  <a:pt x="453457" y="247650"/>
                </a:lnTo>
                <a:lnTo>
                  <a:pt x="439061" y="224287"/>
                </a:lnTo>
                <a:lnTo>
                  <a:pt x="417468" y="203260"/>
                </a:lnTo>
                <a:lnTo>
                  <a:pt x="388677" y="193914"/>
                </a:lnTo>
                <a:lnTo>
                  <a:pt x="256719" y="170551"/>
                </a:lnTo>
                <a:lnTo>
                  <a:pt x="129559" y="135506"/>
                </a:lnTo>
                <a:lnTo>
                  <a:pt x="0" y="95789"/>
                </a:lnTo>
                <a:lnTo>
                  <a:pt x="38388" y="81771"/>
                </a:lnTo>
                <a:lnTo>
                  <a:pt x="79175" y="60744"/>
                </a:lnTo>
                <a:lnTo>
                  <a:pt x="122361" y="39717"/>
                </a:lnTo>
                <a:lnTo>
                  <a:pt x="163148" y="21027"/>
                </a:lnTo>
                <a:lnTo>
                  <a:pt x="201536" y="11681"/>
                </a:lnTo>
                <a:lnTo>
                  <a:pt x="242323" y="16354"/>
                </a:lnTo>
                <a:lnTo>
                  <a:pt x="283111" y="30372"/>
                </a:lnTo>
                <a:lnTo>
                  <a:pt x="323898" y="28036"/>
                </a:lnTo>
                <a:lnTo>
                  <a:pt x="362286" y="32708"/>
                </a:lnTo>
                <a:lnTo>
                  <a:pt x="398274" y="49063"/>
                </a:lnTo>
                <a:lnTo>
                  <a:pt x="436662" y="63081"/>
                </a:lnTo>
                <a:lnTo>
                  <a:pt x="472651" y="81771"/>
                </a:lnTo>
                <a:lnTo>
                  <a:pt x="508640" y="91116"/>
                </a:lnTo>
                <a:lnTo>
                  <a:pt x="549427" y="93453"/>
                </a:lnTo>
                <a:lnTo>
                  <a:pt x="607009" y="81771"/>
                </a:lnTo>
                <a:lnTo>
                  <a:pt x="662191" y="60744"/>
                </a:lnTo>
                <a:lnTo>
                  <a:pt x="714975" y="37381"/>
                </a:lnTo>
                <a:lnTo>
                  <a:pt x="770158" y="16354"/>
                </a:lnTo>
                <a:close/>
              </a:path>
            </a:pathLst>
          </a:custGeom>
          <a:solidFill>
            <a:srgbClr val="00575D"/>
          </a:solidFill>
          <a:ln w="12700">
            <a:noFill/>
            <a:prstDash val="solid"/>
            <a:round/>
            <a:headEnd/>
            <a:tailEnd/>
          </a:ln>
          <a:extLst>
            <a:ext uri="{91240B29-F687-4F45-9708-019B960494DF}">
              <a14:hiddenLine xmlns:a14="http://schemas.microsoft.com/office/drawing/2010/main" w="12700">
                <a:solidFill>
                  <a:srgbClr val="969696"/>
                </a:solidFill>
                <a:prstDash val="solid"/>
                <a:round/>
                <a:headEnd/>
                <a:tailEnd/>
              </a14:hiddenLine>
            </a:ext>
          </a:extLst>
        </xdr:spPr>
        <xdr:txBody>
          <a:bodyPr wrap="square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371475</xdr:colOff>
          <xdr:row>0</xdr:row>
          <xdr:rowOff>76200</xdr:rowOff>
        </xdr:from>
        <xdr:to>
          <xdr:col>16</xdr:col>
          <xdr:colOff>581025</xdr:colOff>
          <xdr:row>0</xdr:row>
          <xdr:rowOff>400050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15</xdr:col>
      <xdr:colOff>144909</xdr:colOff>
      <xdr:row>7</xdr:row>
      <xdr:rowOff>180976</xdr:rowOff>
    </xdr:from>
    <xdr:to>
      <xdr:col>16</xdr:col>
      <xdr:colOff>504825</xdr:colOff>
      <xdr:row>18</xdr:row>
      <xdr:rowOff>266700</xdr:rowOff>
    </xdr:to>
    <xdr:graphicFrame macro="">
      <xdr:nvGraphicFramePr>
        <xdr:cNvPr id="112" name="Диаграмма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123824</xdr:colOff>
      <xdr:row>6</xdr:row>
      <xdr:rowOff>9525</xdr:rowOff>
    </xdr:from>
    <xdr:to>
      <xdr:col>14</xdr:col>
      <xdr:colOff>714375</xdr:colOff>
      <xdr:row>7</xdr:row>
      <xdr:rowOff>28575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6600824" y="1552575"/>
          <a:ext cx="3648076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b="1">
              <a:solidFill>
                <a:schemeClr val="bg1"/>
              </a:solidFill>
            </a:rPr>
            <a:t>ANALYSIS OF TRAFFIC WITH CONTEXTUAL ADVERTISING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81644</xdr:colOff>
      <xdr:row>20</xdr:row>
      <xdr:rowOff>329294</xdr:rowOff>
    </xdr:from>
    <xdr:to>
      <xdr:col>8</xdr:col>
      <xdr:colOff>149679</xdr:colOff>
      <xdr:row>32</xdr:row>
      <xdr:rowOff>68036</xdr:rowOff>
    </xdr:to>
    <xdr:graphicFrame macro="">
      <xdr:nvGraphicFramePr>
        <xdr:cNvPr id="113" name="Диаграмма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2</xdr:col>
      <xdr:colOff>152400</xdr:colOff>
      <xdr:row>20</xdr:row>
      <xdr:rowOff>266700</xdr:rowOff>
    </xdr:from>
    <xdr:ext cx="4067175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409700" y="4648200"/>
          <a:ext cx="40671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b="1">
              <a:solidFill>
                <a:schemeClr val="bg1"/>
              </a:solidFill>
            </a:rPr>
            <a:t>AVERAGE PROFITS FOR THE CURRENT AND PREVIOUS MONTHS</a:t>
          </a:r>
          <a:endParaRPr lang="en-US" sz="1100" b="1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10</xdr:col>
      <xdr:colOff>9525</xdr:colOff>
      <xdr:row>20</xdr:row>
      <xdr:rowOff>209550</xdr:rowOff>
    </xdr:from>
    <xdr:to>
      <xdr:col>16</xdr:col>
      <xdr:colOff>592200</xdr:colOff>
      <xdr:row>32</xdr:row>
      <xdr:rowOff>24375</xdr:rowOff>
    </xdr:to>
    <xdr:graphicFrame macro="">
      <xdr:nvGraphicFramePr>
        <xdr:cNvPr id="114" name="Диаграмма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123824</xdr:colOff>
      <xdr:row>20</xdr:row>
      <xdr:rowOff>266701</xdr:rowOff>
    </xdr:from>
    <xdr:to>
      <xdr:col>12</xdr:col>
      <xdr:colOff>304799</xdr:colOff>
      <xdr:row>20</xdr:row>
      <xdr:rowOff>773907</xdr:rowOff>
    </xdr:to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/>
      </xdr:nvSpPr>
      <xdr:spPr>
        <a:xfrm>
          <a:off x="6588918" y="4660107"/>
          <a:ext cx="2383631" cy="5072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b="1">
              <a:solidFill>
                <a:schemeClr val="bg1"/>
              </a:solidFill>
            </a:rPr>
            <a:t>PRODUCT CATEGORIES</a:t>
          </a:r>
          <a:endParaRPr lang="ru-RU" sz="1100" b="1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400050</xdr:colOff>
      <xdr:row>5</xdr:row>
      <xdr:rowOff>85725</xdr:rowOff>
    </xdr:from>
    <xdr:to>
      <xdr:col>13</xdr:col>
      <xdr:colOff>164925</xdr:colOff>
      <xdr:row>20</xdr:row>
      <xdr:rowOff>609150</xdr:rowOff>
    </xdr:to>
    <xdr:graphicFrame macro="">
      <xdr:nvGraphicFramePr>
        <xdr:cNvPr id="111" name="NewVisits" hidden="1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9525</xdr:colOff>
      <xdr:row>1</xdr:row>
      <xdr:rowOff>0</xdr:rowOff>
    </xdr:from>
    <xdr:to>
      <xdr:col>4</xdr:col>
      <xdr:colOff>0</xdr:colOff>
      <xdr:row>4</xdr:row>
      <xdr:rowOff>104775</xdr:rowOff>
    </xdr:to>
    <xdr:sp macro="[0]!newvisit" textlink="">
      <xdr:nvSpPr>
        <xdr:cNvPr id="13" name="Прямоугольни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81000" y="485775"/>
          <a:ext cx="2800350" cy="800100"/>
        </a:xfrm>
        <a:prstGeom prst="rect">
          <a:avLst/>
        </a:prstGeom>
        <a:solidFill>
          <a:srgbClr val="005361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400050</xdr:colOff>
      <xdr:row>5</xdr:row>
      <xdr:rowOff>85725</xdr:rowOff>
    </xdr:from>
    <xdr:to>
      <xdr:col>13</xdr:col>
      <xdr:colOff>164925</xdr:colOff>
      <xdr:row>20</xdr:row>
      <xdr:rowOff>609150</xdr:rowOff>
    </xdr:to>
    <xdr:graphicFrame macro="">
      <xdr:nvGraphicFramePr>
        <xdr:cNvPr id="115" name="Costs" hidden="1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400050</xdr:colOff>
      <xdr:row>5</xdr:row>
      <xdr:rowOff>85725</xdr:rowOff>
    </xdr:from>
    <xdr:to>
      <xdr:col>13</xdr:col>
      <xdr:colOff>164925</xdr:colOff>
      <xdr:row>20</xdr:row>
      <xdr:rowOff>609150</xdr:rowOff>
    </xdr:to>
    <xdr:graphicFrame macro="">
      <xdr:nvGraphicFramePr>
        <xdr:cNvPr id="116" name="ActiveUsers" hidden="1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19050</xdr:colOff>
      <xdr:row>1</xdr:row>
      <xdr:rowOff>0</xdr:rowOff>
    </xdr:from>
    <xdr:to>
      <xdr:col>9</xdr:col>
      <xdr:colOff>0</xdr:colOff>
      <xdr:row>4</xdr:row>
      <xdr:rowOff>104775</xdr:rowOff>
    </xdr:to>
    <xdr:sp macro="[0]!costsWindow" textlink="">
      <xdr:nvSpPr>
        <xdr:cNvPr id="117" name="Прямоугольник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>
        <a:xfrm>
          <a:off x="3438525" y="485775"/>
          <a:ext cx="2800350" cy="800100"/>
        </a:xfrm>
        <a:prstGeom prst="rect">
          <a:avLst/>
        </a:prstGeom>
        <a:solidFill>
          <a:srgbClr val="005361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19050</xdr:colOff>
      <xdr:row>1</xdr:row>
      <xdr:rowOff>0</xdr:rowOff>
    </xdr:from>
    <xdr:to>
      <xdr:col>13</xdr:col>
      <xdr:colOff>0</xdr:colOff>
      <xdr:row>4</xdr:row>
      <xdr:rowOff>104775</xdr:rowOff>
    </xdr:to>
    <xdr:sp macro="[0]!ActiveUse" textlink="">
      <xdr:nvSpPr>
        <xdr:cNvPr id="118" name="Прямоугольник 117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>
        <a:xfrm>
          <a:off x="6496050" y="485775"/>
          <a:ext cx="2800350" cy="800100"/>
        </a:xfrm>
        <a:prstGeom prst="rect">
          <a:avLst/>
        </a:prstGeom>
        <a:solidFill>
          <a:srgbClr val="005361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0.94221</cdr:x>
      <cdr:y>0.01587</cdr:y>
    </cdr:from>
    <cdr:to>
      <cdr:x>0.99072</cdr:x>
      <cdr:y>0.0979</cdr:y>
    </cdr:to>
    <cdr:sp macro="[0]!closenewvisit" textlink="">
      <cdr:nvSpPr>
        <cdr:cNvPr id="2" name="TextBox 1"/>
        <cdr:cNvSpPr txBox="1"/>
      </cdr:nvSpPr>
      <cdr:spPr>
        <a:xfrm xmlns:a="http://schemas.openxmlformats.org/drawingml/2006/main">
          <a:off x="6105525" y="57149"/>
          <a:ext cx="314325" cy="295275"/>
        </a:xfrm>
        <a:prstGeom xmlns:a="http://schemas.openxmlformats.org/drawingml/2006/main" prst="rect">
          <a:avLst/>
        </a:prstGeom>
        <a:solidFill xmlns:a="http://schemas.openxmlformats.org/drawingml/2006/main">
          <a:srgbClr val="005361"/>
        </a:solidFill>
        <a:ln xmlns:a="http://schemas.openxmlformats.org/drawingml/2006/main">
          <a:solidFill>
            <a:schemeClr val="bg1"/>
          </a:solidFill>
        </a:ln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  <a:scene3d xmlns:a="http://schemas.openxmlformats.org/drawingml/2006/main">
          <a:camera prst="orthographicFront"/>
          <a:lightRig rig="threePt" dir="t"/>
        </a:scene3d>
        <a:sp3d xmlns:a="http://schemas.openxmlformats.org/drawingml/2006/main">
          <a:bevelT prst="angle"/>
        </a:sp3d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pl-PL" sz="2000">
              <a:solidFill>
                <a:schemeClr val="bg1"/>
              </a:solidFill>
              <a:latin typeface="Arial Black" panose="020B0A04020102020204" pitchFamily="34" charset="0"/>
            </a:rPr>
            <a:t>X</a:t>
          </a:r>
          <a:endParaRPr lang="en-US" sz="2000">
            <a:solidFill>
              <a:schemeClr val="bg1"/>
            </a:solidFill>
            <a:latin typeface="Arial Black" panose="020B0A04020102020204" pitchFamily="34" charset="0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0.9427</cdr:x>
      <cdr:y>0.01676</cdr:y>
    </cdr:from>
    <cdr:to>
      <cdr:x>0.99121</cdr:x>
      <cdr:y>0.09879</cdr:y>
    </cdr:to>
    <cdr:sp macro="[0]!closecostsWindow" textlink="">
      <cdr:nvSpPr>
        <cdr:cNvPr id="2" name="TextBox 1"/>
        <cdr:cNvSpPr txBox="1"/>
      </cdr:nvSpPr>
      <cdr:spPr>
        <a:xfrm xmlns:a="http://schemas.openxmlformats.org/drawingml/2006/main">
          <a:off x="6108700" y="60325"/>
          <a:ext cx="314345" cy="295308"/>
        </a:xfrm>
        <a:prstGeom xmlns:a="http://schemas.openxmlformats.org/drawingml/2006/main" prst="rect">
          <a:avLst/>
        </a:prstGeom>
        <a:solidFill xmlns:a="http://schemas.openxmlformats.org/drawingml/2006/main">
          <a:srgbClr val="005361"/>
        </a:solidFill>
        <a:ln xmlns:a="http://schemas.openxmlformats.org/drawingml/2006/main">
          <a:solidFill>
            <a:schemeClr val="bg1"/>
          </a:solidFill>
        </a:ln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  <a:scene3d xmlns:a="http://schemas.openxmlformats.org/drawingml/2006/main">
          <a:camera prst="orthographicFront"/>
          <a:lightRig rig="threePt" dir="t"/>
        </a:scene3d>
        <a:sp3d xmlns:a="http://schemas.openxmlformats.org/drawingml/2006/main">
          <a:bevelT prst="angle"/>
        </a:sp3d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l-PL" sz="2000">
              <a:solidFill>
                <a:schemeClr val="bg1"/>
              </a:solidFill>
              <a:latin typeface="Arial Black" panose="020B0A04020102020204" pitchFamily="34" charset="0"/>
            </a:rPr>
            <a:t>X</a:t>
          </a:r>
          <a:endParaRPr lang="en-US" sz="2000">
            <a:solidFill>
              <a:schemeClr val="bg1"/>
            </a:solidFill>
            <a:latin typeface="Arial Black" panose="020B0A04020102020204" pitchFamily="34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0.94417</cdr:x>
      <cdr:y>0.01411</cdr:y>
    </cdr:from>
    <cdr:to>
      <cdr:x>0.99268</cdr:x>
      <cdr:y>0.09614</cdr:y>
    </cdr:to>
    <cdr:sp macro="[0]!closeActiveUse" textlink="">
      <cdr:nvSpPr>
        <cdr:cNvPr id="2" name="TextBox 1"/>
        <cdr:cNvSpPr txBox="1"/>
      </cdr:nvSpPr>
      <cdr:spPr>
        <a:xfrm xmlns:a="http://schemas.openxmlformats.org/drawingml/2006/main">
          <a:off x="6118225" y="50800"/>
          <a:ext cx="314345" cy="295308"/>
        </a:xfrm>
        <a:prstGeom xmlns:a="http://schemas.openxmlformats.org/drawingml/2006/main" prst="rect">
          <a:avLst/>
        </a:prstGeom>
        <a:solidFill xmlns:a="http://schemas.openxmlformats.org/drawingml/2006/main">
          <a:srgbClr val="005361"/>
        </a:solidFill>
        <a:ln xmlns:a="http://schemas.openxmlformats.org/drawingml/2006/main">
          <a:solidFill>
            <a:schemeClr val="bg1"/>
          </a:solidFill>
        </a:ln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  <a:scene3d xmlns:a="http://schemas.openxmlformats.org/drawingml/2006/main">
          <a:camera prst="orthographicFront"/>
          <a:lightRig rig="threePt" dir="t"/>
        </a:scene3d>
        <a:sp3d xmlns:a="http://schemas.openxmlformats.org/drawingml/2006/main">
          <a:bevelT prst="angle"/>
        </a:sp3d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l-PL" sz="2000">
              <a:solidFill>
                <a:schemeClr val="bg1"/>
              </a:solidFill>
              <a:latin typeface="Arial Black" panose="020B0A04020102020204" pitchFamily="34" charset="0"/>
            </a:rPr>
            <a:t>X</a:t>
          </a:r>
          <a:endParaRPr lang="en-US" sz="2000">
            <a:solidFill>
              <a:schemeClr val="bg1"/>
            </a:solidFill>
            <a:latin typeface="Arial Black" panose="020B0A04020102020204" pitchFamily="34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5"/>
  <dimension ref="A1:Q34"/>
  <sheetViews>
    <sheetView showGridLines="0" showRowColHeaders="0" tabSelected="1" zoomScale="70" zoomScaleNormal="70" workbookViewId="0">
      <selection activeCell="AA29" sqref="AA29"/>
    </sheetView>
  </sheetViews>
  <sheetFormatPr defaultRowHeight="15" x14ac:dyDescent="0.25"/>
  <cols>
    <col min="1" max="1" width="5.5703125" style="11" customWidth="1"/>
    <col min="2" max="2" width="13.28515625" style="11" customWidth="1"/>
    <col min="3" max="3" width="19.85546875" style="11" customWidth="1"/>
    <col min="4" max="4" width="9" style="11" customWidth="1"/>
    <col min="5" max="5" width="3.5703125" style="11" customWidth="1"/>
    <col min="6" max="6" width="13.28515625" style="11" customWidth="1"/>
    <col min="7" max="7" width="19.85546875" style="11" customWidth="1"/>
    <col min="8" max="8" width="6.7109375" style="11" customWidth="1"/>
    <col min="9" max="9" width="2.42578125" style="11" customWidth="1"/>
    <col min="10" max="10" width="3.5703125" style="11" customWidth="1"/>
    <col min="11" max="11" width="13.28515625" style="11" customWidth="1"/>
    <col min="12" max="12" width="19.85546875" style="11" customWidth="1"/>
    <col min="13" max="13" width="9.140625" style="11" customWidth="1"/>
    <col min="14" max="14" width="3.5703125" style="11" customWidth="1"/>
    <col min="15" max="15" width="13.28515625" style="11" customWidth="1"/>
    <col min="16" max="16" width="19.85546875" style="11" customWidth="1"/>
    <col min="17" max="17" width="9.140625" style="11" customWidth="1"/>
    <col min="18" max="18" width="3.5703125" style="11" customWidth="1"/>
    <col min="19" max="16384" width="9.140625" style="11"/>
  </cols>
  <sheetData>
    <row r="1" spans="1:17" s="9" customFormat="1" ht="38.25" customHeight="1" x14ac:dyDescent="0.25">
      <c r="A1" s="32">
        <v>0</v>
      </c>
      <c r="B1" s="10" t="s">
        <v>51</v>
      </c>
      <c r="P1" s="24" t="str">
        <f>CHOOSE(Processing!B5,"January", "February", "March", "April", "May", "June", "July", "August", "September", "October", "November", "December")</f>
        <v>December</v>
      </c>
    </row>
    <row r="2" spans="1:17" s="9" customFormat="1" ht="18" customHeight="1" x14ac:dyDescent="0.25">
      <c r="B2" s="36">
        <f ca="1">Processing!D3/(Processing!D3+Processing!E3)</f>
        <v>0.80982997571081583</v>
      </c>
      <c r="C2" s="13"/>
      <c r="D2" s="13"/>
      <c r="F2" s="36">
        <f ca="1">1-(SUM(ProfitMonth)/SUM(SalesMonth))</f>
        <v>0.69743669455120949</v>
      </c>
      <c r="G2" s="13"/>
      <c r="H2" s="13"/>
      <c r="I2" s="13"/>
      <c r="K2" s="36">
        <f ca="1">Processing!H3/Processing!I3</f>
        <v>0.17745689050890229</v>
      </c>
      <c r="L2" s="13"/>
      <c r="M2" s="13"/>
      <c r="O2" s="36">
        <f ca="1">Processing!J3/Processing!K3</f>
        <v>0.23482709950599859</v>
      </c>
      <c r="P2" s="13"/>
      <c r="Q2" s="13"/>
    </row>
    <row r="3" spans="1:17" s="9" customFormat="1" ht="17.25" customHeight="1" x14ac:dyDescent="0.25">
      <c r="B3" s="36"/>
      <c r="C3" s="15" t="s">
        <v>104</v>
      </c>
      <c r="D3" s="13"/>
      <c r="F3" s="36"/>
      <c r="G3" s="15" t="s">
        <v>105</v>
      </c>
      <c r="H3" s="13"/>
      <c r="I3" s="13"/>
      <c r="K3" s="36"/>
      <c r="L3" s="14" t="s">
        <v>106</v>
      </c>
      <c r="M3" s="13"/>
      <c r="O3" s="36"/>
      <c r="P3" s="14" t="s">
        <v>107</v>
      </c>
      <c r="Q3" s="13"/>
    </row>
    <row r="4" spans="1:17" s="9" customFormat="1" ht="19.5" customHeight="1" x14ac:dyDescent="0.35">
      <c r="B4" s="36"/>
      <c r="C4" s="16">
        <f ca="1">Processing!D3</f>
        <v>68016</v>
      </c>
      <c r="D4" s="13"/>
      <c r="F4" s="36"/>
      <c r="G4" s="17" t="str">
        <f ca="1">"$"&amp;TEXT(Processing!F3-Processing!G3,"# ###")&amp;" ("&amp;TEXT(1-F2,"0%")&amp;")"</f>
        <v>$6 986 (30%)</v>
      </c>
      <c r="H4" s="13"/>
      <c r="I4" s="13"/>
      <c r="K4" s="36"/>
      <c r="L4" s="16">
        <f ca="1">Processing!H3</f>
        <v>12658</v>
      </c>
      <c r="M4" s="13"/>
      <c r="O4" s="36"/>
      <c r="P4" s="16">
        <f ca="1">Processing!J3</f>
        <v>15972</v>
      </c>
      <c r="Q4" s="13"/>
    </row>
    <row r="5" spans="1:17" s="9" customFormat="1" ht="9.75" customHeight="1" x14ac:dyDescent="0.25">
      <c r="B5" s="36"/>
      <c r="C5" s="13"/>
      <c r="D5" s="13"/>
      <c r="F5" s="36"/>
      <c r="G5" s="13"/>
      <c r="H5" s="13"/>
      <c r="I5" s="13"/>
      <c r="K5" s="36"/>
      <c r="L5" s="13"/>
      <c r="M5" s="13"/>
      <c r="O5" s="36"/>
      <c r="P5" s="13"/>
      <c r="Q5" s="13"/>
    </row>
    <row r="6" spans="1:17" s="9" customFormat="1" ht="18.75" customHeight="1" x14ac:dyDescent="0.25"/>
    <row r="7" spans="1:17" s="9" customFormat="1" ht="17.25" customHeight="1" x14ac:dyDescent="0.25">
      <c r="B7" s="20" t="s">
        <v>108</v>
      </c>
      <c r="C7" s="13"/>
      <c r="D7" s="13"/>
      <c r="E7" s="13"/>
      <c r="F7" s="13"/>
      <c r="G7" s="13"/>
      <c r="H7" s="13"/>
      <c r="I7" s="13"/>
    </row>
    <row r="8" spans="1:17" s="9" customFormat="1" ht="18" customHeight="1" x14ac:dyDescent="0.25">
      <c r="B8" s="13"/>
      <c r="C8" s="13"/>
      <c r="D8" s="13"/>
      <c r="E8" s="13"/>
      <c r="F8" s="13"/>
      <c r="G8" s="13"/>
      <c r="H8" s="13"/>
      <c r="I8" s="13"/>
    </row>
    <row r="9" spans="1:17" s="9" customFormat="1" ht="15.75" x14ac:dyDescent="0.25">
      <c r="B9" s="13"/>
      <c r="C9" s="13"/>
      <c r="D9" s="13"/>
      <c r="E9" s="14" t="s">
        <v>63</v>
      </c>
      <c r="F9" s="13"/>
      <c r="G9" s="13"/>
      <c r="H9" s="13"/>
      <c r="I9" s="13"/>
    </row>
    <row r="10" spans="1:17" s="9" customFormat="1" ht="3.75" customHeight="1" x14ac:dyDescent="0.25">
      <c r="B10" s="13"/>
      <c r="C10" s="13"/>
      <c r="D10" s="13"/>
      <c r="E10" s="37"/>
      <c r="F10" s="37"/>
      <c r="G10" s="37"/>
      <c r="H10" s="37"/>
      <c r="I10" s="13"/>
    </row>
    <row r="11" spans="1:17" s="9" customFormat="1" ht="27.75" customHeight="1" x14ac:dyDescent="0.25">
      <c r="B11" s="13"/>
      <c r="C11" s="13"/>
      <c r="D11" s="13"/>
      <c r="E11" s="14" t="s">
        <v>95</v>
      </c>
      <c r="F11" s="13"/>
      <c r="G11" s="13"/>
      <c r="H11" s="13"/>
      <c r="I11" s="13"/>
    </row>
    <row r="12" spans="1:17" s="9" customFormat="1" ht="3.75" customHeight="1" x14ac:dyDescent="0.25">
      <c r="B12" s="13"/>
      <c r="C12" s="13"/>
      <c r="D12" s="13"/>
      <c r="E12" s="38"/>
      <c r="F12" s="38"/>
      <c r="G12" s="38"/>
      <c r="H12" s="38"/>
      <c r="I12" s="13"/>
    </row>
    <row r="13" spans="1:17" s="9" customFormat="1" ht="27.75" customHeight="1" x14ac:dyDescent="0.25">
      <c r="B13" s="13"/>
      <c r="C13" s="13"/>
      <c r="D13" s="13"/>
      <c r="E13" s="14" t="s">
        <v>66</v>
      </c>
      <c r="F13" s="13"/>
      <c r="G13" s="13"/>
      <c r="H13" s="13"/>
      <c r="I13" s="13"/>
    </row>
    <row r="14" spans="1:17" s="9" customFormat="1" ht="3.75" customHeight="1" x14ac:dyDescent="0.25">
      <c r="B14" s="13"/>
      <c r="C14" s="13"/>
      <c r="D14" s="13"/>
      <c r="E14" s="38"/>
      <c r="F14" s="38"/>
      <c r="G14" s="38"/>
      <c r="H14" s="38"/>
      <c r="I14" s="13"/>
    </row>
    <row r="15" spans="1:17" s="9" customFormat="1" ht="27.75" customHeight="1" x14ac:dyDescent="0.25">
      <c r="B15" s="13"/>
      <c r="C15" s="13"/>
      <c r="D15" s="13"/>
      <c r="E15" s="14" t="s">
        <v>65</v>
      </c>
      <c r="F15" s="13"/>
      <c r="G15" s="13"/>
      <c r="H15" s="13"/>
      <c r="I15" s="13"/>
    </row>
    <row r="16" spans="1:17" s="9" customFormat="1" ht="3.75" customHeight="1" x14ac:dyDescent="0.25">
      <c r="B16" s="13"/>
      <c r="C16" s="13"/>
      <c r="D16" s="13"/>
      <c r="E16" s="38"/>
      <c r="F16" s="38"/>
      <c r="G16" s="38"/>
      <c r="H16" s="38"/>
      <c r="I16" s="13"/>
    </row>
    <row r="17" spans="2:9" s="9" customFormat="1" ht="27.75" customHeight="1" x14ac:dyDescent="0.25">
      <c r="B17" s="13"/>
      <c r="C17" s="13"/>
      <c r="D17" s="13"/>
      <c r="E17" s="14" t="s">
        <v>64</v>
      </c>
      <c r="F17" s="13"/>
      <c r="G17" s="13"/>
      <c r="H17" s="13"/>
      <c r="I17" s="13"/>
    </row>
    <row r="18" spans="2:9" s="9" customFormat="1" ht="3.75" customHeight="1" x14ac:dyDescent="0.25">
      <c r="B18" s="13"/>
      <c r="C18" s="13"/>
      <c r="D18" s="13"/>
      <c r="E18" s="38"/>
      <c r="F18" s="38"/>
      <c r="G18" s="38"/>
      <c r="H18" s="38"/>
      <c r="I18" s="13"/>
    </row>
    <row r="19" spans="2:9" s="9" customFormat="1" ht="27.75" customHeight="1" x14ac:dyDescent="0.25">
      <c r="B19" s="13"/>
      <c r="C19" s="13"/>
      <c r="D19" s="13"/>
      <c r="E19" s="13"/>
      <c r="F19" s="13"/>
      <c r="G19" s="13"/>
      <c r="H19" s="13"/>
      <c r="I19" s="13"/>
    </row>
    <row r="20" spans="2:9" s="9" customFormat="1" x14ac:dyDescent="0.25"/>
    <row r="21" spans="2:9" s="12" customFormat="1" ht="71.25" customHeight="1" x14ac:dyDescent="0.25"/>
    <row r="34" spans="3:12" ht="28.5" x14ac:dyDescent="0.45">
      <c r="C34" s="39"/>
      <c r="D34" s="40"/>
      <c r="E34" s="40"/>
      <c r="F34" s="40"/>
      <c r="G34" s="40"/>
      <c r="H34" s="40"/>
      <c r="I34" s="40"/>
      <c r="J34" s="40"/>
      <c r="K34" s="40"/>
      <c r="L34" s="40"/>
    </row>
  </sheetData>
  <mergeCells count="10">
    <mergeCell ref="C34:L34"/>
    <mergeCell ref="E18:H18"/>
    <mergeCell ref="B2:B5"/>
    <mergeCell ref="F2:F5"/>
    <mergeCell ref="K2:K5"/>
    <mergeCell ref="O2:O5"/>
    <mergeCell ref="E10:H10"/>
    <mergeCell ref="E12:H12"/>
    <mergeCell ref="E14:H14"/>
    <mergeCell ref="E16:H1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Spinner 1">
              <controlPr defaultSize="0" autoPict="0" macro="[0]!USAheatmap">
                <anchor moveWithCells="1" sizeWithCells="1">
                  <from>
                    <xdr:col>16</xdr:col>
                    <xdr:colOff>371475</xdr:colOff>
                    <xdr:row>0</xdr:row>
                    <xdr:rowOff>76200</xdr:rowOff>
                  </from>
                  <to>
                    <xdr:col>16</xdr:col>
                    <xdr:colOff>581025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R1100"/>
  <sheetViews>
    <sheetView topLeftCell="A3" zoomScale="70" zoomScaleNormal="70" workbookViewId="0">
      <selection activeCell="P3" sqref="P3"/>
    </sheetView>
  </sheetViews>
  <sheetFormatPr defaultRowHeight="15" x14ac:dyDescent="0.25"/>
  <cols>
    <col min="1" max="1" width="16.140625" customWidth="1"/>
    <col min="2" max="2" width="12.28515625" style="1" customWidth="1"/>
    <col min="3" max="3" width="11.28515625" style="1" customWidth="1"/>
    <col min="4" max="4" width="10.28515625" style="1" customWidth="1"/>
    <col min="5" max="5" width="13.5703125" style="1" customWidth="1"/>
    <col min="6" max="7" width="10.42578125" style="1" customWidth="1"/>
  </cols>
  <sheetData>
    <row r="1" spans="1:18" x14ac:dyDescent="0.25">
      <c r="A1" s="41" t="s">
        <v>61</v>
      </c>
      <c r="B1" s="42" t="s">
        <v>62</v>
      </c>
      <c r="C1" s="42"/>
      <c r="D1" s="42"/>
      <c r="E1" s="42"/>
      <c r="F1" s="42"/>
      <c r="G1" s="41" t="s">
        <v>68</v>
      </c>
    </row>
    <row r="2" spans="1:18" ht="29.25" customHeight="1" x14ac:dyDescent="0.35">
      <c r="A2" s="41"/>
      <c r="B2" s="2" t="s">
        <v>63</v>
      </c>
      <c r="C2" s="2" t="s">
        <v>64</v>
      </c>
      <c r="D2" s="2" t="s">
        <v>65</v>
      </c>
      <c r="E2" s="2" t="s">
        <v>66</v>
      </c>
      <c r="F2" s="2" t="s">
        <v>67</v>
      </c>
      <c r="G2" s="41"/>
      <c r="H2" s="29" t="s">
        <v>69</v>
      </c>
      <c r="I2" s="34"/>
      <c r="J2" s="35"/>
      <c r="K2" s="35"/>
      <c r="L2" s="35"/>
      <c r="M2" s="35"/>
      <c r="N2" s="35"/>
      <c r="O2" s="35"/>
      <c r="P2" s="35"/>
      <c r="Q2" s="35"/>
      <c r="R2" s="35"/>
    </row>
    <row r="3" spans="1:18" x14ac:dyDescent="0.25">
      <c r="A3" s="6">
        <v>44562</v>
      </c>
      <c r="B3" s="30">
        <v>3</v>
      </c>
      <c r="C3" s="30">
        <v>10</v>
      </c>
      <c r="D3" s="30">
        <v>4</v>
      </c>
      <c r="E3" s="30">
        <v>2</v>
      </c>
      <c r="F3" s="30">
        <v>7</v>
      </c>
      <c r="G3" s="1" t="s">
        <v>0</v>
      </c>
      <c r="H3">
        <f>MONTH(A3)</f>
        <v>1</v>
      </c>
    </row>
    <row r="4" spans="1:18" x14ac:dyDescent="0.25">
      <c r="A4" s="6">
        <v>44562</v>
      </c>
      <c r="B4" s="30">
        <v>10</v>
      </c>
      <c r="C4" s="30">
        <v>1</v>
      </c>
      <c r="D4" s="30">
        <v>4</v>
      </c>
      <c r="E4" s="30">
        <v>4</v>
      </c>
      <c r="F4" s="30">
        <v>1</v>
      </c>
      <c r="G4" s="1" t="s">
        <v>1</v>
      </c>
      <c r="H4">
        <f t="shared" ref="H4:H67" si="0">MONTH(A4)</f>
        <v>1</v>
      </c>
    </row>
    <row r="5" spans="1:18" x14ac:dyDescent="0.25">
      <c r="A5" s="6">
        <v>44562</v>
      </c>
      <c r="B5" s="30">
        <v>4</v>
      </c>
      <c r="C5" s="30">
        <v>8</v>
      </c>
      <c r="D5" s="30">
        <v>2</v>
      </c>
      <c r="E5" s="30">
        <v>0</v>
      </c>
      <c r="F5" s="30">
        <v>4</v>
      </c>
      <c r="G5" s="1" t="s">
        <v>2</v>
      </c>
      <c r="H5">
        <f t="shared" si="0"/>
        <v>1</v>
      </c>
    </row>
    <row r="6" spans="1:18" x14ac:dyDescent="0.25">
      <c r="A6" s="5">
        <v>44563</v>
      </c>
      <c r="B6" s="30">
        <v>2</v>
      </c>
      <c r="C6" s="30">
        <v>1</v>
      </c>
      <c r="D6" s="30">
        <v>7</v>
      </c>
      <c r="E6" s="30">
        <v>4</v>
      </c>
      <c r="F6" s="30">
        <v>0</v>
      </c>
      <c r="G6" s="1" t="s">
        <v>0</v>
      </c>
      <c r="H6">
        <f t="shared" si="0"/>
        <v>1</v>
      </c>
    </row>
    <row r="7" spans="1:18" x14ac:dyDescent="0.25">
      <c r="A7" s="5">
        <v>44563</v>
      </c>
      <c r="B7" s="30">
        <v>7</v>
      </c>
      <c r="C7" s="30">
        <v>5</v>
      </c>
      <c r="D7" s="30">
        <v>6</v>
      </c>
      <c r="E7" s="30">
        <v>0</v>
      </c>
      <c r="F7" s="30">
        <v>2</v>
      </c>
      <c r="G7" s="1" t="s">
        <v>1</v>
      </c>
      <c r="H7">
        <f t="shared" si="0"/>
        <v>1</v>
      </c>
    </row>
    <row r="8" spans="1:18" x14ac:dyDescent="0.25">
      <c r="A8" s="5">
        <v>44563</v>
      </c>
      <c r="B8" s="30">
        <v>3</v>
      </c>
      <c r="C8" s="30">
        <v>6</v>
      </c>
      <c r="D8" s="30">
        <v>10</v>
      </c>
      <c r="E8" s="30">
        <v>1</v>
      </c>
      <c r="F8" s="30">
        <v>7</v>
      </c>
      <c r="G8" s="1" t="s">
        <v>2</v>
      </c>
      <c r="H8">
        <f t="shared" si="0"/>
        <v>1</v>
      </c>
    </row>
    <row r="9" spans="1:18" x14ac:dyDescent="0.25">
      <c r="A9" s="5">
        <v>44564</v>
      </c>
      <c r="B9" s="30">
        <v>3</v>
      </c>
      <c r="C9" s="30">
        <v>4</v>
      </c>
      <c r="D9" s="30">
        <v>6</v>
      </c>
      <c r="E9" s="30">
        <v>2</v>
      </c>
      <c r="F9" s="30">
        <v>6</v>
      </c>
      <c r="G9" s="1" t="s">
        <v>0</v>
      </c>
      <c r="H9">
        <f t="shared" si="0"/>
        <v>1</v>
      </c>
    </row>
    <row r="10" spans="1:18" x14ac:dyDescent="0.25">
      <c r="A10" s="5">
        <v>44564</v>
      </c>
      <c r="B10" s="30">
        <v>6</v>
      </c>
      <c r="C10" s="30">
        <v>0</v>
      </c>
      <c r="D10" s="30">
        <v>7</v>
      </c>
      <c r="E10" s="30">
        <v>2</v>
      </c>
      <c r="F10" s="30">
        <v>10</v>
      </c>
      <c r="G10" s="1" t="s">
        <v>1</v>
      </c>
      <c r="H10">
        <f t="shared" si="0"/>
        <v>1</v>
      </c>
    </row>
    <row r="11" spans="1:18" x14ac:dyDescent="0.25">
      <c r="A11" s="5">
        <v>44564</v>
      </c>
      <c r="B11" s="30">
        <v>7</v>
      </c>
      <c r="C11" s="30">
        <v>3</v>
      </c>
      <c r="D11" s="30">
        <v>3</v>
      </c>
      <c r="E11" s="30">
        <v>2</v>
      </c>
      <c r="F11" s="30">
        <v>3</v>
      </c>
      <c r="G11" s="1" t="s">
        <v>2</v>
      </c>
      <c r="H11">
        <f t="shared" si="0"/>
        <v>1</v>
      </c>
    </row>
    <row r="12" spans="1:18" x14ac:dyDescent="0.25">
      <c r="A12" s="5">
        <v>44565</v>
      </c>
      <c r="B12" s="30">
        <v>4</v>
      </c>
      <c r="C12" s="30">
        <v>2</v>
      </c>
      <c r="D12" s="30">
        <v>3</v>
      </c>
      <c r="E12" s="30">
        <v>3</v>
      </c>
      <c r="F12" s="30">
        <v>1</v>
      </c>
      <c r="G12" s="1" t="s">
        <v>0</v>
      </c>
      <c r="H12">
        <f t="shared" si="0"/>
        <v>1</v>
      </c>
    </row>
    <row r="13" spans="1:18" x14ac:dyDescent="0.25">
      <c r="A13" s="5">
        <v>44565</v>
      </c>
      <c r="B13" s="30">
        <v>8</v>
      </c>
      <c r="C13" s="30">
        <v>3</v>
      </c>
      <c r="D13" s="30">
        <v>1</v>
      </c>
      <c r="E13" s="30">
        <v>0</v>
      </c>
      <c r="F13" s="30">
        <v>3</v>
      </c>
      <c r="G13" s="1" t="s">
        <v>1</v>
      </c>
      <c r="H13">
        <f t="shared" si="0"/>
        <v>1</v>
      </c>
    </row>
    <row r="14" spans="1:18" x14ac:dyDescent="0.25">
      <c r="A14" s="5">
        <v>44565</v>
      </c>
      <c r="B14" s="30">
        <v>6</v>
      </c>
      <c r="C14" s="30">
        <v>6</v>
      </c>
      <c r="D14" s="30">
        <v>3</v>
      </c>
      <c r="E14" s="30">
        <v>6</v>
      </c>
      <c r="F14" s="30">
        <v>3</v>
      </c>
      <c r="G14" s="1" t="s">
        <v>2</v>
      </c>
      <c r="H14">
        <f t="shared" si="0"/>
        <v>1</v>
      </c>
    </row>
    <row r="15" spans="1:18" x14ac:dyDescent="0.25">
      <c r="A15" s="5">
        <v>44566</v>
      </c>
      <c r="B15" s="30">
        <v>9</v>
      </c>
      <c r="C15" s="30">
        <v>3</v>
      </c>
      <c r="D15" s="30">
        <v>1</v>
      </c>
      <c r="E15" s="30">
        <v>5</v>
      </c>
      <c r="F15" s="30">
        <v>1</v>
      </c>
      <c r="G15" s="1" t="s">
        <v>0</v>
      </c>
      <c r="H15">
        <f t="shared" si="0"/>
        <v>1</v>
      </c>
    </row>
    <row r="16" spans="1:18" x14ac:dyDescent="0.25">
      <c r="A16" s="5">
        <v>44566</v>
      </c>
      <c r="B16" s="30">
        <v>5</v>
      </c>
      <c r="C16" s="30">
        <v>2</v>
      </c>
      <c r="D16" s="30">
        <v>7</v>
      </c>
      <c r="E16" s="30">
        <v>5</v>
      </c>
      <c r="F16" s="30">
        <v>3</v>
      </c>
      <c r="G16" s="1" t="s">
        <v>1</v>
      </c>
      <c r="H16">
        <f t="shared" si="0"/>
        <v>1</v>
      </c>
    </row>
    <row r="17" spans="1:8" x14ac:dyDescent="0.25">
      <c r="A17" s="5">
        <v>44566</v>
      </c>
      <c r="B17" s="30">
        <v>8</v>
      </c>
      <c r="C17" s="30">
        <v>4</v>
      </c>
      <c r="D17" s="30">
        <v>3</v>
      </c>
      <c r="E17" s="30">
        <v>3</v>
      </c>
      <c r="F17" s="30">
        <v>9</v>
      </c>
      <c r="G17" s="1" t="s">
        <v>2</v>
      </c>
      <c r="H17">
        <f t="shared" si="0"/>
        <v>1</v>
      </c>
    </row>
    <row r="18" spans="1:8" x14ac:dyDescent="0.25">
      <c r="A18" s="5">
        <v>44567</v>
      </c>
      <c r="B18" s="30">
        <v>3</v>
      </c>
      <c r="C18" s="30">
        <v>1</v>
      </c>
      <c r="D18" s="30">
        <v>2</v>
      </c>
      <c r="E18" s="30">
        <v>0</v>
      </c>
      <c r="F18" s="30">
        <v>1</v>
      </c>
      <c r="G18" s="1" t="s">
        <v>0</v>
      </c>
      <c r="H18">
        <f t="shared" si="0"/>
        <v>1</v>
      </c>
    </row>
    <row r="19" spans="1:8" x14ac:dyDescent="0.25">
      <c r="A19" s="5">
        <v>44567</v>
      </c>
      <c r="B19" s="30">
        <v>3</v>
      </c>
      <c r="C19" s="30">
        <v>3</v>
      </c>
      <c r="D19" s="30">
        <v>3</v>
      </c>
      <c r="E19" s="30">
        <v>7</v>
      </c>
      <c r="F19" s="30">
        <v>2</v>
      </c>
      <c r="G19" s="1" t="s">
        <v>1</v>
      </c>
      <c r="H19">
        <f t="shared" si="0"/>
        <v>1</v>
      </c>
    </row>
    <row r="20" spans="1:8" x14ac:dyDescent="0.25">
      <c r="A20" s="5">
        <v>44567</v>
      </c>
      <c r="B20" s="30">
        <v>1</v>
      </c>
      <c r="C20" s="30">
        <v>9</v>
      </c>
      <c r="D20" s="30">
        <v>5</v>
      </c>
      <c r="E20" s="30">
        <v>4</v>
      </c>
      <c r="F20" s="30">
        <v>3</v>
      </c>
      <c r="G20" s="1" t="s">
        <v>2</v>
      </c>
      <c r="H20">
        <f t="shared" si="0"/>
        <v>1</v>
      </c>
    </row>
    <row r="21" spans="1:8" x14ac:dyDescent="0.25">
      <c r="A21" s="5">
        <v>44568</v>
      </c>
      <c r="B21" s="30">
        <v>4</v>
      </c>
      <c r="C21" s="30">
        <v>1</v>
      </c>
      <c r="D21" s="30">
        <v>7</v>
      </c>
      <c r="E21" s="30">
        <v>0</v>
      </c>
      <c r="F21" s="30">
        <v>10</v>
      </c>
      <c r="G21" s="1" t="s">
        <v>0</v>
      </c>
      <c r="H21">
        <f t="shared" si="0"/>
        <v>1</v>
      </c>
    </row>
    <row r="22" spans="1:8" x14ac:dyDescent="0.25">
      <c r="A22" s="5">
        <v>44568</v>
      </c>
      <c r="B22" s="30">
        <v>1</v>
      </c>
      <c r="C22" s="30">
        <v>6</v>
      </c>
      <c r="D22" s="30">
        <v>2</v>
      </c>
      <c r="E22" s="30">
        <v>3</v>
      </c>
      <c r="F22" s="30">
        <v>0</v>
      </c>
      <c r="G22" s="1" t="s">
        <v>1</v>
      </c>
      <c r="H22">
        <f t="shared" si="0"/>
        <v>1</v>
      </c>
    </row>
    <row r="23" spans="1:8" x14ac:dyDescent="0.25">
      <c r="A23" s="5">
        <v>44568</v>
      </c>
      <c r="B23" s="30">
        <v>5</v>
      </c>
      <c r="C23" s="30">
        <v>4</v>
      </c>
      <c r="D23" s="30">
        <v>5</v>
      </c>
      <c r="E23" s="30">
        <v>0</v>
      </c>
      <c r="F23" s="30">
        <v>4</v>
      </c>
      <c r="G23" s="1" t="s">
        <v>2</v>
      </c>
      <c r="H23">
        <f t="shared" si="0"/>
        <v>1</v>
      </c>
    </row>
    <row r="24" spans="1:8" x14ac:dyDescent="0.25">
      <c r="A24" s="5">
        <v>44569</v>
      </c>
      <c r="B24" s="30">
        <v>1</v>
      </c>
      <c r="C24" s="30">
        <v>8</v>
      </c>
      <c r="D24" s="30">
        <v>3</v>
      </c>
      <c r="E24" s="30">
        <v>0</v>
      </c>
      <c r="F24" s="30">
        <v>5</v>
      </c>
      <c r="G24" s="1" t="s">
        <v>0</v>
      </c>
      <c r="H24">
        <f t="shared" si="0"/>
        <v>1</v>
      </c>
    </row>
    <row r="25" spans="1:8" x14ac:dyDescent="0.25">
      <c r="A25" s="5">
        <v>44569</v>
      </c>
      <c r="B25" s="30">
        <v>7</v>
      </c>
      <c r="C25" s="30">
        <v>1</v>
      </c>
      <c r="D25" s="30">
        <v>0</v>
      </c>
      <c r="E25" s="30">
        <v>3</v>
      </c>
      <c r="F25" s="30">
        <v>3</v>
      </c>
      <c r="G25" s="1" t="s">
        <v>1</v>
      </c>
      <c r="H25">
        <f t="shared" si="0"/>
        <v>1</v>
      </c>
    </row>
    <row r="26" spans="1:8" x14ac:dyDescent="0.25">
      <c r="A26" s="5">
        <v>44569</v>
      </c>
      <c r="B26" s="30">
        <v>5</v>
      </c>
      <c r="C26" s="30">
        <v>3</v>
      </c>
      <c r="D26" s="30">
        <v>3</v>
      </c>
      <c r="E26" s="30">
        <v>3</v>
      </c>
      <c r="F26" s="30">
        <v>1</v>
      </c>
      <c r="G26" s="1" t="s">
        <v>2</v>
      </c>
      <c r="H26">
        <f t="shared" si="0"/>
        <v>1</v>
      </c>
    </row>
    <row r="27" spans="1:8" x14ac:dyDescent="0.25">
      <c r="A27" s="5">
        <v>44570</v>
      </c>
      <c r="B27" s="30">
        <v>0</v>
      </c>
      <c r="C27" s="30">
        <v>4</v>
      </c>
      <c r="D27" s="30">
        <v>2</v>
      </c>
      <c r="E27" s="30">
        <v>3</v>
      </c>
      <c r="F27" s="30">
        <v>1</v>
      </c>
      <c r="G27" s="1" t="s">
        <v>0</v>
      </c>
      <c r="H27">
        <f t="shared" si="0"/>
        <v>1</v>
      </c>
    </row>
    <row r="28" spans="1:8" x14ac:dyDescent="0.25">
      <c r="A28" s="5">
        <v>44570</v>
      </c>
      <c r="B28" s="30">
        <v>8</v>
      </c>
      <c r="C28" s="30">
        <v>6</v>
      </c>
      <c r="D28" s="30">
        <v>1</v>
      </c>
      <c r="E28" s="30">
        <v>4</v>
      </c>
      <c r="F28" s="30">
        <v>3</v>
      </c>
      <c r="G28" s="1" t="s">
        <v>1</v>
      </c>
      <c r="H28">
        <f t="shared" si="0"/>
        <v>1</v>
      </c>
    </row>
    <row r="29" spans="1:8" x14ac:dyDescent="0.25">
      <c r="A29" s="5">
        <v>44570</v>
      </c>
      <c r="B29" s="30">
        <v>3</v>
      </c>
      <c r="C29" s="30">
        <v>8</v>
      </c>
      <c r="D29" s="30">
        <v>9</v>
      </c>
      <c r="E29" s="30">
        <v>2</v>
      </c>
      <c r="F29" s="30">
        <v>5</v>
      </c>
      <c r="G29" s="1" t="s">
        <v>2</v>
      </c>
      <c r="H29">
        <f t="shared" si="0"/>
        <v>1</v>
      </c>
    </row>
    <row r="30" spans="1:8" x14ac:dyDescent="0.25">
      <c r="A30" s="5">
        <v>44571</v>
      </c>
      <c r="B30" s="30">
        <v>8</v>
      </c>
      <c r="C30" s="30">
        <v>1</v>
      </c>
      <c r="D30" s="30">
        <v>4</v>
      </c>
      <c r="E30" s="30">
        <v>4</v>
      </c>
      <c r="F30" s="30">
        <v>3</v>
      </c>
      <c r="G30" s="1" t="s">
        <v>0</v>
      </c>
      <c r="H30">
        <f t="shared" si="0"/>
        <v>1</v>
      </c>
    </row>
    <row r="31" spans="1:8" x14ac:dyDescent="0.25">
      <c r="A31" s="5">
        <v>44571</v>
      </c>
      <c r="B31" s="30">
        <v>5</v>
      </c>
      <c r="C31" s="30">
        <v>4</v>
      </c>
      <c r="D31" s="30">
        <v>3</v>
      </c>
      <c r="E31" s="30">
        <v>8</v>
      </c>
      <c r="F31" s="30">
        <v>6</v>
      </c>
      <c r="G31" s="1" t="s">
        <v>1</v>
      </c>
      <c r="H31">
        <f t="shared" si="0"/>
        <v>1</v>
      </c>
    </row>
    <row r="32" spans="1:8" x14ac:dyDescent="0.25">
      <c r="A32" s="5">
        <v>44571</v>
      </c>
      <c r="B32" s="30">
        <v>5</v>
      </c>
      <c r="C32" s="30">
        <v>0</v>
      </c>
      <c r="D32" s="30">
        <v>2</v>
      </c>
      <c r="E32" s="30">
        <v>2</v>
      </c>
      <c r="F32" s="30">
        <v>1</v>
      </c>
      <c r="G32" s="1" t="s">
        <v>2</v>
      </c>
      <c r="H32">
        <f t="shared" si="0"/>
        <v>1</v>
      </c>
    </row>
    <row r="33" spans="1:8" x14ac:dyDescent="0.25">
      <c r="A33" s="5">
        <v>44572</v>
      </c>
      <c r="B33" s="30">
        <v>9</v>
      </c>
      <c r="C33" s="30">
        <v>8</v>
      </c>
      <c r="D33" s="30">
        <v>0</v>
      </c>
      <c r="E33" s="30">
        <v>4</v>
      </c>
      <c r="F33" s="30">
        <v>2</v>
      </c>
      <c r="G33" s="1" t="s">
        <v>0</v>
      </c>
      <c r="H33">
        <f t="shared" si="0"/>
        <v>1</v>
      </c>
    </row>
    <row r="34" spans="1:8" x14ac:dyDescent="0.25">
      <c r="A34" s="5">
        <v>44572</v>
      </c>
      <c r="B34" s="30">
        <v>4</v>
      </c>
      <c r="C34" s="30">
        <v>7</v>
      </c>
      <c r="D34" s="30">
        <v>5</v>
      </c>
      <c r="E34" s="30">
        <v>3</v>
      </c>
      <c r="F34" s="30">
        <v>5</v>
      </c>
      <c r="G34" s="1" t="s">
        <v>1</v>
      </c>
      <c r="H34">
        <f t="shared" si="0"/>
        <v>1</v>
      </c>
    </row>
    <row r="35" spans="1:8" x14ac:dyDescent="0.25">
      <c r="A35" s="5">
        <v>44572</v>
      </c>
      <c r="B35" s="30">
        <v>0</v>
      </c>
      <c r="C35" s="30">
        <v>2</v>
      </c>
      <c r="D35" s="30">
        <v>10</v>
      </c>
      <c r="E35" s="30">
        <v>2</v>
      </c>
      <c r="F35" s="30">
        <v>1</v>
      </c>
      <c r="G35" s="1" t="s">
        <v>2</v>
      </c>
      <c r="H35">
        <f t="shared" si="0"/>
        <v>1</v>
      </c>
    </row>
    <row r="36" spans="1:8" x14ac:dyDescent="0.25">
      <c r="A36" s="5">
        <v>44573</v>
      </c>
      <c r="B36" s="30">
        <v>8</v>
      </c>
      <c r="C36" s="30">
        <v>5</v>
      </c>
      <c r="D36" s="30">
        <v>4</v>
      </c>
      <c r="E36" s="30">
        <v>5</v>
      </c>
      <c r="F36" s="30">
        <v>9</v>
      </c>
      <c r="G36" s="1" t="s">
        <v>0</v>
      </c>
      <c r="H36">
        <f t="shared" si="0"/>
        <v>1</v>
      </c>
    </row>
    <row r="37" spans="1:8" x14ac:dyDescent="0.25">
      <c r="A37" s="5">
        <v>44573</v>
      </c>
      <c r="B37" s="30">
        <v>6</v>
      </c>
      <c r="C37" s="30">
        <v>9</v>
      </c>
      <c r="D37" s="30">
        <v>7</v>
      </c>
      <c r="E37" s="30">
        <v>5</v>
      </c>
      <c r="F37" s="30">
        <v>3</v>
      </c>
      <c r="G37" s="1" t="s">
        <v>1</v>
      </c>
      <c r="H37">
        <f t="shared" si="0"/>
        <v>1</v>
      </c>
    </row>
    <row r="38" spans="1:8" x14ac:dyDescent="0.25">
      <c r="A38" s="5">
        <v>44573</v>
      </c>
      <c r="B38" s="30">
        <v>7</v>
      </c>
      <c r="C38" s="30">
        <v>1</v>
      </c>
      <c r="D38" s="30">
        <v>2</v>
      </c>
      <c r="E38" s="30">
        <v>6</v>
      </c>
      <c r="F38" s="30">
        <v>10</v>
      </c>
      <c r="G38" s="1" t="s">
        <v>2</v>
      </c>
      <c r="H38">
        <f t="shared" si="0"/>
        <v>1</v>
      </c>
    </row>
    <row r="39" spans="1:8" x14ac:dyDescent="0.25">
      <c r="A39" s="5">
        <v>44574</v>
      </c>
      <c r="B39" s="30">
        <v>4</v>
      </c>
      <c r="C39" s="30">
        <v>2</v>
      </c>
      <c r="D39" s="30">
        <v>4</v>
      </c>
      <c r="E39" s="30">
        <v>1</v>
      </c>
      <c r="F39" s="30">
        <v>4</v>
      </c>
      <c r="G39" s="1" t="s">
        <v>0</v>
      </c>
      <c r="H39">
        <f t="shared" si="0"/>
        <v>1</v>
      </c>
    </row>
    <row r="40" spans="1:8" x14ac:dyDescent="0.25">
      <c r="A40" s="5">
        <v>44574</v>
      </c>
      <c r="B40" s="30">
        <v>4</v>
      </c>
      <c r="C40" s="30">
        <v>1</v>
      </c>
      <c r="D40" s="30">
        <v>3</v>
      </c>
      <c r="E40" s="30">
        <v>4</v>
      </c>
      <c r="F40" s="30">
        <v>0</v>
      </c>
      <c r="G40" s="1" t="s">
        <v>1</v>
      </c>
      <c r="H40">
        <f t="shared" si="0"/>
        <v>1</v>
      </c>
    </row>
    <row r="41" spans="1:8" x14ac:dyDescent="0.25">
      <c r="A41" s="5">
        <v>44574</v>
      </c>
      <c r="B41" s="30">
        <v>9</v>
      </c>
      <c r="C41" s="30">
        <v>4</v>
      </c>
      <c r="D41" s="30">
        <v>1</v>
      </c>
      <c r="E41" s="30">
        <v>0</v>
      </c>
      <c r="F41" s="30">
        <v>4</v>
      </c>
      <c r="G41" s="1" t="s">
        <v>2</v>
      </c>
      <c r="H41">
        <f t="shared" si="0"/>
        <v>1</v>
      </c>
    </row>
    <row r="42" spans="1:8" x14ac:dyDescent="0.25">
      <c r="A42" s="5">
        <v>44575</v>
      </c>
      <c r="B42" s="30">
        <v>4</v>
      </c>
      <c r="C42" s="30">
        <v>10</v>
      </c>
      <c r="D42" s="30">
        <v>4</v>
      </c>
      <c r="E42" s="30">
        <v>0</v>
      </c>
      <c r="F42" s="30">
        <v>0</v>
      </c>
      <c r="G42" s="1" t="s">
        <v>0</v>
      </c>
      <c r="H42">
        <f t="shared" si="0"/>
        <v>1</v>
      </c>
    </row>
    <row r="43" spans="1:8" x14ac:dyDescent="0.25">
      <c r="A43" s="5">
        <v>44575</v>
      </c>
      <c r="B43" s="30">
        <v>0</v>
      </c>
      <c r="C43" s="30">
        <v>4</v>
      </c>
      <c r="D43" s="30">
        <v>8</v>
      </c>
      <c r="E43" s="30">
        <v>2</v>
      </c>
      <c r="F43" s="30">
        <v>3</v>
      </c>
      <c r="G43" s="1" t="s">
        <v>1</v>
      </c>
      <c r="H43">
        <f t="shared" si="0"/>
        <v>1</v>
      </c>
    </row>
    <row r="44" spans="1:8" x14ac:dyDescent="0.25">
      <c r="A44" s="5">
        <v>44575</v>
      </c>
      <c r="B44" s="30">
        <v>3</v>
      </c>
      <c r="C44" s="30">
        <v>7</v>
      </c>
      <c r="D44" s="30">
        <v>4</v>
      </c>
      <c r="E44" s="30">
        <v>4</v>
      </c>
      <c r="F44" s="30">
        <v>3</v>
      </c>
      <c r="G44" s="1" t="s">
        <v>2</v>
      </c>
      <c r="H44">
        <f t="shared" si="0"/>
        <v>1</v>
      </c>
    </row>
    <row r="45" spans="1:8" x14ac:dyDescent="0.25">
      <c r="A45" s="5">
        <v>44576</v>
      </c>
      <c r="B45" s="30">
        <v>6</v>
      </c>
      <c r="C45" s="30">
        <v>4</v>
      </c>
      <c r="D45" s="30">
        <v>2</v>
      </c>
      <c r="E45" s="30">
        <v>3</v>
      </c>
      <c r="F45" s="30">
        <v>5</v>
      </c>
      <c r="G45" s="1" t="s">
        <v>0</v>
      </c>
      <c r="H45">
        <f t="shared" si="0"/>
        <v>1</v>
      </c>
    </row>
    <row r="46" spans="1:8" x14ac:dyDescent="0.25">
      <c r="A46" s="5">
        <v>44576</v>
      </c>
      <c r="B46" s="30">
        <v>0</v>
      </c>
      <c r="C46" s="30">
        <v>3</v>
      </c>
      <c r="D46" s="30">
        <v>7</v>
      </c>
      <c r="E46" s="30">
        <v>7</v>
      </c>
      <c r="F46" s="30">
        <v>5</v>
      </c>
      <c r="G46" s="1" t="s">
        <v>1</v>
      </c>
      <c r="H46">
        <f t="shared" si="0"/>
        <v>1</v>
      </c>
    </row>
    <row r="47" spans="1:8" x14ac:dyDescent="0.25">
      <c r="A47" s="5">
        <v>44576</v>
      </c>
      <c r="B47" s="30">
        <v>4</v>
      </c>
      <c r="C47" s="30">
        <v>1</v>
      </c>
      <c r="D47" s="30">
        <v>3</v>
      </c>
      <c r="E47" s="30">
        <v>0</v>
      </c>
      <c r="F47" s="30">
        <v>8</v>
      </c>
      <c r="G47" s="1" t="s">
        <v>2</v>
      </c>
      <c r="H47">
        <f t="shared" si="0"/>
        <v>1</v>
      </c>
    </row>
    <row r="48" spans="1:8" x14ac:dyDescent="0.25">
      <c r="A48" s="5">
        <v>44577</v>
      </c>
      <c r="B48" s="30">
        <v>2</v>
      </c>
      <c r="C48" s="30">
        <v>4</v>
      </c>
      <c r="D48" s="30">
        <v>5</v>
      </c>
      <c r="E48" s="30">
        <v>2</v>
      </c>
      <c r="F48" s="30">
        <v>6</v>
      </c>
      <c r="G48" s="1" t="s">
        <v>0</v>
      </c>
      <c r="H48">
        <f t="shared" si="0"/>
        <v>1</v>
      </c>
    </row>
    <row r="49" spans="1:8" x14ac:dyDescent="0.25">
      <c r="A49" s="5">
        <v>44577</v>
      </c>
      <c r="B49" s="30">
        <v>3</v>
      </c>
      <c r="C49" s="30">
        <v>8</v>
      </c>
      <c r="D49" s="30">
        <v>3</v>
      </c>
      <c r="E49" s="30">
        <v>7</v>
      </c>
      <c r="F49" s="30">
        <v>4</v>
      </c>
      <c r="G49" s="1" t="s">
        <v>1</v>
      </c>
      <c r="H49">
        <f t="shared" si="0"/>
        <v>1</v>
      </c>
    </row>
    <row r="50" spans="1:8" x14ac:dyDescent="0.25">
      <c r="A50" s="5">
        <v>44577</v>
      </c>
      <c r="B50" s="30">
        <v>3</v>
      </c>
      <c r="C50" s="30">
        <v>5</v>
      </c>
      <c r="D50" s="30">
        <v>2</v>
      </c>
      <c r="E50" s="30">
        <v>2</v>
      </c>
      <c r="F50" s="30">
        <v>10</v>
      </c>
      <c r="G50" s="1" t="s">
        <v>2</v>
      </c>
      <c r="H50">
        <f t="shared" si="0"/>
        <v>1</v>
      </c>
    </row>
    <row r="51" spans="1:8" x14ac:dyDescent="0.25">
      <c r="A51" s="5">
        <v>44578</v>
      </c>
      <c r="B51" s="30">
        <v>3</v>
      </c>
      <c r="C51" s="30">
        <v>5</v>
      </c>
      <c r="D51" s="30">
        <v>4</v>
      </c>
      <c r="E51" s="30">
        <v>4</v>
      </c>
      <c r="F51" s="30">
        <v>7</v>
      </c>
      <c r="G51" s="1" t="s">
        <v>0</v>
      </c>
      <c r="H51">
        <f t="shared" si="0"/>
        <v>1</v>
      </c>
    </row>
    <row r="52" spans="1:8" x14ac:dyDescent="0.25">
      <c r="A52" s="5">
        <v>44578</v>
      </c>
      <c r="B52" s="30">
        <v>1</v>
      </c>
      <c r="C52" s="30">
        <v>4</v>
      </c>
      <c r="D52" s="30">
        <v>3</v>
      </c>
      <c r="E52" s="30">
        <v>3</v>
      </c>
      <c r="F52" s="30">
        <v>5</v>
      </c>
      <c r="G52" s="1" t="s">
        <v>1</v>
      </c>
      <c r="H52">
        <f t="shared" si="0"/>
        <v>1</v>
      </c>
    </row>
    <row r="53" spans="1:8" x14ac:dyDescent="0.25">
      <c r="A53" s="5">
        <v>44578</v>
      </c>
      <c r="B53" s="30">
        <v>5</v>
      </c>
      <c r="C53" s="30">
        <v>5</v>
      </c>
      <c r="D53" s="30">
        <v>4</v>
      </c>
      <c r="E53" s="30">
        <v>0</v>
      </c>
      <c r="F53" s="30">
        <v>1</v>
      </c>
      <c r="G53" s="1" t="s">
        <v>2</v>
      </c>
      <c r="H53">
        <f t="shared" si="0"/>
        <v>1</v>
      </c>
    </row>
    <row r="54" spans="1:8" x14ac:dyDescent="0.25">
      <c r="A54" s="5">
        <v>44579</v>
      </c>
      <c r="B54" s="30">
        <v>4</v>
      </c>
      <c r="C54" s="30">
        <v>0</v>
      </c>
      <c r="D54" s="30">
        <v>3</v>
      </c>
      <c r="E54" s="30">
        <v>5</v>
      </c>
      <c r="F54" s="30">
        <v>4</v>
      </c>
      <c r="G54" s="1" t="s">
        <v>0</v>
      </c>
      <c r="H54">
        <f t="shared" si="0"/>
        <v>1</v>
      </c>
    </row>
    <row r="55" spans="1:8" x14ac:dyDescent="0.25">
      <c r="A55" s="5">
        <v>44579</v>
      </c>
      <c r="B55" s="30">
        <v>1</v>
      </c>
      <c r="C55" s="30">
        <v>1</v>
      </c>
      <c r="D55" s="30">
        <v>4</v>
      </c>
      <c r="E55" s="30">
        <v>4</v>
      </c>
      <c r="F55" s="30">
        <v>5</v>
      </c>
      <c r="G55" s="1" t="s">
        <v>1</v>
      </c>
      <c r="H55">
        <f t="shared" si="0"/>
        <v>1</v>
      </c>
    </row>
    <row r="56" spans="1:8" x14ac:dyDescent="0.25">
      <c r="A56" s="5">
        <v>44579</v>
      </c>
      <c r="B56" s="30">
        <v>0</v>
      </c>
      <c r="C56" s="30">
        <v>1</v>
      </c>
      <c r="D56" s="30">
        <v>1</v>
      </c>
      <c r="E56" s="30">
        <v>5</v>
      </c>
      <c r="F56" s="30">
        <v>0</v>
      </c>
      <c r="G56" s="1" t="s">
        <v>2</v>
      </c>
      <c r="H56">
        <f t="shared" si="0"/>
        <v>1</v>
      </c>
    </row>
    <row r="57" spans="1:8" x14ac:dyDescent="0.25">
      <c r="A57" s="5">
        <v>44580</v>
      </c>
      <c r="B57" s="30">
        <v>7</v>
      </c>
      <c r="C57" s="30">
        <v>6</v>
      </c>
      <c r="D57" s="30">
        <v>4</v>
      </c>
      <c r="E57" s="30">
        <v>2</v>
      </c>
      <c r="F57" s="30">
        <v>3</v>
      </c>
      <c r="G57" s="1" t="s">
        <v>0</v>
      </c>
      <c r="H57">
        <f t="shared" si="0"/>
        <v>1</v>
      </c>
    </row>
    <row r="58" spans="1:8" x14ac:dyDescent="0.25">
      <c r="A58" s="5">
        <v>44580</v>
      </c>
      <c r="B58" s="30">
        <v>3</v>
      </c>
      <c r="C58" s="30">
        <v>1</v>
      </c>
      <c r="D58" s="30">
        <v>5</v>
      </c>
      <c r="E58" s="30">
        <v>2</v>
      </c>
      <c r="F58" s="30">
        <v>5</v>
      </c>
      <c r="G58" s="1" t="s">
        <v>1</v>
      </c>
      <c r="H58">
        <f t="shared" si="0"/>
        <v>1</v>
      </c>
    </row>
    <row r="59" spans="1:8" x14ac:dyDescent="0.25">
      <c r="A59" s="5">
        <v>44580</v>
      </c>
      <c r="B59" s="30">
        <v>10</v>
      </c>
      <c r="C59" s="30">
        <v>1</v>
      </c>
      <c r="D59" s="30">
        <v>1</v>
      </c>
      <c r="E59" s="30">
        <v>5</v>
      </c>
      <c r="F59" s="30">
        <v>1</v>
      </c>
      <c r="G59" s="1" t="s">
        <v>2</v>
      </c>
      <c r="H59">
        <f t="shared" si="0"/>
        <v>1</v>
      </c>
    </row>
    <row r="60" spans="1:8" x14ac:dyDescent="0.25">
      <c r="A60" s="5">
        <v>44581</v>
      </c>
      <c r="B60" s="30">
        <v>1</v>
      </c>
      <c r="C60" s="30">
        <v>1</v>
      </c>
      <c r="D60" s="30">
        <v>4</v>
      </c>
      <c r="E60" s="30">
        <v>6</v>
      </c>
      <c r="F60" s="30">
        <v>6</v>
      </c>
      <c r="G60" s="1" t="s">
        <v>0</v>
      </c>
      <c r="H60">
        <f t="shared" si="0"/>
        <v>1</v>
      </c>
    </row>
    <row r="61" spans="1:8" x14ac:dyDescent="0.25">
      <c r="A61" s="5">
        <v>44581</v>
      </c>
      <c r="B61" s="30">
        <v>3</v>
      </c>
      <c r="C61" s="30">
        <v>3</v>
      </c>
      <c r="D61" s="30">
        <v>1</v>
      </c>
      <c r="E61" s="30">
        <v>1</v>
      </c>
      <c r="F61" s="30">
        <v>2</v>
      </c>
      <c r="G61" s="1" t="s">
        <v>1</v>
      </c>
      <c r="H61">
        <f t="shared" si="0"/>
        <v>1</v>
      </c>
    </row>
    <row r="62" spans="1:8" x14ac:dyDescent="0.25">
      <c r="A62" s="5">
        <v>44581</v>
      </c>
      <c r="B62" s="30">
        <v>4</v>
      </c>
      <c r="C62" s="30">
        <v>1</v>
      </c>
      <c r="D62" s="30">
        <v>4</v>
      </c>
      <c r="E62" s="30">
        <v>8</v>
      </c>
      <c r="F62" s="30">
        <v>2</v>
      </c>
      <c r="G62" s="1" t="s">
        <v>2</v>
      </c>
      <c r="H62">
        <f t="shared" si="0"/>
        <v>1</v>
      </c>
    </row>
    <row r="63" spans="1:8" x14ac:dyDescent="0.25">
      <c r="A63" s="5">
        <v>44582</v>
      </c>
      <c r="B63" s="30">
        <v>0</v>
      </c>
      <c r="C63" s="30">
        <v>3</v>
      </c>
      <c r="D63" s="30">
        <v>5</v>
      </c>
      <c r="E63" s="30">
        <v>1</v>
      </c>
      <c r="F63" s="30">
        <v>6</v>
      </c>
      <c r="G63" s="1" t="s">
        <v>0</v>
      </c>
      <c r="H63">
        <f t="shared" si="0"/>
        <v>1</v>
      </c>
    </row>
    <row r="64" spans="1:8" x14ac:dyDescent="0.25">
      <c r="A64" s="5">
        <v>44582</v>
      </c>
      <c r="B64" s="30">
        <v>6</v>
      </c>
      <c r="C64" s="30">
        <v>2</v>
      </c>
      <c r="D64" s="30">
        <v>3</v>
      </c>
      <c r="E64" s="30">
        <v>5</v>
      </c>
      <c r="F64" s="30">
        <v>9</v>
      </c>
      <c r="G64" s="1" t="s">
        <v>1</v>
      </c>
      <c r="H64">
        <f t="shared" si="0"/>
        <v>1</v>
      </c>
    </row>
    <row r="65" spans="1:8" x14ac:dyDescent="0.25">
      <c r="A65" s="5">
        <v>44582</v>
      </c>
      <c r="B65" s="30">
        <v>7</v>
      </c>
      <c r="C65" s="30">
        <v>6</v>
      </c>
      <c r="D65" s="30">
        <v>3</v>
      </c>
      <c r="E65" s="30">
        <v>2</v>
      </c>
      <c r="F65" s="30">
        <v>4</v>
      </c>
      <c r="G65" s="1" t="s">
        <v>2</v>
      </c>
      <c r="H65">
        <f t="shared" si="0"/>
        <v>1</v>
      </c>
    </row>
    <row r="66" spans="1:8" x14ac:dyDescent="0.25">
      <c r="A66" s="5">
        <v>44583</v>
      </c>
      <c r="B66" s="30">
        <v>2</v>
      </c>
      <c r="C66" s="30">
        <v>10</v>
      </c>
      <c r="D66" s="30">
        <v>10</v>
      </c>
      <c r="E66" s="30">
        <v>4</v>
      </c>
      <c r="F66" s="30">
        <v>1</v>
      </c>
      <c r="G66" s="1" t="s">
        <v>0</v>
      </c>
      <c r="H66">
        <f t="shared" si="0"/>
        <v>1</v>
      </c>
    </row>
    <row r="67" spans="1:8" x14ac:dyDescent="0.25">
      <c r="A67" s="5">
        <v>44583</v>
      </c>
      <c r="B67" s="30">
        <v>10</v>
      </c>
      <c r="C67" s="30">
        <v>3</v>
      </c>
      <c r="D67" s="30">
        <v>2</v>
      </c>
      <c r="E67" s="30">
        <v>5</v>
      </c>
      <c r="F67" s="30">
        <v>4</v>
      </c>
      <c r="G67" s="1" t="s">
        <v>1</v>
      </c>
      <c r="H67">
        <f t="shared" si="0"/>
        <v>1</v>
      </c>
    </row>
    <row r="68" spans="1:8" x14ac:dyDescent="0.25">
      <c r="A68" s="5">
        <v>44583</v>
      </c>
      <c r="B68" s="30">
        <v>5</v>
      </c>
      <c r="C68" s="30">
        <v>5</v>
      </c>
      <c r="D68" s="30">
        <v>3</v>
      </c>
      <c r="E68" s="30">
        <v>0</v>
      </c>
      <c r="F68" s="30">
        <v>10</v>
      </c>
      <c r="G68" s="1" t="s">
        <v>2</v>
      </c>
      <c r="H68">
        <f t="shared" ref="H68:H131" si="1">MONTH(A68)</f>
        <v>1</v>
      </c>
    </row>
    <row r="69" spans="1:8" x14ac:dyDescent="0.25">
      <c r="A69" s="5">
        <v>44584</v>
      </c>
      <c r="B69" s="30">
        <v>4</v>
      </c>
      <c r="C69" s="30">
        <v>4</v>
      </c>
      <c r="D69" s="30">
        <v>3</v>
      </c>
      <c r="E69" s="30">
        <v>4</v>
      </c>
      <c r="F69" s="30">
        <v>7</v>
      </c>
      <c r="G69" s="1" t="s">
        <v>0</v>
      </c>
      <c r="H69">
        <f t="shared" si="1"/>
        <v>1</v>
      </c>
    </row>
    <row r="70" spans="1:8" x14ac:dyDescent="0.25">
      <c r="A70" s="5">
        <v>44584</v>
      </c>
      <c r="B70" s="30">
        <v>4</v>
      </c>
      <c r="C70" s="30">
        <v>2</v>
      </c>
      <c r="D70" s="30">
        <v>2</v>
      </c>
      <c r="E70" s="30">
        <v>5</v>
      </c>
      <c r="F70" s="30">
        <v>1</v>
      </c>
      <c r="G70" s="1" t="s">
        <v>1</v>
      </c>
      <c r="H70">
        <f t="shared" si="1"/>
        <v>1</v>
      </c>
    </row>
    <row r="71" spans="1:8" x14ac:dyDescent="0.25">
      <c r="A71" s="5">
        <v>44584</v>
      </c>
      <c r="B71" s="30">
        <v>4</v>
      </c>
      <c r="C71" s="30">
        <v>5</v>
      </c>
      <c r="D71" s="30">
        <v>0</v>
      </c>
      <c r="E71" s="30">
        <v>1</v>
      </c>
      <c r="F71" s="30">
        <v>4</v>
      </c>
      <c r="G71" s="1" t="s">
        <v>2</v>
      </c>
      <c r="H71">
        <f t="shared" si="1"/>
        <v>1</v>
      </c>
    </row>
    <row r="72" spans="1:8" x14ac:dyDescent="0.25">
      <c r="A72" s="5">
        <v>44585</v>
      </c>
      <c r="B72" s="30">
        <v>6</v>
      </c>
      <c r="C72" s="30">
        <v>8</v>
      </c>
      <c r="D72" s="30">
        <v>2</v>
      </c>
      <c r="E72" s="30">
        <v>8</v>
      </c>
      <c r="F72" s="30">
        <v>0</v>
      </c>
      <c r="G72" s="1" t="s">
        <v>0</v>
      </c>
      <c r="H72">
        <f t="shared" si="1"/>
        <v>1</v>
      </c>
    </row>
    <row r="73" spans="1:8" x14ac:dyDescent="0.25">
      <c r="A73" s="5">
        <v>44585</v>
      </c>
      <c r="B73" s="30">
        <v>6</v>
      </c>
      <c r="C73" s="30">
        <v>4</v>
      </c>
      <c r="D73" s="30">
        <v>2</v>
      </c>
      <c r="E73" s="30">
        <v>3</v>
      </c>
      <c r="F73" s="30">
        <v>1</v>
      </c>
      <c r="G73" s="1" t="s">
        <v>1</v>
      </c>
      <c r="H73">
        <f t="shared" si="1"/>
        <v>1</v>
      </c>
    </row>
    <row r="74" spans="1:8" x14ac:dyDescent="0.25">
      <c r="A74" s="5">
        <v>44585</v>
      </c>
      <c r="B74" s="30">
        <v>4</v>
      </c>
      <c r="C74" s="30">
        <v>8</v>
      </c>
      <c r="D74" s="30">
        <v>6</v>
      </c>
      <c r="E74" s="30">
        <v>9</v>
      </c>
      <c r="F74" s="30">
        <v>5</v>
      </c>
      <c r="G74" s="1" t="s">
        <v>2</v>
      </c>
      <c r="H74">
        <f t="shared" si="1"/>
        <v>1</v>
      </c>
    </row>
    <row r="75" spans="1:8" x14ac:dyDescent="0.25">
      <c r="A75" s="5">
        <v>44586</v>
      </c>
      <c r="B75" s="30">
        <v>2</v>
      </c>
      <c r="C75" s="30">
        <v>4</v>
      </c>
      <c r="D75" s="30">
        <v>4</v>
      </c>
      <c r="E75" s="30">
        <v>5</v>
      </c>
      <c r="F75" s="30">
        <v>2</v>
      </c>
      <c r="G75" s="1" t="s">
        <v>0</v>
      </c>
      <c r="H75">
        <f t="shared" si="1"/>
        <v>1</v>
      </c>
    </row>
    <row r="76" spans="1:8" x14ac:dyDescent="0.25">
      <c r="A76" s="5">
        <v>44586</v>
      </c>
      <c r="B76" s="30">
        <v>0</v>
      </c>
      <c r="C76" s="30">
        <v>9</v>
      </c>
      <c r="D76" s="30">
        <v>3</v>
      </c>
      <c r="E76" s="30">
        <v>1</v>
      </c>
      <c r="F76" s="30">
        <v>4</v>
      </c>
      <c r="G76" s="1" t="s">
        <v>1</v>
      </c>
      <c r="H76">
        <f t="shared" si="1"/>
        <v>1</v>
      </c>
    </row>
    <row r="77" spans="1:8" x14ac:dyDescent="0.25">
      <c r="A77" s="5">
        <v>44586</v>
      </c>
      <c r="B77" s="30">
        <v>4</v>
      </c>
      <c r="C77" s="30">
        <v>7</v>
      </c>
      <c r="D77" s="30">
        <v>3</v>
      </c>
      <c r="E77" s="30">
        <v>2</v>
      </c>
      <c r="F77" s="30">
        <v>4</v>
      </c>
      <c r="G77" s="1" t="s">
        <v>2</v>
      </c>
      <c r="H77">
        <f t="shared" si="1"/>
        <v>1</v>
      </c>
    </row>
    <row r="78" spans="1:8" x14ac:dyDescent="0.25">
      <c r="A78" s="5">
        <v>44587</v>
      </c>
      <c r="B78" s="30">
        <v>2</v>
      </c>
      <c r="C78" s="30">
        <v>1</v>
      </c>
      <c r="D78" s="30">
        <v>5</v>
      </c>
      <c r="E78" s="30">
        <v>1</v>
      </c>
      <c r="F78" s="30">
        <v>0</v>
      </c>
      <c r="G78" s="1" t="s">
        <v>0</v>
      </c>
      <c r="H78">
        <f t="shared" si="1"/>
        <v>1</v>
      </c>
    </row>
    <row r="79" spans="1:8" x14ac:dyDescent="0.25">
      <c r="A79" s="5">
        <v>44587</v>
      </c>
      <c r="B79" s="30">
        <v>5</v>
      </c>
      <c r="C79" s="30">
        <v>4</v>
      </c>
      <c r="D79" s="30">
        <v>2</v>
      </c>
      <c r="E79" s="30">
        <v>5</v>
      </c>
      <c r="F79" s="30">
        <v>2</v>
      </c>
      <c r="G79" s="1" t="s">
        <v>1</v>
      </c>
      <c r="H79">
        <f t="shared" si="1"/>
        <v>1</v>
      </c>
    </row>
    <row r="80" spans="1:8" x14ac:dyDescent="0.25">
      <c r="A80" s="5">
        <v>44587</v>
      </c>
      <c r="B80" s="30">
        <v>10</v>
      </c>
      <c r="C80" s="30">
        <v>0</v>
      </c>
      <c r="D80" s="30">
        <v>1</v>
      </c>
      <c r="E80" s="30">
        <v>5</v>
      </c>
      <c r="F80" s="30">
        <v>5</v>
      </c>
      <c r="G80" s="1" t="s">
        <v>2</v>
      </c>
      <c r="H80">
        <f t="shared" si="1"/>
        <v>1</v>
      </c>
    </row>
    <row r="81" spans="1:8" x14ac:dyDescent="0.25">
      <c r="A81" s="5">
        <v>44588</v>
      </c>
      <c r="B81" s="30">
        <v>1</v>
      </c>
      <c r="C81" s="30">
        <v>1</v>
      </c>
      <c r="D81" s="30">
        <v>3</v>
      </c>
      <c r="E81" s="30">
        <v>1</v>
      </c>
      <c r="F81" s="30">
        <v>3</v>
      </c>
      <c r="G81" s="1" t="s">
        <v>0</v>
      </c>
      <c r="H81">
        <f t="shared" si="1"/>
        <v>1</v>
      </c>
    </row>
    <row r="82" spans="1:8" x14ac:dyDescent="0.25">
      <c r="A82" s="5">
        <v>44588</v>
      </c>
      <c r="B82" s="30">
        <v>10</v>
      </c>
      <c r="C82" s="30">
        <v>1</v>
      </c>
      <c r="D82" s="30">
        <v>7</v>
      </c>
      <c r="E82" s="30">
        <v>1</v>
      </c>
      <c r="F82" s="30">
        <v>6</v>
      </c>
      <c r="G82" s="1" t="s">
        <v>1</v>
      </c>
      <c r="H82">
        <f t="shared" si="1"/>
        <v>1</v>
      </c>
    </row>
    <row r="83" spans="1:8" x14ac:dyDescent="0.25">
      <c r="A83" s="5">
        <v>44588</v>
      </c>
      <c r="B83" s="30">
        <v>2</v>
      </c>
      <c r="C83" s="30">
        <v>4</v>
      </c>
      <c r="D83" s="30">
        <v>3</v>
      </c>
      <c r="E83" s="30">
        <v>6</v>
      </c>
      <c r="F83" s="30">
        <v>7</v>
      </c>
      <c r="G83" s="1" t="s">
        <v>2</v>
      </c>
      <c r="H83">
        <f t="shared" si="1"/>
        <v>1</v>
      </c>
    </row>
    <row r="84" spans="1:8" x14ac:dyDescent="0.25">
      <c r="A84" s="5">
        <v>44589</v>
      </c>
      <c r="B84" s="30">
        <v>3</v>
      </c>
      <c r="C84" s="30">
        <v>6</v>
      </c>
      <c r="D84" s="30">
        <v>4</v>
      </c>
      <c r="E84" s="30">
        <v>2</v>
      </c>
      <c r="F84" s="30">
        <v>1</v>
      </c>
      <c r="G84" s="1" t="s">
        <v>0</v>
      </c>
      <c r="H84">
        <f t="shared" si="1"/>
        <v>1</v>
      </c>
    </row>
    <row r="85" spans="1:8" x14ac:dyDescent="0.25">
      <c r="A85" s="5">
        <v>44589</v>
      </c>
      <c r="B85" s="30">
        <v>7</v>
      </c>
      <c r="C85" s="30">
        <v>4</v>
      </c>
      <c r="D85" s="30">
        <v>3</v>
      </c>
      <c r="E85" s="30">
        <v>5</v>
      </c>
      <c r="F85" s="30">
        <v>3</v>
      </c>
      <c r="G85" s="1" t="s">
        <v>1</v>
      </c>
      <c r="H85">
        <f t="shared" si="1"/>
        <v>1</v>
      </c>
    </row>
    <row r="86" spans="1:8" x14ac:dyDescent="0.25">
      <c r="A86" s="5">
        <v>44589</v>
      </c>
      <c r="B86" s="30">
        <v>1</v>
      </c>
      <c r="C86" s="30">
        <v>0</v>
      </c>
      <c r="D86" s="30">
        <v>8</v>
      </c>
      <c r="E86" s="30">
        <v>8</v>
      </c>
      <c r="F86" s="30">
        <v>7</v>
      </c>
      <c r="G86" s="1" t="s">
        <v>2</v>
      </c>
      <c r="H86">
        <f t="shared" si="1"/>
        <v>1</v>
      </c>
    </row>
    <row r="87" spans="1:8" x14ac:dyDescent="0.25">
      <c r="A87" s="5">
        <v>44590</v>
      </c>
      <c r="B87" s="30">
        <v>1</v>
      </c>
      <c r="C87" s="30">
        <v>2</v>
      </c>
      <c r="D87" s="30">
        <v>1</v>
      </c>
      <c r="E87" s="30">
        <v>2</v>
      </c>
      <c r="F87" s="30">
        <v>1</v>
      </c>
      <c r="G87" s="1" t="s">
        <v>0</v>
      </c>
      <c r="H87">
        <f t="shared" si="1"/>
        <v>1</v>
      </c>
    </row>
    <row r="88" spans="1:8" x14ac:dyDescent="0.25">
      <c r="A88" s="5">
        <v>44590</v>
      </c>
      <c r="B88" s="30">
        <v>0</v>
      </c>
      <c r="C88" s="30">
        <v>0</v>
      </c>
      <c r="D88" s="30">
        <v>1</v>
      </c>
      <c r="E88" s="30">
        <v>10</v>
      </c>
      <c r="F88" s="30">
        <v>8</v>
      </c>
      <c r="G88" s="1" t="s">
        <v>1</v>
      </c>
      <c r="H88">
        <f t="shared" si="1"/>
        <v>1</v>
      </c>
    </row>
    <row r="89" spans="1:8" x14ac:dyDescent="0.25">
      <c r="A89" s="5">
        <v>44590</v>
      </c>
      <c r="B89" s="30">
        <v>1</v>
      </c>
      <c r="C89" s="30">
        <v>6</v>
      </c>
      <c r="D89" s="30">
        <v>7</v>
      </c>
      <c r="E89" s="30">
        <v>7</v>
      </c>
      <c r="F89" s="30">
        <v>4</v>
      </c>
      <c r="G89" s="1" t="s">
        <v>2</v>
      </c>
      <c r="H89">
        <f t="shared" si="1"/>
        <v>1</v>
      </c>
    </row>
    <row r="90" spans="1:8" x14ac:dyDescent="0.25">
      <c r="A90" s="5">
        <v>44591</v>
      </c>
      <c r="B90" s="30">
        <v>10</v>
      </c>
      <c r="C90" s="30">
        <v>5</v>
      </c>
      <c r="D90" s="30">
        <v>4</v>
      </c>
      <c r="E90" s="30">
        <v>8</v>
      </c>
      <c r="F90" s="30">
        <v>6</v>
      </c>
      <c r="G90" s="1" t="s">
        <v>0</v>
      </c>
      <c r="H90">
        <f t="shared" si="1"/>
        <v>1</v>
      </c>
    </row>
    <row r="91" spans="1:8" x14ac:dyDescent="0.25">
      <c r="A91" s="5">
        <v>44591</v>
      </c>
      <c r="B91" s="30">
        <v>8</v>
      </c>
      <c r="C91" s="30">
        <v>4</v>
      </c>
      <c r="D91" s="30">
        <v>4</v>
      </c>
      <c r="E91" s="30">
        <v>6</v>
      </c>
      <c r="F91" s="30">
        <v>4</v>
      </c>
      <c r="G91" s="1" t="s">
        <v>1</v>
      </c>
      <c r="H91">
        <f t="shared" si="1"/>
        <v>1</v>
      </c>
    </row>
    <row r="92" spans="1:8" x14ac:dyDescent="0.25">
      <c r="A92" s="5">
        <v>44591</v>
      </c>
      <c r="B92" s="30">
        <v>3</v>
      </c>
      <c r="C92" s="30">
        <v>7</v>
      </c>
      <c r="D92" s="30">
        <v>1</v>
      </c>
      <c r="E92" s="30">
        <v>2</v>
      </c>
      <c r="F92" s="30">
        <v>3</v>
      </c>
      <c r="G92" s="1" t="s">
        <v>2</v>
      </c>
      <c r="H92">
        <f t="shared" si="1"/>
        <v>1</v>
      </c>
    </row>
    <row r="93" spans="1:8" x14ac:dyDescent="0.25">
      <c r="A93" s="5">
        <v>44592</v>
      </c>
      <c r="B93" s="30">
        <v>3</v>
      </c>
      <c r="C93" s="30">
        <v>6</v>
      </c>
      <c r="D93" s="30">
        <v>5</v>
      </c>
      <c r="E93" s="30">
        <v>5</v>
      </c>
      <c r="F93" s="30">
        <v>4</v>
      </c>
      <c r="G93" s="1" t="s">
        <v>0</v>
      </c>
      <c r="H93">
        <f t="shared" si="1"/>
        <v>1</v>
      </c>
    </row>
    <row r="94" spans="1:8" x14ac:dyDescent="0.25">
      <c r="A94" s="5">
        <v>44592</v>
      </c>
      <c r="B94" s="30">
        <v>2</v>
      </c>
      <c r="C94" s="30">
        <v>4</v>
      </c>
      <c r="D94" s="30">
        <v>2</v>
      </c>
      <c r="E94" s="30">
        <v>5</v>
      </c>
      <c r="F94" s="30">
        <v>4</v>
      </c>
      <c r="G94" s="1" t="s">
        <v>1</v>
      </c>
      <c r="H94">
        <f t="shared" si="1"/>
        <v>1</v>
      </c>
    </row>
    <row r="95" spans="1:8" x14ac:dyDescent="0.25">
      <c r="A95" s="5">
        <v>44592</v>
      </c>
      <c r="B95" s="30">
        <v>0</v>
      </c>
      <c r="C95" s="30">
        <v>1</v>
      </c>
      <c r="D95" s="30">
        <v>5</v>
      </c>
      <c r="E95" s="30">
        <v>5</v>
      </c>
      <c r="F95" s="30">
        <v>4</v>
      </c>
      <c r="G95" s="1" t="s">
        <v>2</v>
      </c>
      <c r="H95">
        <f t="shared" si="1"/>
        <v>1</v>
      </c>
    </row>
    <row r="96" spans="1:8" x14ac:dyDescent="0.25">
      <c r="A96" s="5">
        <v>44593</v>
      </c>
      <c r="B96" s="30">
        <v>2</v>
      </c>
      <c r="C96" s="30">
        <v>0</v>
      </c>
      <c r="D96" s="30">
        <v>7</v>
      </c>
      <c r="E96" s="30">
        <v>2</v>
      </c>
      <c r="F96" s="30">
        <v>3</v>
      </c>
      <c r="G96" s="1" t="s">
        <v>0</v>
      </c>
      <c r="H96">
        <f t="shared" si="1"/>
        <v>2</v>
      </c>
    </row>
    <row r="97" spans="1:8" x14ac:dyDescent="0.25">
      <c r="A97" s="5">
        <v>44593</v>
      </c>
      <c r="B97" s="30">
        <v>4</v>
      </c>
      <c r="C97" s="30">
        <v>3</v>
      </c>
      <c r="D97" s="30">
        <v>0</v>
      </c>
      <c r="E97" s="30">
        <v>3</v>
      </c>
      <c r="F97" s="30">
        <v>3</v>
      </c>
      <c r="G97" s="1" t="s">
        <v>1</v>
      </c>
      <c r="H97">
        <f t="shared" si="1"/>
        <v>2</v>
      </c>
    </row>
    <row r="98" spans="1:8" x14ac:dyDescent="0.25">
      <c r="A98" s="5">
        <v>44593</v>
      </c>
      <c r="B98" s="30">
        <v>0</v>
      </c>
      <c r="C98" s="30">
        <v>6</v>
      </c>
      <c r="D98" s="30">
        <v>1</v>
      </c>
      <c r="E98" s="30">
        <v>3</v>
      </c>
      <c r="F98" s="30">
        <v>5</v>
      </c>
      <c r="G98" s="1" t="s">
        <v>2</v>
      </c>
      <c r="H98">
        <f t="shared" si="1"/>
        <v>2</v>
      </c>
    </row>
    <row r="99" spans="1:8" x14ac:dyDescent="0.25">
      <c r="A99" s="5">
        <v>44594</v>
      </c>
      <c r="B99" s="30">
        <v>9</v>
      </c>
      <c r="C99" s="30">
        <v>5</v>
      </c>
      <c r="D99" s="30">
        <v>1</v>
      </c>
      <c r="E99" s="30">
        <v>2</v>
      </c>
      <c r="F99" s="30">
        <v>5</v>
      </c>
      <c r="G99" s="1" t="s">
        <v>0</v>
      </c>
      <c r="H99">
        <f t="shared" si="1"/>
        <v>2</v>
      </c>
    </row>
    <row r="100" spans="1:8" x14ac:dyDescent="0.25">
      <c r="A100" s="5">
        <v>44594</v>
      </c>
      <c r="B100" s="30">
        <v>7</v>
      </c>
      <c r="C100" s="30">
        <v>3</v>
      </c>
      <c r="D100" s="30">
        <v>4</v>
      </c>
      <c r="E100" s="30">
        <v>1</v>
      </c>
      <c r="F100" s="30">
        <v>6</v>
      </c>
      <c r="G100" s="1" t="s">
        <v>1</v>
      </c>
      <c r="H100">
        <f t="shared" si="1"/>
        <v>2</v>
      </c>
    </row>
    <row r="101" spans="1:8" x14ac:dyDescent="0.25">
      <c r="A101" s="5">
        <v>44594</v>
      </c>
      <c r="B101" s="30">
        <v>8</v>
      </c>
      <c r="C101" s="30">
        <v>2</v>
      </c>
      <c r="D101" s="30">
        <v>8</v>
      </c>
      <c r="E101" s="30">
        <v>3</v>
      </c>
      <c r="F101" s="30">
        <v>0</v>
      </c>
      <c r="G101" s="1" t="s">
        <v>2</v>
      </c>
      <c r="H101">
        <f t="shared" si="1"/>
        <v>2</v>
      </c>
    </row>
    <row r="102" spans="1:8" x14ac:dyDescent="0.25">
      <c r="A102" s="5">
        <v>44595</v>
      </c>
      <c r="B102" s="30">
        <v>6</v>
      </c>
      <c r="C102" s="30">
        <v>5</v>
      </c>
      <c r="D102" s="30">
        <v>4</v>
      </c>
      <c r="E102" s="30">
        <v>7</v>
      </c>
      <c r="F102" s="30">
        <v>3</v>
      </c>
      <c r="G102" s="1" t="s">
        <v>0</v>
      </c>
      <c r="H102">
        <f t="shared" si="1"/>
        <v>2</v>
      </c>
    </row>
    <row r="103" spans="1:8" x14ac:dyDescent="0.25">
      <c r="A103" s="5">
        <v>44595</v>
      </c>
      <c r="B103" s="30">
        <v>6</v>
      </c>
      <c r="C103" s="30">
        <v>2</v>
      </c>
      <c r="D103" s="30">
        <v>4</v>
      </c>
      <c r="E103" s="30">
        <v>3</v>
      </c>
      <c r="F103" s="30">
        <v>10</v>
      </c>
      <c r="G103" s="1" t="s">
        <v>1</v>
      </c>
      <c r="H103">
        <f t="shared" si="1"/>
        <v>2</v>
      </c>
    </row>
    <row r="104" spans="1:8" x14ac:dyDescent="0.25">
      <c r="A104" s="5">
        <v>44595</v>
      </c>
      <c r="B104" s="30">
        <v>0</v>
      </c>
      <c r="C104" s="30">
        <v>2</v>
      </c>
      <c r="D104" s="30">
        <v>1</v>
      </c>
      <c r="E104" s="30">
        <v>3</v>
      </c>
      <c r="F104" s="30">
        <v>1</v>
      </c>
      <c r="G104" s="1" t="s">
        <v>2</v>
      </c>
      <c r="H104">
        <f t="shared" si="1"/>
        <v>2</v>
      </c>
    </row>
    <row r="105" spans="1:8" x14ac:dyDescent="0.25">
      <c r="A105" s="5">
        <v>44596</v>
      </c>
      <c r="B105" s="30">
        <v>3</v>
      </c>
      <c r="C105" s="30">
        <v>2</v>
      </c>
      <c r="D105" s="30">
        <v>4</v>
      </c>
      <c r="E105" s="30">
        <v>7</v>
      </c>
      <c r="F105" s="30">
        <v>3</v>
      </c>
      <c r="G105" s="1" t="s">
        <v>0</v>
      </c>
      <c r="H105">
        <f t="shared" si="1"/>
        <v>2</v>
      </c>
    </row>
    <row r="106" spans="1:8" x14ac:dyDescent="0.25">
      <c r="A106" s="5">
        <v>44596</v>
      </c>
      <c r="B106" s="30">
        <v>9</v>
      </c>
      <c r="C106" s="30">
        <v>6</v>
      </c>
      <c r="D106" s="30">
        <v>4</v>
      </c>
      <c r="E106" s="30">
        <v>4</v>
      </c>
      <c r="F106" s="30">
        <v>5</v>
      </c>
      <c r="G106" s="1" t="s">
        <v>1</v>
      </c>
      <c r="H106">
        <f t="shared" si="1"/>
        <v>2</v>
      </c>
    </row>
    <row r="107" spans="1:8" x14ac:dyDescent="0.25">
      <c r="A107" s="5">
        <v>44596</v>
      </c>
      <c r="B107" s="30">
        <v>1</v>
      </c>
      <c r="C107" s="30">
        <v>4</v>
      </c>
      <c r="D107" s="30">
        <v>5</v>
      </c>
      <c r="E107" s="30">
        <v>4</v>
      </c>
      <c r="F107" s="30">
        <v>2</v>
      </c>
      <c r="G107" s="1" t="s">
        <v>2</v>
      </c>
      <c r="H107">
        <f t="shared" si="1"/>
        <v>2</v>
      </c>
    </row>
    <row r="108" spans="1:8" x14ac:dyDescent="0.25">
      <c r="A108" s="5">
        <v>44597</v>
      </c>
      <c r="B108" s="30">
        <v>3</v>
      </c>
      <c r="C108" s="30">
        <v>4</v>
      </c>
      <c r="D108" s="30">
        <v>7</v>
      </c>
      <c r="E108" s="30">
        <v>4</v>
      </c>
      <c r="F108" s="30">
        <v>4</v>
      </c>
      <c r="G108" s="1" t="s">
        <v>0</v>
      </c>
      <c r="H108">
        <f t="shared" si="1"/>
        <v>2</v>
      </c>
    </row>
    <row r="109" spans="1:8" x14ac:dyDescent="0.25">
      <c r="A109" s="5">
        <v>44597</v>
      </c>
      <c r="B109" s="30">
        <v>0</v>
      </c>
      <c r="C109" s="30">
        <v>1</v>
      </c>
      <c r="D109" s="30">
        <v>3</v>
      </c>
      <c r="E109" s="30">
        <v>1</v>
      </c>
      <c r="F109" s="30">
        <v>8</v>
      </c>
      <c r="G109" s="1" t="s">
        <v>1</v>
      </c>
      <c r="H109">
        <f t="shared" si="1"/>
        <v>2</v>
      </c>
    </row>
    <row r="110" spans="1:8" x14ac:dyDescent="0.25">
      <c r="A110" s="5">
        <v>44597</v>
      </c>
      <c r="B110" s="30">
        <v>3</v>
      </c>
      <c r="C110" s="30">
        <v>3</v>
      </c>
      <c r="D110" s="30">
        <v>3</v>
      </c>
      <c r="E110" s="30">
        <v>6</v>
      </c>
      <c r="F110" s="30">
        <v>0</v>
      </c>
      <c r="G110" s="1" t="s">
        <v>2</v>
      </c>
      <c r="H110">
        <f t="shared" si="1"/>
        <v>2</v>
      </c>
    </row>
    <row r="111" spans="1:8" x14ac:dyDescent="0.25">
      <c r="A111" s="5">
        <v>44598</v>
      </c>
      <c r="B111" s="30">
        <v>8</v>
      </c>
      <c r="C111" s="30">
        <v>7</v>
      </c>
      <c r="D111" s="30">
        <v>5</v>
      </c>
      <c r="E111" s="30">
        <v>6</v>
      </c>
      <c r="F111" s="30">
        <v>2</v>
      </c>
      <c r="G111" s="1" t="s">
        <v>0</v>
      </c>
      <c r="H111">
        <f t="shared" si="1"/>
        <v>2</v>
      </c>
    </row>
    <row r="112" spans="1:8" x14ac:dyDescent="0.25">
      <c r="A112" s="5">
        <v>44598</v>
      </c>
      <c r="B112" s="30">
        <v>1</v>
      </c>
      <c r="C112" s="30">
        <v>4</v>
      </c>
      <c r="D112" s="30">
        <v>3</v>
      </c>
      <c r="E112" s="30">
        <v>4</v>
      </c>
      <c r="F112" s="30">
        <v>2</v>
      </c>
      <c r="G112" s="1" t="s">
        <v>1</v>
      </c>
      <c r="H112">
        <f t="shared" si="1"/>
        <v>2</v>
      </c>
    </row>
    <row r="113" spans="1:8" x14ac:dyDescent="0.25">
      <c r="A113" s="5">
        <v>44598</v>
      </c>
      <c r="B113" s="30">
        <v>8</v>
      </c>
      <c r="C113" s="30">
        <v>4</v>
      </c>
      <c r="D113" s="30">
        <v>1</v>
      </c>
      <c r="E113" s="30">
        <v>1</v>
      </c>
      <c r="F113" s="30">
        <v>3</v>
      </c>
      <c r="G113" s="1" t="s">
        <v>2</v>
      </c>
      <c r="H113">
        <f t="shared" si="1"/>
        <v>2</v>
      </c>
    </row>
    <row r="114" spans="1:8" x14ac:dyDescent="0.25">
      <c r="A114" s="5">
        <v>44599</v>
      </c>
      <c r="B114" s="30">
        <v>1</v>
      </c>
      <c r="C114" s="30">
        <v>1</v>
      </c>
      <c r="D114" s="30">
        <v>3</v>
      </c>
      <c r="E114" s="30">
        <v>9</v>
      </c>
      <c r="F114" s="30">
        <v>1</v>
      </c>
      <c r="G114" s="1" t="s">
        <v>0</v>
      </c>
      <c r="H114">
        <f t="shared" si="1"/>
        <v>2</v>
      </c>
    </row>
    <row r="115" spans="1:8" x14ac:dyDescent="0.25">
      <c r="A115" s="5">
        <v>44599</v>
      </c>
      <c r="B115" s="30">
        <v>4</v>
      </c>
      <c r="C115" s="30">
        <v>4</v>
      </c>
      <c r="D115" s="30">
        <v>7</v>
      </c>
      <c r="E115" s="30">
        <v>3</v>
      </c>
      <c r="F115" s="30">
        <v>9</v>
      </c>
      <c r="G115" s="1" t="s">
        <v>1</v>
      </c>
      <c r="H115">
        <f t="shared" si="1"/>
        <v>2</v>
      </c>
    </row>
    <row r="116" spans="1:8" x14ac:dyDescent="0.25">
      <c r="A116" s="5">
        <v>44599</v>
      </c>
      <c r="B116" s="30">
        <v>4</v>
      </c>
      <c r="C116" s="30">
        <v>1</v>
      </c>
      <c r="D116" s="30">
        <v>9</v>
      </c>
      <c r="E116" s="30">
        <v>3</v>
      </c>
      <c r="F116" s="30">
        <v>3</v>
      </c>
      <c r="G116" s="1" t="s">
        <v>2</v>
      </c>
      <c r="H116">
        <f t="shared" si="1"/>
        <v>2</v>
      </c>
    </row>
    <row r="117" spans="1:8" x14ac:dyDescent="0.25">
      <c r="A117" s="5">
        <v>44600</v>
      </c>
      <c r="B117" s="30">
        <v>4</v>
      </c>
      <c r="C117" s="30">
        <v>1</v>
      </c>
      <c r="D117" s="30">
        <v>4</v>
      </c>
      <c r="E117" s="30">
        <v>8</v>
      </c>
      <c r="F117" s="30">
        <v>3</v>
      </c>
      <c r="G117" s="1" t="s">
        <v>0</v>
      </c>
      <c r="H117">
        <f t="shared" si="1"/>
        <v>2</v>
      </c>
    </row>
    <row r="118" spans="1:8" x14ac:dyDescent="0.25">
      <c r="A118" s="5">
        <v>44600</v>
      </c>
      <c r="B118" s="30">
        <v>4</v>
      </c>
      <c r="C118" s="30">
        <v>2</v>
      </c>
      <c r="D118" s="30">
        <v>2</v>
      </c>
      <c r="E118" s="30">
        <v>2</v>
      </c>
      <c r="F118" s="30">
        <v>3</v>
      </c>
      <c r="G118" s="1" t="s">
        <v>1</v>
      </c>
      <c r="H118">
        <f t="shared" si="1"/>
        <v>2</v>
      </c>
    </row>
    <row r="119" spans="1:8" x14ac:dyDescent="0.25">
      <c r="A119" s="5">
        <v>44600</v>
      </c>
      <c r="B119" s="30">
        <v>2</v>
      </c>
      <c r="C119" s="30">
        <v>10</v>
      </c>
      <c r="D119" s="30">
        <v>1</v>
      </c>
      <c r="E119" s="30">
        <v>5</v>
      </c>
      <c r="F119" s="30">
        <v>4</v>
      </c>
      <c r="G119" s="1" t="s">
        <v>2</v>
      </c>
      <c r="H119">
        <f t="shared" si="1"/>
        <v>2</v>
      </c>
    </row>
    <row r="120" spans="1:8" x14ac:dyDescent="0.25">
      <c r="A120" s="5">
        <v>44601</v>
      </c>
      <c r="B120" s="30">
        <v>3</v>
      </c>
      <c r="C120" s="30">
        <v>3</v>
      </c>
      <c r="D120" s="30">
        <v>10</v>
      </c>
      <c r="E120" s="30">
        <v>3</v>
      </c>
      <c r="F120" s="30">
        <v>1</v>
      </c>
      <c r="G120" s="1" t="s">
        <v>0</v>
      </c>
      <c r="H120">
        <f t="shared" si="1"/>
        <v>2</v>
      </c>
    </row>
    <row r="121" spans="1:8" x14ac:dyDescent="0.25">
      <c r="A121" s="5">
        <v>44601</v>
      </c>
      <c r="B121" s="30">
        <v>7</v>
      </c>
      <c r="C121" s="30">
        <v>1</v>
      </c>
      <c r="D121" s="30">
        <v>2</v>
      </c>
      <c r="E121" s="30">
        <v>4</v>
      </c>
      <c r="F121" s="30">
        <v>3</v>
      </c>
      <c r="G121" s="1" t="s">
        <v>1</v>
      </c>
      <c r="H121">
        <f t="shared" si="1"/>
        <v>2</v>
      </c>
    </row>
    <row r="122" spans="1:8" x14ac:dyDescent="0.25">
      <c r="A122" s="5">
        <v>44601</v>
      </c>
      <c r="B122" s="30">
        <v>2</v>
      </c>
      <c r="C122" s="30">
        <v>4</v>
      </c>
      <c r="D122" s="30">
        <v>4</v>
      </c>
      <c r="E122" s="30">
        <v>3</v>
      </c>
      <c r="F122" s="30">
        <v>2</v>
      </c>
      <c r="G122" s="1" t="s">
        <v>2</v>
      </c>
      <c r="H122">
        <f t="shared" si="1"/>
        <v>2</v>
      </c>
    </row>
    <row r="123" spans="1:8" x14ac:dyDescent="0.25">
      <c r="A123" s="5">
        <v>44602</v>
      </c>
      <c r="B123" s="30">
        <v>3</v>
      </c>
      <c r="C123" s="30">
        <v>5</v>
      </c>
      <c r="D123" s="30">
        <v>5</v>
      </c>
      <c r="E123" s="30">
        <v>7</v>
      </c>
      <c r="F123" s="30">
        <v>1</v>
      </c>
      <c r="G123" s="1" t="s">
        <v>0</v>
      </c>
      <c r="H123">
        <f t="shared" si="1"/>
        <v>2</v>
      </c>
    </row>
    <row r="124" spans="1:8" x14ac:dyDescent="0.25">
      <c r="A124" s="5">
        <v>44602</v>
      </c>
      <c r="B124" s="30">
        <v>5</v>
      </c>
      <c r="C124" s="30">
        <v>2</v>
      </c>
      <c r="D124" s="30">
        <v>2</v>
      </c>
      <c r="E124" s="30">
        <v>1</v>
      </c>
      <c r="F124" s="30">
        <v>5</v>
      </c>
      <c r="G124" s="1" t="s">
        <v>1</v>
      </c>
      <c r="H124">
        <f t="shared" si="1"/>
        <v>2</v>
      </c>
    </row>
    <row r="125" spans="1:8" x14ac:dyDescent="0.25">
      <c r="A125" s="5">
        <v>44602</v>
      </c>
      <c r="B125" s="30">
        <v>2</v>
      </c>
      <c r="C125" s="30">
        <v>9</v>
      </c>
      <c r="D125" s="30">
        <v>4</v>
      </c>
      <c r="E125" s="30">
        <v>2</v>
      </c>
      <c r="F125" s="30">
        <v>4</v>
      </c>
      <c r="G125" s="1" t="s">
        <v>2</v>
      </c>
      <c r="H125">
        <f t="shared" si="1"/>
        <v>2</v>
      </c>
    </row>
    <row r="126" spans="1:8" x14ac:dyDescent="0.25">
      <c r="A126" s="5">
        <v>44603</v>
      </c>
      <c r="B126" s="30">
        <v>1</v>
      </c>
      <c r="C126" s="30">
        <v>0</v>
      </c>
      <c r="D126" s="30">
        <v>0</v>
      </c>
      <c r="E126" s="30">
        <v>5</v>
      </c>
      <c r="F126" s="30">
        <v>4</v>
      </c>
      <c r="G126" s="1" t="s">
        <v>0</v>
      </c>
      <c r="H126">
        <f t="shared" si="1"/>
        <v>2</v>
      </c>
    </row>
    <row r="127" spans="1:8" x14ac:dyDescent="0.25">
      <c r="A127" s="5">
        <v>44603</v>
      </c>
      <c r="B127" s="30">
        <v>10</v>
      </c>
      <c r="C127" s="30">
        <v>3</v>
      </c>
      <c r="D127" s="30">
        <v>0</v>
      </c>
      <c r="E127" s="30">
        <v>5</v>
      </c>
      <c r="F127" s="30">
        <v>5</v>
      </c>
      <c r="G127" s="1" t="s">
        <v>1</v>
      </c>
      <c r="H127">
        <f t="shared" si="1"/>
        <v>2</v>
      </c>
    </row>
    <row r="128" spans="1:8" x14ac:dyDescent="0.25">
      <c r="A128" s="5">
        <v>44603</v>
      </c>
      <c r="B128" s="30">
        <v>6</v>
      </c>
      <c r="C128" s="30">
        <v>8</v>
      </c>
      <c r="D128" s="30">
        <v>3</v>
      </c>
      <c r="E128" s="30">
        <v>3</v>
      </c>
      <c r="F128" s="30">
        <v>2</v>
      </c>
      <c r="G128" s="1" t="s">
        <v>2</v>
      </c>
      <c r="H128">
        <f t="shared" si="1"/>
        <v>2</v>
      </c>
    </row>
    <row r="129" spans="1:8" x14ac:dyDescent="0.25">
      <c r="A129" s="5">
        <v>44604</v>
      </c>
      <c r="B129" s="30">
        <v>1</v>
      </c>
      <c r="C129" s="30">
        <v>6</v>
      </c>
      <c r="D129" s="30">
        <v>3</v>
      </c>
      <c r="E129" s="30">
        <v>2</v>
      </c>
      <c r="F129" s="30">
        <v>2</v>
      </c>
      <c r="G129" s="1" t="s">
        <v>0</v>
      </c>
      <c r="H129">
        <f t="shared" si="1"/>
        <v>2</v>
      </c>
    </row>
    <row r="130" spans="1:8" x14ac:dyDescent="0.25">
      <c r="A130" s="5">
        <v>44604</v>
      </c>
      <c r="B130" s="30">
        <v>0</v>
      </c>
      <c r="C130" s="30">
        <v>1</v>
      </c>
      <c r="D130" s="30">
        <v>10</v>
      </c>
      <c r="E130" s="30">
        <v>5</v>
      </c>
      <c r="F130" s="30">
        <v>6</v>
      </c>
      <c r="G130" s="1" t="s">
        <v>1</v>
      </c>
      <c r="H130">
        <f t="shared" si="1"/>
        <v>2</v>
      </c>
    </row>
    <row r="131" spans="1:8" x14ac:dyDescent="0.25">
      <c r="A131" s="5">
        <v>44604</v>
      </c>
      <c r="B131" s="30">
        <v>8</v>
      </c>
      <c r="C131" s="30">
        <v>1</v>
      </c>
      <c r="D131" s="30">
        <v>3</v>
      </c>
      <c r="E131" s="30">
        <v>5</v>
      </c>
      <c r="F131" s="30">
        <v>4</v>
      </c>
      <c r="G131" s="1" t="s">
        <v>2</v>
      </c>
      <c r="H131">
        <f t="shared" si="1"/>
        <v>2</v>
      </c>
    </row>
    <row r="132" spans="1:8" x14ac:dyDescent="0.25">
      <c r="A132" s="5">
        <v>44605</v>
      </c>
      <c r="B132" s="30">
        <v>7</v>
      </c>
      <c r="C132" s="30">
        <v>1</v>
      </c>
      <c r="D132" s="30">
        <v>5</v>
      </c>
      <c r="E132" s="30">
        <v>0</v>
      </c>
      <c r="F132" s="30">
        <v>2</v>
      </c>
      <c r="G132" s="1" t="s">
        <v>0</v>
      </c>
      <c r="H132">
        <f t="shared" ref="H132:H195" si="2">MONTH(A132)</f>
        <v>2</v>
      </c>
    </row>
    <row r="133" spans="1:8" x14ac:dyDescent="0.25">
      <c r="A133" s="5">
        <v>44605</v>
      </c>
      <c r="B133" s="30">
        <v>2</v>
      </c>
      <c r="C133" s="30">
        <v>2</v>
      </c>
      <c r="D133" s="30">
        <v>3</v>
      </c>
      <c r="E133" s="30">
        <v>3</v>
      </c>
      <c r="F133" s="30">
        <v>1</v>
      </c>
      <c r="G133" s="1" t="s">
        <v>1</v>
      </c>
      <c r="H133">
        <f t="shared" si="2"/>
        <v>2</v>
      </c>
    </row>
    <row r="134" spans="1:8" x14ac:dyDescent="0.25">
      <c r="A134" s="5">
        <v>44605</v>
      </c>
      <c r="B134" s="30">
        <v>0</v>
      </c>
      <c r="C134" s="30">
        <v>0</v>
      </c>
      <c r="D134" s="30">
        <v>4</v>
      </c>
      <c r="E134" s="30">
        <v>0</v>
      </c>
      <c r="F134" s="30">
        <v>4</v>
      </c>
      <c r="G134" s="1" t="s">
        <v>2</v>
      </c>
      <c r="H134">
        <f t="shared" si="2"/>
        <v>2</v>
      </c>
    </row>
    <row r="135" spans="1:8" x14ac:dyDescent="0.25">
      <c r="A135" s="5">
        <v>44606</v>
      </c>
      <c r="B135" s="30">
        <v>6</v>
      </c>
      <c r="C135" s="30">
        <v>2</v>
      </c>
      <c r="D135" s="30">
        <v>4</v>
      </c>
      <c r="E135" s="30">
        <v>1</v>
      </c>
      <c r="F135" s="30">
        <v>0</v>
      </c>
      <c r="G135" s="1" t="s">
        <v>0</v>
      </c>
      <c r="H135">
        <f t="shared" si="2"/>
        <v>2</v>
      </c>
    </row>
    <row r="136" spans="1:8" x14ac:dyDescent="0.25">
      <c r="A136" s="5">
        <v>44606</v>
      </c>
      <c r="B136" s="30">
        <v>3</v>
      </c>
      <c r="C136" s="30">
        <v>2</v>
      </c>
      <c r="D136" s="30">
        <v>1</v>
      </c>
      <c r="E136" s="30">
        <v>3</v>
      </c>
      <c r="F136" s="30">
        <v>3</v>
      </c>
      <c r="G136" s="1" t="s">
        <v>1</v>
      </c>
      <c r="H136">
        <f t="shared" si="2"/>
        <v>2</v>
      </c>
    </row>
    <row r="137" spans="1:8" x14ac:dyDescent="0.25">
      <c r="A137" s="5">
        <v>44606</v>
      </c>
      <c r="B137" s="30">
        <v>10</v>
      </c>
      <c r="C137" s="30">
        <v>3</v>
      </c>
      <c r="D137" s="30">
        <v>1</v>
      </c>
      <c r="E137" s="30">
        <v>1</v>
      </c>
      <c r="F137" s="30">
        <v>3</v>
      </c>
      <c r="G137" s="1" t="s">
        <v>2</v>
      </c>
      <c r="H137">
        <f t="shared" si="2"/>
        <v>2</v>
      </c>
    </row>
    <row r="138" spans="1:8" x14ac:dyDescent="0.25">
      <c r="A138" s="5">
        <v>44607</v>
      </c>
      <c r="B138" s="30">
        <v>7</v>
      </c>
      <c r="C138" s="30">
        <v>0</v>
      </c>
      <c r="D138" s="30">
        <v>1</v>
      </c>
      <c r="E138" s="30">
        <v>4</v>
      </c>
      <c r="F138" s="30">
        <v>3</v>
      </c>
      <c r="G138" s="1" t="s">
        <v>0</v>
      </c>
      <c r="H138">
        <f t="shared" si="2"/>
        <v>2</v>
      </c>
    </row>
    <row r="139" spans="1:8" x14ac:dyDescent="0.25">
      <c r="A139" s="5">
        <v>44607</v>
      </c>
      <c r="B139" s="30">
        <v>1</v>
      </c>
      <c r="C139" s="30">
        <v>6</v>
      </c>
      <c r="D139" s="30">
        <v>1</v>
      </c>
      <c r="E139" s="30">
        <v>2</v>
      </c>
      <c r="F139" s="30">
        <v>6</v>
      </c>
      <c r="G139" s="1" t="s">
        <v>1</v>
      </c>
      <c r="H139">
        <f t="shared" si="2"/>
        <v>2</v>
      </c>
    </row>
    <row r="140" spans="1:8" x14ac:dyDescent="0.25">
      <c r="A140" s="5">
        <v>44607</v>
      </c>
      <c r="B140" s="30">
        <v>2</v>
      </c>
      <c r="C140" s="30">
        <v>1</v>
      </c>
      <c r="D140" s="30">
        <v>5</v>
      </c>
      <c r="E140" s="30">
        <v>2</v>
      </c>
      <c r="F140" s="30">
        <v>7</v>
      </c>
      <c r="G140" s="1" t="s">
        <v>2</v>
      </c>
      <c r="H140">
        <f t="shared" si="2"/>
        <v>2</v>
      </c>
    </row>
    <row r="141" spans="1:8" x14ac:dyDescent="0.25">
      <c r="A141" s="5">
        <v>44608</v>
      </c>
      <c r="B141" s="30">
        <v>3</v>
      </c>
      <c r="C141" s="30">
        <v>10</v>
      </c>
      <c r="D141" s="30">
        <v>5</v>
      </c>
      <c r="E141" s="30">
        <v>4</v>
      </c>
      <c r="F141" s="30">
        <v>8</v>
      </c>
      <c r="G141" s="1" t="s">
        <v>0</v>
      </c>
      <c r="H141">
        <f t="shared" si="2"/>
        <v>2</v>
      </c>
    </row>
    <row r="142" spans="1:8" x14ac:dyDescent="0.25">
      <c r="A142" s="5">
        <v>44608</v>
      </c>
      <c r="B142" s="30">
        <v>3</v>
      </c>
      <c r="C142" s="30">
        <v>5</v>
      </c>
      <c r="D142" s="30">
        <v>4</v>
      </c>
      <c r="E142" s="30">
        <v>9</v>
      </c>
      <c r="F142" s="30">
        <v>8</v>
      </c>
      <c r="G142" s="1" t="s">
        <v>1</v>
      </c>
      <c r="H142">
        <f t="shared" si="2"/>
        <v>2</v>
      </c>
    </row>
    <row r="143" spans="1:8" x14ac:dyDescent="0.25">
      <c r="A143" s="5">
        <v>44608</v>
      </c>
      <c r="B143" s="30">
        <v>9</v>
      </c>
      <c r="C143" s="30">
        <v>3</v>
      </c>
      <c r="D143" s="30">
        <v>5</v>
      </c>
      <c r="E143" s="30">
        <v>0</v>
      </c>
      <c r="F143" s="30">
        <v>3</v>
      </c>
      <c r="G143" s="1" t="s">
        <v>2</v>
      </c>
      <c r="H143">
        <f t="shared" si="2"/>
        <v>2</v>
      </c>
    </row>
    <row r="144" spans="1:8" x14ac:dyDescent="0.25">
      <c r="A144" s="5">
        <v>44609</v>
      </c>
      <c r="B144" s="30">
        <v>7</v>
      </c>
      <c r="C144" s="30">
        <v>4</v>
      </c>
      <c r="D144" s="30">
        <v>1</v>
      </c>
      <c r="E144" s="30">
        <v>0</v>
      </c>
      <c r="F144" s="30">
        <v>4</v>
      </c>
      <c r="G144" s="1" t="s">
        <v>0</v>
      </c>
      <c r="H144">
        <f t="shared" si="2"/>
        <v>2</v>
      </c>
    </row>
    <row r="145" spans="1:8" x14ac:dyDescent="0.25">
      <c r="A145" s="5">
        <v>44609</v>
      </c>
      <c r="B145" s="30">
        <v>3</v>
      </c>
      <c r="C145" s="30">
        <v>1</v>
      </c>
      <c r="D145" s="30">
        <v>9</v>
      </c>
      <c r="E145" s="30">
        <v>5</v>
      </c>
      <c r="F145" s="30">
        <v>3</v>
      </c>
      <c r="G145" s="1" t="s">
        <v>1</v>
      </c>
      <c r="H145">
        <f t="shared" si="2"/>
        <v>2</v>
      </c>
    </row>
    <row r="146" spans="1:8" x14ac:dyDescent="0.25">
      <c r="A146" s="5">
        <v>44609</v>
      </c>
      <c r="B146" s="30">
        <v>3</v>
      </c>
      <c r="C146" s="30">
        <v>3</v>
      </c>
      <c r="D146" s="30">
        <v>10</v>
      </c>
      <c r="E146" s="30">
        <v>8</v>
      </c>
      <c r="F146" s="30">
        <v>7</v>
      </c>
      <c r="G146" s="1" t="s">
        <v>2</v>
      </c>
      <c r="H146">
        <f t="shared" si="2"/>
        <v>2</v>
      </c>
    </row>
    <row r="147" spans="1:8" x14ac:dyDescent="0.25">
      <c r="A147" s="5">
        <v>44610</v>
      </c>
      <c r="B147" s="30">
        <v>2</v>
      </c>
      <c r="C147" s="30">
        <v>2</v>
      </c>
      <c r="D147" s="30">
        <v>8</v>
      </c>
      <c r="E147" s="30">
        <v>5</v>
      </c>
      <c r="F147" s="30">
        <v>10</v>
      </c>
      <c r="G147" s="1" t="s">
        <v>0</v>
      </c>
      <c r="H147">
        <f t="shared" si="2"/>
        <v>2</v>
      </c>
    </row>
    <row r="148" spans="1:8" x14ac:dyDescent="0.25">
      <c r="A148" s="5">
        <v>44610</v>
      </c>
      <c r="B148" s="30">
        <v>8</v>
      </c>
      <c r="C148" s="30">
        <v>4</v>
      </c>
      <c r="D148" s="30">
        <v>1</v>
      </c>
      <c r="E148" s="30">
        <v>7</v>
      </c>
      <c r="F148" s="30">
        <v>1</v>
      </c>
      <c r="G148" s="1" t="s">
        <v>1</v>
      </c>
      <c r="H148">
        <f t="shared" si="2"/>
        <v>2</v>
      </c>
    </row>
    <row r="149" spans="1:8" x14ac:dyDescent="0.25">
      <c r="A149" s="5">
        <v>44610</v>
      </c>
      <c r="B149" s="30">
        <v>2</v>
      </c>
      <c r="C149" s="30">
        <v>5</v>
      </c>
      <c r="D149" s="30">
        <v>1</v>
      </c>
      <c r="E149" s="30">
        <v>2</v>
      </c>
      <c r="F149" s="30">
        <v>2</v>
      </c>
      <c r="G149" s="1" t="s">
        <v>2</v>
      </c>
      <c r="H149">
        <f t="shared" si="2"/>
        <v>2</v>
      </c>
    </row>
    <row r="150" spans="1:8" x14ac:dyDescent="0.25">
      <c r="A150" s="5">
        <v>44611</v>
      </c>
      <c r="B150" s="30">
        <v>3</v>
      </c>
      <c r="C150" s="30">
        <v>1</v>
      </c>
      <c r="D150" s="30">
        <v>5</v>
      </c>
      <c r="E150" s="30">
        <v>3</v>
      </c>
      <c r="F150" s="30">
        <v>4</v>
      </c>
      <c r="G150" s="1" t="s">
        <v>0</v>
      </c>
      <c r="H150">
        <f t="shared" si="2"/>
        <v>2</v>
      </c>
    </row>
    <row r="151" spans="1:8" x14ac:dyDescent="0.25">
      <c r="A151" s="5">
        <v>44611</v>
      </c>
      <c r="B151" s="30">
        <v>7</v>
      </c>
      <c r="C151" s="30">
        <v>1</v>
      </c>
      <c r="D151" s="30">
        <v>3</v>
      </c>
      <c r="E151" s="30">
        <v>1</v>
      </c>
      <c r="F151" s="30">
        <v>1</v>
      </c>
      <c r="G151" s="1" t="s">
        <v>1</v>
      </c>
      <c r="H151">
        <f t="shared" si="2"/>
        <v>2</v>
      </c>
    </row>
    <row r="152" spans="1:8" x14ac:dyDescent="0.25">
      <c r="A152" s="5">
        <v>44611</v>
      </c>
      <c r="B152" s="30">
        <v>7</v>
      </c>
      <c r="C152" s="30">
        <v>0</v>
      </c>
      <c r="D152" s="30">
        <v>4</v>
      </c>
      <c r="E152" s="30">
        <v>5</v>
      </c>
      <c r="F152" s="30">
        <v>2</v>
      </c>
      <c r="G152" s="1" t="s">
        <v>2</v>
      </c>
      <c r="H152">
        <f t="shared" si="2"/>
        <v>2</v>
      </c>
    </row>
    <row r="153" spans="1:8" x14ac:dyDescent="0.25">
      <c r="A153" s="5">
        <v>44612</v>
      </c>
      <c r="B153" s="30">
        <v>3</v>
      </c>
      <c r="C153" s="30">
        <v>0</v>
      </c>
      <c r="D153" s="30">
        <v>1</v>
      </c>
      <c r="E153" s="30">
        <v>0</v>
      </c>
      <c r="F153" s="30">
        <v>4</v>
      </c>
      <c r="G153" s="1" t="s">
        <v>0</v>
      </c>
      <c r="H153">
        <f t="shared" si="2"/>
        <v>2</v>
      </c>
    </row>
    <row r="154" spans="1:8" x14ac:dyDescent="0.25">
      <c r="A154" s="5">
        <v>44612</v>
      </c>
      <c r="B154" s="30">
        <v>3</v>
      </c>
      <c r="C154" s="30">
        <v>1</v>
      </c>
      <c r="D154" s="30">
        <v>3</v>
      </c>
      <c r="E154" s="30">
        <v>5</v>
      </c>
      <c r="F154" s="30">
        <v>1</v>
      </c>
      <c r="G154" s="1" t="s">
        <v>1</v>
      </c>
      <c r="H154">
        <f t="shared" si="2"/>
        <v>2</v>
      </c>
    </row>
    <row r="155" spans="1:8" x14ac:dyDescent="0.25">
      <c r="A155" s="5">
        <v>44612</v>
      </c>
      <c r="B155" s="30">
        <v>4</v>
      </c>
      <c r="C155" s="30">
        <v>1</v>
      </c>
      <c r="D155" s="30">
        <v>1</v>
      </c>
      <c r="E155" s="30">
        <v>0</v>
      </c>
      <c r="F155" s="30">
        <v>9</v>
      </c>
      <c r="G155" s="1" t="s">
        <v>2</v>
      </c>
      <c r="H155">
        <f t="shared" si="2"/>
        <v>2</v>
      </c>
    </row>
    <row r="156" spans="1:8" x14ac:dyDescent="0.25">
      <c r="A156" s="5">
        <v>44613</v>
      </c>
      <c r="B156" s="30">
        <v>3</v>
      </c>
      <c r="C156" s="30">
        <v>2</v>
      </c>
      <c r="D156" s="30">
        <v>3</v>
      </c>
      <c r="E156" s="30">
        <v>4</v>
      </c>
      <c r="F156" s="30">
        <v>1</v>
      </c>
      <c r="G156" s="1" t="s">
        <v>0</v>
      </c>
      <c r="H156">
        <f t="shared" si="2"/>
        <v>2</v>
      </c>
    </row>
    <row r="157" spans="1:8" x14ac:dyDescent="0.25">
      <c r="A157" s="5">
        <v>44613</v>
      </c>
      <c r="B157" s="30">
        <v>4</v>
      </c>
      <c r="C157" s="30">
        <v>1</v>
      </c>
      <c r="D157" s="30">
        <v>3</v>
      </c>
      <c r="E157" s="30">
        <v>0</v>
      </c>
      <c r="F157" s="30">
        <v>1</v>
      </c>
      <c r="G157" s="1" t="s">
        <v>1</v>
      </c>
      <c r="H157">
        <f t="shared" si="2"/>
        <v>2</v>
      </c>
    </row>
    <row r="158" spans="1:8" x14ac:dyDescent="0.25">
      <c r="A158" s="5">
        <v>44613</v>
      </c>
      <c r="B158" s="30">
        <v>0</v>
      </c>
      <c r="C158" s="30">
        <v>3</v>
      </c>
      <c r="D158" s="30">
        <v>1</v>
      </c>
      <c r="E158" s="30">
        <v>2</v>
      </c>
      <c r="F158" s="30">
        <v>2</v>
      </c>
      <c r="G158" s="1" t="s">
        <v>2</v>
      </c>
      <c r="H158">
        <f t="shared" si="2"/>
        <v>2</v>
      </c>
    </row>
    <row r="159" spans="1:8" x14ac:dyDescent="0.25">
      <c r="A159" s="5">
        <v>44614</v>
      </c>
      <c r="B159" s="30">
        <v>3</v>
      </c>
      <c r="C159" s="30">
        <v>8</v>
      </c>
      <c r="D159" s="30">
        <v>4</v>
      </c>
      <c r="E159" s="30">
        <v>1</v>
      </c>
      <c r="F159" s="30">
        <v>8</v>
      </c>
      <c r="G159" s="1" t="s">
        <v>0</v>
      </c>
      <c r="H159">
        <f t="shared" si="2"/>
        <v>2</v>
      </c>
    </row>
    <row r="160" spans="1:8" x14ac:dyDescent="0.25">
      <c r="A160" s="5">
        <v>44614</v>
      </c>
      <c r="B160" s="30">
        <v>3</v>
      </c>
      <c r="C160" s="30">
        <v>4</v>
      </c>
      <c r="D160" s="30">
        <v>1</v>
      </c>
      <c r="E160" s="30">
        <v>10</v>
      </c>
      <c r="F160" s="30">
        <v>7</v>
      </c>
      <c r="G160" s="1" t="s">
        <v>1</v>
      </c>
      <c r="H160">
        <f t="shared" si="2"/>
        <v>2</v>
      </c>
    </row>
    <row r="161" spans="1:8" x14ac:dyDescent="0.25">
      <c r="A161" s="5">
        <v>44614</v>
      </c>
      <c r="B161" s="30">
        <v>4</v>
      </c>
      <c r="C161" s="30">
        <v>3</v>
      </c>
      <c r="D161" s="30">
        <v>2</v>
      </c>
      <c r="E161" s="30">
        <v>4</v>
      </c>
      <c r="F161" s="30">
        <v>2</v>
      </c>
      <c r="G161" s="1" t="s">
        <v>2</v>
      </c>
      <c r="H161">
        <f t="shared" si="2"/>
        <v>2</v>
      </c>
    </row>
    <row r="162" spans="1:8" x14ac:dyDescent="0.25">
      <c r="A162" s="5">
        <v>44615</v>
      </c>
      <c r="B162" s="30">
        <v>8</v>
      </c>
      <c r="C162" s="30">
        <v>8</v>
      </c>
      <c r="D162" s="30">
        <v>8</v>
      </c>
      <c r="E162" s="30">
        <v>4</v>
      </c>
      <c r="F162" s="30">
        <v>2</v>
      </c>
      <c r="G162" s="1" t="s">
        <v>0</v>
      </c>
      <c r="H162">
        <f t="shared" si="2"/>
        <v>2</v>
      </c>
    </row>
    <row r="163" spans="1:8" x14ac:dyDescent="0.25">
      <c r="A163" s="5">
        <v>44615</v>
      </c>
      <c r="B163" s="30">
        <v>5</v>
      </c>
      <c r="C163" s="30">
        <v>3</v>
      </c>
      <c r="D163" s="30">
        <v>10</v>
      </c>
      <c r="E163" s="30">
        <v>2</v>
      </c>
      <c r="F163" s="30">
        <v>3</v>
      </c>
      <c r="G163" s="1" t="s">
        <v>1</v>
      </c>
      <c r="H163">
        <f t="shared" si="2"/>
        <v>2</v>
      </c>
    </row>
    <row r="164" spans="1:8" x14ac:dyDescent="0.25">
      <c r="A164" s="5">
        <v>44615</v>
      </c>
      <c r="B164" s="30">
        <v>5</v>
      </c>
      <c r="C164" s="30">
        <v>8</v>
      </c>
      <c r="D164" s="30">
        <v>10</v>
      </c>
      <c r="E164" s="30">
        <v>7</v>
      </c>
      <c r="F164" s="30">
        <v>1</v>
      </c>
      <c r="G164" s="1" t="s">
        <v>2</v>
      </c>
      <c r="H164">
        <f t="shared" si="2"/>
        <v>2</v>
      </c>
    </row>
    <row r="165" spans="1:8" x14ac:dyDescent="0.25">
      <c r="A165" s="5">
        <v>44616</v>
      </c>
      <c r="B165" s="30">
        <v>2</v>
      </c>
      <c r="C165" s="30">
        <v>3</v>
      </c>
      <c r="D165" s="30">
        <v>1</v>
      </c>
      <c r="E165" s="30">
        <v>4</v>
      </c>
      <c r="F165" s="30">
        <v>1</v>
      </c>
      <c r="G165" s="1" t="s">
        <v>0</v>
      </c>
      <c r="H165">
        <f t="shared" si="2"/>
        <v>2</v>
      </c>
    </row>
    <row r="166" spans="1:8" x14ac:dyDescent="0.25">
      <c r="A166" s="5">
        <v>44616</v>
      </c>
      <c r="B166" s="30">
        <v>1</v>
      </c>
      <c r="C166" s="30">
        <v>3</v>
      </c>
      <c r="D166" s="30">
        <v>3</v>
      </c>
      <c r="E166" s="30">
        <v>0</v>
      </c>
      <c r="F166" s="30">
        <v>5</v>
      </c>
      <c r="G166" s="1" t="s">
        <v>1</v>
      </c>
      <c r="H166">
        <f t="shared" si="2"/>
        <v>2</v>
      </c>
    </row>
    <row r="167" spans="1:8" x14ac:dyDescent="0.25">
      <c r="A167" s="5">
        <v>44616</v>
      </c>
      <c r="B167" s="30">
        <v>5</v>
      </c>
      <c r="C167" s="30">
        <v>2</v>
      </c>
      <c r="D167" s="30">
        <v>2</v>
      </c>
      <c r="E167" s="30">
        <v>1</v>
      </c>
      <c r="F167" s="30">
        <v>7</v>
      </c>
      <c r="G167" s="1" t="s">
        <v>2</v>
      </c>
      <c r="H167">
        <f t="shared" si="2"/>
        <v>2</v>
      </c>
    </row>
    <row r="168" spans="1:8" x14ac:dyDescent="0.25">
      <c r="A168" s="5">
        <v>44617</v>
      </c>
      <c r="B168" s="30">
        <v>1</v>
      </c>
      <c r="C168" s="30">
        <v>4</v>
      </c>
      <c r="D168" s="30">
        <v>3</v>
      </c>
      <c r="E168" s="30">
        <v>0</v>
      </c>
      <c r="F168" s="30">
        <v>6</v>
      </c>
      <c r="G168" s="1" t="s">
        <v>0</v>
      </c>
      <c r="H168">
        <f t="shared" si="2"/>
        <v>2</v>
      </c>
    </row>
    <row r="169" spans="1:8" x14ac:dyDescent="0.25">
      <c r="A169" s="5">
        <v>44617</v>
      </c>
      <c r="B169" s="30">
        <v>7</v>
      </c>
      <c r="C169" s="30">
        <v>1</v>
      </c>
      <c r="D169" s="30">
        <v>3</v>
      </c>
      <c r="E169" s="30">
        <v>2</v>
      </c>
      <c r="F169" s="30">
        <v>2</v>
      </c>
      <c r="G169" s="1" t="s">
        <v>1</v>
      </c>
      <c r="H169">
        <f t="shared" si="2"/>
        <v>2</v>
      </c>
    </row>
    <row r="170" spans="1:8" x14ac:dyDescent="0.25">
      <c r="A170" s="5">
        <v>44617</v>
      </c>
      <c r="B170" s="30">
        <v>4</v>
      </c>
      <c r="C170" s="30">
        <v>2</v>
      </c>
      <c r="D170" s="30">
        <v>3</v>
      </c>
      <c r="E170" s="30">
        <v>5</v>
      </c>
      <c r="F170" s="30">
        <v>1</v>
      </c>
      <c r="G170" s="1" t="s">
        <v>2</v>
      </c>
      <c r="H170">
        <f t="shared" si="2"/>
        <v>2</v>
      </c>
    </row>
    <row r="171" spans="1:8" x14ac:dyDescent="0.25">
      <c r="A171" s="5">
        <v>44618</v>
      </c>
      <c r="B171" s="30">
        <v>4</v>
      </c>
      <c r="C171" s="30">
        <v>5</v>
      </c>
      <c r="D171" s="30">
        <v>0</v>
      </c>
      <c r="E171" s="30">
        <v>1</v>
      </c>
      <c r="F171" s="30">
        <v>4</v>
      </c>
      <c r="G171" s="1" t="s">
        <v>0</v>
      </c>
      <c r="H171">
        <f t="shared" si="2"/>
        <v>2</v>
      </c>
    </row>
    <row r="172" spans="1:8" x14ac:dyDescent="0.25">
      <c r="A172" s="5">
        <v>44618</v>
      </c>
      <c r="B172" s="30">
        <v>2</v>
      </c>
      <c r="C172" s="30">
        <v>7</v>
      </c>
      <c r="D172" s="30">
        <v>4</v>
      </c>
      <c r="E172" s="30">
        <v>0</v>
      </c>
      <c r="F172" s="30">
        <v>8</v>
      </c>
      <c r="G172" s="1" t="s">
        <v>1</v>
      </c>
      <c r="H172">
        <f t="shared" si="2"/>
        <v>2</v>
      </c>
    </row>
    <row r="173" spans="1:8" x14ac:dyDescent="0.25">
      <c r="A173" s="5">
        <v>44618</v>
      </c>
      <c r="B173" s="30">
        <v>0</v>
      </c>
      <c r="C173" s="30">
        <v>5</v>
      </c>
      <c r="D173" s="30">
        <v>7</v>
      </c>
      <c r="E173" s="30">
        <v>5</v>
      </c>
      <c r="F173" s="30">
        <v>8</v>
      </c>
      <c r="G173" s="1" t="s">
        <v>2</v>
      </c>
      <c r="H173">
        <f t="shared" si="2"/>
        <v>2</v>
      </c>
    </row>
    <row r="174" spans="1:8" x14ac:dyDescent="0.25">
      <c r="A174" s="5">
        <v>44619</v>
      </c>
      <c r="B174" s="30">
        <v>5</v>
      </c>
      <c r="C174" s="30">
        <v>2</v>
      </c>
      <c r="D174" s="30">
        <v>7</v>
      </c>
      <c r="E174" s="30">
        <v>5</v>
      </c>
      <c r="F174" s="30">
        <v>2</v>
      </c>
      <c r="G174" s="1" t="s">
        <v>0</v>
      </c>
      <c r="H174">
        <f t="shared" si="2"/>
        <v>2</v>
      </c>
    </row>
    <row r="175" spans="1:8" x14ac:dyDescent="0.25">
      <c r="A175" s="5">
        <v>44619</v>
      </c>
      <c r="B175" s="30">
        <v>0</v>
      </c>
      <c r="C175" s="30">
        <v>1</v>
      </c>
      <c r="D175" s="30">
        <v>0</v>
      </c>
      <c r="E175" s="30">
        <v>2</v>
      </c>
      <c r="F175" s="30">
        <v>0</v>
      </c>
      <c r="G175" s="1" t="s">
        <v>1</v>
      </c>
      <c r="H175">
        <f t="shared" si="2"/>
        <v>2</v>
      </c>
    </row>
    <row r="176" spans="1:8" x14ac:dyDescent="0.25">
      <c r="A176" s="5">
        <v>44619</v>
      </c>
      <c r="B176" s="30">
        <v>4</v>
      </c>
      <c r="C176" s="30">
        <v>4</v>
      </c>
      <c r="D176" s="30">
        <v>2</v>
      </c>
      <c r="E176" s="30">
        <v>3</v>
      </c>
      <c r="F176" s="30">
        <v>6</v>
      </c>
      <c r="G176" s="1" t="s">
        <v>2</v>
      </c>
      <c r="H176">
        <f t="shared" si="2"/>
        <v>2</v>
      </c>
    </row>
    <row r="177" spans="1:8" x14ac:dyDescent="0.25">
      <c r="A177" s="5">
        <v>44620</v>
      </c>
      <c r="B177" s="30">
        <v>8</v>
      </c>
      <c r="C177" s="30">
        <v>1</v>
      </c>
      <c r="D177" s="30">
        <v>1</v>
      </c>
      <c r="E177" s="30">
        <v>5</v>
      </c>
      <c r="F177" s="30">
        <v>8</v>
      </c>
      <c r="G177" s="1" t="s">
        <v>0</v>
      </c>
      <c r="H177">
        <f t="shared" si="2"/>
        <v>2</v>
      </c>
    </row>
    <row r="178" spans="1:8" x14ac:dyDescent="0.25">
      <c r="A178" s="5">
        <v>44620</v>
      </c>
      <c r="B178" s="30">
        <v>4</v>
      </c>
      <c r="C178" s="30">
        <v>3</v>
      </c>
      <c r="D178" s="30">
        <v>8</v>
      </c>
      <c r="E178" s="30">
        <v>3</v>
      </c>
      <c r="F178" s="30">
        <v>4</v>
      </c>
      <c r="G178" s="1" t="s">
        <v>1</v>
      </c>
      <c r="H178">
        <f t="shared" si="2"/>
        <v>2</v>
      </c>
    </row>
    <row r="179" spans="1:8" x14ac:dyDescent="0.25">
      <c r="A179" s="5">
        <v>44620</v>
      </c>
      <c r="B179" s="30">
        <v>7</v>
      </c>
      <c r="C179" s="30">
        <v>4</v>
      </c>
      <c r="D179" s="30">
        <v>7</v>
      </c>
      <c r="E179" s="30">
        <v>4</v>
      </c>
      <c r="F179" s="30">
        <v>3</v>
      </c>
      <c r="G179" s="1" t="s">
        <v>2</v>
      </c>
      <c r="H179">
        <f t="shared" si="2"/>
        <v>2</v>
      </c>
    </row>
    <row r="180" spans="1:8" x14ac:dyDescent="0.25">
      <c r="A180" s="5" t="s">
        <v>109</v>
      </c>
      <c r="B180" s="30">
        <v>1</v>
      </c>
      <c r="C180" s="30">
        <v>6</v>
      </c>
      <c r="D180" s="30">
        <v>1</v>
      </c>
      <c r="E180" s="30">
        <v>1</v>
      </c>
      <c r="F180" s="30">
        <v>7</v>
      </c>
      <c r="G180" s="1" t="s">
        <v>0</v>
      </c>
      <c r="H180" t="e">
        <f t="shared" si="2"/>
        <v>#VALUE!</v>
      </c>
    </row>
    <row r="181" spans="1:8" x14ac:dyDescent="0.25">
      <c r="A181" s="5" t="s">
        <v>109</v>
      </c>
      <c r="B181" s="30">
        <v>9</v>
      </c>
      <c r="C181" s="30">
        <v>3</v>
      </c>
      <c r="D181" s="30">
        <v>8</v>
      </c>
      <c r="E181" s="30">
        <v>5</v>
      </c>
      <c r="F181" s="30">
        <v>5</v>
      </c>
      <c r="G181" s="1" t="s">
        <v>1</v>
      </c>
      <c r="H181" t="e">
        <f t="shared" si="2"/>
        <v>#VALUE!</v>
      </c>
    </row>
    <row r="182" spans="1:8" x14ac:dyDescent="0.25">
      <c r="A182" s="5" t="s">
        <v>109</v>
      </c>
      <c r="B182" s="30">
        <v>5</v>
      </c>
      <c r="C182" s="30">
        <v>4</v>
      </c>
      <c r="D182" s="30">
        <v>4</v>
      </c>
      <c r="E182" s="30">
        <v>8</v>
      </c>
      <c r="F182" s="30">
        <v>5</v>
      </c>
      <c r="G182" s="1" t="s">
        <v>2</v>
      </c>
      <c r="H182" t="e">
        <f t="shared" si="2"/>
        <v>#VALUE!</v>
      </c>
    </row>
    <row r="183" spans="1:8" x14ac:dyDescent="0.25">
      <c r="A183" s="5">
        <v>44621</v>
      </c>
      <c r="B183" s="30">
        <v>3</v>
      </c>
      <c r="C183" s="30">
        <v>0</v>
      </c>
      <c r="D183" s="30">
        <v>10</v>
      </c>
      <c r="E183" s="30">
        <v>4</v>
      </c>
      <c r="F183" s="30">
        <v>0</v>
      </c>
      <c r="G183" s="1" t="s">
        <v>0</v>
      </c>
      <c r="H183">
        <f t="shared" si="2"/>
        <v>3</v>
      </c>
    </row>
    <row r="184" spans="1:8" x14ac:dyDescent="0.25">
      <c r="A184" s="5">
        <v>44621</v>
      </c>
      <c r="B184" s="30">
        <v>2</v>
      </c>
      <c r="C184" s="30">
        <v>4</v>
      </c>
      <c r="D184" s="30">
        <v>7</v>
      </c>
      <c r="E184" s="30">
        <v>4</v>
      </c>
      <c r="F184" s="30">
        <v>5</v>
      </c>
      <c r="G184" s="1" t="s">
        <v>1</v>
      </c>
      <c r="H184">
        <f t="shared" si="2"/>
        <v>3</v>
      </c>
    </row>
    <row r="185" spans="1:8" x14ac:dyDescent="0.25">
      <c r="A185" s="5">
        <v>44621</v>
      </c>
      <c r="B185" s="30">
        <v>8</v>
      </c>
      <c r="C185" s="30">
        <v>8</v>
      </c>
      <c r="D185" s="30">
        <v>4</v>
      </c>
      <c r="E185" s="30">
        <v>6</v>
      </c>
      <c r="F185" s="30">
        <v>3</v>
      </c>
      <c r="G185" s="1" t="s">
        <v>2</v>
      </c>
      <c r="H185">
        <f t="shared" si="2"/>
        <v>3</v>
      </c>
    </row>
    <row r="186" spans="1:8" x14ac:dyDescent="0.25">
      <c r="A186" s="5">
        <v>44622</v>
      </c>
      <c r="B186" s="30">
        <v>3</v>
      </c>
      <c r="C186" s="30">
        <v>4</v>
      </c>
      <c r="D186" s="30">
        <v>4</v>
      </c>
      <c r="E186" s="30">
        <v>1</v>
      </c>
      <c r="F186" s="30">
        <v>6</v>
      </c>
      <c r="G186" s="1" t="s">
        <v>0</v>
      </c>
      <c r="H186">
        <f t="shared" si="2"/>
        <v>3</v>
      </c>
    </row>
    <row r="187" spans="1:8" x14ac:dyDescent="0.25">
      <c r="A187" s="5">
        <v>44622</v>
      </c>
      <c r="B187" s="30">
        <v>4</v>
      </c>
      <c r="C187" s="30">
        <v>2</v>
      </c>
      <c r="D187" s="30">
        <v>0</v>
      </c>
      <c r="E187" s="30">
        <v>2</v>
      </c>
      <c r="F187" s="30">
        <v>5</v>
      </c>
      <c r="G187" s="1" t="s">
        <v>1</v>
      </c>
      <c r="H187">
        <f t="shared" si="2"/>
        <v>3</v>
      </c>
    </row>
    <row r="188" spans="1:8" x14ac:dyDescent="0.25">
      <c r="A188" s="5">
        <v>44622</v>
      </c>
      <c r="B188" s="30">
        <v>9</v>
      </c>
      <c r="C188" s="30">
        <v>0</v>
      </c>
      <c r="D188" s="30">
        <v>1</v>
      </c>
      <c r="E188" s="30">
        <v>9</v>
      </c>
      <c r="F188" s="30">
        <v>3</v>
      </c>
      <c r="G188" s="1" t="s">
        <v>2</v>
      </c>
      <c r="H188">
        <f t="shared" si="2"/>
        <v>3</v>
      </c>
    </row>
    <row r="189" spans="1:8" x14ac:dyDescent="0.25">
      <c r="A189" s="5">
        <v>44623</v>
      </c>
      <c r="B189" s="30">
        <v>0</v>
      </c>
      <c r="C189" s="30">
        <v>4</v>
      </c>
      <c r="D189" s="30">
        <v>8</v>
      </c>
      <c r="E189" s="30">
        <v>4</v>
      </c>
      <c r="F189" s="30">
        <v>9</v>
      </c>
      <c r="G189" s="1" t="s">
        <v>0</v>
      </c>
      <c r="H189">
        <f t="shared" si="2"/>
        <v>3</v>
      </c>
    </row>
    <row r="190" spans="1:8" x14ac:dyDescent="0.25">
      <c r="A190" s="5">
        <v>44623</v>
      </c>
      <c r="B190" s="30">
        <v>2</v>
      </c>
      <c r="C190" s="30">
        <v>0</v>
      </c>
      <c r="D190" s="30">
        <v>2</v>
      </c>
      <c r="E190" s="30">
        <v>6</v>
      </c>
      <c r="F190" s="30">
        <v>3</v>
      </c>
      <c r="G190" s="1" t="s">
        <v>1</v>
      </c>
      <c r="H190">
        <f t="shared" si="2"/>
        <v>3</v>
      </c>
    </row>
    <row r="191" spans="1:8" x14ac:dyDescent="0.25">
      <c r="A191" s="5">
        <v>44623</v>
      </c>
      <c r="B191" s="30">
        <v>8</v>
      </c>
      <c r="C191" s="30">
        <v>8</v>
      </c>
      <c r="D191" s="30">
        <v>2</v>
      </c>
      <c r="E191" s="30">
        <v>5</v>
      </c>
      <c r="F191" s="30">
        <v>3</v>
      </c>
      <c r="G191" s="1" t="s">
        <v>2</v>
      </c>
      <c r="H191">
        <f t="shared" si="2"/>
        <v>3</v>
      </c>
    </row>
    <row r="192" spans="1:8" x14ac:dyDescent="0.25">
      <c r="A192" s="5">
        <v>44624</v>
      </c>
      <c r="B192" s="30">
        <v>6</v>
      </c>
      <c r="C192" s="30">
        <v>4</v>
      </c>
      <c r="D192" s="30">
        <v>2</v>
      </c>
      <c r="E192" s="30">
        <v>7</v>
      </c>
      <c r="F192" s="30">
        <v>8</v>
      </c>
      <c r="G192" s="1" t="s">
        <v>0</v>
      </c>
      <c r="H192">
        <f t="shared" si="2"/>
        <v>3</v>
      </c>
    </row>
    <row r="193" spans="1:8" x14ac:dyDescent="0.25">
      <c r="A193" s="5">
        <v>44624</v>
      </c>
      <c r="B193" s="30">
        <v>2</v>
      </c>
      <c r="C193" s="30">
        <v>1</v>
      </c>
      <c r="D193" s="30">
        <v>9</v>
      </c>
      <c r="E193" s="30">
        <v>3</v>
      </c>
      <c r="F193" s="30">
        <v>1</v>
      </c>
      <c r="G193" s="1" t="s">
        <v>1</v>
      </c>
      <c r="H193">
        <f t="shared" si="2"/>
        <v>3</v>
      </c>
    </row>
    <row r="194" spans="1:8" x14ac:dyDescent="0.25">
      <c r="A194" s="5">
        <v>44624</v>
      </c>
      <c r="B194" s="30">
        <v>9</v>
      </c>
      <c r="C194" s="30">
        <v>1</v>
      </c>
      <c r="D194" s="30">
        <v>4</v>
      </c>
      <c r="E194" s="30">
        <v>0</v>
      </c>
      <c r="F194" s="30">
        <v>1</v>
      </c>
      <c r="G194" s="1" t="s">
        <v>2</v>
      </c>
      <c r="H194">
        <f t="shared" si="2"/>
        <v>3</v>
      </c>
    </row>
    <row r="195" spans="1:8" x14ac:dyDescent="0.25">
      <c r="A195" s="5">
        <v>44625</v>
      </c>
      <c r="B195" s="30">
        <v>4</v>
      </c>
      <c r="C195" s="30">
        <v>2</v>
      </c>
      <c r="D195" s="30">
        <v>1</v>
      </c>
      <c r="E195" s="30">
        <v>6</v>
      </c>
      <c r="F195" s="30">
        <v>6</v>
      </c>
      <c r="G195" s="1" t="s">
        <v>0</v>
      </c>
      <c r="H195">
        <f t="shared" si="2"/>
        <v>3</v>
      </c>
    </row>
    <row r="196" spans="1:8" x14ac:dyDescent="0.25">
      <c r="A196" s="5">
        <v>44625</v>
      </c>
      <c r="B196" s="30">
        <v>3</v>
      </c>
      <c r="C196" s="30">
        <v>4</v>
      </c>
      <c r="D196" s="30">
        <v>2</v>
      </c>
      <c r="E196" s="30">
        <v>2</v>
      </c>
      <c r="F196" s="30">
        <v>2</v>
      </c>
      <c r="G196" s="1" t="s">
        <v>1</v>
      </c>
      <c r="H196">
        <f t="shared" ref="H196:H259" si="3">MONTH(A196)</f>
        <v>3</v>
      </c>
    </row>
    <row r="197" spans="1:8" x14ac:dyDescent="0.25">
      <c r="A197" s="5">
        <v>44625</v>
      </c>
      <c r="B197" s="30">
        <v>6</v>
      </c>
      <c r="C197" s="30">
        <v>1</v>
      </c>
      <c r="D197" s="30">
        <v>4</v>
      </c>
      <c r="E197" s="30">
        <v>2</v>
      </c>
      <c r="F197" s="30">
        <v>2</v>
      </c>
      <c r="G197" s="1" t="s">
        <v>2</v>
      </c>
      <c r="H197">
        <f t="shared" si="3"/>
        <v>3</v>
      </c>
    </row>
    <row r="198" spans="1:8" x14ac:dyDescent="0.25">
      <c r="A198" s="5">
        <v>44626</v>
      </c>
      <c r="B198" s="30">
        <v>1</v>
      </c>
      <c r="C198" s="30">
        <v>4</v>
      </c>
      <c r="D198" s="30">
        <v>8</v>
      </c>
      <c r="E198" s="30">
        <v>1</v>
      </c>
      <c r="F198" s="30">
        <v>1</v>
      </c>
      <c r="G198" s="1" t="s">
        <v>0</v>
      </c>
      <c r="H198">
        <f t="shared" si="3"/>
        <v>3</v>
      </c>
    </row>
    <row r="199" spans="1:8" x14ac:dyDescent="0.25">
      <c r="A199" s="5">
        <v>44626</v>
      </c>
      <c r="B199" s="30">
        <v>1</v>
      </c>
      <c r="C199" s="30">
        <v>0</v>
      </c>
      <c r="D199" s="30">
        <v>0</v>
      </c>
      <c r="E199" s="30">
        <v>4</v>
      </c>
      <c r="F199" s="30">
        <v>4</v>
      </c>
      <c r="G199" s="1" t="s">
        <v>1</v>
      </c>
      <c r="H199">
        <f t="shared" si="3"/>
        <v>3</v>
      </c>
    </row>
    <row r="200" spans="1:8" x14ac:dyDescent="0.25">
      <c r="A200" s="5">
        <v>44626</v>
      </c>
      <c r="B200" s="30">
        <v>2</v>
      </c>
      <c r="C200" s="30">
        <v>1</v>
      </c>
      <c r="D200" s="30">
        <v>2</v>
      </c>
      <c r="E200" s="30">
        <v>0</v>
      </c>
      <c r="F200" s="30">
        <v>2</v>
      </c>
      <c r="G200" s="1" t="s">
        <v>2</v>
      </c>
      <c r="H200">
        <f t="shared" si="3"/>
        <v>3</v>
      </c>
    </row>
    <row r="201" spans="1:8" x14ac:dyDescent="0.25">
      <c r="A201" s="5">
        <v>44627</v>
      </c>
      <c r="B201" s="30">
        <v>0</v>
      </c>
      <c r="C201" s="30">
        <v>1</v>
      </c>
      <c r="D201" s="30">
        <v>7</v>
      </c>
      <c r="E201" s="30">
        <v>1</v>
      </c>
      <c r="F201" s="30">
        <v>6</v>
      </c>
      <c r="G201" s="1" t="s">
        <v>0</v>
      </c>
      <c r="H201">
        <f t="shared" si="3"/>
        <v>3</v>
      </c>
    </row>
    <row r="202" spans="1:8" x14ac:dyDescent="0.25">
      <c r="A202" s="5">
        <v>44627</v>
      </c>
      <c r="B202" s="30">
        <v>1</v>
      </c>
      <c r="C202" s="30">
        <v>1</v>
      </c>
      <c r="D202" s="30">
        <v>3</v>
      </c>
      <c r="E202" s="30">
        <v>4</v>
      </c>
      <c r="F202" s="30">
        <v>2</v>
      </c>
      <c r="G202" s="1" t="s">
        <v>1</v>
      </c>
      <c r="H202">
        <f t="shared" si="3"/>
        <v>3</v>
      </c>
    </row>
    <row r="203" spans="1:8" x14ac:dyDescent="0.25">
      <c r="A203" s="5">
        <v>44627</v>
      </c>
      <c r="B203" s="30">
        <v>5</v>
      </c>
      <c r="C203" s="30">
        <v>3</v>
      </c>
      <c r="D203" s="30">
        <v>6</v>
      </c>
      <c r="E203" s="30">
        <v>3</v>
      </c>
      <c r="F203" s="30">
        <v>5</v>
      </c>
      <c r="G203" s="1" t="s">
        <v>2</v>
      </c>
      <c r="H203">
        <f t="shared" si="3"/>
        <v>3</v>
      </c>
    </row>
    <row r="204" spans="1:8" x14ac:dyDescent="0.25">
      <c r="A204" s="5">
        <v>44628</v>
      </c>
      <c r="B204" s="30">
        <v>5</v>
      </c>
      <c r="C204" s="30">
        <v>2</v>
      </c>
      <c r="D204" s="30">
        <v>7</v>
      </c>
      <c r="E204" s="30">
        <v>8</v>
      </c>
      <c r="F204" s="30">
        <v>1</v>
      </c>
      <c r="G204" s="1" t="s">
        <v>0</v>
      </c>
      <c r="H204">
        <f t="shared" si="3"/>
        <v>3</v>
      </c>
    </row>
    <row r="205" spans="1:8" x14ac:dyDescent="0.25">
      <c r="A205" s="5">
        <v>44628</v>
      </c>
      <c r="B205" s="30">
        <v>3</v>
      </c>
      <c r="C205" s="30">
        <v>2</v>
      </c>
      <c r="D205" s="30">
        <v>1</v>
      </c>
      <c r="E205" s="30">
        <v>6</v>
      </c>
      <c r="F205" s="30">
        <v>2</v>
      </c>
      <c r="G205" s="1" t="s">
        <v>1</v>
      </c>
      <c r="H205">
        <f t="shared" si="3"/>
        <v>3</v>
      </c>
    </row>
    <row r="206" spans="1:8" x14ac:dyDescent="0.25">
      <c r="A206" s="5">
        <v>44628</v>
      </c>
      <c r="B206" s="30">
        <v>9</v>
      </c>
      <c r="C206" s="30">
        <v>3</v>
      </c>
      <c r="D206" s="30">
        <v>5</v>
      </c>
      <c r="E206" s="30">
        <v>8</v>
      </c>
      <c r="F206" s="30">
        <v>5</v>
      </c>
      <c r="G206" s="1" t="s">
        <v>2</v>
      </c>
      <c r="H206">
        <f t="shared" si="3"/>
        <v>3</v>
      </c>
    </row>
    <row r="207" spans="1:8" x14ac:dyDescent="0.25">
      <c r="A207" s="5">
        <v>44629</v>
      </c>
      <c r="B207" s="30">
        <v>7</v>
      </c>
      <c r="C207" s="30">
        <v>1</v>
      </c>
      <c r="D207" s="30">
        <v>3</v>
      </c>
      <c r="E207" s="30">
        <v>6</v>
      </c>
      <c r="F207" s="30">
        <v>9</v>
      </c>
      <c r="G207" s="1" t="s">
        <v>0</v>
      </c>
      <c r="H207">
        <f t="shared" si="3"/>
        <v>3</v>
      </c>
    </row>
    <row r="208" spans="1:8" x14ac:dyDescent="0.25">
      <c r="A208" s="5">
        <v>44629</v>
      </c>
      <c r="B208" s="30">
        <v>0</v>
      </c>
      <c r="C208" s="30">
        <v>5</v>
      </c>
      <c r="D208" s="30">
        <v>5</v>
      </c>
      <c r="E208" s="30">
        <v>2</v>
      </c>
      <c r="F208" s="30">
        <v>2</v>
      </c>
      <c r="G208" s="1" t="s">
        <v>1</v>
      </c>
      <c r="H208">
        <f t="shared" si="3"/>
        <v>3</v>
      </c>
    </row>
    <row r="209" spans="1:8" x14ac:dyDescent="0.25">
      <c r="A209" s="5">
        <v>44629</v>
      </c>
      <c r="B209" s="30">
        <v>4</v>
      </c>
      <c r="C209" s="30">
        <v>4</v>
      </c>
      <c r="D209" s="30">
        <v>9</v>
      </c>
      <c r="E209" s="30">
        <v>2</v>
      </c>
      <c r="F209" s="30">
        <v>2</v>
      </c>
      <c r="G209" s="1" t="s">
        <v>2</v>
      </c>
      <c r="H209">
        <f t="shared" si="3"/>
        <v>3</v>
      </c>
    </row>
    <row r="210" spans="1:8" x14ac:dyDescent="0.25">
      <c r="A210" s="5">
        <v>44630</v>
      </c>
      <c r="B210" s="30">
        <v>4</v>
      </c>
      <c r="C210" s="30">
        <v>5</v>
      </c>
      <c r="D210" s="30">
        <v>8</v>
      </c>
      <c r="E210" s="30">
        <v>2</v>
      </c>
      <c r="F210" s="30">
        <v>5</v>
      </c>
      <c r="G210" s="1" t="s">
        <v>0</v>
      </c>
      <c r="H210">
        <f t="shared" si="3"/>
        <v>3</v>
      </c>
    </row>
    <row r="211" spans="1:8" x14ac:dyDescent="0.25">
      <c r="A211" s="5">
        <v>44630</v>
      </c>
      <c r="B211" s="30">
        <v>2</v>
      </c>
      <c r="C211" s="30">
        <v>5</v>
      </c>
      <c r="D211" s="30">
        <v>5</v>
      </c>
      <c r="E211" s="30">
        <v>3</v>
      </c>
      <c r="F211" s="30">
        <v>6</v>
      </c>
      <c r="G211" s="1" t="s">
        <v>1</v>
      </c>
      <c r="H211">
        <f t="shared" si="3"/>
        <v>3</v>
      </c>
    </row>
    <row r="212" spans="1:8" x14ac:dyDescent="0.25">
      <c r="A212" s="5">
        <v>44630</v>
      </c>
      <c r="B212" s="30">
        <v>4</v>
      </c>
      <c r="C212" s="30">
        <v>5</v>
      </c>
      <c r="D212" s="30">
        <v>4</v>
      </c>
      <c r="E212" s="30">
        <v>4</v>
      </c>
      <c r="F212" s="30">
        <v>8</v>
      </c>
      <c r="G212" s="1" t="s">
        <v>2</v>
      </c>
      <c r="H212">
        <f t="shared" si="3"/>
        <v>3</v>
      </c>
    </row>
    <row r="213" spans="1:8" x14ac:dyDescent="0.25">
      <c r="A213" s="5">
        <v>44631</v>
      </c>
      <c r="B213" s="30">
        <v>3</v>
      </c>
      <c r="C213" s="30">
        <v>3</v>
      </c>
      <c r="D213" s="30">
        <v>5</v>
      </c>
      <c r="E213" s="30">
        <v>0</v>
      </c>
      <c r="F213" s="30">
        <v>8</v>
      </c>
      <c r="G213" s="1" t="s">
        <v>0</v>
      </c>
      <c r="H213">
        <f t="shared" si="3"/>
        <v>3</v>
      </c>
    </row>
    <row r="214" spans="1:8" x14ac:dyDescent="0.25">
      <c r="A214" s="5">
        <v>44631</v>
      </c>
      <c r="B214" s="30">
        <v>4</v>
      </c>
      <c r="C214" s="30">
        <v>5</v>
      </c>
      <c r="D214" s="30">
        <v>2</v>
      </c>
      <c r="E214" s="30">
        <v>7</v>
      </c>
      <c r="F214" s="30">
        <v>4</v>
      </c>
      <c r="G214" s="1" t="s">
        <v>1</v>
      </c>
      <c r="H214">
        <f t="shared" si="3"/>
        <v>3</v>
      </c>
    </row>
    <row r="215" spans="1:8" x14ac:dyDescent="0.25">
      <c r="A215" s="5">
        <v>44631</v>
      </c>
      <c r="B215" s="30">
        <v>2</v>
      </c>
      <c r="C215" s="30">
        <v>0</v>
      </c>
      <c r="D215" s="30">
        <v>2</v>
      </c>
      <c r="E215" s="30">
        <v>1</v>
      </c>
      <c r="F215" s="30">
        <v>4</v>
      </c>
      <c r="G215" s="1" t="s">
        <v>2</v>
      </c>
      <c r="H215">
        <f t="shared" si="3"/>
        <v>3</v>
      </c>
    </row>
    <row r="216" spans="1:8" x14ac:dyDescent="0.25">
      <c r="A216" s="5">
        <v>44632</v>
      </c>
      <c r="B216" s="30">
        <v>3</v>
      </c>
      <c r="C216" s="30">
        <v>2</v>
      </c>
      <c r="D216" s="30">
        <v>4</v>
      </c>
      <c r="E216" s="30">
        <v>3</v>
      </c>
      <c r="F216" s="30">
        <v>5</v>
      </c>
      <c r="G216" s="1" t="s">
        <v>0</v>
      </c>
      <c r="H216">
        <f t="shared" si="3"/>
        <v>3</v>
      </c>
    </row>
    <row r="217" spans="1:8" x14ac:dyDescent="0.25">
      <c r="A217" s="5">
        <v>44632</v>
      </c>
      <c r="B217" s="30">
        <v>5</v>
      </c>
      <c r="C217" s="30">
        <v>10</v>
      </c>
      <c r="D217" s="30">
        <v>4</v>
      </c>
      <c r="E217" s="30">
        <v>0</v>
      </c>
      <c r="F217" s="30">
        <v>5</v>
      </c>
      <c r="G217" s="1" t="s">
        <v>1</v>
      </c>
      <c r="H217">
        <f t="shared" si="3"/>
        <v>3</v>
      </c>
    </row>
    <row r="218" spans="1:8" x14ac:dyDescent="0.25">
      <c r="A218" s="5">
        <v>44632</v>
      </c>
      <c r="B218" s="30">
        <v>8</v>
      </c>
      <c r="C218" s="30">
        <v>2</v>
      </c>
      <c r="D218" s="30">
        <v>1</v>
      </c>
      <c r="E218" s="30">
        <v>2</v>
      </c>
      <c r="F218" s="30">
        <v>1</v>
      </c>
      <c r="G218" s="1" t="s">
        <v>2</v>
      </c>
      <c r="H218">
        <f t="shared" si="3"/>
        <v>3</v>
      </c>
    </row>
    <row r="219" spans="1:8" x14ac:dyDescent="0.25">
      <c r="A219" s="5">
        <v>44633</v>
      </c>
      <c r="B219" s="30">
        <v>4</v>
      </c>
      <c r="C219" s="30">
        <v>6</v>
      </c>
      <c r="D219" s="30">
        <v>5</v>
      </c>
      <c r="E219" s="30">
        <v>8</v>
      </c>
      <c r="F219" s="30">
        <v>4</v>
      </c>
      <c r="G219" s="1" t="s">
        <v>0</v>
      </c>
      <c r="H219">
        <f t="shared" si="3"/>
        <v>3</v>
      </c>
    </row>
    <row r="220" spans="1:8" x14ac:dyDescent="0.25">
      <c r="A220" s="5">
        <v>44633</v>
      </c>
      <c r="B220" s="30">
        <v>5</v>
      </c>
      <c r="C220" s="30">
        <v>4</v>
      </c>
      <c r="D220" s="30">
        <v>3</v>
      </c>
      <c r="E220" s="30">
        <v>4</v>
      </c>
      <c r="F220" s="30">
        <v>3</v>
      </c>
      <c r="G220" s="1" t="s">
        <v>1</v>
      </c>
      <c r="H220">
        <f t="shared" si="3"/>
        <v>3</v>
      </c>
    </row>
    <row r="221" spans="1:8" x14ac:dyDescent="0.25">
      <c r="A221" s="5">
        <v>44633</v>
      </c>
      <c r="B221" s="30">
        <v>3</v>
      </c>
      <c r="C221" s="30">
        <v>5</v>
      </c>
      <c r="D221" s="30">
        <v>6</v>
      </c>
      <c r="E221" s="30">
        <v>0</v>
      </c>
      <c r="F221" s="30">
        <v>0</v>
      </c>
      <c r="G221" s="1" t="s">
        <v>2</v>
      </c>
      <c r="H221">
        <f t="shared" si="3"/>
        <v>3</v>
      </c>
    </row>
    <row r="222" spans="1:8" x14ac:dyDescent="0.25">
      <c r="A222" s="5">
        <v>44634</v>
      </c>
      <c r="B222" s="30">
        <v>3</v>
      </c>
      <c r="C222" s="30">
        <v>4</v>
      </c>
      <c r="D222" s="30">
        <v>0</v>
      </c>
      <c r="E222" s="30">
        <v>2</v>
      </c>
      <c r="F222" s="30">
        <v>8</v>
      </c>
      <c r="G222" s="1" t="s">
        <v>0</v>
      </c>
      <c r="H222">
        <f t="shared" si="3"/>
        <v>3</v>
      </c>
    </row>
    <row r="223" spans="1:8" x14ac:dyDescent="0.25">
      <c r="A223" s="5">
        <v>44634</v>
      </c>
      <c r="B223" s="30">
        <v>2</v>
      </c>
      <c r="C223" s="30">
        <v>1</v>
      </c>
      <c r="D223" s="30">
        <v>1</v>
      </c>
      <c r="E223" s="30">
        <v>10</v>
      </c>
      <c r="F223" s="30">
        <v>3</v>
      </c>
      <c r="G223" s="1" t="s">
        <v>1</v>
      </c>
      <c r="H223">
        <f t="shared" si="3"/>
        <v>3</v>
      </c>
    </row>
    <row r="224" spans="1:8" x14ac:dyDescent="0.25">
      <c r="A224" s="5">
        <v>44634</v>
      </c>
      <c r="B224" s="30">
        <v>3</v>
      </c>
      <c r="C224" s="30">
        <v>8</v>
      </c>
      <c r="D224" s="30">
        <v>5</v>
      </c>
      <c r="E224" s="30">
        <v>2</v>
      </c>
      <c r="F224" s="30">
        <v>7</v>
      </c>
      <c r="G224" s="1" t="s">
        <v>2</v>
      </c>
      <c r="H224">
        <f t="shared" si="3"/>
        <v>3</v>
      </c>
    </row>
    <row r="225" spans="1:8" x14ac:dyDescent="0.25">
      <c r="A225" s="5">
        <v>44635</v>
      </c>
      <c r="B225" s="30">
        <v>3</v>
      </c>
      <c r="C225" s="30">
        <v>4</v>
      </c>
      <c r="D225" s="30">
        <v>6</v>
      </c>
      <c r="E225" s="30">
        <v>3</v>
      </c>
      <c r="F225" s="30">
        <v>3</v>
      </c>
      <c r="G225" s="1" t="s">
        <v>0</v>
      </c>
      <c r="H225">
        <f t="shared" si="3"/>
        <v>3</v>
      </c>
    </row>
    <row r="226" spans="1:8" x14ac:dyDescent="0.25">
      <c r="A226" s="5">
        <v>44635</v>
      </c>
      <c r="B226" s="30">
        <v>3</v>
      </c>
      <c r="C226" s="30">
        <v>2</v>
      </c>
      <c r="D226" s="30">
        <v>4</v>
      </c>
      <c r="E226" s="30">
        <v>1</v>
      </c>
      <c r="F226" s="30">
        <v>8</v>
      </c>
      <c r="G226" s="1" t="s">
        <v>1</v>
      </c>
      <c r="H226">
        <f t="shared" si="3"/>
        <v>3</v>
      </c>
    </row>
    <row r="227" spans="1:8" x14ac:dyDescent="0.25">
      <c r="A227" s="5">
        <v>44635</v>
      </c>
      <c r="B227" s="30">
        <v>4</v>
      </c>
      <c r="C227" s="30">
        <v>6</v>
      </c>
      <c r="D227" s="30">
        <v>8</v>
      </c>
      <c r="E227" s="30">
        <v>0</v>
      </c>
      <c r="F227" s="30">
        <v>10</v>
      </c>
      <c r="G227" s="1" t="s">
        <v>2</v>
      </c>
      <c r="H227">
        <f t="shared" si="3"/>
        <v>3</v>
      </c>
    </row>
    <row r="228" spans="1:8" x14ac:dyDescent="0.25">
      <c r="A228" s="5">
        <v>44636</v>
      </c>
      <c r="B228" s="30">
        <v>8</v>
      </c>
      <c r="C228" s="30">
        <v>2</v>
      </c>
      <c r="D228" s="30">
        <v>5</v>
      </c>
      <c r="E228" s="30">
        <v>4</v>
      </c>
      <c r="F228" s="30">
        <v>7</v>
      </c>
      <c r="G228" s="1" t="s">
        <v>0</v>
      </c>
      <c r="H228">
        <f t="shared" si="3"/>
        <v>3</v>
      </c>
    </row>
    <row r="229" spans="1:8" x14ac:dyDescent="0.25">
      <c r="A229" s="5">
        <v>44636</v>
      </c>
      <c r="B229" s="30">
        <v>9</v>
      </c>
      <c r="C229" s="30">
        <v>4</v>
      </c>
      <c r="D229" s="30">
        <v>9</v>
      </c>
      <c r="E229" s="30">
        <v>7</v>
      </c>
      <c r="F229" s="30">
        <v>6</v>
      </c>
      <c r="G229" s="1" t="s">
        <v>1</v>
      </c>
      <c r="H229">
        <f t="shared" si="3"/>
        <v>3</v>
      </c>
    </row>
    <row r="230" spans="1:8" x14ac:dyDescent="0.25">
      <c r="A230" s="5">
        <v>44636</v>
      </c>
      <c r="B230" s="30">
        <v>4</v>
      </c>
      <c r="C230" s="30">
        <v>3</v>
      </c>
      <c r="D230" s="30">
        <v>3</v>
      </c>
      <c r="E230" s="30">
        <v>4</v>
      </c>
      <c r="F230" s="30">
        <v>6</v>
      </c>
      <c r="G230" s="1" t="s">
        <v>2</v>
      </c>
      <c r="H230">
        <f t="shared" si="3"/>
        <v>3</v>
      </c>
    </row>
    <row r="231" spans="1:8" x14ac:dyDescent="0.25">
      <c r="A231" s="5">
        <v>44637</v>
      </c>
      <c r="B231" s="30">
        <v>2</v>
      </c>
      <c r="C231" s="30">
        <v>3</v>
      </c>
      <c r="D231" s="30">
        <v>7</v>
      </c>
      <c r="E231" s="30">
        <v>1</v>
      </c>
      <c r="F231" s="30">
        <v>8</v>
      </c>
      <c r="G231" s="1" t="s">
        <v>0</v>
      </c>
      <c r="H231">
        <f t="shared" si="3"/>
        <v>3</v>
      </c>
    </row>
    <row r="232" spans="1:8" x14ac:dyDescent="0.25">
      <c r="A232" s="5">
        <v>44637</v>
      </c>
      <c r="B232" s="30">
        <v>5</v>
      </c>
      <c r="C232" s="30">
        <v>7</v>
      </c>
      <c r="D232" s="30">
        <v>0</v>
      </c>
      <c r="E232" s="30">
        <v>4</v>
      </c>
      <c r="F232" s="30">
        <v>3</v>
      </c>
      <c r="G232" s="1" t="s">
        <v>1</v>
      </c>
      <c r="H232">
        <f t="shared" si="3"/>
        <v>3</v>
      </c>
    </row>
    <row r="233" spans="1:8" x14ac:dyDescent="0.25">
      <c r="A233" s="5">
        <v>44637</v>
      </c>
      <c r="B233" s="30">
        <v>4</v>
      </c>
      <c r="C233" s="30">
        <v>8</v>
      </c>
      <c r="D233" s="30">
        <v>1</v>
      </c>
      <c r="E233" s="30">
        <v>4</v>
      </c>
      <c r="F233" s="30">
        <v>9</v>
      </c>
      <c r="G233" s="1" t="s">
        <v>2</v>
      </c>
      <c r="H233">
        <f t="shared" si="3"/>
        <v>3</v>
      </c>
    </row>
    <row r="234" spans="1:8" x14ac:dyDescent="0.25">
      <c r="A234" s="5">
        <v>44638</v>
      </c>
      <c r="B234" s="30">
        <v>1</v>
      </c>
      <c r="C234" s="30">
        <v>2</v>
      </c>
      <c r="D234" s="30">
        <v>3</v>
      </c>
      <c r="E234" s="30">
        <v>9</v>
      </c>
      <c r="F234" s="30">
        <v>4</v>
      </c>
      <c r="G234" s="1" t="s">
        <v>0</v>
      </c>
      <c r="H234">
        <f t="shared" si="3"/>
        <v>3</v>
      </c>
    </row>
    <row r="235" spans="1:8" x14ac:dyDescent="0.25">
      <c r="A235" s="5">
        <v>44638</v>
      </c>
      <c r="B235" s="30">
        <v>1</v>
      </c>
      <c r="C235" s="30">
        <v>7</v>
      </c>
      <c r="D235" s="30">
        <v>0</v>
      </c>
      <c r="E235" s="30">
        <v>1</v>
      </c>
      <c r="F235" s="30">
        <v>0</v>
      </c>
      <c r="G235" s="1" t="s">
        <v>1</v>
      </c>
      <c r="H235">
        <f t="shared" si="3"/>
        <v>3</v>
      </c>
    </row>
    <row r="236" spans="1:8" x14ac:dyDescent="0.25">
      <c r="A236" s="5">
        <v>44638</v>
      </c>
      <c r="B236" s="30">
        <v>5</v>
      </c>
      <c r="C236" s="30">
        <v>8</v>
      </c>
      <c r="D236" s="30">
        <v>2</v>
      </c>
      <c r="E236" s="30">
        <v>2</v>
      </c>
      <c r="F236" s="30">
        <v>4</v>
      </c>
      <c r="G236" s="1" t="s">
        <v>2</v>
      </c>
      <c r="H236">
        <f t="shared" si="3"/>
        <v>3</v>
      </c>
    </row>
    <row r="237" spans="1:8" x14ac:dyDescent="0.25">
      <c r="A237" s="5">
        <v>44639</v>
      </c>
      <c r="B237" s="30">
        <v>2</v>
      </c>
      <c r="C237" s="30">
        <v>10</v>
      </c>
      <c r="D237" s="30">
        <v>3</v>
      </c>
      <c r="E237" s="30">
        <v>1</v>
      </c>
      <c r="F237" s="30">
        <v>1</v>
      </c>
      <c r="G237" s="1" t="s">
        <v>0</v>
      </c>
      <c r="H237">
        <f t="shared" si="3"/>
        <v>3</v>
      </c>
    </row>
    <row r="238" spans="1:8" x14ac:dyDescent="0.25">
      <c r="A238" s="5">
        <v>44639</v>
      </c>
      <c r="B238" s="30">
        <v>5</v>
      </c>
      <c r="C238" s="30">
        <v>1</v>
      </c>
      <c r="D238" s="30">
        <v>7</v>
      </c>
      <c r="E238" s="30">
        <v>5</v>
      </c>
      <c r="F238" s="30">
        <v>10</v>
      </c>
      <c r="G238" s="1" t="s">
        <v>1</v>
      </c>
      <c r="H238">
        <f t="shared" si="3"/>
        <v>3</v>
      </c>
    </row>
    <row r="239" spans="1:8" x14ac:dyDescent="0.25">
      <c r="A239" s="5">
        <v>44639</v>
      </c>
      <c r="B239" s="30">
        <v>0</v>
      </c>
      <c r="C239" s="30">
        <v>0</v>
      </c>
      <c r="D239" s="30">
        <v>0</v>
      </c>
      <c r="E239" s="30">
        <v>2</v>
      </c>
      <c r="F239" s="30">
        <v>3</v>
      </c>
      <c r="G239" s="1" t="s">
        <v>2</v>
      </c>
      <c r="H239">
        <f t="shared" si="3"/>
        <v>3</v>
      </c>
    </row>
    <row r="240" spans="1:8" x14ac:dyDescent="0.25">
      <c r="A240" s="5">
        <v>44640</v>
      </c>
      <c r="B240" s="30">
        <v>2</v>
      </c>
      <c r="C240" s="30">
        <v>2</v>
      </c>
      <c r="D240" s="30">
        <v>7</v>
      </c>
      <c r="E240" s="30">
        <v>1</v>
      </c>
      <c r="F240" s="30">
        <v>2</v>
      </c>
      <c r="G240" s="1" t="s">
        <v>0</v>
      </c>
      <c r="H240">
        <f t="shared" si="3"/>
        <v>3</v>
      </c>
    </row>
    <row r="241" spans="1:8" x14ac:dyDescent="0.25">
      <c r="A241" s="5">
        <v>44640</v>
      </c>
      <c r="B241" s="30">
        <v>6</v>
      </c>
      <c r="C241" s="30">
        <v>9</v>
      </c>
      <c r="D241" s="30">
        <v>3</v>
      </c>
      <c r="E241" s="30">
        <v>10</v>
      </c>
      <c r="F241" s="30">
        <v>8</v>
      </c>
      <c r="G241" s="1" t="s">
        <v>1</v>
      </c>
      <c r="H241">
        <f t="shared" si="3"/>
        <v>3</v>
      </c>
    </row>
    <row r="242" spans="1:8" x14ac:dyDescent="0.25">
      <c r="A242" s="5">
        <v>44640</v>
      </c>
      <c r="B242" s="30">
        <v>4</v>
      </c>
      <c r="C242" s="30">
        <v>8</v>
      </c>
      <c r="D242" s="30">
        <v>2</v>
      </c>
      <c r="E242" s="30">
        <v>6</v>
      </c>
      <c r="F242" s="30">
        <v>4</v>
      </c>
      <c r="G242" s="1" t="s">
        <v>2</v>
      </c>
      <c r="H242">
        <f t="shared" si="3"/>
        <v>3</v>
      </c>
    </row>
    <row r="243" spans="1:8" x14ac:dyDescent="0.25">
      <c r="A243" s="5">
        <v>44641</v>
      </c>
      <c r="B243" s="30">
        <v>3</v>
      </c>
      <c r="C243" s="30">
        <v>1</v>
      </c>
      <c r="D243" s="30">
        <v>4</v>
      </c>
      <c r="E243" s="30">
        <v>7</v>
      </c>
      <c r="F243" s="30">
        <v>2</v>
      </c>
      <c r="G243" s="1" t="s">
        <v>0</v>
      </c>
      <c r="H243">
        <f t="shared" si="3"/>
        <v>3</v>
      </c>
    </row>
    <row r="244" spans="1:8" x14ac:dyDescent="0.25">
      <c r="A244" s="5">
        <v>44641</v>
      </c>
      <c r="B244" s="30">
        <v>5</v>
      </c>
      <c r="C244" s="30">
        <v>4</v>
      </c>
      <c r="D244" s="30">
        <v>2</v>
      </c>
      <c r="E244" s="30">
        <v>7</v>
      </c>
      <c r="F244" s="30">
        <v>3</v>
      </c>
      <c r="G244" s="1" t="s">
        <v>1</v>
      </c>
      <c r="H244">
        <f t="shared" si="3"/>
        <v>3</v>
      </c>
    </row>
    <row r="245" spans="1:8" x14ac:dyDescent="0.25">
      <c r="A245" s="5">
        <v>44641</v>
      </c>
      <c r="B245" s="30">
        <v>4</v>
      </c>
      <c r="C245" s="30">
        <v>1</v>
      </c>
      <c r="D245" s="30">
        <v>7</v>
      </c>
      <c r="E245" s="30">
        <v>0</v>
      </c>
      <c r="F245" s="30">
        <v>3</v>
      </c>
      <c r="G245" s="1" t="s">
        <v>2</v>
      </c>
      <c r="H245">
        <f t="shared" si="3"/>
        <v>3</v>
      </c>
    </row>
    <row r="246" spans="1:8" x14ac:dyDescent="0.25">
      <c r="A246" s="5">
        <v>44642</v>
      </c>
      <c r="B246" s="30">
        <v>5</v>
      </c>
      <c r="C246" s="30">
        <v>4</v>
      </c>
      <c r="D246" s="30">
        <v>0</v>
      </c>
      <c r="E246" s="30">
        <v>8</v>
      </c>
      <c r="F246" s="30">
        <v>2</v>
      </c>
      <c r="G246" s="1" t="s">
        <v>0</v>
      </c>
      <c r="H246">
        <f t="shared" si="3"/>
        <v>3</v>
      </c>
    </row>
    <row r="247" spans="1:8" x14ac:dyDescent="0.25">
      <c r="A247" s="5">
        <v>44642</v>
      </c>
      <c r="B247" s="30">
        <v>5</v>
      </c>
      <c r="C247" s="30">
        <v>1</v>
      </c>
      <c r="D247" s="30">
        <v>1</v>
      </c>
      <c r="E247" s="30">
        <v>4</v>
      </c>
      <c r="F247" s="30">
        <v>1</v>
      </c>
      <c r="G247" s="1" t="s">
        <v>1</v>
      </c>
      <c r="H247">
        <f t="shared" si="3"/>
        <v>3</v>
      </c>
    </row>
    <row r="248" spans="1:8" x14ac:dyDescent="0.25">
      <c r="A248" s="5">
        <v>44642</v>
      </c>
      <c r="B248" s="30">
        <v>1</v>
      </c>
      <c r="C248" s="30">
        <v>3</v>
      </c>
      <c r="D248" s="30">
        <v>4</v>
      </c>
      <c r="E248" s="30">
        <v>3</v>
      </c>
      <c r="F248" s="30">
        <v>8</v>
      </c>
      <c r="G248" s="1" t="s">
        <v>2</v>
      </c>
      <c r="H248">
        <f t="shared" si="3"/>
        <v>3</v>
      </c>
    </row>
    <row r="249" spans="1:8" x14ac:dyDescent="0.25">
      <c r="A249" s="5">
        <v>44643</v>
      </c>
      <c r="B249" s="30">
        <v>6</v>
      </c>
      <c r="C249" s="30">
        <v>3</v>
      </c>
      <c r="D249" s="30">
        <v>1</v>
      </c>
      <c r="E249" s="30">
        <v>2</v>
      </c>
      <c r="F249" s="30">
        <v>6</v>
      </c>
      <c r="G249" s="1" t="s">
        <v>0</v>
      </c>
      <c r="H249">
        <f t="shared" si="3"/>
        <v>3</v>
      </c>
    </row>
    <row r="250" spans="1:8" x14ac:dyDescent="0.25">
      <c r="A250" s="5">
        <v>44643</v>
      </c>
      <c r="B250" s="30">
        <v>4</v>
      </c>
      <c r="C250" s="30">
        <v>3</v>
      </c>
      <c r="D250" s="30">
        <v>4</v>
      </c>
      <c r="E250" s="30">
        <v>3</v>
      </c>
      <c r="F250" s="30">
        <v>3</v>
      </c>
      <c r="G250" s="1" t="s">
        <v>1</v>
      </c>
      <c r="H250">
        <f t="shared" si="3"/>
        <v>3</v>
      </c>
    </row>
    <row r="251" spans="1:8" x14ac:dyDescent="0.25">
      <c r="A251" s="5">
        <v>44643</v>
      </c>
      <c r="B251" s="30">
        <v>4</v>
      </c>
      <c r="C251" s="30">
        <v>4</v>
      </c>
      <c r="D251" s="30">
        <v>4</v>
      </c>
      <c r="E251" s="30">
        <v>0</v>
      </c>
      <c r="F251" s="30">
        <v>5</v>
      </c>
      <c r="G251" s="1" t="s">
        <v>2</v>
      </c>
      <c r="H251">
        <f t="shared" si="3"/>
        <v>3</v>
      </c>
    </row>
    <row r="252" spans="1:8" x14ac:dyDescent="0.25">
      <c r="A252" s="5">
        <v>44644</v>
      </c>
      <c r="B252" s="30">
        <v>0</v>
      </c>
      <c r="C252" s="30">
        <v>3</v>
      </c>
      <c r="D252" s="30">
        <v>9</v>
      </c>
      <c r="E252" s="30">
        <v>0</v>
      </c>
      <c r="F252" s="30">
        <v>4</v>
      </c>
      <c r="G252" s="1" t="s">
        <v>0</v>
      </c>
      <c r="H252">
        <f t="shared" si="3"/>
        <v>3</v>
      </c>
    </row>
    <row r="253" spans="1:8" x14ac:dyDescent="0.25">
      <c r="A253" s="5">
        <v>44644</v>
      </c>
      <c r="B253" s="30">
        <v>8</v>
      </c>
      <c r="C253" s="30">
        <v>3</v>
      </c>
      <c r="D253" s="30">
        <v>1</v>
      </c>
      <c r="E253" s="30">
        <v>3</v>
      </c>
      <c r="F253" s="30">
        <v>6</v>
      </c>
      <c r="G253" s="1" t="s">
        <v>1</v>
      </c>
      <c r="H253">
        <f t="shared" si="3"/>
        <v>3</v>
      </c>
    </row>
    <row r="254" spans="1:8" x14ac:dyDescent="0.25">
      <c r="A254" s="5">
        <v>44644</v>
      </c>
      <c r="B254" s="30">
        <v>0</v>
      </c>
      <c r="C254" s="30">
        <v>3</v>
      </c>
      <c r="D254" s="30">
        <v>4</v>
      </c>
      <c r="E254" s="30">
        <v>3</v>
      </c>
      <c r="F254" s="30">
        <v>1</v>
      </c>
      <c r="G254" s="1" t="s">
        <v>2</v>
      </c>
      <c r="H254">
        <f t="shared" si="3"/>
        <v>3</v>
      </c>
    </row>
    <row r="255" spans="1:8" x14ac:dyDescent="0.25">
      <c r="A255" s="5">
        <v>44645</v>
      </c>
      <c r="B255" s="30">
        <v>9</v>
      </c>
      <c r="C255" s="30">
        <v>5</v>
      </c>
      <c r="D255" s="30">
        <v>3</v>
      </c>
      <c r="E255" s="30">
        <v>0</v>
      </c>
      <c r="F255" s="30">
        <v>3</v>
      </c>
      <c r="G255" s="1" t="s">
        <v>0</v>
      </c>
      <c r="H255">
        <f t="shared" si="3"/>
        <v>3</v>
      </c>
    </row>
    <row r="256" spans="1:8" x14ac:dyDescent="0.25">
      <c r="A256" s="5">
        <v>44645</v>
      </c>
      <c r="B256" s="30">
        <v>9</v>
      </c>
      <c r="C256" s="30">
        <v>1</v>
      </c>
      <c r="D256" s="30">
        <v>4</v>
      </c>
      <c r="E256" s="30">
        <v>1</v>
      </c>
      <c r="F256" s="30">
        <v>5</v>
      </c>
      <c r="G256" s="1" t="s">
        <v>1</v>
      </c>
      <c r="H256">
        <f t="shared" si="3"/>
        <v>3</v>
      </c>
    </row>
    <row r="257" spans="1:8" x14ac:dyDescent="0.25">
      <c r="A257" s="5">
        <v>44645</v>
      </c>
      <c r="B257" s="30">
        <v>0</v>
      </c>
      <c r="C257" s="30">
        <v>5</v>
      </c>
      <c r="D257" s="30">
        <v>0</v>
      </c>
      <c r="E257" s="30">
        <v>4</v>
      </c>
      <c r="F257" s="30">
        <v>0</v>
      </c>
      <c r="G257" s="1" t="s">
        <v>2</v>
      </c>
      <c r="H257">
        <f t="shared" si="3"/>
        <v>3</v>
      </c>
    </row>
    <row r="258" spans="1:8" x14ac:dyDescent="0.25">
      <c r="A258" s="5">
        <v>44646</v>
      </c>
      <c r="B258" s="30">
        <v>0</v>
      </c>
      <c r="C258" s="30">
        <v>3</v>
      </c>
      <c r="D258" s="30">
        <v>3</v>
      </c>
      <c r="E258" s="30">
        <v>0</v>
      </c>
      <c r="F258" s="30">
        <v>8</v>
      </c>
      <c r="G258" s="1" t="s">
        <v>0</v>
      </c>
      <c r="H258">
        <f t="shared" si="3"/>
        <v>3</v>
      </c>
    </row>
    <row r="259" spans="1:8" x14ac:dyDescent="0.25">
      <c r="A259" s="5">
        <v>44646</v>
      </c>
      <c r="B259" s="30">
        <v>7</v>
      </c>
      <c r="C259" s="30">
        <v>4</v>
      </c>
      <c r="D259" s="30">
        <v>4</v>
      </c>
      <c r="E259" s="30">
        <v>4</v>
      </c>
      <c r="F259" s="30">
        <v>2</v>
      </c>
      <c r="G259" s="1" t="s">
        <v>1</v>
      </c>
      <c r="H259">
        <f t="shared" si="3"/>
        <v>3</v>
      </c>
    </row>
    <row r="260" spans="1:8" x14ac:dyDescent="0.25">
      <c r="A260" s="5">
        <v>44646</v>
      </c>
      <c r="B260" s="30">
        <v>1</v>
      </c>
      <c r="C260" s="30">
        <v>4</v>
      </c>
      <c r="D260" s="30">
        <v>0</v>
      </c>
      <c r="E260" s="30">
        <v>10</v>
      </c>
      <c r="F260" s="30">
        <v>8</v>
      </c>
      <c r="G260" s="1" t="s">
        <v>2</v>
      </c>
      <c r="H260">
        <f t="shared" ref="H260:H323" si="4">MONTH(A260)</f>
        <v>3</v>
      </c>
    </row>
    <row r="261" spans="1:8" x14ac:dyDescent="0.25">
      <c r="A261" s="5">
        <v>44647</v>
      </c>
      <c r="B261" s="30">
        <v>2</v>
      </c>
      <c r="C261" s="30">
        <v>8</v>
      </c>
      <c r="D261" s="30">
        <v>1</v>
      </c>
      <c r="E261" s="30">
        <v>4</v>
      </c>
      <c r="F261" s="30">
        <v>1</v>
      </c>
      <c r="G261" s="1" t="s">
        <v>0</v>
      </c>
      <c r="H261">
        <f t="shared" si="4"/>
        <v>3</v>
      </c>
    </row>
    <row r="262" spans="1:8" x14ac:dyDescent="0.25">
      <c r="A262" s="5">
        <v>44647</v>
      </c>
      <c r="B262" s="30">
        <v>3</v>
      </c>
      <c r="C262" s="30">
        <v>4</v>
      </c>
      <c r="D262" s="30">
        <v>1</v>
      </c>
      <c r="E262" s="30">
        <v>2</v>
      </c>
      <c r="F262" s="30">
        <v>1</v>
      </c>
      <c r="G262" s="1" t="s">
        <v>1</v>
      </c>
      <c r="H262">
        <f t="shared" si="4"/>
        <v>3</v>
      </c>
    </row>
    <row r="263" spans="1:8" x14ac:dyDescent="0.25">
      <c r="A263" s="5">
        <v>44647</v>
      </c>
      <c r="B263" s="30">
        <v>1</v>
      </c>
      <c r="C263" s="30">
        <v>0</v>
      </c>
      <c r="D263" s="30">
        <v>3</v>
      </c>
      <c r="E263" s="30">
        <v>3</v>
      </c>
      <c r="F263" s="30">
        <v>4</v>
      </c>
      <c r="G263" s="1" t="s">
        <v>2</v>
      </c>
      <c r="H263">
        <f t="shared" si="4"/>
        <v>3</v>
      </c>
    </row>
    <row r="264" spans="1:8" x14ac:dyDescent="0.25">
      <c r="A264" s="5">
        <v>44648</v>
      </c>
      <c r="B264" s="30">
        <v>7</v>
      </c>
      <c r="C264" s="30">
        <v>2</v>
      </c>
      <c r="D264" s="30">
        <v>5</v>
      </c>
      <c r="E264" s="30">
        <v>3</v>
      </c>
      <c r="F264" s="30">
        <v>4</v>
      </c>
      <c r="G264" s="1" t="s">
        <v>0</v>
      </c>
      <c r="H264">
        <f t="shared" si="4"/>
        <v>3</v>
      </c>
    </row>
    <row r="265" spans="1:8" x14ac:dyDescent="0.25">
      <c r="A265" s="5">
        <v>44648</v>
      </c>
      <c r="B265" s="30">
        <v>4</v>
      </c>
      <c r="C265" s="30">
        <v>2</v>
      </c>
      <c r="D265" s="30">
        <v>7</v>
      </c>
      <c r="E265" s="30">
        <v>7</v>
      </c>
      <c r="F265" s="30">
        <v>4</v>
      </c>
      <c r="G265" s="1" t="s">
        <v>1</v>
      </c>
      <c r="H265">
        <f t="shared" si="4"/>
        <v>3</v>
      </c>
    </row>
    <row r="266" spans="1:8" x14ac:dyDescent="0.25">
      <c r="A266" s="5">
        <v>44648</v>
      </c>
      <c r="B266" s="30">
        <v>2</v>
      </c>
      <c r="C266" s="30">
        <v>6</v>
      </c>
      <c r="D266" s="30">
        <v>0</v>
      </c>
      <c r="E266" s="30">
        <v>2</v>
      </c>
      <c r="F266" s="30">
        <v>0</v>
      </c>
      <c r="G266" s="1" t="s">
        <v>2</v>
      </c>
      <c r="H266">
        <f t="shared" si="4"/>
        <v>3</v>
      </c>
    </row>
    <row r="267" spans="1:8" x14ac:dyDescent="0.25">
      <c r="A267" s="5">
        <v>44649</v>
      </c>
      <c r="B267" s="30">
        <v>4</v>
      </c>
      <c r="C267" s="30">
        <v>5</v>
      </c>
      <c r="D267" s="30">
        <v>3</v>
      </c>
      <c r="E267" s="30">
        <v>5</v>
      </c>
      <c r="F267" s="30">
        <v>5</v>
      </c>
      <c r="G267" s="1" t="s">
        <v>0</v>
      </c>
      <c r="H267">
        <f t="shared" si="4"/>
        <v>3</v>
      </c>
    </row>
    <row r="268" spans="1:8" x14ac:dyDescent="0.25">
      <c r="A268" s="5">
        <v>44649</v>
      </c>
      <c r="B268" s="30">
        <v>2</v>
      </c>
      <c r="C268" s="30">
        <v>1</v>
      </c>
      <c r="D268" s="30">
        <v>2</v>
      </c>
      <c r="E268" s="30">
        <v>6</v>
      </c>
      <c r="F268" s="30">
        <v>4</v>
      </c>
      <c r="G268" s="1" t="s">
        <v>1</v>
      </c>
      <c r="H268">
        <f t="shared" si="4"/>
        <v>3</v>
      </c>
    </row>
    <row r="269" spans="1:8" x14ac:dyDescent="0.25">
      <c r="A269" s="5">
        <v>44649</v>
      </c>
      <c r="B269" s="30">
        <v>4</v>
      </c>
      <c r="C269" s="30">
        <v>3</v>
      </c>
      <c r="D269" s="30">
        <v>0</v>
      </c>
      <c r="E269" s="30">
        <v>5</v>
      </c>
      <c r="F269" s="30">
        <v>3</v>
      </c>
      <c r="G269" s="1" t="s">
        <v>2</v>
      </c>
      <c r="H269">
        <f t="shared" si="4"/>
        <v>3</v>
      </c>
    </row>
    <row r="270" spans="1:8" x14ac:dyDescent="0.25">
      <c r="A270" s="5">
        <v>44650</v>
      </c>
      <c r="B270" s="30">
        <v>10</v>
      </c>
      <c r="C270" s="30">
        <v>0</v>
      </c>
      <c r="D270" s="30">
        <v>5</v>
      </c>
      <c r="E270" s="30">
        <v>2</v>
      </c>
      <c r="F270" s="30">
        <v>5</v>
      </c>
      <c r="G270" s="1" t="s">
        <v>0</v>
      </c>
      <c r="H270">
        <f t="shared" si="4"/>
        <v>3</v>
      </c>
    </row>
    <row r="271" spans="1:8" x14ac:dyDescent="0.25">
      <c r="A271" s="5">
        <v>44650</v>
      </c>
      <c r="B271" s="30">
        <v>10</v>
      </c>
      <c r="C271" s="30">
        <v>7</v>
      </c>
      <c r="D271" s="30">
        <v>1</v>
      </c>
      <c r="E271" s="30">
        <v>1</v>
      </c>
      <c r="F271" s="30">
        <v>3</v>
      </c>
      <c r="G271" s="1" t="s">
        <v>1</v>
      </c>
      <c r="H271">
        <f t="shared" si="4"/>
        <v>3</v>
      </c>
    </row>
    <row r="272" spans="1:8" x14ac:dyDescent="0.25">
      <c r="A272" s="5">
        <v>44650</v>
      </c>
      <c r="B272" s="30">
        <v>7</v>
      </c>
      <c r="C272" s="30">
        <v>2</v>
      </c>
      <c r="D272" s="30">
        <v>2</v>
      </c>
      <c r="E272" s="30">
        <v>1</v>
      </c>
      <c r="F272" s="30">
        <v>1</v>
      </c>
      <c r="G272" s="1" t="s">
        <v>2</v>
      </c>
      <c r="H272">
        <f t="shared" si="4"/>
        <v>3</v>
      </c>
    </row>
    <row r="273" spans="1:8" x14ac:dyDescent="0.25">
      <c r="A273" s="5">
        <v>44651</v>
      </c>
      <c r="B273" s="30">
        <v>5</v>
      </c>
      <c r="C273" s="30">
        <v>4</v>
      </c>
      <c r="D273" s="30">
        <v>7</v>
      </c>
      <c r="E273" s="30">
        <v>4</v>
      </c>
      <c r="F273" s="30">
        <v>4</v>
      </c>
      <c r="G273" s="1" t="s">
        <v>0</v>
      </c>
      <c r="H273">
        <f t="shared" si="4"/>
        <v>3</v>
      </c>
    </row>
    <row r="274" spans="1:8" x14ac:dyDescent="0.25">
      <c r="A274" s="5">
        <v>44651</v>
      </c>
      <c r="B274" s="30">
        <v>3</v>
      </c>
      <c r="C274" s="30">
        <v>6</v>
      </c>
      <c r="D274" s="30">
        <v>3</v>
      </c>
      <c r="E274" s="30">
        <v>0</v>
      </c>
      <c r="F274" s="30">
        <v>3</v>
      </c>
      <c r="G274" s="1" t="s">
        <v>1</v>
      </c>
      <c r="H274">
        <f t="shared" si="4"/>
        <v>3</v>
      </c>
    </row>
    <row r="275" spans="1:8" x14ac:dyDescent="0.25">
      <c r="A275" s="5">
        <v>44651</v>
      </c>
      <c r="B275" s="30">
        <v>3</v>
      </c>
      <c r="C275" s="30">
        <v>1</v>
      </c>
      <c r="D275" s="30">
        <v>6</v>
      </c>
      <c r="E275" s="30">
        <v>4</v>
      </c>
      <c r="F275" s="30">
        <v>4</v>
      </c>
      <c r="G275" s="1" t="s">
        <v>2</v>
      </c>
      <c r="H275">
        <f t="shared" si="4"/>
        <v>3</v>
      </c>
    </row>
    <row r="276" spans="1:8" x14ac:dyDescent="0.25">
      <c r="A276" s="5">
        <v>44652</v>
      </c>
      <c r="B276" s="30">
        <v>2</v>
      </c>
      <c r="C276" s="30">
        <v>3</v>
      </c>
      <c r="D276" s="30">
        <v>3</v>
      </c>
      <c r="E276" s="30">
        <v>4</v>
      </c>
      <c r="F276" s="30">
        <v>3</v>
      </c>
      <c r="G276" s="1" t="s">
        <v>0</v>
      </c>
      <c r="H276">
        <f t="shared" si="4"/>
        <v>4</v>
      </c>
    </row>
    <row r="277" spans="1:8" x14ac:dyDescent="0.25">
      <c r="A277" s="5">
        <v>44652</v>
      </c>
      <c r="B277" s="30">
        <v>2</v>
      </c>
      <c r="C277" s="30">
        <v>3</v>
      </c>
      <c r="D277" s="30">
        <v>5</v>
      </c>
      <c r="E277" s="30">
        <v>3</v>
      </c>
      <c r="F277" s="30">
        <v>1</v>
      </c>
      <c r="G277" s="1" t="s">
        <v>1</v>
      </c>
      <c r="H277">
        <f t="shared" si="4"/>
        <v>4</v>
      </c>
    </row>
    <row r="278" spans="1:8" x14ac:dyDescent="0.25">
      <c r="A278" s="5">
        <v>44652</v>
      </c>
      <c r="B278" s="30">
        <v>4</v>
      </c>
      <c r="C278" s="30">
        <v>3</v>
      </c>
      <c r="D278" s="30">
        <v>1</v>
      </c>
      <c r="E278" s="30">
        <v>2</v>
      </c>
      <c r="F278" s="30">
        <v>3</v>
      </c>
      <c r="G278" s="1" t="s">
        <v>2</v>
      </c>
      <c r="H278">
        <f t="shared" si="4"/>
        <v>4</v>
      </c>
    </row>
    <row r="279" spans="1:8" x14ac:dyDescent="0.25">
      <c r="A279" s="5">
        <v>44653</v>
      </c>
      <c r="B279" s="30">
        <v>7</v>
      </c>
      <c r="C279" s="30">
        <v>9</v>
      </c>
      <c r="D279" s="30">
        <v>3</v>
      </c>
      <c r="E279" s="30">
        <v>1</v>
      </c>
      <c r="F279" s="30">
        <v>2</v>
      </c>
      <c r="G279" s="1" t="s">
        <v>0</v>
      </c>
      <c r="H279">
        <f t="shared" si="4"/>
        <v>4</v>
      </c>
    </row>
    <row r="280" spans="1:8" x14ac:dyDescent="0.25">
      <c r="A280" s="5">
        <v>44653</v>
      </c>
      <c r="B280" s="30">
        <v>1</v>
      </c>
      <c r="C280" s="30">
        <v>2</v>
      </c>
      <c r="D280" s="30">
        <v>4</v>
      </c>
      <c r="E280" s="30">
        <v>2</v>
      </c>
      <c r="F280" s="30">
        <v>2</v>
      </c>
      <c r="G280" s="1" t="s">
        <v>1</v>
      </c>
      <c r="H280">
        <f t="shared" si="4"/>
        <v>4</v>
      </c>
    </row>
    <row r="281" spans="1:8" x14ac:dyDescent="0.25">
      <c r="A281" s="5">
        <v>44653</v>
      </c>
      <c r="B281" s="30">
        <v>6</v>
      </c>
      <c r="C281" s="30">
        <v>0</v>
      </c>
      <c r="D281" s="30">
        <v>0</v>
      </c>
      <c r="E281" s="30">
        <v>5</v>
      </c>
      <c r="F281" s="30">
        <v>5</v>
      </c>
      <c r="G281" s="1" t="s">
        <v>2</v>
      </c>
      <c r="H281">
        <f t="shared" si="4"/>
        <v>4</v>
      </c>
    </row>
    <row r="282" spans="1:8" x14ac:dyDescent="0.25">
      <c r="A282" s="5">
        <v>44654</v>
      </c>
      <c r="B282" s="30">
        <v>3</v>
      </c>
      <c r="C282" s="30">
        <v>3</v>
      </c>
      <c r="D282" s="30">
        <v>7</v>
      </c>
      <c r="E282" s="30">
        <v>3</v>
      </c>
      <c r="F282" s="30">
        <v>0</v>
      </c>
      <c r="G282" s="1" t="s">
        <v>0</v>
      </c>
      <c r="H282">
        <f t="shared" si="4"/>
        <v>4</v>
      </c>
    </row>
    <row r="283" spans="1:8" x14ac:dyDescent="0.25">
      <c r="A283" s="5">
        <v>44654</v>
      </c>
      <c r="B283" s="30">
        <v>10</v>
      </c>
      <c r="C283" s="30">
        <v>1</v>
      </c>
      <c r="D283" s="30">
        <v>5</v>
      </c>
      <c r="E283" s="30">
        <v>5</v>
      </c>
      <c r="F283" s="30">
        <v>1</v>
      </c>
      <c r="G283" s="1" t="s">
        <v>1</v>
      </c>
      <c r="H283">
        <f t="shared" si="4"/>
        <v>4</v>
      </c>
    </row>
    <row r="284" spans="1:8" x14ac:dyDescent="0.25">
      <c r="A284" s="5">
        <v>44654</v>
      </c>
      <c r="B284" s="30">
        <v>2</v>
      </c>
      <c r="C284" s="30">
        <v>8</v>
      </c>
      <c r="D284" s="30">
        <v>5</v>
      </c>
      <c r="E284" s="30">
        <v>8</v>
      </c>
      <c r="F284" s="30">
        <v>1</v>
      </c>
      <c r="G284" s="1" t="s">
        <v>2</v>
      </c>
      <c r="H284">
        <f t="shared" si="4"/>
        <v>4</v>
      </c>
    </row>
    <row r="285" spans="1:8" x14ac:dyDescent="0.25">
      <c r="A285" s="5">
        <v>44655</v>
      </c>
      <c r="B285" s="30">
        <v>1</v>
      </c>
      <c r="C285" s="30">
        <v>3</v>
      </c>
      <c r="D285" s="30">
        <v>5</v>
      </c>
      <c r="E285" s="30">
        <v>10</v>
      </c>
      <c r="F285" s="30">
        <v>4</v>
      </c>
      <c r="G285" s="1" t="s">
        <v>0</v>
      </c>
      <c r="H285">
        <f t="shared" si="4"/>
        <v>4</v>
      </c>
    </row>
    <row r="286" spans="1:8" x14ac:dyDescent="0.25">
      <c r="A286" s="5">
        <v>44655</v>
      </c>
      <c r="B286" s="30">
        <v>5</v>
      </c>
      <c r="C286" s="30">
        <v>0</v>
      </c>
      <c r="D286" s="30">
        <v>7</v>
      </c>
      <c r="E286" s="30">
        <v>3</v>
      </c>
      <c r="F286" s="30">
        <v>8</v>
      </c>
      <c r="G286" s="1" t="s">
        <v>1</v>
      </c>
      <c r="H286">
        <f t="shared" si="4"/>
        <v>4</v>
      </c>
    </row>
    <row r="287" spans="1:8" x14ac:dyDescent="0.25">
      <c r="A287" s="5">
        <v>44655</v>
      </c>
      <c r="B287" s="30">
        <v>3</v>
      </c>
      <c r="C287" s="30">
        <v>2</v>
      </c>
      <c r="D287" s="30">
        <v>0</v>
      </c>
      <c r="E287" s="30">
        <v>1</v>
      </c>
      <c r="F287" s="30">
        <v>6</v>
      </c>
      <c r="G287" s="1" t="s">
        <v>2</v>
      </c>
      <c r="H287">
        <f t="shared" si="4"/>
        <v>4</v>
      </c>
    </row>
    <row r="288" spans="1:8" x14ac:dyDescent="0.25">
      <c r="A288" s="5">
        <v>44656</v>
      </c>
      <c r="B288" s="30">
        <v>1</v>
      </c>
      <c r="C288" s="30">
        <v>1</v>
      </c>
      <c r="D288" s="30">
        <v>1</v>
      </c>
      <c r="E288" s="30">
        <v>1</v>
      </c>
      <c r="F288" s="30">
        <v>5</v>
      </c>
      <c r="G288" s="1" t="s">
        <v>0</v>
      </c>
      <c r="H288">
        <f t="shared" si="4"/>
        <v>4</v>
      </c>
    </row>
    <row r="289" spans="1:8" x14ac:dyDescent="0.25">
      <c r="A289" s="5">
        <v>44656</v>
      </c>
      <c r="B289" s="30">
        <v>3</v>
      </c>
      <c r="C289" s="30">
        <v>7</v>
      </c>
      <c r="D289" s="30">
        <v>2</v>
      </c>
      <c r="E289" s="30">
        <v>8</v>
      </c>
      <c r="F289" s="30">
        <v>7</v>
      </c>
      <c r="G289" s="1" t="s">
        <v>1</v>
      </c>
      <c r="H289">
        <f t="shared" si="4"/>
        <v>4</v>
      </c>
    </row>
    <row r="290" spans="1:8" x14ac:dyDescent="0.25">
      <c r="A290" s="5">
        <v>44656</v>
      </c>
      <c r="B290" s="30">
        <v>8</v>
      </c>
      <c r="C290" s="30">
        <v>0</v>
      </c>
      <c r="D290" s="30">
        <v>3</v>
      </c>
      <c r="E290" s="30">
        <v>4</v>
      </c>
      <c r="F290" s="30">
        <v>4</v>
      </c>
      <c r="G290" s="1" t="s">
        <v>2</v>
      </c>
      <c r="H290">
        <f t="shared" si="4"/>
        <v>4</v>
      </c>
    </row>
    <row r="291" spans="1:8" x14ac:dyDescent="0.25">
      <c r="A291" s="5">
        <v>44657</v>
      </c>
      <c r="B291" s="30">
        <v>6</v>
      </c>
      <c r="C291" s="30">
        <v>3</v>
      </c>
      <c r="D291" s="30">
        <v>2</v>
      </c>
      <c r="E291" s="30">
        <v>3</v>
      </c>
      <c r="F291" s="30">
        <v>2</v>
      </c>
      <c r="G291" s="1" t="s">
        <v>0</v>
      </c>
      <c r="H291">
        <f t="shared" si="4"/>
        <v>4</v>
      </c>
    </row>
    <row r="292" spans="1:8" x14ac:dyDescent="0.25">
      <c r="A292" s="5">
        <v>44657</v>
      </c>
      <c r="B292" s="30">
        <v>4</v>
      </c>
      <c r="C292" s="30">
        <v>5</v>
      </c>
      <c r="D292" s="30">
        <v>1</v>
      </c>
      <c r="E292" s="30">
        <v>0</v>
      </c>
      <c r="F292" s="30">
        <v>10</v>
      </c>
      <c r="G292" s="1" t="s">
        <v>1</v>
      </c>
      <c r="H292">
        <f t="shared" si="4"/>
        <v>4</v>
      </c>
    </row>
    <row r="293" spans="1:8" x14ac:dyDescent="0.25">
      <c r="A293" s="5">
        <v>44657</v>
      </c>
      <c r="B293" s="30">
        <v>10</v>
      </c>
      <c r="C293" s="30">
        <v>5</v>
      </c>
      <c r="D293" s="30">
        <v>2</v>
      </c>
      <c r="E293" s="30">
        <v>1</v>
      </c>
      <c r="F293" s="30">
        <v>1</v>
      </c>
      <c r="G293" s="1" t="s">
        <v>2</v>
      </c>
      <c r="H293">
        <f t="shared" si="4"/>
        <v>4</v>
      </c>
    </row>
    <row r="294" spans="1:8" x14ac:dyDescent="0.25">
      <c r="A294" s="5">
        <v>44658</v>
      </c>
      <c r="B294" s="30">
        <v>2</v>
      </c>
      <c r="C294" s="30">
        <v>10</v>
      </c>
      <c r="D294" s="30">
        <v>0</v>
      </c>
      <c r="E294" s="30">
        <v>0</v>
      </c>
      <c r="F294" s="30">
        <v>5</v>
      </c>
      <c r="G294" s="1" t="s">
        <v>0</v>
      </c>
      <c r="H294">
        <f t="shared" si="4"/>
        <v>4</v>
      </c>
    </row>
    <row r="295" spans="1:8" x14ac:dyDescent="0.25">
      <c r="A295" s="5">
        <v>44658</v>
      </c>
      <c r="B295" s="30">
        <v>3</v>
      </c>
      <c r="C295" s="30">
        <v>9</v>
      </c>
      <c r="D295" s="30">
        <v>7</v>
      </c>
      <c r="E295" s="30">
        <v>4</v>
      </c>
      <c r="F295" s="30">
        <v>4</v>
      </c>
      <c r="G295" s="1" t="s">
        <v>1</v>
      </c>
      <c r="H295">
        <f t="shared" si="4"/>
        <v>4</v>
      </c>
    </row>
    <row r="296" spans="1:8" x14ac:dyDescent="0.25">
      <c r="A296" s="5">
        <v>44658</v>
      </c>
      <c r="B296" s="30">
        <v>1</v>
      </c>
      <c r="C296" s="30">
        <v>3</v>
      </c>
      <c r="D296" s="30">
        <v>8</v>
      </c>
      <c r="E296" s="30">
        <v>2</v>
      </c>
      <c r="F296" s="30">
        <v>8</v>
      </c>
      <c r="G296" s="1" t="s">
        <v>2</v>
      </c>
      <c r="H296">
        <f t="shared" si="4"/>
        <v>4</v>
      </c>
    </row>
    <row r="297" spans="1:8" x14ac:dyDescent="0.25">
      <c r="A297" s="5">
        <v>44659</v>
      </c>
      <c r="B297" s="30">
        <v>4</v>
      </c>
      <c r="C297" s="30">
        <v>1</v>
      </c>
      <c r="D297" s="30">
        <v>1</v>
      </c>
      <c r="E297" s="30">
        <v>2</v>
      </c>
      <c r="F297" s="30">
        <v>8</v>
      </c>
      <c r="G297" s="1" t="s">
        <v>0</v>
      </c>
      <c r="H297">
        <f t="shared" si="4"/>
        <v>4</v>
      </c>
    </row>
    <row r="298" spans="1:8" x14ac:dyDescent="0.25">
      <c r="A298" s="5">
        <v>44659</v>
      </c>
      <c r="B298" s="30">
        <v>3</v>
      </c>
      <c r="C298" s="30">
        <v>3</v>
      </c>
      <c r="D298" s="30">
        <v>3</v>
      </c>
      <c r="E298" s="30">
        <v>3</v>
      </c>
      <c r="F298" s="30">
        <v>4</v>
      </c>
      <c r="G298" s="1" t="s">
        <v>1</v>
      </c>
      <c r="H298">
        <f t="shared" si="4"/>
        <v>4</v>
      </c>
    </row>
    <row r="299" spans="1:8" x14ac:dyDescent="0.25">
      <c r="A299" s="5">
        <v>44659</v>
      </c>
      <c r="B299" s="30">
        <v>5</v>
      </c>
      <c r="C299" s="30">
        <v>3</v>
      </c>
      <c r="D299" s="30">
        <v>2</v>
      </c>
      <c r="E299" s="30">
        <v>2</v>
      </c>
      <c r="F299" s="30">
        <v>1</v>
      </c>
      <c r="G299" s="1" t="s">
        <v>2</v>
      </c>
      <c r="H299">
        <f t="shared" si="4"/>
        <v>4</v>
      </c>
    </row>
    <row r="300" spans="1:8" x14ac:dyDescent="0.25">
      <c r="A300" s="5">
        <v>44660</v>
      </c>
      <c r="B300" s="30">
        <v>10</v>
      </c>
      <c r="C300" s="30">
        <v>7</v>
      </c>
      <c r="D300" s="30">
        <v>5</v>
      </c>
      <c r="E300" s="30">
        <v>8</v>
      </c>
      <c r="F300" s="30">
        <v>4</v>
      </c>
      <c r="G300" s="1" t="s">
        <v>0</v>
      </c>
      <c r="H300">
        <f t="shared" si="4"/>
        <v>4</v>
      </c>
    </row>
    <row r="301" spans="1:8" x14ac:dyDescent="0.25">
      <c r="A301" s="5">
        <v>44660</v>
      </c>
      <c r="B301" s="30">
        <v>8</v>
      </c>
      <c r="C301" s="30">
        <v>3</v>
      </c>
      <c r="D301" s="30">
        <v>1</v>
      </c>
      <c r="E301" s="30">
        <v>4</v>
      </c>
      <c r="F301" s="30">
        <v>2</v>
      </c>
      <c r="G301" s="1" t="s">
        <v>1</v>
      </c>
      <c r="H301">
        <f t="shared" si="4"/>
        <v>4</v>
      </c>
    </row>
    <row r="302" spans="1:8" x14ac:dyDescent="0.25">
      <c r="A302" s="5">
        <v>44660</v>
      </c>
      <c r="B302" s="30">
        <v>0</v>
      </c>
      <c r="C302" s="30">
        <v>6</v>
      </c>
      <c r="D302" s="30">
        <v>3</v>
      </c>
      <c r="E302" s="30">
        <v>10</v>
      </c>
      <c r="F302" s="30">
        <v>2</v>
      </c>
      <c r="G302" s="1" t="s">
        <v>2</v>
      </c>
      <c r="H302">
        <f t="shared" si="4"/>
        <v>4</v>
      </c>
    </row>
    <row r="303" spans="1:8" x14ac:dyDescent="0.25">
      <c r="A303" s="5">
        <v>44661</v>
      </c>
      <c r="B303" s="30">
        <v>2</v>
      </c>
      <c r="C303" s="30">
        <v>1</v>
      </c>
      <c r="D303" s="30">
        <v>7</v>
      </c>
      <c r="E303" s="30">
        <v>2</v>
      </c>
      <c r="F303" s="30">
        <v>9</v>
      </c>
      <c r="G303" s="1" t="s">
        <v>0</v>
      </c>
      <c r="H303">
        <f t="shared" si="4"/>
        <v>4</v>
      </c>
    </row>
    <row r="304" spans="1:8" x14ac:dyDescent="0.25">
      <c r="A304" s="5">
        <v>44661</v>
      </c>
      <c r="B304" s="30">
        <v>3</v>
      </c>
      <c r="C304" s="30">
        <v>1</v>
      </c>
      <c r="D304" s="30">
        <v>0</v>
      </c>
      <c r="E304" s="30">
        <v>1</v>
      </c>
      <c r="F304" s="30">
        <v>4</v>
      </c>
      <c r="G304" s="1" t="s">
        <v>1</v>
      </c>
      <c r="H304">
        <f t="shared" si="4"/>
        <v>4</v>
      </c>
    </row>
    <row r="305" spans="1:8" x14ac:dyDescent="0.25">
      <c r="A305" s="5">
        <v>44661</v>
      </c>
      <c r="B305" s="30">
        <v>2</v>
      </c>
      <c r="C305" s="30">
        <v>5</v>
      </c>
      <c r="D305" s="30">
        <v>3</v>
      </c>
      <c r="E305" s="30">
        <v>1</v>
      </c>
      <c r="F305" s="30">
        <v>1</v>
      </c>
      <c r="G305" s="1" t="s">
        <v>2</v>
      </c>
      <c r="H305">
        <f t="shared" si="4"/>
        <v>4</v>
      </c>
    </row>
    <row r="306" spans="1:8" x14ac:dyDescent="0.25">
      <c r="A306" s="5">
        <v>44662</v>
      </c>
      <c r="B306" s="30">
        <v>8</v>
      </c>
      <c r="C306" s="30">
        <v>3</v>
      </c>
      <c r="D306" s="30">
        <v>3</v>
      </c>
      <c r="E306" s="30">
        <v>0</v>
      </c>
      <c r="F306" s="30">
        <v>1</v>
      </c>
      <c r="G306" s="1" t="s">
        <v>0</v>
      </c>
      <c r="H306">
        <f t="shared" si="4"/>
        <v>4</v>
      </c>
    </row>
    <row r="307" spans="1:8" x14ac:dyDescent="0.25">
      <c r="A307" s="5">
        <v>44662</v>
      </c>
      <c r="B307" s="30">
        <v>2</v>
      </c>
      <c r="C307" s="30">
        <v>5</v>
      </c>
      <c r="D307" s="30">
        <v>10</v>
      </c>
      <c r="E307" s="30">
        <v>1</v>
      </c>
      <c r="F307" s="30">
        <v>3</v>
      </c>
      <c r="G307" s="1" t="s">
        <v>1</v>
      </c>
      <c r="H307">
        <f t="shared" si="4"/>
        <v>4</v>
      </c>
    </row>
    <row r="308" spans="1:8" x14ac:dyDescent="0.25">
      <c r="A308" s="5">
        <v>44662</v>
      </c>
      <c r="B308" s="30">
        <v>5</v>
      </c>
      <c r="C308" s="30">
        <v>3</v>
      </c>
      <c r="D308" s="30">
        <v>4</v>
      </c>
      <c r="E308" s="30">
        <v>1</v>
      </c>
      <c r="F308" s="30">
        <v>4</v>
      </c>
      <c r="G308" s="1" t="s">
        <v>2</v>
      </c>
      <c r="H308">
        <f t="shared" si="4"/>
        <v>4</v>
      </c>
    </row>
    <row r="309" spans="1:8" x14ac:dyDescent="0.25">
      <c r="A309" s="5">
        <v>44663</v>
      </c>
      <c r="B309" s="30">
        <v>5</v>
      </c>
      <c r="C309" s="30">
        <v>3</v>
      </c>
      <c r="D309" s="30">
        <v>5</v>
      </c>
      <c r="E309" s="30">
        <v>3</v>
      </c>
      <c r="F309" s="30">
        <v>3</v>
      </c>
      <c r="G309" s="1" t="s">
        <v>0</v>
      </c>
      <c r="H309">
        <f t="shared" si="4"/>
        <v>4</v>
      </c>
    </row>
    <row r="310" spans="1:8" x14ac:dyDescent="0.25">
      <c r="A310" s="5">
        <v>44663</v>
      </c>
      <c r="B310" s="30">
        <v>3</v>
      </c>
      <c r="C310" s="30">
        <v>3</v>
      </c>
      <c r="D310" s="30">
        <v>6</v>
      </c>
      <c r="E310" s="30">
        <v>4</v>
      </c>
      <c r="F310" s="30">
        <v>3</v>
      </c>
      <c r="G310" s="1" t="s">
        <v>1</v>
      </c>
      <c r="H310">
        <f t="shared" si="4"/>
        <v>4</v>
      </c>
    </row>
    <row r="311" spans="1:8" x14ac:dyDescent="0.25">
      <c r="A311" s="5">
        <v>44663</v>
      </c>
      <c r="B311" s="30">
        <v>6</v>
      </c>
      <c r="C311" s="30">
        <v>3</v>
      </c>
      <c r="D311" s="30">
        <v>1</v>
      </c>
      <c r="E311" s="30">
        <v>4</v>
      </c>
      <c r="F311" s="30">
        <v>2</v>
      </c>
      <c r="G311" s="1" t="s">
        <v>2</v>
      </c>
      <c r="H311">
        <f t="shared" si="4"/>
        <v>4</v>
      </c>
    </row>
    <row r="312" spans="1:8" x14ac:dyDescent="0.25">
      <c r="A312" s="5">
        <v>44664</v>
      </c>
      <c r="B312" s="30">
        <v>3</v>
      </c>
      <c r="C312" s="30">
        <v>5</v>
      </c>
      <c r="D312" s="30">
        <v>6</v>
      </c>
      <c r="E312" s="30">
        <v>4</v>
      </c>
      <c r="F312" s="30">
        <v>3</v>
      </c>
      <c r="G312" s="1" t="s">
        <v>0</v>
      </c>
      <c r="H312">
        <f t="shared" si="4"/>
        <v>4</v>
      </c>
    </row>
    <row r="313" spans="1:8" x14ac:dyDescent="0.25">
      <c r="A313" s="5">
        <v>44664</v>
      </c>
      <c r="B313" s="30">
        <v>2</v>
      </c>
      <c r="C313" s="30">
        <v>10</v>
      </c>
      <c r="D313" s="30">
        <v>7</v>
      </c>
      <c r="E313" s="30">
        <v>6</v>
      </c>
      <c r="F313" s="30">
        <v>1</v>
      </c>
      <c r="G313" s="1" t="s">
        <v>1</v>
      </c>
      <c r="H313">
        <f t="shared" si="4"/>
        <v>4</v>
      </c>
    </row>
    <row r="314" spans="1:8" x14ac:dyDescent="0.25">
      <c r="A314" s="5">
        <v>44664</v>
      </c>
      <c r="B314" s="30">
        <v>3</v>
      </c>
      <c r="C314" s="30">
        <v>2</v>
      </c>
      <c r="D314" s="30">
        <v>4</v>
      </c>
      <c r="E314" s="30">
        <v>3</v>
      </c>
      <c r="F314" s="30">
        <v>3</v>
      </c>
      <c r="G314" s="1" t="s">
        <v>2</v>
      </c>
      <c r="H314">
        <f t="shared" si="4"/>
        <v>4</v>
      </c>
    </row>
    <row r="315" spans="1:8" x14ac:dyDescent="0.25">
      <c r="A315" s="5">
        <v>44665</v>
      </c>
      <c r="B315" s="30">
        <v>3</v>
      </c>
      <c r="C315" s="30">
        <v>1</v>
      </c>
      <c r="D315" s="30">
        <v>3</v>
      </c>
      <c r="E315" s="30">
        <v>2</v>
      </c>
      <c r="F315" s="30">
        <v>0</v>
      </c>
      <c r="G315" s="1" t="s">
        <v>0</v>
      </c>
      <c r="H315">
        <f t="shared" si="4"/>
        <v>4</v>
      </c>
    </row>
    <row r="316" spans="1:8" x14ac:dyDescent="0.25">
      <c r="A316" s="5">
        <v>44665</v>
      </c>
      <c r="B316" s="30">
        <v>2</v>
      </c>
      <c r="C316" s="30">
        <v>5</v>
      </c>
      <c r="D316" s="30">
        <v>6</v>
      </c>
      <c r="E316" s="30">
        <v>3</v>
      </c>
      <c r="F316" s="30">
        <v>1</v>
      </c>
      <c r="G316" s="1" t="s">
        <v>1</v>
      </c>
      <c r="H316">
        <f t="shared" si="4"/>
        <v>4</v>
      </c>
    </row>
    <row r="317" spans="1:8" x14ac:dyDescent="0.25">
      <c r="A317" s="5">
        <v>44665</v>
      </c>
      <c r="B317" s="30">
        <v>8</v>
      </c>
      <c r="C317" s="30">
        <v>2</v>
      </c>
      <c r="D317" s="30">
        <v>0</v>
      </c>
      <c r="E317" s="30">
        <v>6</v>
      </c>
      <c r="F317" s="30">
        <v>2</v>
      </c>
      <c r="G317" s="1" t="s">
        <v>2</v>
      </c>
      <c r="H317">
        <f t="shared" si="4"/>
        <v>4</v>
      </c>
    </row>
    <row r="318" spans="1:8" x14ac:dyDescent="0.25">
      <c r="A318" s="5">
        <v>44666</v>
      </c>
      <c r="B318" s="30">
        <v>8</v>
      </c>
      <c r="C318" s="30">
        <v>3</v>
      </c>
      <c r="D318" s="30">
        <v>1</v>
      </c>
      <c r="E318" s="30">
        <v>1</v>
      </c>
      <c r="F318" s="30">
        <v>4</v>
      </c>
      <c r="G318" s="1" t="s">
        <v>0</v>
      </c>
      <c r="H318">
        <f t="shared" si="4"/>
        <v>4</v>
      </c>
    </row>
    <row r="319" spans="1:8" x14ac:dyDescent="0.25">
      <c r="A319" s="5">
        <v>44666</v>
      </c>
      <c r="B319" s="30">
        <v>3</v>
      </c>
      <c r="C319" s="30">
        <v>10</v>
      </c>
      <c r="D319" s="30">
        <v>6</v>
      </c>
      <c r="E319" s="30">
        <v>5</v>
      </c>
      <c r="F319" s="30">
        <v>1</v>
      </c>
      <c r="G319" s="1" t="s">
        <v>1</v>
      </c>
      <c r="H319">
        <f t="shared" si="4"/>
        <v>4</v>
      </c>
    </row>
    <row r="320" spans="1:8" x14ac:dyDescent="0.25">
      <c r="A320" s="5">
        <v>44666</v>
      </c>
      <c r="B320" s="30">
        <v>2</v>
      </c>
      <c r="C320" s="30">
        <v>1</v>
      </c>
      <c r="D320" s="30">
        <v>2</v>
      </c>
      <c r="E320" s="30">
        <v>2</v>
      </c>
      <c r="F320" s="30">
        <v>8</v>
      </c>
      <c r="G320" s="1" t="s">
        <v>2</v>
      </c>
      <c r="H320">
        <f t="shared" si="4"/>
        <v>4</v>
      </c>
    </row>
    <row r="321" spans="1:8" x14ac:dyDescent="0.25">
      <c r="A321" s="5">
        <v>44667</v>
      </c>
      <c r="B321" s="30">
        <v>1</v>
      </c>
      <c r="C321" s="30">
        <v>8</v>
      </c>
      <c r="D321" s="30">
        <v>0</v>
      </c>
      <c r="E321" s="30">
        <v>5</v>
      </c>
      <c r="F321" s="30">
        <v>2</v>
      </c>
      <c r="G321" s="1" t="s">
        <v>0</v>
      </c>
      <c r="H321">
        <f t="shared" si="4"/>
        <v>4</v>
      </c>
    </row>
    <row r="322" spans="1:8" x14ac:dyDescent="0.25">
      <c r="A322" s="5">
        <v>44667</v>
      </c>
      <c r="B322" s="30">
        <v>2</v>
      </c>
      <c r="C322" s="30">
        <v>1</v>
      </c>
      <c r="D322" s="30">
        <v>5</v>
      </c>
      <c r="E322" s="30">
        <v>3</v>
      </c>
      <c r="F322" s="30">
        <v>3</v>
      </c>
      <c r="G322" s="1" t="s">
        <v>1</v>
      </c>
      <c r="H322">
        <f t="shared" si="4"/>
        <v>4</v>
      </c>
    </row>
    <row r="323" spans="1:8" x14ac:dyDescent="0.25">
      <c r="A323" s="5">
        <v>44667</v>
      </c>
      <c r="B323" s="30">
        <v>4</v>
      </c>
      <c r="C323" s="30">
        <v>3</v>
      </c>
      <c r="D323" s="30">
        <v>4</v>
      </c>
      <c r="E323" s="30">
        <v>1</v>
      </c>
      <c r="F323" s="30">
        <v>2</v>
      </c>
      <c r="G323" s="1" t="s">
        <v>2</v>
      </c>
      <c r="H323">
        <f t="shared" si="4"/>
        <v>4</v>
      </c>
    </row>
    <row r="324" spans="1:8" x14ac:dyDescent="0.25">
      <c r="A324" s="5">
        <v>44668</v>
      </c>
      <c r="B324" s="30">
        <v>4</v>
      </c>
      <c r="C324" s="30">
        <v>4</v>
      </c>
      <c r="D324" s="30">
        <v>2</v>
      </c>
      <c r="E324" s="30">
        <v>7</v>
      </c>
      <c r="F324" s="30">
        <v>8</v>
      </c>
      <c r="G324" s="1" t="s">
        <v>0</v>
      </c>
      <c r="H324">
        <f t="shared" ref="H324:H387" si="5">MONTH(A324)</f>
        <v>4</v>
      </c>
    </row>
    <row r="325" spans="1:8" x14ac:dyDescent="0.25">
      <c r="A325" s="5">
        <v>44668</v>
      </c>
      <c r="B325" s="30">
        <v>1</v>
      </c>
      <c r="C325" s="30">
        <v>2</v>
      </c>
      <c r="D325" s="30">
        <v>2</v>
      </c>
      <c r="E325" s="30">
        <v>3</v>
      </c>
      <c r="F325" s="30">
        <v>4</v>
      </c>
      <c r="G325" s="1" t="s">
        <v>1</v>
      </c>
      <c r="H325">
        <f t="shared" si="5"/>
        <v>4</v>
      </c>
    </row>
    <row r="326" spans="1:8" x14ac:dyDescent="0.25">
      <c r="A326" s="5">
        <v>44668</v>
      </c>
      <c r="B326" s="30">
        <v>2</v>
      </c>
      <c r="C326" s="30">
        <v>8</v>
      </c>
      <c r="D326" s="30">
        <v>3</v>
      </c>
      <c r="E326" s="30">
        <v>5</v>
      </c>
      <c r="F326" s="30">
        <v>6</v>
      </c>
      <c r="G326" s="1" t="s">
        <v>2</v>
      </c>
      <c r="H326">
        <f t="shared" si="5"/>
        <v>4</v>
      </c>
    </row>
    <row r="327" spans="1:8" x14ac:dyDescent="0.25">
      <c r="A327" s="5">
        <v>44669</v>
      </c>
      <c r="B327" s="30">
        <v>0</v>
      </c>
      <c r="C327" s="30">
        <v>6</v>
      </c>
      <c r="D327" s="30">
        <v>1</v>
      </c>
      <c r="E327" s="30">
        <v>5</v>
      </c>
      <c r="F327" s="30">
        <v>1</v>
      </c>
      <c r="G327" s="1" t="s">
        <v>0</v>
      </c>
      <c r="H327">
        <f t="shared" si="5"/>
        <v>4</v>
      </c>
    </row>
    <row r="328" spans="1:8" x14ac:dyDescent="0.25">
      <c r="A328" s="5">
        <v>44669</v>
      </c>
      <c r="B328" s="30">
        <v>3</v>
      </c>
      <c r="C328" s="30">
        <v>3</v>
      </c>
      <c r="D328" s="30">
        <v>8</v>
      </c>
      <c r="E328" s="30">
        <v>3</v>
      </c>
      <c r="F328" s="30">
        <v>4</v>
      </c>
      <c r="G328" s="1" t="s">
        <v>1</v>
      </c>
      <c r="H328">
        <f t="shared" si="5"/>
        <v>4</v>
      </c>
    </row>
    <row r="329" spans="1:8" x14ac:dyDescent="0.25">
      <c r="A329" s="5">
        <v>44669</v>
      </c>
      <c r="B329" s="30">
        <v>1</v>
      </c>
      <c r="C329" s="30">
        <v>2</v>
      </c>
      <c r="D329" s="30">
        <v>0</v>
      </c>
      <c r="E329" s="30">
        <v>6</v>
      </c>
      <c r="F329" s="30">
        <v>3</v>
      </c>
      <c r="G329" s="1" t="s">
        <v>2</v>
      </c>
      <c r="H329">
        <f t="shared" si="5"/>
        <v>4</v>
      </c>
    </row>
    <row r="330" spans="1:8" x14ac:dyDescent="0.25">
      <c r="A330" s="5">
        <v>44670</v>
      </c>
      <c r="B330" s="30">
        <v>1</v>
      </c>
      <c r="C330" s="30">
        <v>2</v>
      </c>
      <c r="D330" s="30">
        <v>6</v>
      </c>
      <c r="E330" s="30">
        <v>3</v>
      </c>
      <c r="F330" s="30">
        <v>5</v>
      </c>
      <c r="G330" s="1" t="s">
        <v>0</v>
      </c>
      <c r="H330">
        <f t="shared" si="5"/>
        <v>4</v>
      </c>
    </row>
    <row r="331" spans="1:8" x14ac:dyDescent="0.25">
      <c r="A331" s="5">
        <v>44670</v>
      </c>
      <c r="B331" s="30">
        <v>10</v>
      </c>
      <c r="C331" s="30">
        <v>10</v>
      </c>
      <c r="D331" s="30">
        <v>5</v>
      </c>
      <c r="E331" s="30">
        <v>6</v>
      </c>
      <c r="F331" s="30">
        <v>4</v>
      </c>
      <c r="G331" s="1" t="s">
        <v>1</v>
      </c>
      <c r="H331">
        <f t="shared" si="5"/>
        <v>4</v>
      </c>
    </row>
    <row r="332" spans="1:8" x14ac:dyDescent="0.25">
      <c r="A332" s="5">
        <v>44670</v>
      </c>
      <c r="B332" s="30">
        <v>0</v>
      </c>
      <c r="C332" s="30">
        <v>2</v>
      </c>
      <c r="D332" s="30">
        <v>2</v>
      </c>
      <c r="E332" s="30">
        <v>0</v>
      </c>
      <c r="F332" s="30">
        <v>3</v>
      </c>
      <c r="G332" s="1" t="s">
        <v>2</v>
      </c>
      <c r="H332">
        <f t="shared" si="5"/>
        <v>4</v>
      </c>
    </row>
    <row r="333" spans="1:8" x14ac:dyDescent="0.25">
      <c r="A333" s="5">
        <v>44671</v>
      </c>
      <c r="B333" s="30">
        <v>1</v>
      </c>
      <c r="C333" s="30">
        <v>5</v>
      </c>
      <c r="D333" s="30">
        <v>1</v>
      </c>
      <c r="E333" s="30">
        <v>0</v>
      </c>
      <c r="F333" s="30">
        <v>7</v>
      </c>
      <c r="G333" s="1" t="s">
        <v>0</v>
      </c>
      <c r="H333">
        <f t="shared" si="5"/>
        <v>4</v>
      </c>
    </row>
    <row r="334" spans="1:8" x14ac:dyDescent="0.25">
      <c r="A334" s="5">
        <v>44671</v>
      </c>
      <c r="B334" s="30">
        <v>3</v>
      </c>
      <c r="C334" s="30">
        <v>10</v>
      </c>
      <c r="D334" s="30">
        <v>3</v>
      </c>
      <c r="E334" s="30">
        <v>1</v>
      </c>
      <c r="F334" s="30">
        <v>2</v>
      </c>
      <c r="G334" s="1" t="s">
        <v>1</v>
      </c>
      <c r="H334">
        <f t="shared" si="5"/>
        <v>4</v>
      </c>
    </row>
    <row r="335" spans="1:8" x14ac:dyDescent="0.25">
      <c r="A335" s="5">
        <v>44671</v>
      </c>
      <c r="B335" s="30">
        <v>4</v>
      </c>
      <c r="C335" s="30">
        <v>3</v>
      </c>
      <c r="D335" s="30">
        <v>5</v>
      </c>
      <c r="E335" s="30">
        <v>2</v>
      </c>
      <c r="F335" s="30">
        <v>2</v>
      </c>
      <c r="G335" s="1" t="s">
        <v>2</v>
      </c>
      <c r="H335">
        <f t="shared" si="5"/>
        <v>4</v>
      </c>
    </row>
    <row r="336" spans="1:8" x14ac:dyDescent="0.25">
      <c r="A336" s="5">
        <v>44672</v>
      </c>
      <c r="B336" s="30">
        <v>3</v>
      </c>
      <c r="C336" s="30">
        <v>2</v>
      </c>
      <c r="D336" s="30">
        <v>2</v>
      </c>
      <c r="E336" s="30">
        <v>4</v>
      </c>
      <c r="F336" s="30">
        <v>2</v>
      </c>
      <c r="G336" s="1" t="s">
        <v>0</v>
      </c>
      <c r="H336">
        <f t="shared" si="5"/>
        <v>4</v>
      </c>
    </row>
    <row r="337" spans="1:8" x14ac:dyDescent="0.25">
      <c r="A337" s="5">
        <v>44672</v>
      </c>
      <c r="B337" s="30">
        <v>4</v>
      </c>
      <c r="C337" s="30">
        <v>1</v>
      </c>
      <c r="D337" s="30">
        <v>3</v>
      </c>
      <c r="E337" s="30">
        <v>6</v>
      </c>
      <c r="F337" s="30">
        <v>3</v>
      </c>
      <c r="G337" s="1" t="s">
        <v>1</v>
      </c>
      <c r="H337">
        <f t="shared" si="5"/>
        <v>4</v>
      </c>
    </row>
    <row r="338" spans="1:8" x14ac:dyDescent="0.25">
      <c r="A338" s="5">
        <v>44672</v>
      </c>
      <c r="B338" s="30">
        <v>3</v>
      </c>
      <c r="C338" s="30">
        <v>6</v>
      </c>
      <c r="D338" s="30">
        <v>2</v>
      </c>
      <c r="E338" s="30">
        <v>6</v>
      </c>
      <c r="F338" s="30">
        <v>0</v>
      </c>
      <c r="G338" s="1" t="s">
        <v>2</v>
      </c>
      <c r="H338">
        <f t="shared" si="5"/>
        <v>4</v>
      </c>
    </row>
    <row r="339" spans="1:8" x14ac:dyDescent="0.25">
      <c r="A339" s="5">
        <v>44673</v>
      </c>
      <c r="B339" s="30">
        <v>0</v>
      </c>
      <c r="C339" s="30">
        <v>0</v>
      </c>
      <c r="D339" s="30">
        <v>8</v>
      </c>
      <c r="E339" s="30">
        <v>4</v>
      </c>
      <c r="F339" s="30">
        <v>2</v>
      </c>
      <c r="G339" s="1" t="s">
        <v>0</v>
      </c>
      <c r="H339">
        <f t="shared" si="5"/>
        <v>4</v>
      </c>
    </row>
    <row r="340" spans="1:8" x14ac:dyDescent="0.25">
      <c r="A340" s="5">
        <v>44673</v>
      </c>
      <c r="B340" s="30">
        <v>4</v>
      </c>
      <c r="C340" s="30">
        <v>3</v>
      </c>
      <c r="D340" s="30">
        <v>3</v>
      </c>
      <c r="E340" s="30">
        <v>3</v>
      </c>
      <c r="F340" s="30">
        <v>2</v>
      </c>
      <c r="G340" s="1" t="s">
        <v>1</v>
      </c>
      <c r="H340">
        <f t="shared" si="5"/>
        <v>4</v>
      </c>
    </row>
    <row r="341" spans="1:8" x14ac:dyDescent="0.25">
      <c r="A341" s="5">
        <v>44673</v>
      </c>
      <c r="B341" s="30">
        <v>5</v>
      </c>
      <c r="C341" s="30">
        <v>5</v>
      </c>
      <c r="D341" s="30">
        <v>8</v>
      </c>
      <c r="E341" s="30">
        <v>2</v>
      </c>
      <c r="F341" s="30">
        <v>2</v>
      </c>
      <c r="G341" s="1" t="s">
        <v>2</v>
      </c>
      <c r="H341">
        <f t="shared" si="5"/>
        <v>4</v>
      </c>
    </row>
    <row r="342" spans="1:8" x14ac:dyDescent="0.25">
      <c r="A342" s="5">
        <v>44674</v>
      </c>
      <c r="B342" s="30">
        <v>8</v>
      </c>
      <c r="C342" s="30">
        <v>7</v>
      </c>
      <c r="D342" s="30">
        <v>5</v>
      </c>
      <c r="E342" s="30">
        <v>4</v>
      </c>
      <c r="F342" s="30">
        <v>3</v>
      </c>
      <c r="G342" s="1" t="s">
        <v>0</v>
      </c>
      <c r="H342">
        <f t="shared" si="5"/>
        <v>4</v>
      </c>
    </row>
    <row r="343" spans="1:8" x14ac:dyDescent="0.25">
      <c r="A343" s="5">
        <v>44674</v>
      </c>
      <c r="B343" s="30">
        <v>3</v>
      </c>
      <c r="C343" s="30">
        <v>1</v>
      </c>
      <c r="D343" s="30">
        <v>1</v>
      </c>
      <c r="E343" s="30">
        <v>2</v>
      </c>
      <c r="F343" s="30">
        <v>1</v>
      </c>
      <c r="G343" s="1" t="s">
        <v>1</v>
      </c>
      <c r="H343">
        <f t="shared" si="5"/>
        <v>4</v>
      </c>
    </row>
    <row r="344" spans="1:8" x14ac:dyDescent="0.25">
      <c r="A344" s="5">
        <v>44674</v>
      </c>
      <c r="B344" s="30">
        <v>3</v>
      </c>
      <c r="C344" s="30">
        <v>3</v>
      </c>
      <c r="D344" s="30">
        <v>3</v>
      </c>
      <c r="E344" s="30">
        <v>5</v>
      </c>
      <c r="F344" s="30">
        <v>1</v>
      </c>
      <c r="G344" s="1" t="s">
        <v>2</v>
      </c>
      <c r="H344">
        <f t="shared" si="5"/>
        <v>4</v>
      </c>
    </row>
    <row r="345" spans="1:8" x14ac:dyDescent="0.25">
      <c r="A345" s="5">
        <v>44675</v>
      </c>
      <c r="B345" s="30">
        <v>0</v>
      </c>
      <c r="C345" s="30">
        <v>3</v>
      </c>
      <c r="D345" s="30">
        <v>2</v>
      </c>
      <c r="E345" s="30">
        <v>6</v>
      </c>
      <c r="F345" s="30">
        <v>3</v>
      </c>
      <c r="G345" s="1" t="s">
        <v>0</v>
      </c>
      <c r="H345">
        <f t="shared" si="5"/>
        <v>4</v>
      </c>
    </row>
    <row r="346" spans="1:8" x14ac:dyDescent="0.25">
      <c r="A346" s="5">
        <v>44675</v>
      </c>
      <c r="B346" s="30">
        <v>5</v>
      </c>
      <c r="C346" s="30">
        <v>5</v>
      </c>
      <c r="D346" s="30">
        <v>4</v>
      </c>
      <c r="E346" s="30">
        <v>3</v>
      </c>
      <c r="F346" s="30">
        <v>3</v>
      </c>
      <c r="G346" s="1" t="s">
        <v>1</v>
      </c>
      <c r="H346">
        <f t="shared" si="5"/>
        <v>4</v>
      </c>
    </row>
    <row r="347" spans="1:8" x14ac:dyDescent="0.25">
      <c r="A347" s="5">
        <v>44675</v>
      </c>
      <c r="B347" s="30">
        <v>2</v>
      </c>
      <c r="C347" s="30">
        <v>9</v>
      </c>
      <c r="D347" s="30">
        <v>3</v>
      </c>
      <c r="E347" s="30">
        <v>5</v>
      </c>
      <c r="F347" s="30">
        <v>0</v>
      </c>
      <c r="G347" s="1" t="s">
        <v>2</v>
      </c>
      <c r="H347">
        <f t="shared" si="5"/>
        <v>4</v>
      </c>
    </row>
    <row r="348" spans="1:8" x14ac:dyDescent="0.25">
      <c r="A348" s="5">
        <v>44676</v>
      </c>
      <c r="B348" s="30">
        <v>3</v>
      </c>
      <c r="C348" s="30">
        <v>8</v>
      </c>
      <c r="D348" s="30">
        <v>4</v>
      </c>
      <c r="E348" s="30">
        <v>7</v>
      </c>
      <c r="F348" s="30">
        <v>2</v>
      </c>
      <c r="G348" s="1" t="s">
        <v>0</v>
      </c>
      <c r="H348">
        <f t="shared" si="5"/>
        <v>4</v>
      </c>
    </row>
    <row r="349" spans="1:8" x14ac:dyDescent="0.25">
      <c r="A349" s="5">
        <v>44676</v>
      </c>
      <c r="B349" s="30">
        <v>9</v>
      </c>
      <c r="C349" s="30">
        <v>3</v>
      </c>
      <c r="D349" s="30">
        <v>2</v>
      </c>
      <c r="E349" s="30">
        <v>3</v>
      </c>
      <c r="F349" s="30">
        <v>7</v>
      </c>
      <c r="G349" s="1" t="s">
        <v>1</v>
      </c>
      <c r="H349">
        <f t="shared" si="5"/>
        <v>4</v>
      </c>
    </row>
    <row r="350" spans="1:8" x14ac:dyDescent="0.25">
      <c r="A350" s="5">
        <v>44676</v>
      </c>
      <c r="B350" s="30">
        <v>6</v>
      </c>
      <c r="C350" s="30">
        <v>1</v>
      </c>
      <c r="D350" s="30">
        <v>6</v>
      </c>
      <c r="E350" s="30">
        <v>2</v>
      </c>
      <c r="F350" s="30">
        <v>1</v>
      </c>
      <c r="G350" s="1" t="s">
        <v>2</v>
      </c>
      <c r="H350">
        <f t="shared" si="5"/>
        <v>4</v>
      </c>
    </row>
    <row r="351" spans="1:8" x14ac:dyDescent="0.25">
      <c r="A351" s="5">
        <v>44677</v>
      </c>
      <c r="B351" s="30">
        <v>8</v>
      </c>
      <c r="C351" s="30">
        <v>1</v>
      </c>
      <c r="D351" s="30">
        <v>1</v>
      </c>
      <c r="E351" s="30">
        <v>4</v>
      </c>
      <c r="F351" s="30">
        <v>5</v>
      </c>
      <c r="G351" s="1" t="s">
        <v>0</v>
      </c>
      <c r="H351">
        <f t="shared" si="5"/>
        <v>4</v>
      </c>
    </row>
    <row r="352" spans="1:8" x14ac:dyDescent="0.25">
      <c r="A352" s="5">
        <v>44677</v>
      </c>
      <c r="B352" s="30">
        <v>3</v>
      </c>
      <c r="C352" s="30">
        <v>2</v>
      </c>
      <c r="D352" s="30">
        <v>4</v>
      </c>
      <c r="E352" s="30">
        <v>0</v>
      </c>
      <c r="F352" s="30">
        <v>4</v>
      </c>
      <c r="G352" s="1" t="s">
        <v>1</v>
      </c>
      <c r="H352">
        <f t="shared" si="5"/>
        <v>4</v>
      </c>
    </row>
    <row r="353" spans="1:8" x14ac:dyDescent="0.25">
      <c r="A353" s="5">
        <v>44677</v>
      </c>
      <c r="B353" s="30">
        <v>3</v>
      </c>
      <c r="C353" s="30">
        <v>5</v>
      </c>
      <c r="D353" s="30">
        <v>7</v>
      </c>
      <c r="E353" s="30">
        <v>8</v>
      </c>
      <c r="F353" s="30">
        <v>3</v>
      </c>
      <c r="G353" s="1" t="s">
        <v>2</v>
      </c>
      <c r="H353">
        <f t="shared" si="5"/>
        <v>4</v>
      </c>
    </row>
    <row r="354" spans="1:8" x14ac:dyDescent="0.25">
      <c r="A354" s="5">
        <v>44678</v>
      </c>
      <c r="B354" s="30">
        <v>6</v>
      </c>
      <c r="C354" s="30">
        <v>4</v>
      </c>
      <c r="D354" s="30">
        <v>1</v>
      </c>
      <c r="E354" s="30">
        <v>2</v>
      </c>
      <c r="F354" s="30">
        <v>6</v>
      </c>
      <c r="G354" s="1" t="s">
        <v>0</v>
      </c>
      <c r="H354">
        <f t="shared" si="5"/>
        <v>4</v>
      </c>
    </row>
    <row r="355" spans="1:8" x14ac:dyDescent="0.25">
      <c r="A355" s="5">
        <v>44678</v>
      </c>
      <c r="B355" s="30">
        <v>1</v>
      </c>
      <c r="C355" s="30">
        <v>8</v>
      </c>
      <c r="D355" s="30">
        <v>4</v>
      </c>
      <c r="E355" s="30">
        <v>3</v>
      </c>
      <c r="F355" s="30">
        <v>4</v>
      </c>
      <c r="G355" s="1" t="s">
        <v>1</v>
      </c>
      <c r="H355">
        <f t="shared" si="5"/>
        <v>4</v>
      </c>
    </row>
    <row r="356" spans="1:8" x14ac:dyDescent="0.25">
      <c r="A356" s="5">
        <v>44678</v>
      </c>
      <c r="B356" s="30">
        <v>1</v>
      </c>
      <c r="C356" s="30">
        <v>7</v>
      </c>
      <c r="D356" s="30">
        <v>0</v>
      </c>
      <c r="E356" s="30">
        <v>4</v>
      </c>
      <c r="F356" s="30">
        <v>5</v>
      </c>
      <c r="G356" s="1" t="s">
        <v>2</v>
      </c>
      <c r="H356">
        <f t="shared" si="5"/>
        <v>4</v>
      </c>
    </row>
    <row r="357" spans="1:8" x14ac:dyDescent="0.25">
      <c r="A357" s="5">
        <v>44679</v>
      </c>
      <c r="B357" s="30">
        <v>5</v>
      </c>
      <c r="C357" s="30">
        <v>0</v>
      </c>
      <c r="D357" s="30">
        <v>3</v>
      </c>
      <c r="E357" s="30">
        <v>5</v>
      </c>
      <c r="F357" s="30">
        <v>4</v>
      </c>
      <c r="G357" s="1" t="s">
        <v>0</v>
      </c>
      <c r="H357">
        <f t="shared" si="5"/>
        <v>4</v>
      </c>
    </row>
    <row r="358" spans="1:8" x14ac:dyDescent="0.25">
      <c r="A358" s="5">
        <v>44679</v>
      </c>
      <c r="B358" s="30">
        <v>4</v>
      </c>
      <c r="C358" s="30">
        <v>7</v>
      </c>
      <c r="D358" s="30">
        <v>3</v>
      </c>
      <c r="E358" s="30">
        <v>10</v>
      </c>
      <c r="F358" s="30">
        <v>3</v>
      </c>
      <c r="G358" s="1" t="s">
        <v>1</v>
      </c>
      <c r="H358">
        <f t="shared" si="5"/>
        <v>4</v>
      </c>
    </row>
    <row r="359" spans="1:8" x14ac:dyDescent="0.25">
      <c r="A359" s="5">
        <v>44679</v>
      </c>
      <c r="B359" s="30">
        <v>6</v>
      </c>
      <c r="C359" s="30">
        <v>3</v>
      </c>
      <c r="D359" s="30">
        <v>2</v>
      </c>
      <c r="E359" s="30">
        <v>5</v>
      </c>
      <c r="F359" s="30">
        <v>4</v>
      </c>
      <c r="G359" s="1" t="s">
        <v>2</v>
      </c>
      <c r="H359">
        <f t="shared" si="5"/>
        <v>4</v>
      </c>
    </row>
    <row r="360" spans="1:8" x14ac:dyDescent="0.25">
      <c r="A360" s="5">
        <v>44680</v>
      </c>
      <c r="B360" s="30">
        <v>4</v>
      </c>
      <c r="C360" s="30">
        <v>8</v>
      </c>
      <c r="D360" s="30">
        <v>4</v>
      </c>
      <c r="E360" s="30">
        <v>4</v>
      </c>
      <c r="F360" s="30">
        <v>7</v>
      </c>
      <c r="G360" s="1" t="s">
        <v>0</v>
      </c>
      <c r="H360">
        <f t="shared" si="5"/>
        <v>4</v>
      </c>
    </row>
    <row r="361" spans="1:8" x14ac:dyDescent="0.25">
      <c r="A361" s="5">
        <v>44680</v>
      </c>
      <c r="B361" s="30">
        <v>4</v>
      </c>
      <c r="C361" s="30">
        <v>4</v>
      </c>
      <c r="D361" s="30">
        <v>3</v>
      </c>
      <c r="E361" s="30">
        <v>2</v>
      </c>
      <c r="F361" s="30">
        <v>2</v>
      </c>
      <c r="G361" s="1" t="s">
        <v>1</v>
      </c>
      <c r="H361">
        <f t="shared" si="5"/>
        <v>4</v>
      </c>
    </row>
    <row r="362" spans="1:8" x14ac:dyDescent="0.25">
      <c r="A362" s="5">
        <v>44680</v>
      </c>
      <c r="B362" s="30">
        <v>6</v>
      </c>
      <c r="C362" s="30">
        <v>4</v>
      </c>
      <c r="D362" s="30">
        <v>7</v>
      </c>
      <c r="E362" s="30">
        <v>3</v>
      </c>
      <c r="F362" s="30">
        <v>4</v>
      </c>
      <c r="G362" s="1" t="s">
        <v>2</v>
      </c>
      <c r="H362">
        <f t="shared" si="5"/>
        <v>4</v>
      </c>
    </row>
    <row r="363" spans="1:8" x14ac:dyDescent="0.25">
      <c r="A363" s="5">
        <v>44681</v>
      </c>
      <c r="B363" s="30">
        <v>0</v>
      </c>
      <c r="C363" s="30">
        <v>3</v>
      </c>
      <c r="D363" s="30">
        <v>2</v>
      </c>
      <c r="E363" s="30">
        <v>7</v>
      </c>
      <c r="F363" s="30">
        <v>0</v>
      </c>
      <c r="G363" s="1" t="s">
        <v>0</v>
      </c>
      <c r="H363">
        <f t="shared" si="5"/>
        <v>4</v>
      </c>
    </row>
    <row r="364" spans="1:8" x14ac:dyDescent="0.25">
      <c r="A364" s="5">
        <v>44681</v>
      </c>
      <c r="B364" s="30">
        <v>2</v>
      </c>
      <c r="C364" s="30">
        <v>9</v>
      </c>
      <c r="D364" s="30">
        <v>4</v>
      </c>
      <c r="E364" s="30">
        <v>2</v>
      </c>
      <c r="F364" s="30">
        <v>5</v>
      </c>
      <c r="G364" s="1" t="s">
        <v>1</v>
      </c>
      <c r="H364">
        <f t="shared" si="5"/>
        <v>4</v>
      </c>
    </row>
    <row r="365" spans="1:8" x14ac:dyDescent="0.25">
      <c r="A365" s="5">
        <v>44681</v>
      </c>
      <c r="B365" s="30">
        <v>4</v>
      </c>
      <c r="C365" s="30">
        <v>8</v>
      </c>
      <c r="D365" s="30">
        <v>1</v>
      </c>
      <c r="E365" s="30">
        <v>6</v>
      </c>
      <c r="F365" s="30">
        <v>2</v>
      </c>
      <c r="G365" s="1" t="s">
        <v>2</v>
      </c>
      <c r="H365">
        <f t="shared" si="5"/>
        <v>4</v>
      </c>
    </row>
    <row r="366" spans="1:8" x14ac:dyDescent="0.25">
      <c r="A366" s="5">
        <v>44682</v>
      </c>
      <c r="B366" s="30">
        <v>4</v>
      </c>
      <c r="C366" s="30">
        <v>9</v>
      </c>
      <c r="D366" s="30">
        <v>3</v>
      </c>
      <c r="E366" s="30">
        <v>3</v>
      </c>
      <c r="F366" s="30">
        <v>2</v>
      </c>
      <c r="G366" s="1" t="s">
        <v>0</v>
      </c>
      <c r="H366">
        <f t="shared" si="5"/>
        <v>5</v>
      </c>
    </row>
    <row r="367" spans="1:8" x14ac:dyDescent="0.25">
      <c r="A367" s="5">
        <v>44682</v>
      </c>
      <c r="B367" s="30">
        <v>3</v>
      </c>
      <c r="C367" s="30">
        <v>7</v>
      </c>
      <c r="D367" s="30">
        <v>1</v>
      </c>
      <c r="E367" s="30">
        <v>9</v>
      </c>
      <c r="F367" s="30">
        <v>4</v>
      </c>
      <c r="G367" s="1" t="s">
        <v>1</v>
      </c>
      <c r="H367">
        <f t="shared" si="5"/>
        <v>5</v>
      </c>
    </row>
    <row r="368" spans="1:8" x14ac:dyDescent="0.25">
      <c r="A368" s="5">
        <v>44682</v>
      </c>
      <c r="B368" s="30">
        <v>0</v>
      </c>
      <c r="C368" s="30">
        <v>1</v>
      </c>
      <c r="D368" s="30">
        <v>2</v>
      </c>
      <c r="E368" s="30">
        <v>3</v>
      </c>
      <c r="F368" s="30">
        <v>1</v>
      </c>
      <c r="G368" s="1" t="s">
        <v>2</v>
      </c>
      <c r="H368">
        <f t="shared" si="5"/>
        <v>5</v>
      </c>
    </row>
    <row r="369" spans="1:8" x14ac:dyDescent="0.25">
      <c r="A369" s="5">
        <v>44683</v>
      </c>
      <c r="B369" s="30">
        <v>3</v>
      </c>
      <c r="C369" s="30">
        <v>5</v>
      </c>
      <c r="D369" s="30">
        <v>2</v>
      </c>
      <c r="E369" s="30">
        <v>3</v>
      </c>
      <c r="F369" s="30">
        <v>5</v>
      </c>
      <c r="G369" s="1" t="s">
        <v>0</v>
      </c>
      <c r="H369">
        <f t="shared" si="5"/>
        <v>5</v>
      </c>
    </row>
    <row r="370" spans="1:8" x14ac:dyDescent="0.25">
      <c r="A370" s="5">
        <v>44683</v>
      </c>
      <c r="B370" s="30">
        <v>1</v>
      </c>
      <c r="C370" s="30">
        <v>3</v>
      </c>
      <c r="D370" s="30">
        <v>5</v>
      </c>
      <c r="E370" s="30">
        <v>9</v>
      </c>
      <c r="F370" s="30">
        <v>10</v>
      </c>
      <c r="G370" s="1" t="s">
        <v>1</v>
      </c>
      <c r="H370">
        <f t="shared" si="5"/>
        <v>5</v>
      </c>
    </row>
    <row r="371" spans="1:8" x14ac:dyDescent="0.25">
      <c r="A371" s="5">
        <v>44683</v>
      </c>
      <c r="B371" s="30">
        <v>3</v>
      </c>
      <c r="C371" s="30">
        <v>3</v>
      </c>
      <c r="D371" s="30">
        <v>0</v>
      </c>
      <c r="E371" s="30">
        <v>3</v>
      </c>
      <c r="F371" s="30">
        <v>5</v>
      </c>
      <c r="G371" s="1" t="s">
        <v>2</v>
      </c>
      <c r="H371">
        <f t="shared" si="5"/>
        <v>5</v>
      </c>
    </row>
    <row r="372" spans="1:8" x14ac:dyDescent="0.25">
      <c r="A372" s="5">
        <v>44684</v>
      </c>
      <c r="B372" s="30">
        <v>0</v>
      </c>
      <c r="C372" s="30">
        <v>1</v>
      </c>
      <c r="D372" s="30">
        <v>4</v>
      </c>
      <c r="E372" s="30">
        <v>0</v>
      </c>
      <c r="F372" s="30">
        <v>2</v>
      </c>
      <c r="G372" s="1" t="s">
        <v>0</v>
      </c>
      <c r="H372">
        <f t="shared" si="5"/>
        <v>5</v>
      </c>
    </row>
    <row r="373" spans="1:8" x14ac:dyDescent="0.25">
      <c r="A373" s="5">
        <v>44684</v>
      </c>
      <c r="B373" s="30">
        <v>3</v>
      </c>
      <c r="C373" s="30">
        <v>3</v>
      </c>
      <c r="D373" s="30">
        <v>1</v>
      </c>
      <c r="E373" s="30">
        <v>8</v>
      </c>
      <c r="F373" s="30">
        <v>4</v>
      </c>
      <c r="G373" s="1" t="s">
        <v>1</v>
      </c>
      <c r="H373">
        <f t="shared" si="5"/>
        <v>5</v>
      </c>
    </row>
    <row r="374" spans="1:8" x14ac:dyDescent="0.25">
      <c r="A374" s="5">
        <v>44684</v>
      </c>
      <c r="B374" s="30">
        <v>5</v>
      </c>
      <c r="C374" s="30">
        <v>4</v>
      </c>
      <c r="D374" s="30">
        <v>4</v>
      </c>
      <c r="E374" s="30">
        <v>2</v>
      </c>
      <c r="F374" s="30">
        <v>1</v>
      </c>
      <c r="G374" s="1" t="s">
        <v>2</v>
      </c>
      <c r="H374">
        <f t="shared" si="5"/>
        <v>5</v>
      </c>
    </row>
    <row r="375" spans="1:8" x14ac:dyDescent="0.25">
      <c r="A375" s="5">
        <v>44685</v>
      </c>
      <c r="B375" s="30">
        <v>3</v>
      </c>
      <c r="C375" s="30">
        <v>4</v>
      </c>
      <c r="D375" s="30">
        <v>3</v>
      </c>
      <c r="E375" s="30">
        <v>1</v>
      </c>
      <c r="F375" s="30">
        <v>0</v>
      </c>
      <c r="G375" s="1" t="s">
        <v>0</v>
      </c>
      <c r="H375">
        <f t="shared" si="5"/>
        <v>5</v>
      </c>
    </row>
    <row r="376" spans="1:8" x14ac:dyDescent="0.25">
      <c r="A376" s="5">
        <v>44685</v>
      </c>
      <c r="B376" s="30">
        <v>2</v>
      </c>
      <c r="C376" s="30">
        <v>3</v>
      </c>
      <c r="D376" s="30">
        <v>3</v>
      </c>
      <c r="E376" s="30">
        <v>0</v>
      </c>
      <c r="F376" s="30">
        <v>8</v>
      </c>
      <c r="G376" s="1" t="s">
        <v>1</v>
      </c>
      <c r="H376">
        <f t="shared" si="5"/>
        <v>5</v>
      </c>
    </row>
    <row r="377" spans="1:8" x14ac:dyDescent="0.25">
      <c r="A377" s="5">
        <v>44685</v>
      </c>
      <c r="B377" s="30">
        <v>4</v>
      </c>
      <c r="C377" s="30">
        <v>1</v>
      </c>
      <c r="D377" s="30">
        <v>0</v>
      </c>
      <c r="E377" s="30">
        <v>3</v>
      </c>
      <c r="F377" s="30">
        <v>3</v>
      </c>
      <c r="G377" s="1" t="s">
        <v>2</v>
      </c>
      <c r="H377">
        <f t="shared" si="5"/>
        <v>5</v>
      </c>
    </row>
    <row r="378" spans="1:8" x14ac:dyDescent="0.25">
      <c r="A378" s="5">
        <v>44686</v>
      </c>
      <c r="B378" s="30">
        <v>3</v>
      </c>
      <c r="C378" s="30">
        <v>3</v>
      </c>
      <c r="D378" s="30">
        <v>3</v>
      </c>
      <c r="E378" s="30">
        <v>7</v>
      </c>
      <c r="F378" s="30">
        <v>2</v>
      </c>
      <c r="G378" s="1" t="s">
        <v>0</v>
      </c>
      <c r="H378">
        <f t="shared" si="5"/>
        <v>5</v>
      </c>
    </row>
    <row r="379" spans="1:8" x14ac:dyDescent="0.25">
      <c r="A379" s="5">
        <v>44686</v>
      </c>
      <c r="B379" s="30">
        <v>1</v>
      </c>
      <c r="C379" s="30">
        <v>3</v>
      </c>
      <c r="D379" s="30">
        <v>3</v>
      </c>
      <c r="E379" s="30">
        <v>3</v>
      </c>
      <c r="F379" s="30">
        <v>3</v>
      </c>
      <c r="G379" s="1" t="s">
        <v>1</v>
      </c>
      <c r="H379">
        <f t="shared" si="5"/>
        <v>5</v>
      </c>
    </row>
    <row r="380" spans="1:8" x14ac:dyDescent="0.25">
      <c r="A380" s="5">
        <v>44686</v>
      </c>
      <c r="B380" s="30">
        <v>6</v>
      </c>
      <c r="C380" s="30">
        <v>5</v>
      </c>
      <c r="D380" s="30">
        <v>4</v>
      </c>
      <c r="E380" s="30">
        <v>7</v>
      </c>
      <c r="F380" s="30">
        <v>6</v>
      </c>
      <c r="G380" s="1" t="s">
        <v>2</v>
      </c>
      <c r="H380">
        <f t="shared" si="5"/>
        <v>5</v>
      </c>
    </row>
    <row r="381" spans="1:8" x14ac:dyDescent="0.25">
      <c r="A381" s="5">
        <v>44687</v>
      </c>
      <c r="B381" s="30">
        <v>1</v>
      </c>
      <c r="C381" s="30">
        <v>1</v>
      </c>
      <c r="D381" s="30">
        <v>4</v>
      </c>
      <c r="E381" s="30">
        <v>0</v>
      </c>
      <c r="F381" s="30">
        <v>1</v>
      </c>
      <c r="G381" s="1" t="s">
        <v>0</v>
      </c>
      <c r="H381">
        <f t="shared" si="5"/>
        <v>5</v>
      </c>
    </row>
    <row r="382" spans="1:8" x14ac:dyDescent="0.25">
      <c r="A382" s="5">
        <v>44687</v>
      </c>
      <c r="B382" s="30">
        <v>3</v>
      </c>
      <c r="C382" s="30">
        <v>3</v>
      </c>
      <c r="D382" s="30">
        <v>4</v>
      </c>
      <c r="E382" s="30">
        <v>3</v>
      </c>
      <c r="F382" s="30">
        <v>2</v>
      </c>
      <c r="G382" s="1" t="s">
        <v>1</v>
      </c>
      <c r="H382">
        <f t="shared" si="5"/>
        <v>5</v>
      </c>
    </row>
    <row r="383" spans="1:8" x14ac:dyDescent="0.25">
      <c r="A383" s="5">
        <v>44687</v>
      </c>
      <c r="B383" s="30">
        <v>4</v>
      </c>
      <c r="C383" s="30">
        <v>6</v>
      </c>
      <c r="D383" s="30">
        <v>5</v>
      </c>
      <c r="E383" s="30">
        <v>4</v>
      </c>
      <c r="F383" s="30">
        <v>1</v>
      </c>
      <c r="G383" s="1" t="s">
        <v>2</v>
      </c>
      <c r="H383">
        <f t="shared" si="5"/>
        <v>5</v>
      </c>
    </row>
    <row r="384" spans="1:8" x14ac:dyDescent="0.25">
      <c r="A384" s="5">
        <v>44688</v>
      </c>
      <c r="B384" s="30">
        <v>2</v>
      </c>
      <c r="C384" s="30">
        <v>8</v>
      </c>
      <c r="D384" s="30">
        <v>0</v>
      </c>
      <c r="E384" s="30">
        <v>8</v>
      </c>
      <c r="F384" s="30">
        <v>3</v>
      </c>
      <c r="G384" s="1" t="s">
        <v>0</v>
      </c>
      <c r="H384">
        <f t="shared" si="5"/>
        <v>5</v>
      </c>
    </row>
    <row r="385" spans="1:8" x14ac:dyDescent="0.25">
      <c r="A385" s="5">
        <v>44688</v>
      </c>
      <c r="B385" s="30">
        <v>3</v>
      </c>
      <c r="C385" s="30">
        <v>4</v>
      </c>
      <c r="D385" s="30">
        <v>1</v>
      </c>
      <c r="E385" s="30">
        <v>2</v>
      </c>
      <c r="F385" s="30">
        <v>3</v>
      </c>
      <c r="G385" s="1" t="s">
        <v>1</v>
      </c>
      <c r="H385">
        <f t="shared" si="5"/>
        <v>5</v>
      </c>
    </row>
    <row r="386" spans="1:8" x14ac:dyDescent="0.25">
      <c r="A386" s="5">
        <v>44688</v>
      </c>
      <c r="B386" s="30">
        <v>6</v>
      </c>
      <c r="C386" s="30">
        <v>6</v>
      </c>
      <c r="D386" s="30">
        <v>8</v>
      </c>
      <c r="E386" s="30">
        <v>7</v>
      </c>
      <c r="F386" s="30">
        <v>2</v>
      </c>
      <c r="G386" s="1" t="s">
        <v>2</v>
      </c>
      <c r="H386">
        <f t="shared" si="5"/>
        <v>5</v>
      </c>
    </row>
    <row r="387" spans="1:8" x14ac:dyDescent="0.25">
      <c r="A387" s="5">
        <v>44689</v>
      </c>
      <c r="B387" s="30">
        <v>5</v>
      </c>
      <c r="C387" s="30">
        <v>2</v>
      </c>
      <c r="D387" s="30">
        <v>7</v>
      </c>
      <c r="E387" s="30">
        <v>4</v>
      </c>
      <c r="F387" s="30">
        <v>8</v>
      </c>
      <c r="G387" s="1" t="s">
        <v>0</v>
      </c>
      <c r="H387">
        <f t="shared" si="5"/>
        <v>5</v>
      </c>
    </row>
    <row r="388" spans="1:8" x14ac:dyDescent="0.25">
      <c r="A388" s="5">
        <v>44689</v>
      </c>
      <c r="B388" s="30">
        <v>4</v>
      </c>
      <c r="C388" s="30">
        <v>1</v>
      </c>
      <c r="D388" s="30">
        <v>0</v>
      </c>
      <c r="E388" s="30">
        <v>8</v>
      </c>
      <c r="F388" s="30">
        <v>5</v>
      </c>
      <c r="G388" s="1" t="s">
        <v>1</v>
      </c>
      <c r="H388">
        <f t="shared" ref="H388:H451" si="6">MONTH(A388)</f>
        <v>5</v>
      </c>
    </row>
    <row r="389" spans="1:8" x14ac:dyDescent="0.25">
      <c r="A389" s="5">
        <v>44689</v>
      </c>
      <c r="B389" s="30">
        <v>10</v>
      </c>
      <c r="C389" s="30">
        <v>2</v>
      </c>
      <c r="D389" s="30">
        <v>4</v>
      </c>
      <c r="E389" s="30">
        <v>2</v>
      </c>
      <c r="F389" s="30">
        <v>3</v>
      </c>
      <c r="G389" s="1" t="s">
        <v>2</v>
      </c>
      <c r="H389">
        <f t="shared" si="6"/>
        <v>5</v>
      </c>
    </row>
    <row r="390" spans="1:8" x14ac:dyDescent="0.25">
      <c r="A390" s="5">
        <v>44690</v>
      </c>
      <c r="B390" s="30">
        <v>6</v>
      </c>
      <c r="C390" s="30">
        <v>7</v>
      </c>
      <c r="D390" s="30">
        <v>2</v>
      </c>
      <c r="E390" s="30">
        <v>1</v>
      </c>
      <c r="F390" s="30">
        <v>2</v>
      </c>
      <c r="G390" s="1" t="s">
        <v>0</v>
      </c>
      <c r="H390">
        <f t="shared" si="6"/>
        <v>5</v>
      </c>
    </row>
    <row r="391" spans="1:8" x14ac:dyDescent="0.25">
      <c r="A391" s="5">
        <v>44690</v>
      </c>
      <c r="B391" s="30">
        <v>4</v>
      </c>
      <c r="C391" s="30">
        <v>3</v>
      </c>
      <c r="D391" s="30">
        <v>3</v>
      </c>
      <c r="E391" s="30">
        <v>0</v>
      </c>
      <c r="F391" s="30">
        <v>7</v>
      </c>
      <c r="G391" s="1" t="s">
        <v>1</v>
      </c>
      <c r="H391">
        <f t="shared" si="6"/>
        <v>5</v>
      </c>
    </row>
    <row r="392" spans="1:8" x14ac:dyDescent="0.25">
      <c r="A392" s="5">
        <v>44690</v>
      </c>
      <c r="B392" s="30">
        <v>3</v>
      </c>
      <c r="C392" s="30">
        <v>9</v>
      </c>
      <c r="D392" s="30">
        <v>2</v>
      </c>
      <c r="E392" s="30">
        <v>1</v>
      </c>
      <c r="F392" s="30">
        <v>0</v>
      </c>
      <c r="G392" s="1" t="s">
        <v>2</v>
      </c>
      <c r="H392">
        <f t="shared" si="6"/>
        <v>5</v>
      </c>
    </row>
    <row r="393" spans="1:8" x14ac:dyDescent="0.25">
      <c r="A393" s="5">
        <v>44691</v>
      </c>
      <c r="B393" s="30">
        <v>1</v>
      </c>
      <c r="C393" s="30">
        <v>10</v>
      </c>
      <c r="D393" s="30">
        <v>3</v>
      </c>
      <c r="E393" s="30">
        <v>4</v>
      </c>
      <c r="F393" s="30">
        <v>2</v>
      </c>
      <c r="G393" s="1" t="s">
        <v>0</v>
      </c>
      <c r="H393">
        <f t="shared" si="6"/>
        <v>5</v>
      </c>
    </row>
    <row r="394" spans="1:8" x14ac:dyDescent="0.25">
      <c r="A394" s="5">
        <v>44691</v>
      </c>
      <c r="B394" s="30">
        <v>0</v>
      </c>
      <c r="C394" s="30">
        <v>0</v>
      </c>
      <c r="D394" s="30">
        <v>8</v>
      </c>
      <c r="E394" s="30">
        <v>3</v>
      </c>
      <c r="F394" s="30">
        <v>3</v>
      </c>
      <c r="G394" s="1" t="s">
        <v>1</v>
      </c>
      <c r="H394">
        <f t="shared" si="6"/>
        <v>5</v>
      </c>
    </row>
    <row r="395" spans="1:8" x14ac:dyDescent="0.25">
      <c r="A395" s="5">
        <v>44691</v>
      </c>
      <c r="B395" s="30">
        <v>1</v>
      </c>
      <c r="C395" s="30">
        <v>1</v>
      </c>
      <c r="D395" s="30">
        <v>2</v>
      </c>
      <c r="E395" s="30">
        <v>2</v>
      </c>
      <c r="F395" s="30">
        <v>5</v>
      </c>
      <c r="G395" s="1" t="s">
        <v>2</v>
      </c>
      <c r="H395">
        <f t="shared" si="6"/>
        <v>5</v>
      </c>
    </row>
    <row r="396" spans="1:8" x14ac:dyDescent="0.25">
      <c r="A396" s="5">
        <v>44692</v>
      </c>
      <c r="B396" s="30">
        <v>5</v>
      </c>
      <c r="C396" s="30">
        <v>1</v>
      </c>
      <c r="D396" s="30">
        <v>2</v>
      </c>
      <c r="E396" s="30">
        <v>8</v>
      </c>
      <c r="F396" s="30">
        <v>2</v>
      </c>
      <c r="G396" s="1" t="s">
        <v>0</v>
      </c>
      <c r="H396">
        <f t="shared" si="6"/>
        <v>5</v>
      </c>
    </row>
    <row r="397" spans="1:8" x14ac:dyDescent="0.25">
      <c r="A397" s="5">
        <v>44692</v>
      </c>
      <c r="B397" s="30">
        <v>2</v>
      </c>
      <c r="C397" s="30">
        <v>3</v>
      </c>
      <c r="D397" s="30">
        <v>5</v>
      </c>
      <c r="E397" s="30">
        <v>3</v>
      </c>
      <c r="F397" s="30">
        <v>4</v>
      </c>
      <c r="G397" s="1" t="s">
        <v>1</v>
      </c>
      <c r="H397">
        <f t="shared" si="6"/>
        <v>5</v>
      </c>
    </row>
    <row r="398" spans="1:8" x14ac:dyDescent="0.25">
      <c r="A398" s="5">
        <v>44692</v>
      </c>
      <c r="B398" s="30">
        <v>5</v>
      </c>
      <c r="C398" s="30">
        <v>5</v>
      </c>
      <c r="D398" s="30">
        <v>5</v>
      </c>
      <c r="E398" s="30">
        <v>8</v>
      </c>
      <c r="F398" s="30">
        <v>0</v>
      </c>
      <c r="G398" s="1" t="s">
        <v>2</v>
      </c>
      <c r="H398">
        <f t="shared" si="6"/>
        <v>5</v>
      </c>
    </row>
    <row r="399" spans="1:8" x14ac:dyDescent="0.25">
      <c r="A399" s="5">
        <v>44693</v>
      </c>
      <c r="B399" s="30">
        <v>3</v>
      </c>
      <c r="C399" s="30">
        <v>3</v>
      </c>
      <c r="D399" s="30">
        <v>1</v>
      </c>
      <c r="E399" s="30">
        <v>1</v>
      </c>
      <c r="F399" s="30">
        <v>3</v>
      </c>
      <c r="G399" s="1" t="s">
        <v>0</v>
      </c>
      <c r="H399">
        <f t="shared" si="6"/>
        <v>5</v>
      </c>
    </row>
    <row r="400" spans="1:8" x14ac:dyDescent="0.25">
      <c r="A400" s="5">
        <v>44693</v>
      </c>
      <c r="B400" s="30">
        <v>4</v>
      </c>
      <c r="C400" s="30">
        <v>1</v>
      </c>
      <c r="D400" s="30">
        <v>1</v>
      </c>
      <c r="E400" s="30">
        <v>2</v>
      </c>
      <c r="F400" s="30">
        <v>3</v>
      </c>
      <c r="G400" s="1" t="s">
        <v>1</v>
      </c>
      <c r="H400">
        <f t="shared" si="6"/>
        <v>5</v>
      </c>
    </row>
    <row r="401" spans="1:8" x14ac:dyDescent="0.25">
      <c r="A401" s="5">
        <v>44693</v>
      </c>
      <c r="B401" s="30">
        <v>2</v>
      </c>
      <c r="C401" s="30">
        <v>4</v>
      </c>
      <c r="D401" s="30">
        <v>6</v>
      </c>
      <c r="E401" s="30">
        <v>2</v>
      </c>
      <c r="F401" s="30">
        <v>0</v>
      </c>
      <c r="G401" s="1" t="s">
        <v>2</v>
      </c>
      <c r="H401">
        <f t="shared" si="6"/>
        <v>5</v>
      </c>
    </row>
    <row r="402" spans="1:8" x14ac:dyDescent="0.25">
      <c r="A402" s="5">
        <v>44694</v>
      </c>
      <c r="B402" s="30">
        <v>2</v>
      </c>
      <c r="C402" s="30">
        <v>3</v>
      </c>
      <c r="D402" s="30">
        <v>0</v>
      </c>
      <c r="E402" s="30">
        <v>2</v>
      </c>
      <c r="F402" s="30">
        <v>4</v>
      </c>
      <c r="G402" s="1" t="s">
        <v>0</v>
      </c>
      <c r="H402">
        <f t="shared" si="6"/>
        <v>5</v>
      </c>
    </row>
    <row r="403" spans="1:8" x14ac:dyDescent="0.25">
      <c r="A403" s="5">
        <v>44694</v>
      </c>
      <c r="B403" s="30">
        <v>2</v>
      </c>
      <c r="C403" s="30">
        <v>5</v>
      </c>
      <c r="D403" s="30">
        <v>3</v>
      </c>
      <c r="E403" s="30">
        <v>3</v>
      </c>
      <c r="F403" s="30">
        <v>10</v>
      </c>
      <c r="G403" s="1" t="s">
        <v>1</v>
      </c>
      <c r="H403">
        <f t="shared" si="6"/>
        <v>5</v>
      </c>
    </row>
    <row r="404" spans="1:8" x14ac:dyDescent="0.25">
      <c r="A404" s="5">
        <v>44694</v>
      </c>
      <c r="B404" s="30">
        <v>2</v>
      </c>
      <c r="C404" s="30">
        <v>6</v>
      </c>
      <c r="D404" s="30">
        <v>2</v>
      </c>
      <c r="E404" s="30">
        <v>6</v>
      </c>
      <c r="F404" s="30">
        <v>9</v>
      </c>
      <c r="G404" s="1" t="s">
        <v>2</v>
      </c>
      <c r="H404">
        <f t="shared" si="6"/>
        <v>5</v>
      </c>
    </row>
    <row r="405" spans="1:8" x14ac:dyDescent="0.25">
      <c r="A405" s="5">
        <v>44695</v>
      </c>
      <c r="B405" s="30">
        <v>3</v>
      </c>
      <c r="C405" s="30">
        <v>1</v>
      </c>
      <c r="D405" s="30">
        <v>3</v>
      </c>
      <c r="E405" s="30">
        <v>3</v>
      </c>
      <c r="F405" s="30">
        <v>9</v>
      </c>
      <c r="G405" s="1" t="s">
        <v>0</v>
      </c>
      <c r="H405">
        <f t="shared" si="6"/>
        <v>5</v>
      </c>
    </row>
    <row r="406" spans="1:8" x14ac:dyDescent="0.25">
      <c r="A406" s="5">
        <v>44695</v>
      </c>
      <c r="B406" s="30">
        <v>7</v>
      </c>
      <c r="C406" s="30">
        <v>2</v>
      </c>
      <c r="D406" s="30">
        <v>4</v>
      </c>
      <c r="E406" s="30">
        <v>4</v>
      </c>
      <c r="F406" s="30">
        <v>2</v>
      </c>
      <c r="G406" s="1" t="s">
        <v>1</v>
      </c>
      <c r="H406">
        <f t="shared" si="6"/>
        <v>5</v>
      </c>
    </row>
    <row r="407" spans="1:8" x14ac:dyDescent="0.25">
      <c r="A407" s="5">
        <v>44695</v>
      </c>
      <c r="B407" s="30">
        <v>7</v>
      </c>
      <c r="C407" s="30">
        <v>8</v>
      </c>
      <c r="D407" s="30">
        <v>10</v>
      </c>
      <c r="E407" s="30">
        <v>5</v>
      </c>
      <c r="F407" s="30">
        <v>5</v>
      </c>
      <c r="G407" s="1" t="s">
        <v>2</v>
      </c>
      <c r="H407">
        <f t="shared" si="6"/>
        <v>5</v>
      </c>
    </row>
    <row r="408" spans="1:8" x14ac:dyDescent="0.25">
      <c r="A408" s="5">
        <v>44696</v>
      </c>
      <c r="B408" s="30">
        <v>1</v>
      </c>
      <c r="C408" s="30">
        <v>8</v>
      </c>
      <c r="D408" s="30">
        <v>5</v>
      </c>
      <c r="E408" s="30">
        <v>8</v>
      </c>
      <c r="F408" s="30">
        <v>5</v>
      </c>
      <c r="G408" s="1" t="s">
        <v>0</v>
      </c>
      <c r="H408">
        <f t="shared" si="6"/>
        <v>5</v>
      </c>
    </row>
    <row r="409" spans="1:8" x14ac:dyDescent="0.25">
      <c r="A409" s="5">
        <v>44696</v>
      </c>
      <c r="B409" s="30">
        <v>2</v>
      </c>
      <c r="C409" s="30">
        <v>4</v>
      </c>
      <c r="D409" s="30">
        <v>2</v>
      </c>
      <c r="E409" s="30">
        <v>4</v>
      </c>
      <c r="F409" s="30">
        <v>6</v>
      </c>
      <c r="G409" s="1" t="s">
        <v>1</v>
      </c>
      <c r="H409">
        <f t="shared" si="6"/>
        <v>5</v>
      </c>
    </row>
    <row r="410" spans="1:8" x14ac:dyDescent="0.25">
      <c r="A410" s="5">
        <v>44696</v>
      </c>
      <c r="B410" s="30">
        <v>5</v>
      </c>
      <c r="C410" s="30">
        <v>3</v>
      </c>
      <c r="D410" s="30">
        <v>7</v>
      </c>
      <c r="E410" s="30">
        <v>4</v>
      </c>
      <c r="F410" s="30">
        <v>0</v>
      </c>
      <c r="G410" s="1" t="s">
        <v>2</v>
      </c>
      <c r="H410">
        <f t="shared" si="6"/>
        <v>5</v>
      </c>
    </row>
    <row r="411" spans="1:8" x14ac:dyDescent="0.25">
      <c r="A411" s="5">
        <v>44697</v>
      </c>
      <c r="B411" s="30">
        <v>3</v>
      </c>
      <c r="C411" s="30">
        <v>0</v>
      </c>
      <c r="D411" s="30">
        <v>5</v>
      </c>
      <c r="E411" s="30">
        <v>1</v>
      </c>
      <c r="F411" s="30">
        <v>8</v>
      </c>
      <c r="G411" s="1" t="s">
        <v>0</v>
      </c>
      <c r="H411">
        <f t="shared" si="6"/>
        <v>5</v>
      </c>
    </row>
    <row r="412" spans="1:8" x14ac:dyDescent="0.25">
      <c r="A412" s="5">
        <v>44697</v>
      </c>
      <c r="B412" s="30">
        <v>6</v>
      </c>
      <c r="C412" s="30">
        <v>0</v>
      </c>
      <c r="D412" s="30">
        <v>0</v>
      </c>
      <c r="E412" s="30">
        <v>1</v>
      </c>
      <c r="F412" s="30">
        <v>4</v>
      </c>
      <c r="G412" s="1" t="s">
        <v>1</v>
      </c>
      <c r="H412">
        <f t="shared" si="6"/>
        <v>5</v>
      </c>
    </row>
    <row r="413" spans="1:8" x14ac:dyDescent="0.25">
      <c r="A413" s="5">
        <v>44697</v>
      </c>
      <c r="B413" s="30">
        <v>7</v>
      </c>
      <c r="C413" s="30">
        <v>3</v>
      </c>
      <c r="D413" s="30">
        <v>1</v>
      </c>
      <c r="E413" s="30">
        <v>3</v>
      </c>
      <c r="F413" s="30">
        <v>3</v>
      </c>
      <c r="G413" s="1" t="s">
        <v>2</v>
      </c>
      <c r="H413">
        <f t="shared" si="6"/>
        <v>5</v>
      </c>
    </row>
    <row r="414" spans="1:8" x14ac:dyDescent="0.25">
      <c r="A414" s="5">
        <v>44698</v>
      </c>
      <c r="B414" s="30">
        <v>8</v>
      </c>
      <c r="C414" s="30">
        <v>7</v>
      </c>
      <c r="D414" s="30">
        <v>0</v>
      </c>
      <c r="E414" s="30">
        <v>4</v>
      </c>
      <c r="F414" s="30">
        <v>6</v>
      </c>
      <c r="G414" s="1" t="s">
        <v>0</v>
      </c>
      <c r="H414">
        <f t="shared" si="6"/>
        <v>5</v>
      </c>
    </row>
    <row r="415" spans="1:8" x14ac:dyDescent="0.25">
      <c r="A415" s="5">
        <v>44698</v>
      </c>
      <c r="B415" s="30">
        <v>1</v>
      </c>
      <c r="C415" s="30">
        <v>1</v>
      </c>
      <c r="D415" s="30">
        <v>4</v>
      </c>
      <c r="E415" s="30">
        <v>3</v>
      </c>
      <c r="F415" s="30">
        <v>3</v>
      </c>
      <c r="G415" s="1" t="s">
        <v>1</v>
      </c>
      <c r="H415">
        <f t="shared" si="6"/>
        <v>5</v>
      </c>
    </row>
    <row r="416" spans="1:8" x14ac:dyDescent="0.25">
      <c r="A416" s="5">
        <v>44698</v>
      </c>
      <c r="B416" s="30">
        <v>0</v>
      </c>
      <c r="C416" s="30">
        <v>1</v>
      </c>
      <c r="D416" s="30">
        <v>9</v>
      </c>
      <c r="E416" s="30">
        <v>0</v>
      </c>
      <c r="F416" s="30">
        <v>7</v>
      </c>
      <c r="G416" s="1" t="s">
        <v>2</v>
      </c>
      <c r="H416">
        <f t="shared" si="6"/>
        <v>5</v>
      </c>
    </row>
    <row r="417" spans="1:8" x14ac:dyDescent="0.25">
      <c r="A417" s="5">
        <v>44699</v>
      </c>
      <c r="B417" s="30">
        <v>1</v>
      </c>
      <c r="C417" s="30">
        <v>6</v>
      </c>
      <c r="D417" s="30">
        <v>3</v>
      </c>
      <c r="E417" s="30">
        <v>3</v>
      </c>
      <c r="F417" s="30">
        <v>1</v>
      </c>
      <c r="G417" s="1" t="s">
        <v>0</v>
      </c>
      <c r="H417">
        <f t="shared" si="6"/>
        <v>5</v>
      </c>
    </row>
    <row r="418" spans="1:8" x14ac:dyDescent="0.25">
      <c r="A418" s="5">
        <v>44699</v>
      </c>
      <c r="B418" s="30">
        <v>1</v>
      </c>
      <c r="C418" s="30">
        <v>4</v>
      </c>
      <c r="D418" s="30">
        <v>3</v>
      </c>
      <c r="E418" s="30">
        <v>2</v>
      </c>
      <c r="F418" s="30">
        <v>4</v>
      </c>
      <c r="G418" s="1" t="s">
        <v>1</v>
      </c>
      <c r="H418">
        <f t="shared" si="6"/>
        <v>5</v>
      </c>
    </row>
    <row r="419" spans="1:8" x14ac:dyDescent="0.25">
      <c r="A419" s="5">
        <v>44699</v>
      </c>
      <c r="B419" s="30">
        <v>4</v>
      </c>
      <c r="C419" s="30">
        <v>4</v>
      </c>
      <c r="D419" s="30">
        <v>3</v>
      </c>
      <c r="E419" s="30">
        <v>10</v>
      </c>
      <c r="F419" s="30">
        <v>3</v>
      </c>
      <c r="G419" s="1" t="s">
        <v>2</v>
      </c>
      <c r="H419">
        <f t="shared" si="6"/>
        <v>5</v>
      </c>
    </row>
    <row r="420" spans="1:8" x14ac:dyDescent="0.25">
      <c r="A420" s="5">
        <v>44700</v>
      </c>
      <c r="B420" s="30">
        <v>1</v>
      </c>
      <c r="C420" s="30">
        <v>1</v>
      </c>
      <c r="D420" s="30">
        <v>2</v>
      </c>
      <c r="E420" s="30">
        <v>5</v>
      </c>
      <c r="F420" s="30">
        <v>7</v>
      </c>
      <c r="G420" s="1" t="s">
        <v>0</v>
      </c>
      <c r="H420">
        <f t="shared" si="6"/>
        <v>5</v>
      </c>
    </row>
    <row r="421" spans="1:8" x14ac:dyDescent="0.25">
      <c r="A421" s="5">
        <v>44700</v>
      </c>
      <c r="B421" s="30">
        <v>3</v>
      </c>
      <c r="C421" s="30">
        <v>1</v>
      </c>
      <c r="D421" s="30">
        <v>1</v>
      </c>
      <c r="E421" s="30">
        <v>8</v>
      </c>
      <c r="F421" s="30">
        <v>3</v>
      </c>
      <c r="G421" s="1" t="s">
        <v>1</v>
      </c>
      <c r="H421">
        <f t="shared" si="6"/>
        <v>5</v>
      </c>
    </row>
    <row r="422" spans="1:8" x14ac:dyDescent="0.25">
      <c r="A422" s="5">
        <v>44700</v>
      </c>
      <c r="B422" s="30">
        <v>5</v>
      </c>
      <c r="C422" s="30">
        <v>0</v>
      </c>
      <c r="D422" s="30">
        <v>3</v>
      </c>
      <c r="E422" s="30">
        <v>1</v>
      </c>
      <c r="F422" s="30">
        <v>5</v>
      </c>
      <c r="G422" s="1" t="s">
        <v>2</v>
      </c>
      <c r="H422">
        <f t="shared" si="6"/>
        <v>5</v>
      </c>
    </row>
    <row r="423" spans="1:8" x14ac:dyDescent="0.25">
      <c r="A423" s="5">
        <v>44701</v>
      </c>
      <c r="B423" s="30">
        <v>7</v>
      </c>
      <c r="C423" s="30">
        <v>4</v>
      </c>
      <c r="D423" s="30">
        <v>1</v>
      </c>
      <c r="E423" s="30">
        <v>2</v>
      </c>
      <c r="F423" s="30">
        <v>3</v>
      </c>
      <c r="G423" s="1" t="s">
        <v>0</v>
      </c>
      <c r="H423">
        <f t="shared" si="6"/>
        <v>5</v>
      </c>
    </row>
    <row r="424" spans="1:8" x14ac:dyDescent="0.25">
      <c r="A424" s="5">
        <v>44701</v>
      </c>
      <c r="B424" s="30">
        <v>2</v>
      </c>
      <c r="C424" s="30">
        <v>2</v>
      </c>
      <c r="D424" s="30">
        <v>2</v>
      </c>
      <c r="E424" s="30">
        <v>9</v>
      </c>
      <c r="F424" s="30">
        <v>2</v>
      </c>
      <c r="G424" s="1" t="s">
        <v>1</v>
      </c>
      <c r="H424">
        <f t="shared" si="6"/>
        <v>5</v>
      </c>
    </row>
    <row r="425" spans="1:8" x14ac:dyDescent="0.25">
      <c r="A425" s="5">
        <v>44701</v>
      </c>
      <c r="B425" s="30">
        <v>5</v>
      </c>
      <c r="C425" s="30">
        <v>0</v>
      </c>
      <c r="D425" s="30">
        <v>5</v>
      </c>
      <c r="E425" s="30">
        <v>4</v>
      </c>
      <c r="F425" s="30">
        <v>3</v>
      </c>
      <c r="G425" s="1" t="s">
        <v>2</v>
      </c>
      <c r="H425">
        <f t="shared" si="6"/>
        <v>5</v>
      </c>
    </row>
    <row r="426" spans="1:8" x14ac:dyDescent="0.25">
      <c r="A426" s="5">
        <v>44702</v>
      </c>
      <c r="B426" s="30">
        <v>5</v>
      </c>
      <c r="C426" s="30">
        <v>0</v>
      </c>
      <c r="D426" s="30">
        <v>6</v>
      </c>
      <c r="E426" s="30">
        <v>9</v>
      </c>
      <c r="F426" s="30">
        <v>8</v>
      </c>
      <c r="G426" s="1" t="s">
        <v>0</v>
      </c>
      <c r="H426">
        <f t="shared" si="6"/>
        <v>5</v>
      </c>
    </row>
    <row r="427" spans="1:8" x14ac:dyDescent="0.25">
      <c r="A427" s="5">
        <v>44702</v>
      </c>
      <c r="B427" s="30">
        <v>4</v>
      </c>
      <c r="C427" s="30">
        <v>4</v>
      </c>
      <c r="D427" s="30">
        <v>7</v>
      </c>
      <c r="E427" s="30">
        <v>1</v>
      </c>
      <c r="F427" s="30">
        <v>5</v>
      </c>
      <c r="G427" s="1" t="s">
        <v>1</v>
      </c>
      <c r="H427">
        <f t="shared" si="6"/>
        <v>5</v>
      </c>
    </row>
    <row r="428" spans="1:8" x14ac:dyDescent="0.25">
      <c r="A428" s="5">
        <v>44702</v>
      </c>
      <c r="B428" s="30">
        <v>3</v>
      </c>
      <c r="C428" s="30">
        <v>2</v>
      </c>
      <c r="D428" s="30">
        <v>1</v>
      </c>
      <c r="E428" s="30">
        <v>4</v>
      </c>
      <c r="F428" s="30">
        <v>5</v>
      </c>
      <c r="G428" s="1" t="s">
        <v>2</v>
      </c>
      <c r="H428">
        <f t="shared" si="6"/>
        <v>5</v>
      </c>
    </row>
    <row r="429" spans="1:8" x14ac:dyDescent="0.25">
      <c r="A429" s="5">
        <v>44703</v>
      </c>
      <c r="B429" s="30">
        <v>1</v>
      </c>
      <c r="C429" s="30">
        <v>3</v>
      </c>
      <c r="D429" s="30">
        <v>2</v>
      </c>
      <c r="E429" s="30">
        <v>5</v>
      </c>
      <c r="F429" s="30">
        <v>2</v>
      </c>
      <c r="G429" s="1" t="s">
        <v>0</v>
      </c>
      <c r="H429">
        <f t="shared" si="6"/>
        <v>5</v>
      </c>
    </row>
    <row r="430" spans="1:8" x14ac:dyDescent="0.25">
      <c r="A430" s="5">
        <v>44703</v>
      </c>
      <c r="B430" s="30">
        <v>3</v>
      </c>
      <c r="C430" s="30">
        <v>1</v>
      </c>
      <c r="D430" s="30">
        <v>3</v>
      </c>
      <c r="E430" s="30">
        <v>10</v>
      </c>
      <c r="F430" s="30">
        <v>2</v>
      </c>
      <c r="G430" s="1" t="s">
        <v>1</v>
      </c>
      <c r="H430">
        <f t="shared" si="6"/>
        <v>5</v>
      </c>
    </row>
    <row r="431" spans="1:8" x14ac:dyDescent="0.25">
      <c r="A431" s="5">
        <v>44703</v>
      </c>
      <c r="B431" s="30">
        <v>5</v>
      </c>
      <c r="C431" s="30">
        <v>3</v>
      </c>
      <c r="D431" s="30">
        <v>6</v>
      </c>
      <c r="E431" s="30">
        <v>4</v>
      </c>
      <c r="F431" s="30">
        <v>9</v>
      </c>
      <c r="G431" s="1" t="s">
        <v>2</v>
      </c>
      <c r="H431">
        <f t="shared" si="6"/>
        <v>5</v>
      </c>
    </row>
    <row r="432" spans="1:8" x14ac:dyDescent="0.25">
      <c r="A432" s="5">
        <v>44704</v>
      </c>
      <c r="B432" s="30">
        <v>2</v>
      </c>
      <c r="C432" s="30">
        <v>2</v>
      </c>
      <c r="D432" s="30">
        <v>1</v>
      </c>
      <c r="E432" s="30">
        <v>5</v>
      </c>
      <c r="F432" s="30">
        <v>2</v>
      </c>
      <c r="G432" s="1" t="s">
        <v>0</v>
      </c>
      <c r="H432">
        <f t="shared" si="6"/>
        <v>5</v>
      </c>
    </row>
    <row r="433" spans="1:8" x14ac:dyDescent="0.25">
      <c r="A433" s="5">
        <v>44704</v>
      </c>
      <c r="B433" s="30">
        <v>0</v>
      </c>
      <c r="C433" s="30">
        <v>7</v>
      </c>
      <c r="D433" s="30">
        <v>0</v>
      </c>
      <c r="E433" s="30">
        <v>7</v>
      </c>
      <c r="F433" s="30">
        <v>5</v>
      </c>
      <c r="G433" s="1" t="s">
        <v>1</v>
      </c>
      <c r="H433">
        <f t="shared" si="6"/>
        <v>5</v>
      </c>
    </row>
    <row r="434" spans="1:8" x14ac:dyDescent="0.25">
      <c r="A434" s="5">
        <v>44704</v>
      </c>
      <c r="B434" s="30">
        <v>3</v>
      </c>
      <c r="C434" s="30">
        <v>4</v>
      </c>
      <c r="D434" s="30">
        <v>6</v>
      </c>
      <c r="E434" s="30">
        <v>0</v>
      </c>
      <c r="F434" s="30">
        <v>7</v>
      </c>
      <c r="G434" s="1" t="s">
        <v>2</v>
      </c>
      <c r="H434">
        <f t="shared" si="6"/>
        <v>5</v>
      </c>
    </row>
    <row r="435" spans="1:8" x14ac:dyDescent="0.25">
      <c r="A435" s="5">
        <v>44705</v>
      </c>
      <c r="B435" s="30">
        <v>1</v>
      </c>
      <c r="C435" s="30">
        <v>7</v>
      </c>
      <c r="D435" s="30">
        <v>3</v>
      </c>
      <c r="E435" s="30">
        <v>4</v>
      </c>
      <c r="F435" s="30">
        <v>3</v>
      </c>
      <c r="G435" s="1" t="s">
        <v>0</v>
      </c>
      <c r="H435">
        <f t="shared" si="6"/>
        <v>5</v>
      </c>
    </row>
    <row r="436" spans="1:8" x14ac:dyDescent="0.25">
      <c r="A436" s="5">
        <v>44705</v>
      </c>
      <c r="B436" s="30">
        <v>0</v>
      </c>
      <c r="C436" s="30">
        <v>1</v>
      </c>
      <c r="D436" s="30">
        <v>7</v>
      </c>
      <c r="E436" s="30">
        <v>5</v>
      </c>
      <c r="F436" s="30">
        <v>4</v>
      </c>
      <c r="G436" s="1" t="s">
        <v>1</v>
      </c>
      <c r="H436">
        <f t="shared" si="6"/>
        <v>5</v>
      </c>
    </row>
    <row r="437" spans="1:8" x14ac:dyDescent="0.25">
      <c r="A437" s="5">
        <v>44705</v>
      </c>
      <c r="B437" s="30">
        <v>8</v>
      </c>
      <c r="C437" s="30">
        <v>2</v>
      </c>
      <c r="D437" s="30">
        <v>3</v>
      </c>
      <c r="E437" s="30">
        <v>3</v>
      </c>
      <c r="F437" s="30">
        <v>4</v>
      </c>
      <c r="G437" s="1" t="s">
        <v>2</v>
      </c>
      <c r="H437">
        <f t="shared" si="6"/>
        <v>5</v>
      </c>
    </row>
    <row r="438" spans="1:8" x14ac:dyDescent="0.25">
      <c r="A438" s="5">
        <v>44706</v>
      </c>
      <c r="B438" s="30">
        <v>6</v>
      </c>
      <c r="C438" s="30">
        <v>1</v>
      </c>
      <c r="D438" s="30">
        <v>9</v>
      </c>
      <c r="E438" s="30">
        <v>6</v>
      </c>
      <c r="F438" s="30">
        <v>2</v>
      </c>
      <c r="G438" s="1" t="s">
        <v>0</v>
      </c>
      <c r="H438">
        <f t="shared" si="6"/>
        <v>5</v>
      </c>
    </row>
    <row r="439" spans="1:8" x14ac:dyDescent="0.25">
      <c r="A439" s="5">
        <v>44706</v>
      </c>
      <c r="B439" s="30">
        <v>4</v>
      </c>
      <c r="C439" s="30">
        <v>0</v>
      </c>
      <c r="D439" s="30">
        <v>1</v>
      </c>
      <c r="E439" s="30">
        <v>2</v>
      </c>
      <c r="F439" s="30">
        <v>8</v>
      </c>
      <c r="G439" s="1" t="s">
        <v>1</v>
      </c>
      <c r="H439">
        <f t="shared" si="6"/>
        <v>5</v>
      </c>
    </row>
    <row r="440" spans="1:8" x14ac:dyDescent="0.25">
      <c r="A440" s="5">
        <v>44706</v>
      </c>
      <c r="B440" s="30">
        <v>3</v>
      </c>
      <c r="C440" s="30">
        <v>3</v>
      </c>
      <c r="D440" s="30">
        <v>0</v>
      </c>
      <c r="E440" s="30">
        <v>8</v>
      </c>
      <c r="F440" s="30">
        <v>4</v>
      </c>
      <c r="G440" s="1" t="s">
        <v>2</v>
      </c>
      <c r="H440">
        <f t="shared" si="6"/>
        <v>5</v>
      </c>
    </row>
    <row r="441" spans="1:8" x14ac:dyDescent="0.25">
      <c r="A441" s="5">
        <v>44707</v>
      </c>
      <c r="B441" s="30">
        <v>7</v>
      </c>
      <c r="C441" s="30">
        <v>4</v>
      </c>
      <c r="D441" s="30">
        <v>5</v>
      </c>
      <c r="E441" s="30">
        <v>3</v>
      </c>
      <c r="F441" s="30">
        <v>6</v>
      </c>
      <c r="G441" s="1" t="s">
        <v>0</v>
      </c>
      <c r="H441">
        <f t="shared" si="6"/>
        <v>5</v>
      </c>
    </row>
    <row r="442" spans="1:8" x14ac:dyDescent="0.25">
      <c r="A442" s="5">
        <v>44707</v>
      </c>
      <c r="B442" s="30">
        <v>7</v>
      </c>
      <c r="C442" s="30">
        <v>3</v>
      </c>
      <c r="D442" s="30">
        <v>5</v>
      </c>
      <c r="E442" s="30">
        <v>6</v>
      </c>
      <c r="F442" s="30">
        <v>2</v>
      </c>
      <c r="G442" s="1" t="s">
        <v>1</v>
      </c>
      <c r="H442">
        <f t="shared" si="6"/>
        <v>5</v>
      </c>
    </row>
    <row r="443" spans="1:8" x14ac:dyDescent="0.25">
      <c r="A443" s="5">
        <v>44707</v>
      </c>
      <c r="B443" s="30">
        <v>3</v>
      </c>
      <c r="C443" s="30">
        <v>6</v>
      </c>
      <c r="D443" s="30">
        <v>3</v>
      </c>
      <c r="E443" s="30">
        <v>4</v>
      </c>
      <c r="F443" s="30">
        <v>7</v>
      </c>
      <c r="G443" s="1" t="s">
        <v>2</v>
      </c>
      <c r="H443">
        <f t="shared" si="6"/>
        <v>5</v>
      </c>
    </row>
    <row r="444" spans="1:8" x14ac:dyDescent="0.25">
      <c r="A444" s="5">
        <v>44708</v>
      </c>
      <c r="B444" s="30">
        <v>7</v>
      </c>
      <c r="C444" s="30">
        <v>3</v>
      </c>
      <c r="D444" s="30">
        <v>0</v>
      </c>
      <c r="E444" s="30">
        <v>4</v>
      </c>
      <c r="F444" s="30">
        <v>0</v>
      </c>
      <c r="G444" s="1" t="s">
        <v>0</v>
      </c>
      <c r="H444">
        <f t="shared" si="6"/>
        <v>5</v>
      </c>
    </row>
    <row r="445" spans="1:8" x14ac:dyDescent="0.25">
      <c r="A445" s="5">
        <v>44708</v>
      </c>
      <c r="B445" s="30">
        <v>6</v>
      </c>
      <c r="C445" s="30">
        <v>4</v>
      </c>
      <c r="D445" s="30">
        <v>2</v>
      </c>
      <c r="E445" s="30">
        <v>0</v>
      </c>
      <c r="F445" s="30">
        <v>1</v>
      </c>
      <c r="G445" s="1" t="s">
        <v>1</v>
      </c>
      <c r="H445">
        <f t="shared" si="6"/>
        <v>5</v>
      </c>
    </row>
    <row r="446" spans="1:8" x14ac:dyDescent="0.25">
      <c r="A446" s="5">
        <v>44708</v>
      </c>
      <c r="B446" s="30">
        <v>5</v>
      </c>
      <c r="C446" s="30">
        <v>6</v>
      </c>
      <c r="D446" s="30">
        <v>3</v>
      </c>
      <c r="E446" s="30">
        <v>1</v>
      </c>
      <c r="F446" s="30">
        <v>3</v>
      </c>
      <c r="G446" s="1" t="s">
        <v>2</v>
      </c>
      <c r="H446">
        <f t="shared" si="6"/>
        <v>5</v>
      </c>
    </row>
    <row r="447" spans="1:8" x14ac:dyDescent="0.25">
      <c r="A447" s="5">
        <v>44709</v>
      </c>
      <c r="B447" s="30">
        <v>10</v>
      </c>
      <c r="C447" s="30">
        <v>8</v>
      </c>
      <c r="D447" s="30">
        <v>5</v>
      </c>
      <c r="E447" s="30">
        <v>0</v>
      </c>
      <c r="F447" s="30">
        <v>7</v>
      </c>
      <c r="G447" s="1" t="s">
        <v>0</v>
      </c>
      <c r="H447">
        <f t="shared" si="6"/>
        <v>5</v>
      </c>
    </row>
    <row r="448" spans="1:8" x14ac:dyDescent="0.25">
      <c r="A448" s="5">
        <v>44709</v>
      </c>
      <c r="B448" s="30">
        <v>1</v>
      </c>
      <c r="C448" s="30">
        <v>3</v>
      </c>
      <c r="D448" s="30">
        <v>3</v>
      </c>
      <c r="E448" s="30">
        <v>1</v>
      </c>
      <c r="F448" s="30">
        <v>3</v>
      </c>
      <c r="G448" s="1" t="s">
        <v>1</v>
      </c>
      <c r="H448">
        <f t="shared" si="6"/>
        <v>5</v>
      </c>
    </row>
    <row r="449" spans="1:8" x14ac:dyDescent="0.25">
      <c r="A449" s="5">
        <v>44709</v>
      </c>
      <c r="B449" s="30">
        <v>0</v>
      </c>
      <c r="C449" s="30">
        <v>1</v>
      </c>
      <c r="D449" s="30">
        <v>3</v>
      </c>
      <c r="E449" s="30">
        <v>3</v>
      </c>
      <c r="F449" s="30">
        <v>4</v>
      </c>
      <c r="G449" s="1" t="s">
        <v>2</v>
      </c>
      <c r="H449">
        <f t="shared" si="6"/>
        <v>5</v>
      </c>
    </row>
    <row r="450" spans="1:8" x14ac:dyDescent="0.25">
      <c r="A450" s="5">
        <v>44710</v>
      </c>
      <c r="B450" s="30">
        <v>9</v>
      </c>
      <c r="C450" s="30">
        <v>2</v>
      </c>
      <c r="D450" s="30">
        <v>1</v>
      </c>
      <c r="E450" s="30">
        <v>3</v>
      </c>
      <c r="F450" s="30">
        <v>8</v>
      </c>
      <c r="G450" s="1" t="s">
        <v>0</v>
      </c>
      <c r="H450">
        <f t="shared" si="6"/>
        <v>5</v>
      </c>
    </row>
    <row r="451" spans="1:8" x14ac:dyDescent="0.25">
      <c r="A451" s="5">
        <v>44710</v>
      </c>
      <c r="B451" s="30">
        <v>4</v>
      </c>
      <c r="C451" s="30">
        <v>3</v>
      </c>
      <c r="D451" s="30">
        <v>3</v>
      </c>
      <c r="E451" s="30">
        <v>4</v>
      </c>
      <c r="F451" s="30">
        <v>1</v>
      </c>
      <c r="G451" s="1" t="s">
        <v>1</v>
      </c>
      <c r="H451">
        <f t="shared" si="6"/>
        <v>5</v>
      </c>
    </row>
    <row r="452" spans="1:8" x14ac:dyDescent="0.25">
      <c r="A452" s="5">
        <v>44710</v>
      </c>
      <c r="B452" s="30">
        <v>10</v>
      </c>
      <c r="C452" s="30">
        <v>1</v>
      </c>
      <c r="D452" s="30">
        <v>3</v>
      </c>
      <c r="E452" s="30">
        <v>1</v>
      </c>
      <c r="F452" s="30">
        <v>1</v>
      </c>
      <c r="G452" s="1" t="s">
        <v>2</v>
      </c>
      <c r="H452">
        <f t="shared" ref="H452:H515" si="7">MONTH(A452)</f>
        <v>5</v>
      </c>
    </row>
    <row r="453" spans="1:8" x14ac:dyDescent="0.25">
      <c r="A453" s="5">
        <v>44711</v>
      </c>
      <c r="B453" s="30">
        <v>7</v>
      </c>
      <c r="C453" s="30">
        <v>2</v>
      </c>
      <c r="D453" s="30">
        <v>1</v>
      </c>
      <c r="E453" s="30">
        <v>0</v>
      </c>
      <c r="F453" s="30">
        <v>4</v>
      </c>
      <c r="G453" s="1" t="s">
        <v>0</v>
      </c>
      <c r="H453">
        <f t="shared" si="7"/>
        <v>5</v>
      </c>
    </row>
    <row r="454" spans="1:8" x14ac:dyDescent="0.25">
      <c r="A454" s="5">
        <v>44711</v>
      </c>
      <c r="B454" s="30">
        <v>3</v>
      </c>
      <c r="C454" s="30">
        <v>3</v>
      </c>
      <c r="D454" s="30">
        <v>7</v>
      </c>
      <c r="E454" s="30">
        <v>2</v>
      </c>
      <c r="F454" s="30">
        <v>3</v>
      </c>
      <c r="G454" s="1" t="s">
        <v>1</v>
      </c>
      <c r="H454">
        <f t="shared" si="7"/>
        <v>5</v>
      </c>
    </row>
    <row r="455" spans="1:8" x14ac:dyDescent="0.25">
      <c r="A455" s="5">
        <v>44711</v>
      </c>
      <c r="B455" s="30">
        <v>2</v>
      </c>
      <c r="C455" s="30">
        <v>4</v>
      </c>
      <c r="D455" s="30">
        <v>1</v>
      </c>
      <c r="E455" s="30">
        <v>3</v>
      </c>
      <c r="F455" s="30">
        <v>4</v>
      </c>
      <c r="G455" s="1" t="s">
        <v>2</v>
      </c>
      <c r="H455">
        <f t="shared" si="7"/>
        <v>5</v>
      </c>
    </row>
    <row r="456" spans="1:8" x14ac:dyDescent="0.25">
      <c r="A456" s="5">
        <v>44712</v>
      </c>
      <c r="B456" s="30">
        <v>0</v>
      </c>
      <c r="C456" s="30">
        <v>4</v>
      </c>
      <c r="D456" s="30">
        <v>6</v>
      </c>
      <c r="E456" s="30">
        <v>8</v>
      </c>
      <c r="F456" s="30">
        <v>1</v>
      </c>
      <c r="G456" s="1" t="s">
        <v>0</v>
      </c>
      <c r="H456">
        <f t="shared" si="7"/>
        <v>5</v>
      </c>
    </row>
    <row r="457" spans="1:8" x14ac:dyDescent="0.25">
      <c r="A457" s="5">
        <v>44712</v>
      </c>
      <c r="B457" s="30">
        <v>7</v>
      </c>
      <c r="C457" s="30">
        <v>4</v>
      </c>
      <c r="D457" s="30">
        <v>3</v>
      </c>
      <c r="E457" s="30">
        <v>3</v>
      </c>
      <c r="F457" s="30">
        <v>2</v>
      </c>
      <c r="G457" s="1" t="s">
        <v>1</v>
      </c>
      <c r="H457">
        <f t="shared" si="7"/>
        <v>5</v>
      </c>
    </row>
    <row r="458" spans="1:8" x14ac:dyDescent="0.25">
      <c r="A458" s="5">
        <v>44712</v>
      </c>
      <c r="B458" s="30">
        <v>6</v>
      </c>
      <c r="C458" s="30">
        <v>0</v>
      </c>
      <c r="D458" s="30">
        <v>4</v>
      </c>
      <c r="E458" s="30">
        <v>4</v>
      </c>
      <c r="F458" s="30">
        <v>7</v>
      </c>
      <c r="G458" s="1" t="s">
        <v>2</v>
      </c>
      <c r="H458">
        <f t="shared" si="7"/>
        <v>5</v>
      </c>
    </row>
    <row r="459" spans="1:8" x14ac:dyDescent="0.25">
      <c r="A459" s="5">
        <v>44713</v>
      </c>
      <c r="B459" s="30">
        <v>2</v>
      </c>
      <c r="C459" s="30">
        <v>3</v>
      </c>
      <c r="D459" s="30">
        <v>6</v>
      </c>
      <c r="E459" s="30">
        <v>0</v>
      </c>
      <c r="F459" s="30">
        <v>5</v>
      </c>
      <c r="G459" s="1" t="s">
        <v>0</v>
      </c>
      <c r="H459">
        <f t="shared" si="7"/>
        <v>6</v>
      </c>
    </row>
    <row r="460" spans="1:8" x14ac:dyDescent="0.25">
      <c r="A460" s="5">
        <v>44713</v>
      </c>
      <c r="B460" s="30">
        <v>3</v>
      </c>
      <c r="C460" s="30">
        <v>5</v>
      </c>
      <c r="D460" s="30">
        <v>6</v>
      </c>
      <c r="E460" s="30">
        <v>4</v>
      </c>
      <c r="F460" s="30">
        <v>10</v>
      </c>
      <c r="G460" s="1" t="s">
        <v>1</v>
      </c>
      <c r="H460">
        <f t="shared" si="7"/>
        <v>6</v>
      </c>
    </row>
    <row r="461" spans="1:8" x14ac:dyDescent="0.25">
      <c r="A461" s="5">
        <v>44713</v>
      </c>
      <c r="B461" s="30">
        <v>9</v>
      </c>
      <c r="C461" s="30">
        <v>4</v>
      </c>
      <c r="D461" s="30">
        <v>8</v>
      </c>
      <c r="E461" s="30">
        <v>3</v>
      </c>
      <c r="F461" s="30">
        <v>3</v>
      </c>
      <c r="G461" s="1" t="s">
        <v>2</v>
      </c>
      <c r="H461">
        <f t="shared" si="7"/>
        <v>6</v>
      </c>
    </row>
    <row r="462" spans="1:8" x14ac:dyDescent="0.25">
      <c r="A462" s="5">
        <v>44714</v>
      </c>
      <c r="B462" s="30">
        <v>10</v>
      </c>
      <c r="C462" s="30">
        <v>7</v>
      </c>
      <c r="D462" s="30">
        <v>4</v>
      </c>
      <c r="E462" s="30">
        <v>2</v>
      </c>
      <c r="F462" s="30">
        <v>9</v>
      </c>
      <c r="G462" s="1" t="s">
        <v>0</v>
      </c>
      <c r="H462">
        <f t="shared" si="7"/>
        <v>6</v>
      </c>
    </row>
    <row r="463" spans="1:8" x14ac:dyDescent="0.25">
      <c r="A463" s="5">
        <v>44714</v>
      </c>
      <c r="B463" s="30">
        <v>4</v>
      </c>
      <c r="C463" s="30">
        <v>5</v>
      </c>
      <c r="D463" s="30">
        <v>2</v>
      </c>
      <c r="E463" s="30">
        <v>4</v>
      </c>
      <c r="F463" s="30">
        <v>0</v>
      </c>
      <c r="G463" s="1" t="s">
        <v>1</v>
      </c>
      <c r="H463">
        <f t="shared" si="7"/>
        <v>6</v>
      </c>
    </row>
    <row r="464" spans="1:8" x14ac:dyDescent="0.25">
      <c r="A464" s="5">
        <v>44714</v>
      </c>
      <c r="B464" s="30">
        <v>4</v>
      </c>
      <c r="C464" s="30">
        <v>3</v>
      </c>
      <c r="D464" s="30">
        <v>3</v>
      </c>
      <c r="E464" s="30">
        <v>5</v>
      </c>
      <c r="F464" s="30">
        <v>3</v>
      </c>
      <c r="G464" s="1" t="s">
        <v>2</v>
      </c>
      <c r="H464">
        <f t="shared" si="7"/>
        <v>6</v>
      </c>
    </row>
    <row r="465" spans="1:8" x14ac:dyDescent="0.25">
      <c r="A465" s="5">
        <v>44715</v>
      </c>
      <c r="B465" s="30">
        <v>3</v>
      </c>
      <c r="C465" s="30">
        <v>6</v>
      </c>
      <c r="D465" s="30">
        <v>3</v>
      </c>
      <c r="E465" s="30">
        <v>5</v>
      </c>
      <c r="F465" s="30">
        <v>5</v>
      </c>
      <c r="G465" s="1" t="s">
        <v>0</v>
      </c>
      <c r="H465">
        <f t="shared" si="7"/>
        <v>6</v>
      </c>
    </row>
    <row r="466" spans="1:8" x14ac:dyDescent="0.25">
      <c r="A466" s="5">
        <v>44715</v>
      </c>
      <c r="B466" s="30">
        <v>2</v>
      </c>
      <c r="C466" s="30">
        <v>1</v>
      </c>
      <c r="D466" s="30">
        <v>8</v>
      </c>
      <c r="E466" s="30">
        <v>2</v>
      </c>
      <c r="F466" s="30">
        <v>9</v>
      </c>
      <c r="G466" s="1" t="s">
        <v>1</v>
      </c>
      <c r="H466">
        <f t="shared" si="7"/>
        <v>6</v>
      </c>
    </row>
    <row r="467" spans="1:8" x14ac:dyDescent="0.25">
      <c r="A467" s="5">
        <v>44715</v>
      </c>
      <c r="B467" s="30">
        <v>8</v>
      </c>
      <c r="C467" s="30">
        <v>0</v>
      </c>
      <c r="D467" s="30">
        <v>2</v>
      </c>
      <c r="E467" s="30">
        <v>1</v>
      </c>
      <c r="F467" s="30">
        <v>3</v>
      </c>
      <c r="G467" s="1" t="s">
        <v>2</v>
      </c>
      <c r="H467">
        <f t="shared" si="7"/>
        <v>6</v>
      </c>
    </row>
    <row r="468" spans="1:8" x14ac:dyDescent="0.25">
      <c r="A468" s="5">
        <v>44716</v>
      </c>
      <c r="B468" s="30">
        <v>4</v>
      </c>
      <c r="C468" s="30">
        <v>1</v>
      </c>
      <c r="D468" s="30">
        <v>2</v>
      </c>
      <c r="E468" s="30">
        <v>3</v>
      </c>
      <c r="F468" s="30">
        <v>0</v>
      </c>
      <c r="G468" s="1" t="s">
        <v>0</v>
      </c>
      <c r="H468">
        <f t="shared" si="7"/>
        <v>6</v>
      </c>
    </row>
    <row r="469" spans="1:8" x14ac:dyDescent="0.25">
      <c r="A469" s="5">
        <v>44716</v>
      </c>
      <c r="B469" s="30">
        <v>7</v>
      </c>
      <c r="C469" s="30">
        <v>2</v>
      </c>
      <c r="D469" s="30">
        <v>1</v>
      </c>
      <c r="E469" s="30">
        <v>5</v>
      </c>
      <c r="F469" s="30">
        <v>2</v>
      </c>
      <c r="G469" s="1" t="s">
        <v>1</v>
      </c>
      <c r="H469">
        <f t="shared" si="7"/>
        <v>6</v>
      </c>
    </row>
    <row r="470" spans="1:8" x14ac:dyDescent="0.25">
      <c r="A470" s="5">
        <v>44716</v>
      </c>
      <c r="B470" s="30">
        <v>0</v>
      </c>
      <c r="C470" s="30">
        <v>9</v>
      </c>
      <c r="D470" s="30">
        <v>3</v>
      </c>
      <c r="E470" s="30">
        <v>0</v>
      </c>
      <c r="F470" s="30">
        <v>2</v>
      </c>
      <c r="G470" s="1" t="s">
        <v>2</v>
      </c>
      <c r="H470">
        <f t="shared" si="7"/>
        <v>6</v>
      </c>
    </row>
    <row r="471" spans="1:8" x14ac:dyDescent="0.25">
      <c r="A471" s="5">
        <v>44717</v>
      </c>
      <c r="B471" s="30">
        <v>6</v>
      </c>
      <c r="C471" s="30">
        <v>8</v>
      </c>
      <c r="D471" s="30">
        <v>4</v>
      </c>
      <c r="E471" s="30">
        <v>4</v>
      </c>
      <c r="F471" s="30">
        <v>3</v>
      </c>
      <c r="G471" s="1" t="s">
        <v>0</v>
      </c>
      <c r="H471">
        <f t="shared" si="7"/>
        <v>6</v>
      </c>
    </row>
    <row r="472" spans="1:8" x14ac:dyDescent="0.25">
      <c r="A472" s="5">
        <v>44717</v>
      </c>
      <c r="B472" s="30">
        <v>0</v>
      </c>
      <c r="C472" s="30">
        <v>3</v>
      </c>
      <c r="D472" s="30">
        <v>4</v>
      </c>
      <c r="E472" s="30">
        <v>1</v>
      </c>
      <c r="F472" s="30">
        <v>3</v>
      </c>
      <c r="G472" s="1" t="s">
        <v>1</v>
      </c>
      <c r="H472">
        <f t="shared" si="7"/>
        <v>6</v>
      </c>
    </row>
    <row r="473" spans="1:8" x14ac:dyDescent="0.25">
      <c r="A473" s="5">
        <v>44717</v>
      </c>
      <c r="B473" s="30">
        <v>8</v>
      </c>
      <c r="C473" s="30">
        <v>5</v>
      </c>
      <c r="D473" s="30">
        <v>1</v>
      </c>
      <c r="E473" s="30">
        <v>2</v>
      </c>
      <c r="F473" s="30">
        <v>6</v>
      </c>
      <c r="G473" s="1" t="s">
        <v>2</v>
      </c>
      <c r="H473">
        <f t="shared" si="7"/>
        <v>6</v>
      </c>
    </row>
    <row r="474" spans="1:8" x14ac:dyDescent="0.25">
      <c r="A474" s="5">
        <v>44718</v>
      </c>
      <c r="B474" s="30">
        <v>1</v>
      </c>
      <c r="C474" s="30">
        <v>3</v>
      </c>
      <c r="D474" s="30">
        <v>2</v>
      </c>
      <c r="E474" s="30">
        <v>0</v>
      </c>
      <c r="F474" s="30">
        <v>0</v>
      </c>
      <c r="G474" s="1" t="s">
        <v>0</v>
      </c>
      <c r="H474">
        <f t="shared" si="7"/>
        <v>6</v>
      </c>
    </row>
    <row r="475" spans="1:8" x14ac:dyDescent="0.25">
      <c r="A475" s="5">
        <v>44718</v>
      </c>
      <c r="B475" s="30">
        <v>0</v>
      </c>
      <c r="C475" s="30">
        <v>3</v>
      </c>
      <c r="D475" s="30">
        <v>3</v>
      </c>
      <c r="E475" s="30">
        <v>3</v>
      </c>
      <c r="F475" s="30">
        <v>3</v>
      </c>
      <c r="G475" s="1" t="s">
        <v>1</v>
      </c>
      <c r="H475">
        <f t="shared" si="7"/>
        <v>6</v>
      </c>
    </row>
    <row r="476" spans="1:8" x14ac:dyDescent="0.25">
      <c r="A476" s="5">
        <v>44718</v>
      </c>
      <c r="B476" s="30">
        <v>9</v>
      </c>
      <c r="C476" s="30">
        <v>4</v>
      </c>
      <c r="D476" s="30">
        <v>7</v>
      </c>
      <c r="E476" s="30">
        <v>6</v>
      </c>
      <c r="F476" s="30">
        <v>0</v>
      </c>
      <c r="G476" s="1" t="s">
        <v>2</v>
      </c>
      <c r="H476">
        <f t="shared" si="7"/>
        <v>6</v>
      </c>
    </row>
    <row r="477" spans="1:8" x14ac:dyDescent="0.25">
      <c r="A477" s="5">
        <v>44719</v>
      </c>
      <c r="B477" s="30">
        <v>4</v>
      </c>
      <c r="C477" s="30">
        <v>4</v>
      </c>
      <c r="D477" s="30">
        <v>0</v>
      </c>
      <c r="E477" s="30">
        <v>3</v>
      </c>
      <c r="F477" s="30">
        <v>2</v>
      </c>
      <c r="G477" s="1" t="s">
        <v>0</v>
      </c>
      <c r="H477">
        <f t="shared" si="7"/>
        <v>6</v>
      </c>
    </row>
    <row r="478" spans="1:8" x14ac:dyDescent="0.25">
      <c r="A478" s="5">
        <v>44719</v>
      </c>
      <c r="B478" s="30">
        <v>9</v>
      </c>
      <c r="C478" s="30">
        <v>5</v>
      </c>
      <c r="D478" s="30">
        <v>8</v>
      </c>
      <c r="E478" s="30">
        <v>1</v>
      </c>
      <c r="F478" s="30">
        <v>7</v>
      </c>
      <c r="G478" s="1" t="s">
        <v>1</v>
      </c>
      <c r="H478">
        <f t="shared" si="7"/>
        <v>6</v>
      </c>
    </row>
    <row r="479" spans="1:8" x14ac:dyDescent="0.25">
      <c r="A479" s="5">
        <v>44719</v>
      </c>
      <c r="B479" s="30">
        <v>1</v>
      </c>
      <c r="C479" s="30">
        <v>5</v>
      </c>
      <c r="D479" s="30">
        <v>3</v>
      </c>
      <c r="E479" s="30">
        <v>2</v>
      </c>
      <c r="F479" s="30">
        <v>3</v>
      </c>
      <c r="G479" s="1" t="s">
        <v>2</v>
      </c>
      <c r="H479">
        <f t="shared" si="7"/>
        <v>6</v>
      </c>
    </row>
    <row r="480" spans="1:8" x14ac:dyDescent="0.25">
      <c r="A480" s="5">
        <v>44720</v>
      </c>
      <c r="B480" s="30">
        <v>3</v>
      </c>
      <c r="C480" s="30">
        <v>3</v>
      </c>
      <c r="D480" s="30">
        <v>8</v>
      </c>
      <c r="E480" s="30">
        <v>4</v>
      </c>
      <c r="F480" s="30">
        <v>2</v>
      </c>
      <c r="G480" s="1" t="s">
        <v>0</v>
      </c>
      <c r="H480">
        <f t="shared" si="7"/>
        <v>6</v>
      </c>
    </row>
    <row r="481" spans="1:8" x14ac:dyDescent="0.25">
      <c r="A481" s="5">
        <v>44720</v>
      </c>
      <c r="B481" s="30">
        <v>2</v>
      </c>
      <c r="C481" s="30">
        <v>3</v>
      </c>
      <c r="D481" s="30">
        <v>5</v>
      </c>
      <c r="E481" s="30">
        <v>10</v>
      </c>
      <c r="F481" s="30">
        <v>1</v>
      </c>
      <c r="G481" s="1" t="s">
        <v>1</v>
      </c>
      <c r="H481">
        <f t="shared" si="7"/>
        <v>6</v>
      </c>
    </row>
    <row r="482" spans="1:8" x14ac:dyDescent="0.25">
      <c r="A482" s="5">
        <v>44720</v>
      </c>
      <c r="B482" s="30">
        <v>7</v>
      </c>
      <c r="C482" s="30">
        <v>0</v>
      </c>
      <c r="D482" s="30">
        <v>2</v>
      </c>
      <c r="E482" s="30">
        <v>3</v>
      </c>
      <c r="F482" s="30">
        <v>4</v>
      </c>
      <c r="G482" s="1" t="s">
        <v>2</v>
      </c>
      <c r="H482">
        <f t="shared" si="7"/>
        <v>6</v>
      </c>
    </row>
    <row r="483" spans="1:8" x14ac:dyDescent="0.25">
      <c r="A483" s="5">
        <v>44721</v>
      </c>
      <c r="B483" s="30">
        <v>7</v>
      </c>
      <c r="C483" s="30">
        <v>4</v>
      </c>
      <c r="D483" s="30">
        <v>0</v>
      </c>
      <c r="E483" s="30">
        <v>4</v>
      </c>
      <c r="F483" s="30">
        <v>1</v>
      </c>
      <c r="G483" s="1" t="s">
        <v>0</v>
      </c>
      <c r="H483">
        <f t="shared" si="7"/>
        <v>6</v>
      </c>
    </row>
    <row r="484" spans="1:8" x14ac:dyDescent="0.25">
      <c r="A484" s="5">
        <v>44721</v>
      </c>
      <c r="B484" s="30">
        <v>8</v>
      </c>
      <c r="C484" s="30">
        <v>5</v>
      </c>
      <c r="D484" s="30">
        <v>2</v>
      </c>
      <c r="E484" s="30">
        <v>6</v>
      </c>
      <c r="F484" s="30">
        <v>4</v>
      </c>
      <c r="G484" s="1" t="s">
        <v>1</v>
      </c>
      <c r="H484">
        <f t="shared" si="7"/>
        <v>6</v>
      </c>
    </row>
    <row r="485" spans="1:8" x14ac:dyDescent="0.25">
      <c r="A485" s="5">
        <v>44721</v>
      </c>
      <c r="B485" s="30">
        <v>1</v>
      </c>
      <c r="C485" s="30">
        <v>8</v>
      </c>
      <c r="D485" s="30">
        <v>3</v>
      </c>
      <c r="E485" s="30">
        <v>2</v>
      </c>
      <c r="F485" s="30">
        <v>2</v>
      </c>
      <c r="G485" s="1" t="s">
        <v>2</v>
      </c>
      <c r="H485">
        <f t="shared" si="7"/>
        <v>6</v>
      </c>
    </row>
    <row r="486" spans="1:8" x14ac:dyDescent="0.25">
      <c r="A486" s="5">
        <v>44722</v>
      </c>
      <c r="B486" s="30">
        <v>5</v>
      </c>
      <c r="C486" s="30">
        <v>2</v>
      </c>
      <c r="D486" s="30">
        <v>7</v>
      </c>
      <c r="E486" s="30">
        <v>10</v>
      </c>
      <c r="F486" s="30">
        <v>2</v>
      </c>
      <c r="G486" s="1" t="s">
        <v>0</v>
      </c>
      <c r="H486">
        <f t="shared" si="7"/>
        <v>6</v>
      </c>
    </row>
    <row r="487" spans="1:8" x14ac:dyDescent="0.25">
      <c r="A487" s="5">
        <v>44722</v>
      </c>
      <c r="B487" s="30">
        <v>0</v>
      </c>
      <c r="C487" s="30">
        <v>3</v>
      </c>
      <c r="D487" s="30">
        <v>5</v>
      </c>
      <c r="E487" s="30">
        <v>10</v>
      </c>
      <c r="F487" s="30">
        <v>5</v>
      </c>
      <c r="G487" s="1" t="s">
        <v>1</v>
      </c>
      <c r="H487">
        <f t="shared" si="7"/>
        <v>6</v>
      </c>
    </row>
    <row r="488" spans="1:8" x14ac:dyDescent="0.25">
      <c r="A488" s="5">
        <v>44722</v>
      </c>
      <c r="B488" s="30">
        <v>6</v>
      </c>
      <c r="C488" s="30">
        <v>3</v>
      </c>
      <c r="D488" s="30">
        <v>0</v>
      </c>
      <c r="E488" s="30">
        <v>1</v>
      </c>
      <c r="F488" s="30">
        <v>5</v>
      </c>
      <c r="G488" s="1" t="s">
        <v>2</v>
      </c>
      <c r="H488">
        <f t="shared" si="7"/>
        <v>6</v>
      </c>
    </row>
    <row r="489" spans="1:8" x14ac:dyDescent="0.25">
      <c r="A489" s="5">
        <v>44723</v>
      </c>
      <c r="B489" s="30">
        <v>3</v>
      </c>
      <c r="C489" s="30">
        <v>2</v>
      </c>
      <c r="D489" s="30">
        <v>4</v>
      </c>
      <c r="E489" s="30">
        <v>1</v>
      </c>
      <c r="F489" s="30">
        <v>7</v>
      </c>
      <c r="G489" s="1" t="s">
        <v>0</v>
      </c>
      <c r="H489">
        <f t="shared" si="7"/>
        <v>6</v>
      </c>
    </row>
    <row r="490" spans="1:8" x14ac:dyDescent="0.25">
      <c r="A490" s="5">
        <v>44723</v>
      </c>
      <c r="B490" s="30">
        <v>5</v>
      </c>
      <c r="C490" s="30">
        <v>5</v>
      </c>
      <c r="D490" s="30">
        <v>7</v>
      </c>
      <c r="E490" s="30">
        <v>4</v>
      </c>
      <c r="F490" s="30">
        <v>0</v>
      </c>
      <c r="G490" s="1" t="s">
        <v>1</v>
      </c>
      <c r="H490">
        <f t="shared" si="7"/>
        <v>6</v>
      </c>
    </row>
    <row r="491" spans="1:8" x14ac:dyDescent="0.25">
      <c r="A491" s="5">
        <v>44723</v>
      </c>
      <c r="B491" s="30">
        <v>2</v>
      </c>
      <c r="C491" s="30">
        <v>3</v>
      </c>
      <c r="D491" s="30">
        <v>5</v>
      </c>
      <c r="E491" s="30">
        <v>6</v>
      </c>
      <c r="F491" s="30">
        <v>4</v>
      </c>
      <c r="G491" s="1" t="s">
        <v>2</v>
      </c>
      <c r="H491">
        <f t="shared" si="7"/>
        <v>6</v>
      </c>
    </row>
    <row r="492" spans="1:8" x14ac:dyDescent="0.25">
      <c r="A492" s="5">
        <v>44724</v>
      </c>
      <c r="B492" s="30">
        <v>3</v>
      </c>
      <c r="C492" s="30">
        <v>3</v>
      </c>
      <c r="D492" s="30">
        <v>2</v>
      </c>
      <c r="E492" s="30">
        <v>7</v>
      </c>
      <c r="F492" s="30">
        <v>1</v>
      </c>
      <c r="G492" s="1" t="s">
        <v>0</v>
      </c>
      <c r="H492">
        <f t="shared" si="7"/>
        <v>6</v>
      </c>
    </row>
    <row r="493" spans="1:8" x14ac:dyDescent="0.25">
      <c r="A493" s="5">
        <v>44724</v>
      </c>
      <c r="B493" s="30">
        <v>10</v>
      </c>
      <c r="C493" s="30">
        <v>5</v>
      </c>
      <c r="D493" s="30">
        <v>3</v>
      </c>
      <c r="E493" s="30">
        <v>5</v>
      </c>
      <c r="F493" s="30">
        <v>4</v>
      </c>
      <c r="G493" s="1" t="s">
        <v>1</v>
      </c>
      <c r="H493">
        <f t="shared" si="7"/>
        <v>6</v>
      </c>
    </row>
    <row r="494" spans="1:8" x14ac:dyDescent="0.25">
      <c r="A494" s="5">
        <v>44724</v>
      </c>
      <c r="B494" s="30">
        <v>7</v>
      </c>
      <c r="C494" s="30">
        <v>5</v>
      </c>
      <c r="D494" s="30">
        <v>4</v>
      </c>
      <c r="E494" s="30">
        <v>3</v>
      </c>
      <c r="F494" s="30">
        <v>0</v>
      </c>
      <c r="G494" s="1" t="s">
        <v>2</v>
      </c>
      <c r="H494">
        <f t="shared" si="7"/>
        <v>6</v>
      </c>
    </row>
    <row r="495" spans="1:8" x14ac:dyDescent="0.25">
      <c r="A495" s="5">
        <v>44725</v>
      </c>
      <c r="B495" s="30">
        <v>2</v>
      </c>
      <c r="C495" s="30">
        <v>3</v>
      </c>
      <c r="D495" s="30">
        <v>3</v>
      </c>
      <c r="E495" s="30">
        <v>8</v>
      </c>
      <c r="F495" s="30">
        <v>3</v>
      </c>
      <c r="G495" s="1" t="s">
        <v>0</v>
      </c>
      <c r="H495">
        <f t="shared" si="7"/>
        <v>6</v>
      </c>
    </row>
    <row r="496" spans="1:8" x14ac:dyDescent="0.25">
      <c r="A496" s="5">
        <v>44725</v>
      </c>
      <c r="B496" s="30">
        <v>3</v>
      </c>
      <c r="C496" s="30">
        <v>2</v>
      </c>
      <c r="D496" s="30">
        <v>7</v>
      </c>
      <c r="E496" s="30">
        <v>0</v>
      </c>
      <c r="F496" s="30">
        <v>2</v>
      </c>
      <c r="G496" s="1" t="s">
        <v>1</v>
      </c>
      <c r="H496">
        <f t="shared" si="7"/>
        <v>6</v>
      </c>
    </row>
    <row r="497" spans="1:8" x14ac:dyDescent="0.25">
      <c r="A497" s="5">
        <v>44725</v>
      </c>
      <c r="B497" s="30">
        <v>0</v>
      </c>
      <c r="C497" s="30">
        <v>4</v>
      </c>
      <c r="D497" s="30">
        <v>3</v>
      </c>
      <c r="E497" s="30">
        <v>7</v>
      </c>
      <c r="F497" s="30">
        <v>6</v>
      </c>
      <c r="G497" s="1" t="s">
        <v>2</v>
      </c>
      <c r="H497">
        <f t="shared" si="7"/>
        <v>6</v>
      </c>
    </row>
    <row r="498" spans="1:8" x14ac:dyDescent="0.25">
      <c r="A498" s="5">
        <v>44726</v>
      </c>
      <c r="B498" s="30">
        <v>2</v>
      </c>
      <c r="C498" s="30">
        <v>5</v>
      </c>
      <c r="D498" s="30">
        <v>6</v>
      </c>
      <c r="E498" s="30">
        <v>4</v>
      </c>
      <c r="F498" s="30">
        <v>5</v>
      </c>
      <c r="G498" s="1" t="s">
        <v>0</v>
      </c>
      <c r="H498">
        <f t="shared" si="7"/>
        <v>6</v>
      </c>
    </row>
    <row r="499" spans="1:8" x14ac:dyDescent="0.25">
      <c r="A499" s="5">
        <v>44726</v>
      </c>
      <c r="B499" s="30">
        <v>5</v>
      </c>
      <c r="C499" s="30">
        <v>4</v>
      </c>
      <c r="D499" s="30">
        <v>1</v>
      </c>
      <c r="E499" s="30">
        <v>3</v>
      </c>
      <c r="F499" s="30">
        <v>1</v>
      </c>
      <c r="G499" s="1" t="s">
        <v>1</v>
      </c>
      <c r="H499">
        <f t="shared" si="7"/>
        <v>6</v>
      </c>
    </row>
    <row r="500" spans="1:8" x14ac:dyDescent="0.25">
      <c r="A500" s="5">
        <v>44726</v>
      </c>
      <c r="B500" s="30">
        <v>7</v>
      </c>
      <c r="C500" s="30">
        <v>2</v>
      </c>
      <c r="D500" s="30">
        <v>2</v>
      </c>
      <c r="E500" s="30">
        <v>9</v>
      </c>
      <c r="F500" s="30">
        <v>5</v>
      </c>
      <c r="G500" s="1" t="s">
        <v>2</v>
      </c>
      <c r="H500">
        <f t="shared" si="7"/>
        <v>6</v>
      </c>
    </row>
    <row r="501" spans="1:8" x14ac:dyDescent="0.25">
      <c r="A501" s="5">
        <v>44727</v>
      </c>
      <c r="B501" s="30">
        <v>2</v>
      </c>
      <c r="C501" s="30">
        <v>1</v>
      </c>
      <c r="D501" s="30">
        <v>8</v>
      </c>
      <c r="E501" s="30">
        <v>1</v>
      </c>
      <c r="F501" s="30">
        <v>4</v>
      </c>
      <c r="G501" s="1" t="s">
        <v>0</v>
      </c>
      <c r="H501">
        <f t="shared" si="7"/>
        <v>6</v>
      </c>
    </row>
    <row r="502" spans="1:8" x14ac:dyDescent="0.25">
      <c r="A502" s="5">
        <v>44727</v>
      </c>
      <c r="B502" s="30">
        <v>3</v>
      </c>
      <c r="C502" s="30">
        <v>3</v>
      </c>
      <c r="D502" s="30">
        <v>0</v>
      </c>
      <c r="E502" s="30">
        <v>4</v>
      </c>
      <c r="F502" s="30">
        <v>9</v>
      </c>
      <c r="G502" s="1" t="s">
        <v>1</v>
      </c>
      <c r="H502">
        <f t="shared" si="7"/>
        <v>6</v>
      </c>
    </row>
    <row r="503" spans="1:8" x14ac:dyDescent="0.25">
      <c r="A503" s="5">
        <v>44727</v>
      </c>
      <c r="B503" s="30">
        <v>7</v>
      </c>
      <c r="C503" s="30">
        <v>5</v>
      </c>
      <c r="D503" s="30">
        <v>0</v>
      </c>
      <c r="E503" s="30">
        <v>0</v>
      </c>
      <c r="F503" s="30">
        <v>7</v>
      </c>
      <c r="G503" s="1" t="s">
        <v>2</v>
      </c>
      <c r="H503">
        <f t="shared" si="7"/>
        <v>6</v>
      </c>
    </row>
    <row r="504" spans="1:8" x14ac:dyDescent="0.25">
      <c r="A504" s="5">
        <v>44728</v>
      </c>
      <c r="B504" s="30">
        <v>4</v>
      </c>
      <c r="C504" s="30">
        <v>1</v>
      </c>
      <c r="D504" s="30">
        <v>1</v>
      </c>
      <c r="E504" s="30">
        <v>1</v>
      </c>
      <c r="F504" s="30">
        <v>3</v>
      </c>
      <c r="G504" s="1" t="s">
        <v>0</v>
      </c>
      <c r="H504">
        <f t="shared" si="7"/>
        <v>6</v>
      </c>
    </row>
    <row r="505" spans="1:8" x14ac:dyDescent="0.25">
      <c r="A505" s="5">
        <v>44728</v>
      </c>
      <c r="B505" s="30">
        <v>3</v>
      </c>
      <c r="C505" s="30">
        <v>4</v>
      </c>
      <c r="D505" s="30">
        <v>0</v>
      </c>
      <c r="E505" s="30">
        <v>0</v>
      </c>
      <c r="F505" s="30">
        <v>2</v>
      </c>
      <c r="G505" s="1" t="s">
        <v>1</v>
      </c>
      <c r="H505">
        <f t="shared" si="7"/>
        <v>6</v>
      </c>
    </row>
    <row r="506" spans="1:8" x14ac:dyDescent="0.25">
      <c r="A506" s="5">
        <v>44728</v>
      </c>
      <c r="B506" s="30">
        <v>3</v>
      </c>
      <c r="C506" s="30">
        <v>5</v>
      </c>
      <c r="D506" s="30">
        <v>1</v>
      </c>
      <c r="E506" s="30">
        <v>5</v>
      </c>
      <c r="F506" s="30">
        <v>2</v>
      </c>
      <c r="G506" s="1" t="s">
        <v>2</v>
      </c>
      <c r="H506">
        <f t="shared" si="7"/>
        <v>6</v>
      </c>
    </row>
    <row r="507" spans="1:8" x14ac:dyDescent="0.25">
      <c r="A507" s="5">
        <v>44729</v>
      </c>
      <c r="B507" s="30">
        <v>2</v>
      </c>
      <c r="C507" s="30">
        <v>4</v>
      </c>
      <c r="D507" s="30">
        <v>0</v>
      </c>
      <c r="E507" s="30">
        <v>4</v>
      </c>
      <c r="F507" s="30">
        <v>6</v>
      </c>
      <c r="G507" s="1" t="s">
        <v>0</v>
      </c>
      <c r="H507">
        <f t="shared" si="7"/>
        <v>6</v>
      </c>
    </row>
    <row r="508" spans="1:8" x14ac:dyDescent="0.25">
      <c r="A508" s="5">
        <v>44729</v>
      </c>
      <c r="B508" s="30">
        <v>3</v>
      </c>
      <c r="C508" s="30">
        <v>5</v>
      </c>
      <c r="D508" s="30">
        <v>4</v>
      </c>
      <c r="E508" s="30">
        <v>3</v>
      </c>
      <c r="F508" s="30">
        <v>7</v>
      </c>
      <c r="G508" s="1" t="s">
        <v>1</v>
      </c>
      <c r="H508">
        <f t="shared" si="7"/>
        <v>6</v>
      </c>
    </row>
    <row r="509" spans="1:8" x14ac:dyDescent="0.25">
      <c r="A509" s="5">
        <v>44729</v>
      </c>
      <c r="B509" s="30">
        <v>3</v>
      </c>
      <c r="C509" s="30">
        <v>3</v>
      </c>
      <c r="D509" s="30">
        <v>3</v>
      </c>
      <c r="E509" s="30">
        <v>1</v>
      </c>
      <c r="F509" s="30">
        <v>6</v>
      </c>
      <c r="G509" s="1" t="s">
        <v>2</v>
      </c>
      <c r="H509">
        <f t="shared" si="7"/>
        <v>6</v>
      </c>
    </row>
    <row r="510" spans="1:8" x14ac:dyDescent="0.25">
      <c r="A510" s="5">
        <v>44730</v>
      </c>
      <c r="B510" s="30">
        <v>0</v>
      </c>
      <c r="C510" s="30">
        <v>0</v>
      </c>
      <c r="D510" s="30">
        <v>3</v>
      </c>
      <c r="E510" s="30">
        <v>3</v>
      </c>
      <c r="F510" s="30">
        <v>2</v>
      </c>
      <c r="G510" s="1" t="s">
        <v>0</v>
      </c>
      <c r="H510">
        <f t="shared" si="7"/>
        <v>6</v>
      </c>
    </row>
    <row r="511" spans="1:8" x14ac:dyDescent="0.25">
      <c r="A511" s="5">
        <v>44730</v>
      </c>
      <c r="B511" s="30">
        <v>4</v>
      </c>
      <c r="C511" s="30">
        <v>3</v>
      </c>
      <c r="D511" s="30">
        <v>1</v>
      </c>
      <c r="E511" s="30">
        <v>4</v>
      </c>
      <c r="F511" s="30">
        <v>1</v>
      </c>
      <c r="G511" s="1" t="s">
        <v>1</v>
      </c>
      <c r="H511">
        <f t="shared" si="7"/>
        <v>6</v>
      </c>
    </row>
    <row r="512" spans="1:8" x14ac:dyDescent="0.25">
      <c r="A512" s="5">
        <v>44730</v>
      </c>
      <c r="B512" s="30">
        <v>3</v>
      </c>
      <c r="C512" s="30">
        <v>2</v>
      </c>
      <c r="D512" s="30">
        <v>7</v>
      </c>
      <c r="E512" s="30">
        <v>3</v>
      </c>
      <c r="F512" s="30">
        <v>4</v>
      </c>
      <c r="G512" s="1" t="s">
        <v>2</v>
      </c>
      <c r="H512">
        <f t="shared" si="7"/>
        <v>6</v>
      </c>
    </row>
    <row r="513" spans="1:8" x14ac:dyDescent="0.25">
      <c r="A513" s="5">
        <v>44731</v>
      </c>
      <c r="B513" s="30">
        <v>4</v>
      </c>
      <c r="C513" s="30">
        <v>2</v>
      </c>
      <c r="D513" s="30">
        <v>3</v>
      </c>
      <c r="E513" s="30">
        <v>4</v>
      </c>
      <c r="F513" s="30">
        <v>4</v>
      </c>
      <c r="G513" s="1" t="s">
        <v>0</v>
      </c>
      <c r="H513">
        <f t="shared" si="7"/>
        <v>6</v>
      </c>
    </row>
    <row r="514" spans="1:8" x14ac:dyDescent="0.25">
      <c r="A514" s="5">
        <v>44731</v>
      </c>
      <c r="B514" s="30">
        <v>9</v>
      </c>
      <c r="C514" s="30">
        <v>6</v>
      </c>
      <c r="D514" s="30">
        <v>5</v>
      </c>
      <c r="E514" s="30">
        <v>7</v>
      </c>
      <c r="F514" s="30">
        <v>3</v>
      </c>
      <c r="G514" s="1" t="s">
        <v>1</v>
      </c>
      <c r="H514">
        <f t="shared" si="7"/>
        <v>6</v>
      </c>
    </row>
    <row r="515" spans="1:8" x14ac:dyDescent="0.25">
      <c r="A515" s="5">
        <v>44731</v>
      </c>
      <c r="B515" s="30">
        <v>1</v>
      </c>
      <c r="C515" s="30">
        <v>5</v>
      </c>
      <c r="D515" s="30">
        <v>0</v>
      </c>
      <c r="E515" s="30">
        <v>0</v>
      </c>
      <c r="F515" s="30">
        <v>4</v>
      </c>
      <c r="G515" s="1" t="s">
        <v>2</v>
      </c>
      <c r="H515">
        <f t="shared" si="7"/>
        <v>6</v>
      </c>
    </row>
    <row r="516" spans="1:8" x14ac:dyDescent="0.25">
      <c r="A516" s="5">
        <v>44732</v>
      </c>
      <c r="B516" s="30">
        <v>4</v>
      </c>
      <c r="C516" s="30">
        <v>2</v>
      </c>
      <c r="D516" s="30">
        <v>1</v>
      </c>
      <c r="E516" s="30">
        <v>10</v>
      </c>
      <c r="F516" s="30">
        <v>10</v>
      </c>
      <c r="G516" s="1" t="s">
        <v>0</v>
      </c>
      <c r="H516">
        <f t="shared" ref="H516:H579" si="8">MONTH(A516)</f>
        <v>6</v>
      </c>
    </row>
    <row r="517" spans="1:8" x14ac:dyDescent="0.25">
      <c r="A517" s="5">
        <v>44732</v>
      </c>
      <c r="B517" s="30">
        <v>0</v>
      </c>
      <c r="C517" s="30">
        <v>2</v>
      </c>
      <c r="D517" s="30">
        <v>3</v>
      </c>
      <c r="E517" s="30">
        <v>2</v>
      </c>
      <c r="F517" s="30">
        <v>2</v>
      </c>
      <c r="G517" s="1" t="s">
        <v>1</v>
      </c>
      <c r="H517">
        <f t="shared" si="8"/>
        <v>6</v>
      </c>
    </row>
    <row r="518" spans="1:8" x14ac:dyDescent="0.25">
      <c r="A518" s="5">
        <v>44732</v>
      </c>
      <c r="B518" s="30">
        <v>6</v>
      </c>
      <c r="C518" s="30">
        <v>5</v>
      </c>
      <c r="D518" s="30">
        <v>0</v>
      </c>
      <c r="E518" s="30">
        <v>0</v>
      </c>
      <c r="F518" s="30">
        <v>1</v>
      </c>
      <c r="G518" s="1" t="s">
        <v>2</v>
      </c>
      <c r="H518">
        <f t="shared" si="8"/>
        <v>6</v>
      </c>
    </row>
    <row r="519" spans="1:8" x14ac:dyDescent="0.25">
      <c r="A519" s="5">
        <v>44733</v>
      </c>
      <c r="B519" s="30">
        <v>7</v>
      </c>
      <c r="C519" s="30">
        <v>5</v>
      </c>
      <c r="D519" s="30">
        <v>6</v>
      </c>
      <c r="E519" s="30">
        <v>1</v>
      </c>
      <c r="F519" s="30">
        <v>0</v>
      </c>
      <c r="G519" s="1" t="s">
        <v>0</v>
      </c>
      <c r="H519">
        <f t="shared" si="8"/>
        <v>6</v>
      </c>
    </row>
    <row r="520" spans="1:8" x14ac:dyDescent="0.25">
      <c r="A520" s="5">
        <v>44733</v>
      </c>
      <c r="B520" s="30">
        <v>3</v>
      </c>
      <c r="C520" s="30">
        <v>3</v>
      </c>
      <c r="D520" s="30">
        <v>8</v>
      </c>
      <c r="E520" s="30">
        <v>2</v>
      </c>
      <c r="F520" s="30">
        <v>5</v>
      </c>
      <c r="G520" s="1" t="s">
        <v>1</v>
      </c>
      <c r="H520">
        <f t="shared" si="8"/>
        <v>6</v>
      </c>
    </row>
    <row r="521" spans="1:8" x14ac:dyDescent="0.25">
      <c r="A521" s="5">
        <v>44733</v>
      </c>
      <c r="B521" s="30">
        <v>8</v>
      </c>
      <c r="C521" s="30">
        <v>3</v>
      </c>
      <c r="D521" s="30">
        <v>5</v>
      </c>
      <c r="E521" s="30">
        <v>5</v>
      </c>
      <c r="F521" s="30">
        <v>9</v>
      </c>
      <c r="G521" s="1" t="s">
        <v>2</v>
      </c>
      <c r="H521">
        <f t="shared" si="8"/>
        <v>6</v>
      </c>
    </row>
    <row r="522" spans="1:8" x14ac:dyDescent="0.25">
      <c r="A522" s="5">
        <v>44734</v>
      </c>
      <c r="B522" s="30">
        <v>8</v>
      </c>
      <c r="C522" s="30">
        <v>3</v>
      </c>
      <c r="D522" s="30">
        <v>3</v>
      </c>
      <c r="E522" s="30">
        <v>1</v>
      </c>
      <c r="F522" s="30">
        <v>6</v>
      </c>
      <c r="G522" s="1" t="s">
        <v>0</v>
      </c>
      <c r="H522">
        <f t="shared" si="8"/>
        <v>6</v>
      </c>
    </row>
    <row r="523" spans="1:8" x14ac:dyDescent="0.25">
      <c r="A523" s="5">
        <v>44734</v>
      </c>
      <c r="B523" s="30">
        <v>7</v>
      </c>
      <c r="C523" s="30">
        <v>7</v>
      </c>
      <c r="D523" s="30">
        <v>6</v>
      </c>
      <c r="E523" s="30">
        <v>4</v>
      </c>
      <c r="F523" s="30">
        <v>0</v>
      </c>
      <c r="G523" s="1" t="s">
        <v>1</v>
      </c>
      <c r="H523">
        <f t="shared" si="8"/>
        <v>6</v>
      </c>
    </row>
    <row r="524" spans="1:8" x14ac:dyDescent="0.25">
      <c r="A524" s="5">
        <v>44734</v>
      </c>
      <c r="B524" s="30">
        <v>4</v>
      </c>
      <c r="C524" s="30">
        <v>3</v>
      </c>
      <c r="D524" s="30">
        <v>3</v>
      </c>
      <c r="E524" s="30">
        <v>10</v>
      </c>
      <c r="F524" s="30">
        <v>6</v>
      </c>
      <c r="G524" s="1" t="s">
        <v>2</v>
      </c>
      <c r="H524">
        <f t="shared" si="8"/>
        <v>6</v>
      </c>
    </row>
    <row r="525" spans="1:8" x14ac:dyDescent="0.25">
      <c r="A525" s="5">
        <v>44735</v>
      </c>
      <c r="B525" s="30">
        <v>7</v>
      </c>
      <c r="C525" s="30">
        <v>1</v>
      </c>
      <c r="D525" s="30">
        <v>1</v>
      </c>
      <c r="E525" s="30">
        <v>3</v>
      </c>
      <c r="F525" s="30">
        <v>6</v>
      </c>
      <c r="G525" s="1" t="s">
        <v>0</v>
      </c>
      <c r="H525">
        <f t="shared" si="8"/>
        <v>6</v>
      </c>
    </row>
    <row r="526" spans="1:8" x14ac:dyDescent="0.25">
      <c r="A526" s="5">
        <v>44735</v>
      </c>
      <c r="B526" s="30">
        <v>3</v>
      </c>
      <c r="C526" s="30">
        <v>0</v>
      </c>
      <c r="D526" s="30">
        <v>5</v>
      </c>
      <c r="E526" s="30">
        <v>4</v>
      </c>
      <c r="F526" s="30">
        <v>4</v>
      </c>
      <c r="G526" s="1" t="s">
        <v>1</v>
      </c>
      <c r="H526">
        <f t="shared" si="8"/>
        <v>6</v>
      </c>
    </row>
    <row r="527" spans="1:8" x14ac:dyDescent="0.25">
      <c r="A527" s="5">
        <v>44735</v>
      </c>
      <c r="B527" s="30">
        <v>4</v>
      </c>
      <c r="C527" s="30">
        <v>2</v>
      </c>
      <c r="D527" s="30">
        <v>1</v>
      </c>
      <c r="E527" s="30">
        <v>4</v>
      </c>
      <c r="F527" s="30">
        <v>2</v>
      </c>
      <c r="G527" s="1" t="s">
        <v>2</v>
      </c>
      <c r="H527">
        <f t="shared" si="8"/>
        <v>6</v>
      </c>
    </row>
    <row r="528" spans="1:8" x14ac:dyDescent="0.25">
      <c r="A528" s="5">
        <v>44736</v>
      </c>
      <c r="B528" s="30">
        <v>3</v>
      </c>
      <c r="C528" s="30">
        <v>0</v>
      </c>
      <c r="D528" s="30">
        <v>4</v>
      </c>
      <c r="E528" s="30">
        <v>0</v>
      </c>
      <c r="F528" s="30">
        <v>5</v>
      </c>
      <c r="G528" s="1" t="s">
        <v>0</v>
      </c>
      <c r="H528">
        <f t="shared" si="8"/>
        <v>6</v>
      </c>
    </row>
    <row r="529" spans="1:8" x14ac:dyDescent="0.25">
      <c r="A529" s="5">
        <v>44736</v>
      </c>
      <c r="B529" s="30">
        <v>8</v>
      </c>
      <c r="C529" s="30">
        <v>2</v>
      </c>
      <c r="D529" s="30">
        <v>1</v>
      </c>
      <c r="E529" s="30">
        <v>4</v>
      </c>
      <c r="F529" s="30">
        <v>7</v>
      </c>
      <c r="G529" s="1" t="s">
        <v>1</v>
      </c>
      <c r="H529">
        <f t="shared" si="8"/>
        <v>6</v>
      </c>
    </row>
    <row r="530" spans="1:8" x14ac:dyDescent="0.25">
      <c r="A530" s="5">
        <v>44736</v>
      </c>
      <c r="B530" s="30">
        <v>1</v>
      </c>
      <c r="C530" s="30">
        <v>1</v>
      </c>
      <c r="D530" s="30">
        <v>0</v>
      </c>
      <c r="E530" s="30">
        <v>1</v>
      </c>
      <c r="F530" s="30">
        <v>10</v>
      </c>
      <c r="G530" s="1" t="s">
        <v>2</v>
      </c>
      <c r="H530">
        <f t="shared" si="8"/>
        <v>6</v>
      </c>
    </row>
    <row r="531" spans="1:8" x14ac:dyDescent="0.25">
      <c r="A531" s="5">
        <v>44737</v>
      </c>
      <c r="B531" s="30">
        <v>0</v>
      </c>
      <c r="C531" s="30">
        <v>0</v>
      </c>
      <c r="D531" s="30">
        <v>2</v>
      </c>
      <c r="E531" s="30">
        <v>3</v>
      </c>
      <c r="F531" s="30">
        <v>4</v>
      </c>
      <c r="G531" s="1" t="s">
        <v>0</v>
      </c>
      <c r="H531">
        <f t="shared" si="8"/>
        <v>6</v>
      </c>
    </row>
    <row r="532" spans="1:8" x14ac:dyDescent="0.25">
      <c r="A532" s="5">
        <v>44737</v>
      </c>
      <c r="B532" s="30">
        <v>4</v>
      </c>
      <c r="C532" s="30">
        <v>0</v>
      </c>
      <c r="D532" s="30">
        <v>8</v>
      </c>
      <c r="E532" s="30">
        <v>3</v>
      </c>
      <c r="F532" s="30">
        <v>4</v>
      </c>
      <c r="G532" s="1" t="s">
        <v>1</v>
      </c>
      <c r="H532">
        <f t="shared" si="8"/>
        <v>6</v>
      </c>
    </row>
    <row r="533" spans="1:8" x14ac:dyDescent="0.25">
      <c r="A533" s="5">
        <v>44737</v>
      </c>
      <c r="B533" s="30">
        <v>8</v>
      </c>
      <c r="C533" s="30">
        <v>3</v>
      </c>
      <c r="D533" s="30">
        <v>4</v>
      </c>
      <c r="E533" s="30">
        <v>2</v>
      </c>
      <c r="F533" s="30">
        <v>5</v>
      </c>
      <c r="G533" s="1" t="s">
        <v>2</v>
      </c>
      <c r="H533">
        <f t="shared" si="8"/>
        <v>6</v>
      </c>
    </row>
    <row r="534" spans="1:8" x14ac:dyDescent="0.25">
      <c r="A534" s="5">
        <v>44738</v>
      </c>
      <c r="B534" s="30">
        <v>7</v>
      </c>
      <c r="C534" s="30">
        <v>1</v>
      </c>
      <c r="D534" s="30">
        <v>2</v>
      </c>
      <c r="E534" s="30">
        <v>3</v>
      </c>
      <c r="F534" s="30">
        <v>0</v>
      </c>
      <c r="G534" s="1" t="s">
        <v>0</v>
      </c>
      <c r="H534">
        <f t="shared" si="8"/>
        <v>6</v>
      </c>
    </row>
    <row r="535" spans="1:8" x14ac:dyDescent="0.25">
      <c r="A535" s="5">
        <v>44738</v>
      </c>
      <c r="B535" s="30">
        <v>1</v>
      </c>
      <c r="C535" s="30">
        <v>1</v>
      </c>
      <c r="D535" s="30">
        <v>0</v>
      </c>
      <c r="E535" s="30">
        <v>8</v>
      </c>
      <c r="F535" s="30">
        <v>0</v>
      </c>
      <c r="G535" s="1" t="s">
        <v>1</v>
      </c>
      <c r="H535">
        <f t="shared" si="8"/>
        <v>6</v>
      </c>
    </row>
    <row r="536" spans="1:8" x14ac:dyDescent="0.25">
      <c r="A536" s="5">
        <v>44738</v>
      </c>
      <c r="B536" s="30">
        <v>4</v>
      </c>
      <c r="C536" s="30">
        <v>8</v>
      </c>
      <c r="D536" s="30">
        <v>8</v>
      </c>
      <c r="E536" s="30">
        <v>2</v>
      </c>
      <c r="F536" s="30">
        <v>5</v>
      </c>
      <c r="G536" s="1" t="s">
        <v>2</v>
      </c>
      <c r="H536">
        <f t="shared" si="8"/>
        <v>6</v>
      </c>
    </row>
    <row r="537" spans="1:8" x14ac:dyDescent="0.25">
      <c r="A537" s="5">
        <v>44739</v>
      </c>
      <c r="B537" s="30">
        <v>2</v>
      </c>
      <c r="C537" s="30">
        <v>2</v>
      </c>
      <c r="D537" s="30">
        <v>2</v>
      </c>
      <c r="E537" s="30">
        <v>6</v>
      </c>
      <c r="F537" s="30">
        <v>3</v>
      </c>
      <c r="G537" s="1" t="s">
        <v>0</v>
      </c>
      <c r="H537">
        <f t="shared" si="8"/>
        <v>6</v>
      </c>
    </row>
    <row r="538" spans="1:8" x14ac:dyDescent="0.25">
      <c r="A538" s="5">
        <v>44739</v>
      </c>
      <c r="B538" s="30">
        <v>4</v>
      </c>
      <c r="C538" s="30">
        <v>3</v>
      </c>
      <c r="D538" s="30">
        <v>5</v>
      </c>
      <c r="E538" s="30">
        <v>8</v>
      </c>
      <c r="F538" s="30">
        <v>3</v>
      </c>
      <c r="G538" s="1" t="s">
        <v>1</v>
      </c>
      <c r="H538">
        <f t="shared" si="8"/>
        <v>6</v>
      </c>
    </row>
    <row r="539" spans="1:8" x14ac:dyDescent="0.25">
      <c r="A539" s="5">
        <v>44739</v>
      </c>
      <c r="B539" s="30">
        <v>2</v>
      </c>
      <c r="C539" s="30">
        <v>3</v>
      </c>
      <c r="D539" s="30">
        <v>9</v>
      </c>
      <c r="E539" s="30">
        <v>5</v>
      </c>
      <c r="F539" s="30">
        <v>4</v>
      </c>
      <c r="G539" s="1" t="s">
        <v>2</v>
      </c>
      <c r="H539">
        <f t="shared" si="8"/>
        <v>6</v>
      </c>
    </row>
    <row r="540" spans="1:8" x14ac:dyDescent="0.25">
      <c r="A540" s="5">
        <v>44740</v>
      </c>
      <c r="B540" s="30">
        <v>3</v>
      </c>
      <c r="C540" s="30">
        <v>5</v>
      </c>
      <c r="D540" s="30">
        <v>9</v>
      </c>
      <c r="E540" s="30">
        <v>4</v>
      </c>
      <c r="F540" s="30">
        <v>9</v>
      </c>
      <c r="G540" s="1" t="s">
        <v>0</v>
      </c>
      <c r="H540">
        <f t="shared" si="8"/>
        <v>6</v>
      </c>
    </row>
    <row r="541" spans="1:8" x14ac:dyDescent="0.25">
      <c r="A541" s="5">
        <v>44740</v>
      </c>
      <c r="B541" s="30">
        <v>3</v>
      </c>
      <c r="C541" s="30">
        <v>3</v>
      </c>
      <c r="D541" s="30">
        <v>1</v>
      </c>
      <c r="E541" s="30">
        <v>4</v>
      </c>
      <c r="F541" s="30">
        <v>3</v>
      </c>
      <c r="G541" s="1" t="s">
        <v>1</v>
      </c>
      <c r="H541">
        <f t="shared" si="8"/>
        <v>6</v>
      </c>
    </row>
    <row r="542" spans="1:8" x14ac:dyDescent="0.25">
      <c r="A542" s="5">
        <v>44740</v>
      </c>
      <c r="B542" s="30">
        <v>1</v>
      </c>
      <c r="C542" s="30">
        <v>3</v>
      </c>
      <c r="D542" s="30">
        <v>0</v>
      </c>
      <c r="E542" s="30">
        <v>1</v>
      </c>
      <c r="F542" s="30">
        <v>5</v>
      </c>
      <c r="G542" s="1" t="s">
        <v>2</v>
      </c>
      <c r="H542">
        <f t="shared" si="8"/>
        <v>6</v>
      </c>
    </row>
    <row r="543" spans="1:8" x14ac:dyDescent="0.25">
      <c r="A543" s="5">
        <v>44741</v>
      </c>
      <c r="B543" s="30">
        <v>1</v>
      </c>
      <c r="C543" s="30">
        <v>8</v>
      </c>
      <c r="D543" s="30">
        <v>2</v>
      </c>
      <c r="E543" s="30">
        <v>1</v>
      </c>
      <c r="F543" s="30">
        <v>6</v>
      </c>
      <c r="G543" s="1" t="s">
        <v>0</v>
      </c>
      <c r="H543">
        <f t="shared" si="8"/>
        <v>6</v>
      </c>
    </row>
    <row r="544" spans="1:8" x14ac:dyDescent="0.25">
      <c r="A544" s="5">
        <v>44741</v>
      </c>
      <c r="B544" s="30">
        <v>5</v>
      </c>
      <c r="C544" s="30">
        <v>3</v>
      </c>
      <c r="D544" s="30">
        <v>1</v>
      </c>
      <c r="E544" s="30">
        <v>3</v>
      </c>
      <c r="F544" s="30">
        <v>0</v>
      </c>
      <c r="G544" s="1" t="s">
        <v>1</v>
      </c>
      <c r="H544">
        <f t="shared" si="8"/>
        <v>6</v>
      </c>
    </row>
    <row r="545" spans="1:8" x14ac:dyDescent="0.25">
      <c r="A545" s="5">
        <v>44741</v>
      </c>
      <c r="B545" s="30">
        <v>1</v>
      </c>
      <c r="C545" s="30">
        <v>3</v>
      </c>
      <c r="D545" s="30">
        <v>0</v>
      </c>
      <c r="E545" s="30">
        <v>8</v>
      </c>
      <c r="F545" s="30">
        <v>3</v>
      </c>
      <c r="G545" s="1" t="s">
        <v>2</v>
      </c>
      <c r="H545">
        <f t="shared" si="8"/>
        <v>6</v>
      </c>
    </row>
    <row r="546" spans="1:8" x14ac:dyDescent="0.25">
      <c r="A546" s="5">
        <v>44742</v>
      </c>
      <c r="B546" s="30">
        <v>1</v>
      </c>
      <c r="C546" s="30">
        <v>1</v>
      </c>
      <c r="D546" s="30">
        <v>1</v>
      </c>
      <c r="E546" s="30">
        <v>3</v>
      </c>
      <c r="F546" s="30">
        <v>2</v>
      </c>
      <c r="G546" s="1" t="s">
        <v>0</v>
      </c>
      <c r="H546">
        <f t="shared" si="8"/>
        <v>6</v>
      </c>
    </row>
    <row r="547" spans="1:8" x14ac:dyDescent="0.25">
      <c r="A547" s="5">
        <v>44742</v>
      </c>
      <c r="B547" s="30">
        <v>1</v>
      </c>
      <c r="C547" s="30">
        <v>7</v>
      </c>
      <c r="D547" s="30">
        <v>10</v>
      </c>
      <c r="E547" s="30">
        <v>7</v>
      </c>
      <c r="F547" s="30">
        <v>3</v>
      </c>
      <c r="G547" s="1" t="s">
        <v>1</v>
      </c>
      <c r="H547">
        <f t="shared" si="8"/>
        <v>6</v>
      </c>
    </row>
    <row r="548" spans="1:8" x14ac:dyDescent="0.25">
      <c r="A548" s="5">
        <v>44742</v>
      </c>
      <c r="B548" s="30">
        <v>3</v>
      </c>
      <c r="C548" s="30">
        <v>1</v>
      </c>
      <c r="D548" s="30">
        <v>5</v>
      </c>
      <c r="E548" s="30">
        <v>5</v>
      </c>
      <c r="F548" s="30">
        <v>3</v>
      </c>
      <c r="G548" s="1" t="s">
        <v>2</v>
      </c>
      <c r="H548">
        <f t="shared" si="8"/>
        <v>6</v>
      </c>
    </row>
    <row r="549" spans="1:8" x14ac:dyDescent="0.25">
      <c r="A549" s="5">
        <v>44743</v>
      </c>
      <c r="B549" s="30">
        <v>4</v>
      </c>
      <c r="C549" s="30">
        <v>6</v>
      </c>
      <c r="D549" s="30">
        <v>4</v>
      </c>
      <c r="E549" s="30">
        <v>1</v>
      </c>
      <c r="F549" s="30">
        <v>8</v>
      </c>
      <c r="G549" s="1" t="s">
        <v>0</v>
      </c>
      <c r="H549">
        <f t="shared" si="8"/>
        <v>7</v>
      </c>
    </row>
    <row r="550" spans="1:8" x14ac:dyDescent="0.25">
      <c r="A550" s="5">
        <v>44743</v>
      </c>
      <c r="B550" s="30">
        <v>8</v>
      </c>
      <c r="C550" s="30">
        <v>1</v>
      </c>
      <c r="D550" s="30">
        <v>1</v>
      </c>
      <c r="E550" s="30">
        <v>2</v>
      </c>
      <c r="F550" s="30">
        <v>4</v>
      </c>
      <c r="G550" s="1" t="s">
        <v>1</v>
      </c>
      <c r="H550">
        <f t="shared" si="8"/>
        <v>7</v>
      </c>
    </row>
    <row r="551" spans="1:8" x14ac:dyDescent="0.25">
      <c r="A551" s="5">
        <v>44743</v>
      </c>
      <c r="B551" s="30">
        <v>4</v>
      </c>
      <c r="C551" s="30">
        <v>10</v>
      </c>
      <c r="D551" s="30">
        <v>1</v>
      </c>
      <c r="E551" s="30">
        <v>3</v>
      </c>
      <c r="F551" s="30">
        <v>1</v>
      </c>
      <c r="G551" s="1" t="s">
        <v>2</v>
      </c>
      <c r="H551">
        <f t="shared" si="8"/>
        <v>7</v>
      </c>
    </row>
    <row r="552" spans="1:8" x14ac:dyDescent="0.25">
      <c r="A552" s="5">
        <v>44744</v>
      </c>
      <c r="B552" s="30">
        <v>3</v>
      </c>
      <c r="C552" s="30">
        <v>3</v>
      </c>
      <c r="D552" s="30">
        <v>5</v>
      </c>
      <c r="E552" s="30">
        <v>5</v>
      </c>
      <c r="F552" s="30">
        <v>8</v>
      </c>
      <c r="G552" s="1" t="s">
        <v>0</v>
      </c>
      <c r="H552">
        <f t="shared" si="8"/>
        <v>7</v>
      </c>
    </row>
    <row r="553" spans="1:8" x14ac:dyDescent="0.25">
      <c r="A553" s="5">
        <v>44744</v>
      </c>
      <c r="B553" s="30">
        <v>0</v>
      </c>
      <c r="C553" s="30">
        <v>8</v>
      </c>
      <c r="D553" s="30">
        <v>5</v>
      </c>
      <c r="E553" s="30">
        <v>3</v>
      </c>
      <c r="F553" s="30">
        <v>5</v>
      </c>
      <c r="G553" s="1" t="s">
        <v>1</v>
      </c>
      <c r="H553">
        <f t="shared" si="8"/>
        <v>7</v>
      </c>
    </row>
    <row r="554" spans="1:8" x14ac:dyDescent="0.25">
      <c r="A554" s="5">
        <v>44744</v>
      </c>
      <c r="B554" s="30">
        <v>4</v>
      </c>
      <c r="C554" s="30">
        <v>4</v>
      </c>
      <c r="D554" s="30">
        <v>4</v>
      </c>
      <c r="E554" s="30">
        <v>1</v>
      </c>
      <c r="F554" s="30">
        <v>10</v>
      </c>
      <c r="G554" s="1" t="s">
        <v>2</v>
      </c>
      <c r="H554">
        <f t="shared" si="8"/>
        <v>7</v>
      </c>
    </row>
    <row r="555" spans="1:8" x14ac:dyDescent="0.25">
      <c r="A555" s="5">
        <v>44745</v>
      </c>
      <c r="B555" s="30">
        <v>0</v>
      </c>
      <c r="C555" s="30">
        <v>2</v>
      </c>
      <c r="D555" s="30">
        <v>8</v>
      </c>
      <c r="E555" s="30">
        <v>1</v>
      </c>
      <c r="F555" s="30">
        <v>3</v>
      </c>
      <c r="G555" s="1" t="s">
        <v>0</v>
      </c>
      <c r="H555">
        <f t="shared" si="8"/>
        <v>7</v>
      </c>
    </row>
    <row r="556" spans="1:8" x14ac:dyDescent="0.25">
      <c r="A556" s="5">
        <v>44745</v>
      </c>
      <c r="B556" s="30">
        <v>0</v>
      </c>
      <c r="C556" s="30">
        <v>3</v>
      </c>
      <c r="D556" s="30">
        <v>2</v>
      </c>
      <c r="E556" s="30">
        <v>0</v>
      </c>
      <c r="F556" s="30">
        <v>1</v>
      </c>
      <c r="G556" s="1" t="s">
        <v>1</v>
      </c>
      <c r="H556">
        <f t="shared" si="8"/>
        <v>7</v>
      </c>
    </row>
    <row r="557" spans="1:8" x14ac:dyDescent="0.25">
      <c r="A557" s="5">
        <v>44745</v>
      </c>
      <c r="B557" s="30">
        <v>5</v>
      </c>
      <c r="C557" s="30">
        <v>2</v>
      </c>
      <c r="D557" s="30">
        <v>8</v>
      </c>
      <c r="E557" s="30">
        <v>9</v>
      </c>
      <c r="F557" s="30">
        <v>1</v>
      </c>
      <c r="G557" s="1" t="s">
        <v>2</v>
      </c>
      <c r="H557">
        <f t="shared" si="8"/>
        <v>7</v>
      </c>
    </row>
    <row r="558" spans="1:8" x14ac:dyDescent="0.25">
      <c r="A558" s="5">
        <v>44746</v>
      </c>
      <c r="B558" s="30">
        <v>0</v>
      </c>
      <c r="C558" s="30">
        <v>0</v>
      </c>
      <c r="D558" s="30">
        <v>6</v>
      </c>
      <c r="E558" s="30">
        <v>1</v>
      </c>
      <c r="F558" s="30">
        <v>10</v>
      </c>
      <c r="G558" s="1" t="s">
        <v>0</v>
      </c>
      <c r="H558">
        <f t="shared" si="8"/>
        <v>7</v>
      </c>
    </row>
    <row r="559" spans="1:8" x14ac:dyDescent="0.25">
      <c r="A559" s="5">
        <v>44746</v>
      </c>
      <c r="B559" s="30">
        <v>5</v>
      </c>
      <c r="C559" s="30">
        <v>7</v>
      </c>
      <c r="D559" s="30">
        <v>3</v>
      </c>
      <c r="E559" s="30">
        <v>4</v>
      </c>
      <c r="F559" s="30">
        <v>2</v>
      </c>
      <c r="G559" s="1" t="s">
        <v>1</v>
      </c>
      <c r="H559">
        <f t="shared" si="8"/>
        <v>7</v>
      </c>
    </row>
    <row r="560" spans="1:8" x14ac:dyDescent="0.25">
      <c r="A560" s="5">
        <v>44746</v>
      </c>
      <c r="B560" s="30">
        <v>1</v>
      </c>
      <c r="C560" s="30">
        <v>9</v>
      </c>
      <c r="D560" s="30">
        <v>3</v>
      </c>
      <c r="E560" s="30">
        <v>2</v>
      </c>
      <c r="F560" s="30">
        <v>6</v>
      </c>
      <c r="G560" s="1" t="s">
        <v>2</v>
      </c>
      <c r="H560">
        <f t="shared" si="8"/>
        <v>7</v>
      </c>
    </row>
    <row r="561" spans="1:8" x14ac:dyDescent="0.25">
      <c r="A561" s="5">
        <v>44747</v>
      </c>
      <c r="B561" s="30">
        <v>7</v>
      </c>
      <c r="C561" s="30">
        <v>5</v>
      </c>
      <c r="D561" s="30">
        <v>5</v>
      </c>
      <c r="E561" s="30">
        <v>6</v>
      </c>
      <c r="F561" s="30">
        <v>1</v>
      </c>
      <c r="G561" s="1" t="s">
        <v>0</v>
      </c>
      <c r="H561">
        <f t="shared" si="8"/>
        <v>7</v>
      </c>
    </row>
    <row r="562" spans="1:8" x14ac:dyDescent="0.25">
      <c r="A562" s="5">
        <v>44747</v>
      </c>
      <c r="B562" s="30">
        <v>4</v>
      </c>
      <c r="C562" s="30">
        <v>3</v>
      </c>
      <c r="D562" s="30">
        <v>3</v>
      </c>
      <c r="E562" s="30">
        <v>0</v>
      </c>
      <c r="F562" s="30">
        <v>3</v>
      </c>
      <c r="G562" s="1" t="s">
        <v>1</v>
      </c>
      <c r="H562">
        <f t="shared" si="8"/>
        <v>7</v>
      </c>
    </row>
    <row r="563" spans="1:8" x14ac:dyDescent="0.25">
      <c r="A563" s="5">
        <v>44747</v>
      </c>
      <c r="B563" s="30">
        <v>1</v>
      </c>
      <c r="C563" s="30">
        <v>4</v>
      </c>
      <c r="D563" s="30">
        <v>1</v>
      </c>
      <c r="E563" s="30">
        <v>4</v>
      </c>
      <c r="F563" s="30">
        <v>4</v>
      </c>
      <c r="G563" s="1" t="s">
        <v>2</v>
      </c>
      <c r="H563">
        <f t="shared" si="8"/>
        <v>7</v>
      </c>
    </row>
    <row r="564" spans="1:8" x14ac:dyDescent="0.25">
      <c r="A564" s="5">
        <v>44748</v>
      </c>
      <c r="B564" s="30">
        <v>7</v>
      </c>
      <c r="C564" s="30">
        <v>4</v>
      </c>
      <c r="D564" s="30">
        <v>3</v>
      </c>
      <c r="E564" s="30">
        <v>0</v>
      </c>
      <c r="F564" s="30">
        <v>5</v>
      </c>
      <c r="G564" s="1" t="s">
        <v>0</v>
      </c>
      <c r="H564">
        <f t="shared" si="8"/>
        <v>7</v>
      </c>
    </row>
    <row r="565" spans="1:8" x14ac:dyDescent="0.25">
      <c r="A565" s="5">
        <v>44748</v>
      </c>
      <c r="B565" s="30">
        <v>3</v>
      </c>
      <c r="C565" s="30">
        <v>7</v>
      </c>
      <c r="D565" s="30">
        <v>0</v>
      </c>
      <c r="E565" s="30">
        <v>3</v>
      </c>
      <c r="F565" s="30">
        <v>4</v>
      </c>
      <c r="G565" s="1" t="s">
        <v>1</v>
      </c>
      <c r="H565">
        <f t="shared" si="8"/>
        <v>7</v>
      </c>
    </row>
    <row r="566" spans="1:8" x14ac:dyDescent="0.25">
      <c r="A566" s="5">
        <v>44748</v>
      </c>
      <c r="B566" s="30">
        <v>3</v>
      </c>
      <c r="C566" s="30">
        <v>3</v>
      </c>
      <c r="D566" s="30">
        <v>6</v>
      </c>
      <c r="E566" s="30">
        <v>4</v>
      </c>
      <c r="F566" s="30">
        <v>0</v>
      </c>
      <c r="G566" s="1" t="s">
        <v>2</v>
      </c>
      <c r="H566">
        <f t="shared" si="8"/>
        <v>7</v>
      </c>
    </row>
    <row r="567" spans="1:8" x14ac:dyDescent="0.25">
      <c r="A567" s="5">
        <v>44749</v>
      </c>
      <c r="B567" s="30">
        <v>3</v>
      </c>
      <c r="C567" s="30">
        <v>3</v>
      </c>
      <c r="D567" s="30">
        <v>1</v>
      </c>
      <c r="E567" s="30">
        <v>0</v>
      </c>
      <c r="F567" s="30">
        <v>2</v>
      </c>
      <c r="G567" s="1" t="s">
        <v>0</v>
      </c>
      <c r="H567">
        <f t="shared" si="8"/>
        <v>7</v>
      </c>
    </row>
    <row r="568" spans="1:8" x14ac:dyDescent="0.25">
      <c r="A568" s="5">
        <v>44749</v>
      </c>
      <c r="B568" s="30">
        <v>0</v>
      </c>
      <c r="C568" s="30">
        <v>0</v>
      </c>
      <c r="D568" s="30">
        <v>2</v>
      </c>
      <c r="E568" s="30">
        <v>0</v>
      </c>
      <c r="F568" s="30">
        <v>6</v>
      </c>
      <c r="G568" s="1" t="s">
        <v>1</v>
      </c>
      <c r="H568">
        <f t="shared" si="8"/>
        <v>7</v>
      </c>
    </row>
    <row r="569" spans="1:8" x14ac:dyDescent="0.25">
      <c r="A569" s="5">
        <v>44749</v>
      </c>
      <c r="B569" s="30">
        <v>0</v>
      </c>
      <c r="C569" s="30">
        <v>8</v>
      </c>
      <c r="D569" s="30">
        <v>3</v>
      </c>
      <c r="E569" s="30">
        <v>3</v>
      </c>
      <c r="F569" s="30">
        <v>4</v>
      </c>
      <c r="G569" s="1" t="s">
        <v>2</v>
      </c>
      <c r="H569">
        <f t="shared" si="8"/>
        <v>7</v>
      </c>
    </row>
    <row r="570" spans="1:8" x14ac:dyDescent="0.25">
      <c r="A570" s="5">
        <v>44750</v>
      </c>
      <c r="B570" s="30">
        <v>4</v>
      </c>
      <c r="C570" s="30">
        <v>3</v>
      </c>
      <c r="D570" s="30">
        <v>1</v>
      </c>
      <c r="E570" s="30">
        <v>0</v>
      </c>
      <c r="F570" s="30">
        <v>1</v>
      </c>
      <c r="G570" s="1" t="s">
        <v>0</v>
      </c>
      <c r="H570">
        <f t="shared" si="8"/>
        <v>7</v>
      </c>
    </row>
    <row r="571" spans="1:8" x14ac:dyDescent="0.25">
      <c r="A571" s="5">
        <v>44750</v>
      </c>
      <c r="B571" s="30">
        <v>3</v>
      </c>
      <c r="C571" s="30">
        <v>0</v>
      </c>
      <c r="D571" s="30">
        <v>9</v>
      </c>
      <c r="E571" s="30">
        <v>4</v>
      </c>
      <c r="F571" s="30">
        <v>8</v>
      </c>
      <c r="G571" s="1" t="s">
        <v>1</v>
      </c>
      <c r="H571">
        <f t="shared" si="8"/>
        <v>7</v>
      </c>
    </row>
    <row r="572" spans="1:8" x14ac:dyDescent="0.25">
      <c r="A572" s="5">
        <v>44750</v>
      </c>
      <c r="B572" s="30">
        <v>4</v>
      </c>
      <c r="C572" s="30">
        <v>1</v>
      </c>
      <c r="D572" s="30">
        <v>4</v>
      </c>
      <c r="E572" s="30">
        <v>4</v>
      </c>
      <c r="F572" s="30">
        <v>1</v>
      </c>
      <c r="G572" s="1" t="s">
        <v>2</v>
      </c>
      <c r="H572">
        <f t="shared" si="8"/>
        <v>7</v>
      </c>
    </row>
    <row r="573" spans="1:8" x14ac:dyDescent="0.25">
      <c r="A573" s="5">
        <v>44751</v>
      </c>
      <c r="B573" s="30">
        <v>5</v>
      </c>
      <c r="C573" s="30">
        <v>10</v>
      </c>
      <c r="D573" s="30">
        <v>7</v>
      </c>
      <c r="E573" s="30">
        <v>1</v>
      </c>
      <c r="F573" s="30">
        <v>3</v>
      </c>
      <c r="G573" s="1" t="s">
        <v>0</v>
      </c>
      <c r="H573">
        <f t="shared" si="8"/>
        <v>7</v>
      </c>
    </row>
    <row r="574" spans="1:8" x14ac:dyDescent="0.25">
      <c r="A574" s="5">
        <v>44751</v>
      </c>
      <c r="B574" s="30">
        <v>7</v>
      </c>
      <c r="C574" s="30">
        <v>2</v>
      </c>
      <c r="D574" s="30">
        <v>3</v>
      </c>
      <c r="E574" s="30">
        <v>3</v>
      </c>
      <c r="F574" s="30">
        <v>7</v>
      </c>
      <c r="G574" s="1" t="s">
        <v>1</v>
      </c>
      <c r="H574">
        <f t="shared" si="8"/>
        <v>7</v>
      </c>
    </row>
    <row r="575" spans="1:8" x14ac:dyDescent="0.25">
      <c r="A575" s="5">
        <v>44751</v>
      </c>
      <c r="B575" s="30">
        <v>4</v>
      </c>
      <c r="C575" s="30">
        <v>3</v>
      </c>
      <c r="D575" s="30">
        <v>4</v>
      </c>
      <c r="E575" s="30">
        <v>2</v>
      </c>
      <c r="F575" s="30">
        <v>0</v>
      </c>
      <c r="G575" s="1" t="s">
        <v>2</v>
      </c>
      <c r="H575">
        <f t="shared" si="8"/>
        <v>7</v>
      </c>
    </row>
    <row r="576" spans="1:8" x14ac:dyDescent="0.25">
      <c r="A576" s="5">
        <v>44752</v>
      </c>
      <c r="B576" s="30">
        <v>5</v>
      </c>
      <c r="C576" s="30">
        <v>3</v>
      </c>
      <c r="D576" s="30">
        <v>1</v>
      </c>
      <c r="E576" s="30">
        <v>6</v>
      </c>
      <c r="F576" s="30">
        <v>10</v>
      </c>
      <c r="G576" s="1" t="s">
        <v>0</v>
      </c>
      <c r="H576">
        <f t="shared" si="8"/>
        <v>7</v>
      </c>
    </row>
    <row r="577" spans="1:8" x14ac:dyDescent="0.25">
      <c r="A577" s="5">
        <v>44752</v>
      </c>
      <c r="B577" s="30">
        <v>2</v>
      </c>
      <c r="C577" s="30">
        <v>1</v>
      </c>
      <c r="D577" s="30">
        <v>4</v>
      </c>
      <c r="E577" s="30">
        <v>3</v>
      </c>
      <c r="F577" s="30">
        <v>1</v>
      </c>
      <c r="G577" s="1" t="s">
        <v>1</v>
      </c>
      <c r="H577">
        <f t="shared" si="8"/>
        <v>7</v>
      </c>
    </row>
    <row r="578" spans="1:8" x14ac:dyDescent="0.25">
      <c r="A578" s="5">
        <v>44752</v>
      </c>
      <c r="B578" s="30">
        <v>1</v>
      </c>
      <c r="C578" s="30">
        <v>3</v>
      </c>
      <c r="D578" s="30">
        <v>3</v>
      </c>
      <c r="E578" s="30">
        <v>2</v>
      </c>
      <c r="F578" s="30">
        <v>2</v>
      </c>
      <c r="G578" s="1" t="s">
        <v>2</v>
      </c>
      <c r="H578">
        <f t="shared" si="8"/>
        <v>7</v>
      </c>
    </row>
    <row r="579" spans="1:8" x14ac:dyDescent="0.25">
      <c r="A579" s="5">
        <v>44753</v>
      </c>
      <c r="B579" s="30">
        <v>1</v>
      </c>
      <c r="C579" s="30">
        <v>5</v>
      </c>
      <c r="D579" s="30">
        <v>3</v>
      </c>
      <c r="E579" s="30">
        <v>3</v>
      </c>
      <c r="F579" s="30">
        <v>3</v>
      </c>
      <c r="G579" s="1" t="s">
        <v>0</v>
      </c>
      <c r="H579">
        <f t="shared" si="8"/>
        <v>7</v>
      </c>
    </row>
    <row r="580" spans="1:8" x14ac:dyDescent="0.25">
      <c r="A580" s="5">
        <v>44753</v>
      </c>
      <c r="B580" s="30">
        <v>2</v>
      </c>
      <c r="C580" s="30">
        <v>9</v>
      </c>
      <c r="D580" s="30">
        <v>6</v>
      </c>
      <c r="E580" s="30">
        <v>6</v>
      </c>
      <c r="F580" s="30">
        <v>8</v>
      </c>
      <c r="G580" s="1" t="s">
        <v>1</v>
      </c>
      <c r="H580">
        <f t="shared" ref="H580:H643" si="9">MONTH(A580)</f>
        <v>7</v>
      </c>
    </row>
    <row r="581" spans="1:8" x14ac:dyDescent="0.25">
      <c r="A581" s="5">
        <v>44753</v>
      </c>
      <c r="B581" s="30">
        <v>3</v>
      </c>
      <c r="C581" s="30">
        <v>4</v>
      </c>
      <c r="D581" s="30">
        <v>1</v>
      </c>
      <c r="E581" s="30">
        <v>6</v>
      </c>
      <c r="F581" s="30">
        <v>5</v>
      </c>
      <c r="G581" s="1" t="s">
        <v>2</v>
      </c>
      <c r="H581">
        <f t="shared" si="9"/>
        <v>7</v>
      </c>
    </row>
    <row r="582" spans="1:8" x14ac:dyDescent="0.25">
      <c r="A582" s="5">
        <v>44754</v>
      </c>
      <c r="B582" s="30">
        <v>4</v>
      </c>
      <c r="C582" s="30">
        <v>2</v>
      </c>
      <c r="D582" s="30">
        <v>3</v>
      </c>
      <c r="E582" s="30">
        <v>3</v>
      </c>
      <c r="F582" s="30">
        <v>3</v>
      </c>
      <c r="G582" s="1" t="s">
        <v>0</v>
      </c>
      <c r="H582">
        <f t="shared" si="9"/>
        <v>7</v>
      </c>
    </row>
    <row r="583" spans="1:8" x14ac:dyDescent="0.25">
      <c r="A583" s="5">
        <v>44754</v>
      </c>
      <c r="B583" s="30">
        <v>5</v>
      </c>
      <c r="C583" s="30">
        <v>10</v>
      </c>
      <c r="D583" s="30">
        <v>4</v>
      </c>
      <c r="E583" s="30">
        <v>4</v>
      </c>
      <c r="F583" s="30">
        <v>0</v>
      </c>
      <c r="G583" s="1" t="s">
        <v>1</v>
      </c>
      <c r="H583">
        <f t="shared" si="9"/>
        <v>7</v>
      </c>
    </row>
    <row r="584" spans="1:8" x14ac:dyDescent="0.25">
      <c r="A584" s="5">
        <v>44754</v>
      </c>
      <c r="B584" s="30">
        <v>4</v>
      </c>
      <c r="C584" s="30">
        <v>0</v>
      </c>
      <c r="D584" s="30">
        <v>10</v>
      </c>
      <c r="E584" s="30">
        <v>2</v>
      </c>
      <c r="F584" s="30">
        <v>5</v>
      </c>
      <c r="G584" s="1" t="s">
        <v>2</v>
      </c>
      <c r="H584">
        <f t="shared" si="9"/>
        <v>7</v>
      </c>
    </row>
    <row r="585" spans="1:8" x14ac:dyDescent="0.25">
      <c r="A585" s="5">
        <v>44755</v>
      </c>
      <c r="B585" s="30">
        <v>5</v>
      </c>
      <c r="C585" s="30">
        <v>3</v>
      </c>
      <c r="D585" s="30">
        <v>5</v>
      </c>
      <c r="E585" s="30">
        <v>1</v>
      </c>
      <c r="F585" s="30">
        <v>10</v>
      </c>
      <c r="G585" s="1" t="s">
        <v>0</v>
      </c>
      <c r="H585">
        <f t="shared" si="9"/>
        <v>7</v>
      </c>
    </row>
    <row r="586" spans="1:8" x14ac:dyDescent="0.25">
      <c r="A586" s="5">
        <v>44755</v>
      </c>
      <c r="B586" s="30">
        <v>4</v>
      </c>
      <c r="C586" s="30">
        <v>8</v>
      </c>
      <c r="D586" s="30">
        <v>4</v>
      </c>
      <c r="E586" s="30">
        <v>8</v>
      </c>
      <c r="F586" s="30">
        <v>2</v>
      </c>
      <c r="G586" s="1" t="s">
        <v>1</v>
      </c>
      <c r="H586">
        <f t="shared" si="9"/>
        <v>7</v>
      </c>
    </row>
    <row r="587" spans="1:8" x14ac:dyDescent="0.25">
      <c r="A587" s="5">
        <v>44755</v>
      </c>
      <c r="B587" s="30">
        <v>0</v>
      </c>
      <c r="C587" s="30">
        <v>2</v>
      </c>
      <c r="D587" s="30">
        <v>5</v>
      </c>
      <c r="E587" s="30">
        <v>8</v>
      </c>
      <c r="F587" s="30">
        <v>0</v>
      </c>
      <c r="G587" s="1" t="s">
        <v>2</v>
      </c>
      <c r="H587">
        <f t="shared" si="9"/>
        <v>7</v>
      </c>
    </row>
    <row r="588" spans="1:8" x14ac:dyDescent="0.25">
      <c r="A588" s="5">
        <v>44756</v>
      </c>
      <c r="B588" s="30">
        <v>5</v>
      </c>
      <c r="C588" s="30">
        <v>5</v>
      </c>
      <c r="D588" s="30">
        <v>4</v>
      </c>
      <c r="E588" s="30">
        <v>6</v>
      </c>
      <c r="F588" s="30">
        <v>0</v>
      </c>
      <c r="G588" s="1" t="s">
        <v>0</v>
      </c>
      <c r="H588">
        <f t="shared" si="9"/>
        <v>7</v>
      </c>
    </row>
    <row r="589" spans="1:8" x14ac:dyDescent="0.25">
      <c r="A589" s="5">
        <v>44756</v>
      </c>
      <c r="B589" s="30">
        <v>10</v>
      </c>
      <c r="C589" s="30">
        <v>0</v>
      </c>
      <c r="D589" s="30">
        <v>3</v>
      </c>
      <c r="E589" s="30">
        <v>3</v>
      </c>
      <c r="F589" s="30">
        <v>2</v>
      </c>
      <c r="G589" s="1" t="s">
        <v>1</v>
      </c>
      <c r="H589">
        <f t="shared" si="9"/>
        <v>7</v>
      </c>
    </row>
    <row r="590" spans="1:8" x14ac:dyDescent="0.25">
      <c r="A590" s="5">
        <v>44756</v>
      </c>
      <c r="B590" s="30">
        <v>6</v>
      </c>
      <c r="C590" s="30">
        <v>0</v>
      </c>
      <c r="D590" s="30">
        <v>2</v>
      </c>
      <c r="E590" s="30">
        <v>1</v>
      </c>
      <c r="F590" s="30">
        <v>2</v>
      </c>
      <c r="G590" s="1" t="s">
        <v>2</v>
      </c>
      <c r="H590">
        <f t="shared" si="9"/>
        <v>7</v>
      </c>
    </row>
    <row r="591" spans="1:8" x14ac:dyDescent="0.25">
      <c r="A591" s="5">
        <v>44757</v>
      </c>
      <c r="B591" s="30">
        <v>2</v>
      </c>
      <c r="C591" s="30">
        <v>1</v>
      </c>
      <c r="D591" s="30">
        <v>4</v>
      </c>
      <c r="E591" s="30">
        <v>5</v>
      </c>
      <c r="F591" s="30">
        <v>0</v>
      </c>
      <c r="G591" s="1" t="s">
        <v>0</v>
      </c>
      <c r="H591">
        <f t="shared" si="9"/>
        <v>7</v>
      </c>
    </row>
    <row r="592" spans="1:8" x14ac:dyDescent="0.25">
      <c r="A592" s="5">
        <v>44757</v>
      </c>
      <c r="B592" s="30">
        <v>2</v>
      </c>
      <c r="C592" s="30">
        <v>3</v>
      </c>
      <c r="D592" s="30">
        <v>4</v>
      </c>
      <c r="E592" s="30">
        <v>2</v>
      </c>
      <c r="F592" s="30">
        <v>6</v>
      </c>
      <c r="G592" s="1" t="s">
        <v>1</v>
      </c>
      <c r="H592">
        <f t="shared" si="9"/>
        <v>7</v>
      </c>
    </row>
    <row r="593" spans="1:8" x14ac:dyDescent="0.25">
      <c r="A593" s="5">
        <v>44757</v>
      </c>
      <c r="B593" s="30">
        <v>9</v>
      </c>
      <c r="C593" s="30">
        <v>2</v>
      </c>
      <c r="D593" s="30">
        <v>3</v>
      </c>
      <c r="E593" s="30">
        <v>3</v>
      </c>
      <c r="F593" s="30">
        <v>2</v>
      </c>
      <c r="G593" s="1" t="s">
        <v>2</v>
      </c>
      <c r="H593">
        <f t="shared" si="9"/>
        <v>7</v>
      </c>
    </row>
    <row r="594" spans="1:8" x14ac:dyDescent="0.25">
      <c r="A594" s="5">
        <v>44758</v>
      </c>
      <c r="B594" s="30">
        <v>4</v>
      </c>
      <c r="C594" s="30">
        <v>0</v>
      </c>
      <c r="D594" s="30">
        <v>3</v>
      </c>
      <c r="E594" s="30">
        <v>4</v>
      </c>
      <c r="F594" s="30">
        <v>2</v>
      </c>
      <c r="G594" s="1" t="s">
        <v>0</v>
      </c>
      <c r="H594">
        <f t="shared" si="9"/>
        <v>7</v>
      </c>
    </row>
    <row r="595" spans="1:8" x14ac:dyDescent="0.25">
      <c r="A595" s="5">
        <v>44758</v>
      </c>
      <c r="B595" s="30">
        <v>5</v>
      </c>
      <c r="C595" s="30">
        <v>1</v>
      </c>
      <c r="D595" s="30">
        <v>4</v>
      </c>
      <c r="E595" s="30">
        <v>5</v>
      </c>
      <c r="F595" s="30">
        <v>3</v>
      </c>
      <c r="G595" s="1" t="s">
        <v>1</v>
      </c>
      <c r="H595">
        <f t="shared" si="9"/>
        <v>7</v>
      </c>
    </row>
    <row r="596" spans="1:8" x14ac:dyDescent="0.25">
      <c r="A596" s="5">
        <v>44758</v>
      </c>
      <c r="B596" s="30">
        <v>7</v>
      </c>
      <c r="C596" s="30">
        <v>3</v>
      </c>
      <c r="D596" s="30">
        <v>0</v>
      </c>
      <c r="E596" s="30">
        <v>3</v>
      </c>
      <c r="F596" s="30">
        <v>1</v>
      </c>
      <c r="G596" s="1" t="s">
        <v>2</v>
      </c>
      <c r="H596">
        <f t="shared" si="9"/>
        <v>7</v>
      </c>
    </row>
    <row r="597" spans="1:8" x14ac:dyDescent="0.25">
      <c r="A597" s="5">
        <v>44759</v>
      </c>
      <c r="B597" s="30">
        <v>3</v>
      </c>
      <c r="C597" s="30">
        <v>0</v>
      </c>
      <c r="D597" s="30">
        <v>1</v>
      </c>
      <c r="E597" s="30">
        <v>3</v>
      </c>
      <c r="F597" s="30">
        <v>3</v>
      </c>
      <c r="G597" s="1" t="s">
        <v>0</v>
      </c>
      <c r="H597">
        <f t="shared" si="9"/>
        <v>7</v>
      </c>
    </row>
    <row r="598" spans="1:8" x14ac:dyDescent="0.25">
      <c r="A598" s="5">
        <v>44759</v>
      </c>
      <c r="B598" s="30">
        <v>8</v>
      </c>
      <c r="C598" s="30">
        <v>3</v>
      </c>
      <c r="D598" s="30">
        <v>2</v>
      </c>
      <c r="E598" s="30">
        <v>4</v>
      </c>
      <c r="F598" s="30">
        <v>1</v>
      </c>
      <c r="G598" s="1" t="s">
        <v>1</v>
      </c>
      <c r="H598">
        <f t="shared" si="9"/>
        <v>7</v>
      </c>
    </row>
    <row r="599" spans="1:8" x14ac:dyDescent="0.25">
      <c r="A599" s="5">
        <v>44759</v>
      </c>
      <c r="B599" s="30">
        <v>2</v>
      </c>
      <c r="C599" s="30">
        <v>5</v>
      </c>
      <c r="D599" s="30">
        <v>2</v>
      </c>
      <c r="E599" s="30">
        <v>2</v>
      </c>
      <c r="F599" s="30">
        <v>2</v>
      </c>
      <c r="G599" s="1" t="s">
        <v>2</v>
      </c>
      <c r="H599">
        <f t="shared" si="9"/>
        <v>7</v>
      </c>
    </row>
    <row r="600" spans="1:8" x14ac:dyDescent="0.25">
      <c r="A600" s="5">
        <v>44760</v>
      </c>
      <c r="B600" s="30">
        <v>2</v>
      </c>
      <c r="C600" s="30">
        <v>7</v>
      </c>
      <c r="D600" s="30">
        <v>4</v>
      </c>
      <c r="E600" s="30">
        <v>4</v>
      </c>
      <c r="F600" s="30">
        <v>4</v>
      </c>
      <c r="G600" s="1" t="s">
        <v>0</v>
      </c>
      <c r="H600">
        <f t="shared" si="9"/>
        <v>7</v>
      </c>
    </row>
    <row r="601" spans="1:8" x14ac:dyDescent="0.25">
      <c r="A601" s="5">
        <v>44760</v>
      </c>
      <c r="B601" s="30">
        <v>4</v>
      </c>
      <c r="C601" s="30">
        <v>10</v>
      </c>
      <c r="D601" s="30">
        <v>3</v>
      </c>
      <c r="E601" s="30">
        <v>3</v>
      </c>
      <c r="F601" s="30">
        <v>6</v>
      </c>
      <c r="G601" s="1" t="s">
        <v>1</v>
      </c>
      <c r="H601">
        <f t="shared" si="9"/>
        <v>7</v>
      </c>
    </row>
    <row r="602" spans="1:8" x14ac:dyDescent="0.25">
      <c r="A602" s="5">
        <v>44760</v>
      </c>
      <c r="B602" s="30">
        <v>3</v>
      </c>
      <c r="C602" s="30">
        <v>0</v>
      </c>
      <c r="D602" s="30">
        <v>0</v>
      </c>
      <c r="E602" s="30">
        <v>1</v>
      </c>
      <c r="F602" s="30">
        <v>5</v>
      </c>
      <c r="G602" s="1" t="s">
        <v>2</v>
      </c>
      <c r="H602">
        <f t="shared" si="9"/>
        <v>7</v>
      </c>
    </row>
    <row r="603" spans="1:8" x14ac:dyDescent="0.25">
      <c r="A603" s="5">
        <v>44761</v>
      </c>
      <c r="B603" s="30">
        <v>0</v>
      </c>
      <c r="C603" s="30">
        <v>0</v>
      </c>
      <c r="D603" s="30">
        <v>8</v>
      </c>
      <c r="E603" s="30">
        <v>3</v>
      </c>
      <c r="F603" s="30">
        <v>4</v>
      </c>
      <c r="G603" s="1" t="s">
        <v>0</v>
      </c>
      <c r="H603">
        <f t="shared" si="9"/>
        <v>7</v>
      </c>
    </row>
    <row r="604" spans="1:8" x14ac:dyDescent="0.25">
      <c r="A604" s="5">
        <v>44761</v>
      </c>
      <c r="B604" s="30">
        <v>2</v>
      </c>
      <c r="C604" s="30">
        <v>5</v>
      </c>
      <c r="D604" s="30">
        <v>4</v>
      </c>
      <c r="E604" s="30">
        <v>7</v>
      </c>
      <c r="F604" s="30">
        <v>9</v>
      </c>
      <c r="G604" s="1" t="s">
        <v>1</v>
      </c>
      <c r="H604">
        <f t="shared" si="9"/>
        <v>7</v>
      </c>
    </row>
    <row r="605" spans="1:8" x14ac:dyDescent="0.25">
      <c r="A605" s="5">
        <v>44761</v>
      </c>
      <c r="B605" s="30">
        <v>1</v>
      </c>
      <c r="C605" s="30">
        <v>3</v>
      </c>
      <c r="D605" s="30">
        <v>6</v>
      </c>
      <c r="E605" s="30">
        <v>5</v>
      </c>
      <c r="F605" s="30">
        <v>7</v>
      </c>
      <c r="G605" s="1" t="s">
        <v>2</v>
      </c>
      <c r="H605">
        <f t="shared" si="9"/>
        <v>7</v>
      </c>
    </row>
    <row r="606" spans="1:8" x14ac:dyDescent="0.25">
      <c r="A606" s="5">
        <v>44762</v>
      </c>
      <c r="B606" s="30">
        <v>7</v>
      </c>
      <c r="C606" s="30">
        <v>6</v>
      </c>
      <c r="D606" s="30">
        <v>5</v>
      </c>
      <c r="E606" s="30">
        <v>4</v>
      </c>
      <c r="F606" s="30">
        <v>4</v>
      </c>
      <c r="G606" s="1" t="s">
        <v>0</v>
      </c>
      <c r="H606">
        <f t="shared" si="9"/>
        <v>7</v>
      </c>
    </row>
    <row r="607" spans="1:8" x14ac:dyDescent="0.25">
      <c r="A607" s="5">
        <v>44762</v>
      </c>
      <c r="B607" s="30">
        <v>4</v>
      </c>
      <c r="C607" s="30">
        <v>2</v>
      </c>
      <c r="D607" s="30">
        <v>3</v>
      </c>
      <c r="E607" s="30">
        <v>10</v>
      </c>
      <c r="F607" s="30">
        <v>3</v>
      </c>
      <c r="G607" s="1" t="s">
        <v>1</v>
      </c>
      <c r="H607">
        <f t="shared" si="9"/>
        <v>7</v>
      </c>
    </row>
    <row r="608" spans="1:8" x14ac:dyDescent="0.25">
      <c r="A608" s="5">
        <v>44762</v>
      </c>
      <c r="B608" s="30">
        <v>5</v>
      </c>
      <c r="C608" s="30">
        <v>5</v>
      </c>
      <c r="D608" s="30">
        <v>3</v>
      </c>
      <c r="E608" s="30">
        <v>4</v>
      </c>
      <c r="F608" s="30">
        <v>2</v>
      </c>
      <c r="G608" s="1" t="s">
        <v>2</v>
      </c>
      <c r="H608">
        <f t="shared" si="9"/>
        <v>7</v>
      </c>
    </row>
    <row r="609" spans="1:8" x14ac:dyDescent="0.25">
      <c r="A609" s="5">
        <v>44763</v>
      </c>
      <c r="B609" s="30">
        <v>4</v>
      </c>
      <c r="C609" s="30">
        <v>1</v>
      </c>
      <c r="D609" s="30">
        <v>5</v>
      </c>
      <c r="E609" s="30">
        <v>3</v>
      </c>
      <c r="F609" s="30">
        <v>6</v>
      </c>
      <c r="G609" s="1" t="s">
        <v>0</v>
      </c>
      <c r="H609">
        <f t="shared" si="9"/>
        <v>7</v>
      </c>
    </row>
    <row r="610" spans="1:8" x14ac:dyDescent="0.25">
      <c r="A610" s="5">
        <v>44763</v>
      </c>
      <c r="B610" s="30">
        <v>7</v>
      </c>
      <c r="C610" s="30">
        <v>1</v>
      </c>
      <c r="D610" s="30">
        <v>8</v>
      </c>
      <c r="E610" s="30">
        <v>7</v>
      </c>
      <c r="F610" s="30">
        <v>1</v>
      </c>
      <c r="G610" s="1" t="s">
        <v>1</v>
      </c>
      <c r="H610">
        <f t="shared" si="9"/>
        <v>7</v>
      </c>
    </row>
    <row r="611" spans="1:8" x14ac:dyDescent="0.25">
      <c r="A611" s="5">
        <v>44763</v>
      </c>
      <c r="B611" s="30">
        <v>0</v>
      </c>
      <c r="C611" s="30">
        <v>2</v>
      </c>
      <c r="D611" s="30">
        <v>9</v>
      </c>
      <c r="E611" s="30">
        <v>1</v>
      </c>
      <c r="F611" s="30">
        <v>2</v>
      </c>
      <c r="G611" s="1" t="s">
        <v>2</v>
      </c>
      <c r="H611">
        <f t="shared" si="9"/>
        <v>7</v>
      </c>
    </row>
    <row r="612" spans="1:8" x14ac:dyDescent="0.25">
      <c r="A612" s="5">
        <v>44764</v>
      </c>
      <c r="B612" s="30">
        <v>4</v>
      </c>
      <c r="C612" s="30">
        <v>3</v>
      </c>
      <c r="D612" s="30">
        <v>1</v>
      </c>
      <c r="E612" s="30">
        <v>4</v>
      </c>
      <c r="F612" s="30">
        <v>5</v>
      </c>
      <c r="G612" s="1" t="s">
        <v>0</v>
      </c>
      <c r="H612">
        <f t="shared" si="9"/>
        <v>7</v>
      </c>
    </row>
    <row r="613" spans="1:8" x14ac:dyDescent="0.25">
      <c r="A613" s="5">
        <v>44764</v>
      </c>
      <c r="B613" s="30">
        <v>0</v>
      </c>
      <c r="C613" s="30">
        <v>3</v>
      </c>
      <c r="D613" s="30">
        <v>1</v>
      </c>
      <c r="E613" s="30">
        <v>4</v>
      </c>
      <c r="F613" s="30">
        <v>6</v>
      </c>
      <c r="G613" s="1" t="s">
        <v>1</v>
      </c>
      <c r="H613">
        <f t="shared" si="9"/>
        <v>7</v>
      </c>
    </row>
    <row r="614" spans="1:8" x14ac:dyDescent="0.25">
      <c r="A614" s="5">
        <v>44764</v>
      </c>
      <c r="B614" s="30">
        <v>1</v>
      </c>
      <c r="C614" s="30">
        <v>4</v>
      </c>
      <c r="D614" s="30">
        <v>2</v>
      </c>
      <c r="E614" s="30">
        <v>1</v>
      </c>
      <c r="F614" s="30">
        <v>3</v>
      </c>
      <c r="G614" s="1" t="s">
        <v>2</v>
      </c>
      <c r="H614">
        <f t="shared" si="9"/>
        <v>7</v>
      </c>
    </row>
    <row r="615" spans="1:8" x14ac:dyDescent="0.25">
      <c r="A615" s="5">
        <v>44765</v>
      </c>
      <c r="B615" s="30">
        <v>5</v>
      </c>
      <c r="C615" s="30">
        <v>3</v>
      </c>
      <c r="D615" s="30">
        <v>4</v>
      </c>
      <c r="E615" s="30">
        <v>8</v>
      </c>
      <c r="F615" s="30">
        <v>3</v>
      </c>
      <c r="G615" s="1" t="s">
        <v>0</v>
      </c>
      <c r="H615">
        <f t="shared" si="9"/>
        <v>7</v>
      </c>
    </row>
    <row r="616" spans="1:8" x14ac:dyDescent="0.25">
      <c r="A616" s="5">
        <v>44765</v>
      </c>
      <c r="B616" s="30">
        <v>1</v>
      </c>
      <c r="C616" s="30">
        <v>2</v>
      </c>
      <c r="D616" s="30">
        <v>1</v>
      </c>
      <c r="E616" s="30">
        <v>3</v>
      </c>
      <c r="F616" s="30">
        <v>6</v>
      </c>
      <c r="G616" s="1" t="s">
        <v>1</v>
      </c>
      <c r="H616">
        <f t="shared" si="9"/>
        <v>7</v>
      </c>
    </row>
    <row r="617" spans="1:8" x14ac:dyDescent="0.25">
      <c r="A617" s="5">
        <v>44765</v>
      </c>
      <c r="B617" s="30">
        <v>1</v>
      </c>
      <c r="C617" s="30">
        <v>7</v>
      </c>
      <c r="D617" s="30">
        <v>1</v>
      </c>
      <c r="E617" s="30">
        <v>3</v>
      </c>
      <c r="F617" s="30">
        <v>5</v>
      </c>
      <c r="G617" s="1" t="s">
        <v>2</v>
      </c>
      <c r="H617">
        <f t="shared" si="9"/>
        <v>7</v>
      </c>
    </row>
    <row r="618" spans="1:8" x14ac:dyDescent="0.25">
      <c r="A618" s="5">
        <v>44766</v>
      </c>
      <c r="B618" s="30">
        <v>5</v>
      </c>
      <c r="C618" s="30">
        <v>1</v>
      </c>
      <c r="D618" s="30">
        <v>3</v>
      </c>
      <c r="E618" s="30">
        <v>5</v>
      </c>
      <c r="F618" s="30">
        <v>4</v>
      </c>
      <c r="G618" s="1" t="s">
        <v>0</v>
      </c>
      <c r="H618">
        <f t="shared" si="9"/>
        <v>7</v>
      </c>
    </row>
    <row r="619" spans="1:8" x14ac:dyDescent="0.25">
      <c r="A619" s="5">
        <v>44766</v>
      </c>
      <c r="B619" s="30">
        <v>1</v>
      </c>
      <c r="C619" s="30">
        <v>4</v>
      </c>
      <c r="D619" s="30">
        <v>3</v>
      </c>
      <c r="E619" s="30">
        <v>3</v>
      </c>
      <c r="F619" s="30">
        <v>3</v>
      </c>
      <c r="G619" s="1" t="s">
        <v>1</v>
      </c>
      <c r="H619">
        <f t="shared" si="9"/>
        <v>7</v>
      </c>
    </row>
    <row r="620" spans="1:8" x14ac:dyDescent="0.25">
      <c r="A620" s="5">
        <v>44766</v>
      </c>
      <c r="B620" s="30">
        <v>5</v>
      </c>
      <c r="C620" s="30">
        <v>1</v>
      </c>
      <c r="D620" s="30">
        <v>5</v>
      </c>
      <c r="E620" s="30">
        <v>4</v>
      </c>
      <c r="F620" s="30">
        <v>8</v>
      </c>
      <c r="G620" s="1" t="s">
        <v>2</v>
      </c>
      <c r="H620">
        <f t="shared" si="9"/>
        <v>7</v>
      </c>
    </row>
    <row r="621" spans="1:8" x14ac:dyDescent="0.25">
      <c r="A621" s="5">
        <v>44767</v>
      </c>
      <c r="B621" s="30">
        <v>9</v>
      </c>
      <c r="C621" s="30">
        <v>3</v>
      </c>
      <c r="D621" s="30">
        <v>1</v>
      </c>
      <c r="E621" s="30">
        <v>1</v>
      </c>
      <c r="F621" s="30">
        <v>2</v>
      </c>
      <c r="G621" s="1" t="s">
        <v>0</v>
      </c>
      <c r="H621">
        <f t="shared" si="9"/>
        <v>7</v>
      </c>
    </row>
    <row r="622" spans="1:8" x14ac:dyDescent="0.25">
      <c r="A622" s="5">
        <v>44767</v>
      </c>
      <c r="B622" s="30">
        <v>4</v>
      </c>
      <c r="C622" s="30">
        <v>3</v>
      </c>
      <c r="D622" s="30">
        <v>2</v>
      </c>
      <c r="E622" s="30">
        <v>8</v>
      </c>
      <c r="F622" s="30">
        <v>5</v>
      </c>
      <c r="G622" s="1" t="s">
        <v>1</v>
      </c>
      <c r="H622">
        <f t="shared" si="9"/>
        <v>7</v>
      </c>
    </row>
    <row r="623" spans="1:8" x14ac:dyDescent="0.25">
      <c r="A623" s="5">
        <v>44767</v>
      </c>
      <c r="B623" s="30">
        <v>0</v>
      </c>
      <c r="C623" s="30">
        <v>4</v>
      </c>
      <c r="D623" s="30">
        <v>8</v>
      </c>
      <c r="E623" s="30">
        <v>1</v>
      </c>
      <c r="F623" s="30">
        <v>4</v>
      </c>
      <c r="G623" s="1" t="s">
        <v>2</v>
      </c>
      <c r="H623">
        <f t="shared" si="9"/>
        <v>7</v>
      </c>
    </row>
    <row r="624" spans="1:8" x14ac:dyDescent="0.25">
      <c r="A624" s="5">
        <v>44768</v>
      </c>
      <c r="B624" s="30">
        <v>2</v>
      </c>
      <c r="C624" s="30">
        <v>3</v>
      </c>
      <c r="D624" s="30">
        <v>5</v>
      </c>
      <c r="E624" s="30">
        <v>3</v>
      </c>
      <c r="F624" s="30">
        <v>4</v>
      </c>
      <c r="G624" s="1" t="s">
        <v>0</v>
      </c>
      <c r="H624">
        <f t="shared" si="9"/>
        <v>7</v>
      </c>
    </row>
    <row r="625" spans="1:8" x14ac:dyDescent="0.25">
      <c r="A625" s="5">
        <v>44768</v>
      </c>
      <c r="B625" s="30">
        <v>4</v>
      </c>
      <c r="C625" s="30">
        <v>1</v>
      </c>
      <c r="D625" s="30">
        <v>4</v>
      </c>
      <c r="E625" s="30">
        <v>3</v>
      </c>
      <c r="F625" s="30">
        <v>8</v>
      </c>
      <c r="G625" s="1" t="s">
        <v>1</v>
      </c>
      <c r="H625">
        <f t="shared" si="9"/>
        <v>7</v>
      </c>
    </row>
    <row r="626" spans="1:8" x14ac:dyDescent="0.25">
      <c r="A626" s="5">
        <v>44768</v>
      </c>
      <c r="B626" s="30">
        <v>1</v>
      </c>
      <c r="C626" s="30">
        <v>0</v>
      </c>
      <c r="D626" s="30">
        <v>3</v>
      </c>
      <c r="E626" s="30">
        <v>9</v>
      </c>
      <c r="F626" s="30">
        <v>2</v>
      </c>
      <c r="G626" s="1" t="s">
        <v>2</v>
      </c>
      <c r="H626">
        <f t="shared" si="9"/>
        <v>7</v>
      </c>
    </row>
    <row r="627" spans="1:8" x14ac:dyDescent="0.25">
      <c r="A627" s="5">
        <v>44769</v>
      </c>
      <c r="B627" s="30">
        <v>5</v>
      </c>
      <c r="C627" s="30">
        <v>4</v>
      </c>
      <c r="D627" s="30">
        <v>10</v>
      </c>
      <c r="E627" s="30">
        <v>8</v>
      </c>
      <c r="F627" s="30">
        <v>1</v>
      </c>
      <c r="G627" s="1" t="s">
        <v>0</v>
      </c>
      <c r="H627">
        <f t="shared" si="9"/>
        <v>7</v>
      </c>
    </row>
    <row r="628" spans="1:8" x14ac:dyDescent="0.25">
      <c r="A628" s="5">
        <v>44769</v>
      </c>
      <c r="B628" s="30">
        <v>6</v>
      </c>
      <c r="C628" s="30">
        <v>1</v>
      </c>
      <c r="D628" s="30">
        <v>3</v>
      </c>
      <c r="E628" s="30">
        <v>3</v>
      </c>
      <c r="F628" s="30">
        <v>6</v>
      </c>
      <c r="G628" s="1" t="s">
        <v>1</v>
      </c>
      <c r="H628">
        <f t="shared" si="9"/>
        <v>7</v>
      </c>
    </row>
    <row r="629" spans="1:8" x14ac:dyDescent="0.25">
      <c r="A629" s="5">
        <v>44769</v>
      </c>
      <c r="B629" s="30">
        <v>1</v>
      </c>
      <c r="C629" s="30">
        <v>0</v>
      </c>
      <c r="D629" s="30">
        <v>8</v>
      </c>
      <c r="E629" s="30">
        <v>4</v>
      </c>
      <c r="F629" s="30">
        <v>6</v>
      </c>
      <c r="G629" s="1" t="s">
        <v>2</v>
      </c>
      <c r="H629">
        <f t="shared" si="9"/>
        <v>7</v>
      </c>
    </row>
    <row r="630" spans="1:8" x14ac:dyDescent="0.25">
      <c r="A630" s="5">
        <v>44770</v>
      </c>
      <c r="B630" s="30">
        <v>3</v>
      </c>
      <c r="C630" s="30">
        <v>6</v>
      </c>
      <c r="D630" s="30">
        <v>0</v>
      </c>
      <c r="E630" s="30">
        <v>8</v>
      </c>
      <c r="F630" s="30">
        <v>7</v>
      </c>
      <c r="G630" s="1" t="s">
        <v>0</v>
      </c>
      <c r="H630">
        <f t="shared" si="9"/>
        <v>7</v>
      </c>
    </row>
    <row r="631" spans="1:8" x14ac:dyDescent="0.25">
      <c r="A631" s="5">
        <v>44770</v>
      </c>
      <c r="B631" s="30">
        <v>3</v>
      </c>
      <c r="C631" s="30">
        <v>4</v>
      </c>
      <c r="D631" s="30">
        <v>5</v>
      </c>
      <c r="E631" s="30">
        <v>3</v>
      </c>
      <c r="F631" s="30">
        <v>5</v>
      </c>
      <c r="G631" s="1" t="s">
        <v>1</v>
      </c>
      <c r="H631">
        <f t="shared" si="9"/>
        <v>7</v>
      </c>
    </row>
    <row r="632" spans="1:8" x14ac:dyDescent="0.25">
      <c r="A632" s="5">
        <v>44770</v>
      </c>
      <c r="B632" s="30">
        <v>7</v>
      </c>
      <c r="C632" s="30">
        <v>7</v>
      </c>
      <c r="D632" s="30">
        <v>7</v>
      </c>
      <c r="E632" s="30">
        <v>3</v>
      </c>
      <c r="F632" s="30">
        <v>2</v>
      </c>
      <c r="G632" s="1" t="s">
        <v>2</v>
      </c>
      <c r="H632">
        <f t="shared" si="9"/>
        <v>7</v>
      </c>
    </row>
    <row r="633" spans="1:8" x14ac:dyDescent="0.25">
      <c r="A633" s="5">
        <v>44771</v>
      </c>
      <c r="B633" s="30">
        <v>1</v>
      </c>
      <c r="C633" s="30">
        <v>7</v>
      </c>
      <c r="D633" s="30">
        <v>4</v>
      </c>
      <c r="E633" s="30">
        <v>6</v>
      </c>
      <c r="F633" s="30">
        <v>3</v>
      </c>
      <c r="G633" s="1" t="s">
        <v>0</v>
      </c>
      <c r="H633">
        <f t="shared" si="9"/>
        <v>7</v>
      </c>
    </row>
    <row r="634" spans="1:8" x14ac:dyDescent="0.25">
      <c r="A634" s="5">
        <v>44771</v>
      </c>
      <c r="B634" s="30">
        <v>5</v>
      </c>
      <c r="C634" s="30">
        <v>1</v>
      </c>
      <c r="D634" s="30">
        <v>4</v>
      </c>
      <c r="E634" s="30">
        <v>4</v>
      </c>
      <c r="F634" s="30">
        <v>8</v>
      </c>
      <c r="G634" s="1" t="s">
        <v>1</v>
      </c>
      <c r="H634">
        <f t="shared" si="9"/>
        <v>7</v>
      </c>
    </row>
    <row r="635" spans="1:8" x14ac:dyDescent="0.25">
      <c r="A635" s="5">
        <v>44771</v>
      </c>
      <c r="B635" s="30">
        <v>5</v>
      </c>
      <c r="C635" s="30">
        <v>8</v>
      </c>
      <c r="D635" s="30">
        <v>1</v>
      </c>
      <c r="E635" s="30">
        <v>3</v>
      </c>
      <c r="F635" s="30">
        <v>3</v>
      </c>
      <c r="G635" s="1" t="s">
        <v>2</v>
      </c>
      <c r="H635">
        <f t="shared" si="9"/>
        <v>7</v>
      </c>
    </row>
    <row r="636" spans="1:8" x14ac:dyDescent="0.25">
      <c r="A636" s="5">
        <v>44772</v>
      </c>
      <c r="B636" s="30">
        <v>6</v>
      </c>
      <c r="C636" s="30">
        <v>2</v>
      </c>
      <c r="D636" s="30">
        <v>5</v>
      </c>
      <c r="E636" s="30">
        <v>4</v>
      </c>
      <c r="F636" s="30">
        <v>7</v>
      </c>
      <c r="G636" s="1" t="s">
        <v>0</v>
      </c>
      <c r="H636">
        <f t="shared" si="9"/>
        <v>7</v>
      </c>
    </row>
    <row r="637" spans="1:8" x14ac:dyDescent="0.25">
      <c r="A637" s="5">
        <v>44772</v>
      </c>
      <c r="B637" s="30">
        <v>9</v>
      </c>
      <c r="C637" s="30">
        <v>3</v>
      </c>
      <c r="D637" s="30">
        <v>5</v>
      </c>
      <c r="E637" s="30">
        <v>2</v>
      </c>
      <c r="F637" s="30">
        <v>5</v>
      </c>
      <c r="G637" s="1" t="s">
        <v>1</v>
      </c>
      <c r="H637">
        <f t="shared" si="9"/>
        <v>7</v>
      </c>
    </row>
    <row r="638" spans="1:8" x14ac:dyDescent="0.25">
      <c r="A638" s="5">
        <v>44772</v>
      </c>
      <c r="B638" s="30">
        <v>8</v>
      </c>
      <c r="C638" s="30">
        <v>3</v>
      </c>
      <c r="D638" s="30">
        <v>5</v>
      </c>
      <c r="E638" s="30">
        <v>3</v>
      </c>
      <c r="F638" s="30">
        <v>3</v>
      </c>
      <c r="G638" s="1" t="s">
        <v>2</v>
      </c>
      <c r="H638">
        <f t="shared" si="9"/>
        <v>7</v>
      </c>
    </row>
    <row r="639" spans="1:8" x14ac:dyDescent="0.25">
      <c r="A639" s="5">
        <v>44773</v>
      </c>
      <c r="B639" s="30">
        <v>7</v>
      </c>
      <c r="C639" s="30">
        <v>1</v>
      </c>
      <c r="D639" s="30">
        <v>9</v>
      </c>
      <c r="E639" s="30">
        <v>2</v>
      </c>
      <c r="F639" s="30">
        <v>4</v>
      </c>
      <c r="G639" s="1" t="s">
        <v>0</v>
      </c>
      <c r="H639">
        <f t="shared" si="9"/>
        <v>7</v>
      </c>
    </row>
    <row r="640" spans="1:8" x14ac:dyDescent="0.25">
      <c r="A640" s="5">
        <v>44773</v>
      </c>
      <c r="B640" s="30">
        <v>1</v>
      </c>
      <c r="C640" s="30">
        <v>3</v>
      </c>
      <c r="D640" s="30">
        <v>1</v>
      </c>
      <c r="E640" s="30">
        <v>2</v>
      </c>
      <c r="F640" s="30">
        <v>10</v>
      </c>
      <c r="G640" s="1" t="s">
        <v>1</v>
      </c>
      <c r="H640">
        <f t="shared" si="9"/>
        <v>7</v>
      </c>
    </row>
    <row r="641" spans="1:8" x14ac:dyDescent="0.25">
      <c r="A641" s="5">
        <v>44773</v>
      </c>
      <c r="B641" s="30">
        <v>1</v>
      </c>
      <c r="C641" s="30">
        <v>7</v>
      </c>
      <c r="D641" s="30">
        <v>3</v>
      </c>
      <c r="E641" s="30">
        <v>9</v>
      </c>
      <c r="F641" s="30">
        <v>3</v>
      </c>
      <c r="G641" s="1" t="s">
        <v>2</v>
      </c>
      <c r="H641">
        <f t="shared" si="9"/>
        <v>7</v>
      </c>
    </row>
    <row r="642" spans="1:8" x14ac:dyDescent="0.25">
      <c r="A642" s="5">
        <v>44774</v>
      </c>
      <c r="B642" s="30">
        <v>4</v>
      </c>
      <c r="C642" s="30">
        <v>3</v>
      </c>
      <c r="D642" s="30">
        <v>2</v>
      </c>
      <c r="E642" s="30">
        <v>10</v>
      </c>
      <c r="F642" s="30">
        <v>3</v>
      </c>
      <c r="G642" s="1" t="s">
        <v>0</v>
      </c>
      <c r="H642">
        <f t="shared" si="9"/>
        <v>8</v>
      </c>
    </row>
    <row r="643" spans="1:8" x14ac:dyDescent="0.25">
      <c r="A643" s="5">
        <v>44774</v>
      </c>
      <c r="B643" s="30">
        <v>4</v>
      </c>
      <c r="C643" s="30">
        <v>3</v>
      </c>
      <c r="D643" s="30">
        <v>3</v>
      </c>
      <c r="E643" s="30">
        <v>4</v>
      </c>
      <c r="F643" s="30">
        <v>6</v>
      </c>
      <c r="G643" s="1" t="s">
        <v>1</v>
      </c>
      <c r="H643">
        <f t="shared" si="9"/>
        <v>8</v>
      </c>
    </row>
    <row r="644" spans="1:8" x14ac:dyDescent="0.25">
      <c r="A644" s="5">
        <v>44774</v>
      </c>
      <c r="B644" s="30">
        <v>6</v>
      </c>
      <c r="C644" s="30">
        <v>4</v>
      </c>
      <c r="D644" s="30">
        <v>0</v>
      </c>
      <c r="E644" s="30">
        <v>3</v>
      </c>
      <c r="F644" s="30">
        <v>3</v>
      </c>
      <c r="G644" s="1" t="s">
        <v>2</v>
      </c>
      <c r="H644">
        <f t="shared" ref="H644:H707" si="10">MONTH(A644)</f>
        <v>8</v>
      </c>
    </row>
    <row r="645" spans="1:8" x14ac:dyDescent="0.25">
      <c r="A645" s="5">
        <v>44775</v>
      </c>
      <c r="B645" s="30">
        <v>5</v>
      </c>
      <c r="C645" s="30">
        <v>7</v>
      </c>
      <c r="D645" s="30">
        <v>3</v>
      </c>
      <c r="E645" s="30">
        <v>2</v>
      </c>
      <c r="F645" s="30">
        <v>2</v>
      </c>
      <c r="G645" s="1" t="s">
        <v>0</v>
      </c>
      <c r="H645">
        <f t="shared" si="10"/>
        <v>8</v>
      </c>
    </row>
    <row r="646" spans="1:8" x14ac:dyDescent="0.25">
      <c r="A646" s="5">
        <v>44775</v>
      </c>
      <c r="B646" s="30">
        <v>5</v>
      </c>
      <c r="C646" s="30">
        <v>0</v>
      </c>
      <c r="D646" s="30">
        <v>1</v>
      </c>
      <c r="E646" s="30">
        <v>6</v>
      </c>
      <c r="F646" s="30">
        <v>3</v>
      </c>
      <c r="G646" s="1" t="s">
        <v>1</v>
      </c>
      <c r="H646">
        <f t="shared" si="10"/>
        <v>8</v>
      </c>
    </row>
    <row r="647" spans="1:8" x14ac:dyDescent="0.25">
      <c r="A647" s="5">
        <v>44775</v>
      </c>
      <c r="B647" s="30">
        <v>1</v>
      </c>
      <c r="C647" s="30">
        <v>5</v>
      </c>
      <c r="D647" s="30">
        <v>1</v>
      </c>
      <c r="E647" s="30">
        <v>5</v>
      </c>
      <c r="F647" s="30">
        <v>10</v>
      </c>
      <c r="G647" s="1" t="s">
        <v>2</v>
      </c>
      <c r="H647">
        <f t="shared" si="10"/>
        <v>8</v>
      </c>
    </row>
    <row r="648" spans="1:8" x14ac:dyDescent="0.25">
      <c r="A648" s="5">
        <v>44776</v>
      </c>
      <c r="B648" s="30">
        <v>6</v>
      </c>
      <c r="C648" s="30">
        <v>2</v>
      </c>
      <c r="D648" s="30">
        <v>7</v>
      </c>
      <c r="E648" s="30">
        <v>4</v>
      </c>
      <c r="F648" s="30">
        <v>0</v>
      </c>
      <c r="G648" s="1" t="s">
        <v>0</v>
      </c>
      <c r="H648">
        <f t="shared" si="10"/>
        <v>8</v>
      </c>
    </row>
    <row r="649" spans="1:8" x14ac:dyDescent="0.25">
      <c r="A649" s="5">
        <v>44776</v>
      </c>
      <c r="B649" s="30">
        <v>7</v>
      </c>
      <c r="C649" s="30">
        <v>4</v>
      </c>
      <c r="D649" s="30">
        <v>2</v>
      </c>
      <c r="E649" s="30">
        <v>5</v>
      </c>
      <c r="F649" s="30">
        <v>5</v>
      </c>
      <c r="G649" s="1" t="s">
        <v>1</v>
      </c>
      <c r="H649">
        <f t="shared" si="10"/>
        <v>8</v>
      </c>
    </row>
    <row r="650" spans="1:8" x14ac:dyDescent="0.25">
      <c r="A650" s="5">
        <v>44776</v>
      </c>
      <c r="B650" s="30">
        <v>5</v>
      </c>
      <c r="C650" s="30">
        <v>10</v>
      </c>
      <c r="D650" s="30">
        <v>3</v>
      </c>
      <c r="E650" s="30">
        <v>5</v>
      </c>
      <c r="F650" s="30">
        <v>4</v>
      </c>
      <c r="G650" s="1" t="s">
        <v>2</v>
      </c>
      <c r="H650">
        <f t="shared" si="10"/>
        <v>8</v>
      </c>
    </row>
    <row r="651" spans="1:8" x14ac:dyDescent="0.25">
      <c r="A651" s="5">
        <v>44777</v>
      </c>
      <c r="B651" s="30">
        <v>3</v>
      </c>
      <c r="C651" s="30">
        <v>3</v>
      </c>
      <c r="D651" s="30">
        <v>3</v>
      </c>
      <c r="E651" s="30">
        <v>1</v>
      </c>
      <c r="F651" s="30">
        <v>7</v>
      </c>
      <c r="G651" s="1" t="s">
        <v>0</v>
      </c>
      <c r="H651">
        <f t="shared" si="10"/>
        <v>8</v>
      </c>
    </row>
    <row r="652" spans="1:8" x14ac:dyDescent="0.25">
      <c r="A652" s="5">
        <v>44777</v>
      </c>
      <c r="B652" s="30">
        <v>5</v>
      </c>
      <c r="C652" s="30">
        <v>0</v>
      </c>
      <c r="D652" s="30">
        <v>3</v>
      </c>
      <c r="E652" s="30">
        <v>3</v>
      </c>
      <c r="F652" s="30">
        <v>1</v>
      </c>
      <c r="G652" s="1" t="s">
        <v>1</v>
      </c>
      <c r="H652">
        <f t="shared" si="10"/>
        <v>8</v>
      </c>
    </row>
    <row r="653" spans="1:8" x14ac:dyDescent="0.25">
      <c r="A653" s="5">
        <v>44777</v>
      </c>
      <c r="B653" s="30">
        <v>3</v>
      </c>
      <c r="C653" s="30">
        <v>3</v>
      </c>
      <c r="D653" s="30">
        <v>8</v>
      </c>
      <c r="E653" s="30">
        <v>3</v>
      </c>
      <c r="F653" s="30">
        <v>3</v>
      </c>
      <c r="G653" s="1" t="s">
        <v>2</v>
      </c>
      <c r="H653">
        <f t="shared" si="10"/>
        <v>8</v>
      </c>
    </row>
    <row r="654" spans="1:8" x14ac:dyDescent="0.25">
      <c r="A654" s="5">
        <v>44778</v>
      </c>
      <c r="B654" s="30">
        <v>5</v>
      </c>
      <c r="C654" s="30">
        <v>4</v>
      </c>
      <c r="D654" s="30">
        <v>0</v>
      </c>
      <c r="E654" s="30">
        <v>3</v>
      </c>
      <c r="F654" s="30">
        <v>3</v>
      </c>
      <c r="G654" s="1" t="s">
        <v>0</v>
      </c>
      <c r="H654">
        <f t="shared" si="10"/>
        <v>8</v>
      </c>
    </row>
    <row r="655" spans="1:8" x14ac:dyDescent="0.25">
      <c r="A655" s="5">
        <v>44778</v>
      </c>
      <c r="B655" s="30">
        <v>9</v>
      </c>
      <c r="C655" s="30">
        <v>7</v>
      </c>
      <c r="D655" s="30">
        <v>7</v>
      </c>
      <c r="E655" s="30">
        <v>0</v>
      </c>
      <c r="F655" s="30">
        <v>2</v>
      </c>
      <c r="G655" s="1" t="s">
        <v>1</v>
      </c>
      <c r="H655">
        <f t="shared" si="10"/>
        <v>8</v>
      </c>
    </row>
    <row r="656" spans="1:8" x14ac:dyDescent="0.25">
      <c r="A656" s="5">
        <v>44778</v>
      </c>
      <c r="B656" s="30">
        <v>1</v>
      </c>
      <c r="C656" s="30">
        <v>0</v>
      </c>
      <c r="D656" s="30">
        <v>1</v>
      </c>
      <c r="E656" s="30">
        <v>5</v>
      </c>
      <c r="F656" s="30">
        <v>0</v>
      </c>
      <c r="G656" s="1" t="s">
        <v>2</v>
      </c>
      <c r="H656">
        <f t="shared" si="10"/>
        <v>8</v>
      </c>
    </row>
    <row r="657" spans="1:8" x14ac:dyDescent="0.25">
      <c r="A657" s="5">
        <v>44779</v>
      </c>
      <c r="B657" s="30">
        <v>0</v>
      </c>
      <c r="C657" s="30">
        <v>10</v>
      </c>
      <c r="D657" s="30">
        <v>1</v>
      </c>
      <c r="E657" s="30">
        <v>6</v>
      </c>
      <c r="F657" s="30">
        <v>3</v>
      </c>
      <c r="G657" s="1" t="s">
        <v>0</v>
      </c>
      <c r="H657">
        <f t="shared" si="10"/>
        <v>8</v>
      </c>
    </row>
    <row r="658" spans="1:8" x14ac:dyDescent="0.25">
      <c r="A658" s="5">
        <v>44779</v>
      </c>
      <c r="B658" s="30">
        <v>5</v>
      </c>
      <c r="C658" s="30">
        <v>2</v>
      </c>
      <c r="D658" s="30">
        <v>4</v>
      </c>
      <c r="E658" s="30">
        <v>3</v>
      </c>
      <c r="F658" s="30">
        <v>10</v>
      </c>
      <c r="G658" s="1" t="s">
        <v>1</v>
      </c>
      <c r="H658">
        <f t="shared" si="10"/>
        <v>8</v>
      </c>
    </row>
    <row r="659" spans="1:8" x14ac:dyDescent="0.25">
      <c r="A659" s="5">
        <v>44779</v>
      </c>
      <c r="B659" s="30">
        <v>1</v>
      </c>
      <c r="C659" s="30">
        <v>3</v>
      </c>
      <c r="D659" s="30">
        <v>5</v>
      </c>
      <c r="E659" s="30">
        <v>0</v>
      </c>
      <c r="F659" s="30">
        <v>5</v>
      </c>
      <c r="G659" s="1" t="s">
        <v>2</v>
      </c>
      <c r="H659">
        <f t="shared" si="10"/>
        <v>8</v>
      </c>
    </row>
    <row r="660" spans="1:8" x14ac:dyDescent="0.25">
      <c r="A660" s="5">
        <v>44780</v>
      </c>
      <c r="B660" s="30">
        <v>8</v>
      </c>
      <c r="C660" s="30">
        <v>4</v>
      </c>
      <c r="D660" s="30">
        <v>0</v>
      </c>
      <c r="E660" s="30">
        <v>6</v>
      </c>
      <c r="F660" s="30">
        <v>7</v>
      </c>
      <c r="G660" s="1" t="s">
        <v>0</v>
      </c>
      <c r="H660">
        <f t="shared" si="10"/>
        <v>8</v>
      </c>
    </row>
    <row r="661" spans="1:8" x14ac:dyDescent="0.25">
      <c r="A661" s="5">
        <v>44780</v>
      </c>
      <c r="B661" s="30">
        <v>1</v>
      </c>
      <c r="C661" s="30">
        <v>2</v>
      </c>
      <c r="D661" s="30">
        <v>2</v>
      </c>
      <c r="E661" s="30">
        <v>2</v>
      </c>
      <c r="F661" s="30">
        <v>4</v>
      </c>
      <c r="G661" s="1" t="s">
        <v>1</v>
      </c>
      <c r="H661">
        <f t="shared" si="10"/>
        <v>8</v>
      </c>
    </row>
    <row r="662" spans="1:8" x14ac:dyDescent="0.25">
      <c r="A662" s="5">
        <v>44780</v>
      </c>
      <c r="B662" s="30">
        <v>10</v>
      </c>
      <c r="C662" s="30">
        <v>6</v>
      </c>
      <c r="D662" s="30">
        <v>0</v>
      </c>
      <c r="E662" s="30">
        <v>7</v>
      </c>
      <c r="F662" s="30">
        <v>2</v>
      </c>
      <c r="G662" s="1" t="s">
        <v>2</v>
      </c>
      <c r="H662">
        <f t="shared" si="10"/>
        <v>8</v>
      </c>
    </row>
    <row r="663" spans="1:8" x14ac:dyDescent="0.25">
      <c r="A663" s="5">
        <v>44781</v>
      </c>
      <c r="B663" s="30">
        <v>3</v>
      </c>
      <c r="C663" s="30">
        <v>3</v>
      </c>
      <c r="D663" s="30">
        <v>3</v>
      </c>
      <c r="E663" s="30">
        <v>1</v>
      </c>
      <c r="F663" s="30">
        <v>4</v>
      </c>
      <c r="G663" s="1" t="s">
        <v>0</v>
      </c>
      <c r="H663">
        <f t="shared" si="10"/>
        <v>8</v>
      </c>
    </row>
    <row r="664" spans="1:8" x14ac:dyDescent="0.25">
      <c r="A664" s="5">
        <v>44781</v>
      </c>
      <c r="B664" s="30">
        <v>3</v>
      </c>
      <c r="C664" s="30">
        <v>3</v>
      </c>
      <c r="D664" s="30">
        <v>4</v>
      </c>
      <c r="E664" s="30">
        <v>1</v>
      </c>
      <c r="F664" s="30">
        <v>3</v>
      </c>
      <c r="G664" s="1" t="s">
        <v>1</v>
      </c>
      <c r="H664">
        <f t="shared" si="10"/>
        <v>8</v>
      </c>
    </row>
    <row r="665" spans="1:8" x14ac:dyDescent="0.25">
      <c r="A665" s="5">
        <v>44781</v>
      </c>
      <c r="B665" s="30">
        <v>8</v>
      </c>
      <c r="C665" s="30">
        <v>4</v>
      </c>
      <c r="D665" s="30">
        <v>2</v>
      </c>
      <c r="E665" s="30">
        <v>3</v>
      </c>
      <c r="F665" s="30">
        <v>2</v>
      </c>
      <c r="G665" s="1" t="s">
        <v>2</v>
      </c>
      <c r="H665">
        <f t="shared" si="10"/>
        <v>8</v>
      </c>
    </row>
    <row r="666" spans="1:8" x14ac:dyDescent="0.25">
      <c r="A666" s="5">
        <v>44782</v>
      </c>
      <c r="B666" s="30">
        <v>3</v>
      </c>
      <c r="C666" s="30">
        <v>4</v>
      </c>
      <c r="D666" s="30">
        <v>3</v>
      </c>
      <c r="E666" s="30">
        <v>4</v>
      </c>
      <c r="F666" s="30">
        <v>2</v>
      </c>
      <c r="G666" s="1" t="s">
        <v>0</v>
      </c>
      <c r="H666">
        <f t="shared" si="10"/>
        <v>8</v>
      </c>
    </row>
    <row r="667" spans="1:8" x14ac:dyDescent="0.25">
      <c r="A667" s="5">
        <v>44782</v>
      </c>
      <c r="B667" s="30">
        <v>6</v>
      </c>
      <c r="C667" s="30">
        <v>8</v>
      </c>
      <c r="D667" s="30">
        <v>5</v>
      </c>
      <c r="E667" s="30">
        <v>9</v>
      </c>
      <c r="F667" s="30">
        <v>4</v>
      </c>
      <c r="G667" s="1" t="s">
        <v>1</v>
      </c>
      <c r="H667">
        <f t="shared" si="10"/>
        <v>8</v>
      </c>
    </row>
    <row r="668" spans="1:8" x14ac:dyDescent="0.25">
      <c r="A668" s="5">
        <v>44782</v>
      </c>
      <c r="B668" s="30">
        <v>9</v>
      </c>
      <c r="C668" s="30">
        <v>4</v>
      </c>
      <c r="D668" s="30">
        <v>1</v>
      </c>
      <c r="E668" s="30">
        <v>4</v>
      </c>
      <c r="F668" s="30">
        <v>9</v>
      </c>
      <c r="G668" s="1" t="s">
        <v>2</v>
      </c>
      <c r="H668">
        <f t="shared" si="10"/>
        <v>8</v>
      </c>
    </row>
    <row r="669" spans="1:8" x14ac:dyDescent="0.25">
      <c r="A669" s="5">
        <v>44783</v>
      </c>
      <c r="B669" s="30">
        <v>5</v>
      </c>
      <c r="C669" s="30">
        <v>3</v>
      </c>
      <c r="D669" s="30">
        <v>1</v>
      </c>
      <c r="E669" s="30">
        <v>4</v>
      </c>
      <c r="F669" s="30">
        <v>1</v>
      </c>
      <c r="G669" s="1" t="s">
        <v>0</v>
      </c>
      <c r="H669">
        <f t="shared" si="10"/>
        <v>8</v>
      </c>
    </row>
    <row r="670" spans="1:8" x14ac:dyDescent="0.25">
      <c r="A670" s="5">
        <v>44783</v>
      </c>
      <c r="B670" s="30">
        <v>3</v>
      </c>
      <c r="C670" s="30">
        <v>4</v>
      </c>
      <c r="D670" s="30">
        <v>0</v>
      </c>
      <c r="E670" s="30">
        <v>8</v>
      </c>
      <c r="F670" s="30">
        <v>3</v>
      </c>
      <c r="G670" s="1" t="s">
        <v>1</v>
      </c>
      <c r="H670">
        <f t="shared" si="10"/>
        <v>8</v>
      </c>
    </row>
    <row r="671" spans="1:8" x14ac:dyDescent="0.25">
      <c r="A671" s="5">
        <v>44783</v>
      </c>
      <c r="B671" s="30">
        <v>6</v>
      </c>
      <c r="C671" s="30">
        <v>8</v>
      </c>
      <c r="D671" s="30">
        <v>9</v>
      </c>
      <c r="E671" s="30">
        <v>3</v>
      </c>
      <c r="F671" s="30">
        <v>2</v>
      </c>
      <c r="G671" s="1" t="s">
        <v>2</v>
      </c>
      <c r="H671">
        <f t="shared" si="10"/>
        <v>8</v>
      </c>
    </row>
    <row r="672" spans="1:8" x14ac:dyDescent="0.25">
      <c r="A672" s="5">
        <v>44784</v>
      </c>
      <c r="B672" s="30">
        <v>7</v>
      </c>
      <c r="C672" s="30">
        <v>8</v>
      </c>
      <c r="D672" s="30">
        <v>3</v>
      </c>
      <c r="E672" s="30">
        <v>4</v>
      </c>
      <c r="F672" s="30">
        <v>4</v>
      </c>
      <c r="G672" s="1" t="s">
        <v>0</v>
      </c>
      <c r="H672">
        <f t="shared" si="10"/>
        <v>8</v>
      </c>
    </row>
    <row r="673" spans="1:8" x14ac:dyDescent="0.25">
      <c r="A673" s="5">
        <v>44784</v>
      </c>
      <c r="B673" s="30">
        <v>5</v>
      </c>
      <c r="C673" s="30">
        <v>1</v>
      </c>
      <c r="D673" s="30">
        <v>4</v>
      </c>
      <c r="E673" s="30">
        <v>3</v>
      </c>
      <c r="F673" s="30">
        <v>8</v>
      </c>
      <c r="G673" s="1" t="s">
        <v>1</v>
      </c>
      <c r="H673">
        <f t="shared" si="10"/>
        <v>8</v>
      </c>
    </row>
    <row r="674" spans="1:8" x14ac:dyDescent="0.25">
      <c r="A674" s="5">
        <v>44784</v>
      </c>
      <c r="B674" s="30">
        <v>3</v>
      </c>
      <c r="C674" s="30">
        <v>6</v>
      </c>
      <c r="D674" s="30">
        <v>4</v>
      </c>
      <c r="E674" s="30">
        <v>2</v>
      </c>
      <c r="F674" s="30">
        <v>4</v>
      </c>
      <c r="G674" s="1" t="s">
        <v>2</v>
      </c>
      <c r="H674">
        <f t="shared" si="10"/>
        <v>8</v>
      </c>
    </row>
    <row r="675" spans="1:8" x14ac:dyDescent="0.25">
      <c r="A675" s="5">
        <v>44785</v>
      </c>
      <c r="B675" s="30">
        <v>3</v>
      </c>
      <c r="C675" s="30">
        <v>1</v>
      </c>
      <c r="D675" s="30">
        <v>4</v>
      </c>
      <c r="E675" s="30">
        <v>2</v>
      </c>
      <c r="F675" s="30">
        <v>0</v>
      </c>
      <c r="G675" s="1" t="s">
        <v>0</v>
      </c>
      <c r="H675">
        <f t="shared" si="10"/>
        <v>8</v>
      </c>
    </row>
    <row r="676" spans="1:8" x14ac:dyDescent="0.25">
      <c r="A676" s="5">
        <v>44785</v>
      </c>
      <c r="B676" s="30">
        <v>5</v>
      </c>
      <c r="C676" s="30">
        <v>8</v>
      </c>
      <c r="D676" s="30">
        <v>4</v>
      </c>
      <c r="E676" s="30">
        <v>1</v>
      </c>
      <c r="F676" s="30">
        <v>8</v>
      </c>
      <c r="G676" s="1" t="s">
        <v>1</v>
      </c>
      <c r="H676">
        <f t="shared" si="10"/>
        <v>8</v>
      </c>
    </row>
    <row r="677" spans="1:8" x14ac:dyDescent="0.25">
      <c r="A677" s="5">
        <v>44785</v>
      </c>
      <c r="B677" s="30">
        <v>3</v>
      </c>
      <c r="C677" s="30">
        <v>6</v>
      </c>
      <c r="D677" s="30">
        <v>9</v>
      </c>
      <c r="E677" s="30">
        <v>4</v>
      </c>
      <c r="F677" s="30">
        <v>1</v>
      </c>
      <c r="G677" s="1" t="s">
        <v>2</v>
      </c>
      <c r="H677">
        <f t="shared" si="10"/>
        <v>8</v>
      </c>
    </row>
    <row r="678" spans="1:8" x14ac:dyDescent="0.25">
      <c r="A678" s="5">
        <v>44786</v>
      </c>
      <c r="B678" s="30">
        <v>3</v>
      </c>
      <c r="C678" s="30">
        <v>4</v>
      </c>
      <c r="D678" s="30">
        <v>3</v>
      </c>
      <c r="E678" s="30">
        <v>8</v>
      </c>
      <c r="F678" s="30">
        <v>5</v>
      </c>
      <c r="G678" s="1" t="s">
        <v>0</v>
      </c>
      <c r="H678">
        <f t="shared" si="10"/>
        <v>8</v>
      </c>
    </row>
    <row r="679" spans="1:8" x14ac:dyDescent="0.25">
      <c r="A679" s="5">
        <v>44786</v>
      </c>
      <c r="B679" s="30">
        <v>2</v>
      </c>
      <c r="C679" s="30">
        <v>3</v>
      </c>
      <c r="D679" s="30">
        <v>6</v>
      </c>
      <c r="E679" s="30">
        <v>4</v>
      </c>
      <c r="F679" s="30">
        <v>0</v>
      </c>
      <c r="G679" s="1" t="s">
        <v>1</v>
      </c>
      <c r="H679">
        <f t="shared" si="10"/>
        <v>8</v>
      </c>
    </row>
    <row r="680" spans="1:8" x14ac:dyDescent="0.25">
      <c r="A680" s="5">
        <v>44786</v>
      </c>
      <c r="B680" s="30">
        <v>5</v>
      </c>
      <c r="C680" s="30">
        <v>5</v>
      </c>
      <c r="D680" s="30">
        <v>0</v>
      </c>
      <c r="E680" s="30">
        <v>4</v>
      </c>
      <c r="F680" s="30">
        <v>2</v>
      </c>
      <c r="G680" s="1" t="s">
        <v>2</v>
      </c>
      <c r="H680">
        <f t="shared" si="10"/>
        <v>8</v>
      </c>
    </row>
    <row r="681" spans="1:8" x14ac:dyDescent="0.25">
      <c r="A681" s="5">
        <v>44787</v>
      </c>
      <c r="B681" s="30">
        <v>2</v>
      </c>
      <c r="C681" s="30">
        <v>2</v>
      </c>
      <c r="D681" s="30">
        <v>4</v>
      </c>
      <c r="E681" s="30">
        <v>2</v>
      </c>
      <c r="F681" s="30">
        <v>6</v>
      </c>
      <c r="G681" s="1" t="s">
        <v>0</v>
      </c>
      <c r="H681">
        <f t="shared" si="10"/>
        <v>8</v>
      </c>
    </row>
    <row r="682" spans="1:8" x14ac:dyDescent="0.25">
      <c r="A682" s="5">
        <v>44787</v>
      </c>
      <c r="B682" s="30">
        <v>5</v>
      </c>
      <c r="C682" s="30">
        <v>1</v>
      </c>
      <c r="D682" s="30">
        <v>0</v>
      </c>
      <c r="E682" s="30">
        <v>1</v>
      </c>
      <c r="F682" s="30">
        <v>4</v>
      </c>
      <c r="G682" s="1" t="s">
        <v>1</v>
      </c>
      <c r="H682">
        <f t="shared" si="10"/>
        <v>8</v>
      </c>
    </row>
    <row r="683" spans="1:8" x14ac:dyDescent="0.25">
      <c r="A683" s="5">
        <v>44787</v>
      </c>
      <c r="B683" s="30">
        <v>2</v>
      </c>
      <c r="C683" s="30">
        <v>3</v>
      </c>
      <c r="D683" s="30">
        <v>3</v>
      </c>
      <c r="E683" s="30">
        <v>5</v>
      </c>
      <c r="F683" s="30">
        <v>3</v>
      </c>
      <c r="G683" s="1" t="s">
        <v>2</v>
      </c>
      <c r="H683">
        <f t="shared" si="10"/>
        <v>8</v>
      </c>
    </row>
    <row r="684" spans="1:8" x14ac:dyDescent="0.25">
      <c r="A684" s="5">
        <v>44788</v>
      </c>
      <c r="B684" s="30">
        <v>7</v>
      </c>
      <c r="C684" s="30">
        <v>3</v>
      </c>
      <c r="D684" s="30">
        <v>3</v>
      </c>
      <c r="E684" s="30">
        <v>1</v>
      </c>
      <c r="F684" s="30">
        <v>0</v>
      </c>
      <c r="G684" s="1" t="s">
        <v>0</v>
      </c>
      <c r="H684">
        <f t="shared" si="10"/>
        <v>8</v>
      </c>
    </row>
    <row r="685" spans="1:8" x14ac:dyDescent="0.25">
      <c r="A685" s="5">
        <v>44788</v>
      </c>
      <c r="B685" s="30">
        <v>5</v>
      </c>
      <c r="C685" s="30">
        <v>5</v>
      </c>
      <c r="D685" s="30">
        <v>3</v>
      </c>
      <c r="E685" s="30">
        <v>1</v>
      </c>
      <c r="F685" s="30">
        <v>7</v>
      </c>
      <c r="G685" s="1" t="s">
        <v>1</v>
      </c>
      <c r="H685">
        <f t="shared" si="10"/>
        <v>8</v>
      </c>
    </row>
    <row r="686" spans="1:8" x14ac:dyDescent="0.25">
      <c r="A686" s="5">
        <v>44788</v>
      </c>
      <c r="B686" s="30">
        <v>1</v>
      </c>
      <c r="C686" s="30">
        <v>3</v>
      </c>
      <c r="D686" s="30">
        <v>0</v>
      </c>
      <c r="E686" s="30">
        <v>2</v>
      </c>
      <c r="F686" s="30">
        <v>2</v>
      </c>
      <c r="G686" s="1" t="s">
        <v>2</v>
      </c>
      <c r="H686">
        <f t="shared" si="10"/>
        <v>8</v>
      </c>
    </row>
    <row r="687" spans="1:8" x14ac:dyDescent="0.25">
      <c r="A687" s="5">
        <v>44789</v>
      </c>
      <c r="B687" s="30">
        <v>4</v>
      </c>
      <c r="C687" s="30">
        <v>2</v>
      </c>
      <c r="D687" s="30">
        <v>3</v>
      </c>
      <c r="E687" s="30">
        <v>4</v>
      </c>
      <c r="F687" s="30">
        <v>3</v>
      </c>
      <c r="G687" s="1" t="s">
        <v>0</v>
      </c>
      <c r="H687">
        <f t="shared" si="10"/>
        <v>8</v>
      </c>
    </row>
    <row r="688" spans="1:8" x14ac:dyDescent="0.25">
      <c r="A688" s="5">
        <v>44789</v>
      </c>
      <c r="B688" s="30">
        <v>8</v>
      </c>
      <c r="C688" s="30">
        <v>1</v>
      </c>
      <c r="D688" s="30">
        <v>6</v>
      </c>
      <c r="E688" s="30">
        <v>1</v>
      </c>
      <c r="F688" s="30">
        <v>4</v>
      </c>
      <c r="G688" s="1" t="s">
        <v>1</v>
      </c>
      <c r="H688">
        <f t="shared" si="10"/>
        <v>8</v>
      </c>
    </row>
    <row r="689" spans="1:8" x14ac:dyDescent="0.25">
      <c r="A689" s="5">
        <v>44789</v>
      </c>
      <c r="B689" s="30">
        <v>3</v>
      </c>
      <c r="C689" s="30">
        <v>3</v>
      </c>
      <c r="D689" s="30">
        <v>2</v>
      </c>
      <c r="E689" s="30">
        <v>6</v>
      </c>
      <c r="F689" s="30">
        <v>3</v>
      </c>
      <c r="G689" s="1" t="s">
        <v>2</v>
      </c>
      <c r="H689">
        <f t="shared" si="10"/>
        <v>8</v>
      </c>
    </row>
    <row r="690" spans="1:8" x14ac:dyDescent="0.25">
      <c r="A690" s="5">
        <v>44790</v>
      </c>
      <c r="B690" s="30">
        <v>0</v>
      </c>
      <c r="C690" s="30">
        <v>1</v>
      </c>
      <c r="D690" s="30">
        <v>3</v>
      </c>
      <c r="E690" s="30">
        <v>8</v>
      </c>
      <c r="F690" s="30">
        <v>3</v>
      </c>
      <c r="G690" s="1" t="s">
        <v>0</v>
      </c>
      <c r="H690">
        <f t="shared" si="10"/>
        <v>8</v>
      </c>
    </row>
    <row r="691" spans="1:8" x14ac:dyDescent="0.25">
      <c r="A691" s="5">
        <v>44790</v>
      </c>
      <c r="B691" s="30">
        <v>3</v>
      </c>
      <c r="C691" s="30">
        <v>1</v>
      </c>
      <c r="D691" s="30">
        <v>1</v>
      </c>
      <c r="E691" s="30">
        <v>1</v>
      </c>
      <c r="F691" s="30">
        <v>1</v>
      </c>
      <c r="G691" s="1" t="s">
        <v>1</v>
      </c>
      <c r="H691">
        <f t="shared" si="10"/>
        <v>8</v>
      </c>
    </row>
    <row r="692" spans="1:8" x14ac:dyDescent="0.25">
      <c r="A692" s="5">
        <v>44790</v>
      </c>
      <c r="B692" s="30">
        <v>3</v>
      </c>
      <c r="C692" s="30">
        <v>3</v>
      </c>
      <c r="D692" s="30">
        <v>4</v>
      </c>
      <c r="E692" s="30">
        <v>1</v>
      </c>
      <c r="F692" s="30">
        <v>2</v>
      </c>
      <c r="G692" s="1" t="s">
        <v>2</v>
      </c>
      <c r="H692">
        <f t="shared" si="10"/>
        <v>8</v>
      </c>
    </row>
    <row r="693" spans="1:8" x14ac:dyDescent="0.25">
      <c r="A693" s="5">
        <v>44791</v>
      </c>
      <c r="B693" s="30">
        <v>1</v>
      </c>
      <c r="C693" s="30">
        <v>1</v>
      </c>
      <c r="D693" s="30">
        <v>0</v>
      </c>
      <c r="E693" s="30">
        <v>4</v>
      </c>
      <c r="F693" s="30">
        <v>0</v>
      </c>
      <c r="G693" s="1" t="s">
        <v>0</v>
      </c>
      <c r="H693">
        <f t="shared" si="10"/>
        <v>8</v>
      </c>
    </row>
    <row r="694" spans="1:8" x14ac:dyDescent="0.25">
      <c r="A694" s="5">
        <v>44791</v>
      </c>
      <c r="B694" s="30">
        <v>3</v>
      </c>
      <c r="C694" s="30">
        <v>6</v>
      </c>
      <c r="D694" s="30">
        <v>8</v>
      </c>
      <c r="E694" s="30">
        <v>7</v>
      </c>
      <c r="F694" s="30">
        <v>7</v>
      </c>
      <c r="G694" s="1" t="s">
        <v>1</v>
      </c>
      <c r="H694">
        <f t="shared" si="10"/>
        <v>8</v>
      </c>
    </row>
    <row r="695" spans="1:8" x14ac:dyDescent="0.25">
      <c r="A695" s="5">
        <v>44791</v>
      </c>
      <c r="B695" s="30">
        <v>3</v>
      </c>
      <c r="C695" s="30">
        <v>1</v>
      </c>
      <c r="D695" s="30">
        <v>4</v>
      </c>
      <c r="E695" s="30">
        <v>0</v>
      </c>
      <c r="F695" s="30">
        <v>3</v>
      </c>
      <c r="G695" s="1" t="s">
        <v>2</v>
      </c>
      <c r="H695">
        <f t="shared" si="10"/>
        <v>8</v>
      </c>
    </row>
    <row r="696" spans="1:8" x14ac:dyDescent="0.25">
      <c r="A696" s="5">
        <v>44792</v>
      </c>
      <c r="B696" s="30">
        <v>4</v>
      </c>
      <c r="C696" s="30">
        <v>5</v>
      </c>
      <c r="D696" s="30">
        <v>2</v>
      </c>
      <c r="E696" s="30">
        <v>3</v>
      </c>
      <c r="F696" s="30">
        <v>2</v>
      </c>
      <c r="G696" s="1" t="s">
        <v>0</v>
      </c>
      <c r="H696">
        <f t="shared" si="10"/>
        <v>8</v>
      </c>
    </row>
    <row r="697" spans="1:8" x14ac:dyDescent="0.25">
      <c r="A697" s="5">
        <v>44792</v>
      </c>
      <c r="B697" s="30">
        <v>2</v>
      </c>
      <c r="C697" s="30">
        <v>3</v>
      </c>
      <c r="D697" s="30">
        <v>2</v>
      </c>
      <c r="E697" s="30">
        <v>3</v>
      </c>
      <c r="F697" s="30">
        <v>5</v>
      </c>
      <c r="G697" s="1" t="s">
        <v>1</v>
      </c>
      <c r="H697">
        <f t="shared" si="10"/>
        <v>8</v>
      </c>
    </row>
    <row r="698" spans="1:8" x14ac:dyDescent="0.25">
      <c r="A698" s="5">
        <v>44792</v>
      </c>
      <c r="B698" s="30">
        <v>2</v>
      </c>
      <c r="C698" s="30">
        <v>2</v>
      </c>
      <c r="D698" s="30">
        <v>8</v>
      </c>
      <c r="E698" s="30">
        <v>1</v>
      </c>
      <c r="F698" s="30">
        <v>0</v>
      </c>
      <c r="G698" s="1" t="s">
        <v>2</v>
      </c>
      <c r="H698">
        <f t="shared" si="10"/>
        <v>8</v>
      </c>
    </row>
    <row r="699" spans="1:8" x14ac:dyDescent="0.25">
      <c r="A699" s="5">
        <v>44793</v>
      </c>
      <c r="B699" s="30">
        <v>7</v>
      </c>
      <c r="C699" s="30">
        <v>1</v>
      </c>
      <c r="D699" s="30">
        <v>4</v>
      </c>
      <c r="E699" s="30">
        <v>0</v>
      </c>
      <c r="F699" s="30">
        <v>3</v>
      </c>
      <c r="G699" s="1" t="s">
        <v>0</v>
      </c>
      <c r="H699">
        <f t="shared" si="10"/>
        <v>8</v>
      </c>
    </row>
    <row r="700" spans="1:8" x14ac:dyDescent="0.25">
      <c r="A700" s="5">
        <v>44793</v>
      </c>
      <c r="B700" s="30">
        <v>4</v>
      </c>
      <c r="C700" s="30">
        <v>7</v>
      </c>
      <c r="D700" s="30">
        <v>4</v>
      </c>
      <c r="E700" s="30">
        <v>9</v>
      </c>
      <c r="F700" s="30">
        <v>7</v>
      </c>
      <c r="G700" s="1" t="s">
        <v>1</v>
      </c>
      <c r="H700">
        <f t="shared" si="10"/>
        <v>8</v>
      </c>
    </row>
    <row r="701" spans="1:8" x14ac:dyDescent="0.25">
      <c r="A701" s="5">
        <v>44793</v>
      </c>
      <c r="B701" s="30">
        <v>4</v>
      </c>
      <c r="C701" s="30">
        <v>4</v>
      </c>
      <c r="D701" s="30">
        <v>4</v>
      </c>
      <c r="E701" s="30">
        <v>4</v>
      </c>
      <c r="F701" s="30">
        <v>2</v>
      </c>
      <c r="G701" s="1" t="s">
        <v>2</v>
      </c>
      <c r="H701">
        <f t="shared" si="10"/>
        <v>8</v>
      </c>
    </row>
    <row r="702" spans="1:8" x14ac:dyDescent="0.25">
      <c r="A702" s="5">
        <v>44794</v>
      </c>
      <c r="B702" s="30">
        <v>6</v>
      </c>
      <c r="C702" s="30">
        <v>0</v>
      </c>
      <c r="D702" s="30">
        <v>8</v>
      </c>
      <c r="E702" s="30">
        <v>0</v>
      </c>
      <c r="F702" s="30">
        <v>4</v>
      </c>
      <c r="G702" s="1" t="s">
        <v>0</v>
      </c>
      <c r="H702">
        <f t="shared" si="10"/>
        <v>8</v>
      </c>
    </row>
    <row r="703" spans="1:8" x14ac:dyDescent="0.25">
      <c r="A703" s="5">
        <v>44794</v>
      </c>
      <c r="B703" s="30">
        <v>2</v>
      </c>
      <c r="C703" s="30">
        <v>0</v>
      </c>
      <c r="D703" s="30">
        <v>3</v>
      </c>
      <c r="E703" s="30">
        <v>4</v>
      </c>
      <c r="F703" s="30">
        <v>3</v>
      </c>
      <c r="G703" s="1" t="s">
        <v>1</v>
      </c>
      <c r="H703">
        <f t="shared" si="10"/>
        <v>8</v>
      </c>
    </row>
    <row r="704" spans="1:8" x14ac:dyDescent="0.25">
      <c r="A704" s="5">
        <v>44794</v>
      </c>
      <c r="B704" s="30">
        <v>10</v>
      </c>
      <c r="C704" s="30">
        <v>2</v>
      </c>
      <c r="D704" s="30">
        <v>2</v>
      </c>
      <c r="E704" s="30">
        <v>4</v>
      </c>
      <c r="F704" s="30">
        <v>5</v>
      </c>
      <c r="G704" s="1" t="s">
        <v>2</v>
      </c>
      <c r="H704">
        <f t="shared" si="10"/>
        <v>8</v>
      </c>
    </row>
    <row r="705" spans="1:8" x14ac:dyDescent="0.25">
      <c r="A705" s="5">
        <v>44795</v>
      </c>
      <c r="B705" s="30">
        <v>1</v>
      </c>
      <c r="C705" s="30">
        <v>6</v>
      </c>
      <c r="D705" s="30">
        <v>5</v>
      </c>
      <c r="E705" s="30">
        <v>3</v>
      </c>
      <c r="F705" s="30">
        <v>3</v>
      </c>
      <c r="G705" s="1" t="s">
        <v>0</v>
      </c>
      <c r="H705">
        <f t="shared" si="10"/>
        <v>8</v>
      </c>
    </row>
    <row r="706" spans="1:8" x14ac:dyDescent="0.25">
      <c r="A706" s="5">
        <v>44795</v>
      </c>
      <c r="B706" s="30">
        <v>3</v>
      </c>
      <c r="C706" s="30">
        <v>9</v>
      </c>
      <c r="D706" s="30">
        <v>2</v>
      </c>
      <c r="E706" s="30">
        <v>8</v>
      </c>
      <c r="F706" s="30">
        <v>2</v>
      </c>
      <c r="G706" s="1" t="s">
        <v>1</v>
      </c>
      <c r="H706">
        <f t="shared" si="10"/>
        <v>8</v>
      </c>
    </row>
    <row r="707" spans="1:8" x14ac:dyDescent="0.25">
      <c r="A707" s="5">
        <v>44795</v>
      </c>
      <c r="B707" s="30">
        <v>1</v>
      </c>
      <c r="C707" s="30">
        <v>3</v>
      </c>
      <c r="D707" s="30">
        <v>2</v>
      </c>
      <c r="E707" s="30">
        <v>3</v>
      </c>
      <c r="F707" s="30">
        <v>4</v>
      </c>
      <c r="G707" s="1" t="s">
        <v>2</v>
      </c>
      <c r="H707">
        <f t="shared" si="10"/>
        <v>8</v>
      </c>
    </row>
    <row r="708" spans="1:8" x14ac:dyDescent="0.25">
      <c r="A708" s="5">
        <v>44796</v>
      </c>
      <c r="B708" s="30">
        <v>2</v>
      </c>
      <c r="C708" s="30">
        <v>9</v>
      </c>
      <c r="D708" s="30">
        <v>5</v>
      </c>
      <c r="E708" s="30">
        <v>5</v>
      </c>
      <c r="F708" s="30">
        <v>4</v>
      </c>
      <c r="G708" s="1" t="s">
        <v>0</v>
      </c>
      <c r="H708">
        <f t="shared" ref="H708:H771" si="11">MONTH(A708)</f>
        <v>8</v>
      </c>
    </row>
    <row r="709" spans="1:8" x14ac:dyDescent="0.25">
      <c r="A709" s="5">
        <v>44796</v>
      </c>
      <c r="B709" s="30">
        <v>0</v>
      </c>
      <c r="C709" s="30">
        <v>1</v>
      </c>
      <c r="D709" s="30">
        <v>8</v>
      </c>
      <c r="E709" s="30">
        <v>5</v>
      </c>
      <c r="F709" s="30">
        <v>0</v>
      </c>
      <c r="G709" s="1" t="s">
        <v>1</v>
      </c>
      <c r="H709">
        <f t="shared" si="11"/>
        <v>8</v>
      </c>
    </row>
    <row r="710" spans="1:8" x14ac:dyDescent="0.25">
      <c r="A710" s="5">
        <v>44796</v>
      </c>
      <c r="B710" s="30">
        <v>2</v>
      </c>
      <c r="C710" s="30">
        <v>3</v>
      </c>
      <c r="D710" s="30">
        <v>8</v>
      </c>
      <c r="E710" s="30">
        <v>1</v>
      </c>
      <c r="F710" s="30">
        <v>4</v>
      </c>
      <c r="G710" s="1" t="s">
        <v>2</v>
      </c>
      <c r="H710">
        <f t="shared" si="11"/>
        <v>8</v>
      </c>
    </row>
    <row r="711" spans="1:8" x14ac:dyDescent="0.25">
      <c r="A711" s="5">
        <v>44797</v>
      </c>
      <c r="B711" s="30">
        <v>3</v>
      </c>
      <c r="C711" s="30">
        <v>6</v>
      </c>
      <c r="D711" s="30">
        <v>3</v>
      </c>
      <c r="E711" s="30">
        <v>10</v>
      </c>
      <c r="F711" s="30">
        <v>0</v>
      </c>
      <c r="G711" s="1" t="s">
        <v>0</v>
      </c>
      <c r="H711">
        <f t="shared" si="11"/>
        <v>8</v>
      </c>
    </row>
    <row r="712" spans="1:8" x14ac:dyDescent="0.25">
      <c r="A712" s="5">
        <v>44797</v>
      </c>
      <c r="B712" s="30">
        <v>3</v>
      </c>
      <c r="C712" s="30">
        <v>3</v>
      </c>
      <c r="D712" s="30">
        <v>2</v>
      </c>
      <c r="E712" s="30">
        <v>4</v>
      </c>
      <c r="F712" s="30">
        <v>5</v>
      </c>
      <c r="G712" s="1" t="s">
        <v>1</v>
      </c>
      <c r="H712">
        <f t="shared" si="11"/>
        <v>8</v>
      </c>
    </row>
    <row r="713" spans="1:8" x14ac:dyDescent="0.25">
      <c r="A713" s="5">
        <v>44797</v>
      </c>
      <c r="B713" s="30">
        <v>3</v>
      </c>
      <c r="C713" s="30">
        <v>7</v>
      </c>
      <c r="D713" s="30">
        <v>5</v>
      </c>
      <c r="E713" s="30">
        <v>3</v>
      </c>
      <c r="F713" s="30">
        <v>2</v>
      </c>
      <c r="G713" s="1" t="s">
        <v>2</v>
      </c>
      <c r="H713">
        <f t="shared" si="11"/>
        <v>8</v>
      </c>
    </row>
    <row r="714" spans="1:8" x14ac:dyDescent="0.25">
      <c r="A714" s="5">
        <v>44798</v>
      </c>
      <c r="B714" s="30">
        <v>6</v>
      </c>
      <c r="C714" s="30">
        <v>7</v>
      </c>
      <c r="D714" s="30">
        <v>1</v>
      </c>
      <c r="E714" s="30">
        <v>2</v>
      </c>
      <c r="F714" s="30">
        <v>2</v>
      </c>
      <c r="G714" s="1" t="s">
        <v>0</v>
      </c>
      <c r="H714">
        <f t="shared" si="11"/>
        <v>8</v>
      </c>
    </row>
    <row r="715" spans="1:8" x14ac:dyDescent="0.25">
      <c r="A715" s="5">
        <v>44798</v>
      </c>
      <c r="B715" s="30">
        <v>4</v>
      </c>
      <c r="C715" s="30">
        <v>1</v>
      </c>
      <c r="D715" s="30">
        <v>2</v>
      </c>
      <c r="E715" s="30">
        <v>0</v>
      </c>
      <c r="F715" s="30">
        <v>3</v>
      </c>
      <c r="G715" s="1" t="s">
        <v>1</v>
      </c>
      <c r="H715">
        <f t="shared" si="11"/>
        <v>8</v>
      </c>
    </row>
    <row r="716" spans="1:8" x14ac:dyDescent="0.25">
      <c r="A716" s="5">
        <v>44798</v>
      </c>
      <c r="B716" s="30">
        <v>3</v>
      </c>
      <c r="C716" s="30">
        <v>0</v>
      </c>
      <c r="D716" s="30">
        <v>8</v>
      </c>
      <c r="E716" s="30">
        <v>3</v>
      </c>
      <c r="F716" s="30">
        <v>4</v>
      </c>
      <c r="G716" s="1" t="s">
        <v>2</v>
      </c>
      <c r="H716">
        <f t="shared" si="11"/>
        <v>8</v>
      </c>
    </row>
    <row r="717" spans="1:8" x14ac:dyDescent="0.25">
      <c r="A717" s="5">
        <v>44799</v>
      </c>
      <c r="B717" s="30">
        <v>0</v>
      </c>
      <c r="C717" s="30">
        <v>1</v>
      </c>
      <c r="D717" s="30">
        <v>6</v>
      </c>
      <c r="E717" s="30">
        <v>8</v>
      </c>
      <c r="F717" s="30">
        <v>1</v>
      </c>
      <c r="G717" s="1" t="s">
        <v>0</v>
      </c>
      <c r="H717">
        <f t="shared" si="11"/>
        <v>8</v>
      </c>
    </row>
    <row r="718" spans="1:8" x14ac:dyDescent="0.25">
      <c r="A718" s="5">
        <v>44799</v>
      </c>
      <c r="B718" s="30">
        <v>1</v>
      </c>
      <c r="C718" s="30">
        <v>3</v>
      </c>
      <c r="D718" s="30">
        <v>1</v>
      </c>
      <c r="E718" s="30">
        <v>3</v>
      </c>
      <c r="F718" s="30">
        <v>8</v>
      </c>
      <c r="G718" s="1" t="s">
        <v>1</v>
      </c>
      <c r="H718">
        <f t="shared" si="11"/>
        <v>8</v>
      </c>
    </row>
    <row r="719" spans="1:8" x14ac:dyDescent="0.25">
      <c r="A719" s="5">
        <v>44799</v>
      </c>
      <c r="B719" s="30">
        <v>0</v>
      </c>
      <c r="C719" s="30">
        <v>3</v>
      </c>
      <c r="D719" s="30">
        <v>4</v>
      </c>
      <c r="E719" s="30">
        <v>5</v>
      </c>
      <c r="F719" s="30">
        <v>3</v>
      </c>
      <c r="G719" s="1" t="s">
        <v>2</v>
      </c>
      <c r="H719">
        <f t="shared" si="11"/>
        <v>8</v>
      </c>
    </row>
    <row r="720" spans="1:8" x14ac:dyDescent="0.25">
      <c r="A720" s="5">
        <v>44800</v>
      </c>
      <c r="B720" s="30">
        <v>1</v>
      </c>
      <c r="C720" s="30">
        <v>3</v>
      </c>
      <c r="D720" s="30">
        <v>2</v>
      </c>
      <c r="E720" s="30">
        <v>2</v>
      </c>
      <c r="F720" s="30">
        <v>2</v>
      </c>
      <c r="G720" s="1" t="s">
        <v>0</v>
      </c>
      <c r="H720">
        <f t="shared" si="11"/>
        <v>8</v>
      </c>
    </row>
    <row r="721" spans="1:8" x14ac:dyDescent="0.25">
      <c r="A721" s="5">
        <v>44800</v>
      </c>
      <c r="B721" s="30">
        <v>0</v>
      </c>
      <c r="C721" s="30">
        <v>2</v>
      </c>
      <c r="D721" s="30">
        <v>4</v>
      </c>
      <c r="E721" s="30">
        <v>3</v>
      </c>
      <c r="F721" s="30">
        <v>5</v>
      </c>
      <c r="G721" s="1" t="s">
        <v>1</v>
      </c>
      <c r="H721">
        <f t="shared" si="11"/>
        <v>8</v>
      </c>
    </row>
    <row r="722" spans="1:8" x14ac:dyDescent="0.25">
      <c r="A722" s="5">
        <v>44800</v>
      </c>
      <c r="B722" s="30">
        <v>6</v>
      </c>
      <c r="C722" s="30">
        <v>2</v>
      </c>
      <c r="D722" s="30">
        <v>2</v>
      </c>
      <c r="E722" s="30">
        <v>3</v>
      </c>
      <c r="F722" s="30">
        <v>4</v>
      </c>
      <c r="G722" s="1" t="s">
        <v>2</v>
      </c>
      <c r="H722">
        <f t="shared" si="11"/>
        <v>8</v>
      </c>
    </row>
    <row r="723" spans="1:8" x14ac:dyDescent="0.25">
      <c r="A723" s="5">
        <v>44801</v>
      </c>
      <c r="B723" s="30">
        <v>0</v>
      </c>
      <c r="C723" s="30">
        <v>3</v>
      </c>
      <c r="D723" s="30">
        <v>6</v>
      </c>
      <c r="E723" s="30">
        <v>5</v>
      </c>
      <c r="F723" s="30">
        <v>4</v>
      </c>
      <c r="G723" s="1" t="s">
        <v>0</v>
      </c>
      <c r="H723">
        <f t="shared" si="11"/>
        <v>8</v>
      </c>
    </row>
    <row r="724" spans="1:8" x14ac:dyDescent="0.25">
      <c r="A724" s="5">
        <v>44801</v>
      </c>
      <c r="B724" s="30">
        <v>0</v>
      </c>
      <c r="C724" s="30">
        <v>1</v>
      </c>
      <c r="D724" s="30">
        <v>4</v>
      </c>
      <c r="E724" s="30">
        <v>3</v>
      </c>
      <c r="F724" s="30">
        <v>6</v>
      </c>
      <c r="G724" s="1" t="s">
        <v>1</v>
      </c>
      <c r="H724">
        <f t="shared" si="11"/>
        <v>8</v>
      </c>
    </row>
    <row r="725" spans="1:8" x14ac:dyDescent="0.25">
      <c r="A725" s="5">
        <v>44801</v>
      </c>
      <c r="B725" s="30">
        <v>8</v>
      </c>
      <c r="C725" s="30">
        <v>5</v>
      </c>
      <c r="D725" s="30">
        <v>1</v>
      </c>
      <c r="E725" s="30">
        <v>3</v>
      </c>
      <c r="F725" s="30">
        <v>3</v>
      </c>
      <c r="G725" s="1" t="s">
        <v>2</v>
      </c>
      <c r="H725">
        <f t="shared" si="11"/>
        <v>8</v>
      </c>
    </row>
    <row r="726" spans="1:8" x14ac:dyDescent="0.25">
      <c r="A726" s="5">
        <v>44802</v>
      </c>
      <c r="B726" s="30">
        <v>7</v>
      </c>
      <c r="C726" s="30">
        <v>0</v>
      </c>
      <c r="D726" s="30">
        <v>0</v>
      </c>
      <c r="E726" s="30">
        <v>3</v>
      </c>
      <c r="F726" s="30">
        <v>4</v>
      </c>
      <c r="G726" s="1" t="s">
        <v>0</v>
      </c>
      <c r="H726">
        <f t="shared" si="11"/>
        <v>8</v>
      </c>
    </row>
    <row r="727" spans="1:8" x14ac:dyDescent="0.25">
      <c r="A727" s="5">
        <v>44802</v>
      </c>
      <c r="B727" s="30">
        <v>4</v>
      </c>
      <c r="C727" s="30">
        <v>5</v>
      </c>
      <c r="D727" s="30">
        <v>4</v>
      </c>
      <c r="E727" s="30">
        <v>1</v>
      </c>
      <c r="F727" s="30">
        <v>3</v>
      </c>
      <c r="G727" s="1" t="s">
        <v>1</v>
      </c>
      <c r="H727">
        <f t="shared" si="11"/>
        <v>8</v>
      </c>
    </row>
    <row r="728" spans="1:8" x14ac:dyDescent="0.25">
      <c r="A728" s="5">
        <v>44802</v>
      </c>
      <c r="B728" s="30">
        <v>3</v>
      </c>
      <c r="C728" s="30">
        <v>7</v>
      </c>
      <c r="D728" s="30">
        <v>8</v>
      </c>
      <c r="E728" s="30">
        <v>0</v>
      </c>
      <c r="F728" s="30">
        <v>4</v>
      </c>
      <c r="G728" s="1" t="s">
        <v>2</v>
      </c>
      <c r="H728">
        <f t="shared" si="11"/>
        <v>8</v>
      </c>
    </row>
    <row r="729" spans="1:8" x14ac:dyDescent="0.25">
      <c r="A729" s="5">
        <v>44803</v>
      </c>
      <c r="B729" s="30">
        <v>6</v>
      </c>
      <c r="C729" s="30">
        <v>1</v>
      </c>
      <c r="D729" s="30">
        <v>3</v>
      </c>
      <c r="E729" s="30">
        <v>1</v>
      </c>
      <c r="F729" s="30">
        <v>1</v>
      </c>
      <c r="G729" s="1" t="s">
        <v>0</v>
      </c>
      <c r="H729">
        <f t="shared" si="11"/>
        <v>8</v>
      </c>
    </row>
    <row r="730" spans="1:8" x14ac:dyDescent="0.25">
      <c r="A730" s="5">
        <v>44803</v>
      </c>
      <c r="B730" s="30">
        <v>2</v>
      </c>
      <c r="C730" s="30">
        <v>3</v>
      </c>
      <c r="D730" s="30">
        <v>2</v>
      </c>
      <c r="E730" s="30">
        <v>3</v>
      </c>
      <c r="F730" s="30">
        <v>3</v>
      </c>
      <c r="G730" s="1" t="s">
        <v>1</v>
      </c>
      <c r="H730">
        <f t="shared" si="11"/>
        <v>8</v>
      </c>
    </row>
    <row r="731" spans="1:8" x14ac:dyDescent="0.25">
      <c r="A731" s="5">
        <v>44803</v>
      </c>
      <c r="B731" s="30">
        <v>8</v>
      </c>
      <c r="C731" s="30">
        <v>4</v>
      </c>
      <c r="D731" s="30">
        <v>10</v>
      </c>
      <c r="E731" s="30">
        <v>1</v>
      </c>
      <c r="F731" s="30">
        <v>8</v>
      </c>
      <c r="G731" s="1" t="s">
        <v>2</v>
      </c>
      <c r="H731">
        <f t="shared" si="11"/>
        <v>8</v>
      </c>
    </row>
    <row r="732" spans="1:8" x14ac:dyDescent="0.25">
      <c r="A732" s="5">
        <v>44804</v>
      </c>
      <c r="B732" s="30">
        <v>1</v>
      </c>
      <c r="C732" s="30">
        <v>7</v>
      </c>
      <c r="D732" s="30">
        <v>0</v>
      </c>
      <c r="E732" s="30">
        <v>2</v>
      </c>
      <c r="F732" s="30">
        <v>8</v>
      </c>
      <c r="G732" s="1" t="s">
        <v>0</v>
      </c>
      <c r="H732">
        <f t="shared" si="11"/>
        <v>8</v>
      </c>
    </row>
    <row r="733" spans="1:8" x14ac:dyDescent="0.25">
      <c r="A733" s="5">
        <v>44804</v>
      </c>
      <c r="B733" s="30">
        <v>8</v>
      </c>
      <c r="C733" s="30">
        <v>4</v>
      </c>
      <c r="D733" s="30">
        <v>5</v>
      </c>
      <c r="E733" s="30">
        <v>2</v>
      </c>
      <c r="F733" s="30">
        <v>3</v>
      </c>
      <c r="G733" s="1" t="s">
        <v>1</v>
      </c>
      <c r="H733">
        <f t="shared" si="11"/>
        <v>8</v>
      </c>
    </row>
    <row r="734" spans="1:8" x14ac:dyDescent="0.25">
      <c r="A734" s="5">
        <v>44804</v>
      </c>
      <c r="B734" s="30">
        <v>0</v>
      </c>
      <c r="C734" s="30">
        <v>2</v>
      </c>
      <c r="D734" s="30">
        <v>3</v>
      </c>
      <c r="E734" s="30">
        <v>2</v>
      </c>
      <c r="F734" s="30">
        <v>4</v>
      </c>
      <c r="G734" s="1" t="s">
        <v>2</v>
      </c>
      <c r="H734">
        <f t="shared" si="11"/>
        <v>8</v>
      </c>
    </row>
    <row r="735" spans="1:8" x14ac:dyDescent="0.25">
      <c r="A735" s="5">
        <v>44805</v>
      </c>
      <c r="B735" s="30">
        <v>1</v>
      </c>
      <c r="C735" s="30">
        <v>8</v>
      </c>
      <c r="D735" s="30">
        <v>3</v>
      </c>
      <c r="E735" s="30">
        <v>4</v>
      </c>
      <c r="F735" s="30">
        <v>3</v>
      </c>
      <c r="G735" s="1" t="s">
        <v>0</v>
      </c>
      <c r="H735">
        <f t="shared" si="11"/>
        <v>9</v>
      </c>
    </row>
    <row r="736" spans="1:8" x14ac:dyDescent="0.25">
      <c r="A736" s="5">
        <v>44805</v>
      </c>
      <c r="B736" s="30">
        <v>3</v>
      </c>
      <c r="C736" s="30">
        <v>3</v>
      </c>
      <c r="D736" s="30">
        <v>4</v>
      </c>
      <c r="E736" s="30">
        <v>10</v>
      </c>
      <c r="F736" s="30">
        <v>0</v>
      </c>
      <c r="G736" s="1" t="s">
        <v>1</v>
      </c>
      <c r="H736">
        <f t="shared" si="11"/>
        <v>9</v>
      </c>
    </row>
    <row r="737" spans="1:8" x14ac:dyDescent="0.25">
      <c r="A737" s="5">
        <v>44805</v>
      </c>
      <c r="B737" s="30">
        <v>1</v>
      </c>
      <c r="C737" s="30">
        <v>9</v>
      </c>
      <c r="D737" s="30">
        <v>7</v>
      </c>
      <c r="E737" s="30">
        <v>4</v>
      </c>
      <c r="F737" s="30">
        <v>4</v>
      </c>
      <c r="G737" s="1" t="s">
        <v>2</v>
      </c>
      <c r="H737">
        <f t="shared" si="11"/>
        <v>9</v>
      </c>
    </row>
    <row r="738" spans="1:8" x14ac:dyDescent="0.25">
      <c r="A738" s="5">
        <v>44806</v>
      </c>
      <c r="B738" s="30">
        <v>9</v>
      </c>
      <c r="C738" s="30">
        <v>1</v>
      </c>
      <c r="D738" s="30">
        <v>1</v>
      </c>
      <c r="E738" s="30">
        <v>4</v>
      </c>
      <c r="F738" s="30">
        <v>4</v>
      </c>
      <c r="G738" s="1" t="s">
        <v>0</v>
      </c>
      <c r="H738">
        <f t="shared" si="11"/>
        <v>9</v>
      </c>
    </row>
    <row r="739" spans="1:8" x14ac:dyDescent="0.25">
      <c r="A739" s="5">
        <v>44806</v>
      </c>
      <c r="B739" s="30">
        <v>0</v>
      </c>
      <c r="C739" s="30">
        <v>4</v>
      </c>
      <c r="D739" s="30">
        <v>1</v>
      </c>
      <c r="E739" s="30">
        <v>6</v>
      </c>
      <c r="F739" s="30">
        <v>5</v>
      </c>
      <c r="G739" s="1" t="s">
        <v>1</v>
      </c>
      <c r="H739">
        <f t="shared" si="11"/>
        <v>9</v>
      </c>
    </row>
    <row r="740" spans="1:8" x14ac:dyDescent="0.25">
      <c r="A740" s="5">
        <v>44806</v>
      </c>
      <c r="B740" s="30">
        <v>3</v>
      </c>
      <c r="C740" s="30">
        <v>7</v>
      </c>
      <c r="D740" s="30">
        <v>10</v>
      </c>
      <c r="E740" s="30">
        <v>1</v>
      </c>
      <c r="F740" s="30">
        <v>4</v>
      </c>
      <c r="G740" s="1" t="s">
        <v>2</v>
      </c>
      <c r="H740">
        <f t="shared" si="11"/>
        <v>9</v>
      </c>
    </row>
    <row r="741" spans="1:8" x14ac:dyDescent="0.25">
      <c r="A741" s="5">
        <v>44807</v>
      </c>
      <c r="B741" s="30">
        <v>1</v>
      </c>
      <c r="C741" s="30">
        <v>3</v>
      </c>
      <c r="D741" s="30">
        <v>8</v>
      </c>
      <c r="E741" s="30">
        <v>3</v>
      </c>
      <c r="F741" s="30">
        <v>6</v>
      </c>
      <c r="G741" s="1" t="s">
        <v>0</v>
      </c>
      <c r="H741">
        <f t="shared" si="11"/>
        <v>9</v>
      </c>
    </row>
    <row r="742" spans="1:8" x14ac:dyDescent="0.25">
      <c r="A742" s="5">
        <v>44807</v>
      </c>
      <c r="B742" s="30">
        <v>3</v>
      </c>
      <c r="C742" s="30">
        <v>8</v>
      </c>
      <c r="D742" s="30">
        <v>3</v>
      </c>
      <c r="E742" s="30">
        <v>1</v>
      </c>
      <c r="F742" s="30">
        <v>5</v>
      </c>
      <c r="G742" s="1" t="s">
        <v>1</v>
      </c>
      <c r="H742">
        <f t="shared" si="11"/>
        <v>9</v>
      </c>
    </row>
    <row r="743" spans="1:8" x14ac:dyDescent="0.25">
      <c r="A743" s="5">
        <v>44807</v>
      </c>
      <c r="B743" s="30">
        <v>3</v>
      </c>
      <c r="C743" s="30">
        <v>2</v>
      </c>
      <c r="D743" s="30">
        <v>4</v>
      </c>
      <c r="E743" s="30">
        <v>1</v>
      </c>
      <c r="F743" s="30">
        <v>0</v>
      </c>
      <c r="G743" s="1" t="s">
        <v>2</v>
      </c>
      <c r="H743">
        <f t="shared" si="11"/>
        <v>9</v>
      </c>
    </row>
    <row r="744" spans="1:8" x14ac:dyDescent="0.25">
      <c r="A744" s="5">
        <v>44808</v>
      </c>
      <c r="B744" s="30">
        <v>10</v>
      </c>
      <c r="C744" s="30">
        <v>0</v>
      </c>
      <c r="D744" s="30">
        <v>4</v>
      </c>
      <c r="E744" s="30">
        <v>5</v>
      </c>
      <c r="F744" s="30">
        <v>2</v>
      </c>
      <c r="G744" s="1" t="s">
        <v>0</v>
      </c>
      <c r="H744">
        <f t="shared" si="11"/>
        <v>9</v>
      </c>
    </row>
    <row r="745" spans="1:8" x14ac:dyDescent="0.25">
      <c r="A745" s="5">
        <v>44808</v>
      </c>
      <c r="B745" s="30">
        <v>7</v>
      </c>
      <c r="C745" s="30">
        <v>2</v>
      </c>
      <c r="D745" s="30">
        <v>0</v>
      </c>
      <c r="E745" s="30">
        <v>8</v>
      </c>
      <c r="F745" s="30">
        <v>3</v>
      </c>
      <c r="G745" s="1" t="s">
        <v>1</v>
      </c>
      <c r="H745">
        <f t="shared" si="11"/>
        <v>9</v>
      </c>
    </row>
    <row r="746" spans="1:8" x14ac:dyDescent="0.25">
      <c r="A746" s="5">
        <v>44808</v>
      </c>
      <c r="B746" s="30">
        <v>1</v>
      </c>
      <c r="C746" s="30">
        <v>4</v>
      </c>
      <c r="D746" s="30">
        <v>2</v>
      </c>
      <c r="E746" s="30">
        <v>8</v>
      </c>
      <c r="F746" s="30">
        <v>5</v>
      </c>
      <c r="G746" s="1" t="s">
        <v>2</v>
      </c>
      <c r="H746">
        <f t="shared" si="11"/>
        <v>9</v>
      </c>
    </row>
    <row r="747" spans="1:8" x14ac:dyDescent="0.25">
      <c r="A747" s="5">
        <v>44809</v>
      </c>
      <c r="B747" s="30">
        <v>2</v>
      </c>
      <c r="C747" s="30">
        <v>3</v>
      </c>
      <c r="D747" s="30">
        <v>1</v>
      </c>
      <c r="E747" s="30">
        <v>1</v>
      </c>
      <c r="F747" s="30">
        <v>5</v>
      </c>
      <c r="G747" s="1" t="s">
        <v>0</v>
      </c>
      <c r="H747">
        <f t="shared" si="11"/>
        <v>9</v>
      </c>
    </row>
    <row r="748" spans="1:8" x14ac:dyDescent="0.25">
      <c r="A748" s="5">
        <v>44809</v>
      </c>
      <c r="B748" s="30">
        <v>1</v>
      </c>
      <c r="C748" s="30">
        <v>1</v>
      </c>
      <c r="D748" s="30">
        <v>2</v>
      </c>
      <c r="E748" s="30">
        <v>8</v>
      </c>
      <c r="F748" s="30">
        <v>4</v>
      </c>
      <c r="G748" s="1" t="s">
        <v>1</v>
      </c>
      <c r="H748">
        <f t="shared" si="11"/>
        <v>9</v>
      </c>
    </row>
    <row r="749" spans="1:8" x14ac:dyDescent="0.25">
      <c r="A749" s="5">
        <v>44809</v>
      </c>
      <c r="B749" s="30">
        <v>5</v>
      </c>
      <c r="C749" s="30">
        <v>4</v>
      </c>
      <c r="D749" s="30">
        <v>4</v>
      </c>
      <c r="E749" s="30">
        <v>8</v>
      </c>
      <c r="F749" s="30">
        <v>3</v>
      </c>
      <c r="G749" s="1" t="s">
        <v>2</v>
      </c>
      <c r="H749">
        <f t="shared" si="11"/>
        <v>9</v>
      </c>
    </row>
    <row r="750" spans="1:8" x14ac:dyDescent="0.25">
      <c r="A750" s="5">
        <v>44810</v>
      </c>
      <c r="B750" s="30">
        <v>4</v>
      </c>
      <c r="C750" s="30">
        <v>3</v>
      </c>
      <c r="D750" s="30">
        <v>7</v>
      </c>
      <c r="E750" s="30">
        <v>6</v>
      </c>
      <c r="F750" s="30">
        <v>7</v>
      </c>
      <c r="G750" s="1" t="s">
        <v>0</v>
      </c>
      <c r="H750">
        <f t="shared" si="11"/>
        <v>9</v>
      </c>
    </row>
    <row r="751" spans="1:8" x14ac:dyDescent="0.25">
      <c r="A751" s="5">
        <v>44810</v>
      </c>
      <c r="B751" s="30">
        <v>0</v>
      </c>
      <c r="C751" s="30">
        <v>6</v>
      </c>
      <c r="D751" s="30">
        <v>9</v>
      </c>
      <c r="E751" s="30">
        <v>2</v>
      </c>
      <c r="F751" s="30">
        <v>2</v>
      </c>
      <c r="G751" s="1" t="s">
        <v>1</v>
      </c>
      <c r="H751">
        <f t="shared" si="11"/>
        <v>9</v>
      </c>
    </row>
    <row r="752" spans="1:8" x14ac:dyDescent="0.25">
      <c r="A752" s="5">
        <v>44810</v>
      </c>
      <c r="B752" s="30">
        <v>1</v>
      </c>
      <c r="C752" s="30">
        <v>9</v>
      </c>
      <c r="D752" s="30">
        <v>3</v>
      </c>
      <c r="E752" s="30">
        <v>0</v>
      </c>
      <c r="F752" s="30">
        <v>2</v>
      </c>
      <c r="G752" s="1" t="s">
        <v>2</v>
      </c>
      <c r="H752">
        <f t="shared" si="11"/>
        <v>9</v>
      </c>
    </row>
    <row r="753" spans="1:8" x14ac:dyDescent="0.25">
      <c r="A753" s="5">
        <v>44811</v>
      </c>
      <c r="B753" s="30">
        <v>5</v>
      </c>
      <c r="C753" s="30">
        <v>5</v>
      </c>
      <c r="D753" s="30">
        <v>4</v>
      </c>
      <c r="E753" s="30">
        <v>0</v>
      </c>
      <c r="F753" s="30">
        <v>3</v>
      </c>
      <c r="G753" s="1" t="s">
        <v>0</v>
      </c>
      <c r="H753">
        <f t="shared" si="11"/>
        <v>9</v>
      </c>
    </row>
    <row r="754" spans="1:8" x14ac:dyDescent="0.25">
      <c r="A754" s="5">
        <v>44811</v>
      </c>
      <c r="B754" s="30">
        <v>5</v>
      </c>
      <c r="C754" s="30">
        <v>3</v>
      </c>
      <c r="D754" s="30">
        <v>2</v>
      </c>
      <c r="E754" s="30">
        <v>3</v>
      </c>
      <c r="F754" s="30">
        <v>3</v>
      </c>
      <c r="G754" s="1" t="s">
        <v>1</v>
      </c>
      <c r="H754">
        <f t="shared" si="11"/>
        <v>9</v>
      </c>
    </row>
    <row r="755" spans="1:8" x14ac:dyDescent="0.25">
      <c r="A755" s="5">
        <v>44811</v>
      </c>
      <c r="B755" s="30">
        <v>2</v>
      </c>
      <c r="C755" s="30">
        <v>4</v>
      </c>
      <c r="D755" s="30">
        <v>3</v>
      </c>
      <c r="E755" s="30">
        <v>2</v>
      </c>
      <c r="F755" s="30">
        <v>5</v>
      </c>
      <c r="G755" s="1" t="s">
        <v>2</v>
      </c>
      <c r="H755">
        <f t="shared" si="11"/>
        <v>9</v>
      </c>
    </row>
    <row r="756" spans="1:8" x14ac:dyDescent="0.25">
      <c r="A756" s="5">
        <v>44812</v>
      </c>
      <c r="B756" s="30">
        <v>4</v>
      </c>
      <c r="C756" s="30">
        <v>4</v>
      </c>
      <c r="D756" s="30">
        <v>8</v>
      </c>
      <c r="E756" s="30">
        <v>4</v>
      </c>
      <c r="F756" s="30">
        <v>1</v>
      </c>
      <c r="G756" s="1" t="s">
        <v>0</v>
      </c>
      <c r="H756">
        <f t="shared" si="11"/>
        <v>9</v>
      </c>
    </row>
    <row r="757" spans="1:8" x14ac:dyDescent="0.25">
      <c r="A757" s="5">
        <v>44812</v>
      </c>
      <c r="B757" s="30">
        <v>3</v>
      </c>
      <c r="C757" s="30">
        <v>0</v>
      </c>
      <c r="D757" s="30">
        <v>3</v>
      </c>
      <c r="E757" s="30">
        <v>4</v>
      </c>
      <c r="F757" s="30">
        <v>0</v>
      </c>
      <c r="G757" s="1" t="s">
        <v>1</v>
      </c>
      <c r="H757">
        <f t="shared" si="11"/>
        <v>9</v>
      </c>
    </row>
    <row r="758" spans="1:8" x14ac:dyDescent="0.25">
      <c r="A758" s="5">
        <v>44812</v>
      </c>
      <c r="B758" s="30">
        <v>6</v>
      </c>
      <c r="C758" s="30">
        <v>2</v>
      </c>
      <c r="D758" s="30">
        <v>1</v>
      </c>
      <c r="E758" s="30">
        <v>6</v>
      </c>
      <c r="F758" s="30">
        <v>0</v>
      </c>
      <c r="G758" s="1" t="s">
        <v>2</v>
      </c>
      <c r="H758">
        <f t="shared" si="11"/>
        <v>9</v>
      </c>
    </row>
    <row r="759" spans="1:8" x14ac:dyDescent="0.25">
      <c r="A759" s="5">
        <v>44813</v>
      </c>
      <c r="B759" s="30">
        <v>4</v>
      </c>
      <c r="C759" s="30">
        <v>4</v>
      </c>
      <c r="D759" s="30">
        <v>10</v>
      </c>
      <c r="E759" s="30">
        <v>7</v>
      </c>
      <c r="F759" s="30">
        <v>1</v>
      </c>
      <c r="G759" s="1" t="s">
        <v>0</v>
      </c>
      <c r="H759">
        <f t="shared" si="11"/>
        <v>9</v>
      </c>
    </row>
    <row r="760" spans="1:8" x14ac:dyDescent="0.25">
      <c r="A760" s="5">
        <v>44813</v>
      </c>
      <c r="B760" s="30">
        <v>5</v>
      </c>
      <c r="C760" s="30">
        <v>9</v>
      </c>
      <c r="D760" s="30">
        <v>1</v>
      </c>
      <c r="E760" s="30">
        <v>6</v>
      </c>
      <c r="F760" s="30">
        <v>3</v>
      </c>
      <c r="G760" s="1" t="s">
        <v>1</v>
      </c>
      <c r="H760">
        <f t="shared" si="11"/>
        <v>9</v>
      </c>
    </row>
    <row r="761" spans="1:8" x14ac:dyDescent="0.25">
      <c r="A761" s="5">
        <v>44813</v>
      </c>
      <c r="B761" s="30">
        <v>8</v>
      </c>
      <c r="C761" s="30">
        <v>4</v>
      </c>
      <c r="D761" s="30">
        <v>3</v>
      </c>
      <c r="E761" s="30">
        <v>3</v>
      </c>
      <c r="F761" s="30">
        <v>9</v>
      </c>
      <c r="G761" s="1" t="s">
        <v>2</v>
      </c>
      <c r="H761">
        <f t="shared" si="11"/>
        <v>9</v>
      </c>
    </row>
    <row r="762" spans="1:8" x14ac:dyDescent="0.25">
      <c r="A762" s="5">
        <v>44814</v>
      </c>
      <c r="B762" s="30">
        <v>1</v>
      </c>
      <c r="C762" s="30">
        <v>9</v>
      </c>
      <c r="D762" s="30">
        <v>4</v>
      </c>
      <c r="E762" s="30">
        <v>3</v>
      </c>
      <c r="F762" s="30">
        <v>2</v>
      </c>
      <c r="G762" s="1" t="s">
        <v>0</v>
      </c>
      <c r="H762">
        <f t="shared" si="11"/>
        <v>9</v>
      </c>
    </row>
    <row r="763" spans="1:8" x14ac:dyDescent="0.25">
      <c r="A763" s="5">
        <v>44814</v>
      </c>
      <c r="B763" s="30">
        <v>2</v>
      </c>
      <c r="C763" s="30">
        <v>5</v>
      </c>
      <c r="D763" s="30">
        <v>2</v>
      </c>
      <c r="E763" s="30">
        <v>5</v>
      </c>
      <c r="F763" s="30">
        <v>0</v>
      </c>
      <c r="G763" s="1" t="s">
        <v>1</v>
      </c>
      <c r="H763">
        <f t="shared" si="11"/>
        <v>9</v>
      </c>
    </row>
    <row r="764" spans="1:8" x14ac:dyDescent="0.25">
      <c r="A764" s="5">
        <v>44814</v>
      </c>
      <c r="B764" s="30">
        <v>3</v>
      </c>
      <c r="C764" s="30">
        <v>4</v>
      </c>
      <c r="D764" s="30">
        <v>6</v>
      </c>
      <c r="E764" s="30">
        <v>4</v>
      </c>
      <c r="F764" s="30">
        <v>0</v>
      </c>
      <c r="G764" s="1" t="s">
        <v>2</v>
      </c>
      <c r="H764">
        <f t="shared" si="11"/>
        <v>9</v>
      </c>
    </row>
    <row r="765" spans="1:8" x14ac:dyDescent="0.25">
      <c r="A765" s="5">
        <v>44815</v>
      </c>
      <c r="B765" s="30">
        <v>2</v>
      </c>
      <c r="C765" s="30">
        <v>4</v>
      </c>
      <c r="D765" s="30">
        <v>4</v>
      </c>
      <c r="E765" s="30">
        <v>0</v>
      </c>
      <c r="F765" s="30">
        <v>4</v>
      </c>
      <c r="G765" s="1" t="s">
        <v>0</v>
      </c>
      <c r="H765">
        <f t="shared" si="11"/>
        <v>9</v>
      </c>
    </row>
    <row r="766" spans="1:8" x14ac:dyDescent="0.25">
      <c r="A766" s="5">
        <v>44815</v>
      </c>
      <c r="B766" s="30">
        <v>1</v>
      </c>
      <c r="C766" s="30">
        <v>8</v>
      </c>
      <c r="D766" s="30">
        <v>5</v>
      </c>
      <c r="E766" s="30">
        <v>4</v>
      </c>
      <c r="F766" s="30">
        <v>4</v>
      </c>
      <c r="G766" s="1" t="s">
        <v>1</v>
      </c>
      <c r="H766">
        <f t="shared" si="11"/>
        <v>9</v>
      </c>
    </row>
    <row r="767" spans="1:8" x14ac:dyDescent="0.25">
      <c r="A767" s="5">
        <v>44815</v>
      </c>
      <c r="B767" s="30">
        <v>6</v>
      </c>
      <c r="C767" s="30">
        <v>3</v>
      </c>
      <c r="D767" s="30">
        <v>3</v>
      </c>
      <c r="E767" s="30">
        <v>1</v>
      </c>
      <c r="F767" s="30">
        <v>0</v>
      </c>
      <c r="G767" s="1" t="s">
        <v>2</v>
      </c>
      <c r="H767">
        <f t="shared" si="11"/>
        <v>9</v>
      </c>
    </row>
    <row r="768" spans="1:8" x14ac:dyDescent="0.25">
      <c r="A768" s="5">
        <v>44816</v>
      </c>
      <c r="B768" s="30">
        <v>3</v>
      </c>
      <c r="C768" s="30">
        <v>5</v>
      </c>
      <c r="D768" s="30">
        <v>3</v>
      </c>
      <c r="E768" s="30">
        <v>1</v>
      </c>
      <c r="F768" s="30">
        <v>9</v>
      </c>
      <c r="G768" s="1" t="s">
        <v>0</v>
      </c>
      <c r="H768">
        <f t="shared" si="11"/>
        <v>9</v>
      </c>
    </row>
    <row r="769" spans="1:8" x14ac:dyDescent="0.25">
      <c r="A769" s="5">
        <v>44816</v>
      </c>
      <c r="B769" s="30">
        <v>5</v>
      </c>
      <c r="C769" s="30">
        <v>4</v>
      </c>
      <c r="D769" s="30">
        <v>1</v>
      </c>
      <c r="E769" s="30">
        <v>0</v>
      </c>
      <c r="F769" s="30">
        <v>4</v>
      </c>
      <c r="G769" s="1" t="s">
        <v>1</v>
      </c>
      <c r="H769">
        <f t="shared" si="11"/>
        <v>9</v>
      </c>
    </row>
    <row r="770" spans="1:8" x14ac:dyDescent="0.25">
      <c r="A770" s="5">
        <v>44816</v>
      </c>
      <c r="B770" s="30">
        <v>3</v>
      </c>
      <c r="C770" s="30">
        <v>5</v>
      </c>
      <c r="D770" s="30">
        <v>2</v>
      </c>
      <c r="E770" s="30">
        <v>2</v>
      </c>
      <c r="F770" s="30">
        <v>3</v>
      </c>
      <c r="G770" s="1" t="s">
        <v>2</v>
      </c>
      <c r="H770">
        <f t="shared" si="11"/>
        <v>9</v>
      </c>
    </row>
    <row r="771" spans="1:8" x14ac:dyDescent="0.25">
      <c r="A771" s="5">
        <v>44817</v>
      </c>
      <c r="B771" s="30">
        <v>2</v>
      </c>
      <c r="C771" s="30">
        <v>2</v>
      </c>
      <c r="D771" s="30">
        <v>3</v>
      </c>
      <c r="E771" s="30">
        <v>2</v>
      </c>
      <c r="F771" s="30">
        <v>7</v>
      </c>
      <c r="G771" s="1" t="s">
        <v>0</v>
      </c>
      <c r="H771">
        <f t="shared" si="11"/>
        <v>9</v>
      </c>
    </row>
    <row r="772" spans="1:8" x14ac:dyDescent="0.25">
      <c r="A772" s="5">
        <v>44817</v>
      </c>
      <c r="B772" s="30">
        <v>4</v>
      </c>
      <c r="C772" s="30">
        <v>5</v>
      </c>
      <c r="D772" s="30">
        <v>4</v>
      </c>
      <c r="E772" s="30">
        <v>3</v>
      </c>
      <c r="F772" s="30">
        <v>4</v>
      </c>
      <c r="G772" s="1" t="s">
        <v>1</v>
      </c>
      <c r="H772">
        <f t="shared" ref="H772:H835" si="12">MONTH(A772)</f>
        <v>9</v>
      </c>
    </row>
    <row r="773" spans="1:8" x14ac:dyDescent="0.25">
      <c r="A773" s="5">
        <v>44817</v>
      </c>
      <c r="B773" s="30">
        <v>0</v>
      </c>
      <c r="C773" s="30">
        <v>4</v>
      </c>
      <c r="D773" s="30">
        <v>4</v>
      </c>
      <c r="E773" s="30">
        <v>1</v>
      </c>
      <c r="F773" s="30">
        <v>9</v>
      </c>
      <c r="G773" s="1" t="s">
        <v>2</v>
      </c>
      <c r="H773">
        <f t="shared" si="12"/>
        <v>9</v>
      </c>
    </row>
    <row r="774" spans="1:8" x14ac:dyDescent="0.25">
      <c r="A774" s="5">
        <v>44818</v>
      </c>
      <c r="B774" s="30">
        <v>4</v>
      </c>
      <c r="C774" s="30">
        <v>0</v>
      </c>
      <c r="D774" s="30">
        <v>3</v>
      </c>
      <c r="E774" s="30">
        <v>1</v>
      </c>
      <c r="F774" s="30">
        <v>8</v>
      </c>
      <c r="G774" s="1" t="s">
        <v>0</v>
      </c>
      <c r="H774">
        <f t="shared" si="12"/>
        <v>9</v>
      </c>
    </row>
    <row r="775" spans="1:8" x14ac:dyDescent="0.25">
      <c r="A775" s="5">
        <v>44818</v>
      </c>
      <c r="B775" s="30">
        <v>3</v>
      </c>
      <c r="C775" s="30">
        <v>3</v>
      </c>
      <c r="D775" s="30">
        <v>6</v>
      </c>
      <c r="E775" s="30">
        <v>0</v>
      </c>
      <c r="F775" s="30">
        <v>2</v>
      </c>
      <c r="G775" s="1" t="s">
        <v>1</v>
      </c>
      <c r="H775">
        <f t="shared" si="12"/>
        <v>9</v>
      </c>
    </row>
    <row r="776" spans="1:8" x14ac:dyDescent="0.25">
      <c r="A776" s="5">
        <v>44818</v>
      </c>
      <c r="B776" s="30">
        <v>3</v>
      </c>
      <c r="C776" s="30">
        <v>0</v>
      </c>
      <c r="D776" s="30">
        <v>4</v>
      </c>
      <c r="E776" s="30">
        <v>3</v>
      </c>
      <c r="F776" s="30">
        <v>4</v>
      </c>
      <c r="G776" s="1" t="s">
        <v>2</v>
      </c>
      <c r="H776">
        <f t="shared" si="12"/>
        <v>9</v>
      </c>
    </row>
    <row r="777" spans="1:8" x14ac:dyDescent="0.25">
      <c r="A777" s="5">
        <v>44819</v>
      </c>
      <c r="B777" s="30">
        <v>6</v>
      </c>
      <c r="C777" s="30">
        <v>6</v>
      </c>
      <c r="D777" s="30">
        <v>8</v>
      </c>
      <c r="E777" s="30">
        <v>7</v>
      </c>
      <c r="F777" s="30">
        <v>2</v>
      </c>
      <c r="G777" s="1" t="s">
        <v>0</v>
      </c>
      <c r="H777">
        <f t="shared" si="12"/>
        <v>9</v>
      </c>
    </row>
    <row r="778" spans="1:8" x14ac:dyDescent="0.25">
      <c r="A778" s="5">
        <v>44819</v>
      </c>
      <c r="B778" s="30">
        <v>3</v>
      </c>
      <c r="C778" s="30">
        <v>2</v>
      </c>
      <c r="D778" s="30">
        <v>9</v>
      </c>
      <c r="E778" s="30">
        <v>3</v>
      </c>
      <c r="F778" s="30">
        <v>1</v>
      </c>
      <c r="G778" s="1" t="s">
        <v>1</v>
      </c>
      <c r="H778">
        <f t="shared" si="12"/>
        <v>9</v>
      </c>
    </row>
    <row r="779" spans="1:8" x14ac:dyDescent="0.25">
      <c r="A779" s="5">
        <v>44819</v>
      </c>
      <c r="B779" s="30">
        <v>7</v>
      </c>
      <c r="C779" s="30">
        <v>3</v>
      </c>
      <c r="D779" s="30">
        <v>6</v>
      </c>
      <c r="E779" s="30">
        <v>3</v>
      </c>
      <c r="F779" s="30">
        <v>8</v>
      </c>
      <c r="G779" s="1" t="s">
        <v>2</v>
      </c>
      <c r="H779">
        <f t="shared" si="12"/>
        <v>9</v>
      </c>
    </row>
    <row r="780" spans="1:8" x14ac:dyDescent="0.25">
      <c r="A780" s="5">
        <v>44820</v>
      </c>
      <c r="B780" s="30">
        <v>8</v>
      </c>
      <c r="C780" s="30">
        <v>3</v>
      </c>
      <c r="D780" s="30">
        <v>1</v>
      </c>
      <c r="E780" s="30">
        <v>3</v>
      </c>
      <c r="F780" s="30">
        <v>3</v>
      </c>
      <c r="G780" s="1" t="s">
        <v>0</v>
      </c>
      <c r="H780">
        <f t="shared" si="12"/>
        <v>9</v>
      </c>
    </row>
    <row r="781" spans="1:8" x14ac:dyDescent="0.25">
      <c r="A781" s="5">
        <v>44820</v>
      </c>
      <c r="B781" s="30">
        <v>7</v>
      </c>
      <c r="C781" s="30">
        <v>5</v>
      </c>
      <c r="D781" s="30">
        <v>5</v>
      </c>
      <c r="E781" s="30">
        <v>0</v>
      </c>
      <c r="F781" s="30">
        <v>0</v>
      </c>
      <c r="G781" s="1" t="s">
        <v>1</v>
      </c>
      <c r="H781">
        <f t="shared" si="12"/>
        <v>9</v>
      </c>
    </row>
    <row r="782" spans="1:8" x14ac:dyDescent="0.25">
      <c r="A782" s="5">
        <v>44820</v>
      </c>
      <c r="B782" s="30">
        <v>8</v>
      </c>
      <c r="C782" s="30">
        <v>3</v>
      </c>
      <c r="D782" s="30">
        <v>2</v>
      </c>
      <c r="E782" s="30">
        <v>2</v>
      </c>
      <c r="F782" s="30">
        <v>1</v>
      </c>
      <c r="G782" s="1" t="s">
        <v>2</v>
      </c>
      <c r="H782">
        <f t="shared" si="12"/>
        <v>9</v>
      </c>
    </row>
    <row r="783" spans="1:8" x14ac:dyDescent="0.25">
      <c r="A783" s="5">
        <v>44821</v>
      </c>
      <c r="B783" s="30">
        <v>8</v>
      </c>
      <c r="C783" s="30">
        <v>2</v>
      </c>
      <c r="D783" s="30">
        <v>10</v>
      </c>
      <c r="E783" s="30">
        <v>2</v>
      </c>
      <c r="F783" s="30">
        <v>2</v>
      </c>
      <c r="G783" s="1" t="s">
        <v>0</v>
      </c>
      <c r="H783">
        <f t="shared" si="12"/>
        <v>9</v>
      </c>
    </row>
    <row r="784" spans="1:8" x14ac:dyDescent="0.25">
      <c r="A784" s="5">
        <v>44821</v>
      </c>
      <c r="B784" s="30">
        <v>1</v>
      </c>
      <c r="C784" s="30">
        <v>2</v>
      </c>
      <c r="D784" s="30">
        <v>3</v>
      </c>
      <c r="E784" s="30">
        <v>3</v>
      </c>
      <c r="F784" s="30">
        <v>3</v>
      </c>
      <c r="G784" s="1" t="s">
        <v>1</v>
      </c>
      <c r="H784">
        <f t="shared" si="12"/>
        <v>9</v>
      </c>
    </row>
    <row r="785" spans="1:8" x14ac:dyDescent="0.25">
      <c r="A785" s="5">
        <v>44821</v>
      </c>
      <c r="B785" s="30">
        <v>2</v>
      </c>
      <c r="C785" s="30">
        <v>7</v>
      </c>
      <c r="D785" s="30">
        <v>1</v>
      </c>
      <c r="E785" s="30">
        <v>10</v>
      </c>
      <c r="F785" s="30">
        <v>3</v>
      </c>
      <c r="G785" s="1" t="s">
        <v>2</v>
      </c>
      <c r="H785">
        <f t="shared" si="12"/>
        <v>9</v>
      </c>
    </row>
    <row r="786" spans="1:8" x14ac:dyDescent="0.25">
      <c r="A786" s="5">
        <v>44822</v>
      </c>
      <c r="B786" s="30">
        <v>2</v>
      </c>
      <c r="C786" s="30">
        <v>8</v>
      </c>
      <c r="D786" s="30">
        <v>7</v>
      </c>
      <c r="E786" s="30">
        <v>7</v>
      </c>
      <c r="F786" s="30">
        <v>3</v>
      </c>
      <c r="G786" s="1" t="s">
        <v>0</v>
      </c>
      <c r="H786">
        <f t="shared" si="12"/>
        <v>9</v>
      </c>
    </row>
    <row r="787" spans="1:8" x14ac:dyDescent="0.25">
      <c r="A787" s="5">
        <v>44822</v>
      </c>
      <c r="B787" s="30">
        <v>3</v>
      </c>
      <c r="C787" s="30">
        <v>0</v>
      </c>
      <c r="D787" s="30">
        <v>3</v>
      </c>
      <c r="E787" s="30">
        <v>2</v>
      </c>
      <c r="F787" s="30">
        <v>5</v>
      </c>
      <c r="G787" s="1" t="s">
        <v>1</v>
      </c>
      <c r="H787">
        <f t="shared" si="12"/>
        <v>9</v>
      </c>
    </row>
    <row r="788" spans="1:8" x14ac:dyDescent="0.25">
      <c r="A788" s="5">
        <v>44822</v>
      </c>
      <c r="B788" s="30">
        <v>0</v>
      </c>
      <c r="C788" s="30">
        <v>5</v>
      </c>
      <c r="D788" s="30">
        <v>10</v>
      </c>
      <c r="E788" s="30">
        <v>1</v>
      </c>
      <c r="F788" s="30">
        <v>6</v>
      </c>
      <c r="G788" s="1" t="s">
        <v>2</v>
      </c>
      <c r="H788">
        <f t="shared" si="12"/>
        <v>9</v>
      </c>
    </row>
    <row r="789" spans="1:8" x14ac:dyDescent="0.25">
      <c r="A789" s="5">
        <v>44823</v>
      </c>
      <c r="B789" s="30">
        <v>0</v>
      </c>
      <c r="C789" s="30">
        <v>7</v>
      </c>
      <c r="D789" s="30">
        <v>9</v>
      </c>
      <c r="E789" s="30">
        <v>3</v>
      </c>
      <c r="F789" s="30">
        <v>1</v>
      </c>
      <c r="G789" s="1" t="s">
        <v>0</v>
      </c>
      <c r="H789">
        <f t="shared" si="12"/>
        <v>9</v>
      </c>
    </row>
    <row r="790" spans="1:8" x14ac:dyDescent="0.25">
      <c r="A790" s="5">
        <v>44823</v>
      </c>
      <c r="B790" s="30">
        <v>4</v>
      </c>
      <c r="C790" s="30">
        <v>4</v>
      </c>
      <c r="D790" s="30">
        <v>4</v>
      </c>
      <c r="E790" s="30">
        <v>3</v>
      </c>
      <c r="F790" s="30">
        <v>5</v>
      </c>
      <c r="G790" s="1" t="s">
        <v>1</v>
      </c>
      <c r="H790">
        <f t="shared" si="12"/>
        <v>9</v>
      </c>
    </row>
    <row r="791" spans="1:8" x14ac:dyDescent="0.25">
      <c r="A791" s="5">
        <v>44823</v>
      </c>
      <c r="B791" s="30">
        <v>4</v>
      </c>
      <c r="C791" s="30">
        <v>8</v>
      </c>
      <c r="D791" s="30">
        <v>0</v>
      </c>
      <c r="E791" s="30">
        <v>8</v>
      </c>
      <c r="F791" s="30">
        <v>2</v>
      </c>
      <c r="G791" s="1" t="s">
        <v>2</v>
      </c>
      <c r="H791">
        <f t="shared" si="12"/>
        <v>9</v>
      </c>
    </row>
    <row r="792" spans="1:8" x14ac:dyDescent="0.25">
      <c r="A792" s="5">
        <v>44824</v>
      </c>
      <c r="B792" s="30">
        <v>4</v>
      </c>
      <c r="C792" s="30">
        <v>5</v>
      </c>
      <c r="D792" s="30">
        <v>1</v>
      </c>
      <c r="E792" s="30">
        <v>5</v>
      </c>
      <c r="F792" s="30">
        <v>4</v>
      </c>
      <c r="G792" s="1" t="s">
        <v>0</v>
      </c>
      <c r="H792">
        <f t="shared" si="12"/>
        <v>9</v>
      </c>
    </row>
    <row r="793" spans="1:8" x14ac:dyDescent="0.25">
      <c r="A793" s="5">
        <v>44824</v>
      </c>
      <c r="B793" s="30">
        <v>6</v>
      </c>
      <c r="C793" s="30">
        <v>3</v>
      </c>
      <c r="D793" s="30">
        <v>2</v>
      </c>
      <c r="E793" s="30">
        <v>4</v>
      </c>
      <c r="F793" s="30">
        <v>0</v>
      </c>
      <c r="G793" s="1" t="s">
        <v>1</v>
      </c>
      <c r="H793">
        <f t="shared" si="12"/>
        <v>9</v>
      </c>
    </row>
    <row r="794" spans="1:8" x14ac:dyDescent="0.25">
      <c r="A794" s="5">
        <v>44824</v>
      </c>
      <c r="B794" s="30">
        <v>3</v>
      </c>
      <c r="C794" s="30">
        <v>3</v>
      </c>
      <c r="D794" s="30">
        <v>0</v>
      </c>
      <c r="E794" s="30">
        <v>4</v>
      </c>
      <c r="F794" s="30">
        <v>2</v>
      </c>
      <c r="G794" s="1" t="s">
        <v>2</v>
      </c>
      <c r="H794">
        <f t="shared" si="12"/>
        <v>9</v>
      </c>
    </row>
    <row r="795" spans="1:8" x14ac:dyDescent="0.25">
      <c r="A795" s="5">
        <v>44825</v>
      </c>
      <c r="B795" s="30">
        <v>6</v>
      </c>
      <c r="C795" s="30">
        <v>2</v>
      </c>
      <c r="D795" s="30">
        <v>0</v>
      </c>
      <c r="E795" s="30">
        <v>4</v>
      </c>
      <c r="F795" s="30">
        <v>4</v>
      </c>
      <c r="G795" s="1" t="s">
        <v>0</v>
      </c>
      <c r="H795">
        <f t="shared" si="12"/>
        <v>9</v>
      </c>
    </row>
    <row r="796" spans="1:8" x14ac:dyDescent="0.25">
      <c r="A796" s="5">
        <v>44825</v>
      </c>
      <c r="B796" s="30">
        <v>5</v>
      </c>
      <c r="C796" s="30">
        <v>2</v>
      </c>
      <c r="D796" s="30">
        <v>7</v>
      </c>
      <c r="E796" s="30">
        <v>1</v>
      </c>
      <c r="F796" s="30">
        <v>8</v>
      </c>
      <c r="G796" s="1" t="s">
        <v>1</v>
      </c>
      <c r="H796">
        <f t="shared" si="12"/>
        <v>9</v>
      </c>
    </row>
    <row r="797" spans="1:8" x14ac:dyDescent="0.25">
      <c r="A797" s="5">
        <v>44825</v>
      </c>
      <c r="B797" s="30">
        <v>7</v>
      </c>
      <c r="C797" s="30">
        <v>2</v>
      </c>
      <c r="D797" s="30">
        <v>1</v>
      </c>
      <c r="E797" s="30">
        <v>0</v>
      </c>
      <c r="F797" s="30">
        <v>1</v>
      </c>
      <c r="G797" s="1" t="s">
        <v>2</v>
      </c>
      <c r="H797">
        <f t="shared" si="12"/>
        <v>9</v>
      </c>
    </row>
    <row r="798" spans="1:8" x14ac:dyDescent="0.25">
      <c r="A798" s="5">
        <v>44826</v>
      </c>
      <c r="B798" s="30">
        <v>2</v>
      </c>
      <c r="C798" s="30">
        <v>0</v>
      </c>
      <c r="D798" s="30">
        <v>4</v>
      </c>
      <c r="E798" s="30">
        <v>3</v>
      </c>
      <c r="F798" s="30">
        <v>8</v>
      </c>
      <c r="G798" s="1" t="s">
        <v>0</v>
      </c>
      <c r="H798">
        <f t="shared" si="12"/>
        <v>9</v>
      </c>
    </row>
    <row r="799" spans="1:8" x14ac:dyDescent="0.25">
      <c r="A799" s="5">
        <v>44826</v>
      </c>
      <c r="B799" s="30">
        <v>4</v>
      </c>
      <c r="C799" s="30">
        <v>1</v>
      </c>
      <c r="D799" s="30">
        <v>7</v>
      </c>
      <c r="E799" s="30">
        <v>3</v>
      </c>
      <c r="F799" s="30">
        <v>3</v>
      </c>
      <c r="G799" s="1" t="s">
        <v>1</v>
      </c>
      <c r="H799">
        <f t="shared" si="12"/>
        <v>9</v>
      </c>
    </row>
    <row r="800" spans="1:8" x14ac:dyDescent="0.25">
      <c r="A800" s="5">
        <v>44826</v>
      </c>
      <c r="B800" s="30">
        <v>0</v>
      </c>
      <c r="C800" s="30">
        <v>6</v>
      </c>
      <c r="D800" s="30">
        <v>4</v>
      </c>
      <c r="E800" s="30">
        <v>1</v>
      </c>
      <c r="F800" s="30">
        <v>5</v>
      </c>
      <c r="G800" s="1" t="s">
        <v>2</v>
      </c>
      <c r="H800">
        <f t="shared" si="12"/>
        <v>9</v>
      </c>
    </row>
    <row r="801" spans="1:8" x14ac:dyDescent="0.25">
      <c r="A801" s="5">
        <v>44827</v>
      </c>
      <c r="B801" s="30">
        <v>0</v>
      </c>
      <c r="C801" s="30">
        <v>1</v>
      </c>
      <c r="D801" s="30">
        <v>2</v>
      </c>
      <c r="E801" s="30">
        <v>1</v>
      </c>
      <c r="F801" s="30">
        <v>2</v>
      </c>
      <c r="G801" s="1" t="s">
        <v>0</v>
      </c>
      <c r="H801">
        <f t="shared" si="12"/>
        <v>9</v>
      </c>
    </row>
    <row r="802" spans="1:8" x14ac:dyDescent="0.25">
      <c r="A802" s="5">
        <v>44827</v>
      </c>
      <c r="B802" s="30">
        <v>5</v>
      </c>
      <c r="C802" s="30">
        <v>4</v>
      </c>
      <c r="D802" s="30">
        <v>3</v>
      </c>
      <c r="E802" s="30">
        <v>2</v>
      </c>
      <c r="F802" s="30">
        <v>3</v>
      </c>
      <c r="G802" s="1" t="s">
        <v>1</v>
      </c>
      <c r="H802">
        <f t="shared" si="12"/>
        <v>9</v>
      </c>
    </row>
    <row r="803" spans="1:8" x14ac:dyDescent="0.25">
      <c r="A803" s="5">
        <v>44827</v>
      </c>
      <c r="B803" s="30">
        <v>7</v>
      </c>
      <c r="C803" s="30">
        <v>6</v>
      </c>
      <c r="D803" s="30">
        <v>2</v>
      </c>
      <c r="E803" s="30">
        <v>6</v>
      </c>
      <c r="F803" s="30">
        <v>3</v>
      </c>
      <c r="G803" s="1" t="s">
        <v>2</v>
      </c>
      <c r="H803">
        <f t="shared" si="12"/>
        <v>9</v>
      </c>
    </row>
    <row r="804" spans="1:8" x14ac:dyDescent="0.25">
      <c r="A804" s="5">
        <v>44828</v>
      </c>
      <c r="B804" s="30">
        <v>3</v>
      </c>
      <c r="C804" s="30">
        <v>8</v>
      </c>
      <c r="D804" s="30">
        <v>4</v>
      </c>
      <c r="E804" s="30">
        <v>1</v>
      </c>
      <c r="F804" s="30">
        <v>4</v>
      </c>
      <c r="G804" s="1" t="s">
        <v>0</v>
      </c>
      <c r="H804">
        <f t="shared" si="12"/>
        <v>9</v>
      </c>
    </row>
    <row r="805" spans="1:8" x14ac:dyDescent="0.25">
      <c r="A805" s="5">
        <v>44828</v>
      </c>
      <c r="B805" s="30">
        <v>4</v>
      </c>
      <c r="C805" s="30">
        <v>0</v>
      </c>
      <c r="D805" s="30">
        <v>1</v>
      </c>
      <c r="E805" s="30">
        <v>7</v>
      </c>
      <c r="F805" s="30">
        <v>2</v>
      </c>
      <c r="G805" s="1" t="s">
        <v>1</v>
      </c>
      <c r="H805">
        <f t="shared" si="12"/>
        <v>9</v>
      </c>
    </row>
    <row r="806" spans="1:8" x14ac:dyDescent="0.25">
      <c r="A806" s="5">
        <v>44828</v>
      </c>
      <c r="B806" s="30">
        <v>0</v>
      </c>
      <c r="C806" s="30">
        <v>4</v>
      </c>
      <c r="D806" s="30">
        <v>7</v>
      </c>
      <c r="E806" s="30">
        <v>5</v>
      </c>
      <c r="F806" s="30">
        <v>1</v>
      </c>
      <c r="G806" s="1" t="s">
        <v>2</v>
      </c>
      <c r="H806">
        <f t="shared" si="12"/>
        <v>9</v>
      </c>
    </row>
    <row r="807" spans="1:8" x14ac:dyDescent="0.25">
      <c r="A807" s="5">
        <v>44829</v>
      </c>
      <c r="B807" s="30">
        <v>5</v>
      </c>
      <c r="C807" s="30">
        <v>6</v>
      </c>
      <c r="D807" s="30">
        <v>1</v>
      </c>
      <c r="E807" s="30">
        <v>4</v>
      </c>
      <c r="F807" s="30">
        <v>3</v>
      </c>
      <c r="G807" s="1" t="s">
        <v>0</v>
      </c>
      <c r="H807">
        <f t="shared" si="12"/>
        <v>9</v>
      </c>
    </row>
    <row r="808" spans="1:8" x14ac:dyDescent="0.25">
      <c r="A808" s="5">
        <v>44829</v>
      </c>
      <c r="B808" s="30">
        <v>8</v>
      </c>
      <c r="C808" s="30">
        <v>0</v>
      </c>
      <c r="D808" s="30">
        <v>9</v>
      </c>
      <c r="E808" s="30">
        <v>3</v>
      </c>
      <c r="F808" s="30">
        <v>2</v>
      </c>
      <c r="G808" s="1" t="s">
        <v>1</v>
      </c>
      <c r="H808">
        <f t="shared" si="12"/>
        <v>9</v>
      </c>
    </row>
    <row r="809" spans="1:8" x14ac:dyDescent="0.25">
      <c r="A809" s="5">
        <v>44829</v>
      </c>
      <c r="B809" s="30">
        <v>0</v>
      </c>
      <c r="C809" s="30">
        <v>0</v>
      </c>
      <c r="D809" s="30">
        <v>4</v>
      </c>
      <c r="E809" s="30">
        <v>8</v>
      </c>
      <c r="F809" s="30">
        <v>0</v>
      </c>
      <c r="G809" s="1" t="s">
        <v>2</v>
      </c>
      <c r="H809">
        <f t="shared" si="12"/>
        <v>9</v>
      </c>
    </row>
    <row r="810" spans="1:8" x14ac:dyDescent="0.25">
      <c r="A810" s="5">
        <v>44830</v>
      </c>
      <c r="B810" s="30">
        <v>0</v>
      </c>
      <c r="C810" s="30">
        <v>4</v>
      </c>
      <c r="D810" s="30">
        <v>5</v>
      </c>
      <c r="E810" s="30">
        <v>1</v>
      </c>
      <c r="F810" s="30">
        <v>8</v>
      </c>
      <c r="G810" s="1" t="s">
        <v>0</v>
      </c>
      <c r="H810">
        <f t="shared" si="12"/>
        <v>9</v>
      </c>
    </row>
    <row r="811" spans="1:8" x14ac:dyDescent="0.25">
      <c r="A811" s="5">
        <v>44830</v>
      </c>
      <c r="B811" s="30">
        <v>2</v>
      </c>
      <c r="C811" s="30">
        <v>7</v>
      </c>
      <c r="D811" s="30">
        <v>2</v>
      </c>
      <c r="E811" s="30">
        <v>3</v>
      </c>
      <c r="F811" s="30">
        <v>7</v>
      </c>
      <c r="G811" s="1" t="s">
        <v>1</v>
      </c>
      <c r="H811">
        <f t="shared" si="12"/>
        <v>9</v>
      </c>
    </row>
    <row r="812" spans="1:8" x14ac:dyDescent="0.25">
      <c r="A812" s="5">
        <v>44830</v>
      </c>
      <c r="B812" s="30">
        <v>8</v>
      </c>
      <c r="C812" s="30">
        <v>2</v>
      </c>
      <c r="D812" s="30">
        <v>1</v>
      </c>
      <c r="E812" s="30">
        <v>5</v>
      </c>
      <c r="F812" s="30">
        <v>0</v>
      </c>
      <c r="G812" s="1" t="s">
        <v>2</v>
      </c>
      <c r="H812">
        <f t="shared" si="12"/>
        <v>9</v>
      </c>
    </row>
    <row r="813" spans="1:8" x14ac:dyDescent="0.25">
      <c r="A813" s="5">
        <v>44831</v>
      </c>
      <c r="B813" s="30">
        <v>2</v>
      </c>
      <c r="C813" s="30">
        <v>10</v>
      </c>
      <c r="D813" s="30">
        <v>6</v>
      </c>
      <c r="E813" s="30">
        <v>1</v>
      </c>
      <c r="F813" s="30">
        <v>7</v>
      </c>
      <c r="G813" s="1" t="s">
        <v>0</v>
      </c>
      <c r="H813">
        <f t="shared" si="12"/>
        <v>9</v>
      </c>
    </row>
    <row r="814" spans="1:8" x14ac:dyDescent="0.25">
      <c r="A814" s="5">
        <v>44831</v>
      </c>
      <c r="B814" s="30">
        <v>0</v>
      </c>
      <c r="C814" s="30">
        <v>3</v>
      </c>
      <c r="D814" s="30">
        <v>0</v>
      </c>
      <c r="E814" s="30">
        <v>3</v>
      </c>
      <c r="F814" s="30">
        <v>4</v>
      </c>
      <c r="G814" s="1" t="s">
        <v>1</v>
      </c>
      <c r="H814">
        <f t="shared" si="12"/>
        <v>9</v>
      </c>
    </row>
    <row r="815" spans="1:8" x14ac:dyDescent="0.25">
      <c r="A815" s="5">
        <v>44831</v>
      </c>
      <c r="B815" s="30">
        <v>0</v>
      </c>
      <c r="C815" s="30">
        <v>3</v>
      </c>
      <c r="D815" s="30">
        <v>3</v>
      </c>
      <c r="E815" s="30">
        <v>3</v>
      </c>
      <c r="F815" s="30">
        <v>2</v>
      </c>
      <c r="G815" s="1" t="s">
        <v>2</v>
      </c>
      <c r="H815">
        <f t="shared" si="12"/>
        <v>9</v>
      </c>
    </row>
    <row r="816" spans="1:8" x14ac:dyDescent="0.25">
      <c r="A816" s="5">
        <v>44832</v>
      </c>
      <c r="B816" s="30">
        <v>5</v>
      </c>
      <c r="C816" s="30">
        <v>4</v>
      </c>
      <c r="D816" s="30">
        <v>7</v>
      </c>
      <c r="E816" s="30">
        <v>2</v>
      </c>
      <c r="F816" s="30">
        <v>0</v>
      </c>
      <c r="G816" s="1" t="s">
        <v>0</v>
      </c>
      <c r="H816">
        <f t="shared" si="12"/>
        <v>9</v>
      </c>
    </row>
    <row r="817" spans="1:8" x14ac:dyDescent="0.25">
      <c r="A817" s="5">
        <v>44832</v>
      </c>
      <c r="B817" s="30">
        <v>1</v>
      </c>
      <c r="C817" s="30">
        <v>8</v>
      </c>
      <c r="D817" s="30">
        <v>3</v>
      </c>
      <c r="E817" s="30">
        <v>7</v>
      </c>
      <c r="F817" s="30">
        <v>4</v>
      </c>
      <c r="G817" s="1" t="s">
        <v>1</v>
      </c>
      <c r="H817">
        <f t="shared" si="12"/>
        <v>9</v>
      </c>
    </row>
    <row r="818" spans="1:8" x14ac:dyDescent="0.25">
      <c r="A818" s="5">
        <v>44832</v>
      </c>
      <c r="B818" s="30">
        <v>3</v>
      </c>
      <c r="C818" s="30">
        <v>3</v>
      </c>
      <c r="D818" s="30">
        <v>7</v>
      </c>
      <c r="E818" s="30">
        <v>7</v>
      </c>
      <c r="F818" s="30">
        <v>2</v>
      </c>
      <c r="G818" s="1" t="s">
        <v>2</v>
      </c>
      <c r="H818">
        <f t="shared" si="12"/>
        <v>9</v>
      </c>
    </row>
    <row r="819" spans="1:8" x14ac:dyDescent="0.25">
      <c r="A819" s="5">
        <v>44833</v>
      </c>
      <c r="B819" s="30">
        <v>10</v>
      </c>
      <c r="C819" s="30">
        <v>1</v>
      </c>
      <c r="D819" s="30">
        <v>1</v>
      </c>
      <c r="E819" s="30">
        <v>1</v>
      </c>
      <c r="F819" s="30">
        <v>2</v>
      </c>
      <c r="G819" s="1" t="s">
        <v>0</v>
      </c>
      <c r="H819">
        <f t="shared" si="12"/>
        <v>9</v>
      </c>
    </row>
    <row r="820" spans="1:8" x14ac:dyDescent="0.25">
      <c r="A820" s="5">
        <v>44833</v>
      </c>
      <c r="B820" s="30">
        <v>4</v>
      </c>
      <c r="C820" s="30">
        <v>0</v>
      </c>
      <c r="D820" s="30">
        <v>1</v>
      </c>
      <c r="E820" s="30">
        <v>1</v>
      </c>
      <c r="F820" s="30">
        <v>3</v>
      </c>
      <c r="G820" s="1" t="s">
        <v>1</v>
      </c>
      <c r="H820">
        <f t="shared" si="12"/>
        <v>9</v>
      </c>
    </row>
    <row r="821" spans="1:8" x14ac:dyDescent="0.25">
      <c r="A821" s="5">
        <v>44833</v>
      </c>
      <c r="B821" s="30">
        <v>6</v>
      </c>
      <c r="C821" s="30">
        <v>8</v>
      </c>
      <c r="D821" s="30">
        <v>3</v>
      </c>
      <c r="E821" s="30">
        <v>7</v>
      </c>
      <c r="F821" s="30">
        <v>5</v>
      </c>
      <c r="G821" s="1" t="s">
        <v>2</v>
      </c>
      <c r="H821">
        <f t="shared" si="12"/>
        <v>9</v>
      </c>
    </row>
    <row r="822" spans="1:8" x14ac:dyDescent="0.25">
      <c r="A822" s="5">
        <v>44834</v>
      </c>
      <c r="B822" s="30">
        <v>5</v>
      </c>
      <c r="C822" s="30">
        <v>8</v>
      </c>
      <c r="D822" s="30">
        <v>2</v>
      </c>
      <c r="E822" s="30">
        <v>7</v>
      </c>
      <c r="F822" s="30">
        <v>0</v>
      </c>
      <c r="G822" s="1" t="s">
        <v>0</v>
      </c>
      <c r="H822">
        <f t="shared" si="12"/>
        <v>9</v>
      </c>
    </row>
    <row r="823" spans="1:8" x14ac:dyDescent="0.25">
      <c r="A823" s="5">
        <v>44834</v>
      </c>
      <c r="B823" s="30">
        <v>3</v>
      </c>
      <c r="C823" s="30">
        <v>0</v>
      </c>
      <c r="D823" s="30">
        <v>3</v>
      </c>
      <c r="E823" s="30">
        <v>1</v>
      </c>
      <c r="F823" s="30">
        <v>4</v>
      </c>
      <c r="G823" s="1" t="s">
        <v>1</v>
      </c>
      <c r="H823">
        <f t="shared" si="12"/>
        <v>9</v>
      </c>
    </row>
    <row r="824" spans="1:8" x14ac:dyDescent="0.25">
      <c r="A824" s="5">
        <v>44834</v>
      </c>
      <c r="B824" s="30">
        <v>6</v>
      </c>
      <c r="C824" s="30">
        <v>3</v>
      </c>
      <c r="D824" s="30">
        <v>2</v>
      </c>
      <c r="E824" s="30">
        <v>7</v>
      </c>
      <c r="F824" s="30">
        <v>2</v>
      </c>
      <c r="G824" s="1" t="s">
        <v>2</v>
      </c>
      <c r="H824">
        <f t="shared" si="12"/>
        <v>9</v>
      </c>
    </row>
    <row r="825" spans="1:8" x14ac:dyDescent="0.25">
      <c r="A825" s="5">
        <v>44835</v>
      </c>
      <c r="B825" s="30">
        <v>4</v>
      </c>
      <c r="C825" s="30">
        <v>1</v>
      </c>
      <c r="D825" s="30">
        <v>2</v>
      </c>
      <c r="E825" s="30">
        <v>1</v>
      </c>
      <c r="F825" s="30">
        <v>0</v>
      </c>
      <c r="G825" s="1" t="s">
        <v>0</v>
      </c>
      <c r="H825">
        <f t="shared" si="12"/>
        <v>10</v>
      </c>
    </row>
    <row r="826" spans="1:8" x14ac:dyDescent="0.25">
      <c r="A826" s="5">
        <v>44835</v>
      </c>
      <c r="B826" s="30">
        <v>0</v>
      </c>
      <c r="C826" s="30">
        <v>0</v>
      </c>
      <c r="D826" s="30">
        <v>6</v>
      </c>
      <c r="E826" s="30">
        <v>3</v>
      </c>
      <c r="F826" s="30">
        <v>2</v>
      </c>
      <c r="G826" s="1" t="s">
        <v>1</v>
      </c>
      <c r="H826">
        <f t="shared" si="12"/>
        <v>10</v>
      </c>
    </row>
    <row r="827" spans="1:8" x14ac:dyDescent="0.25">
      <c r="A827" s="5">
        <v>44835</v>
      </c>
      <c r="B827" s="30">
        <v>5</v>
      </c>
      <c r="C827" s="30">
        <v>4</v>
      </c>
      <c r="D827" s="30">
        <v>2</v>
      </c>
      <c r="E827" s="30">
        <v>0</v>
      </c>
      <c r="F827" s="30">
        <v>3</v>
      </c>
      <c r="G827" s="1" t="s">
        <v>2</v>
      </c>
      <c r="H827">
        <f t="shared" si="12"/>
        <v>10</v>
      </c>
    </row>
    <row r="828" spans="1:8" x14ac:dyDescent="0.25">
      <c r="A828" s="5">
        <v>44836</v>
      </c>
      <c r="B828" s="30">
        <v>8</v>
      </c>
      <c r="C828" s="30">
        <v>4</v>
      </c>
      <c r="D828" s="30">
        <v>1</v>
      </c>
      <c r="E828" s="30">
        <v>7</v>
      </c>
      <c r="F828" s="30">
        <v>8</v>
      </c>
      <c r="G828" s="1" t="s">
        <v>0</v>
      </c>
      <c r="H828">
        <f t="shared" si="12"/>
        <v>10</v>
      </c>
    </row>
    <row r="829" spans="1:8" x14ac:dyDescent="0.25">
      <c r="A829" s="5">
        <v>44836</v>
      </c>
      <c r="B829" s="30">
        <v>0</v>
      </c>
      <c r="C829" s="30">
        <v>1</v>
      </c>
      <c r="D829" s="30">
        <v>9</v>
      </c>
      <c r="E829" s="30">
        <v>8</v>
      </c>
      <c r="F829" s="30">
        <v>8</v>
      </c>
      <c r="G829" s="1" t="s">
        <v>1</v>
      </c>
      <c r="H829">
        <f t="shared" si="12"/>
        <v>10</v>
      </c>
    </row>
    <row r="830" spans="1:8" x14ac:dyDescent="0.25">
      <c r="A830" s="5">
        <v>44836</v>
      </c>
      <c r="B830" s="30">
        <v>2</v>
      </c>
      <c r="C830" s="30">
        <v>5</v>
      </c>
      <c r="D830" s="30">
        <v>2</v>
      </c>
      <c r="E830" s="30">
        <v>3</v>
      </c>
      <c r="F830" s="30">
        <v>3</v>
      </c>
      <c r="G830" s="1" t="s">
        <v>2</v>
      </c>
      <c r="H830">
        <f t="shared" si="12"/>
        <v>10</v>
      </c>
    </row>
    <row r="831" spans="1:8" x14ac:dyDescent="0.25">
      <c r="A831" s="5">
        <v>44837</v>
      </c>
      <c r="B831" s="30">
        <v>10</v>
      </c>
      <c r="C831" s="30">
        <v>4</v>
      </c>
      <c r="D831" s="30">
        <v>6</v>
      </c>
      <c r="E831" s="30">
        <v>4</v>
      </c>
      <c r="F831" s="30">
        <v>4</v>
      </c>
      <c r="G831" s="1" t="s">
        <v>0</v>
      </c>
      <c r="H831">
        <f t="shared" si="12"/>
        <v>10</v>
      </c>
    </row>
    <row r="832" spans="1:8" x14ac:dyDescent="0.25">
      <c r="A832" s="5">
        <v>44837</v>
      </c>
      <c r="B832" s="30">
        <v>8</v>
      </c>
      <c r="C832" s="30">
        <v>7</v>
      </c>
      <c r="D832" s="30">
        <v>1</v>
      </c>
      <c r="E832" s="30">
        <v>7</v>
      </c>
      <c r="F832" s="30">
        <v>3</v>
      </c>
      <c r="G832" s="1" t="s">
        <v>1</v>
      </c>
      <c r="H832">
        <f t="shared" si="12"/>
        <v>10</v>
      </c>
    </row>
    <row r="833" spans="1:8" x14ac:dyDescent="0.25">
      <c r="A833" s="5">
        <v>44837</v>
      </c>
      <c r="B833" s="30">
        <v>4</v>
      </c>
      <c r="C833" s="30">
        <v>4</v>
      </c>
      <c r="D833" s="30">
        <v>9</v>
      </c>
      <c r="E833" s="30">
        <v>8</v>
      </c>
      <c r="F833" s="30">
        <v>6</v>
      </c>
      <c r="G833" s="1" t="s">
        <v>2</v>
      </c>
      <c r="H833">
        <f t="shared" si="12"/>
        <v>10</v>
      </c>
    </row>
    <row r="834" spans="1:8" x14ac:dyDescent="0.25">
      <c r="A834" s="5">
        <v>44838</v>
      </c>
      <c r="B834" s="30">
        <v>5</v>
      </c>
      <c r="C834" s="30">
        <v>1</v>
      </c>
      <c r="D834" s="30">
        <v>3</v>
      </c>
      <c r="E834" s="30">
        <v>3</v>
      </c>
      <c r="F834" s="30">
        <v>3</v>
      </c>
      <c r="G834" s="1" t="s">
        <v>0</v>
      </c>
      <c r="H834">
        <f t="shared" si="12"/>
        <v>10</v>
      </c>
    </row>
    <row r="835" spans="1:8" x14ac:dyDescent="0.25">
      <c r="A835" s="5">
        <v>44838</v>
      </c>
      <c r="B835" s="30">
        <v>5</v>
      </c>
      <c r="C835" s="30">
        <v>3</v>
      </c>
      <c r="D835" s="30">
        <v>3</v>
      </c>
      <c r="E835" s="30">
        <v>2</v>
      </c>
      <c r="F835" s="30">
        <v>0</v>
      </c>
      <c r="G835" s="1" t="s">
        <v>1</v>
      </c>
      <c r="H835">
        <f t="shared" si="12"/>
        <v>10</v>
      </c>
    </row>
    <row r="836" spans="1:8" x14ac:dyDescent="0.25">
      <c r="A836" s="5">
        <v>44838</v>
      </c>
      <c r="B836" s="30">
        <v>0</v>
      </c>
      <c r="C836" s="30">
        <v>2</v>
      </c>
      <c r="D836" s="30">
        <v>7</v>
      </c>
      <c r="E836" s="30">
        <v>5</v>
      </c>
      <c r="F836" s="30">
        <v>3</v>
      </c>
      <c r="G836" s="1" t="s">
        <v>2</v>
      </c>
      <c r="H836">
        <f t="shared" ref="H836:H899" si="13">MONTH(A836)</f>
        <v>10</v>
      </c>
    </row>
    <row r="837" spans="1:8" x14ac:dyDescent="0.25">
      <c r="A837" s="5">
        <v>44839</v>
      </c>
      <c r="B837" s="30">
        <v>1</v>
      </c>
      <c r="C837" s="30">
        <v>2</v>
      </c>
      <c r="D837" s="30">
        <v>6</v>
      </c>
      <c r="E837" s="30">
        <v>5</v>
      </c>
      <c r="F837" s="30">
        <v>2</v>
      </c>
      <c r="G837" s="1" t="s">
        <v>0</v>
      </c>
      <c r="H837">
        <f t="shared" si="13"/>
        <v>10</v>
      </c>
    </row>
    <row r="838" spans="1:8" x14ac:dyDescent="0.25">
      <c r="A838" s="5">
        <v>44839</v>
      </c>
      <c r="B838" s="30">
        <v>2</v>
      </c>
      <c r="C838" s="30">
        <v>7</v>
      </c>
      <c r="D838" s="30">
        <v>3</v>
      </c>
      <c r="E838" s="30">
        <v>7</v>
      </c>
      <c r="F838" s="30">
        <v>1</v>
      </c>
      <c r="G838" s="1" t="s">
        <v>1</v>
      </c>
      <c r="H838">
        <f t="shared" si="13"/>
        <v>10</v>
      </c>
    </row>
    <row r="839" spans="1:8" x14ac:dyDescent="0.25">
      <c r="A839" s="5">
        <v>44839</v>
      </c>
      <c r="B839" s="30">
        <v>0</v>
      </c>
      <c r="C839" s="30">
        <v>1</v>
      </c>
      <c r="D839" s="30">
        <v>3</v>
      </c>
      <c r="E839" s="30">
        <v>2</v>
      </c>
      <c r="F839" s="30">
        <v>1</v>
      </c>
      <c r="G839" s="1" t="s">
        <v>2</v>
      </c>
      <c r="H839">
        <f t="shared" si="13"/>
        <v>10</v>
      </c>
    </row>
    <row r="840" spans="1:8" x14ac:dyDescent="0.25">
      <c r="A840" s="5">
        <v>44840</v>
      </c>
      <c r="B840" s="30">
        <v>1</v>
      </c>
      <c r="C840" s="30">
        <v>3</v>
      </c>
      <c r="D840" s="30">
        <v>2</v>
      </c>
      <c r="E840" s="30">
        <v>3</v>
      </c>
      <c r="F840" s="30">
        <v>8</v>
      </c>
      <c r="G840" s="1" t="s">
        <v>0</v>
      </c>
      <c r="H840">
        <f t="shared" si="13"/>
        <v>10</v>
      </c>
    </row>
    <row r="841" spans="1:8" x14ac:dyDescent="0.25">
      <c r="A841" s="5">
        <v>44840</v>
      </c>
      <c r="B841" s="30">
        <v>10</v>
      </c>
      <c r="C841" s="30">
        <v>4</v>
      </c>
      <c r="D841" s="30">
        <v>7</v>
      </c>
      <c r="E841" s="30">
        <v>3</v>
      </c>
      <c r="F841" s="30">
        <v>8</v>
      </c>
      <c r="G841" s="1" t="s">
        <v>1</v>
      </c>
      <c r="H841">
        <f t="shared" si="13"/>
        <v>10</v>
      </c>
    </row>
    <row r="842" spans="1:8" x14ac:dyDescent="0.25">
      <c r="A842" s="5">
        <v>44840</v>
      </c>
      <c r="B842" s="30">
        <v>2</v>
      </c>
      <c r="C842" s="30">
        <v>3</v>
      </c>
      <c r="D842" s="30">
        <v>0</v>
      </c>
      <c r="E842" s="30">
        <v>8</v>
      </c>
      <c r="F842" s="30">
        <v>8</v>
      </c>
      <c r="G842" s="1" t="s">
        <v>2</v>
      </c>
      <c r="H842">
        <f t="shared" si="13"/>
        <v>10</v>
      </c>
    </row>
    <row r="843" spans="1:8" x14ac:dyDescent="0.25">
      <c r="A843" s="5">
        <v>44841</v>
      </c>
      <c r="B843" s="30">
        <v>3</v>
      </c>
      <c r="C843" s="30">
        <v>3</v>
      </c>
      <c r="D843" s="30">
        <v>3</v>
      </c>
      <c r="E843" s="30">
        <v>7</v>
      </c>
      <c r="F843" s="30">
        <v>2</v>
      </c>
      <c r="G843" s="1" t="s">
        <v>0</v>
      </c>
      <c r="H843">
        <f t="shared" si="13"/>
        <v>10</v>
      </c>
    </row>
    <row r="844" spans="1:8" x14ac:dyDescent="0.25">
      <c r="A844" s="5">
        <v>44841</v>
      </c>
      <c r="B844" s="30">
        <v>2</v>
      </c>
      <c r="C844" s="30">
        <v>4</v>
      </c>
      <c r="D844" s="30">
        <v>8</v>
      </c>
      <c r="E844" s="30">
        <v>8</v>
      </c>
      <c r="F844" s="30">
        <v>3</v>
      </c>
      <c r="G844" s="1" t="s">
        <v>1</v>
      </c>
      <c r="H844">
        <f t="shared" si="13"/>
        <v>10</v>
      </c>
    </row>
    <row r="845" spans="1:8" x14ac:dyDescent="0.25">
      <c r="A845" s="5">
        <v>44841</v>
      </c>
      <c r="B845" s="30">
        <v>3</v>
      </c>
      <c r="C845" s="30">
        <v>3</v>
      </c>
      <c r="D845" s="30">
        <v>1</v>
      </c>
      <c r="E845" s="30">
        <v>3</v>
      </c>
      <c r="F845" s="30">
        <v>3</v>
      </c>
      <c r="G845" s="1" t="s">
        <v>2</v>
      </c>
      <c r="H845">
        <f t="shared" si="13"/>
        <v>10</v>
      </c>
    </row>
    <row r="846" spans="1:8" x14ac:dyDescent="0.25">
      <c r="A846" s="5">
        <v>44842</v>
      </c>
      <c r="B846" s="30">
        <v>2</v>
      </c>
      <c r="C846" s="30">
        <v>2</v>
      </c>
      <c r="D846" s="30">
        <v>5</v>
      </c>
      <c r="E846" s="30">
        <v>0</v>
      </c>
      <c r="F846" s="30">
        <v>7</v>
      </c>
      <c r="G846" s="1" t="s">
        <v>0</v>
      </c>
      <c r="H846">
        <f t="shared" si="13"/>
        <v>10</v>
      </c>
    </row>
    <row r="847" spans="1:8" x14ac:dyDescent="0.25">
      <c r="A847" s="5">
        <v>44842</v>
      </c>
      <c r="B847" s="30">
        <v>0</v>
      </c>
      <c r="C847" s="30">
        <v>0</v>
      </c>
      <c r="D847" s="30">
        <v>5</v>
      </c>
      <c r="E847" s="30">
        <v>0</v>
      </c>
      <c r="F847" s="30">
        <v>1</v>
      </c>
      <c r="G847" s="1" t="s">
        <v>1</v>
      </c>
      <c r="H847">
        <f t="shared" si="13"/>
        <v>10</v>
      </c>
    </row>
    <row r="848" spans="1:8" x14ac:dyDescent="0.25">
      <c r="A848" s="5">
        <v>44842</v>
      </c>
      <c r="B848" s="30">
        <v>4</v>
      </c>
      <c r="C848" s="30">
        <v>4</v>
      </c>
      <c r="D848" s="30">
        <v>6</v>
      </c>
      <c r="E848" s="30">
        <v>2</v>
      </c>
      <c r="F848" s="30">
        <v>3</v>
      </c>
      <c r="G848" s="1" t="s">
        <v>2</v>
      </c>
      <c r="H848">
        <f t="shared" si="13"/>
        <v>10</v>
      </c>
    </row>
    <row r="849" spans="1:8" x14ac:dyDescent="0.25">
      <c r="A849" s="5">
        <v>44843</v>
      </c>
      <c r="B849" s="30">
        <v>3</v>
      </c>
      <c r="C849" s="30">
        <v>4</v>
      </c>
      <c r="D849" s="30">
        <v>4</v>
      </c>
      <c r="E849" s="30">
        <v>8</v>
      </c>
      <c r="F849" s="30">
        <v>9</v>
      </c>
      <c r="G849" s="1" t="s">
        <v>0</v>
      </c>
      <c r="H849">
        <f t="shared" si="13"/>
        <v>10</v>
      </c>
    </row>
    <row r="850" spans="1:8" x14ac:dyDescent="0.25">
      <c r="A850" s="5">
        <v>44843</v>
      </c>
      <c r="B850" s="30">
        <v>6</v>
      </c>
      <c r="C850" s="30">
        <v>1</v>
      </c>
      <c r="D850" s="30">
        <v>3</v>
      </c>
      <c r="E850" s="30">
        <v>5</v>
      </c>
      <c r="F850" s="30">
        <v>1</v>
      </c>
      <c r="G850" s="1" t="s">
        <v>1</v>
      </c>
      <c r="H850">
        <f t="shared" si="13"/>
        <v>10</v>
      </c>
    </row>
    <row r="851" spans="1:8" x14ac:dyDescent="0.25">
      <c r="A851" s="5">
        <v>44843</v>
      </c>
      <c r="B851" s="30">
        <v>3</v>
      </c>
      <c r="C851" s="30">
        <v>10</v>
      </c>
      <c r="D851" s="30">
        <v>0</v>
      </c>
      <c r="E851" s="30">
        <v>0</v>
      </c>
      <c r="F851" s="30">
        <v>1</v>
      </c>
      <c r="G851" s="1" t="s">
        <v>2</v>
      </c>
      <c r="H851">
        <f t="shared" si="13"/>
        <v>10</v>
      </c>
    </row>
    <row r="852" spans="1:8" x14ac:dyDescent="0.25">
      <c r="A852" s="5">
        <v>44844</v>
      </c>
      <c r="B852" s="30">
        <v>7</v>
      </c>
      <c r="C852" s="30">
        <v>8</v>
      </c>
      <c r="D852" s="30">
        <v>7</v>
      </c>
      <c r="E852" s="30">
        <v>4</v>
      </c>
      <c r="F852" s="30">
        <v>0</v>
      </c>
      <c r="G852" s="1" t="s">
        <v>0</v>
      </c>
      <c r="H852">
        <f t="shared" si="13"/>
        <v>10</v>
      </c>
    </row>
    <row r="853" spans="1:8" x14ac:dyDescent="0.25">
      <c r="A853" s="5">
        <v>44844</v>
      </c>
      <c r="B853" s="30">
        <v>3</v>
      </c>
      <c r="C853" s="30">
        <v>2</v>
      </c>
      <c r="D853" s="30">
        <v>4</v>
      </c>
      <c r="E853" s="30">
        <v>0</v>
      </c>
      <c r="F853" s="30">
        <v>5</v>
      </c>
      <c r="G853" s="1" t="s">
        <v>1</v>
      </c>
      <c r="H853">
        <f t="shared" si="13"/>
        <v>10</v>
      </c>
    </row>
    <row r="854" spans="1:8" x14ac:dyDescent="0.25">
      <c r="A854" s="5">
        <v>44844</v>
      </c>
      <c r="B854" s="30">
        <v>3</v>
      </c>
      <c r="C854" s="30">
        <v>7</v>
      </c>
      <c r="D854" s="30">
        <v>7</v>
      </c>
      <c r="E854" s="30">
        <v>5</v>
      </c>
      <c r="F854" s="30">
        <v>3</v>
      </c>
      <c r="G854" s="1" t="s">
        <v>2</v>
      </c>
      <c r="H854">
        <f t="shared" si="13"/>
        <v>10</v>
      </c>
    </row>
    <row r="855" spans="1:8" x14ac:dyDescent="0.25">
      <c r="A855" s="5">
        <v>44845</v>
      </c>
      <c r="B855" s="30">
        <v>4</v>
      </c>
      <c r="C855" s="30">
        <v>5</v>
      </c>
      <c r="D855" s="30">
        <v>3</v>
      </c>
      <c r="E855" s="30">
        <v>0</v>
      </c>
      <c r="F855" s="30">
        <v>7</v>
      </c>
      <c r="G855" s="1" t="s">
        <v>0</v>
      </c>
      <c r="H855">
        <f t="shared" si="13"/>
        <v>10</v>
      </c>
    </row>
    <row r="856" spans="1:8" x14ac:dyDescent="0.25">
      <c r="A856" s="5">
        <v>44845</v>
      </c>
      <c r="B856" s="30">
        <v>10</v>
      </c>
      <c r="C856" s="30">
        <v>5</v>
      </c>
      <c r="D856" s="30">
        <v>3</v>
      </c>
      <c r="E856" s="30">
        <v>6</v>
      </c>
      <c r="F856" s="30">
        <v>0</v>
      </c>
      <c r="G856" s="1" t="s">
        <v>1</v>
      </c>
      <c r="H856">
        <f t="shared" si="13"/>
        <v>10</v>
      </c>
    </row>
    <row r="857" spans="1:8" x14ac:dyDescent="0.25">
      <c r="A857" s="5">
        <v>44845</v>
      </c>
      <c r="B857" s="30">
        <v>7</v>
      </c>
      <c r="C857" s="30">
        <v>2</v>
      </c>
      <c r="D857" s="30">
        <v>5</v>
      </c>
      <c r="E857" s="30">
        <v>1</v>
      </c>
      <c r="F857" s="30">
        <v>6</v>
      </c>
      <c r="G857" s="1" t="s">
        <v>2</v>
      </c>
      <c r="H857">
        <f t="shared" si="13"/>
        <v>10</v>
      </c>
    </row>
    <row r="858" spans="1:8" x14ac:dyDescent="0.25">
      <c r="A858" s="5">
        <v>44846</v>
      </c>
      <c r="B858" s="30">
        <v>4</v>
      </c>
      <c r="C858" s="30">
        <v>4</v>
      </c>
      <c r="D858" s="30">
        <v>8</v>
      </c>
      <c r="E858" s="30">
        <v>7</v>
      </c>
      <c r="F858" s="30">
        <v>1</v>
      </c>
      <c r="G858" s="1" t="s">
        <v>0</v>
      </c>
      <c r="H858">
        <f t="shared" si="13"/>
        <v>10</v>
      </c>
    </row>
    <row r="859" spans="1:8" x14ac:dyDescent="0.25">
      <c r="A859" s="5">
        <v>44846</v>
      </c>
      <c r="B859" s="30">
        <v>8</v>
      </c>
      <c r="C859" s="30">
        <v>2</v>
      </c>
      <c r="D859" s="30">
        <v>3</v>
      </c>
      <c r="E859" s="30">
        <v>7</v>
      </c>
      <c r="F859" s="30">
        <v>4</v>
      </c>
      <c r="G859" s="1" t="s">
        <v>1</v>
      </c>
      <c r="H859">
        <f t="shared" si="13"/>
        <v>10</v>
      </c>
    </row>
    <row r="860" spans="1:8" x14ac:dyDescent="0.25">
      <c r="A860" s="5">
        <v>44846</v>
      </c>
      <c r="B860" s="30">
        <v>9</v>
      </c>
      <c r="C860" s="30">
        <v>2</v>
      </c>
      <c r="D860" s="30">
        <v>3</v>
      </c>
      <c r="E860" s="30">
        <v>1</v>
      </c>
      <c r="F860" s="30">
        <v>3</v>
      </c>
      <c r="G860" s="1" t="s">
        <v>2</v>
      </c>
      <c r="H860">
        <f t="shared" si="13"/>
        <v>10</v>
      </c>
    </row>
    <row r="861" spans="1:8" x14ac:dyDescent="0.25">
      <c r="A861" s="5">
        <v>44847</v>
      </c>
      <c r="B861" s="30">
        <v>4</v>
      </c>
      <c r="C861" s="30">
        <v>4</v>
      </c>
      <c r="D861" s="30">
        <v>5</v>
      </c>
      <c r="E861" s="30">
        <v>2</v>
      </c>
      <c r="F861" s="30">
        <v>4</v>
      </c>
      <c r="G861" s="1" t="s">
        <v>0</v>
      </c>
      <c r="H861">
        <f t="shared" si="13"/>
        <v>10</v>
      </c>
    </row>
    <row r="862" spans="1:8" x14ac:dyDescent="0.25">
      <c r="A862" s="5">
        <v>44847</v>
      </c>
      <c r="B862" s="30">
        <v>2</v>
      </c>
      <c r="C862" s="30">
        <v>1</v>
      </c>
      <c r="D862" s="30">
        <v>2</v>
      </c>
      <c r="E862" s="30">
        <v>2</v>
      </c>
      <c r="F862" s="30">
        <v>2</v>
      </c>
      <c r="G862" s="1" t="s">
        <v>1</v>
      </c>
      <c r="H862">
        <f t="shared" si="13"/>
        <v>10</v>
      </c>
    </row>
    <row r="863" spans="1:8" x14ac:dyDescent="0.25">
      <c r="A863" s="5">
        <v>44847</v>
      </c>
      <c r="B863" s="30">
        <v>9</v>
      </c>
      <c r="C863" s="30">
        <v>2</v>
      </c>
      <c r="D863" s="30">
        <v>1</v>
      </c>
      <c r="E863" s="30">
        <v>9</v>
      </c>
      <c r="F863" s="30">
        <v>4</v>
      </c>
      <c r="G863" s="1" t="s">
        <v>2</v>
      </c>
      <c r="H863">
        <f t="shared" si="13"/>
        <v>10</v>
      </c>
    </row>
    <row r="864" spans="1:8" x14ac:dyDescent="0.25">
      <c r="A864" s="5">
        <v>44848</v>
      </c>
      <c r="B864" s="30">
        <v>8</v>
      </c>
      <c r="C864" s="30">
        <v>2</v>
      </c>
      <c r="D864" s="30">
        <v>0</v>
      </c>
      <c r="E864" s="30">
        <v>5</v>
      </c>
      <c r="F864" s="30">
        <v>2</v>
      </c>
      <c r="G864" s="1" t="s">
        <v>0</v>
      </c>
      <c r="H864">
        <f t="shared" si="13"/>
        <v>10</v>
      </c>
    </row>
    <row r="865" spans="1:8" x14ac:dyDescent="0.25">
      <c r="A865" s="5">
        <v>44848</v>
      </c>
      <c r="B865" s="30">
        <v>1</v>
      </c>
      <c r="C865" s="30">
        <v>0</v>
      </c>
      <c r="D865" s="30">
        <v>1</v>
      </c>
      <c r="E865" s="30">
        <v>8</v>
      </c>
      <c r="F865" s="30">
        <v>1</v>
      </c>
      <c r="G865" s="1" t="s">
        <v>1</v>
      </c>
      <c r="H865">
        <f t="shared" si="13"/>
        <v>10</v>
      </c>
    </row>
    <row r="866" spans="1:8" x14ac:dyDescent="0.25">
      <c r="A866" s="5">
        <v>44848</v>
      </c>
      <c r="B866" s="30">
        <v>3</v>
      </c>
      <c r="C866" s="30">
        <v>5</v>
      </c>
      <c r="D866" s="30">
        <v>0</v>
      </c>
      <c r="E866" s="30">
        <v>2</v>
      </c>
      <c r="F866" s="30">
        <v>5</v>
      </c>
      <c r="G866" s="1" t="s">
        <v>2</v>
      </c>
      <c r="H866">
        <f t="shared" si="13"/>
        <v>10</v>
      </c>
    </row>
    <row r="867" spans="1:8" x14ac:dyDescent="0.25">
      <c r="A867" s="5">
        <v>44849</v>
      </c>
      <c r="B867" s="30">
        <v>0</v>
      </c>
      <c r="C867" s="30">
        <v>1</v>
      </c>
      <c r="D867" s="30">
        <v>8</v>
      </c>
      <c r="E867" s="30">
        <v>0</v>
      </c>
      <c r="F867" s="30">
        <v>5</v>
      </c>
      <c r="G867" s="1" t="s">
        <v>0</v>
      </c>
      <c r="H867">
        <f t="shared" si="13"/>
        <v>10</v>
      </c>
    </row>
    <row r="868" spans="1:8" x14ac:dyDescent="0.25">
      <c r="A868" s="5">
        <v>44849</v>
      </c>
      <c r="B868" s="30">
        <v>8</v>
      </c>
      <c r="C868" s="30">
        <v>8</v>
      </c>
      <c r="D868" s="30">
        <v>10</v>
      </c>
      <c r="E868" s="30">
        <v>10</v>
      </c>
      <c r="F868" s="30">
        <v>2</v>
      </c>
      <c r="G868" s="1" t="s">
        <v>1</v>
      </c>
      <c r="H868">
        <f t="shared" si="13"/>
        <v>10</v>
      </c>
    </row>
    <row r="869" spans="1:8" x14ac:dyDescent="0.25">
      <c r="A869" s="5">
        <v>44849</v>
      </c>
      <c r="B869" s="30">
        <v>7</v>
      </c>
      <c r="C869" s="30">
        <v>4</v>
      </c>
      <c r="D869" s="30">
        <v>6</v>
      </c>
      <c r="E869" s="30">
        <v>8</v>
      </c>
      <c r="F869" s="30">
        <v>4</v>
      </c>
      <c r="G869" s="1" t="s">
        <v>2</v>
      </c>
      <c r="H869">
        <f t="shared" si="13"/>
        <v>10</v>
      </c>
    </row>
    <row r="870" spans="1:8" x14ac:dyDescent="0.25">
      <c r="A870" s="5">
        <v>44850</v>
      </c>
      <c r="B870" s="30">
        <v>4</v>
      </c>
      <c r="C870" s="30">
        <v>3</v>
      </c>
      <c r="D870" s="30">
        <v>2</v>
      </c>
      <c r="E870" s="30">
        <v>8</v>
      </c>
      <c r="F870" s="30">
        <v>7</v>
      </c>
      <c r="G870" s="1" t="s">
        <v>0</v>
      </c>
      <c r="H870">
        <f t="shared" si="13"/>
        <v>10</v>
      </c>
    </row>
    <row r="871" spans="1:8" x14ac:dyDescent="0.25">
      <c r="A871" s="5">
        <v>44850</v>
      </c>
      <c r="B871" s="30">
        <v>0</v>
      </c>
      <c r="C871" s="30">
        <v>4</v>
      </c>
      <c r="D871" s="30">
        <v>3</v>
      </c>
      <c r="E871" s="30">
        <v>1</v>
      </c>
      <c r="F871" s="30">
        <v>4</v>
      </c>
      <c r="G871" s="1" t="s">
        <v>1</v>
      </c>
      <c r="H871">
        <f t="shared" si="13"/>
        <v>10</v>
      </c>
    </row>
    <row r="872" spans="1:8" x14ac:dyDescent="0.25">
      <c r="A872" s="5">
        <v>44850</v>
      </c>
      <c r="B872" s="30">
        <v>5</v>
      </c>
      <c r="C872" s="30">
        <v>4</v>
      </c>
      <c r="D872" s="30">
        <v>3</v>
      </c>
      <c r="E872" s="30">
        <v>3</v>
      </c>
      <c r="F872" s="30">
        <v>8</v>
      </c>
      <c r="G872" s="1" t="s">
        <v>2</v>
      </c>
      <c r="H872">
        <f t="shared" si="13"/>
        <v>10</v>
      </c>
    </row>
    <row r="873" spans="1:8" x14ac:dyDescent="0.25">
      <c r="A873" s="5">
        <v>44851</v>
      </c>
      <c r="B873" s="30">
        <v>0</v>
      </c>
      <c r="C873" s="30">
        <v>6</v>
      </c>
      <c r="D873" s="30">
        <v>4</v>
      </c>
      <c r="E873" s="30">
        <v>3</v>
      </c>
      <c r="F873" s="30">
        <v>3</v>
      </c>
      <c r="G873" s="1" t="s">
        <v>0</v>
      </c>
      <c r="H873">
        <f t="shared" si="13"/>
        <v>10</v>
      </c>
    </row>
    <row r="874" spans="1:8" x14ac:dyDescent="0.25">
      <c r="A874" s="5">
        <v>44851</v>
      </c>
      <c r="B874" s="30">
        <v>2</v>
      </c>
      <c r="C874" s="30">
        <v>3</v>
      </c>
      <c r="D874" s="30">
        <v>1</v>
      </c>
      <c r="E874" s="30">
        <v>4</v>
      </c>
      <c r="F874" s="30">
        <v>2</v>
      </c>
      <c r="G874" s="1" t="s">
        <v>1</v>
      </c>
      <c r="H874">
        <f t="shared" si="13"/>
        <v>10</v>
      </c>
    </row>
    <row r="875" spans="1:8" x14ac:dyDescent="0.25">
      <c r="A875" s="5">
        <v>44851</v>
      </c>
      <c r="B875" s="30">
        <v>5</v>
      </c>
      <c r="C875" s="30">
        <v>1</v>
      </c>
      <c r="D875" s="30">
        <v>7</v>
      </c>
      <c r="E875" s="30">
        <v>5</v>
      </c>
      <c r="F875" s="30">
        <v>3</v>
      </c>
      <c r="G875" s="1" t="s">
        <v>2</v>
      </c>
      <c r="H875">
        <f t="shared" si="13"/>
        <v>10</v>
      </c>
    </row>
    <row r="876" spans="1:8" x14ac:dyDescent="0.25">
      <c r="A876" s="5">
        <v>44852</v>
      </c>
      <c r="B876" s="30">
        <v>3</v>
      </c>
      <c r="C876" s="30">
        <v>2</v>
      </c>
      <c r="D876" s="30">
        <v>5</v>
      </c>
      <c r="E876" s="30">
        <v>0</v>
      </c>
      <c r="F876" s="30">
        <v>2</v>
      </c>
      <c r="G876" s="1" t="s">
        <v>0</v>
      </c>
      <c r="H876">
        <f t="shared" si="13"/>
        <v>10</v>
      </c>
    </row>
    <row r="877" spans="1:8" x14ac:dyDescent="0.25">
      <c r="A877" s="5">
        <v>44852</v>
      </c>
      <c r="B877" s="30">
        <v>3</v>
      </c>
      <c r="C877" s="30">
        <v>1</v>
      </c>
      <c r="D877" s="30">
        <v>4</v>
      </c>
      <c r="E877" s="30">
        <v>5</v>
      </c>
      <c r="F877" s="30">
        <v>2</v>
      </c>
      <c r="G877" s="1" t="s">
        <v>1</v>
      </c>
      <c r="H877">
        <f t="shared" si="13"/>
        <v>10</v>
      </c>
    </row>
    <row r="878" spans="1:8" x14ac:dyDescent="0.25">
      <c r="A878" s="5">
        <v>44852</v>
      </c>
      <c r="B878" s="30">
        <v>10</v>
      </c>
      <c r="C878" s="30">
        <v>4</v>
      </c>
      <c r="D878" s="30">
        <v>0</v>
      </c>
      <c r="E878" s="30">
        <v>0</v>
      </c>
      <c r="F878" s="30">
        <v>4</v>
      </c>
      <c r="G878" s="1" t="s">
        <v>2</v>
      </c>
      <c r="H878">
        <f t="shared" si="13"/>
        <v>10</v>
      </c>
    </row>
    <row r="879" spans="1:8" x14ac:dyDescent="0.25">
      <c r="A879" s="5">
        <v>44853</v>
      </c>
      <c r="B879" s="30">
        <v>10</v>
      </c>
      <c r="C879" s="30">
        <v>8</v>
      </c>
      <c r="D879" s="30">
        <v>5</v>
      </c>
      <c r="E879" s="30">
        <v>2</v>
      </c>
      <c r="F879" s="30">
        <v>5</v>
      </c>
      <c r="G879" s="1" t="s">
        <v>0</v>
      </c>
      <c r="H879">
        <f t="shared" si="13"/>
        <v>10</v>
      </c>
    </row>
    <row r="880" spans="1:8" x14ac:dyDescent="0.25">
      <c r="A880" s="5">
        <v>44853</v>
      </c>
      <c r="B880" s="30">
        <v>3</v>
      </c>
      <c r="C880" s="30">
        <v>4</v>
      </c>
      <c r="D880" s="30">
        <v>4</v>
      </c>
      <c r="E880" s="30">
        <v>9</v>
      </c>
      <c r="F880" s="30">
        <v>2</v>
      </c>
      <c r="G880" s="1" t="s">
        <v>1</v>
      </c>
      <c r="H880">
        <f t="shared" si="13"/>
        <v>10</v>
      </c>
    </row>
    <row r="881" spans="1:8" x14ac:dyDescent="0.25">
      <c r="A881" s="5">
        <v>44853</v>
      </c>
      <c r="B881" s="30">
        <v>4</v>
      </c>
      <c r="C881" s="30">
        <v>5</v>
      </c>
      <c r="D881" s="30">
        <v>5</v>
      </c>
      <c r="E881" s="30">
        <v>2</v>
      </c>
      <c r="F881" s="30">
        <v>1</v>
      </c>
      <c r="G881" s="1" t="s">
        <v>2</v>
      </c>
      <c r="H881">
        <f t="shared" si="13"/>
        <v>10</v>
      </c>
    </row>
    <row r="882" spans="1:8" x14ac:dyDescent="0.25">
      <c r="A882" s="5">
        <v>44854</v>
      </c>
      <c r="B882" s="30">
        <v>3</v>
      </c>
      <c r="C882" s="30">
        <v>2</v>
      </c>
      <c r="D882" s="30">
        <v>6</v>
      </c>
      <c r="E882" s="30">
        <v>10</v>
      </c>
      <c r="F882" s="30">
        <v>8</v>
      </c>
      <c r="G882" s="1" t="s">
        <v>0</v>
      </c>
      <c r="H882">
        <f t="shared" si="13"/>
        <v>10</v>
      </c>
    </row>
    <row r="883" spans="1:8" x14ac:dyDescent="0.25">
      <c r="A883" s="5">
        <v>44854</v>
      </c>
      <c r="B883" s="30">
        <v>1</v>
      </c>
      <c r="C883" s="30">
        <v>4</v>
      </c>
      <c r="D883" s="30">
        <v>7</v>
      </c>
      <c r="E883" s="30">
        <v>0</v>
      </c>
      <c r="F883" s="30">
        <v>4</v>
      </c>
      <c r="G883" s="1" t="s">
        <v>1</v>
      </c>
      <c r="H883">
        <f t="shared" si="13"/>
        <v>10</v>
      </c>
    </row>
    <row r="884" spans="1:8" x14ac:dyDescent="0.25">
      <c r="A884" s="5">
        <v>44854</v>
      </c>
      <c r="B884" s="30">
        <v>4</v>
      </c>
      <c r="C884" s="30">
        <v>4</v>
      </c>
      <c r="D884" s="30">
        <v>6</v>
      </c>
      <c r="E884" s="30">
        <v>5</v>
      </c>
      <c r="F884" s="30">
        <v>7</v>
      </c>
      <c r="G884" s="1" t="s">
        <v>2</v>
      </c>
      <c r="H884">
        <f t="shared" si="13"/>
        <v>10</v>
      </c>
    </row>
    <row r="885" spans="1:8" x14ac:dyDescent="0.25">
      <c r="A885" s="5">
        <v>44855</v>
      </c>
      <c r="B885" s="30">
        <v>5</v>
      </c>
      <c r="C885" s="30">
        <v>2</v>
      </c>
      <c r="D885" s="30">
        <v>2</v>
      </c>
      <c r="E885" s="30">
        <v>4</v>
      </c>
      <c r="F885" s="30">
        <v>8</v>
      </c>
      <c r="G885" s="1" t="s">
        <v>0</v>
      </c>
      <c r="H885">
        <f t="shared" si="13"/>
        <v>10</v>
      </c>
    </row>
    <row r="886" spans="1:8" x14ac:dyDescent="0.25">
      <c r="A886" s="5">
        <v>44855</v>
      </c>
      <c r="B886" s="30">
        <v>3</v>
      </c>
      <c r="C886" s="30">
        <v>6</v>
      </c>
      <c r="D886" s="30">
        <v>2</v>
      </c>
      <c r="E886" s="30">
        <v>4</v>
      </c>
      <c r="F886" s="30">
        <v>3</v>
      </c>
      <c r="G886" s="1" t="s">
        <v>1</v>
      </c>
      <c r="H886">
        <f t="shared" si="13"/>
        <v>10</v>
      </c>
    </row>
    <row r="887" spans="1:8" x14ac:dyDescent="0.25">
      <c r="A887" s="5">
        <v>44855</v>
      </c>
      <c r="B887" s="30">
        <v>8</v>
      </c>
      <c r="C887" s="30">
        <v>2</v>
      </c>
      <c r="D887" s="30">
        <v>4</v>
      </c>
      <c r="E887" s="30">
        <v>6</v>
      </c>
      <c r="F887" s="30">
        <v>4</v>
      </c>
      <c r="G887" s="1" t="s">
        <v>2</v>
      </c>
      <c r="H887">
        <f t="shared" si="13"/>
        <v>10</v>
      </c>
    </row>
    <row r="888" spans="1:8" x14ac:dyDescent="0.25">
      <c r="A888" s="5">
        <v>44856</v>
      </c>
      <c r="B888" s="30">
        <v>1</v>
      </c>
      <c r="C888" s="30">
        <v>4</v>
      </c>
      <c r="D888" s="30">
        <v>10</v>
      </c>
      <c r="E888" s="30">
        <v>3</v>
      </c>
      <c r="F888" s="30">
        <v>6</v>
      </c>
      <c r="G888" s="1" t="s">
        <v>0</v>
      </c>
      <c r="H888">
        <f t="shared" si="13"/>
        <v>10</v>
      </c>
    </row>
    <row r="889" spans="1:8" x14ac:dyDescent="0.25">
      <c r="A889" s="5">
        <v>44856</v>
      </c>
      <c r="B889" s="30">
        <v>3</v>
      </c>
      <c r="C889" s="30">
        <v>0</v>
      </c>
      <c r="D889" s="30">
        <v>3</v>
      </c>
      <c r="E889" s="30">
        <v>4</v>
      </c>
      <c r="F889" s="30">
        <v>7</v>
      </c>
      <c r="G889" s="1" t="s">
        <v>1</v>
      </c>
      <c r="H889">
        <f t="shared" si="13"/>
        <v>10</v>
      </c>
    </row>
    <row r="890" spans="1:8" x14ac:dyDescent="0.25">
      <c r="A890" s="5">
        <v>44856</v>
      </c>
      <c r="B890" s="30">
        <v>1</v>
      </c>
      <c r="C890" s="30">
        <v>1</v>
      </c>
      <c r="D890" s="30">
        <v>4</v>
      </c>
      <c r="E890" s="30">
        <v>4</v>
      </c>
      <c r="F890" s="30">
        <v>6</v>
      </c>
      <c r="G890" s="1" t="s">
        <v>2</v>
      </c>
      <c r="H890">
        <f t="shared" si="13"/>
        <v>10</v>
      </c>
    </row>
    <row r="891" spans="1:8" x14ac:dyDescent="0.25">
      <c r="A891" s="5">
        <v>44857</v>
      </c>
      <c r="B891" s="30">
        <v>2</v>
      </c>
      <c r="C891" s="30">
        <v>8</v>
      </c>
      <c r="D891" s="30">
        <v>4</v>
      </c>
      <c r="E891" s="30">
        <v>3</v>
      </c>
      <c r="F891" s="30">
        <v>2</v>
      </c>
      <c r="G891" s="1" t="s">
        <v>0</v>
      </c>
      <c r="H891">
        <f t="shared" si="13"/>
        <v>10</v>
      </c>
    </row>
    <row r="892" spans="1:8" x14ac:dyDescent="0.25">
      <c r="A892" s="5">
        <v>44857</v>
      </c>
      <c r="B892" s="30">
        <v>2</v>
      </c>
      <c r="C892" s="30">
        <v>4</v>
      </c>
      <c r="D892" s="30">
        <v>0</v>
      </c>
      <c r="E892" s="30">
        <v>2</v>
      </c>
      <c r="F892" s="30">
        <v>7</v>
      </c>
      <c r="G892" s="1" t="s">
        <v>1</v>
      </c>
      <c r="H892">
        <f t="shared" si="13"/>
        <v>10</v>
      </c>
    </row>
    <row r="893" spans="1:8" x14ac:dyDescent="0.25">
      <c r="A893" s="5">
        <v>44857</v>
      </c>
      <c r="B893" s="30">
        <v>5</v>
      </c>
      <c r="C893" s="30">
        <v>4</v>
      </c>
      <c r="D893" s="30">
        <v>6</v>
      </c>
      <c r="E893" s="30">
        <v>6</v>
      </c>
      <c r="F893" s="30">
        <v>2</v>
      </c>
      <c r="G893" s="1" t="s">
        <v>2</v>
      </c>
      <c r="H893">
        <f t="shared" si="13"/>
        <v>10</v>
      </c>
    </row>
    <row r="894" spans="1:8" x14ac:dyDescent="0.25">
      <c r="A894" s="5">
        <v>44858</v>
      </c>
      <c r="B894" s="30">
        <v>0</v>
      </c>
      <c r="C894" s="30">
        <v>2</v>
      </c>
      <c r="D894" s="30">
        <v>8</v>
      </c>
      <c r="E894" s="30">
        <v>2</v>
      </c>
      <c r="F894" s="30">
        <v>4</v>
      </c>
      <c r="G894" s="1" t="s">
        <v>0</v>
      </c>
      <c r="H894">
        <f t="shared" si="13"/>
        <v>10</v>
      </c>
    </row>
    <row r="895" spans="1:8" x14ac:dyDescent="0.25">
      <c r="A895" s="5">
        <v>44858</v>
      </c>
      <c r="B895" s="30">
        <v>6</v>
      </c>
      <c r="C895" s="30">
        <v>6</v>
      </c>
      <c r="D895" s="30">
        <v>3</v>
      </c>
      <c r="E895" s="30">
        <v>8</v>
      </c>
      <c r="F895" s="30">
        <v>2</v>
      </c>
      <c r="G895" s="1" t="s">
        <v>1</v>
      </c>
      <c r="H895">
        <f t="shared" si="13"/>
        <v>10</v>
      </c>
    </row>
    <row r="896" spans="1:8" x14ac:dyDescent="0.25">
      <c r="A896" s="5">
        <v>44858</v>
      </c>
      <c r="B896" s="30">
        <v>4</v>
      </c>
      <c r="C896" s="30">
        <v>0</v>
      </c>
      <c r="D896" s="30">
        <v>3</v>
      </c>
      <c r="E896" s="30">
        <v>1</v>
      </c>
      <c r="F896" s="30">
        <v>4</v>
      </c>
      <c r="G896" s="1" t="s">
        <v>2</v>
      </c>
      <c r="H896">
        <f t="shared" si="13"/>
        <v>10</v>
      </c>
    </row>
    <row r="897" spans="1:8" x14ac:dyDescent="0.25">
      <c r="A897" s="5">
        <v>44859</v>
      </c>
      <c r="B897" s="30">
        <v>4</v>
      </c>
      <c r="C897" s="30">
        <v>2</v>
      </c>
      <c r="D897" s="30">
        <v>4</v>
      </c>
      <c r="E897" s="30">
        <v>2</v>
      </c>
      <c r="F897" s="30">
        <v>1</v>
      </c>
      <c r="G897" s="1" t="s">
        <v>0</v>
      </c>
      <c r="H897">
        <f t="shared" si="13"/>
        <v>10</v>
      </c>
    </row>
    <row r="898" spans="1:8" x14ac:dyDescent="0.25">
      <c r="A898" s="5">
        <v>44859</v>
      </c>
      <c r="B898" s="30">
        <v>1</v>
      </c>
      <c r="C898" s="30">
        <v>1</v>
      </c>
      <c r="D898" s="30">
        <v>4</v>
      </c>
      <c r="E898" s="30">
        <v>6</v>
      </c>
      <c r="F898" s="30">
        <v>8</v>
      </c>
      <c r="G898" s="1" t="s">
        <v>1</v>
      </c>
      <c r="H898">
        <f t="shared" si="13"/>
        <v>10</v>
      </c>
    </row>
    <row r="899" spans="1:8" x14ac:dyDescent="0.25">
      <c r="A899" s="5">
        <v>44859</v>
      </c>
      <c r="B899" s="30">
        <v>5</v>
      </c>
      <c r="C899" s="30">
        <v>5</v>
      </c>
      <c r="D899" s="30">
        <v>7</v>
      </c>
      <c r="E899" s="30">
        <v>3</v>
      </c>
      <c r="F899" s="30">
        <v>7</v>
      </c>
      <c r="G899" s="1" t="s">
        <v>2</v>
      </c>
      <c r="H899">
        <f t="shared" si="13"/>
        <v>10</v>
      </c>
    </row>
    <row r="900" spans="1:8" x14ac:dyDescent="0.25">
      <c r="A900" s="5">
        <v>44860</v>
      </c>
      <c r="B900" s="30">
        <v>3</v>
      </c>
      <c r="C900" s="30">
        <v>8</v>
      </c>
      <c r="D900" s="30">
        <v>5</v>
      </c>
      <c r="E900" s="30">
        <v>3</v>
      </c>
      <c r="F900" s="30">
        <v>5</v>
      </c>
      <c r="G900" s="1" t="s">
        <v>0</v>
      </c>
      <c r="H900">
        <f t="shared" ref="H900:H963" si="14">MONTH(A900)</f>
        <v>10</v>
      </c>
    </row>
    <row r="901" spans="1:8" x14ac:dyDescent="0.25">
      <c r="A901" s="5">
        <v>44860</v>
      </c>
      <c r="B901" s="30">
        <v>7</v>
      </c>
      <c r="C901" s="30">
        <v>4</v>
      </c>
      <c r="D901" s="30">
        <v>1</v>
      </c>
      <c r="E901" s="30">
        <v>3</v>
      </c>
      <c r="F901" s="30">
        <v>1</v>
      </c>
      <c r="G901" s="1" t="s">
        <v>1</v>
      </c>
      <c r="H901">
        <f t="shared" si="14"/>
        <v>10</v>
      </c>
    </row>
    <row r="902" spans="1:8" x14ac:dyDescent="0.25">
      <c r="A902" s="5">
        <v>44860</v>
      </c>
      <c r="B902" s="30">
        <v>0</v>
      </c>
      <c r="C902" s="30">
        <v>6</v>
      </c>
      <c r="D902" s="30">
        <v>4</v>
      </c>
      <c r="E902" s="30">
        <v>4</v>
      </c>
      <c r="F902" s="30">
        <v>1</v>
      </c>
      <c r="G902" s="1" t="s">
        <v>2</v>
      </c>
      <c r="H902">
        <f t="shared" si="14"/>
        <v>10</v>
      </c>
    </row>
    <row r="903" spans="1:8" x14ac:dyDescent="0.25">
      <c r="A903" s="5">
        <v>44861</v>
      </c>
      <c r="B903" s="30">
        <v>0</v>
      </c>
      <c r="C903" s="30">
        <v>8</v>
      </c>
      <c r="D903" s="30">
        <v>3</v>
      </c>
      <c r="E903" s="30">
        <v>4</v>
      </c>
      <c r="F903" s="30">
        <v>9</v>
      </c>
      <c r="G903" s="1" t="s">
        <v>0</v>
      </c>
      <c r="H903">
        <f t="shared" si="14"/>
        <v>10</v>
      </c>
    </row>
    <row r="904" spans="1:8" x14ac:dyDescent="0.25">
      <c r="A904" s="5">
        <v>44861</v>
      </c>
      <c r="B904" s="30">
        <v>3</v>
      </c>
      <c r="C904" s="30">
        <v>9</v>
      </c>
      <c r="D904" s="30">
        <v>8</v>
      </c>
      <c r="E904" s="30">
        <v>1</v>
      </c>
      <c r="F904" s="30">
        <v>4</v>
      </c>
      <c r="G904" s="1" t="s">
        <v>1</v>
      </c>
      <c r="H904">
        <f t="shared" si="14"/>
        <v>10</v>
      </c>
    </row>
    <row r="905" spans="1:8" x14ac:dyDescent="0.25">
      <c r="A905" s="5">
        <v>44861</v>
      </c>
      <c r="B905" s="30">
        <v>1</v>
      </c>
      <c r="C905" s="30">
        <v>3</v>
      </c>
      <c r="D905" s="30">
        <v>4</v>
      </c>
      <c r="E905" s="30">
        <v>6</v>
      </c>
      <c r="F905" s="30">
        <v>2</v>
      </c>
      <c r="G905" s="1" t="s">
        <v>2</v>
      </c>
      <c r="H905">
        <f t="shared" si="14"/>
        <v>10</v>
      </c>
    </row>
    <row r="906" spans="1:8" x14ac:dyDescent="0.25">
      <c r="A906" s="5">
        <v>44862</v>
      </c>
      <c r="B906" s="30">
        <v>5</v>
      </c>
      <c r="C906" s="30">
        <v>5</v>
      </c>
      <c r="D906" s="30">
        <v>3</v>
      </c>
      <c r="E906" s="30">
        <v>3</v>
      </c>
      <c r="F906" s="30">
        <v>4</v>
      </c>
      <c r="G906" s="1" t="s">
        <v>0</v>
      </c>
      <c r="H906">
        <f t="shared" si="14"/>
        <v>10</v>
      </c>
    </row>
    <row r="907" spans="1:8" x14ac:dyDescent="0.25">
      <c r="A907" s="5">
        <v>44862</v>
      </c>
      <c r="B907" s="30">
        <v>0</v>
      </c>
      <c r="C907" s="30">
        <v>3</v>
      </c>
      <c r="D907" s="30">
        <v>1</v>
      </c>
      <c r="E907" s="30">
        <v>3</v>
      </c>
      <c r="F907" s="30">
        <v>3</v>
      </c>
      <c r="G907" s="1" t="s">
        <v>1</v>
      </c>
      <c r="H907">
        <f t="shared" si="14"/>
        <v>10</v>
      </c>
    </row>
    <row r="908" spans="1:8" x14ac:dyDescent="0.25">
      <c r="A908" s="5">
        <v>44862</v>
      </c>
      <c r="B908" s="30">
        <v>4</v>
      </c>
      <c r="C908" s="30">
        <v>1</v>
      </c>
      <c r="D908" s="30">
        <v>5</v>
      </c>
      <c r="E908" s="30">
        <v>1</v>
      </c>
      <c r="F908" s="30">
        <v>6</v>
      </c>
      <c r="G908" s="1" t="s">
        <v>2</v>
      </c>
      <c r="H908">
        <f t="shared" si="14"/>
        <v>10</v>
      </c>
    </row>
    <row r="909" spans="1:8" x14ac:dyDescent="0.25">
      <c r="A909" s="5">
        <v>44863</v>
      </c>
      <c r="B909" s="30">
        <v>1</v>
      </c>
      <c r="C909" s="30">
        <v>4</v>
      </c>
      <c r="D909" s="30">
        <v>8</v>
      </c>
      <c r="E909" s="30">
        <v>1</v>
      </c>
      <c r="F909" s="30">
        <v>4</v>
      </c>
      <c r="G909" s="1" t="s">
        <v>0</v>
      </c>
      <c r="H909">
        <f t="shared" si="14"/>
        <v>10</v>
      </c>
    </row>
    <row r="910" spans="1:8" x14ac:dyDescent="0.25">
      <c r="A910" s="5">
        <v>44863</v>
      </c>
      <c r="B910" s="30">
        <v>4</v>
      </c>
      <c r="C910" s="30">
        <v>4</v>
      </c>
      <c r="D910" s="30">
        <v>8</v>
      </c>
      <c r="E910" s="30">
        <v>3</v>
      </c>
      <c r="F910" s="30">
        <v>0</v>
      </c>
      <c r="G910" s="1" t="s">
        <v>1</v>
      </c>
      <c r="H910">
        <f t="shared" si="14"/>
        <v>10</v>
      </c>
    </row>
    <row r="911" spans="1:8" x14ac:dyDescent="0.25">
      <c r="A911" s="5">
        <v>44863</v>
      </c>
      <c r="B911" s="30">
        <v>7</v>
      </c>
      <c r="C911" s="30">
        <v>2</v>
      </c>
      <c r="D911" s="30">
        <v>4</v>
      </c>
      <c r="E911" s="30">
        <v>0</v>
      </c>
      <c r="F911" s="30">
        <v>8</v>
      </c>
      <c r="G911" s="1" t="s">
        <v>2</v>
      </c>
      <c r="H911">
        <f t="shared" si="14"/>
        <v>10</v>
      </c>
    </row>
    <row r="912" spans="1:8" x14ac:dyDescent="0.25">
      <c r="A912" s="5">
        <v>44864</v>
      </c>
      <c r="B912" s="30">
        <v>3</v>
      </c>
      <c r="C912" s="30">
        <v>1</v>
      </c>
      <c r="D912" s="30">
        <v>3</v>
      </c>
      <c r="E912" s="30">
        <v>7</v>
      </c>
      <c r="F912" s="30">
        <v>9</v>
      </c>
      <c r="G912" s="1" t="s">
        <v>0</v>
      </c>
      <c r="H912">
        <f t="shared" si="14"/>
        <v>10</v>
      </c>
    </row>
    <row r="913" spans="1:8" x14ac:dyDescent="0.25">
      <c r="A913" s="5">
        <v>44864</v>
      </c>
      <c r="B913" s="30">
        <v>3</v>
      </c>
      <c r="C913" s="30">
        <v>1</v>
      </c>
      <c r="D913" s="30">
        <v>9</v>
      </c>
      <c r="E913" s="30">
        <v>4</v>
      </c>
      <c r="F913" s="30">
        <v>3</v>
      </c>
      <c r="G913" s="1" t="s">
        <v>1</v>
      </c>
      <c r="H913">
        <f t="shared" si="14"/>
        <v>10</v>
      </c>
    </row>
    <row r="914" spans="1:8" x14ac:dyDescent="0.25">
      <c r="A914" s="5">
        <v>44864</v>
      </c>
      <c r="B914" s="30">
        <v>4</v>
      </c>
      <c r="C914" s="30">
        <v>4</v>
      </c>
      <c r="D914" s="30">
        <v>1</v>
      </c>
      <c r="E914" s="30">
        <v>7</v>
      </c>
      <c r="F914" s="30">
        <v>2</v>
      </c>
      <c r="G914" s="1" t="s">
        <v>2</v>
      </c>
      <c r="H914">
        <f t="shared" si="14"/>
        <v>10</v>
      </c>
    </row>
    <row r="915" spans="1:8" x14ac:dyDescent="0.25">
      <c r="A915" s="5">
        <v>44865</v>
      </c>
      <c r="B915" s="30">
        <v>3</v>
      </c>
      <c r="C915" s="30">
        <v>5</v>
      </c>
      <c r="D915" s="30">
        <v>10</v>
      </c>
      <c r="E915" s="30">
        <v>5</v>
      </c>
      <c r="F915" s="30">
        <v>5</v>
      </c>
      <c r="G915" s="1" t="s">
        <v>0</v>
      </c>
      <c r="H915">
        <f t="shared" si="14"/>
        <v>10</v>
      </c>
    </row>
    <row r="916" spans="1:8" x14ac:dyDescent="0.25">
      <c r="A916" s="5">
        <v>44865</v>
      </c>
      <c r="B916" s="30">
        <v>0</v>
      </c>
      <c r="C916" s="30">
        <v>8</v>
      </c>
      <c r="D916" s="30">
        <v>3</v>
      </c>
      <c r="E916" s="30">
        <v>5</v>
      </c>
      <c r="F916" s="30">
        <v>1</v>
      </c>
      <c r="G916" s="1" t="s">
        <v>1</v>
      </c>
      <c r="H916">
        <f t="shared" si="14"/>
        <v>10</v>
      </c>
    </row>
    <row r="917" spans="1:8" x14ac:dyDescent="0.25">
      <c r="A917" s="5">
        <v>44865</v>
      </c>
      <c r="B917" s="30">
        <v>1</v>
      </c>
      <c r="C917" s="30">
        <v>2</v>
      </c>
      <c r="D917" s="30">
        <v>5</v>
      </c>
      <c r="E917" s="30">
        <v>6</v>
      </c>
      <c r="F917" s="30">
        <v>4</v>
      </c>
      <c r="G917" s="1" t="s">
        <v>2</v>
      </c>
      <c r="H917">
        <f t="shared" si="14"/>
        <v>10</v>
      </c>
    </row>
    <row r="918" spans="1:8" x14ac:dyDescent="0.25">
      <c r="A918" s="5">
        <v>44866</v>
      </c>
      <c r="B918" s="30">
        <v>8</v>
      </c>
      <c r="C918" s="30">
        <v>1</v>
      </c>
      <c r="D918" s="30">
        <v>0</v>
      </c>
      <c r="E918" s="30">
        <v>0</v>
      </c>
      <c r="F918" s="30">
        <v>1</v>
      </c>
      <c r="G918" s="1" t="s">
        <v>0</v>
      </c>
      <c r="H918">
        <f t="shared" si="14"/>
        <v>11</v>
      </c>
    </row>
    <row r="919" spans="1:8" x14ac:dyDescent="0.25">
      <c r="A919" s="5">
        <v>44866</v>
      </c>
      <c r="B919" s="30">
        <v>8</v>
      </c>
      <c r="C919" s="30">
        <v>5</v>
      </c>
      <c r="D919" s="30">
        <v>7</v>
      </c>
      <c r="E919" s="30">
        <v>4</v>
      </c>
      <c r="F919" s="30">
        <v>1</v>
      </c>
      <c r="G919" s="1" t="s">
        <v>1</v>
      </c>
      <c r="H919">
        <f t="shared" si="14"/>
        <v>11</v>
      </c>
    </row>
    <row r="920" spans="1:8" x14ac:dyDescent="0.25">
      <c r="A920" s="5">
        <v>44866</v>
      </c>
      <c r="B920" s="30">
        <v>8</v>
      </c>
      <c r="C920" s="30">
        <v>3</v>
      </c>
      <c r="D920" s="30">
        <v>9</v>
      </c>
      <c r="E920" s="30">
        <v>3</v>
      </c>
      <c r="F920" s="30">
        <v>4</v>
      </c>
      <c r="G920" s="1" t="s">
        <v>2</v>
      </c>
      <c r="H920">
        <f t="shared" si="14"/>
        <v>11</v>
      </c>
    </row>
    <row r="921" spans="1:8" x14ac:dyDescent="0.25">
      <c r="A921" s="5">
        <v>44867</v>
      </c>
      <c r="B921" s="30">
        <v>6</v>
      </c>
      <c r="C921" s="30">
        <v>3</v>
      </c>
      <c r="D921" s="30">
        <v>5</v>
      </c>
      <c r="E921" s="30">
        <v>6</v>
      </c>
      <c r="F921" s="30">
        <v>0</v>
      </c>
      <c r="G921" s="1" t="s">
        <v>0</v>
      </c>
      <c r="H921">
        <f t="shared" si="14"/>
        <v>11</v>
      </c>
    </row>
    <row r="922" spans="1:8" x14ac:dyDescent="0.25">
      <c r="A922" s="5">
        <v>44867</v>
      </c>
      <c r="B922" s="30">
        <v>3</v>
      </c>
      <c r="C922" s="30">
        <v>4</v>
      </c>
      <c r="D922" s="30">
        <v>0</v>
      </c>
      <c r="E922" s="30">
        <v>2</v>
      </c>
      <c r="F922" s="30">
        <v>4</v>
      </c>
      <c r="G922" s="1" t="s">
        <v>1</v>
      </c>
      <c r="H922">
        <f t="shared" si="14"/>
        <v>11</v>
      </c>
    </row>
    <row r="923" spans="1:8" x14ac:dyDescent="0.25">
      <c r="A923" s="5">
        <v>44867</v>
      </c>
      <c r="B923" s="30">
        <v>3</v>
      </c>
      <c r="C923" s="30">
        <v>8</v>
      </c>
      <c r="D923" s="30">
        <v>1</v>
      </c>
      <c r="E923" s="30">
        <v>0</v>
      </c>
      <c r="F923" s="30">
        <v>8</v>
      </c>
      <c r="G923" s="1" t="s">
        <v>2</v>
      </c>
      <c r="H923">
        <f t="shared" si="14"/>
        <v>11</v>
      </c>
    </row>
    <row r="924" spans="1:8" x14ac:dyDescent="0.25">
      <c r="A924" s="5">
        <v>44868</v>
      </c>
      <c r="B924" s="30">
        <v>9</v>
      </c>
      <c r="C924" s="30">
        <v>2</v>
      </c>
      <c r="D924" s="30">
        <v>2</v>
      </c>
      <c r="E924" s="30">
        <v>7</v>
      </c>
      <c r="F924" s="30">
        <v>3</v>
      </c>
      <c r="G924" s="1" t="s">
        <v>0</v>
      </c>
      <c r="H924">
        <f t="shared" si="14"/>
        <v>11</v>
      </c>
    </row>
    <row r="925" spans="1:8" x14ac:dyDescent="0.25">
      <c r="A925" s="5">
        <v>44868</v>
      </c>
      <c r="B925" s="30">
        <v>0</v>
      </c>
      <c r="C925" s="30">
        <v>2</v>
      </c>
      <c r="D925" s="30">
        <v>9</v>
      </c>
      <c r="E925" s="30">
        <v>0</v>
      </c>
      <c r="F925" s="30">
        <v>5</v>
      </c>
      <c r="G925" s="1" t="s">
        <v>1</v>
      </c>
      <c r="H925">
        <f t="shared" si="14"/>
        <v>11</v>
      </c>
    </row>
    <row r="926" spans="1:8" x14ac:dyDescent="0.25">
      <c r="A926" s="5">
        <v>44868</v>
      </c>
      <c r="B926" s="30">
        <v>1</v>
      </c>
      <c r="C926" s="30">
        <v>2</v>
      </c>
      <c r="D926" s="30">
        <v>8</v>
      </c>
      <c r="E926" s="30">
        <v>2</v>
      </c>
      <c r="F926" s="30">
        <v>3</v>
      </c>
      <c r="G926" s="1" t="s">
        <v>2</v>
      </c>
      <c r="H926">
        <f t="shared" si="14"/>
        <v>11</v>
      </c>
    </row>
    <row r="927" spans="1:8" x14ac:dyDescent="0.25">
      <c r="A927" s="5">
        <v>44869</v>
      </c>
      <c r="B927" s="30">
        <v>2</v>
      </c>
      <c r="C927" s="30">
        <v>1</v>
      </c>
      <c r="D927" s="30">
        <v>9</v>
      </c>
      <c r="E927" s="30">
        <v>1</v>
      </c>
      <c r="F927" s="30">
        <v>6</v>
      </c>
      <c r="G927" s="1" t="s">
        <v>0</v>
      </c>
      <c r="H927">
        <f t="shared" si="14"/>
        <v>11</v>
      </c>
    </row>
    <row r="928" spans="1:8" x14ac:dyDescent="0.25">
      <c r="A928" s="5">
        <v>44869</v>
      </c>
      <c r="B928" s="30">
        <v>7</v>
      </c>
      <c r="C928" s="30">
        <v>7</v>
      </c>
      <c r="D928" s="30">
        <v>3</v>
      </c>
      <c r="E928" s="30">
        <v>2</v>
      </c>
      <c r="F928" s="30">
        <v>2</v>
      </c>
      <c r="G928" s="1" t="s">
        <v>1</v>
      </c>
      <c r="H928">
        <f t="shared" si="14"/>
        <v>11</v>
      </c>
    </row>
    <row r="929" spans="1:8" x14ac:dyDescent="0.25">
      <c r="A929" s="5">
        <v>44869</v>
      </c>
      <c r="B929" s="30">
        <v>4</v>
      </c>
      <c r="C929" s="30">
        <v>5</v>
      </c>
      <c r="D929" s="30">
        <v>8</v>
      </c>
      <c r="E929" s="30">
        <v>7</v>
      </c>
      <c r="F929" s="30">
        <v>3</v>
      </c>
      <c r="G929" s="1" t="s">
        <v>2</v>
      </c>
      <c r="H929">
        <f t="shared" si="14"/>
        <v>11</v>
      </c>
    </row>
    <row r="930" spans="1:8" x14ac:dyDescent="0.25">
      <c r="A930" s="5">
        <v>44870</v>
      </c>
      <c r="B930" s="30">
        <v>8</v>
      </c>
      <c r="C930" s="30">
        <v>4</v>
      </c>
      <c r="D930" s="30">
        <v>8</v>
      </c>
      <c r="E930" s="30">
        <v>0</v>
      </c>
      <c r="F930" s="30">
        <v>2</v>
      </c>
      <c r="G930" s="1" t="s">
        <v>0</v>
      </c>
      <c r="H930">
        <f t="shared" si="14"/>
        <v>11</v>
      </c>
    </row>
    <row r="931" spans="1:8" x14ac:dyDescent="0.25">
      <c r="A931" s="5">
        <v>44870</v>
      </c>
      <c r="B931" s="30">
        <v>5</v>
      </c>
      <c r="C931" s="30">
        <v>8</v>
      </c>
      <c r="D931" s="30">
        <v>5</v>
      </c>
      <c r="E931" s="30">
        <v>2</v>
      </c>
      <c r="F931" s="30">
        <v>7</v>
      </c>
      <c r="G931" s="1" t="s">
        <v>1</v>
      </c>
      <c r="H931">
        <f t="shared" si="14"/>
        <v>11</v>
      </c>
    </row>
    <row r="932" spans="1:8" x14ac:dyDescent="0.25">
      <c r="A932" s="5">
        <v>44870</v>
      </c>
      <c r="B932" s="30">
        <v>10</v>
      </c>
      <c r="C932" s="30">
        <v>2</v>
      </c>
      <c r="D932" s="30">
        <v>0</v>
      </c>
      <c r="E932" s="30">
        <v>2</v>
      </c>
      <c r="F932" s="30">
        <v>3</v>
      </c>
      <c r="G932" s="1" t="s">
        <v>2</v>
      </c>
      <c r="H932">
        <f t="shared" si="14"/>
        <v>11</v>
      </c>
    </row>
    <row r="933" spans="1:8" x14ac:dyDescent="0.25">
      <c r="A933" s="5">
        <v>44871</v>
      </c>
      <c r="B933" s="30">
        <v>4</v>
      </c>
      <c r="C933" s="30">
        <v>3</v>
      </c>
      <c r="D933" s="30">
        <v>2</v>
      </c>
      <c r="E933" s="30">
        <v>3</v>
      </c>
      <c r="F933" s="30">
        <v>4</v>
      </c>
      <c r="G933" s="1" t="s">
        <v>0</v>
      </c>
      <c r="H933">
        <f t="shared" si="14"/>
        <v>11</v>
      </c>
    </row>
    <row r="934" spans="1:8" x14ac:dyDescent="0.25">
      <c r="A934" s="5">
        <v>44871</v>
      </c>
      <c r="B934" s="30">
        <v>3</v>
      </c>
      <c r="C934" s="30">
        <v>3</v>
      </c>
      <c r="D934" s="30">
        <v>0</v>
      </c>
      <c r="E934" s="30">
        <v>5</v>
      </c>
      <c r="F934" s="30">
        <v>10</v>
      </c>
      <c r="G934" s="1" t="s">
        <v>1</v>
      </c>
      <c r="H934">
        <f t="shared" si="14"/>
        <v>11</v>
      </c>
    </row>
    <row r="935" spans="1:8" x14ac:dyDescent="0.25">
      <c r="A935" s="5">
        <v>44871</v>
      </c>
      <c r="B935" s="30">
        <v>1</v>
      </c>
      <c r="C935" s="30">
        <v>10</v>
      </c>
      <c r="D935" s="30">
        <v>5</v>
      </c>
      <c r="E935" s="30">
        <v>7</v>
      </c>
      <c r="F935" s="30">
        <v>4</v>
      </c>
      <c r="G935" s="1" t="s">
        <v>2</v>
      </c>
      <c r="H935">
        <f t="shared" si="14"/>
        <v>11</v>
      </c>
    </row>
    <row r="936" spans="1:8" x14ac:dyDescent="0.25">
      <c r="A936" s="5">
        <v>44872</v>
      </c>
      <c r="B936" s="30">
        <v>3</v>
      </c>
      <c r="C936" s="30">
        <v>4</v>
      </c>
      <c r="D936" s="30">
        <v>1</v>
      </c>
      <c r="E936" s="30">
        <v>3</v>
      </c>
      <c r="F936" s="30">
        <v>0</v>
      </c>
      <c r="G936" s="1" t="s">
        <v>0</v>
      </c>
      <c r="H936">
        <f t="shared" si="14"/>
        <v>11</v>
      </c>
    </row>
    <row r="937" spans="1:8" x14ac:dyDescent="0.25">
      <c r="A937" s="5">
        <v>44872</v>
      </c>
      <c r="B937" s="30">
        <v>1</v>
      </c>
      <c r="C937" s="30">
        <v>0</v>
      </c>
      <c r="D937" s="30">
        <v>5</v>
      </c>
      <c r="E937" s="30">
        <v>3</v>
      </c>
      <c r="F937" s="30">
        <v>1</v>
      </c>
      <c r="G937" s="1" t="s">
        <v>1</v>
      </c>
      <c r="H937">
        <f t="shared" si="14"/>
        <v>11</v>
      </c>
    </row>
    <row r="938" spans="1:8" x14ac:dyDescent="0.25">
      <c r="A938" s="5">
        <v>44872</v>
      </c>
      <c r="B938" s="30">
        <v>4</v>
      </c>
      <c r="C938" s="30">
        <v>4</v>
      </c>
      <c r="D938" s="30">
        <v>9</v>
      </c>
      <c r="E938" s="30">
        <v>7</v>
      </c>
      <c r="F938" s="30">
        <v>0</v>
      </c>
      <c r="G938" s="1" t="s">
        <v>2</v>
      </c>
      <c r="H938">
        <f t="shared" si="14"/>
        <v>11</v>
      </c>
    </row>
    <row r="939" spans="1:8" x14ac:dyDescent="0.25">
      <c r="A939" s="5">
        <v>44873</v>
      </c>
      <c r="B939" s="30">
        <v>3</v>
      </c>
      <c r="C939" s="30">
        <v>8</v>
      </c>
      <c r="D939" s="30">
        <v>6</v>
      </c>
      <c r="E939" s="30">
        <v>4</v>
      </c>
      <c r="F939" s="30">
        <v>4</v>
      </c>
      <c r="G939" s="1" t="s">
        <v>0</v>
      </c>
      <c r="H939">
        <f t="shared" si="14"/>
        <v>11</v>
      </c>
    </row>
    <row r="940" spans="1:8" x14ac:dyDescent="0.25">
      <c r="A940" s="5">
        <v>44873</v>
      </c>
      <c r="B940" s="30">
        <v>2</v>
      </c>
      <c r="C940" s="30">
        <v>2</v>
      </c>
      <c r="D940" s="30">
        <v>4</v>
      </c>
      <c r="E940" s="30">
        <v>10</v>
      </c>
      <c r="F940" s="30">
        <v>1</v>
      </c>
      <c r="G940" s="1" t="s">
        <v>1</v>
      </c>
      <c r="H940">
        <f t="shared" si="14"/>
        <v>11</v>
      </c>
    </row>
    <row r="941" spans="1:8" x14ac:dyDescent="0.25">
      <c r="A941" s="5">
        <v>44873</v>
      </c>
      <c r="B941" s="30">
        <v>3</v>
      </c>
      <c r="C941" s="30">
        <v>4</v>
      </c>
      <c r="D941" s="30">
        <v>5</v>
      </c>
      <c r="E941" s="30">
        <v>2</v>
      </c>
      <c r="F941" s="30">
        <v>5</v>
      </c>
      <c r="G941" s="1" t="s">
        <v>2</v>
      </c>
      <c r="H941">
        <f t="shared" si="14"/>
        <v>11</v>
      </c>
    </row>
    <row r="942" spans="1:8" x14ac:dyDescent="0.25">
      <c r="A942" s="5">
        <v>44874</v>
      </c>
      <c r="B942" s="30">
        <v>10</v>
      </c>
      <c r="C942" s="30">
        <v>4</v>
      </c>
      <c r="D942" s="30">
        <v>1</v>
      </c>
      <c r="E942" s="30">
        <v>3</v>
      </c>
      <c r="F942" s="30">
        <v>8</v>
      </c>
      <c r="G942" s="1" t="s">
        <v>0</v>
      </c>
      <c r="H942">
        <f t="shared" si="14"/>
        <v>11</v>
      </c>
    </row>
    <row r="943" spans="1:8" x14ac:dyDescent="0.25">
      <c r="A943" s="5">
        <v>44874</v>
      </c>
      <c r="B943" s="30">
        <v>3</v>
      </c>
      <c r="C943" s="30">
        <v>4</v>
      </c>
      <c r="D943" s="30">
        <v>2</v>
      </c>
      <c r="E943" s="30">
        <v>4</v>
      </c>
      <c r="F943" s="30">
        <v>2</v>
      </c>
      <c r="G943" s="1" t="s">
        <v>1</v>
      </c>
      <c r="H943">
        <f t="shared" si="14"/>
        <v>11</v>
      </c>
    </row>
    <row r="944" spans="1:8" x14ac:dyDescent="0.25">
      <c r="A944" s="5">
        <v>44874</v>
      </c>
      <c r="B944" s="30">
        <v>4</v>
      </c>
      <c r="C944" s="30">
        <v>8</v>
      </c>
      <c r="D944" s="30">
        <v>4</v>
      </c>
      <c r="E944" s="30">
        <v>5</v>
      </c>
      <c r="F944" s="30">
        <v>2</v>
      </c>
      <c r="G944" s="1" t="s">
        <v>2</v>
      </c>
      <c r="H944">
        <f t="shared" si="14"/>
        <v>11</v>
      </c>
    </row>
    <row r="945" spans="1:8" x14ac:dyDescent="0.25">
      <c r="A945" s="5">
        <v>44875</v>
      </c>
      <c r="B945" s="30">
        <v>0</v>
      </c>
      <c r="C945" s="30">
        <v>9</v>
      </c>
      <c r="D945" s="30">
        <v>3</v>
      </c>
      <c r="E945" s="30">
        <v>3</v>
      </c>
      <c r="F945" s="30">
        <v>3</v>
      </c>
      <c r="G945" s="1" t="s">
        <v>0</v>
      </c>
      <c r="H945">
        <f t="shared" si="14"/>
        <v>11</v>
      </c>
    </row>
    <row r="946" spans="1:8" x14ac:dyDescent="0.25">
      <c r="A946" s="5">
        <v>44875</v>
      </c>
      <c r="B946" s="30">
        <v>7</v>
      </c>
      <c r="C946" s="30">
        <v>4</v>
      </c>
      <c r="D946" s="30">
        <v>0</v>
      </c>
      <c r="E946" s="30">
        <v>5</v>
      </c>
      <c r="F946" s="30">
        <v>4</v>
      </c>
      <c r="G946" s="1" t="s">
        <v>1</v>
      </c>
      <c r="H946">
        <f t="shared" si="14"/>
        <v>11</v>
      </c>
    </row>
    <row r="947" spans="1:8" x14ac:dyDescent="0.25">
      <c r="A947" s="5">
        <v>44875</v>
      </c>
      <c r="B947" s="30">
        <v>1</v>
      </c>
      <c r="C947" s="30">
        <v>4</v>
      </c>
      <c r="D947" s="30">
        <v>5</v>
      </c>
      <c r="E947" s="30">
        <v>2</v>
      </c>
      <c r="F947" s="30">
        <v>3</v>
      </c>
      <c r="G947" s="1" t="s">
        <v>2</v>
      </c>
      <c r="H947">
        <f t="shared" si="14"/>
        <v>11</v>
      </c>
    </row>
    <row r="948" spans="1:8" x14ac:dyDescent="0.25">
      <c r="A948" s="5">
        <v>44876</v>
      </c>
      <c r="B948" s="30">
        <v>3</v>
      </c>
      <c r="C948" s="30">
        <v>2</v>
      </c>
      <c r="D948" s="30">
        <v>4</v>
      </c>
      <c r="E948" s="30">
        <v>6</v>
      </c>
      <c r="F948" s="30">
        <v>4</v>
      </c>
      <c r="G948" s="1" t="s">
        <v>0</v>
      </c>
      <c r="H948">
        <f t="shared" si="14"/>
        <v>11</v>
      </c>
    </row>
    <row r="949" spans="1:8" x14ac:dyDescent="0.25">
      <c r="A949" s="5">
        <v>44876</v>
      </c>
      <c r="B949" s="30">
        <v>8</v>
      </c>
      <c r="C949" s="30">
        <v>1</v>
      </c>
      <c r="D949" s="30">
        <v>6</v>
      </c>
      <c r="E949" s="30">
        <v>4</v>
      </c>
      <c r="F949" s="30">
        <v>2</v>
      </c>
      <c r="G949" s="1" t="s">
        <v>1</v>
      </c>
      <c r="H949">
        <f t="shared" si="14"/>
        <v>11</v>
      </c>
    </row>
    <row r="950" spans="1:8" x14ac:dyDescent="0.25">
      <c r="A950" s="5">
        <v>44876</v>
      </c>
      <c r="B950" s="30">
        <v>1</v>
      </c>
      <c r="C950" s="30">
        <v>8</v>
      </c>
      <c r="D950" s="30">
        <v>1</v>
      </c>
      <c r="E950" s="30">
        <v>3</v>
      </c>
      <c r="F950" s="30">
        <v>2</v>
      </c>
      <c r="G950" s="1" t="s">
        <v>2</v>
      </c>
      <c r="H950">
        <f t="shared" si="14"/>
        <v>11</v>
      </c>
    </row>
    <row r="951" spans="1:8" x14ac:dyDescent="0.25">
      <c r="A951" s="5">
        <v>44877</v>
      </c>
      <c r="B951" s="30">
        <v>4</v>
      </c>
      <c r="C951" s="30">
        <v>1</v>
      </c>
      <c r="D951" s="30">
        <v>4</v>
      </c>
      <c r="E951" s="30">
        <v>2</v>
      </c>
      <c r="F951" s="30">
        <v>4</v>
      </c>
      <c r="G951" s="1" t="s">
        <v>0</v>
      </c>
      <c r="H951">
        <f t="shared" si="14"/>
        <v>11</v>
      </c>
    </row>
    <row r="952" spans="1:8" x14ac:dyDescent="0.25">
      <c r="A952" s="5">
        <v>44877</v>
      </c>
      <c r="B952" s="30">
        <v>3</v>
      </c>
      <c r="C952" s="30">
        <v>4</v>
      </c>
      <c r="D952" s="30">
        <v>3</v>
      </c>
      <c r="E952" s="30">
        <v>1</v>
      </c>
      <c r="F952" s="30">
        <v>0</v>
      </c>
      <c r="G952" s="1" t="s">
        <v>1</v>
      </c>
      <c r="H952">
        <f t="shared" si="14"/>
        <v>11</v>
      </c>
    </row>
    <row r="953" spans="1:8" x14ac:dyDescent="0.25">
      <c r="A953" s="5">
        <v>44877</v>
      </c>
      <c r="B953" s="30">
        <v>1</v>
      </c>
      <c r="C953" s="30">
        <v>4</v>
      </c>
      <c r="D953" s="30">
        <v>4</v>
      </c>
      <c r="E953" s="30">
        <v>0</v>
      </c>
      <c r="F953" s="30">
        <v>3</v>
      </c>
      <c r="G953" s="1" t="s">
        <v>2</v>
      </c>
      <c r="H953">
        <f t="shared" si="14"/>
        <v>11</v>
      </c>
    </row>
    <row r="954" spans="1:8" x14ac:dyDescent="0.25">
      <c r="A954" s="5">
        <v>44878</v>
      </c>
      <c r="B954" s="30">
        <v>6</v>
      </c>
      <c r="C954" s="30">
        <v>5</v>
      </c>
      <c r="D954" s="30">
        <v>3</v>
      </c>
      <c r="E954" s="30">
        <v>8</v>
      </c>
      <c r="F954" s="30">
        <v>2</v>
      </c>
      <c r="G954" s="1" t="s">
        <v>0</v>
      </c>
      <c r="H954">
        <f t="shared" si="14"/>
        <v>11</v>
      </c>
    </row>
    <row r="955" spans="1:8" x14ac:dyDescent="0.25">
      <c r="A955" s="5">
        <v>44878</v>
      </c>
      <c r="B955" s="30">
        <v>3</v>
      </c>
      <c r="C955" s="30">
        <v>0</v>
      </c>
      <c r="D955" s="30">
        <v>0</v>
      </c>
      <c r="E955" s="30">
        <v>2</v>
      </c>
      <c r="F955" s="30">
        <v>0</v>
      </c>
      <c r="G955" s="1" t="s">
        <v>1</v>
      </c>
      <c r="H955">
        <f t="shared" si="14"/>
        <v>11</v>
      </c>
    </row>
    <row r="956" spans="1:8" x14ac:dyDescent="0.25">
      <c r="A956" s="5">
        <v>44878</v>
      </c>
      <c r="B956" s="30">
        <v>3</v>
      </c>
      <c r="C956" s="30">
        <v>7</v>
      </c>
      <c r="D956" s="30">
        <v>3</v>
      </c>
      <c r="E956" s="30">
        <v>7</v>
      </c>
      <c r="F956" s="30">
        <v>4</v>
      </c>
      <c r="G956" s="1" t="s">
        <v>2</v>
      </c>
      <c r="H956">
        <f t="shared" si="14"/>
        <v>11</v>
      </c>
    </row>
    <row r="957" spans="1:8" x14ac:dyDescent="0.25">
      <c r="A957" s="5">
        <v>44879</v>
      </c>
      <c r="B957" s="30">
        <v>5</v>
      </c>
      <c r="C957" s="30">
        <v>3</v>
      </c>
      <c r="D957" s="30">
        <v>10</v>
      </c>
      <c r="E957" s="30">
        <v>4</v>
      </c>
      <c r="F957" s="30">
        <v>1</v>
      </c>
      <c r="G957" s="1" t="s">
        <v>0</v>
      </c>
      <c r="H957">
        <f t="shared" si="14"/>
        <v>11</v>
      </c>
    </row>
    <row r="958" spans="1:8" x14ac:dyDescent="0.25">
      <c r="A958" s="5">
        <v>44879</v>
      </c>
      <c r="B958" s="30">
        <v>7</v>
      </c>
      <c r="C958" s="30">
        <v>1</v>
      </c>
      <c r="D958" s="30">
        <v>5</v>
      </c>
      <c r="E958" s="30">
        <v>3</v>
      </c>
      <c r="F958" s="30">
        <v>1</v>
      </c>
      <c r="G958" s="1" t="s">
        <v>1</v>
      </c>
      <c r="H958">
        <f t="shared" si="14"/>
        <v>11</v>
      </c>
    </row>
    <row r="959" spans="1:8" x14ac:dyDescent="0.25">
      <c r="A959" s="5">
        <v>44879</v>
      </c>
      <c r="B959" s="30">
        <v>3</v>
      </c>
      <c r="C959" s="30">
        <v>0</v>
      </c>
      <c r="D959" s="30">
        <v>8</v>
      </c>
      <c r="E959" s="30">
        <v>2</v>
      </c>
      <c r="F959" s="30">
        <v>0</v>
      </c>
      <c r="G959" s="1" t="s">
        <v>2</v>
      </c>
      <c r="H959">
        <f t="shared" si="14"/>
        <v>11</v>
      </c>
    </row>
    <row r="960" spans="1:8" x14ac:dyDescent="0.25">
      <c r="A960" s="5">
        <v>44880</v>
      </c>
      <c r="B960" s="30">
        <v>3</v>
      </c>
      <c r="C960" s="30">
        <v>4</v>
      </c>
      <c r="D960" s="30">
        <v>9</v>
      </c>
      <c r="E960" s="30">
        <v>0</v>
      </c>
      <c r="F960" s="30">
        <v>3</v>
      </c>
      <c r="G960" s="1" t="s">
        <v>0</v>
      </c>
      <c r="H960">
        <f t="shared" si="14"/>
        <v>11</v>
      </c>
    </row>
    <row r="961" spans="1:8" x14ac:dyDescent="0.25">
      <c r="A961" s="5">
        <v>44880</v>
      </c>
      <c r="B961" s="30">
        <v>1</v>
      </c>
      <c r="C961" s="30">
        <v>0</v>
      </c>
      <c r="D961" s="30">
        <v>4</v>
      </c>
      <c r="E961" s="30">
        <v>3</v>
      </c>
      <c r="F961" s="30">
        <v>4</v>
      </c>
      <c r="G961" s="1" t="s">
        <v>1</v>
      </c>
      <c r="H961">
        <f t="shared" si="14"/>
        <v>11</v>
      </c>
    </row>
    <row r="962" spans="1:8" x14ac:dyDescent="0.25">
      <c r="A962" s="5">
        <v>44880</v>
      </c>
      <c r="B962" s="30">
        <v>0</v>
      </c>
      <c r="C962" s="30">
        <v>8</v>
      </c>
      <c r="D962" s="30">
        <v>3</v>
      </c>
      <c r="E962" s="30">
        <v>10</v>
      </c>
      <c r="F962" s="30">
        <v>8</v>
      </c>
      <c r="G962" s="1" t="s">
        <v>2</v>
      </c>
      <c r="H962">
        <f t="shared" si="14"/>
        <v>11</v>
      </c>
    </row>
    <row r="963" spans="1:8" x14ac:dyDescent="0.25">
      <c r="A963" s="5">
        <v>44881</v>
      </c>
      <c r="B963" s="30">
        <v>1</v>
      </c>
      <c r="C963" s="30">
        <v>3</v>
      </c>
      <c r="D963" s="30">
        <v>3</v>
      </c>
      <c r="E963" s="30">
        <v>3</v>
      </c>
      <c r="F963" s="30">
        <v>8</v>
      </c>
      <c r="G963" s="1" t="s">
        <v>0</v>
      </c>
      <c r="H963">
        <f t="shared" si="14"/>
        <v>11</v>
      </c>
    </row>
    <row r="964" spans="1:8" x14ac:dyDescent="0.25">
      <c r="A964" s="5">
        <v>44881</v>
      </c>
      <c r="B964" s="30">
        <v>1</v>
      </c>
      <c r="C964" s="30">
        <v>10</v>
      </c>
      <c r="D964" s="30">
        <v>2</v>
      </c>
      <c r="E964" s="30">
        <v>4</v>
      </c>
      <c r="F964" s="30">
        <v>6</v>
      </c>
      <c r="G964" s="1" t="s">
        <v>1</v>
      </c>
      <c r="H964">
        <f t="shared" ref="H964:H1027" si="15">MONTH(A964)</f>
        <v>11</v>
      </c>
    </row>
    <row r="965" spans="1:8" x14ac:dyDescent="0.25">
      <c r="A965" s="5">
        <v>44881</v>
      </c>
      <c r="B965" s="30">
        <v>10</v>
      </c>
      <c r="C965" s="30">
        <v>0</v>
      </c>
      <c r="D965" s="30">
        <v>3</v>
      </c>
      <c r="E965" s="30">
        <v>5</v>
      </c>
      <c r="F965" s="30">
        <v>1</v>
      </c>
      <c r="G965" s="1" t="s">
        <v>2</v>
      </c>
      <c r="H965">
        <f t="shared" si="15"/>
        <v>11</v>
      </c>
    </row>
    <row r="966" spans="1:8" x14ac:dyDescent="0.25">
      <c r="A966" s="5">
        <v>44882</v>
      </c>
      <c r="B966" s="30">
        <v>4</v>
      </c>
      <c r="C966" s="30">
        <v>4</v>
      </c>
      <c r="D966" s="30">
        <v>4</v>
      </c>
      <c r="E966" s="30">
        <v>1</v>
      </c>
      <c r="F966" s="30">
        <v>2</v>
      </c>
      <c r="G966" s="1" t="s">
        <v>0</v>
      </c>
      <c r="H966">
        <f t="shared" si="15"/>
        <v>11</v>
      </c>
    </row>
    <row r="967" spans="1:8" x14ac:dyDescent="0.25">
      <c r="A967" s="5">
        <v>44882</v>
      </c>
      <c r="B967" s="30">
        <v>0</v>
      </c>
      <c r="C967" s="30">
        <v>4</v>
      </c>
      <c r="D967" s="30">
        <v>5</v>
      </c>
      <c r="E967" s="30">
        <v>2</v>
      </c>
      <c r="F967" s="30">
        <v>7</v>
      </c>
      <c r="G967" s="1" t="s">
        <v>1</v>
      </c>
      <c r="H967">
        <f t="shared" si="15"/>
        <v>11</v>
      </c>
    </row>
    <row r="968" spans="1:8" x14ac:dyDescent="0.25">
      <c r="A968" s="5">
        <v>44882</v>
      </c>
      <c r="B968" s="30">
        <v>5</v>
      </c>
      <c r="C968" s="30">
        <v>4</v>
      </c>
      <c r="D968" s="30">
        <v>2</v>
      </c>
      <c r="E968" s="30">
        <v>2</v>
      </c>
      <c r="F968" s="30">
        <v>5</v>
      </c>
      <c r="G968" s="1" t="s">
        <v>2</v>
      </c>
      <c r="H968">
        <f t="shared" si="15"/>
        <v>11</v>
      </c>
    </row>
    <row r="969" spans="1:8" x14ac:dyDescent="0.25">
      <c r="A969" s="5">
        <v>44883</v>
      </c>
      <c r="B969" s="30">
        <v>4</v>
      </c>
      <c r="C969" s="30">
        <v>7</v>
      </c>
      <c r="D969" s="30">
        <v>3</v>
      </c>
      <c r="E969" s="30">
        <v>7</v>
      </c>
      <c r="F969" s="30">
        <v>4</v>
      </c>
      <c r="G969" s="1" t="s">
        <v>0</v>
      </c>
      <c r="H969">
        <f t="shared" si="15"/>
        <v>11</v>
      </c>
    </row>
    <row r="970" spans="1:8" x14ac:dyDescent="0.25">
      <c r="A970" s="5">
        <v>44883</v>
      </c>
      <c r="B970" s="30">
        <v>8</v>
      </c>
      <c r="C970" s="30">
        <v>4</v>
      </c>
      <c r="D970" s="30">
        <v>2</v>
      </c>
      <c r="E970" s="30">
        <v>10</v>
      </c>
      <c r="F970" s="30">
        <v>0</v>
      </c>
      <c r="G970" s="1" t="s">
        <v>1</v>
      </c>
      <c r="H970">
        <f t="shared" si="15"/>
        <v>11</v>
      </c>
    </row>
    <row r="971" spans="1:8" x14ac:dyDescent="0.25">
      <c r="A971" s="5">
        <v>44883</v>
      </c>
      <c r="B971" s="30">
        <v>5</v>
      </c>
      <c r="C971" s="30">
        <v>3</v>
      </c>
      <c r="D971" s="30">
        <v>4</v>
      </c>
      <c r="E971" s="30">
        <v>7</v>
      </c>
      <c r="F971" s="30">
        <v>3</v>
      </c>
      <c r="G971" s="1" t="s">
        <v>2</v>
      </c>
      <c r="H971">
        <f t="shared" si="15"/>
        <v>11</v>
      </c>
    </row>
    <row r="972" spans="1:8" x14ac:dyDescent="0.25">
      <c r="A972" s="5">
        <v>44884</v>
      </c>
      <c r="B972" s="30">
        <v>0</v>
      </c>
      <c r="C972" s="30">
        <v>2</v>
      </c>
      <c r="D972" s="30">
        <v>3</v>
      </c>
      <c r="E972" s="30">
        <v>1</v>
      </c>
      <c r="F972" s="30">
        <v>3</v>
      </c>
      <c r="G972" s="1" t="s">
        <v>0</v>
      </c>
      <c r="H972">
        <f t="shared" si="15"/>
        <v>11</v>
      </c>
    </row>
    <row r="973" spans="1:8" x14ac:dyDescent="0.25">
      <c r="A973" s="5">
        <v>44884</v>
      </c>
      <c r="B973" s="30">
        <v>3</v>
      </c>
      <c r="C973" s="30">
        <v>5</v>
      </c>
      <c r="D973" s="30">
        <v>0</v>
      </c>
      <c r="E973" s="30">
        <v>3</v>
      </c>
      <c r="F973" s="30">
        <v>2</v>
      </c>
      <c r="G973" s="1" t="s">
        <v>1</v>
      </c>
      <c r="H973">
        <f t="shared" si="15"/>
        <v>11</v>
      </c>
    </row>
    <row r="974" spans="1:8" x14ac:dyDescent="0.25">
      <c r="A974" s="5">
        <v>44884</v>
      </c>
      <c r="B974" s="30">
        <v>6</v>
      </c>
      <c r="C974" s="30">
        <v>4</v>
      </c>
      <c r="D974" s="30">
        <v>5</v>
      </c>
      <c r="E974" s="30">
        <v>1</v>
      </c>
      <c r="F974" s="30">
        <v>9</v>
      </c>
      <c r="G974" s="1" t="s">
        <v>2</v>
      </c>
      <c r="H974">
        <f t="shared" si="15"/>
        <v>11</v>
      </c>
    </row>
    <row r="975" spans="1:8" x14ac:dyDescent="0.25">
      <c r="A975" s="5">
        <v>44885</v>
      </c>
      <c r="B975" s="30">
        <v>1</v>
      </c>
      <c r="C975" s="30">
        <v>1</v>
      </c>
      <c r="D975" s="30">
        <v>5</v>
      </c>
      <c r="E975" s="30">
        <v>4</v>
      </c>
      <c r="F975" s="30">
        <v>1</v>
      </c>
      <c r="G975" s="1" t="s">
        <v>0</v>
      </c>
      <c r="H975">
        <f t="shared" si="15"/>
        <v>11</v>
      </c>
    </row>
    <row r="976" spans="1:8" x14ac:dyDescent="0.25">
      <c r="A976" s="5">
        <v>44885</v>
      </c>
      <c r="B976" s="30">
        <v>0</v>
      </c>
      <c r="C976" s="30">
        <v>6</v>
      </c>
      <c r="D976" s="30">
        <v>1</v>
      </c>
      <c r="E976" s="30">
        <v>3</v>
      </c>
      <c r="F976" s="30">
        <v>2</v>
      </c>
      <c r="G976" s="1" t="s">
        <v>1</v>
      </c>
      <c r="H976">
        <f t="shared" si="15"/>
        <v>11</v>
      </c>
    </row>
    <row r="977" spans="1:8" x14ac:dyDescent="0.25">
      <c r="A977" s="5">
        <v>44885</v>
      </c>
      <c r="B977" s="30">
        <v>4</v>
      </c>
      <c r="C977" s="30">
        <v>0</v>
      </c>
      <c r="D977" s="30">
        <v>2</v>
      </c>
      <c r="E977" s="30">
        <v>2</v>
      </c>
      <c r="F977" s="30">
        <v>3</v>
      </c>
      <c r="G977" s="1" t="s">
        <v>2</v>
      </c>
      <c r="H977">
        <f t="shared" si="15"/>
        <v>11</v>
      </c>
    </row>
    <row r="978" spans="1:8" x14ac:dyDescent="0.25">
      <c r="A978" s="5">
        <v>44886</v>
      </c>
      <c r="B978" s="30">
        <v>4</v>
      </c>
      <c r="C978" s="30">
        <v>6</v>
      </c>
      <c r="D978" s="30">
        <v>4</v>
      </c>
      <c r="E978" s="30">
        <v>5</v>
      </c>
      <c r="F978" s="30">
        <v>4</v>
      </c>
      <c r="G978" s="1" t="s">
        <v>0</v>
      </c>
      <c r="H978">
        <f t="shared" si="15"/>
        <v>11</v>
      </c>
    </row>
    <row r="979" spans="1:8" x14ac:dyDescent="0.25">
      <c r="A979" s="5">
        <v>44886</v>
      </c>
      <c r="B979" s="30">
        <v>6</v>
      </c>
      <c r="C979" s="30">
        <v>8</v>
      </c>
      <c r="D979" s="30">
        <v>0</v>
      </c>
      <c r="E979" s="30">
        <v>0</v>
      </c>
      <c r="F979" s="30">
        <v>3</v>
      </c>
      <c r="G979" s="1" t="s">
        <v>1</v>
      </c>
      <c r="H979">
        <f t="shared" si="15"/>
        <v>11</v>
      </c>
    </row>
    <row r="980" spans="1:8" x14ac:dyDescent="0.25">
      <c r="A980" s="5">
        <v>44886</v>
      </c>
      <c r="B980" s="30">
        <v>0</v>
      </c>
      <c r="C980" s="30">
        <v>3</v>
      </c>
      <c r="D980" s="30">
        <v>1</v>
      </c>
      <c r="E980" s="30">
        <v>0</v>
      </c>
      <c r="F980" s="30">
        <v>4</v>
      </c>
      <c r="G980" s="1" t="s">
        <v>2</v>
      </c>
      <c r="H980">
        <f t="shared" si="15"/>
        <v>11</v>
      </c>
    </row>
    <row r="981" spans="1:8" x14ac:dyDescent="0.25">
      <c r="A981" s="5">
        <v>44887</v>
      </c>
      <c r="B981" s="30">
        <v>4</v>
      </c>
      <c r="C981" s="30">
        <v>3</v>
      </c>
      <c r="D981" s="30">
        <v>1</v>
      </c>
      <c r="E981" s="30">
        <v>4</v>
      </c>
      <c r="F981" s="30">
        <v>6</v>
      </c>
      <c r="G981" s="1" t="s">
        <v>0</v>
      </c>
      <c r="H981">
        <f t="shared" si="15"/>
        <v>11</v>
      </c>
    </row>
    <row r="982" spans="1:8" x14ac:dyDescent="0.25">
      <c r="A982" s="5">
        <v>44887</v>
      </c>
      <c r="B982" s="30">
        <v>3</v>
      </c>
      <c r="C982" s="30">
        <v>4</v>
      </c>
      <c r="D982" s="30">
        <v>1</v>
      </c>
      <c r="E982" s="30">
        <v>3</v>
      </c>
      <c r="F982" s="30">
        <v>7</v>
      </c>
      <c r="G982" s="1" t="s">
        <v>1</v>
      </c>
      <c r="H982">
        <f t="shared" si="15"/>
        <v>11</v>
      </c>
    </row>
    <row r="983" spans="1:8" x14ac:dyDescent="0.25">
      <c r="A983" s="5">
        <v>44887</v>
      </c>
      <c r="B983" s="30">
        <v>2</v>
      </c>
      <c r="C983" s="30">
        <v>3</v>
      </c>
      <c r="D983" s="30">
        <v>1</v>
      </c>
      <c r="E983" s="30">
        <v>10</v>
      </c>
      <c r="F983" s="30">
        <v>2</v>
      </c>
      <c r="G983" s="1" t="s">
        <v>2</v>
      </c>
      <c r="H983">
        <f t="shared" si="15"/>
        <v>11</v>
      </c>
    </row>
    <row r="984" spans="1:8" x14ac:dyDescent="0.25">
      <c r="A984" s="5">
        <v>44888</v>
      </c>
      <c r="B984" s="30">
        <v>3</v>
      </c>
      <c r="C984" s="30">
        <v>3</v>
      </c>
      <c r="D984" s="30">
        <v>3</v>
      </c>
      <c r="E984" s="30">
        <v>2</v>
      </c>
      <c r="F984" s="30">
        <v>1</v>
      </c>
      <c r="G984" s="1" t="s">
        <v>0</v>
      </c>
      <c r="H984">
        <f t="shared" si="15"/>
        <v>11</v>
      </c>
    </row>
    <row r="985" spans="1:8" x14ac:dyDescent="0.25">
      <c r="A985" s="5">
        <v>44888</v>
      </c>
      <c r="B985" s="30">
        <v>0</v>
      </c>
      <c r="C985" s="30">
        <v>6</v>
      </c>
      <c r="D985" s="30">
        <v>0</v>
      </c>
      <c r="E985" s="30">
        <v>3</v>
      </c>
      <c r="F985" s="30">
        <v>4</v>
      </c>
      <c r="G985" s="1" t="s">
        <v>1</v>
      </c>
      <c r="H985">
        <f t="shared" si="15"/>
        <v>11</v>
      </c>
    </row>
    <row r="986" spans="1:8" x14ac:dyDescent="0.25">
      <c r="A986" s="5">
        <v>44888</v>
      </c>
      <c r="B986" s="30">
        <v>3</v>
      </c>
      <c r="C986" s="30">
        <v>2</v>
      </c>
      <c r="D986" s="30">
        <v>6</v>
      </c>
      <c r="E986" s="30">
        <v>8</v>
      </c>
      <c r="F986" s="30">
        <v>1</v>
      </c>
      <c r="G986" s="1" t="s">
        <v>2</v>
      </c>
      <c r="H986">
        <f t="shared" si="15"/>
        <v>11</v>
      </c>
    </row>
    <row r="987" spans="1:8" x14ac:dyDescent="0.25">
      <c r="A987" s="5">
        <v>44889</v>
      </c>
      <c r="B987" s="30">
        <v>10</v>
      </c>
      <c r="C987" s="30">
        <v>2</v>
      </c>
      <c r="D987" s="30">
        <v>3</v>
      </c>
      <c r="E987" s="30">
        <v>6</v>
      </c>
      <c r="F987" s="30">
        <v>2</v>
      </c>
      <c r="G987" s="1" t="s">
        <v>0</v>
      </c>
      <c r="H987">
        <f t="shared" si="15"/>
        <v>11</v>
      </c>
    </row>
    <row r="988" spans="1:8" x14ac:dyDescent="0.25">
      <c r="A988" s="5">
        <v>44889</v>
      </c>
      <c r="B988" s="30">
        <v>3</v>
      </c>
      <c r="C988" s="30">
        <v>2</v>
      </c>
      <c r="D988" s="30">
        <v>6</v>
      </c>
      <c r="E988" s="30">
        <v>3</v>
      </c>
      <c r="F988" s="30">
        <v>2</v>
      </c>
      <c r="G988" s="1" t="s">
        <v>1</v>
      </c>
      <c r="H988">
        <f t="shared" si="15"/>
        <v>11</v>
      </c>
    </row>
    <row r="989" spans="1:8" x14ac:dyDescent="0.25">
      <c r="A989" s="5">
        <v>44889</v>
      </c>
      <c r="B989" s="30">
        <v>9</v>
      </c>
      <c r="C989" s="30">
        <v>5</v>
      </c>
      <c r="D989" s="30">
        <v>7</v>
      </c>
      <c r="E989" s="30">
        <v>4</v>
      </c>
      <c r="F989" s="30">
        <v>4</v>
      </c>
      <c r="G989" s="1" t="s">
        <v>2</v>
      </c>
      <c r="H989">
        <f t="shared" si="15"/>
        <v>11</v>
      </c>
    </row>
    <row r="990" spans="1:8" x14ac:dyDescent="0.25">
      <c r="A990" s="5">
        <v>44890</v>
      </c>
      <c r="B990" s="30">
        <v>1</v>
      </c>
      <c r="C990" s="30">
        <v>9</v>
      </c>
      <c r="D990" s="30">
        <v>1</v>
      </c>
      <c r="E990" s="30">
        <v>4</v>
      </c>
      <c r="F990" s="30">
        <v>3</v>
      </c>
      <c r="G990" s="1" t="s">
        <v>0</v>
      </c>
      <c r="H990">
        <f t="shared" si="15"/>
        <v>11</v>
      </c>
    </row>
    <row r="991" spans="1:8" x14ac:dyDescent="0.25">
      <c r="A991" s="5">
        <v>44890</v>
      </c>
      <c r="B991" s="30">
        <v>4</v>
      </c>
      <c r="C991" s="30">
        <v>3</v>
      </c>
      <c r="D991" s="30">
        <v>8</v>
      </c>
      <c r="E991" s="30">
        <v>0</v>
      </c>
      <c r="F991" s="30">
        <v>8</v>
      </c>
      <c r="G991" s="1" t="s">
        <v>1</v>
      </c>
      <c r="H991">
        <f t="shared" si="15"/>
        <v>11</v>
      </c>
    </row>
    <row r="992" spans="1:8" x14ac:dyDescent="0.25">
      <c r="A992" s="5">
        <v>44890</v>
      </c>
      <c r="B992" s="30">
        <v>3</v>
      </c>
      <c r="C992" s="30">
        <v>6</v>
      </c>
      <c r="D992" s="30">
        <v>1</v>
      </c>
      <c r="E992" s="30">
        <v>1</v>
      </c>
      <c r="F992" s="30">
        <v>4</v>
      </c>
      <c r="G992" s="1" t="s">
        <v>2</v>
      </c>
      <c r="H992">
        <f t="shared" si="15"/>
        <v>11</v>
      </c>
    </row>
    <row r="993" spans="1:8" x14ac:dyDescent="0.25">
      <c r="A993" s="5">
        <v>44891</v>
      </c>
      <c r="B993" s="30">
        <v>3</v>
      </c>
      <c r="C993" s="30">
        <v>3</v>
      </c>
      <c r="D993" s="30">
        <v>5</v>
      </c>
      <c r="E993" s="30">
        <v>1</v>
      </c>
      <c r="F993" s="30">
        <v>4</v>
      </c>
      <c r="G993" s="1" t="s">
        <v>0</v>
      </c>
      <c r="H993">
        <f t="shared" si="15"/>
        <v>11</v>
      </c>
    </row>
    <row r="994" spans="1:8" x14ac:dyDescent="0.25">
      <c r="A994" s="5">
        <v>44891</v>
      </c>
      <c r="B994" s="30">
        <v>3</v>
      </c>
      <c r="C994" s="30">
        <v>3</v>
      </c>
      <c r="D994" s="30">
        <v>5</v>
      </c>
      <c r="E994" s="30">
        <v>4</v>
      </c>
      <c r="F994" s="30">
        <v>3</v>
      </c>
      <c r="G994" s="1" t="s">
        <v>1</v>
      </c>
      <c r="H994">
        <f t="shared" si="15"/>
        <v>11</v>
      </c>
    </row>
    <row r="995" spans="1:8" x14ac:dyDescent="0.25">
      <c r="A995" s="5">
        <v>44891</v>
      </c>
      <c r="B995" s="30">
        <v>0</v>
      </c>
      <c r="C995" s="30">
        <v>1</v>
      </c>
      <c r="D995" s="30">
        <v>6</v>
      </c>
      <c r="E995" s="30">
        <v>9</v>
      </c>
      <c r="F995" s="30">
        <v>7</v>
      </c>
      <c r="G995" s="1" t="s">
        <v>2</v>
      </c>
      <c r="H995">
        <f t="shared" si="15"/>
        <v>11</v>
      </c>
    </row>
    <row r="996" spans="1:8" x14ac:dyDescent="0.25">
      <c r="A996" s="5">
        <v>44892</v>
      </c>
      <c r="B996" s="30">
        <v>0</v>
      </c>
      <c r="C996" s="30">
        <v>5</v>
      </c>
      <c r="D996" s="30">
        <v>8</v>
      </c>
      <c r="E996" s="30">
        <v>9</v>
      </c>
      <c r="F996" s="30">
        <v>3</v>
      </c>
      <c r="G996" s="1" t="s">
        <v>0</v>
      </c>
      <c r="H996">
        <f t="shared" si="15"/>
        <v>11</v>
      </c>
    </row>
    <row r="997" spans="1:8" x14ac:dyDescent="0.25">
      <c r="A997" s="5">
        <v>44892</v>
      </c>
      <c r="B997" s="30">
        <v>0</v>
      </c>
      <c r="C997" s="30">
        <v>8</v>
      </c>
      <c r="D997" s="30">
        <v>5</v>
      </c>
      <c r="E997" s="30">
        <v>6</v>
      </c>
      <c r="F997" s="30">
        <v>3</v>
      </c>
      <c r="G997" s="1" t="s">
        <v>1</v>
      </c>
      <c r="H997">
        <f t="shared" si="15"/>
        <v>11</v>
      </c>
    </row>
    <row r="998" spans="1:8" x14ac:dyDescent="0.25">
      <c r="A998" s="5">
        <v>44892</v>
      </c>
      <c r="B998" s="30">
        <v>7</v>
      </c>
      <c r="C998" s="30">
        <v>3</v>
      </c>
      <c r="D998" s="30">
        <v>1</v>
      </c>
      <c r="E998" s="30">
        <v>3</v>
      </c>
      <c r="F998" s="30">
        <v>5</v>
      </c>
      <c r="G998" s="1" t="s">
        <v>2</v>
      </c>
      <c r="H998">
        <f t="shared" si="15"/>
        <v>11</v>
      </c>
    </row>
    <row r="999" spans="1:8" x14ac:dyDescent="0.25">
      <c r="A999" s="5">
        <v>44893</v>
      </c>
      <c r="B999" s="30">
        <v>8</v>
      </c>
      <c r="C999" s="30">
        <v>0</v>
      </c>
      <c r="D999" s="30">
        <v>8</v>
      </c>
      <c r="E999" s="30">
        <v>3</v>
      </c>
      <c r="F999" s="30">
        <v>4</v>
      </c>
      <c r="G999" s="1" t="s">
        <v>0</v>
      </c>
      <c r="H999">
        <f t="shared" si="15"/>
        <v>11</v>
      </c>
    </row>
    <row r="1000" spans="1:8" x14ac:dyDescent="0.25">
      <c r="A1000" s="5">
        <v>44893</v>
      </c>
      <c r="B1000" s="30">
        <v>4</v>
      </c>
      <c r="C1000" s="30">
        <v>0</v>
      </c>
      <c r="D1000" s="30">
        <v>0</v>
      </c>
      <c r="E1000" s="30">
        <v>1</v>
      </c>
      <c r="F1000" s="30">
        <v>4</v>
      </c>
      <c r="G1000" s="1" t="s">
        <v>1</v>
      </c>
      <c r="H1000">
        <f t="shared" si="15"/>
        <v>11</v>
      </c>
    </row>
    <row r="1001" spans="1:8" x14ac:dyDescent="0.25">
      <c r="A1001" s="5">
        <v>44893</v>
      </c>
      <c r="B1001" s="30">
        <v>3</v>
      </c>
      <c r="C1001" s="30">
        <v>2</v>
      </c>
      <c r="D1001" s="30">
        <v>4</v>
      </c>
      <c r="E1001" s="30">
        <v>9</v>
      </c>
      <c r="F1001" s="30">
        <v>4</v>
      </c>
      <c r="G1001" s="1" t="s">
        <v>2</v>
      </c>
      <c r="H1001">
        <f t="shared" si="15"/>
        <v>11</v>
      </c>
    </row>
    <row r="1002" spans="1:8" x14ac:dyDescent="0.25">
      <c r="A1002" s="5">
        <v>44894</v>
      </c>
      <c r="B1002" s="30">
        <v>4</v>
      </c>
      <c r="C1002" s="30">
        <v>8</v>
      </c>
      <c r="D1002" s="30">
        <v>4</v>
      </c>
      <c r="E1002" s="30">
        <v>1</v>
      </c>
      <c r="F1002" s="30">
        <v>0</v>
      </c>
      <c r="G1002" s="1" t="s">
        <v>0</v>
      </c>
      <c r="H1002">
        <f t="shared" si="15"/>
        <v>11</v>
      </c>
    </row>
    <row r="1003" spans="1:8" x14ac:dyDescent="0.25">
      <c r="A1003" s="5">
        <v>44894</v>
      </c>
      <c r="B1003" s="30">
        <v>3</v>
      </c>
      <c r="C1003" s="30">
        <v>5</v>
      </c>
      <c r="D1003" s="30">
        <v>1</v>
      </c>
      <c r="E1003" s="30">
        <v>0</v>
      </c>
      <c r="F1003" s="30">
        <v>7</v>
      </c>
      <c r="G1003" s="1" t="s">
        <v>1</v>
      </c>
      <c r="H1003">
        <f t="shared" si="15"/>
        <v>11</v>
      </c>
    </row>
    <row r="1004" spans="1:8" x14ac:dyDescent="0.25">
      <c r="A1004" s="5">
        <v>44894</v>
      </c>
      <c r="B1004" s="30">
        <v>3</v>
      </c>
      <c r="C1004" s="30">
        <v>2</v>
      </c>
      <c r="D1004" s="30">
        <v>5</v>
      </c>
      <c r="E1004" s="30">
        <v>4</v>
      </c>
      <c r="F1004" s="30">
        <v>5</v>
      </c>
      <c r="G1004" s="1" t="s">
        <v>2</v>
      </c>
      <c r="H1004">
        <f t="shared" si="15"/>
        <v>11</v>
      </c>
    </row>
    <row r="1005" spans="1:8" x14ac:dyDescent="0.25">
      <c r="A1005" s="5">
        <v>44895</v>
      </c>
      <c r="B1005" s="30">
        <v>0</v>
      </c>
      <c r="C1005" s="30">
        <v>2</v>
      </c>
      <c r="D1005" s="30">
        <v>3</v>
      </c>
      <c r="E1005" s="30">
        <v>7</v>
      </c>
      <c r="F1005" s="30">
        <v>1</v>
      </c>
      <c r="G1005" s="1" t="s">
        <v>0</v>
      </c>
      <c r="H1005">
        <f t="shared" si="15"/>
        <v>11</v>
      </c>
    </row>
    <row r="1006" spans="1:8" x14ac:dyDescent="0.25">
      <c r="A1006" s="5">
        <v>44895</v>
      </c>
      <c r="B1006" s="30">
        <v>1</v>
      </c>
      <c r="C1006" s="30">
        <v>0</v>
      </c>
      <c r="D1006" s="30">
        <v>4</v>
      </c>
      <c r="E1006" s="30">
        <v>4</v>
      </c>
      <c r="F1006" s="30">
        <v>6</v>
      </c>
      <c r="G1006" s="1" t="s">
        <v>1</v>
      </c>
      <c r="H1006">
        <f t="shared" si="15"/>
        <v>11</v>
      </c>
    </row>
    <row r="1007" spans="1:8" x14ac:dyDescent="0.25">
      <c r="A1007" s="5">
        <v>44895</v>
      </c>
      <c r="B1007" s="30">
        <v>3</v>
      </c>
      <c r="C1007" s="30">
        <v>6</v>
      </c>
      <c r="D1007" s="30">
        <v>10</v>
      </c>
      <c r="E1007" s="30">
        <v>5</v>
      </c>
      <c r="F1007" s="30">
        <v>7</v>
      </c>
      <c r="G1007" s="1" t="s">
        <v>2</v>
      </c>
      <c r="H1007">
        <f t="shared" si="15"/>
        <v>11</v>
      </c>
    </row>
    <row r="1008" spans="1:8" x14ac:dyDescent="0.25">
      <c r="A1008" s="5">
        <v>44896</v>
      </c>
      <c r="B1008" s="30">
        <v>6</v>
      </c>
      <c r="C1008" s="30">
        <v>4</v>
      </c>
      <c r="D1008" s="30">
        <v>4</v>
      </c>
      <c r="E1008" s="30">
        <v>3</v>
      </c>
      <c r="F1008" s="30">
        <v>0</v>
      </c>
      <c r="G1008" s="1" t="s">
        <v>0</v>
      </c>
      <c r="H1008">
        <f t="shared" si="15"/>
        <v>12</v>
      </c>
    </row>
    <row r="1009" spans="1:8" x14ac:dyDescent="0.25">
      <c r="A1009" s="5">
        <v>44896</v>
      </c>
      <c r="B1009" s="30">
        <v>0</v>
      </c>
      <c r="C1009" s="30">
        <v>0</v>
      </c>
      <c r="D1009" s="30">
        <v>1</v>
      </c>
      <c r="E1009" s="30">
        <v>1</v>
      </c>
      <c r="F1009" s="30">
        <v>5</v>
      </c>
      <c r="G1009" s="1" t="s">
        <v>1</v>
      </c>
      <c r="H1009">
        <f t="shared" si="15"/>
        <v>12</v>
      </c>
    </row>
    <row r="1010" spans="1:8" x14ac:dyDescent="0.25">
      <c r="A1010" s="5">
        <v>44896</v>
      </c>
      <c r="B1010" s="30">
        <v>2</v>
      </c>
      <c r="C1010" s="30">
        <v>7</v>
      </c>
      <c r="D1010" s="30">
        <v>3</v>
      </c>
      <c r="E1010" s="30">
        <v>1</v>
      </c>
      <c r="F1010" s="30">
        <v>3</v>
      </c>
      <c r="G1010" s="1" t="s">
        <v>2</v>
      </c>
      <c r="H1010">
        <f t="shared" si="15"/>
        <v>12</v>
      </c>
    </row>
    <row r="1011" spans="1:8" x14ac:dyDescent="0.25">
      <c r="A1011" s="5">
        <v>44897</v>
      </c>
      <c r="B1011" s="30">
        <v>7</v>
      </c>
      <c r="C1011" s="30">
        <v>8</v>
      </c>
      <c r="D1011" s="30">
        <v>1</v>
      </c>
      <c r="E1011" s="30">
        <v>3</v>
      </c>
      <c r="F1011" s="30">
        <v>0</v>
      </c>
      <c r="G1011" s="1" t="s">
        <v>0</v>
      </c>
      <c r="H1011">
        <f t="shared" si="15"/>
        <v>12</v>
      </c>
    </row>
    <row r="1012" spans="1:8" x14ac:dyDescent="0.25">
      <c r="A1012" s="5">
        <v>44897</v>
      </c>
      <c r="B1012" s="30">
        <v>4</v>
      </c>
      <c r="C1012" s="30">
        <v>4</v>
      </c>
      <c r="D1012" s="30">
        <v>2</v>
      </c>
      <c r="E1012" s="30">
        <v>2</v>
      </c>
      <c r="F1012" s="30">
        <v>0</v>
      </c>
      <c r="G1012" s="1" t="s">
        <v>1</v>
      </c>
      <c r="H1012">
        <f t="shared" si="15"/>
        <v>12</v>
      </c>
    </row>
    <row r="1013" spans="1:8" x14ac:dyDescent="0.25">
      <c r="A1013" s="5">
        <v>44897</v>
      </c>
      <c r="B1013" s="30">
        <v>7</v>
      </c>
      <c r="C1013" s="30">
        <v>3</v>
      </c>
      <c r="D1013" s="30">
        <v>7</v>
      </c>
      <c r="E1013" s="30">
        <v>2</v>
      </c>
      <c r="F1013" s="30">
        <v>7</v>
      </c>
      <c r="G1013" s="1" t="s">
        <v>2</v>
      </c>
      <c r="H1013">
        <f t="shared" si="15"/>
        <v>12</v>
      </c>
    </row>
    <row r="1014" spans="1:8" x14ac:dyDescent="0.25">
      <c r="A1014" s="5">
        <v>44898</v>
      </c>
      <c r="B1014" s="30">
        <v>8</v>
      </c>
      <c r="C1014" s="30">
        <v>2</v>
      </c>
      <c r="D1014" s="30">
        <v>4</v>
      </c>
      <c r="E1014" s="30">
        <v>4</v>
      </c>
      <c r="F1014" s="30">
        <v>1</v>
      </c>
      <c r="G1014" s="1" t="s">
        <v>0</v>
      </c>
      <c r="H1014">
        <f t="shared" si="15"/>
        <v>12</v>
      </c>
    </row>
    <row r="1015" spans="1:8" x14ac:dyDescent="0.25">
      <c r="A1015" s="5">
        <v>44898</v>
      </c>
      <c r="B1015" s="30">
        <v>1</v>
      </c>
      <c r="C1015" s="30">
        <v>1</v>
      </c>
      <c r="D1015" s="30">
        <v>4</v>
      </c>
      <c r="E1015" s="30">
        <v>2</v>
      </c>
      <c r="F1015" s="30">
        <v>8</v>
      </c>
      <c r="G1015" s="1" t="s">
        <v>1</v>
      </c>
      <c r="H1015">
        <f t="shared" si="15"/>
        <v>12</v>
      </c>
    </row>
    <row r="1016" spans="1:8" x14ac:dyDescent="0.25">
      <c r="A1016" s="5">
        <v>44898</v>
      </c>
      <c r="B1016" s="30">
        <v>8</v>
      </c>
      <c r="C1016" s="30">
        <v>1</v>
      </c>
      <c r="D1016" s="30">
        <v>4</v>
      </c>
      <c r="E1016" s="30">
        <v>1</v>
      </c>
      <c r="F1016" s="30">
        <v>2</v>
      </c>
      <c r="G1016" s="1" t="s">
        <v>2</v>
      </c>
      <c r="H1016">
        <f t="shared" si="15"/>
        <v>12</v>
      </c>
    </row>
    <row r="1017" spans="1:8" x14ac:dyDescent="0.25">
      <c r="A1017" s="5">
        <v>44899</v>
      </c>
      <c r="B1017" s="30">
        <v>3</v>
      </c>
      <c r="C1017" s="30">
        <v>5</v>
      </c>
      <c r="D1017" s="30">
        <v>3</v>
      </c>
      <c r="E1017" s="30">
        <v>1</v>
      </c>
      <c r="F1017" s="30">
        <v>9</v>
      </c>
      <c r="G1017" s="1" t="s">
        <v>0</v>
      </c>
      <c r="H1017">
        <f t="shared" si="15"/>
        <v>12</v>
      </c>
    </row>
    <row r="1018" spans="1:8" x14ac:dyDescent="0.25">
      <c r="A1018" s="5">
        <v>44899</v>
      </c>
      <c r="B1018" s="30">
        <v>10</v>
      </c>
      <c r="C1018" s="30">
        <v>2</v>
      </c>
      <c r="D1018" s="30">
        <v>1</v>
      </c>
      <c r="E1018" s="30">
        <v>2</v>
      </c>
      <c r="F1018" s="30">
        <v>7</v>
      </c>
      <c r="G1018" s="1" t="s">
        <v>1</v>
      </c>
      <c r="H1018">
        <f t="shared" si="15"/>
        <v>12</v>
      </c>
    </row>
    <row r="1019" spans="1:8" x14ac:dyDescent="0.25">
      <c r="A1019" s="5">
        <v>44899</v>
      </c>
      <c r="B1019" s="30">
        <v>1</v>
      </c>
      <c r="C1019" s="30">
        <v>0</v>
      </c>
      <c r="D1019" s="30">
        <v>5</v>
      </c>
      <c r="E1019" s="30">
        <v>0</v>
      </c>
      <c r="F1019" s="30">
        <v>7</v>
      </c>
      <c r="G1019" s="1" t="s">
        <v>2</v>
      </c>
      <c r="H1019">
        <f t="shared" si="15"/>
        <v>12</v>
      </c>
    </row>
    <row r="1020" spans="1:8" x14ac:dyDescent="0.25">
      <c r="A1020" s="5">
        <v>44900</v>
      </c>
      <c r="B1020" s="30">
        <v>3</v>
      </c>
      <c r="C1020" s="30">
        <v>2</v>
      </c>
      <c r="D1020" s="30">
        <v>4</v>
      </c>
      <c r="E1020" s="30">
        <v>1</v>
      </c>
      <c r="F1020" s="30">
        <v>3</v>
      </c>
      <c r="G1020" s="1" t="s">
        <v>0</v>
      </c>
      <c r="H1020">
        <f t="shared" si="15"/>
        <v>12</v>
      </c>
    </row>
    <row r="1021" spans="1:8" x14ac:dyDescent="0.25">
      <c r="A1021" s="5">
        <v>44900</v>
      </c>
      <c r="B1021" s="30">
        <v>7</v>
      </c>
      <c r="C1021" s="30">
        <v>1</v>
      </c>
      <c r="D1021" s="30">
        <v>5</v>
      </c>
      <c r="E1021" s="30">
        <v>2</v>
      </c>
      <c r="F1021" s="30">
        <v>2</v>
      </c>
      <c r="G1021" s="1" t="s">
        <v>1</v>
      </c>
      <c r="H1021">
        <f t="shared" si="15"/>
        <v>12</v>
      </c>
    </row>
    <row r="1022" spans="1:8" x14ac:dyDescent="0.25">
      <c r="A1022" s="5">
        <v>44900</v>
      </c>
      <c r="B1022" s="30">
        <v>7</v>
      </c>
      <c r="C1022" s="30">
        <v>7</v>
      </c>
      <c r="D1022" s="30">
        <v>0</v>
      </c>
      <c r="E1022" s="30">
        <v>2</v>
      </c>
      <c r="F1022" s="30">
        <v>5</v>
      </c>
      <c r="G1022" s="1" t="s">
        <v>2</v>
      </c>
      <c r="H1022">
        <f t="shared" si="15"/>
        <v>12</v>
      </c>
    </row>
    <row r="1023" spans="1:8" x14ac:dyDescent="0.25">
      <c r="A1023" s="5">
        <v>44901</v>
      </c>
      <c r="B1023" s="30">
        <v>3</v>
      </c>
      <c r="C1023" s="30">
        <v>5</v>
      </c>
      <c r="D1023" s="30">
        <v>2</v>
      </c>
      <c r="E1023" s="30">
        <v>7</v>
      </c>
      <c r="F1023" s="30">
        <v>4</v>
      </c>
      <c r="G1023" s="1" t="s">
        <v>0</v>
      </c>
      <c r="H1023">
        <f t="shared" si="15"/>
        <v>12</v>
      </c>
    </row>
    <row r="1024" spans="1:8" x14ac:dyDescent="0.25">
      <c r="A1024" s="5">
        <v>44901</v>
      </c>
      <c r="B1024" s="30">
        <v>4</v>
      </c>
      <c r="C1024" s="30">
        <v>1</v>
      </c>
      <c r="D1024" s="30">
        <v>6</v>
      </c>
      <c r="E1024" s="30">
        <v>8</v>
      </c>
      <c r="F1024" s="30">
        <v>7</v>
      </c>
      <c r="G1024" s="1" t="s">
        <v>1</v>
      </c>
      <c r="H1024">
        <f t="shared" si="15"/>
        <v>12</v>
      </c>
    </row>
    <row r="1025" spans="1:8" x14ac:dyDescent="0.25">
      <c r="A1025" s="5">
        <v>44901</v>
      </c>
      <c r="B1025" s="30">
        <v>3</v>
      </c>
      <c r="C1025" s="30">
        <v>7</v>
      </c>
      <c r="D1025" s="30">
        <v>2</v>
      </c>
      <c r="E1025" s="30">
        <v>7</v>
      </c>
      <c r="F1025" s="30">
        <v>0</v>
      </c>
      <c r="G1025" s="1" t="s">
        <v>2</v>
      </c>
      <c r="H1025">
        <f t="shared" si="15"/>
        <v>12</v>
      </c>
    </row>
    <row r="1026" spans="1:8" x14ac:dyDescent="0.25">
      <c r="A1026" s="5">
        <v>44902</v>
      </c>
      <c r="B1026" s="30">
        <v>0</v>
      </c>
      <c r="C1026" s="30">
        <v>5</v>
      </c>
      <c r="D1026" s="30">
        <v>8</v>
      </c>
      <c r="E1026" s="30">
        <v>1</v>
      </c>
      <c r="F1026" s="30">
        <v>3</v>
      </c>
      <c r="G1026" s="1" t="s">
        <v>0</v>
      </c>
      <c r="H1026">
        <f t="shared" si="15"/>
        <v>12</v>
      </c>
    </row>
    <row r="1027" spans="1:8" x14ac:dyDescent="0.25">
      <c r="A1027" s="5">
        <v>44902</v>
      </c>
      <c r="B1027" s="30">
        <v>1</v>
      </c>
      <c r="C1027" s="30">
        <v>1</v>
      </c>
      <c r="D1027" s="30">
        <v>1</v>
      </c>
      <c r="E1027" s="30">
        <v>3</v>
      </c>
      <c r="F1027" s="30">
        <v>3</v>
      </c>
      <c r="G1027" s="1" t="s">
        <v>1</v>
      </c>
      <c r="H1027">
        <f t="shared" si="15"/>
        <v>12</v>
      </c>
    </row>
    <row r="1028" spans="1:8" x14ac:dyDescent="0.25">
      <c r="A1028" s="5">
        <v>44902</v>
      </c>
      <c r="B1028" s="30">
        <v>4</v>
      </c>
      <c r="C1028" s="30">
        <v>1</v>
      </c>
      <c r="D1028" s="30">
        <v>1</v>
      </c>
      <c r="E1028" s="30">
        <v>3</v>
      </c>
      <c r="F1028" s="30">
        <v>3</v>
      </c>
      <c r="G1028" s="1" t="s">
        <v>2</v>
      </c>
      <c r="H1028">
        <f t="shared" ref="H1028:H1091" si="16">MONTH(A1028)</f>
        <v>12</v>
      </c>
    </row>
    <row r="1029" spans="1:8" x14ac:dyDescent="0.25">
      <c r="A1029" s="5">
        <v>44903</v>
      </c>
      <c r="B1029" s="30">
        <v>5</v>
      </c>
      <c r="C1029" s="30">
        <v>1</v>
      </c>
      <c r="D1029" s="30">
        <v>10</v>
      </c>
      <c r="E1029" s="30">
        <v>0</v>
      </c>
      <c r="F1029" s="30">
        <v>3</v>
      </c>
      <c r="G1029" s="1" t="s">
        <v>0</v>
      </c>
      <c r="H1029">
        <f t="shared" si="16"/>
        <v>12</v>
      </c>
    </row>
    <row r="1030" spans="1:8" x14ac:dyDescent="0.25">
      <c r="A1030" s="5">
        <v>44903</v>
      </c>
      <c r="B1030" s="30">
        <v>3</v>
      </c>
      <c r="C1030" s="30">
        <v>0</v>
      </c>
      <c r="D1030" s="30">
        <v>1</v>
      </c>
      <c r="E1030" s="30">
        <v>5</v>
      </c>
      <c r="F1030" s="30">
        <v>7</v>
      </c>
      <c r="G1030" s="1" t="s">
        <v>1</v>
      </c>
      <c r="H1030">
        <f t="shared" si="16"/>
        <v>12</v>
      </c>
    </row>
    <row r="1031" spans="1:8" x14ac:dyDescent="0.25">
      <c r="A1031" s="5">
        <v>44903</v>
      </c>
      <c r="B1031" s="30">
        <v>3</v>
      </c>
      <c r="C1031" s="30">
        <v>4</v>
      </c>
      <c r="D1031" s="30">
        <v>3</v>
      </c>
      <c r="E1031" s="30">
        <v>2</v>
      </c>
      <c r="F1031" s="30">
        <v>7</v>
      </c>
      <c r="G1031" s="1" t="s">
        <v>2</v>
      </c>
      <c r="H1031">
        <f t="shared" si="16"/>
        <v>12</v>
      </c>
    </row>
    <row r="1032" spans="1:8" x14ac:dyDescent="0.25">
      <c r="A1032" s="5">
        <v>44904</v>
      </c>
      <c r="B1032" s="30">
        <v>1</v>
      </c>
      <c r="C1032" s="30">
        <v>3</v>
      </c>
      <c r="D1032" s="30">
        <v>3</v>
      </c>
      <c r="E1032" s="30">
        <v>2</v>
      </c>
      <c r="F1032" s="30">
        <v>1</v>
      </c>
      <c r="G1032" s="1" t="s">
        <v>0</v>
      </c>
      <c r="H1032">
        <f t="shared" si="16"/>
        <v>12</v>
      </c>
    </row>
    <row r="1033" spans="1:8" x14ac:dyDescent="0.25">
      <c r="A1033" s="5">
        <v>44904</v>
      </c>
      <c r="B1033" s="30">
        <v>0</v>
      </c>
      <c r="C1033" s="30">
        <v>4</v>
      </c>
      <c r="D1033" s="30">
        <v>3</v>
      </c>
      <c r="E1033" s="30">
        <v>2</v>
      </c>
      <c r="F1033" s="30">
        <v>3</v>
      </c>
      <c r="G1033" s="1" t="s">
        <v>1</v>
      </c>
      <c r="H1033">
        <f t="shared" si="16"/>
        <v>12</v>
      </c>
    </row>
    <row r="1034" spans="1:8" x14ac:dyDescent="0.25">
      <c r="A1034" s="5">
        <v>44904</v>
      </c>
      <c r="B1034" s="30">
        <v>2</v>
      </c>
      <c r="C1034" s="30">
        <v>3</v>
      </c>
      <c r="D1034" s="30">
        <v>1</v>
      </c>
      <c r="E1034" s="30">
        <v>3</v>
      </c>
      <c r="F1034" s="30">
        <v>4</v>
      </c>
      <c r="G1034" s="1" t="s">
        <v>2</v>
      </c>
      <c r="H1034">
        <f t="shared" si="16"/>
        <v>12</v>
      </c>
    </row>
    <row r="1035" spans="1:8" x14ac:dyDescent="0.25">
      <c r="A1035" s="5">
        <v>44905</v>
      </c>
      <c r="B1035" s="30">
        <v>3</v>
      </c>
      <c r="C1035" s="30">
        <v>3</v>
      </c>
      <c r="D1035" s="30">
        <v>3</v>
      </c>
      <c r="E1035" s="30">
        <v>5</v>
      </c>
      <c r="F1035" s="30">
        <v>2</v>
      </c>
      <c r="G1035" s="1" t="s">
        <v>0</v>
      </c>
      <c r="H1035">
        <f t="shared" si="16"/>
        <v>12</v>
      </c>
    </row>
    <row r="1036" spans="1:8" x14ac:dyDescent="0.25">
      <c r="A1036" s="5">
        <v>44905</v>
      </c>
      <c r="B1036" s="30">
        <v>3</v>
      </c>
      <c r="C1036" s="30">
        <v>6</v>
      </c>
      <c r="D1036" s="30">
        <v>4</v>
      </c>
      <c r="E1036" s="30">
        <v>10</v>
      </c>
      <c r="F1036" s="30">
        <v>5</v>
      </c>
      <c r="G1036" s="1" t="s">
        <v>1</v>
      </c>
      <c r="H1036">
        <f t="shared" si="16"/>
        <v>12</v>
      </c>
    </row>
    <row r="1037" spans="1:8" x14ac:dyDescent="0.25">
      <c r="A1037" s="5">
        <v>44905</v>
      </c>
      <c r="B1037" s="30">
        <v>1</v>
      </c>
      <c r="C1037" s="30">
        <v>5</v>
      </c>
      <c r="D1037" s="30">
        <v>5</v>
      </c>
      <c r="E1037" s="30">
        <v>3</v>
      </c>
      <c r="F1037" s="30">
        <v>4</v>
      </c>
      <c r="G1037" s="1" t="s">
        <v>2</v>
      </c>
      <c r="H1037">
        <f t="shared" si="16"/>
        <v>12</v>
      </c>
    </row>
    <row r="1038" spans="1:8" x14ac:dyDescent="0.25">
      <c r="A1038" s="5">
        <v>44906</v>
      </c>
      <c r="B1038" s="30">
        <v>1</v>
      </c>
      <c r="C1038" s="30">
        <v>3</v>
      </c>
      <c r="D1038" s="30">
        <v>3</v>
      </c>
      <c r="E1038" s="30">
        <v>10</v>
      </c>
      <c r="F1038" s="30">
        <v>6</v>
      </c>
      <c r="G1038" s="1" t="s">
        <v>0</v>
      </c>
      <c r="H1038">
        <f t="shared" si="16"/>
        <v>12</v>
      </c>
    </row>
    <row r="1039" spans="1:8" x14ac:dyDescent="0.25">
      <c r="A1039" s="5">
        <v>44906</v>
      </c>
      <c r="B1039" s="30">
        <v>7</v>
      </c>
      <c r="C1039" s="30">
        <v>8</v>
      </c>
      <c r="D1039" s="30">
        <v>4</v>
      </c>
      <c r="E1039" s="30">
        <v>5</v>
      </c>
      <c r="F1039" s="30">
        <v>7</v>
      </c>
      <c r="G1039" s="1" t="s">
        <v>1</v>
      </c>
      <c r="H1039">
        <f t="shared" si="16"/>
        <v>12</v>
      </c>
    </row>
    <row r="1040" spans="1:8" x14ac:dyDescent="0.25">
      <c r="A1040" s="5">
        <v>44906</v>
      </c>
      <c r="B1040" s="30">
        <v>3</v>
      </c>
      <c r="C1040" s="30">
        <v>9</v>
      </c>
      <c r="D1040" s="30">
        <v>3</v>
      </c>
      <c r="E1040" s="30">
        <v>2</v>
      </c>
      <c r="F1040" s="30">
        <v>2</v>
      </c>
      <c r="G1040" s="1" t="s">
        <v>2</v>
      </c>
      <c r="H1040">
        <f t="shared" si="16"/>
        <v>12</v>
      </c>
    </row>
    <row r="1041" spans="1:8" x14ac:dyDescent="0.25">
      <c r="A1041" s="5">
        <v>44907</v>
      </c>
      <c r="B1041" s="30">
        <v>0</v>
      </c>
      <c r="C1041" s="30">
        <v>3</v>
      </c>
      <c r="D1041" s="30">
        <v>5</v>
      </c>
      <c r="E1041" s="30">
        <v>2</v>
      </c>
      <c r="F1041" s="30">
        <v>1</v>
      </c>
      <c r="G1041" s="1" t="s">
        <v>0</v>
      </c>
      <c r="H1041">
        <f t="shared" si="16"/>
        <v>12</v>
      </c>
    </row>
    <row r="1042" spans="1:8" x14ac:dyDescent="0.25">
      <c r="A1042" s="5">
        <v>44907</v>
      </c>
      <c r="B1042" s="30">
        <v>0</v>
      </c>
      <c r="C1042" s="30">
        <v>8</v>
      </c>
      <c r="D1042" s="30">
        <v>3</v>
      </c>
      <c r="E1042" s="30">
        <v>5</v>
      </c>
      <c r="F1042" s="30">
        <v>1</v>
      </c>
      <c r="G1042" s="1" t="s">
        <v>1</v>
      </c>
      <c r="H1042">
        <f t="shared" si="16"/>
        <v>12</v>
      </c>
    </row>
    <row r="1043" spans="1:8" x14ac:dyDescent="0.25">
      <c r="A1043" s="5">
        <v>44907</v>
      </c>
      <c r="B1043" s="30">
        <v>3</v>
      </c>
      <c r="C1043" s="30">
        <v>3</v>
      </c>
      <c r="D1043" s="30">
        <v>6</v>
      </c>
      <c r="E1043" s="30">
        <v>2</v>
      </c>
      <c r="F1043" s="30">
        <v>3</v>
      </c>
      <c r="G1043" s="1" t="s">
        <v>2</v>
      </c>
      <c r="H1043">
        <f t="shared" si="16"/>
        <v>12</v>
      </c>
    </row>
    <row r="1044" spans="1:8" x14ac:dyDescent="0.25">
      <c r="A1044" s="5">
        <v>44908</v>
      </c>
      <c r="B1044" s="30">
        <v>5</v>
      </c>
      <c r="C1044" s="30">
        <v>5</v>
      </c>
      <c r="D1044" s="30">
        <v>4</v>
      </c>
      <c r="E1044" s="30">
        <v>3</v>
      </c>
      <c r="F1044" s="30">
        <v>6</v>
      </c>
      <c r="G1044" s="1" t="s">
        <v>0</v>
      </c>
      <c r="H1044">
        <f t="shared" si="16"/>
        <v>12</v>
      </c>
    </row>
    <row r="1045" spans="1:8" x14ac:dyDescent="0.25">
      <c r="A1045" s="5">
        <v>44908</v>
      </c>
      <c r="B1045" s="30">
        <v>5</v>
      </c>
      <c r="C1045" s="30">
        <v>5</v>
      </c>
      <c r="D1045" s="30">
        <v>4</v>
      </c>
      <c r="E1045" s="30">
        <v>4</v>
      </c>
      <c r="F1045" s="30">
        <v>0</v>
      </c>
      <c r="G1045" s="1" t="s">
        <v>1</v>
      </c>
      <c r="H1045">
        <f t="shared" si="16"/>
        <v>12</v>
      </c>
    </row>
    <row r="1046" spans="1:8" x14ac:dyDescent="0.25">
      <c r="A1046" s="5">
        <v>44908</v>
      </c>
      <c r="B1046" s="30">
        <v>3</v>
      </c>
      <c r="C1046" s="30">
        <v>8</v>
      </c>
      <c r="D1046" s="30">
        <v>4</v>
      </c>
      <c r="E1046" s="30">
        <v>1</v>
      </c>
      <c r="F1046" s="30">
        <v>1</v>
      </c>
      <c r="G1046" s="1" t="s">
        <v>2</v>
      </c>
      <c r="H1046">
        <f t="shared" si="16"/>
        <v>12</v>
      </c>
    </row>
    <row r="1047" spans="1:8" x14ac:dyDescent="0.25">
      <c r="A1047" s="5">
        <v>44909</v>
      </c>
      <c r="B1047" s="30">
        <v>5</v>
      </c>
      <c r="C1047" s="30">
        <v>1</v>
      </c>
      <c r="D1047" s="30">
        <v>2</v>
      </c>
      <c r="E1047" s="30">
        <v>1</v>
      </c>
      <c r="F1047" s="30">
        <v>4</v>
      </c>
      <c r="G1047" s="1" t="s">
        <v>0</v>
      </c>
      <c r="H1047">
        <f t="shared" si="16"/>
        <v>12</v>
      </c>
    </row>
    <row r="1048" spans="1:8" x14ac:dyDescent="0.25">
      <c r="A1048" s="5">
        <v>44909</v>
      </c>
      <c r="B1048" s="30">
        <v>10</v>
      </c>
      <c r="C1048" s="30">
        <v>4</v>
      </c>
      <c r="D1048" s="30">
        <v>2</v>
      </c>
      <c r="E1048" s="30">
        <v>7</v>
      </c>
      <c r="F1048" s="30">
        <v>2</v>
      </c>
      <c r="G1048" s="1" t="s">
        <v>1</v>
      </c>
      <c r="H1048">
        <f t="shared" si="16"/>
        <v>12</v>
      </c>
    </row>
    <row r="1049" spans="1:8" x14ac:dyDescent="0.25">
      <c r="A1049" s="5">
        <v>44909</v>
      </c>
      <c r="B1049" s="30">
        <v>4</v>
      </c>
      <c r="C1049" s="30">
        <v>2</v>
      </c>
      <c r="D1049" s="30">
        <v>3</v>
      </c>
      <c r="E1049" s="30">
        <v>4</v>
      </c>
      <c r="F1049" s="30">
        <v>2</v>
      </c>
      <c r="G1049" s="1" t="s">
        <v>2</v>
      </c>
      <c r="H1049">
        <f t="shared" si="16"/>
        <v>12</v>
      </c>
    </row>
    <row r="1050" spans="1:8" x14ac:dyDescent="0.25">
      <c r="A1050" s="5">
        <v>44910</v>
      </c>
      <c r="B1050" s="30">
        <v>2</v>
      </c>
      <c r="C1050" s="30">
        <v>3</v>
      </c>
      <c r="D1050" s="30">
        <v>3</v>
      </c>
      <c r="E1050" s="30">
        <v>5</v>
      </c>
      <c r="F1050" s="30">
        <v>3</v>
      </c>
      <c r="G1050" s="1" t="s">
        <v>0</v>
      </c>
      <c r="H1050">
        <f t="shared" si="16"/>
        <v>12</v>
      </c>
    </row>
    <row r="1051" spans="1:8" x14ac:dyDescent="0.25">
      <c r="A1051" s="5">
        <v>44910</v>
      </c>
      <c r="B1051" s="30">
        <v>2</v>
      </c>
      <c r="C1051" s="30">
        <v>0</v>
      </c>
      <c r="D1051" s="30">
        <v>7</v>
      </c>
      <c r="E1051" s="30">
        <v>5</v>
      </c>
      <c r="F1051" s="30">
        <v>2</v>
      </c>
      <c r="G1051" s="1" t="s">
        <v>1</v>
      </c>
      <c r="H1051">
        <f t="shared" si="16"/>
        <v>12</v>
      </c>
    </row>
    <row r="1052" spans="1:8" x14ac:dyDescent="0.25">
      <c r="A1052" s="5">
        <v>44910</v>
      </c>
      <c r="B1052" s="30">
        <v>3</v>
      </c>
      <c r="C1052" s="30">
        <v>4</v>
      </c>
      <c r="D1052" s="30">
        <v>5</v>
      </c>
      <c r="E1052" s="30">
        <v>2</v>
      </c>
      <c r="F1052" s="30">
        <v>0</v>
      </c>
      <c r="G1052" s="1" t="s">
        <v>2</v>
      </c>
      <c r="H1052">
        <f t="shared" si="16"/>
        <v>12</v>
      </c>
    </row>
    <row r="1053" spans="1:8" x14ac:dyDescent="0.25">
      <c r="A1053" s="5">
        <v>44911</v>
      </c>
      <c r="B1053" s="30">
        <v>2</v>
      </c>
      <c r="C1053" s="30">
        <v>7</v>
      </c>
      <c r="D1053" s="30">
        <v>4</v>
      </c>
      <c r="E1053" s="30">
        <v>1</v>
      </c>
      <c r="F1053" s="30">
        <v>6</v>
      </c>
      <c r="G1053" s="1" t="s">
        <v>0</v>
      </c>
      <c r="H1053">
        <f t="shared" si="16"/>
        <v>12</v>
      </c>
    </row>
    <row r="1054" spans="1:8" x14ac:dyDescent="0.25">
      <c r="A1054" s="5">
        <v>44911</v>
      </c>
      <c r="B1054" s="30">
        <v>9</v>
      </c>
      <c r="C1054" s="30">
        <v>3</v>
      </c>
      <c r="D1054" s="30">
        <v>4</v>
      </c>
      <c r="E1054" s="30">
        <v>6</v>
      </c>
      <c r="F1054" s="30">
        <v>0</v>
      </c>
      <c r="G1054" s="1" t="s">
        <v>1</v>
      </c>
      <c r="H1054">
        <f t="shared" si="16"/>
        <v>12</v>
      </c>
    </row>
    <row r="1055" spans="1:8" x14ac:dyDescent="0.25">
      <c r="A1055" s="5">
        <v>44911</v>
      </c>
      <c r="B1055" s="30">
        <v>1</v>
      </c>
      <c r="C1055" s="30">
        <v>0</v>
      </c>
      <c r="D1055" s="30">
        <v>6</v>
      </c>
      <c r="E1055" s="30">
        <v>0</v>
      </c>
      <c r="F1055" s="30">
        <v>1</v>
      </c>
      <c r="G1055" s="1" t="s">
        <v>2</v>
      </c>
      <c r="H1055">
        <f t="shared" si="16"/>
        <v>12</v>
      </c>
    </row>
    <row r="1056" spans="1:8" x14ac:dyDescent="0.25">
      <c r="A1056" s="5">
        <v>44912</v>
      </c>
      <c r="B1056" s="30">
        <v>0</v>
      </c>
      <c r="C1056" s="30">
        <v>3</v>
      </c>
      <c r="D1056" s="30">
        <v>0</v>
      </c>
      <c r="E1056" s="30">
        <v>3</v>
      </c>
      <c r="F1056" s="30">
        <v>4</v>
      </c>
      <c r="G1056" s="1" t="s">
        <v>0</v>
      </c>
      <c r="H1056">
        <f t="shared" si="16"/>
        <v>12</v>
      </c>
    </row>
    <row r="1057" spans="1:8" x14ac:dyDescent="0.25">
      <c r="A1057" s="5">
        <v>44912</v>
      </c>
      <c r="B1057" s="30">
        <v>8</v>
      </c>
      <c r="C1057" s="30">
        <v>3</v>
      </c>
      <c r="D1057" s="30">
        <v>5</v>
      </c>
      <c r="E1057" s="30">
        <v>2</v>
      </c>
      <c r="F1057" s="30">
        <v>1</v>
      </c>
      <c r="G1057" s="1" t="s">
        <v>1</v>
      </c>
      <c r="H1057">
        <f t="shared" si="16"/>
        <v>12</v>
      </c>
    </row>
    <row r="1058" spans="1:8" x14ac:dyDescent="0.25">
      <c r="A1058" s="5">
        <v>44912</v>
      </c>
      <c r="B1058" s="30">
        <v>3</v>
      </c>
      <c r="C1058" s="30">
        <v>0</v>
      </c>
      <c r="D1058" s="30">
        <v>2</v>
      </c>
      <c r="E1058" s="30">
        <v>3</v>
      </c>
      <c r="F1058" s="30">
        <v>7</v>
      </c>
      <c r="G1058" s="1" t="s">
        <v>2</v>
      </c>
      <c r="H1058">
        <f t="shared" si="16"/>
        <v>12</v>
      </c>
    </row>
    <row r="1059" spans="1:8" x14ac:dyDescent="0.25">
      <c r="A1059" s="5">
        <v>44913</v>
      </c>
      <c r="B1059" s="30">
        <v>7</v>
      </c>
      <c r="C1059" s="30">
        <v>9</v>
      </c>
      <c r="D1059" s="30">
        <v>1</v>
      </c>
      <c r="E1059" s="30">
        <v>6</v>
      </c>
      <c r="F1059" s="30">
        <v>5</v>
      </c>
      <c r="G1059" s="1" t="s">
        <v>0</v>
      </c>
      <c r="H1059">
        <f t="shared" si="16"/>
        <v>12</v>
      </c>
    </row>
    <row r="1060" spans="1:8" x14ac:dyDescent="0.25">
      <c r="A1060" s="5">
        <v>44913</v>
      </c>
      <c r="B1060" s="30">
        <v>4</v>
      </c>
      <c r="C1060" s="30">
        <v>4</v>
      </c>
      <c r="D1060" s="30">
        <v>4</v>
      </c>
      <c r="E1060" s="30">
        <v>7</v>
      </c>
      <c r="F1060" s="30">
        <v>2</v>
      </c>
      <c r="G1060" s="1" t="s">
        <v>1</v>
      </c>
      <c r="H1060">
        <f t="shared" si="16"/>
        <v>12</v>
      </c>
    </row>
    <row r="1061" spans="1:8" x14ac:dyDescent="0.25">
      <c r="A1061" s="5">
        <v>44913</v>
      </c>
      <c r="B1061" s="30">
        <v>4</v>
      </c>
      <c r="C1061" s="30">
        <v>8</v>
      </c>
      <c r="D1061" s="30">
        <v>7</v>
      </c>
      <c r="E1061" s="30">
        <v>4</v>
      </c>
      <c r="F1061" s="30">
        <v>3</v>
      </c>
      <c r="G1061" s="1" t="s">
        <v>2</v>
      </c>
      <c r="H1061">
        <f t="shared" si="16"/>
        <v>12</v>
      </c>
    </row>
    <row r="1062" spans="1:8" x14ac:dyDescent="0.25">
      <c r="A1062" s="5">
        <v>44914</v>
      </c>
      <c r="B1062" s="30">
        <v>3</v>
      </c>
      <c r="C1062" s="30">
        <v>7</v>
      </c>
      <c r="D1062" s="30">
        <v>0</v>
      </c>
      <c r="E1062" s="30">
        <v>3</v>
      </c>
      <c r="F1062" s="30">
        <v>1</v>
      </c>
      <c r="G1062" s="1" t="s">
        <v>0</v>
      </c>
      <c r="H1062">
        <f t="shared" si="16"/>
        <v>12</v>
      </c>
    </row>
    <row r="1063" spans="1:8" x14ac:dyDescent="0.25">
      <c r="A1063" s="5">
        <v>44914</v>
      </c>
      <c r="B1063" s="30">
        <v>3</v>
      </c>
      <c r="C1063" s="30">
        <v>6</v>
      </c>
      <c r="D1063" s="30">
        <v>1</v>
      </c>
      <c r="E1063" s="30">
        <v>6</v>
      </c>
      <c r="F1063" s="30">
        <v>9</v>
      </c>
      <c r="G1063" s="1" t="s">
        <v>1</v>
      </c>
      <c r="H1063">
        <f t="shared" si="16"/>
        <v>12</v>
      </c>
    </row>
    <row r="1064" spans="1:8" x14ac:dyDescent="0.25">
      <c r="A1064" s="5">
        <v>44914</v>
      </c>
      <c r="B1064" s="30">
        <v>7</v>
      </c>
      <c r="C1064" s="30">
        <v>3</v>
      </c>
      <c r="D1064" s="30">
        <v>2</v>
      </c>
      <c r="E1064" s="30">
        <v>9</v>
      </c>
      <c r="F1064" s="30">
        <v>4</v>
      </c>
      <c r="G1064" s="1" t="s">
        <v>2</v>
      </c>
      <c r="H1064">
        <f t="shared" si="16"/>
        <v>12</v>
      </c>
    </row>
    <row r="1065" spans="1:8" x14ac:dyDescent="0.25">
      <c r="A1065" s="5">
        <v>44915</v>
      </c>
      <c r="B1065" s="30">
        <v>5</v>
      </c>
      <c r="C1065" s="30">
        <v>0</v>
      </c>
      <c r="D1065" s="30">
        <v>5</v>
      </c>
      <c r="E1065" s="30">
        <v>0</v>
      </c>
      <c r="F1065" s="30">
        <v>10</v>
      </c>
      <c r="G1065" s="1" t="s">
        <v>0</v>
      </c>
      <c r="H1065">
        <f t="shared" si="16"/>
        <v>12</v>
      </c>
    </row>
    <row r="1066" spans="1:8" x14ac:dyDescent="0.25">
      <c r="A1066" s="5">
        <v>44915</v>
      </c>
      <c r="B1066" s="30">
        <v>2</v>
      </c>
      <c r="C1066" s="30">
        <v>1</v>
      </c>
      <c r="D1066" s="30">
        <v>1</v>
      </c>
      <c r="E1066" s="30">
        <v>1</v>
      </c>
      <c r="F1066" s="30">
        <v>10</v>
      </c>
      <c r="G1066" s="1" t="s">
        <v>1</v>
      </c>
      <c r="H1066">
        <f t="shared" si="16"/>
        <v>12</v>
      </c>
    </row>
    <row r="1067" spans="1:8" x14ac:dyDescent="0.25">
      <c r="A1067" s="5">
        <v>44915</v>
      </c>
      <c r="B1067" s="30">
        <v>2</v>
      </c>
      <c r="C1067" s="30">
        <v>0</v>
      </c>
      <c r="D1067" s="30">
        <v>2</v>
      </c>
      <c r="E1067" s="30">
        <v>3</v>
      </c>
      <c r="F1067" s="30">
        <v>2</v>
      </c>
      <c r="G1067" s="1" t="s">
        <v>2</v>
      </c>
      <c r="H1067">
        <f t="shared" si="16"/>
        <v>12</v>
      </c>
    </row>
    <row r="1068" spans="1:8" x14ac:dyDescent="0.25">
      <c r="A1068" s="5">
        <v>44916</v>
      </c>
      <c r="B1068" s="30">
        <v>4</v>
      </c>
      <c r="C1068" s="30">
        <v>8</v>
      </c>
      <c r="D1068" s="30">
        <v>9</v>
      </c>
      <c r="E1068" s="30">
        <v>4</v>
      </c>
      <c r="F1068" s="30">
        <v>1</v>
      </c>
      <c r="G1068" s="1" t="s">
        <v>0</v>
      </c>
      <c r="H1068">
        <f t="shared" si="16"/>
        <v>12</v>
      </c>
    </row>
    <row r="1069" spans="1:8" x14ac:dyDescent="0.25">
      <c r="A1069" s="5">
        <v>44916</v>
      </c>
      <c r="B1069" s="30">
        <v>2</v>
      </c>
      <c r="C1069" s="30">
        <v>5</v>
      </c>
      <c r="D1069" s="30">
        <v>3</v>
      </c>
      <c r="E1069" s="30">
        <v>4</v>
      </c>
      <c r="F1069" s="30">
        <v>5</v>
      </c>
      <c r="G1069" s="1" t="s">
        <v>1</v>
      </c>
      <c r="H1069">
        <f t="shared" si="16"/>
        <v>12</v>
      </c>
    </row>
    <row r="1070" spans="1:8" x14ac:dyDescent="0.25">
      <c r="A1070" s="5">
        <v>44916</v>
      </c>
      <c r="B1070" s="30">
        <v>5</v>
      </c>
      <c r="C1070" s="30">
        <v>6</v>
      </c>
      <c r="D1070" s="30">
        <v>6</v>
      </c>
      <c r="E1070" s="30">
        <v>3</v>
      </c>
      <c r="F1070" s="30">
        <v>8</v>
      </c>
      <c r="G1070" s="1" t="s">
        <v>2</v>
      </c>
      <c r="H1070">
        <f t="shared" si="16"/>
        <v>12</v>
      </c>
    </row>
    <row r="1071" spans="1:8" x14ac:dyDescent="0.25">
      <c r="A1071" s="5">
        <v>44917</v>
      </c>
      <c r="B1071" s="30">
        <v>1</v>
      </c>
      <c r="C1071" s="30">
        <v>3</v>
      </c>
      <c r="D1071" s="30">
        <v>7</v>
      </c>
      <c r="E1071" s="30">
        <v>3</v>
      </c>
      <c r="F1071" s="30">
        <v>2</v>
      </c>
      <c r="G1071" s="1" t="s">
        <v>0</v>
      </c>
      <c r="H1071">
        <f t="shared" si="16"/>
        <v>12</v>
      </c>
    </row>
    <row r="1072" spans="1:8" x14ac:dyDescent="0.25">
      <c r="A1072" s="5">
        <v>44917</v>
      </c>
      <c r="B1072" s="30">
        <v>0</v>
      </c>
      <c r="C1072" s="30">
        <v>3</v>
      </c>
      <c r="D1072" s="30">
        <v>3</v>
      </c>
      <c r="E1072" s="30">
        <v>2</v>
      </c>
      <c r="F1072" s="30">
        <v>0</v>
      </c>
      <c r="G1072" s="1" t="s">
        <v>1</v>
      </c>
      <c r="H1072">
        <f t="shared" si="16"/>
        <v>12</v>
      </c>
    </row>
    <row r="1073" spans="1:8" x14ac:dyDescent="0.25">
      <c r="A1073" s="5">
        <v>44917</v>
      </c>
      <c r="B1073" s="30">
        <v>3</v>
      </c>
      <c r="C1073" s="30">
        <v>9</v>
      </c>
      <c r="D1073" s="30">
        <v>2</v>
      </c>
      <c r="E1073" s="30">
        <v>5</v>
      </c>
      <c r="F1073" s="30">
        <v>5</v>
      </c>
      <c r="G1073" s="1" t="s">
        <v>2</v>
      </c>
      <c r="H1073">
        <f t="shared" si="16"/>
        <v>12</v>
      </c>
    </row>
    <row r="1074" spans="1:8" x14ac:dyDescent="0.25">
      <c r="A1074" s="5">
        <v>44918</v>
      </c>
      <c r="B1074" s="30">
        <v>4</v>
      </c>
      <c r="C1074" s="30">
        <v>5</v>
      </c>
      <c r="D1074" s="30">
        <v>0</v>
      </c>
      <c r="E1074" s="30">
        <v>3</v>
      </c>
      <c r="F1074" s="30">
        <v>3</v>
      </c>
      <c r="G1074" s="1" t="s">
        <v>0</v>
      </c>
      <c r="H1074">
        <f t="shared" si="16"/>
        <v>12</v>
      </c>
    </row>
    <row r="1075" spans="1:8" x14ac:dyDescent="0.25">
      <c r="A1075" s="5">
        <v>44918</v>
      </c>
      <c r="B1075" s="30">
        <v>5</v>
      </c>
      <c r="C1075" s="30">
        <v>5</v>
      </c>
      <c r="D1075" s="30">
        <v>10</v>
      </c>
      <c r="E1075" s="30">
        <v>3</v>
      </c>
      <c r="F1075" s="30">
        <v>3</v>
      </c>
      <c r="G1075" s="1" t="s">
        <v>1</v>
      </c>
      <c r="H1075">
        <f t="shared" si="16"/>
        <v>12</v>
      </c>
    </row>
    <row r="1076" spans="1:8" x14ac:dyDescent="0.25">
      <c r="A1076" s="5">
        <v>44918</v>
      </c>
      <c r="B1076" s="30">
        <v>5</v>
      </c>
      <c r="C1076" s="30">
        <v>2</v>
      </c>
      <c r="D1076" s="30">
        <v>1</v>
      </c>
      <c r="E1076" s="30">
        <v>4</v>
      </c>
      <c r="F1076" s="30">
        <v>1</v>
      </c>
      <c r="G1076" s="1" t="s">
        <v>2</v>
      </c>
      <c r="H1076">
        <f t="shared" si="16"/>
        <v>12</v>
      </c>
    </row>
    <row r="1077" spans="1:8" x14ac:dyDescent="0.25">
      <c r="A1077" s="5">
        <v>44919</v>
      </c>
      <c r="B1077" s="30">
        <v>7</v>
      </c>
      <c r="C1077" s="30">
        <v>3</v>
      </c>
      <c r="D1077" s="30">
        <v>9</v>
      </c>
      <c r="E1077" s="30">
        <v>3</v>
      </c>
      <c r="F1077" s="30">
        <v>0</v>
      </c>
      <c r="G1077" s="1" t="s">
        <v>0</v>
      </c>
      <c r="H1077">
        <f t="shared" si="16"/>
        <v>12</v>
      </c>
    </row>
    <row r="1078" spans="1:8" x14ac:dyDescent="0.25">
      <c r="A1078" s="5">
        <v>44919</v>
      </c>
      <c r="B1078" s="30">
        <v>1</v>
      </c>
      <c r="C1078" s="30">
        <v>2</v>
      </c>
      <c r="D1078" s="30">
        <v>3</v>
      </c>
      <c r="E1078" s="30">
        <v>2</v>
      </c>
      <c r="F1078" s="30">
        <v>1</v>
      </c>
      <c r="G1078" s="1" t="s">
        <v>1</v>
      </c>
      <c r="H1078">
        <f t="shared" si="16"/>
        <v>12</v>
      </c>
    </row>
    <row r="1079" spans="1:8" x14ac:dyDescent="0.25">
      <c r="A1079" s="5">
        <v>44919</v>
      </c>
      <c r="B1079" s="30">
        <v>6</v>
      </c>
      <c r="C1079" s="30">
        <v>4</v>
      </c>
      <c r="D1079" s="30">
        <v>9</v>
      </c>
      <c r="E1079" s="30">
        <v>0</v>
      </c>
      <c r="F1079" s="30">
        <v>10</v>
      </c>
      <c r="G1079" s="1" t="s">
        <v>2</v>
      </c>
      <c r="H1079">
        <f t="shared" si="16"/>
        <v>12</v>
      </c>
    </row>
    <row r="1080" spans="1:8" x14ac:dyDescent="0.25">
      <c r="A1080" s="5">
        <v>44920</v>
      </c>
      <c r="B1080" s="30">
        <v>8</v>
      </c>
      <c r="C1080" s="30">
        <v>4</v>
      </c>
      <c r="D1080" s="30">
        <v>4</v>
      </c>
      <c r="E1080" s="30">
        <v>6</v>
      </c>
      <c r="F1080" s="30">
        <v>0</v>
      </c>
      <c r="G1080" s="1" t="s">
        <v>0</v>
      </c>
      <c r="H1080">
        <f t="shared" si="16"/>
        <v>12</v>
      </c>
    </row>
    <row r="1081" spans="1:8" x14ac:dyDescent="0.25">
      <c r="A1081" s="5">
        <v>44920</v>
      </c>
      <c r="B1081" s="30">
        <v>2</v>
      </c>
      <c r="C1081" s="30">
        <v>9</v>
      </c>
      <c r="D1081" s="30">
        <v>1</v>
      </c>
      <c r="E1081" s="30">
        <v>4</v>
      </c>
      <c r="F1081" s="30">
        <v>2</v>
      </c>
      <c r="G1081" s="1" t="s">
        <v>1</v>
      </c>
      <c r="H1081">
        <f t="shared" si="16"/>
        <v>12</v>
      </c>
    </row>
    <row r="1082" spans="1:8" x14ac:dyDescent="0.25">
      <c r="A1082" s="5">
        <v>44920</v>
      </c>
      <c r="B1082" s="30">
        <v>9</v>
      </c>
      <c r="C1082" s="30">
        <v>1</v>
      </c>
      <c r="D1082" s="30">
        <v>9</v>
      </c>
      <c r="E1082" s="30">
        <v>1</v>
      </c>
      <c r="F1082" s="30">
        <v>8</v>
      </c>
      <c r="G1082" s="1" t="s">
        <v>2</v>
      </c>
      <c r="H1082">
        <f t="shared" si="16"/>
        <v>12</v>
      </c>
    </row>
    <row r="1083" spans="1:8" x14ac:dyDescent="0.25">
      <c r="A1083" s="5">
        <v>44921</v>
      </c>
      <c r="B1083" s="30">
        <v>5</v>
      </c>
      <c r="C1083" s="30">
        <v>2</v>
      </c>
      <c r="D1083" s="30">
        <v>3</v>
      </c>
      <c r="E1083" s="30">
        <v>2</v>
      </c>
      <c r="F1083" s="30">
        <v>4</v>
      </c>
      <c r="G1083" s="1" t="s">
        <v>0</v>
      </c>
      <c r="H1083">
        <f t="shared" si="16"/>
        <v>12</v>
      </c>
    </row>
    <row r="1084" spans="1:8" x14ac:dyDescent="0.25">
      <c r="A1084" s="5">
        <v>44921</v>
      </c>
      <c r="B1084" s="30">
        <v>1</v>
      </c>
      <c r="C1084" s="30">
        <v>4</v>
      </c>
      <c r="D1084" s="30">
        <v>4</v>
      </c>
      <c r="E1084" s="30">
        <v>3</v>
      </c>
      <c r="F1084" s="30">
        <v>0</v>
      </c>
      <c r="G1084" s="1" t="s">
        <v>1</v>
      </c>
      <c r="H1084">
        <f t="shared" si="16"/>
        <v>12</v>
      </c>
    </row>
    <row r="1085" spans="1:8" x14ac:dyDescent="0.25">
      <c r="A1085" s="5">
        <v>44921</v>
      </c>
      <c r="B1085" s="30">
        <v>3</v>
      </c>
      <c r="C1085" s="30">
        <v>2</v>
      </c>
      <c r="D1085" s="30">
        <v>0</v>
      </c>
      <c r="E1085" s="30">
        <v>0</v>
      </c>
      <c r="F1085" s="30">
        <v>4</v>
      </c>
      <c r="G1085" s="1" t="s">
        <v>2</v>
      </c>
      <c r="H1085">
        <f t="shared" si="16"/>
        <v>12</v>
      </c>
    </row>
    <row r="1086" spans="1:8" x14ac:dyDescent="0.25">
      <c r="A1086" s="5">
        <v>44922</v>
      </c>
      <c r="B1086" s="30">
        <v>4</v>
      </c>
      <c r="C1086" s="30">
        <v>1</v>
      </c>
      <c r="D1086" s="30">
        <v>1</v>
      </c>
      <c r="E1086" s="30">
        <v>0</v>
      </c>
      <c r="F1086" s="30">
        <v>4</v>
      </c>
      <c r="G1086" s="1" t="s">
        <v>0</v>
      </c>
      <c r="H1086">
        <f t="shared" si="16"/>
        <v>12</v>
      </c>
    </row>
    <row r="1087" spans="1:8" x14ac:dyDescent="0.25">
      <c r="A1087" s="5">
        <v>44922</v>
      </c>
      <c r="B1087" s="30">
        <v>2</v>
      </c>
      <c r="C1087" s="30">
        <v>3</v>
      </c>
      <c r="D1087" s="30">
        <v>4</v>
      </c>
      <c r="E1087" s="30">
        <v>2</v>
      </c>
      <c r="F1087" s="30">
        <v>8</v>
      </c>
      <c r="G1087" s="1" t="s">
        <v>1</v>
      </c>
      <c r="H1087">
        <f t="shared" si="16"/>
        <v>12</v>
      </c>
    </row>
    <row r="1088" spans="1:8" x14ac:dyDescent="0.25">
      <c r="A1088" s="5">
        <v>44922</v>
      </c>
      <c r="B1088" s="30">
        <v>4</v>
      </c>
      <c r="C1088" s="30">
        <v>3</v>
      </c>
      <c r="D1088" s="30">
        <v>6</v>
      </c>
      <c r="E1088" s="30">
        <v>0</v>
      </c>
      <c r="F1088" s="30">
        <v>3</v>
      </c>
      <c r="G1088" s="1" t="s">
        <v>2</v>
      </c>
      <c r="H1088">
        <f t="shared" si="16"/>
        <v>12</v>
      </c>
    </row>
    <row r="1089" spans="1:8" x14ac:dyDescent="0.25">
      <c r="A1089" s="5">
        <v>44923</v>
      </c>
      <c r="B1089" s="30">
        <v>0</v>
      </c>
      <c r="C1089" s="30">
        <v>3</v>
      </c>
      <c r="D1089" s="30">
        <v>3</v>
      </c>
      <c r="E1089" s="30">
        <v>5</v>
      </c>
      <c r="F1089" s="30">
        <v>4</v>
      </c>
      <c r="G1089" s="1" t="s">
        <v>0</v>
      </c>
      <c r="H1089">
        <f t="shared" si="16"/>
        <v>12</v>
      </c>
    </row>
    <row r="1090" spans="1:8" x14ac:dyDescent="0.25">
      <c r="A1090" s="5">
        <v>44923</v>
      </c>
      <c r="B1090" s="30">
        <v>10</v>
      </c>
      <c r="C1090" s="30">
        <v>2</v>
      </c>
      <c r="D1090" s="30">
        <v>1</v>
      </c>
      <c r="E1090" s="30">
        <v>0</v>
      </c>
      <c r="F1090" s="30">
        <v>4</v>
      </c>
      <c r="G1090" s="1" t="s">
        <v>1</v>
      </c>
      <c r="H1090">
        <f t="shared" si="16"/>
        <v>12</v>
      </c>
    </row>
    <row r="1091" spans="1:8" x14ac:dyDescent="0.25">
      <c r="A1091" s="5">
        <v>44923</v>
      </c>
      <c r="B1091" s="30">
        <v>1</v>
      </c>
      <c r="C1091" s="30">
        <v>4</v>
      </c>
      <c r="D1091" s="30">
        <v>3</v>
      </c>
      <c r="E1091" s="30">
        <v>5</v>
      </c>
      <c r="F1091" s="30">
        <v>3</v>
      </c>
      <c r="G1091" s="1" t="s">
        <v>2</v>
      </c>
      <c r="H1091">
        <f t="shared" si="16"/>
        <v>12</v>
      </c>
    </row>
    <row r="1092" spans="1:8" x14ac:dyDescent="0.25">
      <c r="A1092" s="5">
        <v>44924</v>
      </c>
      <c r="B1092" s="30">
        <v>5</v>
      </c>
      <c r="C1092" s="30">
        <v>0</v>
      </c>
      <c r="D1092" s="30">
        <v>2</v>
      </c>
      <c r="E1092" s="30">
        <v>3</v>
      </c>
      <c r="F1092" s="30">
        <v>10</v>
      </c>
      <c r="G1092" s="1" t="s">
        <v>0</v>
      </c>
      <c r="H1092">
        <f t="shared" ref="H1092:H1100" si="17">MONTH(A1092)</f>
        <v>12</v>
      </c>
    </row>
    <row r="1093" spans="1:8" x14ac:dyDescent="0.25">
      <c r="A1093" s="5">
        <v>44924</v>
      </c>
      <c r="B1093" s="30">
        <v>3</v>
      </c>
      <c r="C1093" s="30">
        <v>1</v>
      </c>
      <c r="D1093" s="30">
        <v>6</v>
      </c>
      <c r="E1093" s="30">
        <v>3</v>
      </c>
      <c r="F1093" s="30">
        <v>4</v>
      </c>
      <c r="G1093" s="1" t="s">
        <v>1</v>
      </c>
      <c r="H1093">
        <f t="shared" si="17"/>
        <v>12</v>
      </c>
    </row>
    <row r="1094" spans="1:8" x14ac:dyDescent="0.25">
      <c r="A1094" s="5">
        <v>44924</v>
      </c>
      <c r="B1094" s="30">
        <v>7</v>
      </c>
      <c r="C1094" s="30">
        <v>7</v>
      </c>
      <c r="D1094" s="30">
        <v>4</v>
      </c>
      <c r="E1094" s="30">
        <v>9</v>
      </c>
      <c r="F1094" s="30">
        <v>3</v>
      </c>
      <c r="G1094" s="1" t="s">
        <v>2</v>
      </c>
      <c r="H1094">
        <f t="shared" si="17"/>
        <v>12</v>
      </c>
    </row>
    <row r="1095" spans="1:8" x14ac:dyDescent="0.25">
      <c r="A1095" s="5">
        <v>44925</v>
      </c>
      <c r="B1095" s="30">
        <v>5</v>
      </c>
      <c r="C1095" s="30">
        <v>1</v>
      </c>
      <c r="D1095" s="30">
        <v>3</v>
      </c>
      <c r="E1095" s="30">
        <v>8</v>
      </c>
      <c r="F1095" s="30">
        <v>6</v>
      </c>
      <c r="G1095" s="1" t="s">
        <v>0</v>
      </c>
      <c r="H1095">
        <f t="shared" si="17"/>
        <v>12</v>
      </c>
    </row>
    <row r="1096" spans="1:8" x14ac:dyDescent="0.25">
      <c r="A1096" s="5">
        <v>44925</v>
      </c>
      <c r="B1096" s="30">
        <v>0</v>
      </c>
      <c r="C1096" s="30">
        <v>3</v>
      </c>
      <c r="D1096" s="30">
        <v>4</v>
      </c>
      <c r="E1096" s="30">
        <v>5</v>
      </c>
      <c r="F1096" s="30">
        <v>7</v>
      </c>
      <c r="G1096" s="1" t="s">
        <v>1</v>
      </c>
      <c r="H1096">
        <f t="shared" si="17"/>
        <v>12</v>
      </c>
    </row>
    <row r="1097" spans="1:8" x14ac:dyDescent="0.25">
      <c r="A1097" s="5">
        <v>44925</v>
      </c>
      <c r="B1097" s="30">
        <v>7</v>
      </c>
      <c r="C1097" s="30">
        <v>3</v>
      </c>
      <c r="D1097" s="30">
        <v>8</v>
      </c>
      <c r="E1097" s="30">
        <v>2</v>
      </c>
      <c r="F1097" s="30">
        <v>1</v>
      </c>
      <c r="G1097" s="1" t="s">
        <v>2</v>
      </c>
      <c r="H1097">
        <f t="shared" si="17"/>
        <v>12</v>
      </c>
    </row>
    <row r="1098" spans="1:8" x14ac:dyDescent="0.25">
      <c r="A1098" s="5">
        <v>44926</v>
      </c>
      <c r="B1098" s="30">
        <v>0</v>
      </c>
      <c r="C1098" s="30">
        <v>2</v>
      </c>
      <c r="D1098" s="30">
        <v>2</v>
      </c>
      <c r="E1098" s="30">
        <v>4</v>
      </c>
      <c r="F1098" s="30">
        <v>3</v>
      </c>
      <c r="G1098" s="1" t="s">
        <v>0</v>
      </c>
      <c r="H1098">
        <f t="shared" si="17"/>
        <v>12</v>
      </c>
    </row>
    <row r="1099" spans="1:8" x14ac:dyDescent="0.25">
      <c r="A1099" s="5">
        <v>44926</v>
      </c>
      <c r="B1099" s="30">
        <v>5</v>
      </c>
      <c r="C1099" s="30">
        <v>0</v>
      </c>
      <c r="D1099" s="30">
        <v>6</v>
      </c>
      <c r="E1099" s="30">
        <v>8</v>
      </c>
      <c r="F1099" s="30">
        <v>4</v>
      </c>
      <c r="G1099" s="1" t="s">
        <v>1</v>
      </c>
      <c r="H1099">
        <f t="shared" si="17"/>
        <v>12</v>
      </c>
    </row>
    <row r="1100" spans="1:8" x14ac:dyDescent="0.25">
      <c r="A1100" s="5">
        <v>44926</v>
      </c>
      <c r="B1100" s="30">
        <v>1</v>
      </c>
      <c r="C1100" s="30">
        <v>10</v>
      </c>
      <c r="D1100" s="30">
        <v>4</v>
      </c>
      <c r="E1100" s="30">
        <v>4</v>
      </c>
      <c r="F1100" s="30">
        <v>1</v>
      </c>
      <c r="G1100" s="1" t="s">
        <v>2</v>
      </c>
      <c r="H1100">
        <f t="shared" si="17"/>
        <v>12</v>
      </c>
    </row>
  </sheetData>
  <mergeCells count="3">
    <mergeCell ref="G1:G2"/>
    <mergeCell ref="A1:A2"/>
    <mergeCell ref="B1:F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X368"/>
  <sheetViews>
    <sheetView zoomScale="85" zoomScaleNormal="85" workbookViewId="0">
      <selection activeCell="V8" sqref="V8"/>
    </sheetView>
  </sheetViews>
  <sheetFormatPr defaultRowHeight="15" x14ac:dyDescent="0.25"/>
  <cols>
    <col min="1" max="1" width="10.140625" bestFit="1" customWidth="1"/>
    <col min="2" max="2" width="10" bestFit="1" customWidth="1"/>
    <col min="3" max="3" width="9.140625" customWidth="1"/>
    <col min="4" max="4" width="14.140625" customWidth="1"/>
    <col min="5" max="5" width="13.140625" bestFit="1" customWidth="1"/>
    <col min="6" max="6" width="12.140625" style="1" customWidth="1"/>
    <col min="7" max="7" width="11.28515625" style="1" customWidth="1"/>
    <col min="8" max="8" width="10.28515625" style="1" customWidth="1"/>
    <col min="9" max="9" width="12.28515625" style="1" bestFit="1" customWidth="1"/>
    <col min="10" max="10" width="9.28515625" style="1" bestFit="1" customWidth="1"/>
    <col min="11" max="12" width="10.42578125" customWidth="1"/>
  </cols>
  <sheetData>
    <row r="1" spans="1:24" ht="15" customHeight="1" x14ac:dyDescent="0.25">
      <c r="A1" s="41" t="s">
        <v>61</v>
      </c>
      <c r="B1" s="42" t="s">
        <v>83</v>
      </c>
      <c r="C1" s="42"/>
      <c r="D1" s="42"/>
      <c r="E1" s="42"/>
      <c r="F1" s="42" t="s">
        <v>84</v>
      </c>
      <c r="G1" s="42"/>
      <c r="H1" s="42"/>
      <c r="I1" s="42"/>
      <c r="J1" s="42"/>
      <c r="K1" s="41" t="s">
        <v>80</v>
      </c>
      <c r="L1" s="41" t="s">
        <v>81</v>
      </c>
      <c r="M1" s="41" t="s">
        <v>82</v>
      </c>
      <c r="N1" s="31" t="s">
        <v>73</v>
      </c>
      <c r="O1" s="31" t="s">
        <v>74</v>
      </c>
    </row>
    <row r="2" spans="1:24" ht="45" x14ac:dyDescent="0.25">
      <c r="A2" s="41"/>
      <c r="B2" s="3" t="s">
        <v>76</v>
      </c>
      <c r="C2" s="3" t="s">
        <v>77</v>
      </c>
      <c r="D2" s="3" t="s">
        <v>78</v>
      </c>
      <c r="E2" s="3" t="s">
        <v>79</v>
      </c>
      <c r="F2" s="2" t="s">
        <v>63</v>
      </c>
      <c r="G2" s="2" t="s">
        <v>64</v>
      </c>
      <c r="H2" s="2" t="s">
        <v>65</v>
      </c>
      <c r="I2" s="2" t="s">
        <v>66</v>
      </c>
      <c r="J2" s="2" t="s">
        <v>67</v>
      </c>
      <c r="K2" s="41"/>
      <c r="L2" s="41"/>
      <c r="M2" s="41"/>
      <c r="N2" s="4" t="s">
        <v>75</v>
      </c>
    </row>
    <row r="3" spans="1:24" x14ac:dyDescent="0.25">
      <c r="A3" s="7">
        <v>43831</v>
      </c>
      <c r="B3" s="1">
        <v>3222</v>
      </c>
      <c r="C3" s="1">
        <v>2803</v>
      </c>
      <c r="D3" s="1">
        <v>377</v>
      </c>
      <c r="E3" s="1">
        <v>419</v>
      </c>
      <c r="F3" s="1">
        <v>1957</v>
      </c>
      <c r="G3" s="1">
        <v>308</v>
      </c>
      <c r="H3" s="1">
        <v>476</v>
      </c>
      <c r="I3" s="1">
        <v>182</v>
      </c>
      <c r="J3" s="1">
        <v>99</v>
      </c>
      <c r="K3" s="1">
        <v>56</v>
      </c>
      <c r="L3" s="1">
        <v>616</v>
      </c>
      <c r="M3" s="8">
        <v>222.20999999999998</v>
      </c>
      <c r="N3">
        <f>DAY(A3)</f>
        <v>1</v>
      </c>
      <c r="O3" s="26"/>
    </row>
    <row r="4" spans="1:24" x14ac:dyDescent="0.25">
      <c r="A4" s="7">
        <v>43832</v>
      </c>
      <c r="B4" s="1">
        <v>2451</v>
      </c>
      <c r="C4" s="1">
        <v>2107</v>
      </c>
      <c r="D4" s="1">
        <v>306</v>
      </c>
      <c r="E4" s="1">
        <v>344</v>
      </c>
      <c r="F4" s="1">
        <v>788</v>
      </c>
      <c r="G4" s="1">
        <v>615</v>
      </c>
      <c r="H4" s="1">
        <v>460</v>
      </c>
      <c r="I4" s="1">
        <v>252</v>
      </c>
      <c r="J4" s="1">
        <v>136</v>
      </c>
      <c r="K4" s="1">
        <v>56</v>
      </c>
      <c r="L4" s="1">
        <v>336</v>
      </c>
      <c r="M4" s="8">
        <v>127.92</v>
      </c>
      <c r="N4">
        <f t="shared" ref="N4:N67" si="0">DAY(A4)</f>
        <v>2</v>
      </c>
      <c r="O4" s="26"/>
    </row>
    <row r="5" spans="1:24" x14ac:dyDescent="0.25">
      <c r="A5" s="7">
        <v>43833</v>
      </c>
      <c r="B5" s="1">
        <v>2429</v>
      </c>
      <c r="C5" s="1">
        <v>1748</v>
      </c>
      <c r="D5" s="1">
        <v>531</v>
      </c>
      <c r="E5" s="1">
        <v>681</v>
      </c>
      <c r="F5" s="1">
        <v>622</v>
      </c>
      <c r="G5" s="1">
        <v>784</v>
      </c>
      <c r="H5" s="1">
        <v>556</v>
      </c>
      <c r="I5" s="1">
        <v>47</v>
      </c>
      <c r="J5" s="1">
        <v>220</v>
      </c>
      <c r="K5" s="1">
        <v>47</v>
      </c>
      <c r="L5" s="1">
        <v>423</v>
      </c>
      <c r="M5" s="8">
        <v>102.83</v>
      </c>
      <c r="N5">
        <f t="shared" si="0"/>
        <v>3</v>
      </c>
      <c r="O5" s="26"/>
    </row>
    <row r="6" spans="1:24" x14ac:dyDescent="0.25">
      <c r="A6" s="7">
        <v>43834</v>
      </c>
      <c r="B6" s="1">
        <v>3294</v>
      </c>
      <c r="C6" s="1">
        <v>2766</v>
      </c>
      <c r="D6" s="1">
        <v>374</v>
      </c>
      <c r="E6" s="1">
        <v>528</v>
      </c>
      <c r="F6" s="1">
        <v>1268</v>
      </c>
      <c r="G6" s="1">
        <v>1050</v>
      </c>
      <c r="H6" s="1">
        <v>586</v>
      </c>
      <c r="I6" s="1">
        <v>88</v>
      </c>
      <c r="J6" s="1">
        <v>102</v>
      </c>
      <c r="K6" s="1">
        <v>67</v>
      </c>
      <c r="L6" s="1">
        <v>335</v>
      </c>
      <c r="M6" s="8">
        <v>105.43</v>
      </c>
      <c r="N6">
        <f t="shared" si="0"/>
        <v>4</v>
      </c>
      <c r="O6" s="26"/>
    </row>
    <row r="7" spans="1:24" x14ac:dyDescent="0.25">
      <c r="A7" s="7">
        <v>43835</v>
      </c>
      <c r="B7" s="1">
        <v>2625</v>
      </c>
      <c r="C7" s="1">
        <v>2152</v>
      </c>
      <c r="D7" s="1">
        <v>392</v>
      </c>
      <c r="E7" s="1">
        <v>473</v>
      </c>
      <c r="F7" s="1">
        <v>1140</v>
      </c>
      <c r="G7" s="1">
        <v>480</v>
      </c>
      <c r="H7" s="1">
        <v>524</v>
      </c>
      <c r="I7" s="1">
        <v>155</v>
      </c>
      <c r="J7" s="1">
        <v>126</v>
      </c>
      <c r="K7" s="1">
        <v>51</v>
      </c>
      <c r="L7" s="1">
        <v>357</v>
      </c>
      <c r="M7" s="8">
        <v>87</v>
      </c>
      <c r="N7">
        <f t="shared" si="0"/>
        <v>5</v>
      </c>
      <c r="O7" s="26"/>
    </row>
    <row r="8" spans="1:24" ht="23.25" x14ac:dyDescent="0.35">
      <c r="A8" s="7">
        <v>43836</v>
      </c>
      <c r="B8" s="1">
        <v>2667</v>
      </c>
      <c r="C8" s="1">
        <v>2000</v>
      </c>
      <c r="D8" s="1">
        <v>486</v>
      </c>
      <c r="E8" s="1">
        <v>667</v>
      </c>
      <c r="F8" s="1">
        <v>991</v>
      </c>
      <c r="G8" s="1">
        <v>702</v>
      </c>
      <c r="H8" s="1">
        <v>630</v>
      </c>
      <c r="I8" s="1">
        <v>27</v>
      </c>
      <c r="J8" s="1">
        <v>117</v>
      </c>
      <c r="K8" s="1">
        <v>53</v>
      </c>
      <c r="L8" s="1">
        <v>583</v>
      </c>
      <c r="M8" s="8">
        <v>129.38999999999999</v>
      </c>
      <c r="N8">
        <f t="shared" si="0"/>
        <v>6</v>
      </c>
      <c r="O8" s="34"/>
      <c r="P8" s="35"/>
      <c r="Q8" s="35"/>
      <c r="R8" s="35"/>
      <c r="S8" s="35"/>
      <c r="T8" s="35"/>
      <c r="U8" s="35"/>
      <c r="V8" s="35"/>
      <c r="W8" s="35"/>
      <c r="X8" s="35"/>
    </row>
    <row r="9" spans="1:24" x14ac:dyDescent="0.25">
      <c r="A9" s="7">
        <v>43837</v>
      </c>
      <c r="B9" s="1">
        <v>2262</v>
      </c>
      <c r="C9" s="1">
        <v>1854</v>
      </c>
      <c r="D9" s="1">
        <v>289</v>
      </c>
      <c r="E9" s="1">
        <v>408</v>
      </c>
      <c r="F9" s="1">
        <v>732</v>
      </c>
      <c r="G9" s="1">
        <v>288</v>
      </c>
      <c r="H9" s="1">
        <v>700</v>
      </c>
      <c r="I9" s="1">
        <v>217</v>
      </c>
      <c r="J9" s="1">
        <v>125</v>
      </c>
      <c r="K9" s="1">
        <v>48</v>
      </c>
      <c r="L9" s="1">
        <v>720</v>
      </c>
      <c r="M9" s="8">
        <v>256.98</v>
      </c>
      <c r="N9">
        <f t="shared" si="0"/>
        <v>7</v>
      </c>
      <c r="O9" s="26"/>
    </row>
    <row r="10" spans="1:24" x14ac:dyDescent="0.25">
      <c r="A10" s="7">
        <v>43838</v>
      </c>
      <c r="B10" s="1">
        <v>2687</v>
      </c>
      <c r="C10" s="1">
        <v>1880</v>
      </c>
      <c r="D10" s="1">
        <v>621</v>
      </c>
      <c r="E10" s="1">
        <v>807</v>
      </c>
      <c r="F10" s="1">
        <v>1054</v>
      </c>
      <c r="G10" s="1">
        <v>378</v>
      </c>
      <c r="H10" s="1">
        <v>580</v>
      </c>
      <c r="I10" s="1">
        <v>175</v>
      </c>
      <c r="J10" s="1">
        <v>300</v>
      </c>
      <c r="K10" s="1">
        <v>58</v>
      </c>
      <c r="L10" s="1">
        <v>406</v>
      </c>
      <c r="M10" s="8">
        <v>145.88</v>
      </c>
      <c r="N10">
        <f t="shared" si="0"/>
        <v>8</v>
      </c>
      <c r="O10" s="26"/>
    </row>
    <row r="11" spans="1:24" x14ac:dyDescent="0.25">
      <c r="A11" s="7">
        <v>43839</v>
      </c>
      <c r="B11" s="1">
        <v>2197</v>
      </c>
      <c r="C11" s="1">
        <v>1889</v>
      </c>
      <c r="D11" s="1">
        <v>246</v>
      </c>
      <c r="E11" s="1">
        <v>308</v>
      </c>
      <c r="F11" s="1">
        <v>644</v>
      </c>
      <c r="G11" s="1">
        <v>390</v>
      </c>
      <c r="H11" s="1">
        <v>484</v>
      </c>
      <c r="I11" s="1">
        <v>387</v>
      </c>
      <c r="J11" s="1">
        <v>92</v>
      </c>
      <c r="K11" s="1">
        <v>58</v>
      </c>
      <c r="L11" s="1">
        <v>580</v>
      </c>
      <c r="M11" s="8">
        <v>229.85</v>
      </c>
      <c r="N11">
        <f t="shared" si="0"/>
        <v>9</v>
      </c>
      <c r="O11" s="26"/>
    </row>
    <row r="12" spans="1:24" x14ac:dyDescent="0.25">
      <c r="A12" s="7">
        <v>43840</v>
      </c>
      <c r="B12" s="1">
        <v>2974</v>
      </c>
      <c r="C12" s="1">
        <v>2081</v>
      </c>
      <c r="D12" s="1">
        <v>741</v>
      </c>
      <c r="E12" s="1">
        <v>893</v>
      </c>
      <c r="F12" s="1">
        <v>826</v>
      </c>
      <c r="G12" s="1">
        <v>688</v>
      </c>
      <c r="H12" s="1">
        <v>640</v>
      </c>
      <c r="I12" s="1">
        <v>270</v>
      </c>
      <c r="J12" s="1">
        <v>350</v>
      </c>
      <c r="K12" s="1">
        <v>65</v>
      </c>
      <c r="L12" s="1">
        <v>650</v>
      </c>
      <c r="M12" s="8">
        <v>224.85999999999999</v>
      </c>
      <c r="N12">
        <f t="shared" si="0"/>
        <v>10</v>
      </c>
      <c r="O12" s="26"/>
    </row>
    <row r="13" spans="1:24" x14ac:dyDescent="0.25">
      <c r="A13" s="7">
        <v>43841</v>
      </c>
      <c r="B13" s="1">
        <v>2296</v>
      </c>
      <c r="C13" s="1">
        <v>1813</v>
      </c>
      <c r="D13" s="1">
        <v>396</v>
      </c>
      <c r="E13" s="1">
        <v>483</v>
      </c>
      <c r="F13" s="1">
        <v>798</v>
      </c>
      <c r="G13" s="1">
        <v>325</v>
      </c>
      <c r="H13" s="1">
        <v>489</v>
      </c>
      <c r="I13" s="1">
        <v>343</v>
      </c>
      <c r="J13" s="1">
        <v>141</v>
      </c>
      <c r="K13" s="1">
        <v>52</v>
      </c>
      <c r="L13" s="1">
        <v>416</v>
      </c>
      <c r="M13" s="8">
        <v>111.7</v>
      </c>
      <c r="N13">
        <f t="shared" si="0"/>
        <v>11</v>
      </c>
    </row>
    <row r="14" spans="1:24" x14ac:dyDescent="0.25">
      <c r="A14" s="7">
        <v>43842</v>
      </c>
      <c r="B14" s="1">
        <v>2957</v>
      </c>
      <c r="C14" s="1">
        <v>2454</v>
      </c>
      <c r="D14" s="1">
        <v>362</v>
      </c>
      <c r="E14" s="1">
        <v>503</v>
      </c>
      <c r="F14" s="1">
        <v>1060</v>
      </c>
      <c r="G14" s="1">
        <v>714</v>
      </c>
      <c r="H14" s="1">
        <v>668</v>
      </c>
      <c r="I14" s="1">
        <v>105</v>
      </c>
      <c r="J14" s="1">
        <v>210</v>
      </c>
      <c r="K14" s="1">
        <v>54</v>
      </c>
      <c r="L14" s="1">
        <v>540</v>
      </c>
      <c r="M14" s="8">
        <v>183.57999999999998</v>
      </c>
      <c r="N14">
        <f t="shared" si="0"/>
        <v>12</v>
      </c>
    </row>
    <row r="15" spans="1:24" x14ac:dyDescent="0.25">
      <c r="A15" s="7">
        <v>43843</v>
      </c>
      <c r="B15" s="1">
        <v>3219</v>
      </c>
      <c r="C15" s="1">
        <v>2703</v>
      </c>
      <c r="D15" s="1">
        <v>443</v>
      </c>
      <c r="E15" s="1">
        <v>516</v>
      </c>
      <c r="F15" s="1">
        <v>1300</v>
      </c>
      <c r="G15" s="1">
        <v>459</v>
      </c>
      <c r="H15" s="1">
        <v>804</v>
      </c>
      <c r="I15" s="1">
        <v>210</v>
      </c>
      <c r="J15" s="1">
        <v>246</v>
      </c>
      <c r="K15" s="1">
        <v>58</v>
      </c>
      <c r="L15" s="1">
        <v>812</v>
      </c>
      <c r="M15" s="8">
        <v>260.98</v>
      </c>
      <c r="N15">
        <f t="shared" si="0"/>
        <v>13</v>
      </c>
    </row>
    <row r="16" spans="1:24" x14ac:dyDescent="0.25">
      <c r="A16" s="7">
        <v>43844</v>
      </c>
      <c r="B16" s="1">
        <v>2728</v>
      </c>
      <c r="C16" s="1">
        <v>1936</v>
      </c>
      <c r="D16" s="1">
        <v>601</v>
      </c>
      <c r="E16" s="1">
        <v>792</v>
      </c>
      <c r="F16" s="1">
        <v>754</v>
      </c>
      <c r="G16" s="1">
        <v>592</v>
      </c>
      <c r="H16" s="1">
        <v>828</v>
      </c>
      <c r="I16" s="1">
        <v>216</v>
      </c>
      <c r="J16" s="1">
        <v>138</v>
      </c>
      <c r="K16" s="1">
        <v>60</v>
      </c>
      <c r="L16" s="1">
        <v>780</v>
      </c>
      <c r="M16" s="8">
        <v>236.54999999999998</v>
      </c>
      <c r="N16">
        <f t="shared" si="0"/>
        <v>14</v>
      </c>
    </row>
    <row r="17" spans="1:14" x14ac:dyDescent="0.25">
      <c r="A17" s="7">
        <v>43845</v>
      </c>
      <c r="B17" s="1">
        <v>2456</v>
      </c>
      <c r="C17" s="1">
        <v>2112</v>
      </c>
      <c r="D17" s="1">
        <v>278</v>
      </c>
      <c r="E17" s="1">
        <v>344</v>
      </c>
      <c r="F17" s="1">
        <v>640</v>
      </c>
      <c r="G17" s="1">
        <v>630</v>
      </c>
      <c r="H17" s="1">
        <v>790</v>
      </c>
      <c r="I17" s="1">
        <v>72</v>
      </c>
      <c r="J17" s="1">
        <v>124</v>
      </c>
      <c r="K17" s="1">
        <v>57</v>
      </c>
      <c r="L17" s="1">
        <v>456</v>
      </c>
      <c r="M17" s="8">
        <v>157.88999999999999</v>
      </c>
      <c r="N17">
        <f t="shared" si="0"/>
        <v>15</v>
      </c>
    </row>
    <row r="18" spans="1:14" x14ac:dyDescent="0.25">
      <c r="A18" s="7">
        <v>43846</v>
      </c>
      <c r="B18" s="1">
        <v>3109</v>
      </c>
      <c r="C18" s="1">
        <v>2269</v>
      </c>
      <c r="D18" s="1">
        <v>705</v>
      </c>
      <c r="E18" s="1">
        <v>840</v>
      </c>
      <c r="F18" s="1">
        <v>1271</v>
      </c>
      <c r="G18" s="1">
        <v>570</v>
      </c>
      <c r="H18" s="1">
        <v>714</v>
      </c>
      <c r="I18" s="1">
        <v>231</v>
      </c>
      <c r="J18" s="1">
        <v>123</v>
      </c>
      <c r="K18" s="1">
        <v>61</v>
      </c>
      <c r="L18" s="1">
        <v>732</v>
      </c>
      <c r="M18" s="8">
        <v>176.48999999999998</v>
      </c>
      <c r="N18">
        <f t="shared" si="0"/>
        <v>16</v>
      </c>
    </row>
    <row r="19" spans="1:14" x14ac:dyDescent="0.25">
      <c r="A19" s="7">
        <v>43847</v>
      </c>
      <c r="B19" s="1">
        <v>2557</v>
      </c>
      <c r="C19" s="1">
        <v>2096</v>
      </c>
      <c r="D19" s="1">
        <v>322</v>
      </c>
      <c r="E19" s="1">
        <v>461</v>
      </c>
      <c r="F19" s="1">
        <v>1172</v>
      </c>
      <c r="G19" s="1">
        <v>384</v>
      </c>
      <c r="H19" s="1">
        <v>429</v>
      </c>
      <c r="I19" s="1">
        <v>240</v>
      </c>
      <c r="J19" s="1">
        <v>132</v>
      </c>
      <c r="K19" s="1">
        <v>43</v>
      </c>
      <c r="L19" s="1">
        <v>344</v>
      </c>
      <c r="M19" s="8">
        <v>77.08</v>
      </c>
      <c r="N19">
        <f t="shared" si="0"/>
        <v>17</v>
      </c>
    </row>
    <row r="20" spans="1:14" x14ac:dyDescent="0.25">
      <c r="A20" s="7">
        <v>43848</v>
      </c>
      <c r="B20" s="1">
        <v>3318</v>
      </c>
      <c r="C20" s="1">
        <v>2753</v>
      </c>
      <c r="D20" s="1">
        <v>452</v>
      </c>
      <c r="E20" s="1">
        <v>565</v>
      </c>
      <c r="F20" s="1">
        <v>1300</v>
      </c>
      <c r="G20" s="1">
        <v>560</v>
      </c>
      <c r="H20" s="1">
        <v>588</v>
      </c>
      <c r="I20" s="1">
        <v>294</v>
      </c>
      <c r="J20" s="1">
        <v>376</v>
      </c>
      <c r="K20" s="1">
        <v>64</v>
      </c>
      <c r="L20" s="1">
        <v>320</v>
      </c>
      <c r="M20" s="8">
        <v>70.28</v>
      </c>
      <c r="N20">
        <f t="shared" si="0"/>
        <v>18</v>
      </c>
    </row>
    <row r="21" spans="1:14" x14ac:dyDescent="0.25">
      <c r="A21" s="7">
        <v>43849</v>
      </c>
      <c r="B21" s="1">
        <v>3369</v>
      </c>
      <c r="C21" s="1">
        <v>2594</v>
      </c>
      <c r="D21" s="1">
        <v>573</v>
      </c>
      <c r="E21" s="1">
        <v>775</v>
      </c>
      <c r="F21" s="1">
        <v>892</v>
      </c>
      <c r="G21" s="1">
        <v>760</v>
      </c>
      <c r="H21" s="1">
        <v>930</v>
      </c>
      <c r="I21" s="1">
        <v>423</v>
      </c>
      <c r="J21" s="1">
        <v>164</v>
      </c>
      <c r="K21" s="1">
        <v>64</v>
      </c>
      <c r="L21" s="1">
        <v>448</v>
      </c>
      <c r="M21" s="8">
        <v>94.67</v>
      </c>
      <c r="N21">
        <f t="shared" si="0"/>
        <v>19</v>
      </c>
    </row>
    <row r="22" spans="1:14" x14ac:dyDescent="0.25">
      <c r="A22" s="7">
        <v>43850</v>
      </c>
      <c r="B22" s="1">
        <v>2421</v>
      </c>
      <c r="C22" s="1">
        <v>2178</v>
      </c>
      <c r="D22" s="1">
        <v>172</v>
      </c>
      <c r="E22" s="1">
        <v>243</v>
      </c>
      <c r="F22" s="1">
        <v>1013</v>
      </c>
      <c r="G22" s="1">
        <v>392</v>
      </c>
      <c r="H22" s="1">
        <v>520</v>
      </c>
      <c r="I22" s="1">
        <v>185</v>
      </c>
      <c r="J22" s="1">
        <v>111</v>
      </c>
      <c r="K22" s="1">
        <v>50</v>
      </c>
      <c r="L22" s="1">
        <v>700</v>
      </c>
      <c r="M22" s="8">
        <v>275.96999999999997</v>
      </c>
      <c r="N22">
        <f t="shared" si="0"/>
        <v>20</v>
      </c>
    </row>
    <row r="23" spans="1:14" x14ac:dyDescent="0.25">
      <c r="A23" s="7">
        <v>43851</v>
      </c>
      <c r="B23" s="1">
        <v>2383</v>
      </c>
      <c r="C23" s="1">
        <v>1930</v>
      </c>
      <c r="D23" s="1">
        <v>344</v>
      </c>
      <c r="E23" s="1">
        <v>453</v>
      </c>
      <c r="F23" s="1">
        <v>900</v>
      </c>
      <c r="G23" s="1">
        <v>350</v>
      </c>
      <c r="H23" s="1">
        <v>594</v>
      </c>
      <c r="I23" s="1">
        <v>124</v>
      </c>
      <c r="J23" s="1">
        <v>215</v>
      </c>
      <c r="K23" s="1">
        <v>50</v>
      </c>
      <c r="L23" s="1">
        <v>450</v>
      </c>
      <c r="M23" s="8">
        <v>107.09</v>
      </c>
      <c r="N23">
        <f t="shared" si="0"/>
        <v>21</v>
      </c>
    </row>
    <row r="24" spans="1:14" x14ac:dyDescent="0.25">
      <c r="A24" s="7">
        <v>43852</v>
      </c>
      <c r="B24" s="1">
        <v>3156</v>
      </c>
      <c r="C24" s="1">
        <v>2777</v>
      </c>
      <c r="D24" s="1">
        <v>299</v>
      </c>
      <c r="E24" s="1">
        <v>379</v>
      </c>
      <c r="F24" s="1">
        <v>741</v>
      </c>
      <c r="G24" s="1">
        <v>874</v>
      </c>
      <c r="H24" s="1">
        <v>898</v>
      </c>
      <c r="I24" s="1">
        <v>350</v>
      </c>
      <c r="J24" s="1">
        <v>93</v>
      </c>
      <c r="K24" s="1">
        <v>59</v>
      </c>
      <c r="L24" s="1">
        <v>472</v>
      </c>
      <c r="M24" s="8">
        <v>107.31</v>
      </c>
      <c r="N24">
        <f t="shared" si="0"/>
        <v>22</v>
      </c>
    </row>
    <row r="25" spans="1:14" x14ac:dyDescent="0.25">
      <c r="A25" s="7">
        <v>43853</v>
      </c>
      <c r="B25" s="1">
        <v>3328</v>
      </c>
      <c r="C25" s="1">
        <v>2529</v>
      </c>
      <c r="D25" s="1">
        <v>559</v>
      </c>
      <c r="E25" s="1">
        <v>799</v>
      </c>
      <c r="F25" s="1">
        <v>1732</v>
      </c>
      <c r="G25" s="1">
        <v>616</v>
      </c>
      <c r="H25" s="1">
        <v>530</v>
      </c>
      <c r="I25" s="1">
        <v>160</v>
      </c>
      <c r="J25" s="1">
        <v>90</v>
      </c>
      <c r="K25" s="1">
        <v>54</v>
      </c>
      <c r="L25" s="1">
        <v>756</v>
      </c>
      <c r="M25" s="8">
        <v>163.51999999999998</v>
      </c>
      <c r="N25">
        <f t="shared" si="0"/>
        <v>23</v>
      </c>
    </row>
    <row r="26" spans="1:14" x14ac:dyDescent="0.25">
      <c r="A26" s="7">
        <v>43854</v>
      </c>
      <c r="B26" s="1">
        <v>3463</v>
      </c>
      <c r="C26" s="1">
        <v>2839</v>
      </c>
      <c r="D26" s="1">
        <v>505</v>
      </c>
      <c r="E26" s="1">
        <v>624</v>
      </c>
      <c r="F26" s="1">
        <v>1369</v>
      </c>
      <c r="G26" s="1">
        <v>300</v>
      </c>
      <c r="H26" s="1">
        <v>817</v>
      </c>
      <c r="I26" s="1">
        <v>539</v>
      </c>
      <c r="J26" s="1">
        <v>238</v>
      </c>
      <c r="K26" s="1">
        <v>65</v>
      </c>
      <c r="L26" s="1">
        <v>520</v>
      </c>
      <c r="M26" s="8">
        <v>137.91999999999999</v>
      </c>
      <c r="N26">
        <f t="shared" si="0"/>
        <v>24</v>
      </c>
    </row>
    <row r="27" spans="1:14" x14ac:dyDescent="0.25">
      <c r="A27" s="7">
        <v>43855</v>
      </c>
      <c r="B27" s="1">
        <v>2902</v>
      </c>
      <c r="C27" s="1">
        <v>2234</v>
      </c>
      <c r="D27" s="1">
        <v>541</v>
      </c>
      <c r="E27" s="1">
        <v>668</v>
      </c>
      <c r="F27" s="1">
        <v>963</v>
      </c>
      <c r="G27" s="1">
        <v>495</v>
      </c>
      <c r="H27" s="1">
        <v>740</v>
      </c>
      <c r="I27" s="1">
        <v>324</v>
      </c>
      <c r="J27" s="1">
        <v>180</v>
      </c>
      <c r="K27" s="1">
        <v>58</v>
      </c>
      <c r="L27" s="1">
        <v>754</v>
      </c>
      <c r="M27" s="8">
        <v>157.38</v>
      </c>
      <c r="N27">
        <f t="shared" si="0"/>
        <v>25</v>
      </c>
    </row>
    <row r="28" spans="1:14" x14ac:dyDescent="0.25">
      <c r="A28" s="7">
        <v>43856</v>
      </c>
      <c r="B28" s="1">
        <v>3158</v>
      </c>
      <c r="C28" s="1">
        <v>2779</v>
      </c>
      <c r="D28" s="1">
        <v>306</v>
      </c>
      <c r="E28" s="1">
        <v>379</v>
      </c>
      <c r="F28" s="1">
        <v>1362</v>
      </c>
      <c r="G28" s="1">
        <v>495</v>
      </c>
      <c r="H28" s="1">
        <v>816</v>
      </c>
      <c r="I28" s="1">
        <v>105</v>
      </c>
      <c r="J28" s="1">
        <v>180</v>
      </c>
      <c r="K28" s="1">
        <v>60</v>
      </c>
      <c r="L28" s="1">
        <v>720</v>
      </c>
      <c r="M28" s="8">
        <v>227.63</v>
      </c>
      <c r="N28">
        <f t="shared" si="0"/>
        <v>26</v>
      </c>
    </row>
    <row r="29" spans="1:14" x14ac:dyDescent="0.25">
      <c r="A29" s="7">
        <v>43857</v>
      </c>
      <c r="B29" s="1">
        <v>3586</v>
      </c>
      <c r="C29" s="1">
        <v>2581</v>
      </c>
      <c r="D29" s="1">
        <v>723</v>
      </c>
      <c r="E29" s="1">
        <v>1005</v>
      </c>
      <c r="F29" s="1">
        <v>1775</v>
      </c>
      <c r="G29" s="1">
        <v>351</v>
      </c>
      <c r="H29" s="1">
        <v>780</v>
      </c>
      <c r="I29" s="1">
        <v>270</v>
      </c>
      <c r="J29" s="1">
        <v>210</v>
      </c>
      <c r="K29" s="1">
        <v>59</v>
      </c>
      <c r="L29" s="1">
        <v>885</v>
      </c>
      <c r="M29" s="8">
        <v>237.78</v>
      </c>
      <c r="N29">
        <f t="shared" si="0"/>
        <v>27</v>
      </c>
    </row>
    <row r="30" spans="1:14" x14ac:dyDescent="0.25">
      <c r="A30" s="7">
        <v>43858</v>
      </c>
      <c r="B30" s="1">
        <v>2112</v>
      </c>
      <c r="C30" s="1">
        <v>1710</v>
      </c>
      <c r="D30" s="1">
        <v>289</v>
      </c>
      <c r="E30" s="1">
        <v>402</v>
      </c>
      <c r="F30" s="1">
        <v>418</v>
      </c>
      <c r="G30" s="1">
        <v>560</v>
      </c>
      <c r="H30" s="1">
        <v>663</v>
      </c>
      <c r="I30" s="1">
        <v>175</v>
      </c>
      <c r="J30" s="1">
        <v>96</v>
      </c>
      <c r="K30" s="1">
        <v>53</v>
      </c>
      <c r="L30" s="1">
        <v>265</v>
      </c>
      <c r="M30" s="8">
        <v>89.800000000000011</v>
      </c>
      <c r="N30">
        <f t="shared" si="0"/>
        <v>28</v>
      </c>
    </row>
    <row r="31" spans="1:14" x14ac:dyDescent="0.25">
      <c r="A31" s="7">
        <v>43859</v>
      </c>
      <c r="B31" s="1">
        <v>2937</v>
      </c>
      <c r="C31" s="1">
        <v>2349</v>
      </c>
      <c r="D31" s="1">
        <v>464</v>
      </c>
      <c r="E31" s="1">
        <v>588</v>
      </c>
      <c r="F31" s="1">
        <v>1200</v>
      </c>
      <c r="G31" s="1">
        <v>570</v>
      </c>
      <c r="H31" s="1">
        <v>705</v>
      </c>
      <c r="I31" s="1">
        <v>148</v>
      </c>
      <c r="J31" s="1">
        <v>114</v>
      </c>
      <c r="K31" s="1">
        <v>55</v>
      </c>
      <c r="L31" s="1">
        <v>440</v>
      </c>
      <c r="M31" s="8">
        <v>171.28</v>
      </c>
      <c r="N31">
        <f t="shared" si="0"/>
        <v>29</v>
      </c>
    </row>
    <row r="32" spans="1:14" x14ac:dyDescent="0.25">
      <c r="A32" s="7">
        <v>43860</v>
      </c>
      <c r="B32" s="1">
        <v>2421</v>
      </c>
      <c r="C32" s="1">
        <v>2106</v>
      </c>
      <c r="D32" s="1">
        <v>283</v>
      </c>
      <c r="E32" s="1">
        <v>315</v>
      </c>
      <c r="F32" s="1">
        <v>438</v>
      </c>
      <c r="G32" s="1">
        <v>765</v>
      </c>
      <c r="H32" s="1">
        <v>784</v>
      </c>
      <c r="I32" s="1">
        <v>82</v>
      </c>
      <c r="J32" s="1">
        <v>152</v>
      </c>
      <c r="K32" s="1">
        <v>48</v>
      </c>
      <c r="L32" s="1">
        <v>528</v>
      </c>
      <c r="M32" s="8">
        <v>205.19</v>
      </c>
      <c r="N32">
        <f t="shared" si="0"/>
        <v>30</v>
      </c>
    </row>
    <row r="33" spans="1:14" x14ac:dyDescent="0.25">
      <c r="A33" s="7">
        <v>43861</v>
      </c>
      <c r="B33" s="1">
        <v>2559</v>
      </c>
      <c r="C33" s="1">
        <v>1944</v>
      </c>
      <c r="D33" s="1">
        <v>492</v>
      </c>
      <c r="E33" s="1">
        <v>615</v>
      </c>
      <c r="F33" s="1">
        <v>634</v>
      </c>
      <c r="G33" s="1">
        <v>702</v>
      </c>
      <c r="H33" s="1">
        <v>762</v>
      </c>
      <c r="I33" s="1">
        <v>240</v>
      </c>
      <c r="J33" s="1">
        <v>21</v>
      </c>
      <c r="K33" s="1">
        <v>56</v>
      </c>
      <c r="L33" s="1">
        <v>392</v>
      </c>
      <c r="M33" s="8">
        <v>124.51</v>
      </c>
      <c r="N33">
        <f t="shared" si="0"/>
        <v>31</v>
      </c>
    </row>
    <row r="34" spans="1:14" x14ac:dyDescent="0.25">
      <c r="A34" s="7">
        <v>43862</v>
      </c>
      <c r="B34" s="1">
        <v>3080</v>
      </c>
      <c r="C34" s="1">
        <v>2648</v>
      </c>
      <c r="D34" s="1">
        <v>332</v>
      </c>
      <c r="E34" s="1">
        <v>432</v>
      </c>
      <c r="F34" s="1">
        <v>1386</v>
      </c>
      <c r="G34" s="1">
        <v>638</v>
      </c>
      <c r="H34" s="1">
        <v>498</v>
      </c>
      <c r="I34" s="1">
        <v>198</v>
      </c>
      <c r="J34" s="1">
        <v>160</v>
      </c>
      <c r="K34" s="1">
        <v>64</v>
      </c>
      <c r="L34" s="1">
        <v>320</v>
      </c>
      <c r="M34" s="8">
        <v>124.53</v>
      </c>
      <c r="N34">
        <f t="shared" si="0"/>
        <v>1</v>
      </c>
    </row>
    <row r="35" spans="1:14" x14ac:dyDescent="0.25">
      <c r="A35" s="7">
        <v>43863</v>
      </c>
      <c r="B35" s="1">
        <v>2298</v>
      </c>
      <c r="C35" s="1">
        <v>1746</v>
      </c>
      <c r="D35" s="1">
        <v>491</v>
      </c>
      <c r="E35" s="1">
        <v>552</v>
      </c>
      <c r="F35" s="1">
        <v>760</v>
      </c>
      <c r="G35" s="1">
        <v>308</v>
      </c>
      <c r="H35" s="1">
        <v>660</v>
      </c>
      <c r="I35" s="1">
        <v>148</v>
      </c>
      <c r="J35" s="1">
        <v>222</v>
      </c>
      <c r="K35" s="1">
        <v>57</v>
      </c>
      <c r="L35" s="1">
        <v>741</v>
      </c>
      <c r="M35" s="8">
        <v>271.58</v>
      </c>
      <c r="N35">
        <f t="shared" si="0"/>
        <v>2</v>
      </c>
    </row>
    <row r="36" spans="1:14" x14ac:dyDescent="0.25">
      <c r="A36" s="7">
        <v>43864</v>
      </c>
      <c r="B36" s="1">
        <v>2666</v>
      </c>
      <c r="C36" s="1">
        <v>2239</v>
      </c>
      <c r="D36" s="1">
        <v>358</v>
      </c>
      <c r="E36" s="1">
        <v>427</v>
      </c>
      <c r="F36" s="1">
        <v>780</v>
      </c>
      <c r="G36" s="1">
        <v>735</v>
      </c>
      <c r="H36" s="1">
        <v>573</v>
      </c>
      <c r="I36" s="1">
        <v>168</v>
      </c>
      <c r="J36" s="1">
        <v>210</v>
      </c>
      <c r="K36" s="1">
        <v>65</v>
      </c>
      <c r="L36" s="1">
        <v>390</v>
      </c>
      <c r="M36" s="8">
        <v>84.460000000000008</v>
      </c>
      <c r="N36">
        <f t="shared" si="0"/>
        <v>3</v>
      </c>
    </row>
    <row r="37" spans="1:14" x14ac:dyDescent="0.25">
      <c r="A37" s="7">
        <v>43865</v>
      </c>
      <c r="B37" s="1">
        <v>3435</v>
      </c>
      <c r="C37" s="1">
        <v>2748</v>
      </c>
      <c r="D37" s="1">
        <v>570</v>
      </c>
      <c r="E37" s="1">
        <v>687</v>
      </c>
      <c r="F37" s="1">
        <v>1444</v>
      </c>
      <c r="G37" s="1">
        <v>648</v>
      </c>
      <c r="H37" s="1">
        <v>608</v>
      </c>
      <c r="I37" s="1">
        <v>400</v>
      </c>
      <c r="J37" s="1">
        <v>135</v>
      </c>
      <c r="K37" s="1">
        <v>62</v>
      </c>
      <c r="L37" s="1">
        <v>558</v>
      </c>
      <c r="M37" s="8">
        <v>214.95</v>
      </c>
      <c r="N37">
        <f t="shared" si="0"/>
        <v>4</v>
      </c>
    </row>
    <row r="38" spans="1:14" x14ac:dyDescent="0.25">
      <c r="A38" s="7">
        <v>43866</v>
      </c>
      <c r="B38" s="1">
        <v>2570</v>
      </c>
      <c r="C38" s="1">
        <v>1927</v>
      </c>
      <c r="D38" s="1">
        <v>488</v>
      </c>
      <c r="E38" s="1">
        <v>643</v>
      </c>
      <c r="F38" s="1">
        <v>1138</v>
      </c>
      <c r="G38" s="1">
        <v>440</v>
      </c>
      <c r="H38" s="1">
        <v>456</v>
      </c>
      <c r="I38" s="1">
        <v>108</v>
      </c>
      <c r="J38" s="1">
        <v>228</v>
      </c>
      <c r="K38" s="1">
        <v>44</v>
      </c>
      <c r="L38" s="1">
        <v>396</v>
      </c>
      <c r="M38" s="8">
        <v>115.67</v>
      </c>
      <c r="N38">
        <f t="shared" si="0"/>
        <v>5</v>
      </c>
    </row>
    <row r="39" spans="1:14" x14ac:dyDescent="0.25">
      <c r="A39" s="7">
        <v>43867</v>
      </c>
      <c r="B39" s="1">
        <v>2067</v>
      </c>
      <c r="C39" s="1">
        <v>1529</v>
      </c>
      <c r="D39" s="1">
        <v>484</v>
      </c>
      <c r="E39" s="1">
        <v>538</v>
      </c>
      <c r="F39" s="1">
        <v>578</v>
      </c>
      <c r="G39" s="1">
        <v>465</v>
      </c>
      <c r="H39" s="1">
        <v>560</v>
      </c>
      <c r="I39" s="1">
        <v>264</v>
      </c>
      <c r="J39" s="1">
        <v>0</v>
      </c>
      <c r="K39" s="1">
        <v>44</v>
      </c>
      <c r="L39" s="1">
        <v>440</v>
      </c>
      <c r="M39" s="8">
        <v>107.9</v>
      </c>
      <c r="N39">
        <f t="shared" si="0"/>
        <v>6</v>
      </c>
    </row>
    <row r="40" spans="1:14" x14ac:dyDescent="0.25">
      <c r="A40" s="7">
        <v>43868</v>
      </c>
      <c r="B40" s="1">
        <v>2613</v>
      </c>
      <c r="C40" s="1">
        <v>2273</v>
      </c>
      <c r="D40" s="1">
        <v>255</v>
      </c>
      <c r="E40" s="1">
        <v>340</v>
      </c>
      <c r="F40" s="1">
        <v>985</v>
      </c>
      <c r="G40" s="1">
        <v>504</v>
      </c>
      <c r="H40" s="1">
        <v>552</v>
      </c>
      <c r="I40" s="1">
        <v>126</v>
      </c>
      <c r="J40" s="1">
        <v>246</v>
      </c>
      <c r="K40" s="1">
        <v>48</v>
      </c>
      <c r="L40" s="1">
        <v>672</v>
      </c>
      <c r="M40" s="8">
        <v>208.56</v>
      </c>
      <c r="N40">
        <f t="shared" si="0"/>
        <v>7</v>
      </c>
    </row>
    <row r="41" spans="1:14" x14ac:dyDescent="0.25">
      <c r="A41" s="7">
        <v>43869</v>
      </c>
      <c r="B41" s="1">
        <v>3107</v>
      </c>
      <c r="C41" s="1">
        <v>2299</v>
      </c>
      <c r="D41" s="1">
        <v>630</v>
      </c>
      <c r="E41" s="1">
        <v>808</v>
      </c>
      <c r="F41" s="1">
        <v>1524</v>
      </c>
      <c r="G41" s="1">
        <v>589</v>
      </c>
      <c r="H41" s="1">
        <v>594</v>
      </c>
      <c r="I41" s="1">
        <v>64</v>
      </c>
      <c r="J41" s="1">
        <v>136</v>
      </c>
      <c r="K41" s="1">
        <v>53</v>
      </c>
      <c r="L41" s="1">
        <v>424</v>
      </c>
      <c r="M41" s="8">
        <v>128.60999999999999</v>
      </c>
      <c r="N41">
        <f t="shared" si="0"/>
        <v>8</v>
      </c>
    </row>
    <row r="42" spans="1:14" x14ac:dyDescent="0.25">
      <c r="A42" s="7">
        <v>43870</v>
      </c>
      <c r="B42" s="1">
        <v>2522</v>
      </c>
      <c r="C42" s="1">
        <v>1815</v>
      </c>
      <c r="D42" s="1">
        <v>608</v>
      </c>
      <c r="E42" s="1">
        <v>707</v>
      </c>
      <c r="F42" s="1">
        <v>900</v>
      </c>
      <c r="G42" s="1">
        <v>440</v>
      </c>
      <c r="H42" s="1">
        <v>744</v>
      </c>
      <c r="I42" s="1">
        <v>70</v>
      </c>
      <c r="J42" s="1">
        <v>168</v>
      </c>
      <c r="K42" s="1">
        <v>60</v>
      </c>
      <c r="L42" s="1">
        <v>840</v>
      </c>
      <c r="M42" s="8">
        <v>274.13</v>
      </c>
      <c r="N42">
        <f t="shared" si="0"/>
        <v>9</v>
      </c>
    </row>
    <row r="43" spans="1:14" x14ac:dyDescent="0.25">
      <c r="A43" s="7">
        <v>43871</v>
      </c>
      <c r="B43" s="1">
        <v>3373</v>
      </c>
      <c r="C43" s="1">
        <v>2900</v>
      </c>
      <c r="D43" s="1">
        <v>397</v>
      </c>
      <c r="E43" s="1">
        <v>473</v>
      </c>
      <c r="F43" s="1">
        <v>1432</v>
      </c>
      <c r="G43" s="1">
        <v>544</v>
      </c>
      <c r="H43" s="1">
        <v>816</v>
      </c>
      <c r="I43" s="1">
        <v>99</v>
      </c>
      <c r="J43" s="1">
        <v>282</v>
      </c>
      <c r="K43" s="1">
        <v>59</v>
      </c>
      <c r="L43" s="1">
        <v>590</v>
      </c>
      <c r="M43" s="8">
        <v>208.67999999999998</v>
      </c>
      <c r="N43">
        <f t="shared" si="0"/>
        <v>10</v>
      </c>
    </row>
    <row r="44" spans="1:14" x14ac:dyDescent="0.25">
      <c r="A44" s="7">
        <v>43872</v>
      </c>
      <c r="B44" s="1">
        <v>2625</v>
      </c>
      <c r="C44" s="1">
        <v>1942</v>
      </c>
      <c r="D44" s="1">
        <v>512</v>
      </c>
      <c r="E44" s="1">
        <v>683</v>
      </c>
      <c r="F44" s="1">
        <v>605</v>
      </c>
      <c r="G44" s="1">
        <v>1008</v>
      </c>
      <c r="H44" s="1">
        <v>570</v>
      </c>
      <c r="I44" s="1">
        <v>188</v>
      </c>
      <c r="J44" s="1">
        <v>54</v>
      </c>
      <c r="K44" s="1">
        <v>54</v>
      </c>
      <c r="L44" s="1">
        <v>486</v>
      </c>
      <c r="M44" s="8">
        <v>151.13</v>
      </c>
      <c r="N44">
        <f t="shared" si="0"/>
        <v>11</v>
      </c>
    </row>
    <row r="45" spans="1:14" x14ac:dyDescent="0.25">
      <c r="A45" s="7">
        <v>43873</v>
      </c>
      <c r="B45" s="1">
        <v>2972</v>
      </c>
      <c r="C45" s="1">
        <v>2110</v>
      </c>
      <c r="D45" s="1">
        <v>620</v>
      </c>
      <c r="E45" s="1">
        <v>862</v>
      </c>
      <c r="F45" s="1">
        <v>1612</v>
      </c>
      <c r="G45" s="1">
        <v>312</v>
      </c>
      <c r="H45" s="1">
        <v>520</v>
      </c>
      <c r="I45" s="1">
        <v>188</v>
      </c>
      <c r="J45" s="1">
        <v>140</v>
      </c>
      <c r="K45" s="1">
        <v>54</v>
      </c>
      <c r="L45" s="1">
        <v>486</v>
      </c>
      <c r="M45" s="8">
        <v>186.97</v>
      </c>
      <c r="N45">
        <f t="shared" si="0"/>
        <v>12</v>
      </c>
    </row>
    <row r="46" spans="1:14" x14ac:dyDescent="0.25">
      <c r="A46" s="7">
        <v>43874</v>
      </c>
      <c r="B46" s="1">
        <v>2782</v>
      </c>
      <c r="C46" s="1">
        <v>2197</v>
      </c>
      <c r="D46" s="1">
        <v>415</v>
      </c>
      <c r="E46" s="1">
        <v>585</v>
      </c>
      <c r="F46" s="1">
        <v>864</v>
      </c>
      <c r="G46" s="1">
        <v>510</v>
      </c>
      <c r="H46" s="1">
        <v>600</v>
      </c>
      <c r="I46" s="1">
        <v>420</v>
      </c>
      <c r="J46" s="1">
        <v>188</v>
      </c>
      <c r="K46" s="1">
        <v>59</v>
      </c>
      <c r="L46" s="1">
        <v>531</v>
      </c>
      <c r="M46" s="8">
        <v>127.58</v>
      </c>
      <c r="N46">
        <f t="shared" si="0"/>
        <v>13</v>
      </c>
    </row>
    <row r="47" spans="1:14" x14ac:dyDescent="0.25">
      <c r="A47" s="7">
        <v>43875</v>
      </c>
      <c r="B47" s="1">
        <v>3267</v>
      </c>
      <c r="C47" s="1">
        <v>2744</v>
      </c>
      <c r="D47" s="1">
        <v>460</v>
      </c>
      <c r="E47" s="1">
        <v>523</v>
      </c>
      <c r="F47" s="1">
        <v>1501</v>
      </c>
      <c r="G47" s="1">
        <v>616</v>
      </c>
      <c r="H47" s="1">
        <v>520</v>
      </c>
      <c r="I47" s="1">
        <v>210</v>
      </c>
      <c r="J47" s="1">
        <v>220</v>
      </c>
      <c r="K47" s="1">
        <v>57</v>
      </c>
      <c r="L47" s="1">
        <v>741</v>
      </c>
      <c r="M47" s="8">
        <v>247.19</v>
      </c>
      <c r="N47">
        <f t="shared" si="0"/>
        <v>14</v>
      </c>
    </row>
    <row r="48" spans="1:14" x14ac:dyDescent="0.25">
      <c r="A48" s="7">
        <v>43876</v>
      </c>
      <c r="B48" s="1">
        <v>2019</v>
      </c>
      <c r="C48" s="1">
        <v>1716</v>
      </c>
      <c r="D48" s="1">
        <v>212</v>
      </c>
      <c r="E48" s="1">
        <v>303</v>
      </c>
      <c r="F48" s="1">
        <v>364</v>
      </c>
      <c r="G48" s="1">
        <v>507</v>
      </c>
      <c r="H48" s="1">
        <v>480</v>
      </c>
      <c r="I48" s="1">
        <v>198</v>
      </c>
      <c r="J48" s="1">
        <v>270</v>
      </c>
      <c r="K48" s="1">
        <v>53</v>
      </c>
      <c r="L48" s="1">
        <v>424</v>
      </c>
      <c r="M48" s="8">
        <v>126.97</v>
      </c>
      <c r="N48">
        <f t="shared" si="0"/>
        <v>15</v>
      </c>
    </row>
    <row r="49" spans="1:14" x14ac:dyDescent="0.25">
      <c r="A49" s="7">
        <v>43877</v>
      </c>
      <c r="B49" s="1">
        <v>2698</v>
      </c>
      <c r="C49" s="1">
        <v>1996</v>
      </c>
      <c r="D49" s="1">
        <v>505</v>
      </c>
      <c r="E49" s="1">
        <v>702</v>
      </c>
      <c r="F49" s="1">
        <v>865</v>
      </c>
      <c r="G49" s="1">
        <v>893</v>
      </c>
      <c r="H49" s="1">
        <v>489</v>
      </c>
      <c r="I49" s="1">
        <v>23</v>
      </c>
      <c r="J49" s="1">
        <v>228</v>
      </c>
      <c r="K49" s="1">
        <v>54</v>
      </c>
      <c r="L49" s="1">
        <v>810</v>
      </c>
      <c r="M49" s="8">
        <v>261.31</v>
      </c>
      <c r="N49">
        <f t="shared" si="0"/>
        <v>16</v>
      </c>
    </row>
    <row r="50" spans="1:14" x14ac:dyDescent="0.25">
      <c r="A50" s="7">
        <v>43878</v>
      </c>
      <c r="B50" s="1">
        <v>3632</v>
      </c>
      <c r="C50" s="1">
        <v>3232</v>
      </c>
      <c r="D50" s="1">
        <v>336</v>
      </c>
      <c r="E50" s="1">
        <v>400</v>
      </c>
      <c r="F50" s="1">
        <v>1474</v>
      </c>
      <c r="G50" s="1">
        <v>1029</v>
      </c>
      <c r="H50" s="1">
        <v>545</v>
      </c>
      <c r="I50" s="1">
        <v>294</v>
      </c>
      <c r="J50" s="1">
        <v>90</v>
      </c>
      <c r="K50" s="1">
        <v>58</v>
      </c>
      <c r="L50" s="1">
        <v>812</v>
      </c>
      <c r="M50" s="8">
        <v>298.31</v>
      </c>
      <c r="N50">
        <f t="shared" si="0"/>
        <v>17</v>
      </c>
    </row>
    <row r="51" spans="1:14" x14ac:dyDescent="0.25">
      <c r="A51" s="7">
        <v>43879</v>
      </c>
      <c r="B51" s="1">
        <v>2723</v>
      </c>
      <c r="C51" s="1">
        <v>2396</v>
      </c>
      <c r="D51" s="1">
        <v>238</v>
      </c>
      <c r="E51" s="1">
        <v>327</v>
      </c>
      <c r="F51" s="1">
        <v>520</v>
      </c>
      <c r="G51" s="1">
        <v>648</v>
      </c>
      <c r="H51" s="1">
        <v>720</v>
      </c>
      <c r="I51" s="1">
        <v>490</v>
      </c>
      <c r="J51" s="1">
        <v>145</v>
      </c>
      <c r="K51" s="1">
        <v>60</v>
      </c>
      <c r="L51" s="1">
        <v>300</v>
      </c>
      <c r="M51" s="8">
        <v>108.05000000000001</v>
      </c>
      <c r="N51">
        <f t="shared" si="0"/>
        <v>18</v>
      </c>
    </row>
    <row r="52" spans="1:14" x14ac:dyDescent="0.25">
      <c r="A52" s="7">
        <v>43880</v>
      </c>
      <c r="B52" s="1">
        <v>3451</v>
      </c>
      <c r="C52" s="1">
        <v>2622</v>
      </c>
      <c r="D52" s="1">
        <v>746</v>
      </c>
      <c r="E52" s="1">
        <v>829</v>
      </c>
      <c r="F52" s="1">
        <v>1180</v>
      </c>
      <c r="G52" s="1">
        <v>629</v>
      </c>
      <c r="H52" s="1">
        <v>1020</v>
      </c>
      <c r="I52" s="1">
        <v>200</v>
      </c>
      <c r="J52" s="1">
        <v>222</v>
      </c>
      <c r="K52" s="1">
        <v>67</v>
      </c>
      <c r="L52" s="1">
        <v>1005</v>
      </c>
      <c r="M52" s="8">
        <v>363.88</v>
      </c>
      <c r="N52">
        <f t="shared" si="0"/>
        <v>19</v>
      </c>
    </row>
    <row r="53" spans="1:14" x14ac:dyDescent="0.25">
      <c r="A53" s="7">
        <v>43881</v>
      </c>
      <c r="B53" s="1">
        <v>2196</v>
      </c>
      <c r="C53" s="1">
        <v>1778</v>
      </c>
      <c r="D53" s="1">
        <v>342</v>
      </c>
      <c r="E53" s="1">
        <v>418</v>
      </c>
      <c r="F53" s="1">
        <v>501</v>
      </c>
      <c r="G53" s="1">
        <v>665</v>
      </c>
      <c r="H53" s="1">
        <v>510</v>
      </c>
      <c r="I53" s="1">
        <v>200</v>
      </c>
      <c r="J53" s="1">
        <v>120</v>
      </c>
      <c r="K53" s="1">
        <v>51</v>
      </c>
      <c r="L53" s="1">
        <v>663</v>
      </c>
      <c r="M53" s="8">
        <v>231.98</v>
      </c>
      <c r="N53">
        <f t="shared" si="0"/>
        <v>20</v>
      </c>
    </row>
    <row r="54" spans="1:14" x14ac:dyDescent="0.25">
      <c r="A54" s="7">
        <v>43882</v>
      </c>
      <c r="B54" s="1">
        <v>2069</v>
      </c>
      <c r="C54" s="1">
        <v>1862</v>
      </c>
      <c r="D54" s="1">
        <v>146</v>
      </c>
      <c r="E54" s="1">
        <v>207</v>
      </c>
      <c r="F54" s="1">
        <v>412</v>
      </c>
      <c r="G54" s="1">
        <v>564</v>
      </c>
      <c r="H54" s="1">
        <v>839</v>
      </c>
      <c r="I54" s="1">
        <v>54</v>
      </c>
      <c r="J54" s="1">
        <v>0</v>
      </c>
      <c r="K54" s="1">
        <v>41</v>
      </c>
      <c r="L54" s="1">
        <v>205</v>
      </c>
      <c r="M54" s="8">
        <v>58.36</v>
      </c>
      <c r="N54">
        <f t="shared" si="0"/>
        <v>21</v>
      </c>
    </row>
    <row r="55" spans="1:14" x14ac:dyDescent="0.25">
      <c r="A55" s="7">
        <v>43883</v>
      </c>
      <c r="B55" s="1">
        <v>2756</v>
      </c>
      <c r="C55" s="1">
        <v>2287</v>
      </c>
      <c r="D55" s="1">
        <v>408</v>
      </c>
      <c r="E55" s="1">
        <v>469</v>
      </c>
      <c r="F55" s="1">
        <v>580</v>
      </c>
      <c r="G55" s="1">
        <v>680</v>
      </c>
      <c r="H55" s="1">
        <v>644</v>
      </c>
      <c r="I55" s="1">
        <v>308</v>
      </c>
      <c r="J55" s="1">
        <v>344</v>
      </c>
      <c r="K55" s="1">
        <v>55</v>
      </c>
      <c r="L55" s="1">
        <v>660</v>
      </c>
      <c r="M55" s="8">
        <v>219.22</v>
      </c>
      <c r="N55">
        <f t="shared" si="0"/>
        <v>22</v>
      </c>
    </row>
    <row r="56" spans="1:14" x14ac:dyDescent="0.25">
      <c r="A56" s="7">
        <v>43884</v>
      </c>
      <c r="B56" s="1">
        <v>2996</v>
      </c>
      <c r="C56" s="1">
        <v>2576</v>
      </c>
      <c r="D56" s="1">
        <v>327</v>
      </c>
      <c r="E56" s="1">
        <v>420</v>
      </c>
      <c r="F56" s="1">
        <v>1540</v>
      </c>
      <c r="G56" s="1">
        <v>418</v>
      </c>
      <c r="H56" s="1">
        <v>566</v>
      </c>
      <c r="I56" s="1">
        <v>228</v>
      </c>
      <c r="J56" s="1">
        <v>44</v>
      </c>
      <c r="K56" s="1">
        <v>58</v>
      </c>
      <c r="L56" s="1">
        <v>754</v>
      </c>
      <c r="M56" s="8">
        <v>221.67</v>
      </c>
      <c r="N56">
        <f t="shared" si="0"/>
        <v>23</v>
      </c>
    </row>
    <row r="57" spans="1:14" x14ac:dyDescent="0.25">
      <c r="A57" s="7">
        <v>43885</v>
      </c>
      <c r="B57" s="1">
        <v>2850</v>
      </c>
      <c r="C57" s="1">
        <v>2023</v>
      </c>
      <c r="D57" s="1">
        <v>711</v>
      </c>
      <c r="E57" s="1">
        <v>827</v>
      </c>
      <c r="F57" s="1">
        <v>1294</v>
      </c>
      <c r="G57" s="1">
        <v>294</v>
      </c>
      <c r="H57" s="1">
        <v>762</v>
      </c>
      <c r="I57" s="1">
        <v>210</v>
      </c>
      <c r="J57" s="1">
        <v>90</v>
      </c>
      <c r="K57" s="1">
        <v>59</v>
      </c>
      <c r="L57" s="1">
        <v>649</v>
      </c>
      <c r="M57" s="8">
        <v>186.20999999999998</v>
      </c>
      <c r="N57">
        <f t="shared" si="0"/>
        <v>24</v>
      </c>
    </row>
    <row r="58" spans="1:14" x14ac:dyDescent="0.25">
      <c r="A58" s="7">
        <v>43886</v>
      </c>
      <c r="B58" s="1">
        <v>3066</v>
      </c>
      <c r="C58" s="1">
        <v>2146</v>
      </c>
      <c r="D58" s="1">
        <v>671</v>
      </c>
      <c r="E58" s="1">
        <v>920</v>
      </c>
      <c r="F58" s="1">
        <v>975</v>
      </c>
      <c r="G58" s="1">
        <v>846</v>
      </c>
      <c r="H58" s="1">
        <v>510</v>
      </c>
      <c r="I58" s="1">
        <v>385</v>
      </c>
      <c r="J58" s="1">
        <v>150</v>
      </c>
      <c r="K58" s="1">
        <v>66</v>
      </c>
      <c r="L58" s="1">
        <v>792</v>
      </c>
      <c r="M58" s="8">
        <v>282.03999999999996</v>
      </c>
      <c r="N58">
        <f t="shared" si="0"/>
        <v>25</v>
      </c>
    </row>
    <row r="59" spans="1:14" x14ac:dyDescent="0.25">
      <c r="A59" s="7">
        <v>43887</v>
      </c>
      <c r="B59" s="1">
        <v>3121</v>
      </c>
      <c r="C59" s="1">
        <v>2528</v>
      </c>
      <c r="D59" s="1">
        <v>456</v>
      </c>
      <c r="E59" s="1">
        <v>593</v>
      </c>
      <c r="F59" s="1">
        <v>1106</v>
      </c>
      <c r="G59" s="1">
        <v>817</v>
      </c>
      <c r="H59" s="1">
        <v>630</v>
      </c>
      <c r="I59" s="1">
        <v>240</v>
      </c>
      <c r="J59" s="1">
        <v>128</v>
      </c>
      <c r="K59" s="1">
        <v>62</v>
      </c>
      <c r="L59" s="1">
        <v>496</v>
      </c>
      <c r="M59" s="8">
        <v>109.86</v>
      </c>
      <c r="N59">
        <f t="shared" si="0"/>
        <v>26</v>
      </c>
    </row>
    <row r="60" spans="1:14" x14ac:dyDescent="0.25">
      <c r="A60" s="7">
        <v>43888</v>
      </c>
      <c r="B60" s="1">
        <v>2547</v>
      </c>
      <c r="C60" s="1">
        <v>2164</v>
      </c>
      <c r="D60" s="1">
        <v>333</v>
      </c>
      <c r="E60" s="1">
        <v>383</v>
      </c>
      <c r="F60" s="1">
        <v>748</v>
      </c>
      <c r="G60" s="1">
        <v>665</v>
      </c>
      <c r="H60" s="1">
        <v>687</v>
      </c>
      <c r="I60" s="1">
        <v>92</v>
      </c>
      <c r="J60" s="1">
        <v>155</v>
      </c>
      <c r="K60" s="1">
        <v>53</v>
      </c>
      <c r="L60" s="1">
        <v>636</v>
      </c>
      <c r="M60" s="8">
        <v>136.73999999999998</v>
      </c>
      <c r="N60">
        <f t="shared" si="0"/>
        <v>27</v>
      </c>
    </row>
    <row r="61" spans="1:14" x14ac:dyDescent="0.25">
      <c r="A61" s="7">
        <v>43889</v>
      </c>
      <c r="B61" s="1">
        <v>2766</v>
      </c>
      <c r="C61" s="1">
        <v>2489</v>
      </c>
      <c r="D61" s="1">
        <v>243</v>
      </c>
      <c r="E61" s="1">
        <v>277</v>
      </c>
      <c r="F61" s="1">
        <v>781</v>
      </c>
      <c r="G61" s="1">
        <v>527</v>
      </c>
      <c r="H61" s="1">
        <v>850</v>
      </c>
      <c r="I61" s="1">
        <v>270</v>
      </c>
      <c r="J61" s="1">
        <v>138</v>
      </c>
      <c r="K61" s="1">
        <v>58</v>
      </c>
      <c r="L61" s="1">
        <v>696</v>
      </c>
      <c r="M61" s="8">
        <v>268.83999999999997</v>
      </c>
      <c r="N61">
        <f t="shared" si="0"/>
        <v>28</v>
      </c>
    </row>
    <row r="62" spans="1:14" x14ac:dyDescent="0.25">
      <c r="A62" s="7">
        <v>43890</v>
      </c>
      <c r="B62" s="1">
        <v>2516</v>
      </c>
      <c r="C62" s="1">
        <v>1887</v>
      </c>
      <c r="D62" s="1">
        <v>553</v>
      </c>
      <c r="E62" s="1">
        <v>629</v>
      </c>
      <c r="F62" s="1">
        <v>1156</v>
      </c>
      <c r="G62" s="1">
        <v>546</v>
      </c>
      <c r="H62" s="1">
        <v>498</v>
      </c>
      <c r="I62" s="1">
        <v>88</v>
      </c>
      <c r="J62" s="1">
        <v>28</v>
      </c>
      <c r="K62" s="1">
        <v>46</v>
      </c>
      <c r="L62" s="1">
        <v>598</v>
      </c>
      <c r="M62" s="8">
        <v>210.73999999999998</v>
      </c>
      <c r="N62">
        <f t="shared" si="0"/>
        <v>29</v>
      </c>
    </row>
    <row r="63" spans="1:14" x14ac:dyDescent="0.25">
      <c r="A63" s="7">
        <v>43891</v>
      </c>
      <c r="B63" s="1">
        <v>2762</v>
      </c>
      <c r="C63" s="1">
        <v>2458</v>
      </c>
      <c r="D63" s="1">
        <v>237</v>
      </c>
      <c r="E63" s="1">
        <v>304</v>
      </c>
      <c r="F63" s="1">
        <v>996</v>
      </c>
      <c r="G63" s="1">
        <v>736</v>
      </c>
      <c r="H63" s="1">
        <v>480</v>
      </c>
      <c r="I63" s="1">
        <v>120</v>
      </c>
      <c r="J63" s="1">
        <v>230</v>
      </c>
      <c r="K63" s="1">
        <v>50</v>
      </c>
      <c r="L63" s="1">
        <v>400</v>
      </c>
      <c r="M63" s="8">
        <v>96.190000000000012</v>
      </c>
      <c r="N63">
        <f t="shared" si="0"/>
        <v>1</v>
      </c>
    </row>
    <row r="64" spans="1:14" x14ac:dyDescent="0.25">
      <c r="A64" s="7">
        <v>43892</v>
      </c>
      <c r="B64" s="1">
        <v>2762</v>
      </c>
      <c r="C64" s="1">
        <v>1933</v>
      </c>
      <c r="D64" s="1">
        <v>704</v>
      </c>
      <c r="E64" s="1">
        <v>829</v>
      </c>
      <c r="F64" s="1">
        <v>857</v>
      </c>
      <c r="G64" s="1">
        <v>705</v>
      </c>
      <c r="H64" s="1">
        <v>696</v>
      </c>
      <c r="I64" s="1">
        <v>136</v>
      </c>
      <c r="J64" s="1">
        <v>168</v>
      </c>
      <c r="K64" s="1">
        <v>57</v>
      </c>
      <c r="L64" s="1">
        <v>285</v>
      </c>
      <c r="M64" s="8">
        <v>85.800000000000011</v>
      </c>
      <c r="N64">
        <f t="shared" si="0"/>
        <v>2</v>
      </c>
    </row>
    <row r="65" spans="1:14" x14ac:dyDescent="0.25">
      <c r="A65" s="7">
        <v>43893</v>
      </c>
      <c r="B65" s="1">
        <v>1979</v>
      </c>
      <c r="C65" s="1">
        <v>1761</v>
      </c>
      <c r="D65" s="1">
        <v>187</v>
      </c>
      <c r="E65" s="1">
        <v>218</v>
      </c>
      <c r="F65" s="1">
        <v>316</v>
      </c>
      <c r="G65" s="1">
        <v>481</v>
      </c>
      <c r="H65" s="1">
        <v>710</v>
      </c>
      <c r="I65" s="1">
        <v>132</v>
      </c>
      <c r="J65" s="1">
        <v>140</v>
      </c>
      <c r="K65" s="1">
        <v>48</v>
      </c>
      <c r="L65" s="1">
        <v>336</v>
      </c>
      <c r="M65" s="8">
        <v>95.48</v>
      </c>
      <c r="N65">
        <f t="shared" si="0"/>
        <v>3</v>
      </c>
    </row>
    <row r="66" spans="1:14" x14ac:dyDescent="0.25">
      <c r="A66" s="7">
        <v>43894</v>
      </c>
      <c r="B66" s="1">
        <v>2372</v>
      </c>
      <c r="C66" s="1">
        <v>2087</v>
      </c>
      <c r="D66" s="1">
        <v>213</v>
      </c>
      <c r="E66" s="1">
        <v>285</v>
      </c>
      <c r="F66" s="1">
        <v>834</v>
      </c>
      <c r="G66" s="1">
        <v>546</v>
      </c>
      <c r="H66" s="1">
        <v>550</v>
      </c>
      <c r="I66" s="1">
        <v>104</v>
      </c>
      <c r="J66" s="1">
        <v>138</v>
      </c>
      <c r="K66" s="1">
        <v>64</v>
      </c>
      <c r="L66" s="1">
        <v>640</v>
      </c>
      <c r="M66" s="8">
        <v>247.01</v>
      </c>
      <c r="N66">
        <f t="shared" si="0"/>
        <v>4</v>
      </c>
    </row>
    <row r="67" spans="1:14" x14ac:dyDescent="0.25">
      <c r="A67" s="7">
        <v>43895</v>
      </c>
      <c r="B67" s="1">
        <v>2063</v>
      </c>
      <c r="C67" s="1">
        <v>1691</v>
      </c>
      <c r="D67" s="1">
        <v>275</v>
      </c>
      <c r="E67" s="1">
        <v>372</v>
      </c>
      <c r="F67" s="1">
        <v>775</v>
      </c>
      <c r="G67" s="1">
        <v>252</v>
      </c>
      <c r="H67" s="1">
        <v>498</v>
      </c>
      <c r="I67" s="1">
        <v>182</v>
      </c>
      <c r="J67" s="1">
        <v>156</v>
      </c>
      <c r="K67" s="1">
        <v>44</v>
      </c>
      <c r="L67" s="1">
        <v>440</v>
      </c>
      <c r="M67" s="8">
        <v>112.25</v>
      </c>
      <c r="N67">
        <f t="shared" si="0"/>
        <v>5</v>
      </c>
    </row>
    <row r="68" spans="1:14" x14ac:dyDescent="0.25">
      <c r="A68" s="7">
        <v>43896</v>
      </c>
      <c r="B68" s="1">
        <v>2715</v>
      </c>
      <c r="C68" s="1">
        <v>2334</v>
      </c>
      <c r="D68" s="1">
        <v>320</v>
      </c>
      <c r="E68" s="1">
        <v>381</v>
      </c>
      <c r="F68" s="1">
        <v>1004</v>
      </c>
      <c r="G68" s="1">
        <v>448</v>
      </c>
      <c r="H68" s="1">
        <v>588</v>
      </c>
      <c r="I68" s="1">
        <v>270</v>
      </c>
      <c r="J68" s="1">
        <v>205</v>
      </c>
      <c r="K68" s="1">
        <v>54</v>
      </c>
      <c r="L68" s="1">
        <v>702</v>
      </c>
      <c r="M68" s="8">
        <v>173.98</v>
      </c>
      <c r="N68">
        <f t="shared" ref="N68:N131" si="1">DAY(A68)</f>
        <v>6</v>
      </c>
    </row>
    <row r="69" spans="1:14" x14ac:dyDescent="0.25">
      <c r="A69" s="7">
        <v>43897</v>
      </c>
      <c r="B69" s="1">
        <v>2814</v>
      </c>
      <c r="C69" s="1">
        <v>2532</v>
      </c>
      <c r="D69" s="1">
        <v>245</v>
      </c>
      <c r="E69" s="1">
        <v>282</v>
      </c>
      <c r="F69" s="1">
        <v>1030</v>
      </c>
      <c r="G69" s="1">
        <v>682</v>
      </c>
      <c r="H69" s="1">
        <v>472</v>
      </c>
      <c r="I69" s="1">
        <v>290</v>
      </c>
      <c r="J69" s="1">
        <v>140</v>
      </c>
      <c r="K69" s="1">
        <v>57</v>
      </c>
      <c r="L69" s="1">
        <v>456</v>
      </c>
      <c r="M69" s="8">
        <v>124.18</v>
      </c>
      <c r="N69">
        <f t="shared" si="1"/>
        <v>7</v>
      </c>
    </row>
    <row r="70" spans="1:14" x14ac:dyDescent="0.25">
      <c r="A70" s="7">
        <v>43898</v>
      </c>
      <c r="B70" s="1">
        <v>3011</v>
      </c>
      <c r="C70" s="1">
        <v>2649</v>
      </c>
      <c r="D70" s="1">
        <v>293</v>
      </c>
      <c r="E70" s="1">
        <v>362</v>
      </c>
      <c r="F70" s="1">
        <v>1248</v>
      </c>
      <c r="G70" s="1">
        <v>585</v>
      </c>
      <c r="H70" s="1">
        <v>510</v>
      </c>
      <c r="I70" s="1">
        <v>156</v>
      </c>
      <c r="J70" s="1">
        <v>312</v>
      </c>
      <c r="K70" s="1">
        <v>50</v>
      </c>
      <c r="L70" s="1">
        <v>550</v>
      </c>
      <c r="M70" s="8">
        <v>201.87</v>
      </c>
      <c r="N70">
        <f t="shared" si="1"/>
        <v>8</v>
      </c>
    </row>
    <row r="71" spans="1:14" x14ac:dyDescent="0.25">
      <c r="A71" s="7">
        <v>43899</v>
      </c>
      <c r="B71" s="1">
        <v>2779</v>
      </c>
      <c r="C71" s="1">
        <v>2223</v>
      </c>
      <c r="D71" s="1">
        <v>405</v>
      </c>
      <c r="E71" s="1">
        <v>556</v>
      </c>
      <c r="F71" s="1">
        <v>996</v>
      </c>
      <c r="G71" s="1">
        <v>702</v>
      </c>
      <c r="H71" s="1">
        <v>510</v>
      </c>
      <c r="I71" s="1">
        <v>196</v>
      </c>
      <c r="J71" s="1">
        <v>175</v>
      </c>
      <c r="K71" s="1">
        <v>57</v>
      </c>
      <c r="L71" s="1">
        <v>513</v>
      </c>
      <c r="M71" s="8">
        <v>121.71000000000001</v>
      </c>
      <c r="N71">
        <f t="shared" si="1"/>
        <v>9</v>
      </c>
    </row>
    <row r="72" spans="1:14" x14ac:dyDescent="0.25">
      <c r="A72" s="7">
        <v>43900</v>
      </c>
      <c r="B72" s="1">
        <v>2011</v>
      </c>
      <c r="C72" s="1">
        <v>1427</v>
      </c>
      <c r="D72" s="1">
        <v>519</v>
      </c>
      <c r="E72" s="1">
        <v>584</v>
      </c>
      <c r="F72" s="1">
        <v>435</v>
      </c>
      <c r="G72" s="1">
        <v>495</v>
      </c>
      <c r="H72" s="1">
        <v>572</v>
      </c>
      <c r="I72" s="1">
        <v>154</v>
      </c>
      <c r="J72" s="1">
        <v>155</v>
      </c>
      <c r="K72" s="1">
        <v>46</v>
      </c>
      <c r="L72" s="1">
        <v>460</v>
      </c>
      <c r="M72" s="8">
        <v>151.87</v>
      </c>
      <c r="N72">
        <f t="shared" si="1"/>
        <v>10</v>
      </c>
    </row>
    <row r="73" spans="1:14" x14ac:dyDescent="0.25">
      <c r="A73" s="7">
        <v>43901</v>
      </c>
      <c r="B73" s="1">
        <v>2701</v>
      </c>
      <c r="C73" s="1">
        <v>2160</v>
      </c>
      <c r="D73" s="1">
        <v>416</v>
      </c>
      <c r="E73" s="1">
        <v>541</v>
      </c>
      <c r="F73" s="1">
        <v>809</v>
      </c>
      <c r="G73" s="1">
        <v>736</v>
      </c>
      <c r="H73" s="1">
        <v>732</v>
      </c>
      <c r="I73" s="1">
        <v>132</v>
      </c>
      <c r="J73" s="1">
        <v>92</v>
      </c>
      <c r="K73" s="1">
        <v>50</v>
      </c>
      <c r="L73" s="1">
        <v>750</v>
      </c>
      <c r="M73" s="8">
        <v>257.68</v>
      </c>
      <c r="N73">
        <f t="shared" si="1"/>
        <v>11</v>
      </c>
    </row>
    <row r="74" spans="1:14" x14ac:dyDescent="0.25">
      <c r="A74" s="7">
        <v>43902</v>
      </c>
      <c r="B74" s="1">
        <v>1945</v>
      </c>
      <c r="C74" s="1">
        <v>1575</v>
      </c>
      <c r="D74" s="1">
        <v>292</v>
      </c>
      <c r="E74" s="1">
        <v>370</v>
      </c>
      <c r="F74" s="1">
        <v>364</v>
      </c>
      <c r="G74" s="1">
        <v>475</v>
      </c>
      <c r="H74" s="1">
        <v>622</v>
      </c>
      <c r="I74" s="1">
        <v>120</v>
      </c>
      <c r="J74" s="1">
        <v>164</v>
      </c>
      <c r="K74" s="1">
        <v>50</v>
      </c>
      <c r="L74" s="1">
        <v>350</v>
      </c>
      <c r="M74" s="8">
        <v>121.71000000000001</v>
      </c>
      <c r="N74">
        <f t="shared" si="1"/>
        <v>12</v>
      </c>
    </row>
    <row r="75" spans="1:14" x14ac:dyDescent="0.25">
      <c r="A75" s="7">
        <v>43903</v>
      </c>
      <c r="B75" s="1">
        <v>2584</v>
      </c>
      <c r="C75" s="1">
        <v>1808</v>
      </c>
      <c r="D75" s="1">
        <v>605</v>
      </c>
      <c r="E75" s="1">
        <v>776</v>
      </c>
      <c r="F75" s="1">
        <v>1013</v>
      </c>
      <c r="G75" s="1">
        <v>264</v>
      </c>
      <c r="H75" s="1">
        <v>522</v>
      </c>
      <c r="I75" s="1">
        <v>270</v>
      </c>
      <c r="J75" s="1">
        <v>315</v>
      </c>
      <c r="K75" s="1">
        <v>52</v>
      </c>
      <c r="L75" s="1">
        <v>260</v>
      </c>
      <c r="M75" s="8">
        <v>55.199999999999996</v>
      </c>
      <c r="N75">
        <f t="shared" si="1"/>
        <v>13</v>
      </c>
    </row>
    <row r="76" spans="1:14" x14ac:dyDescent="0.25">
      <c r="A76" s="7">
        <v>43904</v>
      </c>
      <c r="B76" s="1">
        <v>2954</v>
      </c>
      <c r="C76" s="1">
        <v>2333</v>
      </c>
      <c r="D76" s="1">
        <v>540</v>
      </c>
      <c r="E76" s="1">
        <v>621</v>
      </c>
      <c r="F76" s="1">
        <v>864</v>
      </c>
      <c r="G76" s="1">
        <v>1008</v>
      </c>
      <c r="H76" s="1">
        <v>588</v>
      </c>
      <c r="I76" s="1">
        <v>0</v>
      </c>
      <c r="J76" s="1">
        <v>294</v>
      </c>
      <c r="K76" s="1">
        <v>58</v>
      </c>
      <c r="L76" s="1">
        <v>348</v>
      </c>
      <c r="M76" s="8">
        <v>131.73999999999998</v>
      </c>
      <c r="N76">
        <f t="shared" si="1"/>
        <v>14</v>
      </c>
    </row>
    <row r="77" spans="1:14" x14ac:dyDescent="0.25">
      <c r="A77" s="7">
        <v>43905</v>
      </c>
      <c r="B77" s="1">
        <v>2469</v>
      </c>
      <c r="C77" s="1">
        <v>1777</v>
      </c>
      <c r="D77" s="1">
        <v>602</v>
      </c>
      <c r="E77" s="1">
        <v>692</v>
      </c>
      <c r="F77" s="1">
        <v>864</v>
      </c>
      <c r="G77" s="1">
        <v>525</v>
      </c>
      <c r="H77" s="1">
        <v>534</v>
      </c>
      <c r="I77" s="1">
        <v>280</v>
      </c>
      <c r="J77" s="1">
        <v>66</v>
      </c>
      <c r="K77" s="1">
        <v>56</v>
      </c>
      <c r="L77" s="1">
        <v>672</v>
      </c>
      <c r="M77" s="8">
        <v>197.26999999999998</v>
      </c>
      <c r="N77">
        <f t="shared" si="1"/>
        <v>15</v>
      </c>
    </row>
    <row r="78" spans="1:14" x14ac:dyDescent="0.25">
      <c r="A78" s="7">
        <v>43906</v>
      </c>
      <c r="B78" s="1">
        <v>1887</v>
      </c>
      <c r="C78" s="1">
        <v>1698</v>
      </c>
      <c r="D78" s="1">
        <v>147</v>
      </c>
      <c r="E78" s="1">
        <v>189</v>
      </c>
      <c r="F78" s="1">
        <v>469</v>
      </c>
      <c r="G78" s="1">
        <v>624</v>
      </c>
      <c r="H78" s="1">
        <v>484</v>
      </c>
      <c r="I78" s="1">
        <v>62</v>
      </c>
      <c r="J78" s="1">
        <v>48</v>
      </c>
      <c r="K78" s="1">
        <v>45</v>
      </c>
      <c r="L78" s="1">
        <v>495</v>
      </c>
      <c r="M78" s="8">
        <v>109.76</v>
      </c>
      <c r="N78">
        <f t="shared" si="1"/>
        <v>16</v>
      </c>
    </row>
    <row r="79" spans="1:14" x14ac:dyDescent="0.25">
      <c r="A79" s="7">
        <v>43907</v>
      </c>
      <c r="B79" s="1">
        <v>2239</v>
      </c>
      <c r="C79" s="1">
        <v>1746</v>
      </c>
      <c r="D79" s="1">
        <v>394</v>
      </c>
      <c r="E79" s="1">
        <v>493</v>
      </c>
      <c r="F79" s="1">
        <v>620</v>
      </c>
      <c r="G79" s="1">
        <v>575</v>
      </c>
      <c r="H79" s="1">
        <v>516</v>
      </c>
      <c r="I79" s="1">
        <v>242</v>
      </c>
      <c r="J79" s="1">
        <v>86</v>
      </c>
      <c r="K79" s="1">
        <v>58</v>
      </c>
      <c r="L79" s="1">
        <v>812</v>
      </c>
      <c r="M79" s="8">
        <v>315.40999999999997</v>
      </c>
      <c r="N79">
        <f t="shared" si="1"/>
        <v>17</v>
      </c>
    </row>
    <row r="80" spans="1:14" x14ac:dyDescent="0.25">
      <c r="A80" s="7">
        <v>43908</v>
      </c>
      <c r="B80" s="1">
        <v>2980</v>
      </c>
      <c r="C80" s="1">
        <v>2264</v>
      </c>
      <c r="D80" s="1">
        <v>544</v>
      </c>
      <c r="E80" s="1">
        <v>716</v>
      </c>
      <c r="F80" s="1">
        <v>828</v>
      </c>
      <c r="G80" s="1">
        <v>700</v>
      </c>
      <c r="H80" s="1">
        <v>740</v>
      </c>
      <c r="I80" s="1">
        <v>224</v>
      </c>
      <c r="J80" s="1">
        <v>288</v>
      </c>
      <c r="K80" s="1">
        <v>54</v>
      </c>
      <c r="L80" s="1">
        <v>270</v>
      </c>
      <c r="M80" s="8">
        <v>72.210000000000008</v>
      </c>
      <c r="N80">
        <f t="shared" si="1"/>
        <v>18</v>
      </c>
    </row>
    <row r="81" spans="1:14" x14ac:dyDescent="0.25">
      <c r="A81" s="7">
        <v>43909</v>
      </c>
      <c r="B81" s="1">
        <v>2413</v>
      </c>
      <c r="C81" s="1">
        <v>1761</v>
      </c>
      <c r="D81" s="1">
        <v>462</v>
      </c>
      <c r="E81" s="1">
        <v>652</v>
      </c>
      <c r="F81" s="1">
        <v>673</v>
      </c>
      <c r="G81" s="1">
        <v>645</v>
      </c>
      <c r="H81" s="1">
        <v>687</v>
      </c>
      <c r="I81" s="1">
        <v>108</v>
      </c>
      <c r="J81" s="1">
        <v>100</v>
      </c>
      <c r="K81" s="1">
        <v>55</v>
      </c>
      <c r="L81" s="1">
        <v>660</v>
      </c>
      <c r="M81" s="8">
        <v>249.26999999999998</v>
      </c>
      <c r="N81">
        <f t="shared" si="1"/>
        <v>19</v>
      </c>
    </row>
    <row r="82" spans="1:14" x14ac:dyDescent="0.25">
      <c r="A82" s="7">
        <v>43910</v>
      </c>
      <c r="B82" s="1">
        <v>2488</v>
      </c>
      <c r="C82" s="1">
        <v>1866</v>
      </c>
      <c r="D82" s="1">
        <v>516</v>
      </c>
      <c r="E82" s="1">
        <v>622</v>
      </c>
      <c r="F82" s="1">
        <v>949</v>
      </c>
      <c r="G82" s="1">
        <v>440</v>
      </c>
      <c r="H82" s="1">
        <v>450</v>
      </c>
      <c r="I82" s="1">
        <v>319</v>
      </c>
      <c r="J82" s="1">
        <v>130</v>
      </c>
      <c r="K82" s="1">
        <v>63</v>
      </c>
      <c r="L82" s="1">
        <v>693</v>
      </c>
      <c r="M82" s="8">
        <v>173.16</v>
      </c>
      <c r="N82">
        <f t="shared" si="1"/>
        <v>20</v>
      </c>
    </row>
    <row r="83" spans="1:14" x14ac:dyDescent="0.25">
      <c r="A83" s="7">
        <v>43911</v>
      </c>
      <c r="B83" s="1">
        <v>2360</v>
      </c>
      <c r="C83" s="1">
        <v>1864</v>
      </c>
      <c r="D83" s="1">
        <v>381</v>
      </c>
      <c r="E83" s="1">
        <v>496</v>
      </c>
      <c r="F83" s="1">
        <v>760</v>
      </c>
      <c r="G83" s="1">
        <v>396</v>
      </c>
      <c r="H83" s="1">
        <v>729</v>
      </c>
      <c r="I83" s="1">
        <v>203</v>
      </c>
      <c r="J83" s="1">
        <v>72</v>
      </c>
      <c r="K83" s="1">
        <v>55</v>
      </c>
      <c r="L83" s="1">
        <v>275</v>
      </c>
      <c r="M83" s="8">
        <v>80.86</v>
      </c>
      <c r="N83">
        <f t="shared" si="1"/>
        <v>21</v>
      </c>
    </row>
    <row r="84" spans="1:14" x14ac:dyDescent="0.25">
      <c r="A84" s="7">
        <v>43912</v>
      </c>
      <c r="B84" s="1">
        <v>3082</v>
      </c>
      <c r="C84" s="1">
        <v>2681</v>
      </c>
      <c r="D84" s="1">
        <v>312</v>
      </c>
      <c r="E84" s="1">
        <v>401</v>
      </c>
      <c r="F84" s="1">
        <v>1300</v>
      </c>
      <c r="G84" s="1">
        <v>722</v>
      </c>
      <c r="H84" s="1">
        <v>629</v>
      </c>
      <c r="I84" s="1">
        <v>96</v>
      </c>
      <c r="J84" s="1">
        <v>135</v>
      </c>
      <c r="K84" s="1">
        <v>53</v>
      </c>
      <c r="L84" s="1">
        <v>265</v>
      </c>
      <c r="M84" s="8">
        <v>87.160000000000011</v>
      </c>
      <c r="N84">
        <f t="shared" si="1"/>
        <v>22</v>
      </c>
    </row>
    <row r="85" spans="1:14" x14ac:dyDescent="0.25">
      <c r="A85" s="7">
        <v>43913</v>
      </c>
      <c r="B85" s="1">
        <v>2329</v>
      </c>
      <c r="C85" s="1">
        <v>1630</v>
      </c>
      <c r="D85" s="1">
        <v>524</v>
      </c>
      <c r="E85" s="1">
        <v>699</v>
      </c>
      <c r="F85" s="1">
        <v>310</v>
      </c>
      <c r="G85" s="1">
        <v>560</v>
      </c>
      <c r="H85" s="1">
        <v>885</v>
      </c>
      <c r="I85" s="1">
        <v>66</v>
      </c>
      <c r="J85" s="1">
        <v>308</v>
      </c>
      <c r="K85" s="1">
        <v>52</v>
      </c>
      <c r="L85" s="1">
        <v>572</v>
      </c>
      <c r="M85" s="8">
        <v>143.10999999999999</v>
      </c>
      <c r="N85">
        <f t="shared" si="1"/>
        <v>23</v>
      </c>
    </row>
    <row r="86" spans="1:14" x14ac:dyDescent="0.25">
      <c r="A86" s="7">
        <v>43914</v>
      </c>
      <c r="B86" s="1">
        <v>2117</v>
      </c>
      <c r="C86" s="1">
        <v>1820</v>
      </c>
      <c r="D86" s="1">
        <v>258</v>
      </c>
      <c r="E86" s="1">
        <v>297</v>
      </c>
      <c r="F86" s="1">
        <v>572</v>
      </c>
      <c r="G86" s="1">
        <v>465</v>
      </c>
      <c r="H86" s="1">
        <v>560</v>
      </c>
      <c r="I86" s="1">
        <v>220</v>
      </c>
      <c r="J86" s="1">
        <v>100</v>
      </c>
      <c r="K86" s="1">
        <v>58</v>
      </c>
      <c r="L86" s="1">
        <v>580</v>
      </c>
      <c r="M86" s="8">
        <v>151.01999999999998</v>
      </c>
      <c r="N86">
        <f t="shared" si="1"/>
        <v>24</v>
      </c>
    </row>
    <row r="87" spans="1:14" x14ac:dyDescent="0.25">
      <c r="A87" s="7">
        <v>43915</v>
      </c>
      <c r="B87" s="1">
        <v>2535</v>
      </c>
      <c r="C87" s="1">
        <v>1825</v>
      </c>
      <c r="D87" s="1">
        <v>568</v>
      </c>
      <c r="E87" s="1">
        <v>710</v>
      </c>
      <c r="F87" s="1">
        <v>620</v>
      </c>
      <c r="G87" s="1">
        <v>738</v>
      </c>
      <c r="H87" s="1">
        <v>596</v>
      </c>
      <c r="I87" s="1">
        <v>231</v>
      </c>
      <c r="J87" s="1">
        <v>150</v>
      </c>
      <c r="K87" s="1">
        <v>58</v>
      </c>
      <c r="L87" s="1">
        <v>870</v>
      </c>
      <c r="M87" s="8">
        <v>341.51</v>
      </c>
      <c r="N87">
        <f t="shared" si="1"/>
        <v>25</v>
      </c>
    </row>
    <row r="88" spans="1:14" x14ac:dyDescent="0.25">
      <c r="A88" s="7">
        <v>43916</v>
      </c>
      <c r="B88" s="1">
        <v>2890</v>
      </c>
      <c r="C88" s="1">
        <v>2167</v>
      </c>
      <c r="D88" s="1">
        <v>513</v>
      </c>
      <c r="E88" s="1">
        <v>723</v>
      </c>
      <c r="F88" s="1">
        <v>1248</v>
      </c>
      <c r="G88" s="1">
        <v>486</v>
      </c>
      <c r="H88" s="1">
        <v>650</v>
      </c>
      <c r="I88" s="1">
        <v>222</v>
      </c>
      <c r="J88" s="1">
        <v>84</v>
      </c>
      <c r="K88" s="1">
        <v>59</v>
      </c>
      <c r="L88" s="1">
        <v>354</v>
      </c>
      <c r="M88" s="8">
        <v>112.69000000000001</v>
      </c>
      <c r="N88">
        <f t="shared" si="1"/>
        <v>26</v>
      </c>
    </row>
    <row r="89" spans="1:14" x14ac:dyDescent="0.25">
      <c r="A89" s="7">
        <v>43917</v>
      </c>
      <c r="B89" s="1">
        <v>2106</v>
      </c>
      <c r="C89" s="1">
        <v>1495</v>
      </c>
      <c r="D89" s="1">
        <v>446</v>
      </c>
      <c r="E89" s="1">
        <v>611</v>
      </c>
      <c r="F89" s="1">
        <v>268</v>
      </c>
      <c r="G89" s="1">
        <v>697</v>
      </c>
      <c r="H89" s="1">
        <v>576</v>
      </c>
      <c r="I89" s="1">
        <v>329</v>
      </c>
      <c r="J89" s="1">
        <v>36</v>
      </c>
      <c r="K89" s="1">
        <v>43</v>
      </c>
      <c r="L89" s="1">
        <v>215</v>
      </c>
      <c r="M89" s="8">
        <v>55.699999999999996</v>
      </c>
      <c r="N89">
        <f t="shared" si="1"/>
        <v>27</v>
      </c>
    </row>
    <row r="90" spans="1:14" x14ac:dyDescent="0.25">
      <c r="A90" s="7">
        <v>43918</v>
      </c>
      <c r="B90" s="1">
        <v>2343</v>
      </c>
      <c r="C90" s="1">
        <v>2108</v>
      </c>
      <c r="D90" s="1">
        <v>188</v>
      </c>
      <c r="E90" s="1">
        <v>235</v>
      </c>
      <c r="F90" s="1">
        <v>772</v>
      </c>
      <c r="G90" s="1">
        <v>374</v>
      </c>
      <c r="H90" s="1">
        <v>680</v>
      </c>
      <c r="I90" s="1">
        <v>155</v>
      </c>
      <c r="J90" s="1">
        <v>162</v>
      </c>
      <c r="K90" s="1">
        <v>62</v>
      </c>
      <c r="L90" s="1">
        <v>558</v>
      </c>
      <c r="M90" s="8">
        <v>222.87</v>
      </c>
      <c r="N90">
        <f t="shared" si="1"/>
        <v>28</v>
      </c>
    </row>
    <row r="91" spans="1:14" x14ac:dyDescent="0.25">
      <c r="A91" s="7">
        <v>43919</v>
      </c>
      <c r="B91" s="1">
        <v>2964</v>
      </c>
      <c r="C91" s="1">
        <v>2371</v>
      </c>
      <c r="D91" s="1">
        <v>432</v>
      </c>
      <c r="E91" s="1">
        <v>593</v>
      </c>
      <c r="F91" s="1">
        <v>1106</v>
      </c>
      <c r="G91" s="1">
        <v>672</v>
      </c>
      <c r="H91" s="1">
        <v>500</v>
      </c>
      <c r="I91" s="1">
        <v>294</v>
      </c>
      <c r="J91" s="1">
        <v>192</v>
      </c>
      <c r="K91" s="1">
        <v>55</v>
      </c>
      <c r="L91" s="1">
        <v>605</v>
      </c>
      <c r="M91" s="8">
        <v>173.75</v>
      </c>
      <c r="N91">
        <f t="shared" si="1"/>
        <v>29</v>
      </c>
    </row>
    <row r="92" spans="1:14" x14ac:dyDescent="0.25">
      <c r="A92" s="7">
        <v>43920</v>
      </c>
      <c r="B92" s="1">
        <v>1746</v>
      </c>
      <c r="C92" s="1">
        <v>1536</v>
      </c>
      <c r="D92" s="1">
        <v>155</v>
      </c>
      <c r="E92" s="1">
        <v>210</v>
      </c>
      <c r="F92" s="1">
        <v>358</v>
      </c>
      <c r="G92" s="1">
        <v>406</v>
      </c>
      <c r="H92" s="1">
        <v>420</v>
      </c>
      <c r="I92" s="1">
        <v>215</v>
      </c>
      <c r="J92" s="1">
        <v>147</v>
      </c>
      <c r="K92" s="1">
        <v>40</v>
      </c>
      <c r="L92" s="1">
        <v>240</v>
      </c>
      <c r="M92" s="8">
        <v>59.03</v>
      </c>
      <c r="N92">
        <f t="shared" si="1"/>
        <v>30</v>
      </c>
    </row>
    <row r="93" spans="1:14" x14ac:dyDescent="0.25">
      <c r="A93" s="7">
        <v>43921</v>
      </c>
      <c r="B93" s="1">
        <v>2437</v>
      </c>
      <c r="C93" s="1">
        <v>1852</v>
      </c>
      <c r="D93" s="1">
        <v>415</v>
      </c>
      <c r="E93" s="1">
        <v>585</v>
      </c>
      <c r="F93" s="1">
        <v>758</v>
      </c>
      <c r="G93" s="1">
        <v>680</v>
      </c>
      <c r="H93" s="1">
        <v>475</v>
      </c>
      <c r="I93" s="1">
        <v>168</v>
      </c>
      <c r="J93" s="1">
        <v>156</v>
      </c>
      <c r="K93" s="1">
        <v>53</v>
      </c>
      <c r="L93" s="1">
        <v>424</v>
      </c>
      <c r="M93" s="8">
        <v>97.98</v>
      </c>
      <c r="N93">
        <f t="shared" si="1"/>
        <v>31</v>
      </c>
    </row>
    <row r="94" spans="1:14" x14ac:dyDescent="0.25">
      <c r="A94" s="7">
        <v>43922</v>
      </c>
      <c r="B94" s="1">
        <v>2686</v>
      </c>
      <c r="C94" s="1">
        <v>2229</v>
      </c>
      <c r="D94" s="1">
        <v>329</v>
      </c>
      <c r="E94" s="1">
        <v>457</v>
      </c>
      <c r="F94" s="1">
        <v>673</v>
      </c>
      <c r="G94" s="1">
        <v>450</v>
      </c>
      <c r="H94" s="1">
        <v>794</v>
      </c>
      <c r="I94" s="1">
        <v>414</v>
      </c>
      <c r="J94" s="1">
        <v>155</v>
      </c>
      <c r="K94" s="1">
        <v>59</v>
      </c>
      <c r="L94" s="1">
        <v>885</v>
      </c>
      <c r="M94" s="8">
        <v>307.84999999999997</v>
      </c>
      <c r="N94">
        <f t="shared" si="1"/>
        <v>1</v>
      </c>
    </row>
    <row r="95" spans="1:14" x14ac:dyDescent="0.25">
      <c r="A95" s="7">
        <v>43923</v>
      </c>
      <c r="B95" s="1">
        <v>2762</v>
      </c>
      <c r="C95" s="1">
        <v>2458</v>
      </c>
      <c r="D95" s="1">
        <v>231</v>
      </c>
      <c r="E95" s="1">
        <v>304</v>
      </c>
      <c r="F95" s="1">
        <v>850</v>
      </c>
      <c r="G95" s="1">
        <v>760</v>
      </c>
      <c r="H95" s="1">
        <v>684</v>
      </c>
      <c r="I95" s="1">
        <v>130</v>
      </c>
      <c r="J95" s="1">
        <v>138</v>
      </c>
      <c r="K95" s="1">
        <v>54</v>
      </c>
      <c r="L95" s="1">
        <v>378</v>
      </c>
      <c r="M95" s="8">
        <v>134.14999999999998</v>
      </c>
      <c r="N95">
        <f t="shared" si="1"/>
        <v>2</v>
      </c>
    </row>
    <row r="96" spans="1:14" x14ac:dyDescent="0.25">
      <c r="A96" s="7">
        <v>43924</v>
      </c>
      <c r="B96" s="1">
        <v>2000</v>
      </c>
      <c r="C96" s="1">
        <v>1720</v>
      </c>
      <c r="D96" s="1">
        <v>221</v>
      </c>
      <c r="E96" s="1">
        <v>280</v>
      </c>
      <c r="F96" s="1">
        <v>190</v>
      </c>
      <c r="G96" s="1">
        <v>690</v>
      </c>
      <c r="H96" s="1">
        <v>660</v>
      </c>
      <c r="I96" s="1">
        <v>84</v>
      </c>
      <c r="J96" s="1">
        <v>176</v>
      </c>
      <c r="K96" s="1">
        <v>43</v>
      </c>
      <c r="L96" s="1">
        <v>387</v>
      </c>
      <c r="M96" s="8">
        <v>111.88000000000001</v>
      </c>
      <c r="N96">
        <f t="shared" si="1"/>
        <v>3</v>
      </c>
    </row>
    <row r="97" spans="1:14" x14ac:dyDescent="0.25">
      <c r="A97" s="7">
        <v>43925</v>
      </c>
      <c r="B97" s="1">
        <v>2583</v>
      </c>
      <c r="C97" s="1">
        <v>2247</v>
      </c>
      <c r="D97" s="1">
        <v>292</v>
      </c>
      <c r="E97" s="1">
        <v>336</v>
      </c>
      <c r="F97" s="1">
        <v>805</v>
      </c>
      <c r="G97" s="1">
        <v>507</v>
      </c>
      <c r="H97" s="1">
        <v>800</v>
      </c>
      <c r="I97" s="1">
        <v>56</v>
      </c>
      <c r="J97" s="1">
        <v>215</v>
      </c>
      <c r="K97" s="1">
        <v>45</v>
      </c>
      <c r="L97" s="1">
        <v>585</v>
      </c>
      <c r="M97" s="8">
        <v>232.20999999999998</v>
      </c>
      <c r="N97">
        <f t="shared" si="1"/>
        <v>4</v>
      </c>
    </row>
    <row r="98" spans="1:14" x14ac:dyDescent="0.25">
      <c r="A98" s="7">
        <v>43926</v>
      </c>
      <c r="B98" s="1">
        <v>2555</v>
      </c>
      <c r="C98" s="1">
        <v>1967</v>
      </c>
      <c r="D98" s="1">
        <v>411</v>
      </c>
      <c r="E98" s="1">
        <v>588</v>
      </c>
      <c r="F98" s="1">
        <v>1060</v>
      </c>
      <c r="G98" s="1">
        <v>425</v>
      </c>
      <c r="H98" s="1">
        <v>669</v>
      </c>
      <c r="I98" s="1">
        <v>96</v>
      </c>
      <c r="J98" s="1">
        <v>105</v>
      </c>
      <c r="K98" s="1">
        <v>60</v>
      </c>
      <c r="L98" s="1">
        <v>900</v>
      </c>
      <c r="M98" s="8">
        <v>357.89</v>
      </c>
      <c r="N98">
        <f t="shared" si="1"/>
        <v>5</v>
      </c>
    </row>
    <row r="99" spans="1:14" x14ac:dyDescent="0.25">
      <c r="A99" s="7">
        <v>43927</v>
      </c>
      <c r="B99" s="1">
        <v>3332</v>
      </c>
      <c r="C99" s="1">
        <v>2598</v>
      </c>
      <c r="D99" s="1">
        <v>528</v>
      </c>
      <c r="E99" s="1">
        <v>734</v>
      </c>
      <c r="F99" s="1">
        <v>1436</v>
      </c>
      <c r="G99" s="1">
        <v>1034</v>
      </c>
      <c r="H99" s="1">
        <v>516</v>
      </c>
      <c r="I99" s="1">
        <v>46</v>
      </c>
      <c r="J99" s="1">
        <v>100</v>
      </c>
      <c r="K99" s="1">
        <v>59</v>
      </c>
      <c r="L99" s="1">
        <v>531</v>
      </c>
      <c r="M99" s="8">
        <v>123.16000000000001</v>
      </c>
      <c r="N99">
        <f t="shared" si="1"/>
        <v>6</v>
      </c>
    </row>
    <row r="100" spans="1:14" x14ac:dyDescent="0.25">
      <c r="A100" s="7">
        <v>43928</v>
      </c>
      <c r="B100" s="1">
        <v>3215</v>
      </c>
      <c r="C100" s="1">
        <v>2411</v>
      </c>
      <c r="D100" s="1">
        <v>627</v>
      </c>
      <c r="E100" s="1">
        <v>804</v>
      </c>
      <c r="F100" s="1">
        <v>1222</v>
      </c>
      <c r="G100" s="1">
        <v>588</v>
      </c>
      <c r="H100" s="1">
        <v>586</v>
      </c>
      <c r="I100" s="1">
        <v>451</v>
      </c>
      <c r="J100" s="1">
        <v>168</v>
      </c>
      <c r="K100" s="1">
        <v>63</v>
      </c>
      <c r="L100" s="1">
        <v>756</v>
      </c>
      <c r="M100" s="8">
        <v>222.85999999999999</v>
      </c>
      <c r="N100">
        <f t="shared" si="1"/>
        <v>7</v>
      </c>
    </row>
    <row r="101" spans="1:14" x14ac:dyDescent="0.25">
      <c r="A101" s="7">
        <v>43929</v>
      </c>
      <c r="B101" s="1">
        <v>2602</v>
      </c>
      <c r="C101" s="1">
        <v>2133</v>
      </c>
      <c r="D101" s="1">
        <v>398</v>
      </c>
      <c r="E101" s="1">
        <v>469</v>
      </c>
      <c r="F101" s="1">
        <v>636</v>
      </c>
      <c r="G101" s="1">
        <v>630</v>
      </c>
      <c r="H101" s="1">
        <v>570</v>
      </c>
      <c r="I101" s="1">
        <v>279</v>
      </c>
      <c r="J101" s="1">
        <v>287</v>
      </c>
      <c r="K101" s="1">
        <v>56</v>
      </c>
      <c r="L101" s="1">
        <v>504</v>
      </c>
      <c r="M101" s="8">
        <v>124.03</v>
      </c>
      <c r="N101">
        <f t="shared" si="1"/>
        <v>8</v>
      </c>
    </row>
    <row r="102" spans="1:14" x14ac:dyDescent="0.25">
      <c r="A102" s="7">
        <v>43930</v>
      </c>
      <c r="B102" s="1">
        <v>2746</v>
      </c>
      <c r="C102" s="1">
        <v>2361</v>
      </c>
      <c r="D102" s="1">
        <v>315</v>
      </c>
      <c r="E102" s="1">
        <v>385</v>
      </c>
      <c r="F102" s="1">
        <v>660</v>
      </c>
      <c r="G102" s="1">
        <v>528</v>
      </c>
      <c r="H102" s="1">
        <v>900</v>
      </c>
      <c r="I102" s="1">
        <v>360</v>
      </c>
      <c r="J102" s="1">
        <v>98</v>
      </c>
      <c r="K102" s="1">
        <v>66</v>
      </c>
      <c r="L102" s="1">
        <v>462</v>
      </c>
      <c r="M102" s="8">
        <v>122.13000000000001</v>
      </c>
      <c r="N102">
        <f t="shared" si="1"/>
        <v>9</v>
      </c>
    </row>
    <row r="103" spans="1:14" x14ac:dyDescent="0.25">
      <c r="A103" s="7">
        <v>43931</v>
      </c>
      <c r="B103" s="1">
        <v>2225</v>
      </c>
      <c r="C103" s="1">
        <v>1713</v>
      </c>
      <c r="D103" s="1">
        <v>445</v>
      </c>
      <c r="E103" s="1">
        <v>512</v>
      </c>
      <c r="F103" s="1">
        <v>418</v>
      </c>
      <c r="G103" s="1">
        <v>504</v>
      </c>
      <c r="H103" s="1">
        <v>687</v>
      </c>
      <c r="I103" s="1">
        <v>220</v>
      </c>
      <c r="J103" s="1">
        <v>196</v>
      </c>
      <c r="K103" s="1">
        <v>55</v>
      </c>
      <c r="L103" s="1">
        <v>605</v>
      </c>
      <c r="M103" s="8">
        <v>224.73999999999998</v>
      </c>
      <c r="N103">
        <f t="shared" si="1"/>
        <v>10</v>
      </c>
    </row>
    <row r="104" spans="1:14" x14ac:dyDescent="0.25">
      <c r="A104" s="7">
        <v>43932</v>
      </c>
      <c r="B104" s="1">
        <v>2140</v>
      </c>
      <c r="C104" s="1">
        <v>1498</v>
      </c>
      <c r="D104" s="1">
        <v>507</v>
      </c>
      <c r="E104" s="1">
        <v>642</v>
      </c>
      <c r="F104" s="1">
        <v>648</v>
      </c>
      <c r="G104" s="1">
        <v>558</v>
      </c>
      <c r="H104" s="1">
        <v>489</v>
      </c>
      <c r="I104" s="1">
        <v>215</v>
      </c>
      <c r="J104" s="1">
        <v>30</v>
      </c>
      <c r="K104" s="1">
        <v>45</v>
      </c>
      <c r="L104" s="1">
        <v>225</v>
      </c>
      <c r="M104" s="8">
        <v>87.77000000000001</v>
      </c>
      <c r="N104">
        <f t="shared" si="1"/>
        <v>11</v>
      </c>
    </row>
    <row r="105" spans="1:14" x14ac:dyDescent="0.25">
      <c r="A105" s="7">
        <v>43933</v>
      </c>
      <c r="B105" s="1">
        <v>2954</v>
      </c>
      <c r="C105" s="1">
        <v>2363</v>
      </c>
      <c r="D105" s="1">
        <v>496</v>
      </c>
      <c r="E105" s="1">
        <v>591</v>
      </c>
      <c r="F105" s="1">
        <v>1054</v>
      </c>
      <c r="G105" s="1">
        <v>820</v>
      </c>
      <c r="H105" s="1">
        <v>520</v>
      </c>
      <c r="I105" s="1">
        <v>140</v>
      </c>
      <c r="J105" s="1">
        <v>220</v>
      </c>
      <c r="K105" s="1">
        <v>61</v>
      </c>
      <c r="L105" s="1">
        <v>305</v>
      </c>
      <c r="M105" s="8">
        <v>99.78</v>
      </c>
      <c r="N105">
        <f t="shared" si="1"/>
        <v>12</v>
      </c>
    </row>
    <row r="106" spans="1:14" x14ac:dyDescent="0.25">
      <c r="A106" s="7">
        <v>43934</v>
      </c>
      <c r="B106" s="1">
        <v>2640</v>
      </c>
      <c r="C106" s="1">
        <v>1927</v>
      </c>
      <c r="D106" s="1">
        <v>541</v>
      </c>
      <c r="E106" s="1">
        <v>713</v>
      </c>
      <c r="F106" s="1">
        <v>650</v>
      </c>
      <c r="G106" s="1">
        <v>705</v>
      </c>
      <c r="H106" s="1">
        <v>734</v>
      </c>
      <c r="I106" s="1">
        <v>175</v>
      </c>
      <c r="J106" s="1">
        <v>176</v>
      </c>
      <c r="K106" s="1">
        <v>61</v>
      </c>
      <c r="L106" s="1">
        <v>671</v>
      </c>
      <c r="M106" s="8">
        <v>213.45999999999998</v>
      </c>
      <c r="N106">
        <f t="shared" si="1"/>
        <v>13</v>
      </c>
    </row>
    <row r="107" spans="1:14" x14ac:dyDescent="0.25">
      <c r="A107" s="7">
        <v>43935</v>
      </c>
      <c r="B107" s="1">
        <v>2656</v>
      </c>
      <c r="C107" s="1">
        <v>1938</v>
      </c>
      <c r="D107" s="1">
        <v>646</v>
      </c>
      <c r="E107" s="1">
        <v>718</v>
      </c>
      <c r="F107" s="1">
        <v>1062</v>
      </c>
      <c r="G107" s="1">
        <v>507</v>
      </c>
      <c r="H107" s="1">
        <v>540</v>
      </c>
      <c r="I107" s="1">
        <v>200</v>
      </c>
      <c r="J107" s="1">
        <v>147</v>
      </c>
      <c r="K107" s="1">
        <v>53</v>
      </c>
      <c r="L107" s="1">
        <v>477</v>
      </c>
      <c r="M107" s="8">
        <v>142.88</v>
      </c>
      <c r="N107">
        <f t="shared" si="1"/>
        <v>14</v>
      </c>
    </row>
    <row r="108" spans="1:14" x14ac:dyDescent="0.25">
      <c r="A108" s="7">
        <v>43936</v>
      </c>
      <c r="B108" s="1">
        <v>2402</v>
      </c>
      <c r="C108" s="1">
        <v>1969</v>
      </c>
      <c r="D108" s="1">
        <v>333</v>
      </c>
      <c r="E108" s="1">
        <v>433</v>
      </c>
      <c r="F108" s="1">
        <v>776</v>
      </c>
      <c r="G108" s="1">
        <v>646</v>
      </c>
      <c r="H108" s="1">
        <v>564</v>
      </c>
      <c r="I108" s="1">
        <v>128</v>
      </c>
      <c r="J108" s="1">
        <v>88</v>
      </c>
      <c r="K108" s="1">
        <v>58</v>
      </c>
      <c r="L108" s="1">
        <v>696</v>
      </c>
      <c r="M108" s="8">
        <v>141.62</v>
      </c>
      <c r="N108">
        <f t="shared" si="1"/>
        <v>15</v>
      </c>
    </row>
    <row r="109" spans="1:14" x14ac:dyDescent="0.25">
      <c r="A109" s="7">
        <v>43937</v>
      </c>
      <c r="B109" s="1">
        <v>2116</v>
      </c>
      <c r="C109" s="1">
        <v>1502</v>
      </c>
      <c r="D109" s="1">
        <v>485</v>
      </c>
      <c r="E109" s="1">
        <v>614</v>
      </c>
      <c r="F109" s="1">
        <v>501</v>
      </c>
      <c r="G109" s="1">
        <v>570</v>
      </c>
      <c r="H109" s="1">
        <v>440</v>
      </c>
      <c r="I109" s="1">
        <v>306</v>
      </c>
      <c r="J109" s="1">
        <v>99</v>
      </c>
      <c r="K109" s="1">
        <v>47</v>
      </c>
      <c r="L109" s="1">
        <v>611</v>
      </c>
      <c r="M109" s="8">
        <v>152.84</v>
      </c>
      <c r="N109">
        <f t="shared" si="1"/>
        <v>16</v>
      </c>
    </row>
    <row r="110" spans="1:14" x14ac:dyDescent="0.25">
      <c r="A110" s="7">
        <v>43938</v>
      </c>
      <c r="B110" s="1">
        <v>2508</v>
      </c>
      <c r="C110" s="1">
        <v>1956</v>
      </c>
      <c r="D110" s="1">
        <v>491</v>
      </c>
      <c r="E110" s="1">
        <v>552</v>
      </c>
      <c r="F110" s="1">
        <v>865</v>
      </c>
      <c r="G110" s="1">
        <v>736</v>
      </c>
      <c r="H110" s="1">
        <v>426</v>
      </c>
      <c r="I110" s="1">
        <v>155</v>
      </c>
      <c r="J110" s="1">
        <v>126</v>
      </c>
      <c r="K110" s="1">
        <v>45</v>
      </c>
      <c r="L110" s="1">
        <v>225</v>
      </c>
      <c r="M110" s="8">
        <v>86.47</v>
      </c>
      <c r="N110">
        <f t="shared" si="1"/>
        <v>17</v>
      </c>
    </row>
    <row r="111" spans="1:14" x14ac:dyDescent="0.25">
      <c r="A111" s="7">
        <v>43939</v>
      </c>
      <c r="B111" s="1">
        <v>3313</v>
      </c>
      <c r="C111" s="1">
        <v>2319</v>
      </c>
      <c r="D111" s="1">
        <v>725</v>
      </c>
      <c r="E111" s="1">
        <v>994</v>
      </c>
      <c r="F111" s="1">
        <v>1432</v>
      </c>
      <c r="G111" s="1">
        <v>817</v>
      </c>
      <c r="H111" s="1">
        <v>564</v>
      </c>
      <c r="I111" s="1">
        <v>0</v>
      </c>
      <c r="J111" s="1">
        <v>300</v>
      </c>
      <c r="K111" s="1">
        <v>56</v>
      </c>
      <c r="L111" s="1">
        <v>336</v>
      </c>
      <c r="M111" s="8">
        <v>127.57000000000001</v>
      </c>
      <c r="N111">
        <f t="shared" si="1"/>
        <v>18</v>
      </c>
    </row>
    <row r="112" spans="1:14" x14ac:dyDescent="0.25">
      <c r="A112" s="7">
        <v>43940</v>
      </c>
      <c r="B112" s="1">
        <v>4003</v>
      </c>
      <c r="C112" s="1">
        <v>3082</v>
      </c>
      <c r="D112" s="1">
        <v>690</v>
      </c>
      <c r="E112" s="1">
        <v>921</v>
      </c>
      <c r="F112" s="1">
        <v>1964</v>
      </c>
      <c r="G112" s="1">
        <v>532</v>
      </c>
      <c r="H112" s="1">
        <v>723</v>
      </c>
      <c r="I112" s="1">
        <v>320</v>
      </c>
      <c r="J112" s="1">
        <v>264</v>
      </c>
      <c r="K112" s="1">
        <v>70</v>
      </c>
      <c r="L112" s="1">
        <v>840</v>
      </c>
      <c r="M112" s="8">
        <v>310.3</v>
      </c>
      <c r="N112">
        <f t="shared" si="1"/>
        <v>19</v>
      </c>
    </row>
    <row r="113" spans="1:14" x14ac:dyDescent="0.25">
      <c r="A113" s="7">
        <v>43941</v>
      </c>
      <c r="B113" s="1">
        <v>2303</v>
      </c>
      <c r="C113" s="1">
        <v>1796</v>
      </c>
      <c r="D113" s="1">
        <v>451</v>
      </c>
      <c r="E113" s="1">
        <v>507</v>
      </c>
      <c r="F113" s="1">
        <v>964</v>
      </c>
      <c r="G113" s="1">
        <v>340</v>
      </c>
      <c r="H113" s="1">
        <v>425</v>
      </c>
      <c r="I113" s="1">
        <v>288</v>
      </c>
      <c r="J113" s="1">
        <v>86</v>
      </c>
      <c r="K113" s="1">
        <v>50</v>
      </c>
      <c r="L113" s="1">
        <v>600</v>
      </c>
      <c r="M113" s="8">
        <v>191.75</v>
      </c>
      <c r="N113">
        <f t="shared" si="1"/>
        <v>20</v>
      </c>
    </row>
    <row r="114" spans="1:14" x14ac:dyDescent="0.25">
      <c r="A114" s="7">
        <v>43942</v>
      </c>
      <c r="B114" s="1">
        <v>2360</v>
      </c>
      <c r="C114" s="1">
        <v>1935</v>
      </c>
      <c r="D114" s="1">
        <v>365</v>
      </c>
      <c r="E114" s="1">
        <v>425</v>
      </c>
      <c r="F114" s="1">
        <v>460</v>
      </c>
      <c r="G114" s="1">
        <v>792</v>
      </c>
      <c r="H114" s="1">
        <v>580</v>
      </c>
      <c r="I114" s="1">
        <v>0</v>
      </c>
      <c r="J114" s="1">
        <v>328</v>
      </c>
      <c r="K114" s="1">
        <v>49</v>
      </c>
      <c r="L114" s="1">
        <v>392</v>
      </c>
      <c r="M114" s="8">
        <v>139.07</v>
      </c>
      <c r="N114">
        <f t="shared" si="1"/>
        <v>21</v>
      </c>
    </row>
    <row r="115" spans="1:14" x14ac:dyDescent="0.25">
      <c r="A115" s="7">
        <v>43943</v>
      </c>
      <c r="B115" s="1">
        <v>2377</v>
      </c>
      <c r="C115" s="1">
        <v>1782</v>
      </c>
      <c r="D115" s="1">
        <v>487</v>
      </c>
      <c r="E115" s="1">
        <v>595</v>
      </c>
      <c r="F115" s="1">
        <v>503</v>
      </c>
      <c r="G115" s="1">
        <v>682</v>
      </c>
      <c r="H115" s="1">
        <v>531</v>
      </c>
      <c r="I115" s="1">
        <v>132</v>
      </c>
      <c r="J115" s="1">
        <v>329</v>
      </c>
      <c r="K115" s="1">
        <v>57</v>
      </c>
      <c r="L115" s="1">
        <v>399</v>
      </c>
      <c r="M115" s="8">
        <v>130.64999999999998</v>
      </c>
      <c r="N115">
        <f t="shared" si="1"/>
        <v>22</v>
      </c>
    </row>
    <row r="116" spans="1:14" x14ac:dyDescent="0.25">
      <c r="A116" s="7">
        <v>43944</v>
      </c>
      <c r="B116" s="1">
        <v>2083</v>
      </c>
      <c r="C116" s="1">
        <v>1666</v>
      </c>
      <c r="D116" s="1">
        <v>337</v>
      </c>
      <c r="E116" s="1">
        <v>417</v>
      </c>
      <c r="F116" s="1">
        <v>444</v>
      </c>
      <c r="G116" s="1">
        <v>735</v>
      </c>
      <c r="H116" s="1">
        <v>447</v>
      </c>
      <c r="I116" s="1">
        <v>140</v>
      </c>
      <c r="J116" s="1">
        <v>117</v>
      </c>
      <c r="K116" s="1">
        <v>48</v>
      </c>
      <c r="L116" s="1">
        <v>480</v>
      </c>
      <c r="M116" s="8">
        <v>191.35</v>
      </c>
      <c r="N116">
        <f t="shared" si="1"/>
        <v>23</v>
      </c>
    </row>
    <row r="117" spans="1:14" x14ac:dyDescent="0.25">
      <c r="A117" s="7">
        <v>43945</v>
      </c>
      <c r="B117" s="1">
        <v>2484</v>
      </c>
      <c r="C117" s="1">
        <v>2235</v>
      </c>
      <c r="D117" s="1">
        <v>206</v>
      </c>
      <c r="E117" s="1">
        <v>249</v>
      </c>
      <c r="F117" s="1">
        <v>580</v>
      </c>
      <c r="G117" s="1">
        <v>578</v>
      </c>
      <c r="H117" s="1">
        <v>600</v>
      </c>
      <c r="I117" s="1">
        <v>410</v>
      </c>
      <c r="J117" s="1">
        <v>116</v>
      </c>
      <c r="K117" s="1">
        <v>55</v>
      </c>
      <c r="L117" s="1">
        <v>440</v>
      </c>
      <c r="M117" s="8">
        <v>155.70999999999998</v>
      </c>
      <c r="N117">
        <f t="shared" si="1"/>
        <v>24</v>
      </c>
    </row>
    <row r="118" spans="1:14" x14ac:dyDescent="0.25">
      <c r="A118" s="7">
        <v>43946</v>
      </c>
      <c r="B118" s="1">
        <v>2509</v>
      </c>
      <c r="C118" s="1">
        <v>2057</v>
      </c>
      <c r="D118" s="1">
        <v>325</v>
      </c>
      <c r="E118" s="1">
        <v>452</v>
      </c>
      <c r="F118" s="1">
        <v>735</v>
      </c>
      <c r="G118" s="1">
        <v>550</v>
      </c>
      <c r="H118" s="1">
        <v>580</v>
      </c>
      <c r="I118" s="1">
        <v>240</v>
      </c>
      <c r="J118" s="1">
        <v>204</v>
      </c>
      <c r="K118" s="1">
        <v>62</v>
      </c>
      <c r="L118" s="1">
        <v>372</v>
      </c>
      <c r="M118" s="8">
        <v>84.77000000000001</v>
      </c>
      <c r="N118">
        <f t="shared" si="1"/>
        <v>25</v>
      </c>
    </row>
    <row r="119" spans="1:14" x14ac:dyDescent="0.25">
      <c r="A119" s="7">
        <v>43947</v>
      </c>
      <c r="B119" s="1">
        <v>2155</v>
      </c>
      <c r="C119" s="1">
        <v>1853</v>
      </c>
      <c r="D119" s="1">
        <v>241</v>
      </c>
      <c r="E119" s="1">
        <v>302</v>
      </c>
      <c r="F119" s="1">
        <v>280</v>
      </c>
      <c r="G119" s="1">
        <v>630</v>
      </c>
      <c r="H119" s="1">
        <v>636</v>
      </c>
      <c r="I119" s="1">
        <v>329</v>
      </c>
      <c r="J119" s="1">
        <v>80</v>
      </c>
      <c r="K119" s="1">
        <v>51</v>
      </c>
      <c r="L119" s="1">
        <v>612</v>
      </c>
      <c r="M119" s="8">
        <v>190.85</v>
      </c>
      <c r="N119">
        <f t="shared" si="1"/>
        <v>26</v>
      </c>
    </row>
    <row r="120" spans="1:14" x14ac:dyDescent="0.25">
      <c r="A120" s="7">
        <v>43948</v>
      </c>
      <c r="B120" s="1">
        <v>2736</v>
      </c>
      <c r="C120" s="1">
        <v>2298</v>
      </c>
      <c r="D120" s="1">
        <v>306</v>
      </c>
      <c r="E120" s="1">
        <v>438</v>
      </c>
      <c r="F120" s="1">
        <v>660</v>
      </c>
      <c r="G120" s="1">
        <v>646</v>
      </c>
      <c r="H120" s="1">
        <v>790</v>
      </c>
      <c r="I120" s="1">
        <v>440</v>
      </c>
      <c r="J120" s="1">
        <v>0</v>
      </c>
      <c r="K120" s="1">
        <v>57</v>
      </c>
      <c r="L120" s="1">
        <v>399</v>
      </c>
      <c r="M120" s="8">
        <v>105.13000000000001</v>
      </c>
      <c r="N120">
        <f t="shared" si="1"/>
        <v>27</v>
      </c>
    </row>
    <row r="121" spans="1:14" x14ac:dyDescent="0.25">
      <c r="A121" s="7">
        <v>43949</v>
      </c>
      <c r="B121" s="1">
        <v>3767</v>
      </c>
      <c r="C121" s="1">
        <v>2636</v>
      </c>
      <c r="D121" s="1">
        <v>995</v>
      </c>
      <c r="E121" s="1">
        <v>1131</v>
      </c>
      <c r="F121" s="1">
        <v>2022</v>
      </c>
      <c r="G121" s="1">
        <v>665</v>
      </c>
      <c r="H121" s="1">
        <v>507</v>
      </c>
      <c r="I121" s="1">
        <v>273</v>
      </c>
      <c r="J121" s="1">
        <v>100</v>
      </c>
      <c r="K121" s="1">
        <v>65</v>
      </c>
      <c r="L121" s="1">
        <v>325</v>
      </c>
      <c r="M121" s="8">
        <v>115.95</v>
      </c>
      <c r="N121">
        <f t="shared" si="1"/>
        <v>28</v>
      </c>
    </row>
    <row r="122" spans="1:14" x14ac:dyDescent="0.25">
      <c r="A122" s="7">
        <v>43950</v>
      </c>
      <c r="B122" s="1">
        <v>2622</v>
      </c>
      <c r="C122" s="1">
        <v>2307</v>
      </c>
      <c r="D122" s="1">
        <v>255</v>
      </c>
      <c r="E122" s="1">
        <v>315</v>
      </c>
      <c r="F122" s="1">
        <v>842</v>
      </c>
      <c r="G122" s="1">
        <v>525</v>
      </c>
      <c r="H122" s="1">
        <v>687</v>
      </c>
      <c r="I122" s="1">
        <v>208</v>
      </c>
      <c r="J122" s="1">
        <v>160</v>
      </c>
      <c r="K122" s="1">
        <v>58</v>
      </c>
      <c r="L122" s="1">
        <v>638</v>
      </c>
      <c r="M122" s="8">
        <v>141.44999999999999</v>
      </c>
      <c r="N122">
        <f t="shared" si="1"/>
        <v>29</v>
      </c>
    </row>
    <row r="123" spans="1:14" x14ac:dyDescent="0.25">
      <c r="A123" s="7">
        <v>43951</v>
      </c>
      <c r="B123" s="1">
        <v>1619</v>
      </c>
      <c r="C123" s="1">
        <v>1440</v>
      </c>
      <c r="D123" s="1">
        <v>136</v>
      </c>
      <c r="E123" s="1">
        <v>179</v>
      </c>
      <c r="F123" s="1">
        <v>445</v>
      </c>
      <c r="G123" s="1">
        <v>495</v>
      </c>
      <c r="H123" s="1">
        <v>440</v>
      </c>
      <c r="I123" s="1">
        <v>0</v>
      </c>
      <c r="J123" s="1">
        <v>39</v>
      </c>
      <c r="K123" s="1">
        <v>34</v>
      </c>
      <c r="L123" s="1">
        <v>510</v>
      </c>
      <c r="M123" s="8">
        <v>116.27000000000001</v>
      </c>
      <c r="N123">
        <f t="shared" si="1"/>
        <v>30</v>
      </c>
    </row>
    <row r="124" spans="1:14" x14ac:dyDescent="0.25">
      <c r="A124" s="7">
        <v>43952</v>
      </c>
      <c r="B124" s="1">
        <v>3824</v>
      </c>
      <c r="C124" s="1">
        <v>3441</v>
      </c>
      <c r="D124" s="1">
        <v>302</v>
      </c>
      <c r="E124" s="1">
        <v>383</v>
      </c>
      <c r="F124" s="1">
        <v>1537</v>
      </c>
      <c r="G124" s="1">
        <v>1100</v>
      </c>
      <c r="H124" s="1">
        <v>660</v>
      </c>
      <c r="I124" s="1">
        <v>217</v>
      </c>
      <c r="J124" s="1">
        <v>110</v>
      </c>
      <c r="K124" s="1">
        <v>64</v>
      </c>
      <c r="L124" s="1">
        <v>576</v>
      </c>
      <c r="M124" s="8">
        <v>221.79</v>
      </c>
      <c r="N124">
        <f t="shared" si="1"/>
        <v>1</v>
      </c>
    </row>
    <row r="125" spans="1:14" x14ac:dyDescent="0.25">
      <c r="A125" s="7">
        <v>43953</v>
      </c>
      <c r="B125" s="1">
        <v>2734</v>
      </c>
      <c r="C125" s="1">
        <v>2323</v>
      </c>
      <c r="D125" s="1">
        <v>291</v>
      </c>
      <c r="E125" s="1">
        <v>411</v>
      </c>
      <c r="F125" s="1">
        <v>700</v>
      </c>
      <c r="G125" s="1">
        <v>882</v>
      </c>
      <c r="H125" s="1">
        <v>530</v>
      </c>
      <c r="I125" s="1">
        <v>340</v>
      </c>
      <c r="J125" s="1">
        <v>82</v>
      </c>
      <c r="K125" s="1">
        <v>55</v>
      </c>
      <c r="L125" s="1">
        <v>440</v>
      </c>
      <c r="M125" s="8">
        <v>135.29</v>
      </c>
      <c r="N125">
        <f t="shared" si="1"/>
        <v>2</v>
      </c>
    </row>
    <row r="126" spans="1:14" x14ac:dyDescent="0.25">
      <c r="A126" s="7">
        <v>43954</v>
      </c>
      <c r="B126" s="1">
        <v>2655</v>
      </c>
      <c r="C126" s="1">
        <v>2283</v>
      </c>
      <c r="D126" s="1">
        <v>275</v>
      </c>
      <c r="E126" s="1">
        <v>372</v>
      </c>
      <c r="F126" s="1">
        <v>760</v>
      </c>
      <c r="G126" s="1">
        <v>476</v>
      </c>
      <c r="H126" s="1">
        <v>820</v>
      </c>
      <c r="I126" s="1">
        <v>369</v>
      </c>
      <c r="J126" s="1">
        <v>30</v>
      </c>
      <c r="K126" s="1">
        <v>52</v>
      </c>
      <c r="L126" s="1">
        <v>624</v>
      </c>
      <c r="M126" s="8">
        <v>196.57999999999998</v>
      </c>
      <c r="N126">
        <f t="shared" si="1"/>
        <v>3</v>
      </c>
    </row>
    <row r="127" spans="1:14" x14ac:dyDescent="0.25">
      <c r="A127" s="7">
        <v>43955</v>
      </c>
      <c r="B127" s="1">
        <v>3089</v>
      </c>
      <c r="C127" s="1">
        <v>2656</v>
      </c>
      <c r="D127" s="1">
        <v>337</v>
      </c>
      <c r="E127" s="1">
        <v>433</v>
      </c>
      <c r="F127" s="1">
        <v>1348</v>
      </c>
      <c r="G127" s="1">
        <v>768</v>
      </c>
      <c r="H127" s="1">
        <v>508</v>
      </c>
      <c r="I127" s="1">
        <v>135</v>
      </c>
      <c r="J127" s="1">
        <v>130</v>
      </c>
      <c r="K127" s="1">
        <v>56</v>
      </c>
      <c r="L127" s="1">
        <v>280</v>
      </c>
      <c r="M127" s="8">
        <v>89.47</v>
      </c>
      <c r="N127">
        <f t="shared" si="1"/>
        <v>4</v>
      </c>
    </row>
    <row r="128" spans="1:14" x14ac:dyDescent="0.25">
      <c r="A128" s="7">
        <v>43956</v>
      </c>
      <c r="B128" s="1">
        <v>2192</v>
      </c>
      <c r="C128" s="1">
        <v>1578</v>
      </c>
      <c r="D128" s="1">
        <v>472</v>
      </c>
      <c r="E128" s="1">
        <v>614</v>
      </c>
      <c r="F128" s="1">
        <v>606</v>
      </c>
      <c r="G128" s="1">
        <v>528</v>
      </c>
      <c r="H128" s="1">
        <v>710</v>
      </c>
      <c r="I128" s="1">
        <v>148</v>
      </c>
      <c r="J128" s="1">
        <v>0</v>
      </c>
      <c r="K128" s="1">
        <v>44</v>
      </c>
      <c r="L128" s="1">
        <v>440</v>
      </c>
      <c r="M128" s="8">
        <v>154.87</v>
      </c>
      <c r="N128">
        <f t="shared" si="1"/>
        <v>5</v>
      </c>
    </row>
    <row r="129" spans="1:14" x14ac:dyDescent="0.25">
      <c r="A129" s="7">
        <v>43957</v>
      </c>
      <c r="B129" s="1">
        <v>2587</v>
      </c>
      <c r="C129" s="1">
        <v>2198</v>
      </c>
      <c r="D129" s="1">
        <v>326</v>
      </c>
      <c r="E129" s="1">
        <v>389</v>
      </c>
      <c r="F129" s="1">
        <v>522</v>
      </c>
      <c r="G129" s="1">
        <v>612</v>
      </c>
      <c r="H129" s="1">
        <v>700</v>
      </c>
      <c r="I129" s="1">
        <v>253</v>
      </c>
      <c r="J129" s="1">
        <v>300</v>
      </c>
      <c r="K129" s="1">
        <v>58</v>
      </c>
      <c r="L129" s="1">
        <v>522</v>
      </c>
      <c r="M129" s="8">
        <v>159.85</v>
      </c>
      <c r="N129">
        <f t="shared" si="1"/>
        <v>6</v>
      </c>
    </row>
    <row r="130" spans="1:14" x14ac:dyDescent="0.25">
      <c r="A130" s="7">
        <v>43958</v>
      </c>
      <c r="B130" s="1">
        <v>3111</v>
      </c>
      <c r="C130" s="1">
        <v>2364</v>
      </c>
      <c r="D130" s="1">
        <v>597</v>
      </c>
      <c r="E130" s="1">
        <v>747</v>
      </c>
      <c r="F130" s="1">
        <v>925</v>
      </c>
      <c r="G130" s="1">
        <v>798</v>
      </c>
      <c r="H130" s="1">
        <v>790</v>
      </c>
      <c r="I130" s="1">
        <v>208</v>
      </c>
      <c r="J130" s="1">
        <v>190</v>
      </c>
      <c r="K130" s="1">
        <v>59</v>
      </c>
      <c r="L130" s="1">
        <v>413</v>
      </c>
      <c r="M130" s="8">
        <v>148.75</v>
      </c>
      <c r="N130">
        <f t="shared" si="1"/>
        <v>7</v>
      </c>
    </row>
    <row r="131" spans="1:14" x14ac:dyDescent="0.25">
      <c r="A131" s="7">
        <v>43959</v>
      </c>
      <c r="B131" s="1">
        <v>2428</v>
      </c>
      <c r="C131" s="1">
        <v>2039</v>
      </c>
      <c r="D131" s="1">
        <v>342</v>
      </c>
      <c r="E131" s="1">
        <v>389</v>
      </c>
      <c r="F131" s="1">
        <v>332</v>
      </c>
      <c r="G131" s="1">
        <v>1000</v>
      </c>
      <c r="H131" s="1">
        <v>440</v>
      </c>
      <c r="I131" s="1">
        <v>168</v>
      </c>
      <c r="J131" s="1">
        <v>288</v>
      </c>
      <c r="K131" s="1">
        <v>47</v>
      </c>
      <c r="L131" s="1">
        <v>470</v>
      </c>
      <c r="M131" s="8">
        <v>144.22999999999999</v>
      </c>
      <c r="N131">
        <f t="shared" si="1"/>
        <v>8</v>
      </c>
    </row>
    <row r="132" spans="1:14" x14ac:dyDescent="0.25">
      <c r="A132" s="7">
        <v>43960</v>
      </c>
      <c r="B132" s="1">
        <v>3907</v>
      </c>
      <c r="C132" s="1">
        <v>3516</v>
      </c>
      <c r="D132" s="1">
        <v>301</v>
      </c>
      <c r="E132" s="1">
        <v>391</v>
      </c>
      <c r="F132" s="1">
        <v>1708</v>
      </c>
      <c r="G132" s="1">
        <v>702</v>
      </c>
      <c r="H132" s="1">
        <v>859</v>
      </c>
      <c r="I132" s="1">
        <v>270</v>
      </c>
      <c r="J132" s="1">
        <v>168</v>
      </c>
      <c r="K132" s="1">
        <v>70</v>
      </c>
      <c r="L132" s="1">
        <v>980</v>
      </c>
      <c r="M132" s="8">
        <v>349.62</v>
      </c>
      <c r="N132">
        <f t="shared" ref="N132:N195" si="2">DAY(A132)</f>
        <v>9</v>
      </c>
    </row>
    <row r="133" spans="1:14" x14ac:dyDescent="0.25">
      <c r="A133" s="7">
        <v>43961</v>
      </c>
      <c r="B133" s="1">
        <v>3028</v>
      </c>
      <c r="C133" s="1">
        <v>2694</v>
      </c>
      <c r="D133" s="1">
        <v>237</v>
      </c>
      <c r="E133" s="1">
        <v>334</v>
      </c>
      <c r="F133" s="1">
        <v>1700</v>
      </c>
      <c r="G133" s="1">
        <v>450</v>
      </c>
      <c r="H133" s="1">
        <v>454</v>
      </c>
      <c r="I133" s="1">
        <v>32</v>
      </c>
      <c r="J133" s="1">
        <v>192</v>
      </c>
      <c r="K133" s="1">
        <v>55</v>
      </c>
      <c r="L133" s="1">
        <v>275</v>
      </c>
      <c r="M133" s="8">
        <v>83.27000000000001</v>
      </c>
      <c r="N133">
        <f t="shared" si="2"/>
        <v>10</v>
      </c>
    </row>
    <row r="134" spans="1:14" x14ac:dyDescent="0.25">
      <c r="A134" s="7">
        <v>43962</v>
      </c>
      <c r="B134" s="1">
        <v>2532</v>
      </c>
      <c r="C134" s="1">
        <v>2126</v>
      </c>
      <c r="D134" s="1">
        <v>365</v>
      </c>
      <c r="E134" s="1">
        <v>406</v>
      </c>
      <c r="F134" s="1">
        <v>634</v>
      </c>
      <c r="G134" s="1">
        <v>705</v>
      </c>
      <c r="H134" s="1">
        <v>550</v>
      </c>
      <c r="I134" s="1">
        <v>155</v>
      </c>
      <c r="J134" s="1">
        <v>288</v>
      </c>
      <c r="K134" s="1">
        <v>57</v>
      </c>
      <c r="L134" s="1">
        <v>399</v>
      </c>
      <c r="M134" s="8">
        <v>105.56</v>
      </c>
      <c r="N134">
        <f t="shared" si="2"/>
        <v>11</v>
      </c>
    </row>
    <row r="135" spans="1:14" x14ac:dyDescent="0.25">
      <c r="A135" s="7">
        <v>43963</v>
      </c>
      <c r="B135" s="1">
        <v>2585</v>
      </c>
      <c r="C135" s="1">
        <v>2248</v>
      </c>
      <c r="D135" s="1">
        <v>239</v>
      </c>
      <c r="E135" s="1">
        <v>337</v>
      </c>
      <c r="F135" s="1">
        <v>988</v>
      </c>
      <c r="G135" s="1">
        <v>437</v>
      </c>
      <c r="H135" s="1">
        <v>447</v>
      </c>
      <c r="I135" s="1">
        <v>273</v>
      </c>
      <c r="J135" s="1">
        <v>240</v>
      </c>
      <c r="K135" s="1">
        <v>62</v>
      </c>
      <c r="L135" s="1">
        <v>558</v>
      </c>
      <c r="M135" s="8">
        <v>115.59</v>
      </c>
      <c r="N135">
        <f t="shared" si="2"/>
        <v>12</v>
      </c>
    </row>
    <row r="136" spans="1:14" x14ac:dyDescent="0.25">
      <c r="A136" s="7">
        <v>43964</v>
      </c>
      <c r="B136" s="1">
        <v>2749</v>
      </c>
      <c r="C136" s="1">
        <v>2391</v>
      </c>
      <c r="D136" s="1">
        <v>254</v>
      </c>
      <c r="E136" s="1">
        <v>358</v>
      </c>
      <c r="F136" s="1">
        <v>735</v>
      </c>
      <c r="G136" s="1">
        <v>532</v>
      </c>
      <c r="H136" s="1">
        <v>723</v>
      </c>
      <c r="I136" s="1">
        <v>429</v>
      </c>
      <c r="J136" s="1">
        <v>130</v>
      </c>
      <c r="K136" s="1">
        <v>63</v>
      </c>
      <c r="L136" s="1">
        <v>945</v>
      </c>
      <c r="M136" s="8">
        <v>252.14999999999998</v>
      </c>
      <c r="N136">
        <f t="shared" si="2"/>
        <v>13</v>
      </c>
    </row>
    <row r="137" spans="1:14" x14ac:dyDescent="0.25">
      <c r="A137" s="7">
        <v>43965</v>
      </c>
      <c r="B137" s="1">
        <v>2523</v>
      </c>
      <c r="C137" s="1">
        <v>2270</v>
      </c>
      <c r="D137" s="1">
        <v>215</v>
      </c>
      <c r="E137" s="1">
        <v>253</v>
      </c>
      <c r="F137" s="1">
        <v>900</v>
      </c>
      <c r="G137" s="1">
        <v>286</v>
      </c>
      <c r="H137" s="1">
        <v>692</v>
      </c>
      <c r="I137" s="1">
        <v>343</v>
      </c>
      <c r="J137" s="1">
        <v>102</v>
      </c>
      <c r="K137" s="1">
        <v>51</v>
      </c>
      <c r="L137" s="1">
        <v>255</v>
      </c>
      <c r="M137" s="8">
        <v>100.62</v>
      </c>
      <c r="N137">
        <f t="shared" si="2"/>
        <v>14</v>
      </c>
    </row>
    <row r="138" spans="1:14" x14ac:dyDescent="0.25">
      <c r="A138" s="7">
        <v>43966</v>
      </c>
      <c r="B138" s="1">
        <v>3525</v>
      </c>
      <c r="C138" s="1">
        <v>2679</v>
      </c>
      <c r="D138" s="1">
        <v>736</v>
      </c>
      <c r="E138" s="1">
        <v>846</v>
      </c>
      <c r="F138" s="1">
        <v>1363</v>
      </c>
      <c r="G138" s="1">
        <v>720</v>
      </c>
      <c r="H138" s="1">
        <v>510</v>
      </c>
      <c r="I138" s="1">
        <v>432</v>
      </c>
      <c r="J138" s="1">
        <v>300</v>
      </c>
      <c r="K138" s="1">
        <v>70</v>
      </c>
      <c r="L138" s="1">
        <v>560</v>
      </c>
      <c r="M138" s="8">
        <v>213.42999999999998</v>
      </c>
      <c r="N138">
        <f t="shared" si="2"/>
        <v>15</v>
      </c>
    </row>
    <row r="139" spans="1:14" x14ac:dyDescent="0.25">
      <c r="A139" s="7">
        <v>43967</v>
      </c>
      <c r="B139" s="1">
        <v>2762</v>
      </c>
      <c r="C139" s="1">
        <v>2043</v>
      </c>
      <c r="D139" s="1">
        <v>611</v>
      </c>
      <c r="E139" s="1">
        <v>719</v>
      </c>
      <c r="F139" s="1">
        <v>780</v>
      </c>
      <c r="G139" s="1">
        <v>756</v>
      </c>
      <c r="H139" s="1">
        <v>612</v>
      </c>
      <c r="I139" s="1">
        <v>176</v>
      </c>
      <c r="J139" s="1">
        <v>238</v>
      </c>
      <c r="K139" s="1">
        <v>66</v>
      </c>
      <c r="L139" s="1">
        <v>330</v>
      </c>
      <c r="M139" s="8">
        <v>91.190000000000012</v>
      </c>
      <c r="N139">
        <f t="shared" si="2"/>
        <v>16</v>
      </c>
    </row>
    <row r="140" spans="1:14" x14ac:dyDescent="0.25">
      <c r="A140" s="7">
        <v>43968</v>
      </c>
      <c r="B140" s="1">
        <v>3122</v>
      </c>
      <c r="C140" s="1">
        <v>2435</v>
      </c>
      <c r="D140" s="1">
        <v>535</v>
      </c>
      <c r="E140" s="1">
        <v>687</v>
      </c>
      <c r="F140" s="1">
        <v>1432</v>
      </c>
      <c r="G140" s="1">
        <v>374</v>
      </c>
      <c r="H140" s="1">
        <v>612</v>
      </c>
      <c r="I140" s="1">
        <v>328</v>
      </c>
      <c r="J140" s="1">
        <v>176</v>
      </c>
      <c r="K140" s="1">
        <v>52</v>
      </c>
      <c r="L140" s="1">
        <v>780</v>
      </c>
      <c r="M140" s="8">
        <v>303.20999999999998</v>
      </c>
      <c r="N140">
        <f t="shared" si="2"/>
        <v>17</v>
      </c>
    </row>
    <row r="141" spans="1:14" x14ac:dyDescent="0.25">
      <c r="A141" s="7">
        <v>43969</v>
      </c>
      <c r="B141" s="1">
        <v>2414</v>
      </c>
      <c r="C141" s="1">
        <v>1713</v>
      </c>
      <c r="D141" s="1">
        <v>616</v>
      </c>
      <c r="E141" s="1">
        <v>701</v>
      </c>
      <c r="F141" s="1">
        <v>696</v>
      </c>
      <c r="G141" s="1">
        <v>507</v>
      </c>
      <c r="H141" s="1">
        <v>510</v>
      </c>
      <c r="I141" s="1">
        <v>301</v>
      </c>
      <c r="J141" s="1">
        <v>200</v>
      </c>
      <c r="K141" s="1">
        <v>44</v>
      </c>
      <c r="L141" s="1">
        <v>264</v>
      </c>
      <c r="M141" s="8">
        <v>96.100000000000009</v>
      </c>
      <c r="N141">
        <f t="shared" si="2"/>
        <v>18</v>
      </c>
    </row>
    <row r="142" spans="1:14" x14ac:dyDescent="0.25">
      <c r="A142" s="7">
        <v>43970</v>
      </c>
      <c r="B142" s="1">
        <v>3191</v>
      </c>
      <c r="C142" s="1">
        <v>2776</v>
      </c>
      <c r="D142" s="1">
        <v>294</v>
      </c>
      <c r="E142" s="1">
        <v>415</v>
      </c>
      <c r="F142" s="1">
        <v>1528</v>
      </c>
      <c r="G142" s="1">
        <v>504</v>
      </c>
      <c r="H142" s="1">
        <v>420</v>
      </c>
      <c r="I142" s="1">
        <v>301</v>
      </c>
      <c r="J142" s="1">
        <v>238</v>
      </c>
      <c r="K142" s="1">
        <v>61</v>
      </c>
      <c r="L142" s="1">
        <v>488</v>
      </c>
      <c r="M142" s="8">
        <v>153.26</v>
      </c>
      <c r="N142">
        <f t="shared" si="2"/>
        <v>19</v>
      </c>
    </row>
    <row r="143" spans="1:14" x14ac:dyDescent="0.25">
      <c r="A143" s="7">
        <v>43971</v>
      </c>
      <c r="B143" s="1">
        <v>3344</v>
      </c>
      <c r="C143" s="1">
        <v>2875</v>
      </c>
      <c r="D143" s="1">
        <v>384</v>
      </c>
      <c r="E143" s="1">
        <v>469</v>
      </c>
      <c r="F143" s="1">
        <v>1409</v>
      </c>
      <c r="G143" s="1">
        <v>578</v>
      </c>
      <c r="H143" s="1">
        <v>638</v>
      </c>
      <c r="I143" s="1">
        <v>232</v>
      </c>
      <c r="J143" s="1">
        <v>287</v>
      </c>
      <c r="K143" s="1">
        <v>68</v>
      </c>
      <c r="L143" s="1">
        <v>884</v>
      </c>
      <c r="M143" s="8">
        <v>221.92999999999998</v>
      </c>
      <c r="N143">
        <f t="shared" si="2"/>
        <v>20</v>
      </c>
    </row>
    <row r="144" spans="1:14" x14ac:dyDescent="0.25">
      <c r="A144" s="7">
        <v>43972</v>
      </c>
      <c r="B144" s="1">
        <v>2263</v>
      </c>
      <c r="C144" s="1">
        <v>2036</v>
      </c>
      <c r="D144" s="1">
        <v>165</v>
      </c>
      <c r="E144" s="1">
        <v>227</v>
      </c>
      <c r="F144" s="1">
        <v>760</v>
      </c>
      <c r="G144" s="1">
        <v>408</v>
      </c>
      <c r="H144" s="1">
        <v>503</v>
      </c>
      <c r="I144" s="1">
        <v>120</v>
      </c>
      <c r="J144" s="1">
        <v>272</v>
      </c>
      <c r="K144" s="1">
        <v>54</v>
      </c>
      <c r="L144" s="1">
        <v>594</v>
      </c>
      <c r="M144" s="8">
        <v>167.85999999999999</v>
      </c>
      <c r="N144">
        <f t="shared" si="2"/>
        <v>21</v>
      </c>
    </row>
    <row r="145" spans="1:14" x14ac:dyDescent="0.25">
      <c r="A145" s="7">
        <v>43973</v>
      </c>
      <c r="B145" s="1">
        <v>1958</v>
      </c>
      <c r="C145" s="1">
        <v>1468</v>
      </c>
      <c r="D145" s="1">
        <v>362</v>
      </c>
      <c r="E145" s="1">
        <v>490</v>
      </c>
      <c r="F145" s="1">
        <v>306</v>
      </c>
      <c r="G145" s="1">
        <v>627</v>
      </c>
      <c r="H145" s="1">
        <v>516</v>
      </c>
      <c r="I145" s="1">
        <v>231</v>
      </c>
      <c r="J145" s="1">
        <v>78</v>
      </c>
      <c r="K145" s="1">
        <v>49</v>
      </c>
      <c r="L145" s="1">
        <v>490</v>
      </c>
      <c r="M145" s="8">
        <v>120.38000000000001</v>
      </c>
      <c r="N145">
        <f t="shared" si="2"/>
        <v>22</v>
      </c>
    </row>
    <row r="146" spans="1:14" x14ac:dyDescent="0.25">
      <c r="A146" s="7">
        <v>43974</v>
      </c>
      <c r="B146" s="1">
        <v>2945</v>
      </c>
      <c r="C146" s="1">
        <v>2473</v>
      </c>
      <c r="D146" s="1">
        <v>424</v>
      </c>
      <c r="E146" s="1">
        <v>472</v>
      </c>
      <c r="F146" s="1">
        <v>1432</v>
      </c>
      <c r="G146" s="1">
        <v>448</v>
      </c>
      <c r="H146" s="1">
        <v>510</v>
      </c>
      <c r="I146" s="1">
        <v>205</v>
      </c>
      <c r="J146" s="1">
        <v>150</v>
      </c>
      <c r="K146" s="1">
        <v>56</v>
      </c>
      <c r="L146" s="1">
        <v>560</v>
      </c>
      <c r="M146" s="8">
        <v>199.72</v>
      </c>
      <c r="N146">
        <f t="shared" si="2"/>
        <v>23</v>
      </c>
    </row>
    <row r="147" spans="1:14" x14ac:dyDescent="0.25">
      <c r="A147" s="7">
        <v>43975</v>
      </c>
      <c r="B147" s="1">
        <v>2999</v>
      </c>
      <c r="C147" s="1">
        <v>2639</v>
      </c>
      <c r="D147" s="1">
        <v>306</v>
      </c>
      <c r="E147" s="1">
        <v>360</v>
      </c>
      <c r="F147" s="1">
        <v>1229</v>
      </c>
      <c r="G147" s="1">
        <v>774</v>
      </c>
      <c r="H147" s="1">
        <v>520</v>
      </c>
      <c r="I147" s="1">
        <v>192</v>
      </c>
      <c r="J147" s="1">
        <v>84</v>
      </c>
      <c r="K147" s="1">
        <v>59</v>
      </c>
      <c r="L147" s="1">
        <v>472</v>
      </c>
      <c r="M147" s="8">
        <v>127.53</v>
      </c>
      <c r="N147">
        <f t="shared" si="2"/>
        <v>24</v>
      </c>
    </row>
    <row r="148" spans="1:14" x14ac:dyDescent="0.25">
      <c r="A148" s="7">
        <v>43976</v>
      </c>
      <c r="B148" s="1">
        <v>2064</v>
      </c>
      <c r="C148" s="1">
        <v>1548</v>
      </c>
      <c r="D148" s="1">
        <v>417</v>
      </c>
      <c r="E148" s="1">
        <v>516</v>
      </c>
      <c r="F148" s="1">
        <v>535</v>
      </c>
      <c r="G148" s="1">
        <v>512</v>
      </c>
      <c r="H148" s="1">
        <v>461</v>
      </c>
      <c r="I148" s="1">
        <v>184</v>
      </c>
      <c r="J148" s="1">
        <v>172</v>
      </c>
      <c r="K148" s="1">
        <v>46</v>
      </c>
      <c r="L148" s="1">
        <v>276</v>
      </c>
      <c r="M148" s="8">
        <v>81.58</v>
      </c>
      <c r="N148">
        <f t="shared" si="2"/>
        <v>25</v>
      </c>
    </row>
    <row r="149" spans="1:14" x14ac:dyDescent="0.25">
      <c r="A149" s="7">
        <v>43977</v>
      </c>
      <c r="B149" s="1">
        <v>2530</v>
      </c>
      <c r="C149" s="1">
        <v>1771</v>
      </c>
      <c r="D149" s="1">
        <v>645</v>
      </c>
      <c r="E149" s="1">
        <v>759</v>
      </c>
      <c r="F149" s="1">
        <v>572</v>
      </c>
      <c r="G149" s="1">
        <v>532</v>
      </c>
      <c r="H149" s="1">
        <v>958</v>
      </c>
      <c r="I149" s="1">
        <v>184</v>
      </c>
      <c r="J149" s="1">
        <v>84</v>
      </c>
      <c r="K149" s="1">
        <v>54</v>
      </c>
      <c r="L149" s="1">
        <v>270</v>
      </c>
      <c r="M149" s="8">
        <v>56.29</v>
      </c>
      <c r="N149">
        <f t="shared" si="2"/>
        <v>26</v>
      </c>
    </row>
    <row r="150" spans="1:14" x14ac:dyDescent="0.25">
      <c r="A150" s="7">
        <v>43978</v>
      </c>
      <c r="B150" s="1">
        <v>3311</v>
      </c>
      <c r="C150" s="1">
        <v>2781</v>
      </c>
      <c r="D150" s="1">
        <v>439</v>
      </c>
      <c r="E150" s="1">
        <v>530</v>
      </c>
      <c r="F150" s="1">
        <v>1343</v>
      </c>
      <c r="G150" s="1">
        <v>931</v>
      </c>
      <c r="H150" s="1">
        <v>619</v>
      </c>
      <c r="I150" s="1">
        <v>125</v>
      </c>
      <c r="J150" s="1">
        <v>93</v>
      </c>
      <c r="K150" s="1">
        <v>57</v>
      </c>
      <c r="L150" s="1">
        <v>456</v>
      </c>
      <c r="M150" s="8">
        <v>111.68</v>
      </c>
      <c r="N150">
        <f t="shared" si="2"/>
        <v>27</v>
      </c>
    </row>
    <row r="151" spans="1:14" x14ac:dyDescent="0.25">
      <c r="A151" s="7">
        <v>43979</v>
      </c>
      <c r="B151" s="1">
        <v>2769</v>
      </c>
      <c r="C151" s="1">
        <v>2381</v>
      </c>
      <c r="D151" s="1">
        <v>345</v>
      </c>
      <c r="E151" s="1">
        <v>388</v>
      </c>
      <c r="F151" s="1">
        <v>950</v>
      </c>
      <c r="G151" s="1">
        <v>570</v>
      </c>
      <c r="H151" s="1">
        <v>489</v>
      </c>
      <c r="I151" s="1">
        <v>370</v>
      </c>
      <c r="J151" s="1">
        <v>190</v>
      </c>
      <c r="K151" s="1">
        <v>64</v>
      </c>
      <c r="L151" s="1">
        <v>448</v>
      </c>
      <c r="M151" s="8">
        <v>136.97999999999999</v>
      </c>
      <c r="N151">
        <f t="shared" si="2"/>
        <v>28</v>
      </c>
    </row>
    <row r="152" spans="1:14" x14ac:dyDescent="0.25">
      <c r="A152" s="7">
        <v>43980</v>
      </c>
      <c r="B152" s="1">
        <v>2949</v>
      </c>
      <c r="C152" s="1">
        <v>2182</v>
      </c>
      <c r="D152" s="1">
        <v>613</v>
      </c>
      <c r="E152" s="1">
        <v>767</v>
      </c>
      <c r="F152" s="1">
        <v>970</v>
      </c>
      <c r="G152" s="1">
        <v>750</v>
      </c>
      <c r="H152" s="1">
        <v>669</v>
      </c>
      <c r="I152" s="1">
        <v>130</v>
      </c>
      <c r="J152" s="1">
        <v>230</v>
      </c>
      <c r="K152" s="1">
        <v>55</v>
      </c>
      <c r="L152" s="1">
        <v>715</v>
      </c>
      <c r="M152" s="8">
        <v>161.98999999999998</v>
      </c>
      <c r="N152">
        <f t="shared" si="2"/>
        <v>29</v>
      </c>
    </row>
    <row r="153" spans="1:14" x14ac:dyDescent="0.25">
      <c r="A153" s="7">
        <v>43981</v>
      </c>
      <c r="B153" s="1">
        <v>2353</v>
      </c>
      <c r="C153" s="1">
        <v>1929</v>
      </c>
      <c r="D153" s="1">
        <v>351</v>
      </c>
      <c r="E153" s="1">
        <v>424</v>
      </c>
      <c r="F153" s="1">
        <v>772</v>
      </c>
      <c r="G153" s="1">
        <v>480</v>
      </c>
      <c r="H153" s="1">
        <v>636</v>
      </c>
      <c r="I153" s="1">
        <v>165</v>
      </c>
      <c r="J153" s="1">
        <v>100</v>
      </c>
      <c r="K153" s="1">
        <v>57</v>
      </c>
      <c r="L153" s="1">
        <v>627</v>
      </c>
      <c r="M153" s="8">
        <v>135.91</v>
      </c>
      <c r="N153">
        <f t="shared" si="2"/>
        <v>30</v>
      </c>
    </row>
    <row r="154" spans="1:14" x14ac:dyDescent="0.25">
      <c r="A154" s="7">
        <v>43982</v>
      </c>
      <c r="B154" s="1">
        <v>1833</v>
      </c>
      <c r="C154" s="1">
        <v>1319</v>
      </c>
      <c r="D154" s="1">
        <v>400</v>
      </c>
      <c r="E154" s="1">
        <v>514</v>
      </c>
      <c r="F154" s="1">
        <v>105</v>
      </c>
      <c r="G154" s="1">
        <v>720</v>
      </c>
      <c r="H154" s="1">
        <v>546</v>
      </c>
      <c r="I154" s="1">
        <v>132</v>
      </c>
      <c r="J154" s="1">
        <v>130</v>
      </c>
      <c r="K154" s="1">
        <v>48</v>
      </c>
      <c r="L154" s="1">
        <v>480</v>
      </c>
      <c r="M154" s="8">
        <v>160.35</v>
      </c>
      <c r="N154">
        <f t="shared" si="2"/>
        <v>31</v>
      </c>
    </row>
    <row r="155" spans="1:14" x14ac:dyDescent="0.25">
      <c r="A155" s="7">
        <v>43983</v>
      </c>
      <c r="B155" s="1">
        <v>2322</v>
      </c>
      <c r="C155" s="1">
        <v>1648</v>
      </c>
      <c r="D155" s="1">
        <v>539</v>
      </c>
      <c r="E155" s="1">
        <v>674</v>
      </c>
      <c r="F155" s="1">
        <v>508</v>
      </c>
      <c r="G155" s="1">
        <v>900</v>
      </c>
      <c r="H155" s="1">
        <v>524</v>
      </c>
      <c r="I155" s="1">
        <v>147</v>
      </c>
      <c r="J155" s="1">
        <v>43</v>
      </c>
      <c r="K155" s="1">
        <v>48</v>
      </c>
      <c r="L155" s="1">
        <v>336</v>
      </c>
      <c r="M155" s="8">
        <v>122.69000000000001</v>
      </c>
      <c r="N155">
        <f t="shared" si="2"/>
        <v>1</v>
      </c>
    </row>
    <row r="156" spans="1:14" x14ac:dyDescent="0.25">
      <c r="A156" s="7">
        <v>43984</v>
      </c>
      <c r="B156" s="1">
        <v>3149</v>
      </c>
      <c r="C156" s="1">
        <v>2456</v>
      </c>
      <c r="D156" s="1">
        <v>498</v>
      </c>
      <c r="E156" s="1">
        <v>693</v>
      </c>
      <c r="F156" s="1">
        <v>1210</v>
      </c>
      <c r="G156" s="1">
        <v>528</v>
      </c>
      <c r="H156" s="1">
        <v>729</v>
      </c>
      <c r="I156" s="1">
        <v>300</v>
      </c>
      <c r="J156" s="1">
        <v>182</v>
      </c>
      <c r="K156" s="1">
        <v>58</v>
      </c>
      <c r="L156" s="1">
        <v>406</v>
      </c>
      <c r="M156" s="8">
        <v>145.10999999999999</v>
      </c>
      <c r="N156">
        <f t="shared" si="2"/>
        <v>2</v>
      </c>
    </row>
    <row r="157" spans="1:14" x14ac:dyDescent="0.25">
      <c r="A157" s="7">
        <v>43985</v>
      </c>
      <c r="B157" s="1">
        <v>2922</v>
      </c>
      <c r="C157" s="1">
        <v>2074</v>
      </c>
      <c r="D157" s="1">
        <v>763</v>
      </c>
      <c r="E157" s="1">
        <v>848</v>
      </c>
      <c r="F157" s="1">
        <v>982</v>
      </c>
      <c r="G157" s="1">
        <v>512</v>
      </c>
      <c r="H157" s="1">
        <v>710</v>
      </c>
      <c r="I157" s="1">
        <v>288</v>
      </c>
      <c r="J157" s="1">
        <v>230</v>
      </c>
      <c r="K157" s="1">
        <v>58</v>
      </c>
      <c r="L157" s="1">
        <v>696</v>
      </c>
      <c r="M157" s="8">
        <v>154.25</v>
      </c>
      <c r="N157">
        <f t="shared" si="2"/>
        <v>3</v>
      </c>
    </row>
    <row r="158" spans="1:14" x14ac:dyDescent="0.25">
      <c r="A158" s="7">
        <v>43986</v>
      </c>
      <c r="B158" s="1">
        <v>2655</v>
      </c>
      <c r="C158" s="1">
        <v>1964</v>
      </c>
      <c r="D158" s="1">
        <v>601</v>
      </c>
      <c r="E158" s="1">
        <v>691</v>
      </c>
      <c r="F158" s="1">
        <v>1020</v>
      </c>
      <c r="G158" s="1">
        <v>320</v>
      </c>
      <c r="H158" s="1">
        <v>590</v>
      </c>
      <c r="I158" s="1">
        <v>196</v>
      </c>
      <c r="J158" s="1">
        <v>329</v>
      </c>
      <c r="K158" s="1">
        <v>56</v>
      </c>
      <c r="L158" s="1">
        <v>392</v>
      </c>
      <c r="M158" s="8">
        <v>140.03</v>
      </c>
      <c r="N158">
        <f t="shared" si="2"/>
        <v>4</v>
      </c>
    </row>
    <row r="159" spans="1:14" x14ac:dyDescent="0.25">
      <c r="A159" s="7">
        <v>43987</v>
      </c>
      <c r="B159" s="1">
        <v>3386</v>
      </c>
      <c r="C159" s="1">
        <v>3013</v>
      </c>
      <c r="D159" s="1">
        <v>283</v>
      </c>
      <c r="E159" s="1">
        <v>373</v>
      </c>
      <c r="F159" s="1">
        <v>1495</v>
      </c>
      <c r="G159" s="1">
        <v>459</v>
      </c>
      <c r="H159" s="1">
        <v>600</v>
      </c>
      <c r="I159" s="1">
        <v>374</v>
      </c>
      <c r="J159" s="1">
        <v>258</v>
      </c>
      <c r="K159" s="1">
        <v>65</v>
      </c>
      <c r="L159" s="1">
        <v>585</v>
      </c>
      <c r="M159" s="8">
        <v>204.17</v>
      </c>
      <c r="N159">
        <f t="shared" si="2"/>
        <v>5</v>
      </c>
    </row>
    <row r="160" spans="1:14" x14ac:dyDescent="0.25">
      <c r="A160" s="7">
        <v>43988</v>
      </c>
      <c r="B160" s="1">
        <v>2191</v>
      </c>
      <c r="C160" s="1">
        <v>1599</v>
      </c>
      <c r="D160" s="1">
        <v>432</v>
      </c>
      <c r="E160" s="1">
        <v>592</v>
      </c>
      <c r="F160" s="1">
        <v>565</v>
      </c>
      <c r="G160" s="1">
        <v>481</v>
      </c>
      <c r="H160" s="1">
        <v>575</v>
      </c>
      <c r="I160" s="1">
        <v>230</v>
      </c>
      <c r="J160" s="1">
        <v>140</v>
      </c>
      <c r="K160" s="1">
        <v>49</v>
      </c>
      <c r="L160" s="1">
        <v>637</v>
      </c>
      <c r="M160" s="8">
        <v>235.29999999999998</v>
      </c>
      <c r="N160">
        <f t="shared" si="2"/>
        <v>6</v>
      </c>
    </row>
    <row r="161" spans="1:14" x14ac:dyDescent="0.25">
      <c r="A161" s="7">
        <v>43989</v>
      </c>
      <c r="B161" s="1">
        <v>2022</v>
      </c>
      <c r="C161" s="1">
        <v>1455</v>
      </c>
      <c r="D161" s="1">
        <v>459</v>
      </c>
      <c r="E161" s="1">
        <v>567</v>
      </c>
      <c r="F161" s="1">
        <v>537</v>
      </c>
      <c r="G161" s="1">
        <v>345</v>
      </c>
      <c r="H161" s="1">
        <v>630</v>
      </c>
      <c r="I161" s="1">
        <v>64</v>
      </c>
      <c r="J161" s="1">
        <v>246</v>
      </c>
      <c r="K161" s="1">
        <v>50</v>
      </c>
      <c r="L161" s="1">
        <v>400</v>
      </c>
      <c r="M161" s="8">
        <v>133.92999999999998</v>
      </c>
      <c r="N161">
        <f t="shared" si="2"/>
        <v>7</v>
      </c>
    </row>
    <row r="162" spans="1:14" x14ac:dyDescent="0.25">
      <c r="A162" s="7">
        <v>43990</v>
      </c>
      <c r="B162" s="1">
        <v>2225</v>
      </c>
      <c r="C162" s="1">
        <v>1735</v>
      </c>
      <c r="D162" s="1">
        <v>392</v>
      </c>
      <c r="E162" s="1">
        <v>490</v>
      </c>
      <c r="F162" s="1">
        <v>526</v>
      </c>
      <c r="G162" s="1">
        <v>760</v>
      </c>
      <c r="H162" s="1">
        <v>492</v>
      </c>
      <c r="I162" s="1">
        <v>58</v>
      </c>
      <c r="J162" s="1">
        <v>189</v>
      </c>
      <c r="K162" s="1">
        <v>54</v>
      </c>
      <c r="L162" s="1">
        <v>810</v>
      </c>
      <c r="M162" s="8">
        <v>162.72999999999999</v>
      </c>
      <c r="N162">
        <f t="shared" si="2"/>
        <v>8</v>
      </c>
    </row>
    <row r="163" spans="1:14" x14ac:dyDescent="0.25">
      <c r="A163" s="7">
        <v>43991</v>
      </c>
      <c r="B163" s="1">
        <v>1980</v>
      </c>
      <c r="C163" s="1">
        <v>1742</v>
      </c>
      <c r="D163" s="1">
        <v>199</v>
      </c>
      <c r="E163" s="1">
        <v>238</v>
      </c>
      <c r="F163" s="1">
        <v>550</v>
      </c>
      <c r="G163" s="1">
        <v>315</v>
      </c>
      <c r="H163" s="1">
        <v>495</v>
      </c>
      <c r="I163" s="1">
        <v>288</v>
      </c>
      <c r="J163" s="1">
        <v>132</v>
      </c>
      <c r="K163" s="1">
        <v>53</v>
      </c>
      <c r="L163" s="1">
        <v>742</v>
      </c>
      <c r="M163" s="8">
        <v>156.09</v>
      </c>
      <c r="N163">
        <f t="shared" si="2"/>
        <v>9</v>
      </c>
    </row>
    <row r="164" spans="1:14" x14ac:dyDescent="0.25">
      <c r="A164" s="7">
        <v>43992</v>
      </c>
      <c r="B164" s="1">
        <v>2616</v>
      </c>
      <c r="C164" s="1">
        <v>1909</v>
      </c>
      <c r="D164" s="1">
        <v>501</v>
      </c>
      <c r="E164" s="1">
        <v>707</v>
      </c>
      <c r="F164" s="1">
        <v>991</v>
      </c>
      <c r="G164" s="1">
        <v>640</v>
      </c>
      <c r="H164" s="1">
        <v>545</v>
      </c>
      <c r="I164" s="1">
        <v>192</v>
      </c>
      <c r="J164" s="1">
        <v>48</v>
      </c>
      <c r="K164" s="1">
        <v>53</v>
      </c>
      <c r="L164" s="1">
        <v>636</v>
      </c>
      <c r="M164" s="8">
        <v>185.42</v>
      </c>
      <c r="N164">
        <f t="shared" si="2"/>
        <v>10</v>
      </c>
    </row>
    <row r="165" spans="1:14" x14ac:dyDescent="0.25">
      <c r="A165" s="7">
        <v>43993</v>
      </c>
      <c r="B165" s="1">
        <v>2650</v>
      </c>
      <c r="C165" s="1">
        <v>2226</v>
      </c>
      <c r="D165" s="1">
        <v>368</v>
      </c>
      <c r="E165" s="1">
        <v>424</v>
      </c>
      <c r="F165" s="1">
        <v>1048</v>
      </c>
      <c r="G165" s="1">
        <v>624</v>
      </c>
      <c r="H165" s="1">
        <v>517</v>
      </c>
      <c r="I165" s="1">
        <v>36</v>
      </c>
      <c r="J165" s="1">
        <v>225</v>
      </c>
      <c r="K165" s="1">
        <v>47</v>
      </c>
      <c r="L165" s="1">
        <v>611</v>
      </c>
      <c r="M165" s="8">
        <v>142.07</v>
      </c>
      <c r="N165">
        <f t="shared" si="2"/>
        <v>11</v>
      </c>
    </row>
    <row r="166" spans="1:14" x14ac:dyDescent="0.25">
      <c r="A166" s="7">
        <v>43994</v>
      </c>
      <c r="B166" s="1">
        <v>2986</v>
      </c>
      <c r="C166" s="1">
        <v>2478</v>
      </c>
      <c r="D166" s="1">
        <v>370</v>
      </c>
      <c r="E166" s="1">
        <v>508</v>
      </c>
      <c r="F166" s="1">
        <v>1343</v>
      </c>
      <c r="G166" s="1">
        <v>390</v>
      </c>
      <c r="H166" s="1">
        <v>696</v>
      </c>
      <c r="I166" s="1">
        <v>147</v>
      </c>
      <c r="J166" s="1">
        <v>210</v>
      </c>
      <c r="K166" s="1">
        <v>55</v>
      </c>
      <c r="L166" s="1">
        <v>660</v>
      </c>
      <c r="M166" s="8">
        <v>186.94</v>
      </c>
      <c r="N166">
        <f t="shared" si="2"/>
        <v>12</v>
      </c>
    </row>
    <row r="167" spans="1:14" x14ac:dyDescent="0.25">
      <c r="A167" s="7">
        <v>43995</v>
      </c>
      <c r="B167" s="1">
        <v>2566</v>
      </c>
      <c r="C167" s="1">
        <v>2078</v>
      </c>
      <c r="D167" s="1">
        <v>375</v>
      </c>
      <c r="E167" s="1">
        <v>488</v>
      </c>
      <c r="F167" s="1">
        <v>566</v>
      </c>
      <c r="G167" s="1">
        <v>682</v>
      </c>
      <c r="H167" s="1">
        <v>762</v>
      </c>
      <c r="I167" s="1">
        <v>228</v>
      </c>
      <c r="J167" s="1">
        <v>128</v>
      </c>
      <c r="K167" s="1">
        <v>56</v>
      </c>
      <c r="L167" s="1">
        <v>392</v>
      </c>
      <c r="M167" s="8">
        <v>108.98</v>
      </c>
      <c r="N167">
        <f t="shared" si="2"/>
        <v>13</v>
      </c>
    </row>
    <row r="168" spans="1:14" x14ac:dyDescent="0.25">
      <c r="A168" s="7">
        <v>43996</v>
      </c>
      <c r="B168" s="1">
        <v>2784</v>
      </c>
      <c r="C168" s="1">
        <v>2422</v>
      </c>
      <c r="D168" s="1">
        <v>267</v>
      </c>
      <c r="E168" s="1">
        <v>362</v>
      </c>
      <c r="F168" s="1">
        <v>868</v>
      </c>
      <c r="G168" s="1">
        <v>476</v>
      </c>
      <c r="H168" s="1">
        <v>790</v>
      </c>
      <c r="I168" s="1">
        <v>372</v>
      </c>
      <c r="J168" s="1">
        <v>78</v>
      </c>
      <c r="K168" s="1">
        <v>66</v>
      </c>
      <c r="L168" s="1">
        <v>660</v>
      </c>
      <c r="M168" s="8">
        <v>218.94</v>
      </c>
      <c r="N168">
        <f t="shared" si="2"/>
        <v>14</v>
      </c>
    </row>
    <row r="169" spans="1:14" x14ac:dyDescent="0.25">
      <c r="A169" s="7">
        <v>43997</v>
      </c>
      <c r="B169" s="1">
        <v>3216</v>
      </c>
      <c r="C169" s="1">
        <v>2347</v>
      </c>
      <c r="D169" s="1">
        <v>721</v>
      </c>
      <c r="E169" s="1">
        <v>869</v>
      </c>
      <c r="F169" s="1">
        <v>1201</v>
      </c>
      <c r="G169" s="1">
        <v>700</v>
      </c>
      <c r="H169" s="1">
        <v>685</v>
      </c>
      <c r="I169" s="1">
        <v>220</v>
      </c>
      <c r="J169" s="1">
        <v>210</v>
      </c>
      <c r="K169" s="1">
        <v>68</v>
      </c>
      <c r="L169" s="1">
        <v>340</v>
      </c>
      <c r="M169" s="8">
        <v>133.19999999999999</v>
      </c>
      <c r="N169">
        <f t="shared" si="2"/>
        <v>15</v>
      </c>
    </row>
    <row r="170" spans="1:14" x14ac:dyDescent="0.25">
      <c r="A170" s="7">
        <v>43998</v>
      </c>
      <c r="B170" s="1">
        <v>2373</v>
      </c>
      <c r="C170" s="1">
        <v>1945</v>
      </c>
      <c r="D170" s="1">
        <v>346</v>
      </c>
      <c r="E170" s="1">
        <v>428</v>
      </c>
      <c r="F170" s="1">
        <v>760</v>
      </c>
      <c r="G170" s="1">
        <v>517</v>
      </c>
      <c r="H170" s="1">
        <v>468</v>
      </c>
      <c r="I170" s="1">
        <v>200</v>
      </c>
      <c r="J170" s="1">
        <v>228</v>
      </c>
      <c r="K170" s="1">
        <v>53</v>
      </c>
      <c r="L170" s="1">
        <v>530</v>
      </c>
      <c r="M170" s="8">
        <v>187.35</v>
      </c>
      <c r="N170">
        <f t="shared" si="2"/>
        <v>16</v>
      </c>
    </row>
    <row r="171" spans="1:14" x14ac:dyDescent="0.25">
      <c r="A171" s="7">
        <v>43999</v>
      </c>
      <c r="B171" s="1">
        <v>3151</v>
      </c>
      <c r="C171" s="1">
        <v>2457</v>
      </c>
      <c r="D171" s="1">
        <v>596</v>
      </c>
      <c r="E171" s="1">
        <v>694</v>
      </c>
      <c r="F171" s="1">
        <v>1040</v>
      </c>
      <c r="G171" s="1">
        <v>840</v>
      </c>
      <c r="H171" s="1">
        <v>750</v>
      </c>
      <c r="I171" s="1">
        <v>240</v>
      </c>
      <c r="J171" s="1">
        <v>81</v>
      </c>
      <c r="K171" s="1">
        <v>61</v>
      </c>
      <c r="L171" s="1">
        <v>915</v>
      </c>
      <c r="M171" s="8">
        <v>199.59</v>
      </c>
      <c r="N171">
        <f t="shared" si="2"/>
        <v>17</v>
      </c>
    </row>
    <row r="172" spans="1:14" x14ac:dyDescent="0.25">
      <c r="A172" s="7">
        <v>44000</v>
      </c>
      <c r="B172" s="1">
        <v>2288</v>
      </c>
      <c r="C172" s="1">
        <v>1624</v>
      </c>
      <c r="D172" s="1">
        <v>537</v>
      </c>
      <c r="E172" s="1">
        <v>664</v>
      </c>
      <c r="F172" s="1">
        <v>494</v>
      </c>
      <c r="G172" s="1">
        <v>540</v>
      </c>
      <c r="H172" s="1">
        <v>707</v>
      </c>
      <c r="I172" s="1">
        <v>200</v>
      </c>
      <c r="J172" s="1">
        <v>147</v>
      </c>
      <c r="K172" s="1">
        <v>56</v>
      </c>
      <c r="L172" s="1">
        <v>616</v>
      </c>
      <c r="M172" s="8">
        <v>185.66</v>
      </c>
      <c r="N172">
        <f t="shared" si="2"/>
        <v>18</v>
      </c>
    </row>
    <row r="173" spans="1:14" x14ac:dyDescent="0.25">
      <c r="A173" s="7">
        <v>44001</v>
      </c>
      <c r="B173" s="1">
        <v>2218</v>
      </c>
      <c r="C173" s="1">
        <v>1840</v>
      </c>
      <c r="D173" s="1">
        <v>264</v>
      </c>
      <c r="E173" s="1">
        <v>378</v>
      </c>
      <c r="F173" s="1">
        <v>380</v>
      </c>
      <c r="G173" s="1">
        <v>680</v>
      </c>
      <c r="H173" s="1">
        <v>660</v>
      </c>
      <c r="I173" s="1">
        <v>144</v>
      </c>
      <c r="J173" s="1">
        <v>154</v>
      </c>
      <c r="K173" s="1">
        <v>56</v>
      </c>
      <c r="L173" s="1">
        <v>280</v>
      </c>
      <c r="M173" s="8">
        <v>85.660000000000011</v>
      </c>
      <c r="N173">
        <f t="shared" si="2"/>
        <v>19</v>
      </c>
    </row>
    <row r="174" spans="1:14" x14ac:dyDescent="0.25">
      <c r="A174" s="7">
        <v>44002</v>
      </c>
      <c r="B174" s="1">
        <v>2158</v>
      </c>
      <c r="C174" s="1">
        <v>1553</v>
      </c>
      <c r="D174" s="1">
        <v>490</v>
      </c>
      <c r="E174" s="1">
        <v>605</v>
      </c>
      <c r="F174" s="1">
        <v>418</v>
      </c>
      <c r="G174" s="1">
        <v>612</v>
      </c>
      <c r="H174" s="1">
        <v>608</v>
      </c>
      <c r="I174" s="1">
        <v>220</v>
      </c>
      <c r="J174" s="1">
        <v>100</v>
      </c>
      <c r="K174" s="1">
        <v>53</v>
      </c>
      <c r="L174" s="1">
        <v>318</v>
      </c>
      <c r="M174" s="8">
        <v>66.39</v>
      </c>
      <c r="N174">
        <f t="shared" si="2"/>
        <v>20</v>
      </c>
    </row>
    <row r="175" spans="1:14" x14ac:dyDescent="0.25">
      <c r="A175" s="7">
        <v>44003</v>
      </c>
      <c r="B175" s="1">
        <v>2585</v>
      </c>
      <c r="C175" s="1">
        <v>1990</v>
      </c>
      <c r="D175" s="1">
        <v>529</v>
      </c>
      <c r="E175" s="1">
        <v>595</v>
      </c>
      <c r="F175" s="1">
        <v>945</v>
      </c>
      <c r="G175" s="1">
        <v>462</v>
      </c>
      <c r="H175" s="1">
        <v>604</v>
      </c>
      <c r="I175" s="1">
        <v>210</v>
      </c>
      <c r="J175" s="1">
        <v>164</v>
      </c>
      <c r="K175" s="1">
        <v>49</v>
      </c>
      <c r="L175" s="1">
        <v>588</v>
      </c>
      <c r="M175" s="8">
        <v>182.48</v>
      </c>
      <c r="N175">
        <f t="shared" si="2"/>
        <v>21</v>
      </c>
    </row>
    <row r="176" spans="1:14" x14ac:dyDescent="0.25">
      <c r="A176" s="7">
        <v>44004</v>
      </c>
      <c r="B176" s="1">
        <v>2832</v>
      </c>
      <c r="C176" s="1">
        <v>2520</v>
      </c>
      <c r="D176" s="1">
        <v>258</v>
      </c>
      <c r="E176" s="1">
        <v>312</v>
      </c>
      <c r="F176" s="1">
        <v>1390</v>
      </c>
      <c r="G176" s="1">
        <v>496</v>
      </c>
      <c r="H176" s="1">
        <v>573</v>
      </c>
      <c r="I176" s="1">
        <v>38</v>
      </c>
      <c r="J176" s="1">
        <v>135</v>
      </c>
      <c r="K176" s="1">
        <v>50</v>
      </c>
      <c r="L176" s="1">
        <v>450</v>
      </c>
      <c r="M176" s="8">
        <v>151.39999999999998</v>
      </c>
      <c r="N176">
        <f t="shared" si="2"/>
        <v>22</v>
      </c>
    </row>
    <row r="177" spans="1:14" x14ac:dyDescent="0.25">
      <c r="A177" s="7">
        <v>44005</v>
      </c>
      <c r="B177" s="1">
        <v>2607</v>
      </c>
      <c r="C177" s="1">
        <v>2059</v>
      </c>
      <c r="D177" s="1">
        <v>482</v>
      </c>
      <c r="E177" s="1">
        <v>548</v>
      </c>
      <c r="F177" s="1">
        <v>1039</v>
      </c>
      <c r="G177" s="1">
        <v>444</v>
      </c>
      <c r="H177" s="1">
        <v>496</v>
      </c>
      <c r="I177" s="1">
        <v>308</v>
      </c>
      <c r="J177" s="1">
        <v>120</v>
      </c>
      <c r="K177" s="1">
        <v>58</v>
      </c>
      <c r="L177" s="1">
        <v>870</v>
      </c>
      <c r="M177" s="8">
        <v>181.22</v>
      </c>
      <c r="N177">
        <f t="shared" si="2"/>
        <v>23</v>
      </c>
    </row>
    <row r="178" spans="1:14" x14ac:dyDescent="0.25">
      <c r="A178" s="7">
        <v>44006</v>
      </c>
      <c r="B178" s="1">
        <v>3482</v>
      </c>
      <c r="C178" s="1">
        <v>2541</v>
      </c>
      <c r="D178" s="1">
        <v>790</v>
      </c>
      <c r="E178" s="1">
        <v>941</v>
      </c>
      <c r="F178" s="1">
        <v>1876</v>
      </c>
      <c r="G178" s="1">
        <v>630</v>
      </c>
      <c r="H178" s="1">
        <v>652</v>
      </c>
      <c r="I178" s="1">
        <v>48</v>
      </c>
      <c r="J178" s="1">
        <v>76</v>
      </c>
      <c r="K178" s="1">
        <v>53</v>
      </c>
      <c r="L178" s="1">
        <v>265</v>
      </c>
      <c r="M178" s="8">
        <v>76.81</v>
      </c>
      <c r="N178">
        <f t="shared" si="2"/>
        <v>24</v>
      </c>
    </row>
    <row r="179" spans="1:14" x14ac:dyDescent="0.25">
      <c r="A179" s="7">
        <v>44007</v>
      </c>
      <c r="B179" s="1">
        <v>2805</v>
      </c>
      <c r="C179" s="1">
        <v>2019</v>
      </c>
      <c r="D179" s="1">
        <v>636</v>
      </c>
      <c r="E179" s="1">
        <v>786</v>
      </c>
      <c r="F179" s="1">
        <v>1432</v>
      </c>
      <c r="G179" s="1">
        <v>378</v>
      </c>
      <c r="H179" s="1">
        <v>572</v>
      </c>
      <c r="I179" s="1">
        <v>196</v>
      </c>
      <c r="J179" s="1">
        <v>27</v>
      </c>
      <c r="K179" s="1">
        <v>50</v>
      </c>
      <c r="L179" s="1">
        <v>400</v>
      </c>
      <c r="M179" s="8">
        <v>127.05000000000001</v>
      </c>
      <c r="N179">
        <f t="shared" si="2"/>
        <v>25</v>
      </c>
    </row>
    <row r="180" spans="1:14" x14ac:dyDescent="0.25">
      <c r="A180" s="7">
        <v>44008</v>
      </c>
      <c r="B180" s="1">
        <v>2206</v>
      </c>
      <c r="C180" s="1">
        <v>1610</v>
      </c>
      <c r="D180" s="1">
        <v>447</v>
      </c>
      <c r="E180" s="1">
        <v>596</v>
      </c>
      <c r="F180" s="1">
        <v>742</v>
      </c>
      <c r="G180" s="1">
        <v>300</v>
      </c>
      <c r="H180" s="1">
        <v>660</v>
      </c>
      <c r="I180" s="1">
        <v>184</v>
      </c>
      <c r="J180" s="1">
        <v>120</v>
      </c>
      <c r="K180" s="1">
        <v>59</v>
      </c>
      <c r="L180" s="1">
        <v>295</v>
      </c>
      <c r="M180" s="8">
        <v>75.11</v>
      </c>
      <c r="N180">
        <f t="shared" si="2"/>
        <v>26</v>
      </c>
    </row>
    <row r="181" spans="1:14" x14ac:dyDescent="0.25">
      <c r="A181" s="7">
        <v>44009</v>
      </c>
      <c r="B181" s="1">
        <v>2303</v>
      </c>
      <c r="C181" s="1">
        <v>1727</v>
      </c>
      <c r="D181" s="1">
        <v>449</v>
      </c>
      <c r="E181" s="1">
        <v>576</v>
      </c>
      <c r="F181" s="1">
        <v>892</v>
      </c>
      <c r="G181" s="1">
        <v>555</v>
      </c>
      <c r="H181" s="1">
        <v>432</v>
      </c>
      <c r="I181" s="1">
        <v>224</v>
      </c>
      <c r="J181" s="1">
        <v>0</v>
      </c>
      <c r="K181" s="1">
        <v>45</v>
      </c>
      <c r="L181" s="1">
        <v>540</v>
      </c>
      <c r="M181" s="8">
        <v>115.03</v>
      </c>
      <c r="N181">
        <f t="shared" si="2"/>
        <v>27</v>
      </c>
    </row>
    <row r="182" spans="1:14" x14ac:dyDescent="0.25">
      <c r="A182" s="7">
        <v>44010</v>
      </c>
      <c r="B182" s="1">
        <v>2338</v>
      </c>
      <c r="C182" s="1">
        <v>1823</v>
      </c>
      <c r="D182" s="1">
        <v>417</v>
      </c>
      <c r="E182" s="1">
        <v>515</v>
      </c>
      <c r="F182" s="1">
        <v>1081</v>
      </c>
      <c r="G182" s="1">
        <v>384</v>
      </c>
      <c r="H182" s="1">
        <v>520</v>
      </c>
      <c r="I182" s="1">
        <v>42</v>
      </c>
      <c r="J182" s="1">
        <v>111</v>
      </c>
      <c r="K182" s="1">
        <v>48</v>
      </c>
      <c r="L182" s="1">
        <v>576</v>
      </c>
      <c r="M182" s="8">
        <v>181.04</v>
      </c>
      <c r="N182">
        <f t="shared" si="2"/>
        <v>28</v>
      </c>
    </row>
    <row r="183" spans="1:14" x14ac:dyDescent="0.25">
      <c r="A183" s="7">
        <v>44011</v>
      </c>
      <c r="B183" s="1">
        <v>3058</v>
      </c>
      <c r="C183" s="1">
        <v>2293</v>
      </c>
      <c r="D183" s="1">
        <v>673</v>
      </c>
      <c r="E183" s="1">
        <v>765</v>
      </c>
      <c r="F183" s="1">
        <v>1537</v>
      </c>
      <c r="G183" s="1">
        <v>319</v>
      </c>
      <c r="H183" s="1">
        <v>692</v>
      </c>
      <c r="I183" s="1">
        <v>210</v>
      </c>
      <c r="J183" s="1">
        <v>100</v>
      </c>
      <c r="K183" s="1">
        <v>51</v>
      </c>
      <c r="L183" s="1">
        <v>408</v>
      </c>
      <c r="M183" s="8">
        <v>143.82999999999998</v>
      </c>
      <c r="N183">
        <f t="shared" si="2"/>
        <v>29</v>
      </c>
    </row>
    <row r="184" spans="1:14" x14ac:dyDescent="0.25">
      <c r="A184" s="7">
        <v>44012</v>
      </c>
      <c r="B184" s="1">
        <v>2962</v>
      </c>
      <c r="C184" s="1">
        <v>2369</v>
      </c>
      <c r="D184" s="1">
        <v>492</v>
      </c>
      <c r="E184" s="1">
        <v>593</v>
      </c>
      <c r="F184" s="1">
        <v>928</v>
      </c>
      <c r="G184" s="1">
        <v>672</v>
      </c>
      <c r="H184" s="1">
        <v>510</v>
      </c>
      <c r="I184" s="1">
        <v>460</v>
      </c>
      <c r="J184" s="1">
        <v>192</v>
      </c>
      <c r="K184" s="1">
        <v>57</v>
      </c>
      <c r="L184" s="1">
        <v>855</v>
      </c>
      <c r="M184" s="8">
        <v>253.34</v>
      </c>
      <c r="N184">
        <f t="shared" si="2"/>
        <v>30</v>
      </c>
    </row>
    <row r="185" spans="1:14" x14ac:dyDescent="0.25">
      <c r="A185" s="7">
        <v>44013</v>
      </c>
      <c r="B185" s="1">
        <v>3786</v>
      </c>
      <c r="C185" s="1">
        <v>3255</v>
      </c>
      <c r="D185" s="1">
        <v>408</v>
      </c>
      <c r="E185" s="1">
        <v>531</v>
      </c>
      <c r="F185" s="1">
        <v>1593</v>
      </c>
      <c r="G185" s="1">
        <v>750</v>
      </c>
      <c r="H185" s="1">
        <v>685</v>
      </c>
      <c r="I185" s="1">
        <v>208</v>
      </c>
      <c r="J185" s="1">
        <v>350</v>
      </c>
      <c r="K185" s="1">
        <v>64</v>
      </c>
      <c r="L185" s="1">
        <v>960</v>
      </c>
      <c r="M185" s="8">
        <v>217.64999999999998</v>
      </c>
      <c r="N185">
        <f t="shared" si="2"/>
        <v>1</v>
      </c>
    </row>
    <row r="186" spans="1:14" x14ac:dyDescent="0.25">
      <c r="A186" s="7">
        <v>44014</v>
      </c>
      <c r="B186" s="1">
        <v>3099</v>
      </c>
      <c r="C186" s="1">
        <v>2448</v>
      </c>
      <c r="D186" s="1">
        <v>507</v>
      </c>
      <c r="E186" s="1">
        <v>651</v>
      </c>
      <c r="F186" s="1">
        <v>1375</v>
      </c>
      <c r="G186" s="1">
        <v>416</v>
      </c>
      <c r="H186" s="1">
        <v>588</v>
      </c>
      <c r="I186" s="1">
        <v>320</v>
      </c>
      <c r="J186" s="1">
        <v>200</v>
      </c>
      <c r="K186" s="1">
        <v>59</v>
      </c>
      <c r="L186" s="1">
        <v>767</v>
      </c>
      <c r="M186" s="8">
        <v>158.29999999999998</v>
      </c>
      <c r="N186">
        <f t="shared" si="2"/>
        <v>2</v>
      </c>
    </row>
    <row r="187" spans="1:14" x14ac:dyDescent="0.25">
      <c r="A187" s="7">
        <v>44015</v>
      </c>
      <c r="B187" s="1">
        <v>3269</v>
      </c>
      <c r="C187" s="1">
        <v>2909</v>
      </c>
      <c r="D187" s="1">
        <v>277</v>
      </c>
      <c r="E187" s="1">
        <v>360</v>
      </c>
      <c r="F187" s="1">
        <v>1590</v>
      </c>
      <c r="G187" s="1">
        <v>396</v>
      </c>
      <c r="H187" s="1">
        <v>615</v>
      </c>
      <c r="I187" s="1">
        <v>216</v>
      </c>
      <c r="J187" s="1">
        <v>252</v>
      </c>
      <c r="K187" s="1">
        <v>59</v>
      </c>
      <c r="L187" s="1">
        <v>295</v>
      </c>
      <c r="M187" s="8">
        <v>102.93</v>
      </c>
      <c r="N187">
        <f t="shared" si="2"/>
        <v>3</v>
      </c>
    </row>
    <row r="188" spans="1:14" x14ac:dyDescent="0.25">
      <c r="A188" s="7">
        <v>44016</v>
      </c>
      <c r="B188" s="1">
        <v>2082</v>
      </c>
      <c r="C188" s="1">
        <v>1790</v>
      </c>
      <c r="D188" s="1">
        <v>224</v>
      </c>
      <c r="E188" s="1">
        <v>292</v>
      </c>
      <c r="F188" s="1">
        <v>536</v>
      </c>
      <c r="G188" s="1">
        <v>551</v>
      </c>
      <c r="H188" s="1">
        <v>500</v>
      </c>
      <c r="I188" s="1">
        <v>115</v>
      </c>
      <c r="J188" s="1">
        <v>180</v>
      </c>
      <c r="K188" s="1">
        <v>53</v>
      </c>
      <c r="L188" s="1">
        <v>689</v>
      </c>
      <c r="M188" s="8">
        <v>153.38</v>
      </c>
      <c r="N188">
        <f t="shared" si="2"/>
        <v>4</v>
      </c>
    </row>
    <row r="189" spans="1:14" x14ac:dyDescent="0.25">
      <c r="A189" s="7">
        <v>44017</v>
      </c>
      <c r="B189" s="1">
        <v>3266</v>
      </c>
      <c r="C189" s="1">
        <v>2874</v>
      </c>
      <c r="D189" s="1">
        <v>348</v>
      </c>
      <c r="E189" s="1">
        <v>392</v>
      </c>
      <c r="F189" s="1">
        <v>1480</v>
      </c>
      <c r="G189" s="1">
        <v>595</v>
      </c>
      <c r="H189" s="1">
        <v>714</v>
      </c>
      <c r="I189" s="1">
        <v>225</v>
      </c>
      <c r="J189" s="1">
        <v>52</v>
      </c>
      <c r="K189" s="1">
        <v>53</v>
      </c>
      <c r="L189" s="1">
        <v>689</v>
      </c>
      <c r="M189" s="8">
        <v>168.22</v>
      </c>
      <c r="N189">
        <f t="shared" si="2"/>
        <v>5</v>
      </c>
    </row>
    <row r="190" spans="1:14" x14ac:dyDescent="0.25">
      <c r="A190" s="7">
        <v>44018</v>
      </c>
      <c r="B190" s="1">
        <v>2529</v>
      </c>
      <c r="C190" s="1">
        <v>1922</v>
      </c>
      <c r="D190" s="1">
        <v>515</v>
      </c>
      <c r="E190" s="1">
        <v>607</v>
      </c>
      <c r="F190" s="1">
        <v>964</v>
      </c>
      <c r="G190" s="1">
        <v>340</v>
      </c>
      <c r="H190" s="1">
        <v>650</v>
      </c>
      <c r="I190" s="1">
        <v>315</v>
      </c>
      <c r="J190" s="1">
        <v>60</v>
      </c>
      <c r="K190" s="1">
        <v>61</v>
      </c>
      <c r="L190" s="1">
        <v>610</v>
      </c>
      <c r="M190" s="8">
        <v>135.88999999999999</v>
      </c>
      <c r="N190">
        <f t="shared" si="2"/>
        <v>6</v>
      </c>
    </row>
    <row r="191" spans="1:14" x14ac:dyDescent="0.25">
      <c r="A191" s="7">
        <v>44019</v>
      </c>
      <c r="B191" s="1">
        <v>2473</v>
      </c>
      <c r="C191" s="1">
        <v>1830</v>
      </c>
      <c r="D191" s="1">
        <v>450</v>
      </c>
      <c r="E191" s="1">
        <v>643</v>
      </c>
      <c r="F191" s="1">
        <v>1030</v>
      </c>
      <c r="G191" s="1">
        <v>448</v>
      </c>
      <c r="H191" s="1">
        <v>455</v>
      </c>
      <c r="I191" s="1">
        <v>130</v>
      </c>
      <c r="J191" s="1">
        <v>210</v>
      </c>
      <c r="K191" s="1">
        <v>48</v>
      </c>
      <c r="L191" s="1">
        <v>432</v>
      </c>
      <c r="M191" s="8">
        <v>87.15</v>
      </c>
      <c r="N191">
        <f t="shared" si="2"/>
        <v>7</v>
      </c>
    </row>
    <row r="192" spans="1:14" x14ac:dyDescent="0.25">
      <c r="A192" s="7">
        <v>44020</v>
      </c>
      <c r="B192" s="1">
        <v>3461</v>
      </c>
      <c r="C192" s="1">
        <v>2699</v>
      </c>
      <c r="D192" s="1">
        <v>640</v>
      </c>
      <c r="E192" s="1">
        <v>762</v>
      </c>
      <c r="F192" s="1">
        <v>1468</v>
      </c>
      <c r="G192" s="1">
        <v>492</v>
      </c>
      <c r="H192" s="1">
        <v>888</v>
      </c>
      <c r="I192" s="1">
        <v>37</v>
      </c>
      <c r="J192" s="1">
        <v>376</v>
      </c>
      <c r="K192" s="1">
        <v>57</v>
      </c>
      <c r="L192" s="1">
        <v>741</v>
      </c>
      <c r="M192" s="8">
        <v>225.45</v>
      </c>
      <c r="N192">
        <f t="shared" si="2"/>
        <v>8</v>
      </c>
    </row>
    <row r="193" spans="1:14" x14ac:dyDescent="0.25">
      <c r="A193" s="7">
        <v>44021</v>
      </c>
      <c r="B193" s="1">
        <v>2550</v>
      </c>
      <c r="C193" s="1">
        <v>2040</v>
      </c>
      <c r="D193" s="1">
        <v>423</v>
      </c>
      <c r="E193" s="1">
        <v>510</v>
      </c>
      <c r="F193" s="1">
        <v>852</v>
      </c>
      <c r="G193" s="1">
        <v>456</v>
      </c>
      <c r="H193" s="1">
        <v>561</v>
      </c>
      <c r="I193" s="1">
        <v>450</v>
      </c>
      <c r="J193" s="1">
        <v>31</v>
      </c>
      <c r="K193" s="1">
        <v>57</v>
      </c>
      <c r="L193" s="1">
        <v>855</v>
      </c>
      <c r="M193" s="8">
        <v>187.5</v>
      </c>
      <c r="N193">
        <f t="shared" si="2"/>
        <v>9</v>
      </c>
    </row>
    <row r="194" spans="1:14" x14ac:dyDescent="0.25">
      <c r="A194" s="7">
        <v>44022</v>
      </c>
      <c r="B194" s="1">
        <v>2525</v>
      </c>
      <c r="C194" s="1">
        <v>2045</v>
      </c>
      <c r="D194" s="1">
        <v>412</v>
      </c>
      <c r="E194" s="1">
        <v>480</v>
      </c>
      <c r="F194" s="1">
        <v>1150</v>
      </c>
      <c r="G194" s="1">
        <v>315</v>
      </c>
      <c r="H194" s="1">
        <v>500</v>
      </c>
      <c r="I194" s="1">
        <v>188</v>
      </c>
      <c r="J194" s="1">
        <v>172</v>
      </c>
      <c r="K194" s="1">
        <v>58</v>
      </c>
      <c r="L194" s="1">
        <v>638</v>
      </c>
      <c r="M194" s="8">
        <v>219.85999999999999</v>
      </c>
      <c r="N194">
        <f t="shared" si="2"/>
        <v>10</v>
      </c>
    </row>
    <row r="195" spans="1:14" x14ac:dyDescent="0.25">
      <c r="A195" s="7">
        <v>44023</v>
      </c>
      <c r="B195" s="1">
        <v>2222</v>
      </c>
      <c r="C195" s="1">
        <v>1577</v>
      </c>
      <c r="D195" s="1">
        <v>580</v>
      </c>
      <c r="E195" s="1">
        <v>645</v>
      </c>
      <c r="F195" s="1">
        <v>508</v>
      </c>
      <c r="G195" s="1">
        <v>572</v>
      </c>
      <c r="H195" s="1">
        <v>570</v>
      </c>
      <c r="I195" s="1">
        <v>138</v>
      </c>
      <c r="J195" s="1">
        <v>234</v>
      </c>
      <c r="K195" s="1">
        <v>51</v>
      </c>
      <c r="L195" s="1">
        <v>357</v>
      </c>
      <c r="M195" s="8">
        <v>134.53</v>
      </c>
      <c r="N195">
        <f t="shared" si="2"/>
        <v>11</v>
      </c>
    </row>
    <row r="196" spans="1:14" x14ac:dyDescent="0.25">
      <c r="A196" s="7">
        <v>44024</v>
      </c>
      <c r="B196" s="1">
        <v>2835</v>
      </c>
      <c r="C196" s="1">
        <v>1984</v>
      </c>
      <c r="D196" s="1">
        <v>638</v>
      </c>
      <c r="E196" s="1">
        <v>851</v>
      </c>
      <c r="F196" s="1">
        <v>1432</v>
      </c>
      <c r="G196" s="1">
        <v>294</v>
      </c>
      <c r="H196" s="1">
        <v>528</v>
      </c>
      <c r="I196" s="1">
        <v>93</v>
      </c>
      <c r="J196" s="1">
        <v>288</v>
      </c>
      <c r="K196" s="1">
        <v>57</v>
      </c>
      <c r="L196" s="1">
        <v>342</v>
      </c>
      <c r="M196" s="8">
        <v>120.74000000000001</v>
      </c>
      <c r="N196">
        <f t="shared" ref="N196:N259" si="3">DAY(A196)</f>
        <v>12</v>
      </c>
    </row>
    <row r="197" spans="1:14" x14ac:dyDescent="0.25">
      <c r="A197" s="7">
        <v>44025</v>
      </c>
      <c r="B197" s="1">
        <v>3117</v>
      </c>
      <c r="C197" s="1">
        <v>2337</v>
      </c>
      <c r="D197" s="1">
        <v>663</v>
      </c>
      <c r="E197" s="1">
        <v>780</v>
      </c>
      <c r="F197" s="1">
        <v>1348</v>
      </c>
      <c r="G197" s="1">
        <v>612</v>
      </c>
      <c r="H197" s="1">
        <v>651</v>
      </c>
      <c r="I197" s="1">
        <v>168</v>
      </c>
      <c r="J197" s="1">
        <v>138</v>
      </c>
      <c r="K197" s="1">
        <v>63</v>
      </c>
      <c r="L197" s="1">
        <v>567</v>
      </c>
      <c r="M197" s="8">
        <v>121.69000000000001</v>
      </c>
      <c r="N197">
        <f t="shared" si="3"/>
        <v>13</v>
      </c>
    </row>
    <row r="198" spans="1:14" x14ac:dyDescent="0.25">
      <c r="A198" s="7">
        <v>44026</v>
      </c>
      <c r="B198" s="1">
        <v>3173</v>
      </c>
      <c r="C198" s="1">
        <v>2316</v>
      </c>
      <c r="D198" s="1">
        <v>668</v>
      </c>
      <c r="E198" s="1">
        <v>857</v>
      </c>
      <c r="F198" s="1">
        <v>1248</v>
      </c>
      <c r="G198" s="1">
        <v>648</v>
      </c>
      <c r="H198" s="1">
        <v>804</v>
      </c>
      <c r="I198" s="1">
        <v>147</v>
      </c>
      <c r="J198" s="1">
        <v>126</v>
      </c>
      <c r="K198" s="1">
        <v>65</v>
      </c>
      <c r="L198" s="1">
        <v>585</v>
      </c>
      <c r="M198" s="8">
        <v>140.26999999999998</v>
      </c>
      <c r="N198">
        <f t="shared" si="3"/>
        <v>14</v>
      </c>
    </row>
    <row r="199" spans="1:14" x14ac:dyDescent="0.25">
      <c r="A199" s="7">
        <v>44027</v>
      </c>
      <c r="B199" s="1">
        <v>2926</v>
      </c>
      <c r="C199" s="1">
        <v>2135</v>
      </c>
      <c r="D199" s="1">
        <v>672</v>
      </c>
      <c r="E199" s="1">
        <v>791</v>
      </c>
      <c r="F199" s="1">
        <v>676</v>
      </c>
      <c r="G199" s="1">
        <v>936</v>
      </c>
      <c r="H199" s="1">
        <v>780</v>
      </c>
      <c r="I199" s="1">
        <v>210</v>
      </c>
      <c r="J199" s="1">
        <v>124</v>
      </c>
      <c r="K199" s="1">
        <v>60</v>
      </c>
      <c r="L199" s="1">
        <v>600</v>
      </c>
      <c r="M199" s="8">
        <v>179.79999999999998</v>
      </c>
      <c r="N199">
        <f t="shared" si="3"/>
        <v>15</v>
      </c>
    </row>
    <row r="200" spans="1:14" x14ac:dyDescent="0.25">
      <c r="A200" s="7">
        <v>44028</v>
      </c>
      <c r="B200" s="1">
        <v>1941</v>
      </c>
      <c r="C200" s="1">
        <v>1436</v>
      </c>
      <c r="D200" s="1">
        <v>404</v>
      </c>
      <c r="E200" s="1">
        <v>505</v>
      </c>
      <c r="F200" s="1">
        <v>384</v>
      </c>
      <c r="G200" s="1">
        <v>570</v>
      </c>
      <c r="H200" s="1">
        <v>484</v>
      </c>
      <c r="I200" s="1">
        <v>168</v>
      </c>
      <c r="J200" s="1">
        <v>135</v>
      </c>
      <c r="K200" s="1">
        <v>53</v>
      </c>
      <c r="L200" s="1">
        <v>424</v>
      </c>
      <c r="M200" s="8">
        <v>161.12</v>
      </c>
      <c r="N200">
        <f t="shared" si="3"/>
        <v>16</v>
      </c>
    </row>
    <row r="201" spans="1:14" x14ac:dyDescent="0.25">
      <c r="A201" s="7">
        <v>44029</v>
      </c>
      <c r="B201" s="1">
        <v>2289</v>
      </c>
      <c r="C201" s="1">
        <v>1991</v>
      </c>
      <c r="D201" s="1">
        <v>262</v>
      </c>
      <c r="E201" s="1">
        <v>298</v>
      </c>
      <c r="F201" s="1">
        <v>659</v>
      </c>
      <c r="G201" s="1">
        <v>360</v>
      </c>
      <c r="H201" s="1">
        <v>660</v>
      </c>
      <c r="I201" s="1">
        <v>144</v>
      </c>
      <c r="J201" s="1">
        <v>266</v>
      </c>
      <c r="K201" s="1">
        <v>59</v>
      </c>
      <c r="L201" s="1">
        <v>472</v>
      </c>
      <c r="M201" s="8">
        <v>98.210000000000008</v>
      </c>
      <c r="N201">
        <f t="shared" si="3"/>
        <v>17</v>
      </c>
    </row>
    <row r="202" spans="1:14" x14ac:dyDescent="0.25">
      <c r="A202" s="7">
        <v>44030</v>
      </c>
      <c r="B202" s="1">
        <v>2150</v>
      </c>
      <c r="C202" s="1">
        <v>1634</v>
      </c>
      <c r="D202" s="1">
        <v>361</v>
      </c>
      <c r="E202" s="1">
        <v>516</v>
      </c>
      <c r="F202" s="1">
        <v>655</v>
      </c>
      <c r="G202" s="1">
        <v>264</v>
      </c>
      <c r="H202" s="1">
        <v>708</v>
      </c>
      <c r="I202" s="1">
        <v>224</v>
      </c>
      <c r="J202" s="1">
        <v>99</v>
      </c>
      <c r="K202" s="1">
        <v>50</v>
      </c>
      <c r="L202" s="1">
        <v>450</v>
      </c>
      <c r="M202" s="8">
        <v>170.04999999999998</v>
      </c>
      <c r="N202">
        <f t="shared" si="3"/>
        <v>18</v>
      </c>
    </row>
    <row r="203" spans="1:14" x14ac:dyDescent="0.25">
      <c r="A203" s="7">
        <v>44031</v>
      </c>
      <c r="B203" s="1">
        <v>3726</v>
      </c>
      <c r="C203" s="1">
        <v>3167</v>
      </c>
      <c r="D203" s="1">
        <v>430</v>
      </c>
      <c r="E203" s="1">
        <v>559</v>
      </c>
      <c r="F203" s="1">
        <v>1780</v>
      </c>
      <c r="G203" s="1">
        <v>504</v>
      </c>
      <c r="H203" s="1">
        <v>650</v>
      </c>
      <c r="I203" s="1">
        <v>322</v>
      </c>
      <c r="J203" s="1">
        <v>270</v>
      </c>
      <c r="K203" s="1">
        <v>68</v>
      </c>
      <c r="L203" s="1">
        <v>952</v>
      </c>
      <c r="M203" s="8">
        <v>236.48999999999998</v>
      </c>
      <c r="N203">
        <f t="shared" si="3"/>
        <v>19</v>
      </c>
    </row>
    <row r="204" spans="1:14" x14ac:dyDescent="0.25">
      <c r="A204" s="7">
        <v>44032</v>
      </c>
      <c r="B204" s="1">
        <v>2684</v>
      </c>
      <c r="C204" s="1">
        <v>1959</v>
      </c>
      <c r="D204" s="1">
        <v>536</v>
      </c>
      <c r="E204" s="1">
        <v>725</v>
      </c>
      <c r="F204" s="1">
        <v>1285</v>
      </c>
      <c r="G204" s="1">
        <v>589</v>
      </c>
      <c r="H204" s="1">
        <v>484</v>
      </c>
      <c r="I204" s="1">
        <v>126</v>
      </c>
      <c r="J204" s="1">
        <v>0</v>
      </c>
      <c r="K204" s="1">
        <v>54</v>
      </c>
      <c r="L204" s="1">
        <v>378</v>
      </c>
      <c r="M204" s="8">
        <v>89.65</v>
      </c>
      <c r="N204">
        <f t="shared" si="3"/>
        <v>20</v>
      </c>
    </row>
    <row r="205" spans="1:14" x14ac:dyDescent="0.25">
      <c r="A205" s="7">
        <v>44033</v>
      </c>
      <c r="B205" s="1">
        <v>2788</v>
      </c>
      <c r="C205" s="1">
        <v>2397</v>
      </c>
      <c r="D205" s="1">
        <v>316</v>
      </c>
      <c r="E205" s="1">
        <v>391</v>
      </c>
      <c r="F205" s="1">
        <v>1210</v>
      </c>
      <c r="G205" s="1">
        <v>407</v>
      </c>
      <c r="H205" s="1">
        <v>440</v>
      </c>
      <c r="I205" s="1">
        <v>387</v>
      </c>
      <c r="J205" s="1">
        <v>144</v>
      </c>
      <c r="K205" s="1">
        <v>48</v>
      </c>
      <c r="L205" s="1">
        <v>432</v>
      </c>
      <c r="M205" s="8">
        <v>117.31</v>
      </c>
      <c r="N205">
        <f t="shared" si="3"/>
        <v>21</v>
      </c>
    </row>
    <row r="206" spans="1:14" x14ac:dyDescent="0.25">
      <c r="A206" s="7">
        <v>44034</v>
      </c>
      <c r="B206" s="1">
        <v>3952</v>
      </c>
      <c r="C206" s="1">
        <v>3359</v>
      </c>
      <c r="D206" s="1">
        <v>421</v>
      </c>
      <c r="E206" s="1">
        <v>593</v>
      </c>
      <c r="F206" s="1">
        <v>1575</v>
      </c>
      <c r="G206" s="1">
        <v>782</v>
      </c>
      <c r="H206" s="1">
        <v>559</v>
      </c>
      <c r="I206" s="1">
        <v>500</v>
      </c>
      <c r="J206" s="1">
        <v>336</v>
      </c>
      <c r="K206" s="1">
        <v>66</v>
      </c>
      <c r="L206" s="1">
        <v>594</v>
      </c>
      <c r="M206" s="8">
        <v>189.85</v>
      </c>
      <c r="N206">
        <f t="shared" si="3"/>
        <v>22</v>
      </c>
    </row>
    <row r="207" spans="1:14" x14ac:dyDescent="0.25">
      <c r="A207" s="7">
        <v>44035</v>
      </c>
      <c r="B207" s="1">
        <v>2503</v>
      </c>
      <c r="C207" s="1">
        <v>2202</v>
      </c>
      <c r="D207" s="1">
        <v>252</v>
      </c>
      <c r="E207" s="1">
        <v>301</v>
      </c>
      <c r="F207" s="1">
        <v>401</v>
      </c>
      <c r="G207" s="1">
        <v>704</v>
      </c>
      <c r="H207" s="1">
        <v>800</v>
      </c>
      <c r="I207" s="1">
        <v>210</v>
      </c>
      <c r="J207" s="1">
        <v>188</v>
      </c>
      <c r="K207" s="1">
        <v>53</v>
      </c>
      <c r="L207" s="1">
        <v>424</v>
      </c>
      <c r="M207" s="8">
        <v>107.46000000000001</v>
      </c>
      <c r="N207">
        <f t="shared" si="3"/>
        <v>23</v>
      </c>
    </row>
    <row r="208" spans="1:14" x14ac:dyDescent="0.25">
      <c r="A208" s="7">
        <v>44036</v>
      </c>
      <c r="B208" s="1">
        <v>2052</v>
      </c>
      <c r="C208" s="1">
        <v>1600</v>
      </c>
      <c r="D208" s="1">
        <v>397</v>
      </c>
      <c r="E208" s="1">
        <v>452</v>
      </c>
      <c r="F208" s="1">
        <v>840</v>
      </c>
      <c r="G208" s="1">
        <v>308</v>
      </c>
      <c r="H208" s="1">
        <v>498</v>
      </c>
      <c r="I208" s="1">
        <v>132</v>
      </c>
      <c r="J208" s="1">
        <v>74</v>
      </c>
      <c r="K208" s="1">
        <v>45</v>
      </c>
      <c r="L208" s="1">
        <v>540</v>
      </c>
      <c r="M208" s="8">
        <v>127.04</v>
      </c>
      <c r="N208">
        <f t="shared" si="3"/>
        <v>24</v>
      </c>
    </row>
    <row r="209" spans="1:14" x14ac:dyDescent="0.25">
      <c r="A209" s="7">
        <v>44037</v>
      </c>
      <c r="B209" s="1">
        <v>2650</v>
      </c>
      <c r="C209" s="1">
        <v>2358</v>
      </c>
      <c r="D209" s="1">
        <v>233</v>
      </c>
      <c r="E209" s="1">
        <v>292</v>
      </c>
      <c r="F209" s="1">
        <v>877</v>
      </c>
      <c r="G209" s="1">
        <v>507</v>
      </c>
      <c r="H209" s="1">
        <v>684</v>
      </c>
      <c r="I209" s="1">
        <v>238</v>
      </c>
      <c r="J209" s="1">
        <v>144</v>
      </c>
      <c r="K209" s="1">
        <v>59</v>
      </c>
      <c r="L209" s="1">
        <v>826</v>
      </c>
      <c r="M209" s="8">
        <v>328.71999999999997</v>
      </c>
      <c r="N209">
        <f t="shared" si="3"/>
        <v>25</v>
      </c>
    </row>
    <row r="210" spans="1:14" x14ac:dyDescent="0.25">
      <c r="A210" s="7">
        <v>44038</v>
      </c>
      <c r="B210" s="1">
        <v>1963</v>
      </c>
      <c r="C210" s="1">
        <v>1413</v>
      </c>
      <c r="D210" s="1">
        <v>434</v>
      </c>
      <c r="E210" s="1">
        <v>550</v>
      </c>
      <c r="F210" s="1">
        <v>526</v>
      </c>
      <c r="G210" s="1">
        <v>252</v>
      </c>
      <c r="H210" s="1">
        <v>630</v>
      </c>
      <c r="I210" s="1">
        <v>231</v>
      </c>
      <c r="J210" s="1">
        <v>124</v>
      </c>
      <c r="K210" s="1">
        <v>52</v>
      </c>
      <c r="L210" s="1">
        <v>624</v>
      </c>
      <c r="M210" s="8">
        <v>236.22</v>
      </c>
      <c r="N210">
        <f t="shared" si="3"/>
        <v>26</v>
      </c>
    </row>
    <row r="211" spans="1:14" x14ac:dyDescent="0.25">
      <c r="A211" s="7">
        <v>44039</v>
      </c>
      <c r="B211" s="1">
        <v>2411</v>
      </c>
      <c r="C211" s="1">
        <v>1880</v>
      </c>
      <c r="D211" s="1">
        <v>403</v>
      </c>
      <c r="E211" s="1">
        <v>531</v>
      </c>
      <c r="F211" s="1">
        <v>214</v>
      </c>
      <c r="G211" s="1">
        <v>735</v>
      </c>
      <c r="H211" s="1">
        <v>876</v>
      </c>
      <c r="I211" s="1">
        <v>164</v>
      </c>
      <c r="J211" s="1">
        <v>222</v>
      </c>
      <c r="K211" s="1">
        <v>51</v>
      </c>
      <c r="L211" s="1">
        <v>306</v>
      </c>
      <c r="M211" s="8">
        <v>76.17</v>
      </c>
      <c r="N211">
        <f t="shared" si="3"/>
        <v>27</v>
      </c>
    </row>
    <row r="212" spans="1:14" x14ac:dyDescent="0.25">
      <c r="A212" s="7">
        <v>44040</v>
      </c>
      <c r="B212" s="1">
        <v>1777</v>
      </c>
      <c r="C212" s="1">
        <v>1528</v>
      </c>
      <c r="D212" s="1">
        <v>224</v>
      </c>
      <c r="E212" s="1">
        <v>249</v>
      </c>
      <c r="F212" s="1">
        <v>340</v>
      </c>
      <c r="G212" s="1">
        <v>288</v>
      </c>
      <c r="H212" s="1">
        <v>486</v>
      </c>
      <c r="I212" s="1">
        <v>231</v>
      </c>
      <c r="J212" s="1">
        <v>232</v>
      </c>
      <c r="K212" s="1">
        <v>47</v>
      </c>
      <c r="L212" s="1">
        <v>564</v>
      </c>
      <c r="M212" s="8">
        <v>190.45</v>
      </c>
      <c r="N212">
        <f t="shared" si="3"/>
        <v>28</v>
      </c>
    </row>
    <row r="213" spans="1:14" x14ac:dyDescent="0.25">
      <c r="A213" s="7">
        <v>44041</v>
      </c>
      <c r="B213" s="1">
        <v>2938</v>
      </c>
      <c r="C213" s="1">
        <v>2379</v>
      </c>
      <c r="D213" s="1">
        <v>475</v>
      </c>
      <c r="E213" s="1">
        <v>559</v>
      </c>
      <c r="F213" s="1">
        <v>1436</v>
      </c>
      <c r="G213" s="1">
        <v>506</v>
      </c>
      <c r="H213" s="1">
        <v>652</v>
      </c>
      <c r="I213" s="1">
        <v>104</v>
      </c>
      <c r="J213" s="1">
        <v>40</v>
      </c>
      <c r="K213" s="1">
        <v>49</v>
      </c>
      <c r="L213" s="1">
        <v>392</v>
      </c>
      <c r="M213" s="8">
        <v>118.04</v>
      </c>
      <c r="N213">
        <f t="shared" si="3"/>
        <v>29</v>
      </c>
    </row>
    <row r="214" spans="1:14" x14ac:dyDescent="0.25">
      <c r="A214" s="7">
        <v>44042</v>
      </c>
      <c r="B214" s="1">
        <v>3261</v>
      </c>
      <c r="C214" s="1">
        <v>2706</v>
      </c>
      <c r="D214" s="1">
        <v>410</v>
      </c>
      <c r="E214" s="1">
        <v>555</v>
      </c>
      <c r="F214" s="1">
        <v>1242</v>
      </c>
      <c r="G214" s="1">
        <v>735</v>
      </c>
      <c r="H214" s="1">
        <v>543</v>
      </c>
      <c r="I214" s="1">
        <v>205</v>
      </c>
      <c r="J214" s="1">
        <v>336</v>
      </c>
      <c r="K214" s="1">
        <v>68</v>
      </c>
      <c r="L214" s="1">
        <v>884</v>
      </c>
      <c r="M214" s="8">
        <v>256.56</v>
      </c>
      <c r="N214">
        <f t="shared" si="3"/>
        <v>30</v>
      </c>
    </row>
    <row r="215" spans="1:14" x14ac:dyDescent="0.25">
      <c r="A215" s="7">
        <v>44043</v>
      </c>
      <c r="B215" s="1">
        <v>2744</v>
      </c>
      <c r="C215" s="1">
        <v>2304</v>
      </c>
      <c r="D215" s="1">
        <v>343</v>
      </c>
      <c r="E215" s="1">
        <v>440</v>
      </c>
      <c r="F215" s="1">
        <v>1159</v>
      </c>
      <c r="G215" s="1">
        <v>444</v>
      </c>
      <c r="H215" s="1">
        <v>480</v>
      </c>
      <c r="I215" s="1">
        <v>320</v>
      </c>
      <c r="J215" s="1">
        <v>141</v>
      </c>
      <c r="K215" s="1">
        <v>55</v>
      </c>
      <c r="L215" s="1">
        <v>660</v>
      </c>
      <c r="M215" s="8">
        <v>164.69</v>
      </c>
      <c r="N215">
        <f t="shared" si="3"/>
        <v>31</v>
      </c>
    </row>
    <row r="216" spans="1:14" x14ac:dyDescent="0.25">
      <c r="A216" s="7">
        <v>44044</v>
      </c>
      <c r="B216" s="1">
        <v>2296</v>
      </c>
      <c r="C216" s="1">
        <v>1905</v>
      </c>
      <c r="D216" s="1">
        <v>344</v>
      </c>
      <c r="E216" s="1">
        <v>391</v>
      </c>
      <c r="F216" s="1">
        <v>868</v>
      </c>
      <c r="G216" s="1">
        <v>588</v>
      </c>
      <c r="H216" s="1">
        <v>388</v>
      </c>
      <c r="I216" s="1">
        <v>168</v>
      </c>
      <c r="J216" s="1">
        <v>84</v>
      </c>
      <c r="K216" s="1">
        <v>54</v>
      </c>
      <c r="L216" s="1">
        <v>810</v>
      </c>
      <c r="M216" s="8">
        <v>320.65999999999997</v>
      </c>
      <c r="N216">
        <f t="shared" si="3"/>
        <v>1</v>
      </c>
    </row>
    <row r="217" spans="1:14" x14ac:dyDescent="0.25">
      <c r="A217" s="7">
        <v>44045</v>
      </c>
      <c r="B217" s="1">
        <v>3501</v>
      </c>
      <c r="C217" s="1">
        <v>2660</v>
      </c>
      <c r="D217" s="1">
        <v>740</v>
      </c>
      <c r="E217" s="1">
        <v>841</v>
      </c>
      <c r="F217" s="1">
        <v>1524</v>
      </c>
      <c r="G217" s="1">
        <v>777</v>
      </c>
      <c r="H217" s="1">
        <v>760</v>
      </c>
      <c r="I217" s="1">
        <v>120</v>
      </c>
      <c r="J217" s="1">
        <v>120</v>
      </c>
      <c r="K217" s="1">
        <v>65</v>
      </c>
      <c r="L217" s="1">
        <v>650</v>
      </c>
      <c r="M217" s="8">
        <v>254.60999999999999</v>
      </c>
      <c r="N217">
        <f t="shared" si="3"/>
        <v>2</v>
      </c>
    </row>
    <row r="218" spans="1:14" x14ac:dyDescent="0.25">
      <c r="A218" s="7">
        <v>44046</v>
      </c>
      <c r="B218" s="1">
        <v>2839</v>
      </c>
      <c r="C218" s="1">
        <v>2100</v>
      </c>
      <c r="D218" s="1">
        <v>635</v>
      </c>
      <c r="E218" s="1">
        <v>739</v>
      </c>
      <c r="F218" s="1">
        <v>1156</v>
      </c>
      <c r="G218" s="1">
        <v>559</v>
      </c>
      <c r="H218" s="1">
        <v>652</v>
      </c>
      <c r="I218" s="1">
        <v>140</v>
      </c>
      <c r="J218" s="1">
        <v>132</v>
      </c>
      <c r="K218" s="1">
        <v>53</v>
      </c>
      <c r="L218" s="1">
        <v>318</v>
      </c>
      <c r="M218" s="8">
        <v>78.260000000000005</v>
      </c>
      <c r="N218">
        <f t="shared" si="3"/>
        <v>3</v>
      </c>
    </row>
    <row r="219" spans="1:14" x14ac:dyDescent="0.25">
      <c r="A219" s="7">
        <v>44047</v>
      </c>
      <c r="B219" s="1">
        <v>3016</v>
      </c>
      <c r="C219" s="1">
        <v>2382</v>
      </c>
      <c r="D219" s="1">
        <v>564</v>
      </c>
      <c r="E219" s="1">
        <v>634</v>
      </c>
      <c r="F219" s="1">
        <v>1058</v>
      </c>
      <c r="G219" s="1">
        <v>750</v>
      </c>
      <c r="H219" s="1">
        <v>426</v>
      </c>
      <c r="I219" s="1">
        <v>470</v>
      </c>
      <c r="J219" s="1">
        <v>112</v>
      </c>
      <c r="K219" s="1">
        <v>51</v>
      </c>
      <c r="L219" s="1">
        <v>408</v>
      </c>
      <c r="M219" s="8">
        <v>108.05000000000001</v>
      </c>
      <c r="N219">
        <f t="shared" si="3"/>
        <v>4</v>
      </c>
    </row>
    <row r="220" spans="1:14" x14ac:dyDescent="0.25">
      <c r="A220" s="7">
        <v>44048</v>
      </c>
      <c r="B220" s="1">
        <v>3554</v>
      </c>
      <c r="C220" s="1">
        <v>2701</v>
      </c>
      <c r="D220" s="1">
        <v>733</v>
      </c>
      <c r="E220" s="1">
        <v>853</v>
      </c>
      <c r="F220" s="1">
        <v>1264</v>
      </c>
      <c r="G220" s="1">
        <v>980</v>
      </c>
      <c r="H220" s="1">
        <v>615</v>
      </c>
      <c r="I220" s="1">
        <v>315</v>
      </c>
      <c r="J220" s="1">
        <v>180</v>
      </c>
      <c r="K220" s="1">
        <v>57</v>
      </c>
      <c r="L220" s="1">
        <v>798</v>
      </c>
      <c r="M220" s="8">
        <v>205.89999999999998</v>
      </c>
      <c r="N220">
        <f t="shared" si="3"/>
        <v>5</v>
      </c>
    </row>
    <row r="221" spans="1:14" x14ac:dyDescent="0.25">
      <c r="A221" s="7">
        <v>44049</v>
      </c>
      <c r="B221" s="1">
        <v>2204</v>
      </c>
      <c r="C221" s="1">
        <v>1608</v>
      </c>
      <c r="D221" s="1">
        <v>417</v>
      </c>
      <c r="E221" s="1">
        <v>596</v>
      </c>
      <c r="F221" s="1">
        <v>180</v>
      </c>
      <c r="G221" s="1">
        <v>570</v>
      </c>
      <c r="H221" s="1">
        <v>972</v>
      </c>
      <c r="I221" s="1">
        <v>135</v>
      </c>
      <c r="J221" s="1">
        <v>147</v>
      </c>
      <c r="K221" s="1">
        <v>51</v>
      </c>
      <c r="L221" s="1">
        <v>765</v>
      </c>
      <c r="M221" s="8">
        <v>168.17999999999998</v>
      </c>
      <c r="N221">
        <f t="shared" si="3"/>
        <v>6</v>
      </c>
    </row>
    <row r="222" spans="1:14" x14ac:dyDescent="0.25">
      <c r="A222" s="7">
        <v>44050</v>
      </c>
      <c r="B222" s="1">
        <v>2144</v>
      </c>
      <c r="C222" s="1">
        <v>1715</v>
      </c>
      <c r="D222" s="1">
        <v>304</v>
      </c>
      <c r="E222" s="1">
        <v>429</v>
      </c>
      <c r="F222" s="1">
        <v>500</v>
      </c>
      <c r="G222" s="1">
        <v>416</v>
      </c>
      <c r="H222" s="1">
        <v>780</v>
      </c>
      <c r="I222" s="1">
        <v>185</v>
      </c>
      <c r="J222" s="1">
        <v>63</v>
      </c>
      <c r="K222" s="1">
        <v>54</v>
      </c>
      <c r="L222" s="1">
        <v>756</v>
      </c>
      <c r="M222" s="8">
        <v>151.87</v>
      </c>
      <c r="N222">
        <f t="shared" si="3"/>
        <v>7</v>
      </c>
    </row>
    <row r="223" spans="1:14" x14ac:dyDescent="0.25">
      <c r="A223" s="7">
        <v>44051</v>
      </c>
      <c r="B223" s="1">
        <v>2341</v>
      </c>
      <c r="C223" s="1">
        <v>1872</v>
      </c>
      <c r="D223" s="1">
        <v>403</v>
      </c>
      <c r="E223" s="1">
        <v>469</v>
      </c>
      <c r="F223" s="1">
        <v>656</v>
      </c>
      <c r="G223" s="1">
        <v>435</v>
      </c>
      <c r="H223" s="1">
        <v>660</v>
      </c>
      <c r="I223" s="1">
        <v>126</v>
      </c>
      <c r="J223" s="1">
        <v>264</v>
      </c>
      <c r="K223" s="1">
        <v>53</v>
      </c>
      <c r="L223" s="1">
        <v>583</v>
      </c>
      <c r="M223" s="8">
        <v>120.03</v>
      </c>
      <c r="N223">
        <f t="shared" si="3"/>
        <v>8</v>
      </c>
    </row>
    <row r="224" spans="1:14" x14ac:dyDescent="0.25">
      <c r="A224" s="7">
        <v>44052</v>
      </c>
      <c r="B224" s="1">
        <v>1892</v>
      </c>
      <c r="C224" s="1">
        <v>1627</v>
      </c>
      <c r="D224" s="1">
        <v>233</v>
      </c>
      <c r="E224" s="1">
        <v>265</v>
      </c>
      <c r="F224" s="1">
        <v>300</v>
      </c>
      <c r="G224" s="1">
        <v>615</v>
      </c>
      <c r="H224" s="1">
        <v>400</v>
      </c>
      <c r="I224" s="1">
        <v>252</v>
      </c>
      <c r="J224" s="1">
        <v>125</v>
      </c>
      <c r="K224" s="1">
        <v>48</v>
      </c>
      <c r="L224" s="1">
        <v>288</v>
      </c>
      <c r="M224" s="8">
        <v>74.460000000000008</v>
      </c>
      <c r="N224">
        <f t="shared" si="3"/>
        <v>9</v>
      </c>
    </row>
    <row r="225" spans="1:14" x14ac:dyDescent="0.25">
      <c r="A225" s="7">
        <v>44053</v>
      </c>
      <c r="B225" s="1">
        <v>3141</v>
      </c>
      <c r="C225" s="1">
        <v>2292</v>
      </c>
      <c r="D225" s="1">
        <v>662</v>
      </c>
      <c r="E225" s="1">
        <v>849</v>
      </c>
      <c r="F225" s="1">
        <v>1320</v>
      </c>
      <c r="G225" s="1">
        <v>494</v>
      </c>
      <c r="H225" s="1">
        <v>720</v>
      </c>
      <c r="I225" s="1">
        <v>287</v>
      </c>
      <c r="J225" s="1">
        <v>120</v>
      </c>
      <c r="K225" s="1">
        <v>54</v>
      </c>
      <c r="L225" s="1">
        <v>702</v>
      </c>
      <c r="M225" s="8">
        <v>201.26</v>
      </c>
      <c r="N225">
        <f t="shared" si="3"/>
        <v>10</v>
      </c>
    </row>
    <row r="226" spans="1:14" x14ac:dyDescent="0.25">
      <c r="A226" s="7">
        <v>44054</v>
      </c>
      <c r="B226" s="1">
        <v>3175</v>
      </c>
      <c r="C226" s="1">
        <v>2381</v>
      </c>
      <c r="D226" s="1">
        <v>682</v>
      </c>
      <c r="E226" s="1">
        <v>794</v>
      </c>
      <c r="F226" s="1">
        <v>1372</v>
      </c>
      <c r="G226" s="1">
        <v>570</v>
      </c>
      <c r="H226" s="1">
        <v>624</v>
      </c>
      <c r="I226" s="1">
        <v>273</v>
      </c>
      <c r="J226" s="1">
        <v>136</v>
      </c>
      <c r="K226" s="1">
        <v>65</v>
      </c>
      <c r="L226" s="1">
        <v>780</v>
      </c>
      <c r="M226" s="8">
        <v>226.70999999999998</v>
      </c>
      <c r="N226">
        <f t="shared" si="3"/>
        <v>11</v>
      </c>
    </row>
    <row r="227" spans="1:14" x14ac:dyDescent="0.25">
      <c r="A227" s="7">
        <v>44055</v>
      </c>
      <c r="B227" s="1">
        <v>3467</v>
      </c>
      <c r="C227" s="1">
        <v>2461</v>
      </c>
      <c r="D227" s="1">
        <v>845</v>
      </c>
      <c r="E227" s="1">
        <v>1006</v>
      </c>
      <c r="F227" s="1">
        <v>1550</v>
      </c>
      <c r="G227" s="1">
        <v>527</v>
      </c>
      <c r="H227" s="1">
        <v>828</v>
      </c>
      <c r="I227" s="1">
        <v>222</v>
      </c>
      <c r="J227" s="1">
        <v>140</v>
      </c>
      <c r="K227" s="1">
        <v>63</v>
      </c>
      <c r="L227" s="1">
        <v>441</v>
      </c>
      <c r="M227" s="8">
        <v>127.13000000000001</v>
      </c>
      <c r="N227">
        <f t="shared" si="3"/>
        <v>12</v>
      </c>
    </row>
    <row r="228" spans="1:14" x14ac:dyDescent="0.25">
      <c r="A228" s="7">
        <v>44056</v>
      </c>
      <c r="B228" s="1">
        <v>2453</v>
      </c>
      <c r="C228" s="1">
        <v>1790</v>
      </c>
      <c r="D228" s="1">
        <v>537</v>
      </c>
      <c r="E228" s="1">
        <v>663</v>
      </c>
      <c r="F228" s="1">
        <v>758</v>
      </c>
      <c r="G228" s="1">
        <v>555</v>
      </c>
      <c r="H228" s="1">
        <v>524</v>
      </c>
      <c r="I228" s="1">
        <v>280</v>
      </c>
      <c r="J228" s="1">
        <v>136</v>
      </c>
      <c r="K228" s="1">
        <v>52</v>
      </c>
      <c r="L228" s="1">
        <v>312</v>
      </c>
      <c r="M228" s="8">
        <v>112.67</v>
      </c>
      <c r="N228">
        <f t="shared" si="3"/>
        <v>13</v>
      </c>
    </row>
    <row r="229" spans="1:14" x14ac:dyDescent="0.25">
      <c r="A229" s="7">
        <v>44057</v>
      </c>
      <c r="B229" s="1">
        <v>3529</v>
      </c>
      <c r="C229" s="1">
        <v>2823</v>
      </c>
      <c r="D229" s="1">
        <v>494</v>
      </c>
      <c r="E229" s="1">
        <v>706</v>
      </c>
      <c r="F229" s="1">
        <v>1768</v>
      </c>
      <c r="G229" s="1">
        <v>544</v>
      </c>
      <c r="H229" s="1">
        <v>601</v>
      </c>
      <c r="I229" s="1">
        <v>288</v>
      </c>
      <c r="J229" s="1">
        <v>128</v>
      </c>
      <c r="K229" s="1">
        <v>64</v>
      </c>
      <c r="L229" s="1">
        <v>832</v>
      </c>
      <c r="M229" s="8">
        <v>218.7</v>
      </c>
      <c r="N229">
        <f t="shared" si="3"/>
        <v>14</v>
      </c>
    </row>
    <row r="230" spans="1:14" x14ac:dyDescent="0.25">
      <c r="A230" s="7">
        <v>44058</v>
      </c>
      <c r="B230" s="1">
        <v>2604</v>
      </c>
      <c r="C230" s="1">
        <v>1953</v>
      </c>
      <c r="D230" s="1">
        <v>572</v>
      </c>
      <c r="E230" s="1">
        <v>651</v>
      </c>
      <c r="F230" s="1">
        <v>565</v>
      </c>
      <c r="G230" s="1">
        <v>700</v>
      </c>
      <c r="H230" s="1">
        <v>760</v>
      </c>
      <c r="I230" s="1">
        <v>224</v>
      </c>
      <c r="J230" s="1">
        <v>155</v>
      </c>
      <c r="K230" s="1">
        <v>52</v>
      </c>
      <c r="L230" s="1">
        <v>416</v>
      </c>
      <c r="M230" s="8">
        <v>87.570000000000007</v>
      </c>
      <c r="N230">
        <f t="shared" si="3"/>
        <v>15</v>
      </c>
    </row>
    <row r="231" spans="1:14" x14ac:dyDescent="0.25">
      <c r="A231" s="7">
        <v>44059</v>
      </c>
      <c r="B231" s="1">
        <v>2676</v>
      </c>
      <c r="C231" s="1">
        <v>2408</v>
      </c>
      <c r="D231" s="1">
        <v>219</v>
      </c>
      <c r="E231" s="1">
        <v>268</v>
      </c>
      <c r="F231" s="1">
        <v>1132</v>
      </c>
      <c r="G231" s="1">
        <v>351</v>
      </c>
      <c r="H231" s="1">
        <v>676</v>
      </c>
      <c r="I231" s="1">
        <v>170</v>
      </c>
      <c r="J231" s="1">
        <v>147</v>
      </c>
      <c r="K231" s="1">
        <v>57</v>
      </c>
      <c r="L231" s="1">
        <v>456</v>
      </c>
      <c r="M231" s="8">
        <v>101.22</v>
      </c>
      <c r="N231">
        <f t="shared" si="3"/>
        <v>16</v>
      </c>
    </row>
    <row r="232" spans="1:14" x14ac:dyDescent="0.25">
      <c r="A232" s="7">
        <v>44060</v>
      </c>
      <c r="B232" s="1">
        <v>2624</v>
      </c>
      <c r="C232" s="1">
        <v>1994</v>
      </c>
      <c r="D232" s="1">
        <v>459</v>
      </c>
      <c r="E232" s="1">
        <v>630</v>
      </c>
      <c r="F232" s="1">
        <v>1100</v>
      </c>
      <c r="G232" s="1">
        <v>260</v>
      </c>
      <c r="H232" s="1">
        <v>588</v>
      </c>
      <c r="I232" s="1">
        <v>280</v>
      </c>
      <c r="J232" s="1">
        <v>196</v>
      </c>
      <c r="K232" s="1">
        <v>52</v>
      </c>
      <c r="L232" s="1">
        <v>260</v>
      </c>
      <c r="M232" s="8">
        <v>66.760000000000005</v>
      </c>
      <c r="N232">
        <f t="shared" si="3"/>
        <v>17</v>
      </c>
    </row>
    <row r="233" spans="1:14" x14ac:dyDescent="0.25">
      <c r="A233" s="7">
        <v>44061</v>
      </c>
      <c r="B233" s="1">
        <v>3168</v>
      </c>
      <c r="C233" s="1">
        <v>2851</v>
      </c>
      <c r="D233" s="1">
        <v>237</v>
      </c>
      <c r="E233" s="1">
        <v>317</v>
      </c>
      <c r="F233" s="1">
        <v>1590</v>
      </c>
      <c r="G233" s="1">
        <v>399</v>
      </c>
      <c r="H233" s="1">
        <v>622</v>
      </c>
      <c r="I233" s="1">
        <v>216</v>
      </c>
      <c r="J233" s="1">
        <v>141</v>
      </c>
      <c r="K233" s="1">
        <v>59</v>
      </c>
      <c r="L233" s="1">
        <v>767</v>
      </c>
      <c r="M233" s="8">
        <v>235.76</v>
      </c>
      <c r="N233">
        <f t="shared" si="3"/>
        <v>18</v>
      </c>
    </row>
    <row r="234" spans="1:14" x14ac:dyDescent="0.25">
      <c r="A234" s="7">
        <v>44062</v>
      </c>
      <c r="B234" s="1">
        <v>3353</v>
      </c>
      <c r="C234" s="1">
        <v>2850</v>
      </c>
      <c r="D234" s="1">
        <v>432</v>
      </c>
      <c r="E234" s="1">
        <v>503</v>
      </c>
      <c r="F234" s="1">
        <v>988</v>
      </c>
      <c r="G234" s="1">
        <v>1127</v>
      </c>
      <c r="H234" s="1">
        <v>600</v>
      </c>
      <c r="I234" s="1">
        <v>308</v>
      </c>
      <c r="J234" s="1">
        <v>130</v>
      </c>
      <c r="K234" s="1">
        <v>61</v>
      </c>
      <c r="L234" s="1">
        <v>549</v>
      </c>
      <c r="M234" s="8">
        <v>180.10999999999999</v>
      </c>
      <c r="N234">
        <f t="shared" si="3"/>
        <v>19</v>
      </c>
    </row>
    <row r="235" spans="1:14" x14ac:dyDescent="0.25">
      <c r="A235" s="7">
        <v>44063</v>
      </c>
      <c r="B235" s="1">
        <v>1881</v>
      </c>
      <c r="C235" s="1">
        <v>1617</v>
      </c>
      <c r="D235" s="1">
        <v>232</v>
      </c>
      <c r="E235" s="1">
        <v>264</v>
      </c>
      <c r="F235" s="1">
        <v>284</v>
      </c>
      <c r="G235" s="1">
        <v>338</v>
      </c>
      <c r="H235" s="1">
        <v>723</v>
      </c>
      <c r="I235" s="1">
        <v>336</v>
      </c>
      <c r="J235" s="1">
        <v>0</v>
      </c>
      <c r="K235" s="1">
        <v>43</v>
      </c>
      <c r="L235" s="1">
        <v>301</v>
      </c>
      <c r="M235" s="8">
        <v>112.72</v>
      </c>
      <c r="N235">
        <f t="shared" si="3"/>
        <v>20</v>
      </c>
    </row>
    <row r="236" spans="1:14" x14ac:dyDescent="0.25">
      <c r="A236" s="7">
        <v>44064</v>
      </c>
      <c r="B236" s="1">
        <v>2692</v>
      </c>
      <c r="C236" s="1">
        <v>2045</v>
      </c>
      <c r="D236" s="1">
        <v>498</v>
      </c>
      <c r="E236" s="1">
        <v>647</v>
      </c>
      <c r="F236" s="1">
        <v>904</v>
      </c>
      <c r="G236" s="1">
        <v>588</v>
      </c>
      <c r="H236" s="1">
        <v>600</v>
      </c>
      <c r="I236" s="1">
        <v>196</v>
      </c>
      <c r="J236" s="1">
        <v>204</v>
      </c>
      <c r="K236" s="1">
        <v>55</v>
      </c>
      <c r="L236" s="1">
        <v>770</v>
      </c>
      <c r="M236" s="8">
        <v>225.39999999999998</v>
      </c>
      <c r="N236">
        <f t="shared" si="3"/>
        <v>21</v>
      </c>
    </row>
    <row r="237" spans="1:14" x14ac:dyDescent="0.25">
      <c r="A237" s="7">
        <v>44065</v>
      </c>
      <c r="B237" s="1">
        <v>3073</v>
      </c>
      <c r="C237" s="1">
        <v>2581</v>
      </c>
      <c r="D237" s="1">
        <v>344</v>
      </c>
      <c r="E237" s="1">
        <v>492</v>
      </c>
      <c r="F237" s="1">
        <v>1474</v>
      </c>
      <c r="G237" s="1">
        <v>559</v>
      </c>
      <c r="H237" s="1">
        <v>516</v>
      </c>
      <c r="I237" s="1">
        <v>144</v>
      </c>
      <c r="J237" s="1">
        <v>180</v>
      </c>
      <c r="K237" s="1">
        <v>48</v>
      </c>
      <c r="L237" s="1">
        <v>624</v>
      </c>
      <c r="M237" s="8">
        <v>214.28</v>
      </c>
      <c r="N237">
        <f t="shared" si="3"/>
        <v>22</v>
      </c>
    </row>
    <row r="238" spans="1:14" x14ac:dyDescent="0.25">
      <c r="A238" s="7">
        <v>44066</v>
      </c>
      <c r="B238" s="1">
        <v>2985</v>
      </c>
      <c r="C238" s="1">
        <v>2149</v>
      </c>
      <c r="D238" s="1">
        <v>627</v>
      </c>
      <c r="E238" s="1">
        <v>836</v>
      </c>
      <c r="F238" s="1">
        <v>1134</v>
      </c>
      <c r="G238" s="1">
        <v>665</v>
      </c>
      <c r="H238" s="1">
        <v>703</v>
      </c>
      <c r="I238" s="1">
        <v>160</v>
      </c>
      <c r="J238" s="1">
        <v>123</v>
      </c>
      <c r="K238" s="1">
        <v>62</v>
      </c>
      <c r="L238" s="1">
        <v>310</v>
      </c>
      <c r="M238" s="8">
        <v>67.81</v>
      </c>
      <c r="N238">
        <f t="shared" si="3"/>
        <v>23</v>
      </c>
    </row>
    <row r="239" spans="1:14" x14ac:dyDescent="0.25">
      <c r="A239" s="7">
        <v>44067</v>
      </c>
      <c r="B239" s="1">
        <v>2049</v>
      </c>
      <c r="C239" s="1">
        <v>1700</v>
      </c>
      <c r="D239" s="1">
        <v>286</v>
      </c>
      <c r="E239" s="1">
        <v>349</v>
      </c>
      <c r="F239" s="1">
        <v>507</v>
      </c>
      <c r="G239" s="1">
        <v>532</v>
      </c>
      <c r="H239" s="1">
        <v>460</v>
      </c>
      <c r="I239" s="1">
        <v>270</v>
      </c>
      <c r="J239" s="1">
        <v>80</v>
      </c>
      <c r="K239" s="1">
        <v>51</v>
      </c>
      <c r="L239" s="1">
        <v>612</v>
      </c>
      <c r="M239" s="8">
        <v>137.04</v>
      </c>
      <c r="N239">
        <f t="shared" si="3"/>
        <v>24</v>
      </c>
    </row>
    <row r="240" spans="1:14" x14ac:dyDescent="0.25">
      <c r="A240" s="7">
        <v>44068</v>
      </c>
      <c r="B240" s="1">
        <v>3238</v>
      </c>
      <c r="C240" s="1">
        <v>2396</v>
      </c>
      <c r="D240" s="1">
        <v>732</v>
      </c>
      <c r="E240" s="1">
        <v>842</v>
      </c>
      <c r="F240" s="1">
        <v>1132</v>
      </c>
      <c r="G240" s="1">
        <v>864</v>
      </c>
      <c r="H240" s="1">
        <v>608</v>
      </c>
      <c r="I240" s="1">
        <v>140</v>
      </c>
      <c r="J240" s="1">
        <v>294</v>
      </c>
      <c r="K240" s="1">
        <v>59</v>
      </c>
      <c r="L240" s="1">
        <v>767</v>
      </c>
      <c r="M240" s="8">
        <v>239.76</v>
      </c>
      <c r="N240">
        <f t="shared" si="3"/>
        <v>25</v>
      </c>
    </row>
    <row r="241" spans="1:14" x14ac:dyDescent="0.25">
      <c r="A241" s="7">
        <v>44069</v>
      </c>
      <c r="B241" s="1">
        <v>2105</v>
      </c>
      <c r="C241" s="1">
        <v>1557</v>
      </c>
      <c r="D241" s="1">
        <v>438</v>
      </c>
      <c r="E241" s="1">
        <v>548</v>
      </c>
      <c r="F241" s="1">
        <v>620</v>
      </c>
      <c r="G241" s="1">
        <v>561</v>
      </c>
      <c r="H241" s="1">
        <v>445</v>
      </c>
      <c r="I241" s="1">
        <v>215</v>
      </c>
      <c r="J241" s="1">
        <v>64</v>
      </c>
      <c r="K241" s="1">
        <v>45</v>
      </c>
      <c r="L241" s="1">
        <v>315</v>
      </c>
      <c r="M241" s="8">
        <v>64.47</v>
      </c>
      <c r="N241">
        <f t="shared" si="3"/>
        <v>26</v>
      </c>
    </row>
    <row r="242" spans="1:14" x14ac:dyDescent="0.25">
      <c r="A242" s="7">
        <v>44070</v>
      </c>
      <c r="B242" s="1">
        <v>2630</v>
      </c>
      <c r="C242" s="1">
        <v>2209</v>
      </c>
      <c r="D242" s="1">
        <v>349</v>
      </c>
      <c r="E242" s="1">
        <v>421</v>
      </c>
      <c r="F242" s="1">
        <v>748</v>
      </c>
      <c r="G242" s="1">
        <v>720</v>
      </c>
      <c r="H242" s="1">
        <v>630</v>
      </c>
      <c r="I242" s="1">
        <v>180</v>
      </c>
      <c r="J242" s="1">
        <v>152</v>
      </c>
      <c r="K242" s="1">
        <v>51</v>
      </c>
      <c r="L242" s="1">
        <v>663</v>
      </c>
      <c r="M242" s="8">
        <v>215.10999999999999</v>
      </c>
      <c r="N242">
        <f t="shared" si="3"/>
        <v>27</v>
      </c>
    </row>
    <row r="243" spans="1:14" x14ac:dyDescent="0.25">
      <c r="A243" s="7">
        <v>44071</v>
      </c>
      <c r="B243" s="1">
        <v>2525</v>
      </c>
      <c r="C243" s="1">
        <v>1868</v>
      </c>
      <c r="D243" s="1">
        <v>591</v>
      </c>
      <c r="E243" s="1">
        <v>657</v>
      </c>
      <c r="F243" s="1">
        <v>355</v>
      </c>
      <c r="G243" s="1">
        <v>780</v>
      </c>
      <c r="H243" s="1">
        <v>850</v>
      </c>
      <c r="I243" s="1">
        <v>256</v>
      </c>
      <c r="J243" s="1">
        <v>84</v>
      </c>
      <c r="K243" s="1">
        <v>51</v>
      </c>
      <c r="L243" s="1">
        <v>255</v>
      </c>
      <c r="M243" s="8">
        <v>55.26</v>
      </c>
      <c r="N243">
        <f t="shared" si="3"/>
        <v>28</v>
      </c>
    </row>
    <row r="244" spans="1:14" x14ac:dyDescent="0.25">
      <c r="A244" s="7">
        <v>44072</v>
      </c>
      <c r="B244" s="1">
        <v>2487</v>
      </c>
      <c r="C244" s="1">
        <v>2213</v>
      </c>
      <c r="D244" s="1">
        <v>202</v>
      </c>
      <c r="E244" s="1">
        <v>274</v>
      </c>
      <c r="F244" s="1">
        <v>556</v>
      </c>
      <c r="G244" s="1">
        <v>666</v>
      </c>
      <c r="H244" s="1">
        <v>840</v>
      </c>
      <c r="I244" s="1">
        <v>40</v>
      </c>
      <c r="J244" s="1">
        <v>185</v>
      </c>
      <c r="K244" s="1">
        <v>53</v>
      </c>
      <c r="L244" s="1">
        <v>689</v>
      </c>
      <c r="M244" s="8">
        <v>143.79</v>
      </c>
      <c r="N244">
        <f t="shared" si="3"/>
        <v>29</v>
      </c>
    </row>
    <row r="245" spans="1:14" x14ac:dyDescent="0.25">
      <c r="A245" s="7">
        <v>44073</v>
      </c>
      <c r="B245" s="1">
        <v>1811</v>
      </c>
      <c r="C245" s="1">
        <v>1629</v>
      </c>
      <c r="D245" s="1">
        <v>147</v>
      </c>
      <c r="E245" s="1">
        <v>182</v>
      </c>
      <c r="F245" s="1">
        <v>332</v>
      </c>
      <c r="G245" s="1">
        <v>420</v>
      </c>
      <c r="H245" s="1">
        <v>498</v>
      </c>
      <c r="I245" s="1">
        <v>186</v>
      </c>
      <c r="J245" s="1">
        <v>175</v>
      </c>
      <c r="K245" s="1">
        <v>48</v>
      </c>
      <c r="L245" s="1">
        <v>384</v>
      </c>
      <c r="M245" s="8">
        <v>151.94</v>
      </c>
      <c r="N245">
        <f t="shared" si="3"/>
        <v>30</v>
      </c>
    </row>
    <row r="246" spans="1:14" x14ac:dyDescent="0.25">
      <c r="A246" s="7">
        <v>44074</v>
      </c>
      <c r="B246" s="1">
        <v>2101</v>
      </c>
      <c r="C246" s="1">
        <v>1869</v>
      </c>
      <c r="D246" s="1">
        <v>190</v>
      </c>
      <c r="E246" s="1">
        <v>232</v>
      </c>
      <c r="F246" s="1">
        <v>520</v>
      </c>
      <c r="G246" s="1">
        <v>435</v>
      </c>
      <c r="H246" s="1">
        <v>490</v>
      </c>
      <c r="I246" s="1">
        <v>264</v>
      </c>
      <c r="J246" s="1">
        <v>192</v>
      </c>
      <c r="K246" s="1">
        <v>47</v>
      </c>
      <c r="L246" s="1">
        <v>705</v>
      </c>
      <c r="M246" s="8">
        <v>197.89</v>
      </c>
      <c r="N246">
        <f t="shared" si="3"/>
        <v>31</v>
      </c>
    </row>
    <row r="247" spans="1:14" x14ac:dyDescent="0.25">
      <c r="A247" s="7">
        <v>44075</v>
      </c>
      <c r="B247" s="1">
        <v>2631</v>
      </c>
      <c r="C247" s="1">
        <v>2288</v>
      </c>
      <c r="D247" s="1">
        <v>257</v>
      </c>
      <c r="E247" s="1">
        <v>343</v>
      </c>
      <c r="F247" s="1">
        <v>469</v>
      </c>
      <c r="G247" s="1">
        <v>702</v>
      </c>
      <c r="H247" s="1">
        <v>680</v>
      </c>
      <c r="I247" s="1">
        <v>400</v>
      </c>
      <c r="J247" s="1">
        <v>180</v>
      </c>
      <c r="K247" s="1">
        <v>59</v>
      </c>
      <c r="L247" s="1">
        <v>649</v>
      </c>
      <c r="M247" s="8">
        <v>142.79</v>
      </c>
      <c r="N247">
        <f t="shared" si="3"/>
        <v>1</v>
      </c>
    </row>
    <row r="248" spans="1:14" x14ac:dyDescent="0.25">
      <c r="A248" s="7">
        <v>44076</v>
      </c>
      <c r="B248" s="1">
        <v>3001</v>
      </c>
      <c r="C248" s="1">
        <v>2550</v>
      </c>
      <c r="D248" s="1">
        <v>401</v>
      </c>
      <c r="E248" s="1">
        <v>451</v>
      </c>
      <c r="F248" s="1">
        <v>1156</v>
      </c>
      <c r="G248" s="1">
        <v>665</v>
      </c>
      <c r="H248" s="1">
        <v>573</v>
      </c>
      <c r="I248" s="1">
        <v>225</v>
      </c>
      <c r="J248" s="1">
        <v>182</v>
      </c>
      <c r="K248" s="1">
        <v>62</v>
      </c>
      <c r="L248" s="1">
        <v>496</v>
      </c>
      <c r="M248" s="8">
        <v>146.41</v>
      </c>
      <c r="N248">
        <f t="shared" si="3"/>
        <v>2</v>
      </c>
    </row>
    <row r="249" spans="1:14" x14ac:dyDescent="0.25">
      <c r="A249" s="7">
        <v>44077</v>
      </c>
      <c r="B249" s="1">
        <v>2500</v>
      </c>
      <c r="C249" s="1">
        <v>2250</v>
      </c>
      <c r="D249" s="1">
        <v>220</v>
      </c>
      <c r="E249" s="1">
        <v>250</v>
      </c>
      <c r="F249" s="1">
        <v>875</v>
      </c>
      <c r="G249" s="1">
        <v>704</v>
      </c>
      <c r="H249" s="1">
        <v>510</v>
      </c>
      <c r="I249" s="1">
        <v>96</v>
      </c>
      <c r="J249" s="1">
        <v>115</v>
      </c>
      <c r="K249" s="1">
        <v>55</v>
      </c>
      <c r="L249" s="1">
        <v>495</v>
      </c>
      <c r="M249" s="8">
        <v>99.7</v>
      </c>
      <c r="N249">
        <f t="shared" si="3"/>
        <v>3</v>
      </c>
    </row>
    <row r="250" spans="1:14" x14ac:dyDescent="0.25">
      <c r="A250" s="7">
        <v>44078</v>
      </c>
      <c r="B250" s="1">
        <v>2421</v>
      </c>
      <c r="C250" s="1">
        <v>1791</v>
      </c>
      <c r="D250" s="1">
        <v>529</v>
      </c>
      <c r="E250" s="1">
        <v>630</v>
      </c>
      <c r="F250" s="1">
        <v>906</v>
      </c>
      <c r="G250" s="1">
        <v>425</v>
      </c>
      <c r="H250" s="1">
        <v>590</v>
      </c>
      <c r="I250" s="1">
        <v>111</v>
      </c>
      <c r="J250" s="1">
        <v>189</v>
      </c>
      <c r="K250" s="1">
        <v>56</v>
      </c>
      <c r="L250" s="1">
        <v>672</v>
      </c>
      <c r="M250" s="8">
        <v>226.23</v>
      </c>
      <c r="N250">
        <f t="shared" si="3"/>
        <v>4</v>
      </c>
    </row>
    <row r="251" spans="1:14" x14ac:dyDescent="0.25">
      <c r="A251" s="7">
        <v>44079</v>
      </c>
      <c r="B251" s="1">
        <v>3271</v>
      </c>
      <c r="C251" s="1">
        <v>2289</v>
      </c>
      <c r="D251" s="1">
        <v>746</v>
      </c>
      <c r="E251" s="1">
        <v>982</v>
      </c>
      <c r="F251" s="1">
        <v>1754</v>
      </c>
      <c r="G251" s="1">
        <v>442</v>
      </c>
      <c r="H251" s="1">
        <v>424</v>
      </c>
      <c r="I251" s="1">
        <v>220</v>
      </c>
      <c r="J251" s="1">
        <v>231</v>
      </c>
      <c r="K251" s="1">
        <v>62</v>
      </c>
      <c r="L251" s="1">
        <v>310</v>
      </c>
      <c r="M251" s="8">
        <v>97.4</v>
      </c>
      <c r="N251">
        <f t="shared" si="3"/>
        <v>5</v>
      </c>
    </row>
    <row r="252" spans="1:14" x14ac:dyDescent="0.25">
      <c r="A252" s="7">
        <v>44080</v>
      </c>
      <c r="B252" s="1">
        <v>2345</v>
      </c>
      <c r="C252" s="1">
        <v>1899</v>
      </c>
      <c r="D252" s="1">
        <v>383</v>
      </c>
      <c r="E252" s="1">
        <v>446</v>
      </c>
      <c r="F252" s="1">
        <v>830</v>
      </c>
      <c r="G252" s="1">
        <v>440</v>
      </c>
      <c r="H252" s="1">
        <v>461</v>
      </c>
      <c r="I252" s="1">
        <v>150</v>
      </c>
      <c r="J252" s="1">
        <v>264</v>
      </c>
      <c r="K252" s="1">
        <v>55</v>
      </c>
      <c r="L252" s="1">
        <v>330</v>
      </c>
      <c r="M252" s="8">
        <v>119.68</v>
      </c>
      <c r="N252">
        <f t="shared" si="3"/>
        <v>6</v>
      </c>
    </row>
    <row r="253" spans="1:14" x14ac:dyDescent="0.25">
      <c r="A253" s="7">
        <v>44081</v>
      </c>
      <c r="B253" s="1">
        <v>3037</v>
      </c>
      <c r="C253" s="1">
        <v>2156</v>
      </c>
      <c r="D253" s="1">
        <v>616</v>
      </c>
      <c r="E253" s="1">
        <v>881</v>
      </c>
      <c r="F253" s="1">
        <v>985</v>
      </c>
      <c r="G253" s="1">
        <v>850</v>
      </c>
      <c r="H253" s="1">
        <v>572</v>
      </c>
      <c r="I253" s="1">
        <v>205</v>
      </c>
      <c r="J253" s="1">
        <v>225</v>
      </c>
      <c r="K253" s="1">
        <v>50</v>
      </c>
      <c r="L253" s="1">
        <v>550</v>
      </c>
      <c r="M253" s="8">
        <v>127.98</v>
      </c>
      <c r="N253">
        <f t="shared" si="3"/>
        <v>7</v>
      </c>
    </row>
    <row r="254" spans="1:14" x14ac:dyDescent="0.25">
      <c r="A254" s="7">
        <v>44082</v>
      </c>
      <c r="B254" s="1">
        <v>3381</v>
      </c>
      <c r="C254" s="1">
        <v>3042</v>
      </c>
      <c r="D254" s="1">
        <v>244</v>
      </c>
      <c r="E254" s="1">
        <v>339</v>
      </c>
      <c r="F254" s="1">
        <v>1216</v>
      </c>
      <c r="G254" s="1">
        <v>700</v>
      </c>
      <c r="H254" s="1">
        <v>720</v>
      </c>
      <c r="I254" s="1">
        <v>328</v>
      </c>
      <c r="J254" s="1">
        <v>217</v>
      </c>
      <c r="K254" s="1">
        <v>61</v>
      </c>
      <c r="L254" s="1">
        <v>793</v>
      </c>
      <c r="M254" s="8">
        <v>190.76</v>
      </c>
      <c r="N254">
        <f t="shared" si="3"/>
        <v>8</v>
      </c>
    </row>
    <row r="255" spans="1:14" x14ac:dyDescent="0.25">
      <c r="A255" s="7">
        <v>44083</v>
      </c>
      <c r="B255" s="1">
        <v>2623</v>
      </c>
      <c r="C255" s="1">
        <v>1914</v>
      </c>
      <c r="D255" s="1">
        <v>616</v>
      </c>
      <c r="E255" s="1">
        <v>709</v>
      </c>
      <c r="F255" s="1">
        <v>865</v>
      </c>
      <c r="G255" s="1">
        <v>336</v>
      </c>
      <c r="H255" s="1">
        <v>755</v>
      </c>
      <c r="I255" s="1">
        <v>351</v>
      </c>
      <c r="J255" s="1">
        <v>116</v>
      </c>
      <c r="K255" s="1">
        <v>57</v>
      </c>
      <c r="L255" s="1">
        <v>627</v>
      </c>
      <c r="M255" s="8">
        <v>185.04999999999998</v>
      </c>
      <c r="N255">
        <f t="shared" si="3"/>
        <v>9</v>
      </c>
    </row>
    <row r="256" spans="1:14" x14ac:dyDescent="0.25">
      <c r="A256" s="7">
        <v>44084</v>
      </c>
      <c r="B256" s="1">
        <v>4083</v>
      </c>
      <c r="C256" s="1">
        <v>2980</v>
      </c>
      <c r="D256" s="1">
        <v>860</v>
      </c>
      <c r="E256" s="1">
        <v>1103</v>
      </c>
      <c r="F256" s="1">
        <v>1996</v>
      </c>
      <c r="G256" s="1">
        <v>893</v>
      </c>
      <c r="H256" s="1">
        <v>670</v>
      </c>
      <c r="I256" s="1">
        <v>156</v>
      </c>
      <c r="J256" s="1">
        <v>168</v>
      </c>
      <c r="K256" s="1">
        <v>67</v>
      </c>
      <c r="L256" s="1">
        <v>603</v>
      </c>
      <c r="M256" s="8">
        <v>201.6</v>
      </c>
      <c r="N256">
        <f t="shared" si="3"/>
        <v>10</v>
      </c>
    </row>
    <row r="257" spans="1:14" x14ac:dyDescent="0.25">
      <c r="A257" s="7">
        <v>44085</v>
      </c>
      <c r="B257" s="1">
        <v>2805</v>
      </c>
      <c r="C257" s="1">
        <v>2047</v>
      </c>
      <c r="D257" s="1">
        <v>576</v>
      </c>
      <c r="E257" s="1">
        <v>758</v>
      </c>
      <c r="F257" s="1">
        <v>670</v>
      </c>
      <c r="G257" s="1">
        <v>846</v>
      </c>
      <c r="H257" s="1">
        <v>710</v>
      </c>
      <c r="I257" s="1">
        <v>195</v>
      </c>
      <c r="J257" s="1">
        <v>184</v>
      </c>
      <c r="K257" s="1">
        <v>52</v>
      </c>
      <c r="L257" s="1">
        <v>364</v>
      </c>
      <c r="M257" s="8">
        <v>99.76</v>
      </c>
      <c r="N257">
        <f t="shared" si="3"/>
        <v>11</v>
      </c>
    </row>
    <row r="258" spans="1:14" x14ac:dyDescent="0.25">
      <c r="A258" s="7">
        <v>44086</v>
      </c>
      <c r="B258" s="1">
        <v>2645</v>
      </c>
      <c r="C258" s="1">
        <v>2036</v>
      </c>
      <c r="D258" s="1">
        <v>468</v>
      </c>
      <c r="E258" s="1">
        <v>609</v>
      </c>
      <c r="F258" s="1">
        <v>830</v>
      </c>
      <c r="G258" s="1">
        <v>714</v>
      </c>
      <c r="H258" s="1">
        <v>579</v>
      </c>
      <c r="I258" s="1">
        <v>184</v>
      </c>
      <c r="J258" s="1">
        <v>138</v>
      </c>
      <c r="K258" s="1">
        <v>54</v>
      </c>
      <c r="L258" s="1">
        <v>324</v>
      </c>
      <c r="M258" s="8">
        <v>93.210000000000008</v>
      </c>
      <c r="N258">
        <f t="shared" si="3"/>
        <v>12</v>
      </c>
    </row>
    <row r="259" spans="1:14" x14ac:dyDescent="0.25">
      <c r="A259" s="7">
        <v>44087</v>
      </c>
      <c r="B259" s="1">
        <v>2618</v>
      </c>
      <c r="C259" s="1">
        <v>1884</v>
      </c>
      <c r="D259" s="1">
        <v>513</v>
      </c>
      <c r="E259" s="1">
        <v>734</v>
      </c>
      <c r="F259" s="1">
        <v>1166</v>
      </c>
      <c r="G259" s="1">
        <v>448</v>
      </c>
      <c r="H259" s="1">
        <v>516</v>
      </c>
      <c r="I259" s="1">
        <v>216</v>
      </c>
      <c r="J259" s="1">
        <v>72</v>
      </c>
      <c r="K259" s="1">
        <v>52</v>
      </c>
      <c r="L259" s="1">
        <v>572</v>
      </c>
      <c r="M259" s="8">
        <v>123.55000000000001</v>
      </c>
      <c r="N259">
        <f t="shared" si="3"/>
        <v>13</v>
      </c>
    </row>
    <row r="260" spans="1:14" x14ac:dyDescent="0.25">
      <c r="A260" s="7">
        <v>44088</v>
      </c>
      <c r="B260" s="1">
        <v>2163</v>
      </c>
      <c r="C260" s="1">
        <v>1687</v>
      </c>
      <c r="D260" s="1">
        <v>366</v>
      </c>
      <c r="E260" s="1">
        <v>476</v>
      </c>
      <c r="F260" s="1">
        <v>880</v>
      </c>
      <c r="G260" s="1">
        <v>315</v>
      </c>
      <c r="H260" s="1">
        <v>468</v>
      </c>
      <c r="I260" s="1">
        <v>168</v>
      </c>
      <c r="J260" s="1">
        <v>132</v>
      </c>
      <c r="K260" s="1">
        <v>54</v>
      </c>
      <c r="L260" s="1">
        <v>756</v>
      </c>
      <c r="M260" s="8">
        <v>271.42</v>
      </c>
      <c r="N260">
        <f t="shared" ref="N260:N323" si="4">DAY(A260)</f>
        <v>14</v>
      </c>
    </row>
    <row r="261" spans="1:14" x14ac:dyDescent="0.25">
      <c r="A261" s="7">
        <v>44089</v>
      </c>
      <c r="B261" s="1">
        <v>1726</v>
      </c>
      <c r="C261" s="1">
        <v>1536</v>
      </c>
      <c r="D261" s="1">
        <v>167</v>
      </c>
      <c r="E261" s="1">
        <v>190</v>
      </c>
      <c r="F261" s="1">
        <v>292</v>
      </c>
      <c r="G261" s="1">
        <v>400</v>
      </c>
      <c r="H261" s="1">
        <v>468</v>
      </c>
      <c r="I261" s="1">
        <v>196</v>
      </c>
      <c r="J261" s="1">
        <v>170</v>
      </c>
      <c r="K261" s="1">
        <v>51</v>
      </c>
      <c r="L261" s="1">
        <v>459</v>
      </c>
      <c r="M261" s="8">
        <v>166.07999999999998</v>
      </c>
      <c r="N261">
        <f t="shared" si="4"/>
        <v>15</v>
      </c>
    </row>
    <row r="262" spans="1:14" x14ac:dyDescent="0.25">
      <c r="A262" s="7">
        <v>44090</v>
      </c>
      <c r="B262" s="1">
        <v>2689</v>
      </c>
      <c r="C262" s="1">
        <v>1909</v>
      </c>
      <c r="D262" s="1">
        <v>546</v>
      </c>
      <c r="E262" s="1">
        <v>780</v>
      </c>
      <c r="F262" s="1">
        <v>739</v>
      </c>
      <c r="G262" s="1">
        <v>665</v>
      </c>
      <c r="H262" s="1">
        <v>641</v>
      </c>
      <c r="I262" s="1">
        <v>222</v>
      </c>
      <c r="J262" s="1">
        <v>222</v>
      </c>
      <c r="K262" s="1">
        <v>63</v>
      </c>
      <c r="L262" s="1">
        <v>693</v>
      </c>
      <c r="M262" s="8">
        <v>209.35</v>
      </c>
      <c r="N262">
        <f t="shared" si="4"/>
        <v>16</v>
      </c>
    </row>
    <row r="263" spans="1:14" x14ac:dyDescent="0.25">
      <c r="A263" s="7">
        <v>44091</v>
      </c>
      <c r="B263" s="1">
        <v>2051</v>
      </c>
      <c r="C263" s="1">
        <v>1599</v>
      </c>
      <c r="D263" s="1">
        <v>379</v>
      </c>
      <c r="E263" s="1">
        <v>452</v>
      </c>
      <c r="F263" s="1">
        <v>673</v>
      </c>
      <c r="G263" s="1">
        <v>420</v>
      </c>
      <c r="H263" s="1">
        <v>480</v>
      </c>
      <c r="I263" s="1">
        <v>114</v>
      </c>
      <c r="J263" s="1">
        <v>164</v>
      </c>
      <c r="K263" s="1">
        <v>44</v>
      </c>
      <c r="L263" s="1">
        <v>660</v>
      </c>
      <c r="M263" s="8">
        <v>262.33999999999997</v>
      </c>
      <c r="N263">
        <f t="shared" si="4"/>
        <v>17</v>
      </c>
    </row>
    <row r="264" spans="1:14" x14ac:dyDescent="0.25">
      <c r="A264" s="7">
        <v>44092</v>
      </c>
      <c r="B264" s="1">
        <v>2464</v>
      </c>
      <c r="C264" s="1">
        <v>1749</v>
      </c>
      <c r="D264" s="1">
        <v>507</v>
      </c>
      <c r="E264" s="1">
        <v>715</v>
      </c>
      <c r="F264" s="1">
        <v>732</v>
      </c>
      <c r="G264" s="1">
        <v>500</v>
      </c>
      <c r="H264" s="1">
        <v>540</v>
      </c>
      <c r="I264" s="1">
        <v>336</v>
      </c>
      <c r="J264" s="1">
        <v>156</v>
      </c>
      <c r="K264" s="1">
        <v>62</v>
      </c>
      <c r="L264" s="1">
        <v>930</v>
      </c>
      <c r="M264" s="8">
        <v>265.43</v>
      </c>
      <c r="N264">
        <f t="shared" si="4"/>
        <v>18</v>
      </c>
    </row>
    <row r="265" spans="1:14" x14ac:dyDescent="0.25">
      <c r="A265" s="7">
        <v>44093</v>
      </c>
      <c r="B265" s="1">
        <v>2714</v>
      </c>
      <c r="C265" s="1">
        <v>2008</v>
      </c>
      <c r="D265" s="1">
        <v>585</v>
      </c>
      <c r="E265" s="1">
        <v>706</v>
      </c>
      <c r="F265" s="1">
        <v>787</v>
      </c>
      <c r="G265" s="1">
        <v>714</v>
      </c>
      <c r="H265" s="1">
        <v>643</v>
      </c>
      <c r="I265" s="1">
        <v>220</v>
      </c>
      <c r="J265" s="1">
        <v>150</v>
      </c>
      <c r="K265" s="1">
        <v>50</v>
      </c>
      <c r="L265" s="1">
        <v>600</v>
      </c>
      <c r="M265" s="8">
        <v>161.47999999999999</v>
      </c>
      <c r="N265">
        <f t="shared" si="4"/>
        <v>19</v>
      </c>
    </row>
    <row r="266" spans="1:14" x14ac:dyDescent="0.25">
      <c r="A266" s="7">
        <v>44094</v>
      </c>
      <c r="B266" s="1">
        <v>2759</v>
      </c>
      <c r="C266" s="1">
        <v>2179</v>
      </c>
      <c r="D266" s="1">
        <v>446</v>
      </c>
      <c r="E266" s="1">
        <v>580</v>
      </c>
      <c r="F266" s="1">
        <v>1012</v>
      </c>
      <c r="G266" s="1">
        <v>630</v>
      </c>
      <c r="H266" s="1">
        <v>672</v>
      </c>
      <c r="I266" s="1">
        <v>75</v>
      </c>
      <c r="J266" s="1">
        <v>170</v>
      </c>
      <c r="K266" s="1">
        <v>56</v>
      </c>
      <c r="L266" s="1">
        <v>616</v>
      </c>
      <c r="M266" s="8">
        <v>189.09</v>
      </c>
      <c r="N266">
        <f t="shared" si="4"/>
        <v>20</v>
      </c>
    </row>
    <row r="267" spans="1:14" x14ac:dyDescent="0.25">
      <c r="A267" s="7">
        <v>44095</v>
      </c>
      <c r="B267" s="1">
        <v>2874</v>
      </c>
      <c r="C267" s="1">
        <v>2011</v>
      </c>
      <c r="D267" s="1">
        <v>664</v>
      </c>
      <c r="E267" s="1">
        <v>863</v>
      </c>
      <c r="F267" s="1">
        <v>1132</v>
      </c>
      <c r="G267" s="1">
        <v>608</v>
      </c>
      <c r="H267" s="1">
        <v>638</v>
      </c>
      <c r="I267" s="1">
        <v>68</v>
      </c>
      <c r="J267" s="1">
        <v>228</v>
      </c>
      <c r="K267" s="1">
        <v>64</v>
      </c>
      <c r="L267" s="1">
        <v>384</v>
      </c>
      <c r="M267" s="8">
        <v>102.81</v>
      </c>
      <c r="N267">
        <f t="shared" si="4"/>
        <v>21</v>
      </c>
    </row>
    <row r="268" spans="1:14" x14ac:dyDescent="0.25">
      <c r="A268" s="7">
        <v>44096</v>
      </c>
      <c r="B268" s="1">
        <v>2783</v>
      </c>
      <c r="C268" s="1">
        <v>2337</v>
      </c>
      <c r="D268" s="1">
        <v>343</v>
      </c>
      <c r="E268" s="1">
        <v>446</v>
      </c>
      <c r="F268" s="1">
        <v>820</v>
      </c>
      <c r="G268" s="1">
        <v>570</v>
      </c>
      <c r="H268" s="1">
        <v>579</v>
      </c>
      <c r="I268" s="1">
        <v>230</v>
      </c>
      <c r="J268" s="1">
        <v>384</v>
      </c>
      <c r="K268" s="1">
        <v>57</v>
      </c>
      <c r="L268" s="1">
        <v>855</v>
      </c>
      <c r="M268" s="8">
        <v>276.53999999999996</v>
      </c>
      <c r="N268">
        <f t="shared" si="4"/>
        <v>22</v>
      </c>
    </row>
    <row r="269" spans="1:14" x14ac:dyDescent="0.25">
      <c r="A269" s="7">
        <v>44097</v>
      </c>
      <c r="B269" s="1">
        <v>2191</v>
      </c>
      <c r="C269" s="1">
        <v>1928</v>
      </c>
      <c r="D269" s="1">
        <v>202</v>
      </c>
      <c r="E269" s="1">
        <v>263</v>
      </c>
      <c r="F269" s="1">
        <v>732</v>
      </c>
      <c r="G269" s="1">
        <v>253</v>
      </c>
      <c r="H269" s="1">
        <v>504</v>
      </c>
      <c r="I269" s="1">
        <v>250</v>
      </c>
      <c r="J269" s="1">
        <v>252</v>
      </c>
      <c r="K269" s="1">
        <v>50</v>
      </c>
      <c r="L269" s="1">
        <v>750</v>
      </c>
      <c r="M269" s="8">
        <v>281.45</v>
      </c>
      <c r="N269">
        <f t="shared" si="4"/>
        <v>23</v>
      </c>
    </row>
    <row r="270" spans="1:14" x14ac:dyDescent="0.25">
      <c r="A270" s="7">
        <v>44098</v>
      </c>
      <c r="B270" s="1">
        <v>2544</v>
      </c>
      <c r="C270" s="1">
        <v>2264</v>
      </c>
      <c r="D270" s="1">
        <v>198</v>
      </c>
      <c r="E270" s="1">
        <v>280</v>
      </c>
      <c r="F270" s="1">
        <v>1153</v>
      </c>
      <c r="G270" s="1">
        <v>495</v>
      </c>
      <c r="H270" s="1">
        <v>545</v>
      </c>
      <c r="I270" s="1">
        <v>123</v>
      </c>
      <c r="J270" s="1">
        <v>28</v>
      </c>
      <c r="K270" s="1">
        <v>43</v>
      </c>
      <c r="L270" s="1">
        <v>387</v>
      </c>
      <c r="M270" s="8">
        <v>77.56</v>
      </c>
      <c r="N270">
        <f t="shared" si="4"/>
        <v>24</v>
      </c>
    </row>
    <row r="271" spans="1:14" x14ac:dyDescent="0.25">
      <c r="A271" s="7">
        <v>44099</v>
      </c>
      <c r="B271" s="1">
        <v>2724</v>
      </c>
      <c r="C271" s="1">
        <v>2097</v>
      </c>
      <c r="D271" s="1">
        <v>545</v>
      </c>
      <c r="E271" s="1">
        <v>627</v>
      </c>
      <c r="F271" s="1">
        <v>774</v>
      </c>
      <c r="G271" s="1">
        <v>690</v>
      </c>
      <c r="H271" s="1">
        <v>770</v>
      </c>
      <c r="I271" s="1">
        <v>140</v>
      </c>
      <c r="J271" s="1">
        <v>150</v>
      </c>
      <c r="K271" s="1">
        <v>46</v>
      </c>
      <c r="L271" s="1">
        <v>230</v>
      </c>
      <c r="M271" s="8">
        <v>57.059999999999995</v>
      </c>
      <c r="N271">
        <f t="shared" si="4"/>
        <v>25</v>
      </c>
    </row>
    <row r="272" spans="1:14" x14ac:dyDescent="0.25">
      <c r="A272" s="7">
        <v>44100</v>
      </c>
      <c r="B272" s="1">
        <v>2555</v>
      </c>
      <c r="C272" s="1">
        <v>1941</v>
      </c>
      <c r="D272" s="1">
        <v>472</v>
      </c>
      <c r="E272" s="1">
        <v>614</v>
      </c>
      <c r="F272" s="1">
        <v>500</v>
      </c>
      <c r="G272" s="1">
        <v>752</v>
      </c>
      <c r="H272" s="1">
        <v>596</v>
      </c>
      <c r="I272" s="1">
        <v>220</v>
      </c>
      <c r="J272" s="1">
        <v>287</v>
      </c>
      <c r="K272" s="1">
        <v>56</v>
      </c>
      <c r="L272" s="1">
        <v>560</v>
      </c>
      <c r="M272" s="8">
        <v>128.76999999999998</v>
      </c>
      <c r="N272">
        <f t="shared" si="4"/>
        <v>26</v>
      </c>
    </row>
    <row r="273" spans="1:14" x14ac:dyDescent="0.25">
      <c r="A273" s="7">
        <v>44101</v>
      </c>
      <c r="B273" s="1">
        <v>3865</v>
      </c>
      <c r="C273" s="1">
        <v>3439</v>
      </c>
      <c r="D273" s="1">
        <v>362</v>
      </c>
      <c r="E273" s="1">
        <v>426</v>
      </c>
      <c r="F273" s="1">
        <v>1936</v>
      </c>
      <c r="G273" s="1">
        <v>660</v>
      </c>
      <c r="H273" s="1">
        <v>587</v>
      </c>
      <c r="I273" s="1">
        <v>162</v>
      </c>
      <c r="J273" s="1">
        <v>320</v>
      </c>
      <c r="K273" s="1">
        <v>65</v>
      </c>
      <c r="L273" s="1">
        <v>845</v>
      </c>
      <c r="M273" s="8">
        <v>261.11</v>
      </c>
      <c r="N273">
        <f t="shared" si="4"/>
        <v>27</v>
      </c>
    </row>
    <row r="274" spans="1:14" x14ac:dyDescent="0.25">
      <c r="A274" s="7">
        <v>44102</v>
      </c>
      <c r="B274" s="1">
        <v>2564</v>
      </c>
      <c r="C274" s="1">
        <v>2307</v>
      </c>
      <c r="D274" s="1">
        <v>195</v>
      </c>
      <c r="E274" s="1">
        <v>257</v>
      </c>
      <c r="F274" s="1">
        <v>553</v>
      </c>
      <c r="G274" s="1">
        <v>560</v>
      </c>
      <c r="H274" s="1">
        <v>608</v>
      </c>
      <c r="I274" s="1">
        <v>384</v>
      </c>
      <c r="J274" s="1">
        <v>259</v>
      </c>
      <c r="K274" s="1">
        <v>51</v>
      </c>
      <c r="L274" s="1">
        <v>408</v>
      </c>
      <c r="M274" s="8">
        <v>132.95999999999998</v>
      </c>
      <c r="N274">
        <f t="shared" si="4"/>
        <v>28</v>
      </c>
    </row>
    <row r="275" spans="1:14" x14ac:dyDescent="0.25">
      <c r="A275" s="7">
        <v>44103</v>
      </c>
      <c r="B275" s="1">
        <v>2490</v>
      </c>
      <c r="C275" s="1">
        <v>1992</v>
      </c>
      <c r="D275" s="1">
        <v>418</v>
      </c>
      <c r="E275" s="1">
        <v>498</v>
      </c>
      <c r="F275" s="1">
        <v>656</v>
      </c>
      <c r="G275" s="1">
        <v>814</v>
      </c>
      <c r="H275" s="1">
        <v>685</v>
      </c>
      <c r="I275" s="1">
        <v>39</v>
      </c>
      <c r="J275" s="1">
        <v>96</v>
      </c>
      <c r="K275" s="1">
        <v>54</v>
      </c>
      <c r="L275" s="1">
        <v>540</v>
      </c>
      <c r="M275" s="8">
        <v>195.23999999999998</v>
      </c>
      <c r="N275">
        <f t="shared" si="4"/>
        <v>29</v>
      </c>
    </row>
    <row r="276" spans="1:14" x14ac:dyDescent="0.25">
      <c r="A276" s="7">
        <v>44104</v>
      </c>
      <c r="B276" s="1">
        <v>2684</v>
      </c>
      <c r="C276" s="1">
        <v>2200</v>
      </c>
      <c r="D276" s="1">
        <v>406</v>
      </c>
      <c r="E276" s="1">
        <v>484</v>
      </c>
      <c r="F276" s="1">
        <v>526</v>
      </c>
      <c r="G276" s="1">
        <v>686</v>
      </c>
      <c r="H276" s="1">
        <v>600</v>
      </c>
      <c r="I276" s="1">
        <v>384</v>
      </c>
      <c r="J276" s="1">
        <v>288</v>
      </c>
      <c r="K276" s="1">
        <v>56</v>
      </c>
      <c r="L276" s="1">
        <v>672</v>
      </c>
      <c r="M276" s="8">
        <v>224.85</v>
      </c>
      <c r="N276">
        <f t="shared" si="4"/>
        <v>30</v>
      </c>
    </row>
    <row r="277" spans="1:14" x14ac:dyDescent="0.25">
      <c r="A277" s="7">
        <v>44105</v>
      </c>
      <c r="B277" s="1">
        <v>3822</v>
      </c>
      <c r="C277" s="1">
        <v>3401</v>
      </c>
      <c r="D277" s="1">
        <v>362</v>
      </c>
      <c r="E277" s="1">
        <v>421</v>
      </c>
      <c r="F277" s="1">
        <v>1708</v>
      </c>
      <c r="G277" s="1">
        <v>1034</v>
      </c>
      <c r="H277" s="1">
        <v>608</v>
      </c>
      <c r="I277" s="1">
        <v>176</v>
      </c>
      <c r="J277" s="1">
        <v>96</v>
      </c>
      <c r="K277" s="1">
        <v>64</v>
      </c>
      <c r="L277" s="1">
        <v>576</v>
      </c>
      <c r="M277" s="8">
        <v>196.26999999999998</v>
      </c>
      <c r="N277">
        <f t="shared" si="4"/>
        <v>1</v>
      </c>
    </row>
    <row r="278" spans="1:14" x14ac:dyDescent="0.25">
      <c r="A278" s="7">
        <v>44106</v>
      </c>
      <c r="B278" s="1">
        <v>2838</v>
      </c>
      <c r="C278" s="1">
        <v>1986</v>
      </c>
      <c r="D278" s="1">
        <v>613</v>
      </c>
      <c r="E278" s="1">
        <v>852</v>
      </c>
      <c r="F278" s="1">
        <v>580</v>
      </c>
      <c r="G278" s="1">
        <v>817</v>
      </c>
      <c r="H278" s="1">
        <v>674</v>
      </c>
      <c r="I278" s="1">
        <v>315</v>
      </c>
      <c r="J278" s="1">
        <v>252</v>
      </c>
      <c r="K278" s="1">
        <v>58</v>
      </c>
      <c r="L278" s="1">
        <v>348</v>
      </c>
      <c r="M278" s="8">
        <v>75.58</v>
      </c>
      <c r="N278">
        <f t="shared" si="4"/>
        <v>2</v>
      </c>
    </row>
    <row r="279" spans="1:14" x14ac:dyDescent="0.25">
      <c r="A279" s="7">
        <v>44107</v>
      </c>
      <c r="B279" s="1">
        <v>1886</v>
      </c>
      <c r="C279" s="1">
        <v>1697</v>
      </c>
      <c r="D279" s="1">
        <v>153</v>
      </c>
      <c r="E279" s="1">
        <v>189</v>
      </c>
      <c r="F279" s="1">
        <v>332</v>
      </c>
      <c r="G279" s="1">
        <v>418</v>
      </c>
      <c r="H279" s="1">
        <v>516</v>
      </c>
      <c r="I279" s="1">
        <v>175</v>
      </c>
      <c r="J279" s="1">
        <v>245</v>
      </c>
      <c r="K279" s="1">
        <v>53</v>
      </c>
      <c r="L279" s="1">
        <v>318</v>
      </c>
      <c r="M279" s="8">
        <v>67.77000000000001</v>
      </c>
      <c r="N279">
        <f t="shared" si="4"/>
        <v>3</v>
      </c>
    </row>
    <row r="280" spans="1:14" x14ac:dyDescent="0.25">
      <c r="A280" s="7">
        <v>44108</v>
      </c>
      <c r="B280" s="1">
        <v>2661</v>
      </c>
      <c r="C280" s="1">
        <v>2048</v>
      </c>
      <c r="D280" s="1">
        <v>551</v>
      </c>
      <c r="E280" s="1">
        <v>613</v>
      </c>
      <c r="F280" s="1">
        <v>849</v>
      </c>
      <c r="G280" s="1">
        <v>900</v>
      </c>
      <c r="H280" s="1">
        <v>548</v>
      </c>
      <c r="I280" s="1">
        <v>88</v>
      </c>
      <c r="J280" s="1">
        <v>76</v>
      </c>
      <c r="K280" s="1">
        <v>51</v>
      </c>
      <c r="L280" s="1">
        <v>459</v>
      </c>
      <c r="M280" s="8">
        <v>101.58</v>
      </c>
      <c r="N280">
        <f t="shared" si="4"/>
        <v>4</v>
      </c>
    </row>
    <row r="281" spans="1:14" x14ac:dyDescent="0.25">
      <c r="A281" s="7">
        <v>44109</v>
      </c>
      <c r="B281" s="1">
        <v>1694</v>
      </c>
      <c r="C281" s="1">
        <v>1389</v>
      </c>
      <c r="D281" s="1">
        <v>231</v>
      </c>
      <c r="E281" s="1">
        <v>305</v>
      </c>
      <c r="F281" s="1">
        <v>31</v>
      </c>
      <c r="G281" s="1">
        <v>592</v>
      </c>
      <c r="H281" s="1">
        <v>597</v>
      </c>
      <c r="I281" s="1">
        <v>40</v>
      </c>
      <c r="J281" s="1">
        <v>234</v>
      </c>
      <c r="K281" s="1">
        <v>42</v>
      </c>
      <c r="L281" s="1">
        <v>588</v>
      </c>
      <c r="M281" s="8">
        <v>120.14</v>
      </c>
      <c r="N281">
        <f t="shared" si="4"/>
        <v>5</v>
      </c>
    </row>
    <row r="282" spans="1:14" x14ac:dyDescent="0.25">
      <c r="A282" s="7">
        <v>44110</v>
      </c>
      <c r="B282" s="1">
        <v>2240</v>
      </c>
      <c r="C282" s="1">
        <v>1792</v>
      </c>
      <c r="D282" s="1">
        <v>376</v>
      </c>
      <c r="E282" s="1">
        <v>448</v>
      </c>
      <c r="F282" s="1">
        <v>652</v>
      </c>
      <c r="G282" s="1">
        <v>392</v>
      </c>
      <c r="H282" s="1">
        <v>564</v>
      </c>
      <c r="I282" s="1">
        <v>240</v>
      </c>
      <c r="J282" s="1">
        <v>192</v>
      </c>
      <c r="K282" s="1">
        <v>55</v>
      </c>
      <c r="L282" s="1">
        <v>660</v>
      </c>
      <c r="M282" s="8">
        <v>141.64999999999998</v>
      </c>
      <c r="N282">
        <f t="shared" si="4"/>
        <v>6</v>
      </c>
    </row>
    <row r="283" spans="1:14" x14ac:dyDescent="0.25">
      <c r="A283" s="7">
        <v>44111</v>
      </c>
      <c r="B283" s="1">
        <v>2380</v>
      </c>
      <c r="C283" s="1">
        <v>2023</v>
      </c>
      <c r="D283" s="1">
        <v>307</v>
      </c>
      <c r="E283" s="1">
        <v>357</v>
      </c>
      <c r="F283" s="1">
        <v>773</v>
      </c>
      <c r="G283" s="1">
        <v>527</v>
      </c>
      <c r="H283" s="1">
        <v>516</v>
      </c>
      <c r="I283" s="1">
        <v>148</v>
      </c>
      <c r="J283" s="1">
        <v>216</v>
      </c>
      <c r="K283" s="1">
        <v>52</v>
      </c>
      <c r="L283" s="1">
        <v>364</v>
      </c>
      <c r="M283" s="8">
        <v>90.63000000000001</v>
      </c>
      <c r="N283">
        <f t="shared" si="4"/>
        <v>7</v>
      </c>
    </row>
    <row r="284" spans="1:14" x14ac:dyDescent="0.25">
      <c r="A284" s="7">
        <v>44112</v>
      </c>
      <c r="B284" s="1">
        <v>2973</v>
      </c>
      <c r="C284" s="1">
        <v>2437</v>
      </c>
      <c r="D284" s="1">
        <v>428</v>
      </c>
      <c r="E284" s="1">
        <v>536</v>
      </c>
      <c r="F284" s="1">
        <v>1128</v>
      </c>
      <c r="G284" s="1">
        <v>931</v>
      </c>
      <c r="H284" s="1">
        <v>516</v>
      </c>
      <c r="I284" s="1">
        <v>162</v>
      </c>
      <c r="J284" s="1">
        <v>36</v>
      </c>
      <c r="K284" s="1">
        <v>54</v>
      </c>
      <c r="L284" s="1">
        <v>432</v>
      </c>
      <c r="M284" s="8">
        <v>139.69999999999999</v>
      </c>
      <c r="N284">
        <f t="shared" si="4"/>
        <v>8</v>
      </c>
    </row>
    <row r="285" spans="1:14" x14ac:dyDescent="0.25">
      <c r="A285" s="7">
        <v>44113</v>
      </c>
      <c r="B285" s="1">
        <v>2912</v>
      </c>
      <c r="C285" s="1">
        <v>2067</v>
      </c>
      <c r="D285" s="1">
        <v>659</v>
      </c>
      <c r="E285" s="1">
        <v>845</v>
      </c>
      <c r="F285" s="1">
        <v>802</v>
      </c>
      <c r="G285" s="1">
        <v>836</v>
      </c>
      <c r="H285" s="1">
        <v>720</v>
      </c>
      <c r="I285" s="1">
        <v>186</v>
      </c>
      <c r="J285" s="1">
        <v>168</v>
      </c>
      <c r="K285" s="1">
        <v>55</v>
      </c>
      <c r="L285" s="1">
        <v>770</v>
      </c>
      <c r="M285" s="8">
        <v>272.02999999999997</v>
      </c>
      <c r="N285">
        <f t="shared" si="4"/>
        <v>9</v>
      </c>
    </row>
    <row r="286" spans="1:14" x14ac:dyDescent="0.25">
      <c r="A286" s="7">
        <v>44114</v>
      </c>
      <c r="B286" s="1">
        <v>2978</v>
      </c>
      <c r="C286" s="1">
        <v>2233</v>
      </c>
      <c r="D286" s="1">
        <v>581</v>
      </c>
      <c r="E286" s="1">
        <v>745</v>
      </c>
      <c r="F286" s="1">
        <v>964</v>
      </c>
      <c r="G286" s="1">
        <v>703</v>
      </c>
      <c r="H286" s="1">
        <v>800</v>
      </c>
      <c r="I286" s="1">
        <v>115</v>
      </c>
      <c r="J286" s="1">
        <v>196</v>
      </c>
      <c r="K286" s="1">
        <v>62</v>
      </c>
      <c r="L286" s="1">
        <v>868</v>
      </c>
      <c r="M286" s="8">
        <v>198.57999999999998</v>
      </c>
      <c r="N286">
        <f t="shared" si="4"/>
        <v>10</v>
      </c>
    </row>
    <row r="287" spans="1:14" x14ac:dyDescent="0.25">
      <c r="A287" s="7">
        <v>44115</v>
      </c>
      <c r="B287" s="1">
        <v>2642</v>
      </c>
      <c r="C287" s="1">
        <v>2087</v>
      </c>
      <c r="D287" s="1">
        <v>482</v>
      </c>
      <c r="E287" s="1">
        <v>555</v>
      </c>
      <c r="F287" s="1">
        <v>811</v>
      </c>
      <c r="G287" s="1">
        <v>624</v>
      </c>
      <c r="H287" s="1">
        <v>636</v>
      </c>
      <c r="I287" s="1">
        <v>336</v>
      </c>
      <c r="J287" s="1">
        <v>35</v>
      </c>
      <c r="K287" s="1">
        <v>56</v>
      </c>
      <c r="L287" s="1">
        <v>392</v>
      </c>
      <c r="M287" s="8">
        <v>82.11</v>
      </c>
      <c r="N287">
        <f t="shared" si="4"/>
        <v>11</v>
      </c>
    </row>
    <row r="288" spans="1:14" x14ac:dyDescent="0.25">
      <c r="A288" s="7">
        <v>44116</v>
      </c>
      <c r="B288" s="1">
        <v>3006</v>
      </c>
      <c r="C288" s="1">
        <v>2434</v>
      </c>
      <c r="D288" s="1">
        <v>486</v>
      </c>
      <c r="E288" s="1">
        <v>572</v>
      </c>
      <c r="F288" s="1">
        <v>1192</v>
      </c>
      <c r="G288" s="1">
        <v>630</v>
      </c>
      <c r="H288" s="1">
        <v>644</v>
      </c>
      <c r="I288" s="1">
        <v>252</v>
      </c>
      <c r="J288" s="1">
        <v>88</v>
      </c>
      <c r="K288" s="1">
        <v>54</v>
      </c>
      <c r="L288" s="1">
        <v>756</v>
      </c>
      <c r="M288" s="8">
        <v>233.78</v>
      </c>
      <c r="N288">
        <f t="shared" si="4"/>
        <v>12</v>
      </c>
    </row>
    <row r="289" spans="1:14" x14ac:dyDescent="0.25">
      <c r="A289" s="7">
        <v>44117</v>
      </c>
      <c r="B289" s="1">
        <v>2174</v>
      </c>
      <c r="C289" s="1">
        <v>1760</v>
      </c>
      <c r="D289" s="1">
        <v>327</v>
      </c>
      <c r="E289" s="1">
        <v>414</v>
      </c>
      <c r="F289" s="1">
        <v>724</v>
      </c>
      <c r="G289" s="1">
        <v>322</v>
      </c>
      <c r="H289" s="1">
        <v>678</v>
      </c>
      <c r="I289" s="1">
        <v>150</v>
      </c>
      <c r="J289" s="1">
        <v>100</v>
      </c>
      <c r="K289" s="1">
        <v>52</v>
      </c>
      <c r="L289" s="1">
        <v>416</v>
      </c>
      <c r="M289" s="8">
        <v>102.37</v>
      </c>
      <c r="N289">
        <f t="shared" si="4"/>
        <v>13</v>
      </c>
    </row>
    <row r="290" spans="1:14" x14ac:dyDescent="0.25">
      <c r="A290" s="7">
        <v>44118</v>
      </c>
      <c r="B290" s="1">
        <v>3332</v>
      </c>
      <c r="C290" s="1">
        <v>2732</v>
      </c>
      <c r="D290" s="1">
        <v>480</v>
      </c>
      <c r="E290" s="1">
        <v>600</v>
      </c>
      <c r="F290" s="1">
        <v>1570</v>
      </c>
      <c r="G290" s="1">
        <v>638</v>
      </c>
      <c r="H290" s="1">
        <v>534</v>
      </c>
      <c r="I290" s="1">
        <v>168</v>
      </c>
      <c r="J290" s="1">
        <v>222</v>
      </c>
      <c r="K290" s="1">
        <v>63</v>
      </c>
      <c r="L290" s="1">
        <v>441</v>
      </c>
      <c r="M290" s="8">
        <v>133.22</v>
      </c>
      <c r="N290">
        <f t="shared" si="4"/>
        <v>14</v>
      </c>
    </row>
    <row r="291" spans="1:14" x14ac:dyDescent="0.25">
      <c r="A291" s="7">
        <v>44119</v>
      </c>
      <c r="B291" s="1">
        <v>2459</v>
      </c>
      <c r="C291" s="1">
        <v>1893</v>
      </c>
      <c r="D291" s="1">
        <v>475</v>
      </c>
      <c r="E291" s="1">
        <v>566</v>
      </c>
      <c r="F291" s="1">
        <v>556</v>
      </c>
      <c r="G291" s="1">
        <v>574</v>
      </c>
      <c r="H291" s="1">
        <v>684</v>
      </c>
      <c r="I291" s="1">
        <v>93</v>
      </c>
      <c r="J291" s="1">
        <v>352</v>
      </c>
      <c r="K291" s="1">
        <v>53</v>
      </c>
      <c r="L291" s="1">
        <v>583</v>
      </c>
      <c r="M291" s="8">
        <v>135.41999999999999</v>
      </c>
      <c r="N291">
        <f t="shared" si="4"/>
        <v>15</v>
      </c>
    </row>
    <row r="292" spans="1:14" x14ac:dyDescent="0.25">
      <c r="A292" s="7">
        <v>44120</v>
      </c>
      <c r="B292" s="1">
        <v>2726</v>
      </c>
      <c r="C292" s="1">
        <v>2099</v>
      </c>
      <c r="D292" s="1">
        <v>476</v>
      </c>
      <c r="E292" s="1">
        <v>627</v>
      </c>
      <c r="F292" s="1">
        <v>750</v>
      </c>
      <c r="G292" s="1">
        <v>784</v>
      </c>
      <c r="H292" s="1">
        <v>484</v>
      </c>
      <c r="I292" s="1">
        <v>384</v>
      </c>
      <c r="J292" s="1">
        <v>124</v>
      </c>
      <c r="K292" s="1">
        <v>61</v>
      </c>
      <c r="L292" s="1">
        <v>305</v>
      </c>
      <c r="M292" s="8">
        <v>80.06</v>
      </c>
      <c r="N292">
        <f t="shared" si="4"/>
        <v>16</v>
      </c>
    </row>
    <row r="293" spans="1:14" x14ac:dyDescent="0.25">
      <c r="A293" s="7">
        <v>44121</v>
      </c>
      <c r="B293" s="1">
        <v>3619</v>
      </c>
      <c r="C293" s="1">
        <v>2605</v>
      </c>
      <c r="D293" s="1">
        <v>719</v>
      </c>
      <c r="E293" s="1">
        <v>1014</v>
      </c>
      <c r="F293" s="1">
        <v>1248</v>
      </c>
      <c r="G293" s="1">
        <v>756</v>
      </c>
      <c r="H293" s="1">
        <v>723</v>
      </c>
      <c r="I293" s="1">
        <v>528</v>
      </c>
      <c r="J293" s="1">
        <v>164</v>
      </c>
      <c r="K293" s="1">
        <v>64</v>
      </c>
      <c r="L293" s="1">
        <v>640</v>
      </c>
      <c r="M293" s="8">
        <v>247.92999999999998</v>
      </c>
      <c r="N293">
        <f t="shared" si="4"/>
        <v>17</v>
      </c>
    </row>
    <row r="294" spans="1:14" x14ac:dyDescent="0.25">
      <c r="A294" s="7">
        <v>44122</v>
      </c>
      <c r="B294" s="1">
        <v>2512</v>
      </c>
      <c r="C294" s="1">
        <v>2235</v>
      </c>
      <c r="D294" s="1">
        <v>232</v>
      </c>
      <c r="E294" s="1">
        <v>277</v>
      </c>
      <c r="F294" s="1">
        <v>960</v>
      </c>
      <c r="G294" s="1">
        <v>364</v>
      </c>
      <c r="H294" s="1">
        <v>552</v>
      </c>
      <c r="I294" s="1">
        <v>240</v>
      </c>
      <c r="J294" s="1">
        <v>196</v>
      </c>
      <c r="K294" s="1">
        <v>56</v>
      </c>
      <c r="L294" s="1">
        <v>560</v>
      </c>
      <c r="M294" s="8">
        <v>193.85</v>
      </c>
      <c r="N294">
        <f t="shared" si="4"/>
        <v>18</v>
      </c>
    </row>
    <row r="295" spans="1:14" x14ac:dyDescent="0.25">
      <c r="A295" s="7">
        <v>44123</v>
      </c>
      <c r="B295" s="1">
        <v>1972</v>
      </c>
      <c r="C295" s="1">
        <v>1479</v>
      </c>
      <c r="D295" s="1">
        <v>354</v>
      </c>
      <c r="E295" s="1">
        <v>493</v>
      </c>
      <c r="F295" s="1">
        <v>220</v>
      </c>
      <c r="G295" s="1">
        <v>559</v>
      </c>
      <c r="H295" s="1">
        <v>720</v>
      </c>
      <c r="I295" s="1">
        <v>161</v>
      </c>
      <c r="J295" s="1">
        <v>112</v>
      </c>
      <c r="K295" s="1">
        <v>46</v>
      </c>
      <c r="L295" s="1">
        <v>690</v>
      </c>
      <c r="M295" s="8">
        <v>274.58</v>
      </c>
      <c r="N295">
        <f t="shared" si="4"/>
        <v>19</v>
      </c>
    </row>
    <row r="296" spans="1:14" x14ac:dyDescent="0.25">
      <c r="A296" s="7">
        <v>44124</v>
      </c>
      <c r="B296" s="1">
        <v>2878</v>
      </c>
      <c r="C296" s="1">
        <v>2014</v>
      </c>
      <c r="D296" s="1">
        <v>691</v>
      </c>
      <c r="E296" s="1">
        <v>864</v>
      </c>
      <c r="F296" s="1">
        <v>1030</v>
      </c>
      <c r="G296" s="1">
        <v>540</v>
      </c>
      <c r="H296" s="1">
        <v>740</v>
      </c>
      <c r="I296" s="1">
        <v>228</v>
      </c>
      <c r="J296" s="1">
        <v>140</v>
      </c>
      <c r="K296" s="1">
        <v>50</v>
      </c>
      <c r="L296" s="1">
        <v>450</v>
      </c>
      <c r="M296" s="8">
        <v>152.06</v>
      </c>
      <c r="N296">
        <f t="shared" si="4"/>
        <v>20</v>
      </c>
    </row>
    <row r="297" spans="1:14" x14ac:dyDescent="0.25">
      <c r="A297" s="7">
        <v>44125</v>
      </c>
      <c r="B297" s="1">
        <v>2883</v>
      </c>
      <c r="C297" s="1">
        <v>2248</v>
      </c>
      <c r="D297" s="1">
        <v>469</v>
      </c>
      <c r="E297" s="1">
        <v>635</v>
      </c>
      <c r="F297" s="1">
        <v>1180</v>
      </c>
      <c r="G297" s="1">
        <v>250</v>
      </c>
      <c r="H297" s="1">
        <v>650</v>
      </c>
      <c r="I297" s="1">
        <v>351</v>
      </c>
      <c r="J297" s="1">
        <v>252</v>
      </c>
      <c r="K297" s="1">
        <v>66</v>
      </c>
      <c r="L297" s="1">
        <v>330</v>
      </c>
      <c r="M297" s="8">
        <v>87.190000000000012</v>
      </c>
      <c r="N297">
        <f t="shared" si="4"/>
        <v>21</v>
      </c>
    </row>
    <row r="298" spans="1:14" x14ac:dyDescent="0.25">
      <c r="A298" s="7">
        <v>44126</v>
      </c>
      <c r="B298" s="1">
        <v>2597</v>
      </c>
      <c r="C298" s="1">
        <v>2025</v>
      </c>
      <c r="D298" s="1">
        <v>514</v>
      </c>
      <c r="E298" s="1">
        <v>572</v>
      </c>
      <c r="F298" s="1">
        <v>1363</v>
      </c>
      <c r="G298" s="1">
        <v>264</v>
      </c>
      <c r="H298" s="1">
        <v>543</v>
      </c>
      <c r="I298" s="1">
        <v>164</v>
      </c>
      <c r="J298" s="1">
        <v>63</v>
      </c>
      <c r="K298" s="1">
        <v>50</v>
      </c>
      <c r="L298" s="1">
        <v>350</v>
      </c>
      <c r="M298" s="8">
        <v>86.54</v>
      </c>
      <c r="N298">
        <f t="shared" si="4"/>
        <v>22</v>
      </c>
    </row>
    <row r="299" spans="1:14" x14ac:dyDescent="0.25">
      <c r="A299" s="7">
        <v>44127</v>
      </c>
      <c r="B299" s="1">
        <v>3031</v>
      </c>
      <c r="C299" s="1">
        <v>2152</v>
      </c>
      <c r="D299" s="1">
        <v>720</v>
      </c>
      <c r="E299" s="1">
        <v>879</v>
      </c>
      <c r="F299" s="1">
        <v>1537</v>
      </c>
      <c r="G299" s="1">
        <v>372</v>
      </c>
      <c r="H299" s="1">
        <v>668</v>
      </c>
      <c r="I299" s="1">
        <v>200</v>
      </c>
      <c r="J299" s="1">
        <v>54</v>
      </c>
      <c r="K299" s="1">
        <v>51</v>
      </c>
      <c r="L299" s="1">
        <v>714</v>
      </c>
      <c r="M299" s="8">
        <v>200.37</v>
      </c>
      <c r="N299">
        <f t="shared" si="4"/>
        <v>23</v>
      </c>
    </row>
    <row r="300" spans="1:14" x14ac:dyDescent="0.25">
      <c r="A300" s="7">
        <v>44128</v>
      </c>
      <c r="B300" s="1">
        <v>3227</v>
      </c>
      <c r="C300" s="1">
        <v>2420</v>
      </c>
      <c r="D300" s="1">
        <v>685</v>
      </c>
      <c r="E300" s="1">
        <v>807</v>
      </c>
      <c r="F300" s="1">
        <v>1468</v>
      </c>
      <c r="G300" s="1">
        <v>532</v>
      </c>
      <c r="H300" s="1">
        <v>641</v>
      </c>
      <c r="I300" s="1">
        <v>282</v>
      </c>
      <c r="J300" s="1">
        <v>104</v>
      </c>
      <c r="K300" s="1">
        <v>64</v>
      </c>
      <c r="L300" s="1">
        <v>768</v>
      </c>
      <c r="M300" s="8">
        <v>280.88</v>
      </c>
      <c r="N300">
        <f t="shared" si="4"/>
        <v>24</v>
      </c>
    </row>
    <row r="301" spans="1:14" x14ac:dyDescent="0.25">
      <c r="A301" s="7">
        <v>44129</v>
      </c>
      <c r="B301" s="1">
        <v>3558</v>
      </c>
      <c r="C301" s="1">
        <v>2561</v>
      </c>
      <c r="D301" s="1">
        <v>807</v>
      </c>
      <c r="E301" s="1">
        <v>997</v>
      </c>
      <c r="F301" s="1">
        <v>1343</v>
      </c>
      <c r="G301" s="1">
        <v>777</v>
      </c>
      <c r="H301" s="1">
        <v>692</v>
      </c>
      <c r="I301" s="1">
        <v>301</v>
      </c>
      <c r="J301" s="1">
        <v>245</v>
      </c>
      <c r="K301" s="1">
        <v>62</v>
      </c>
      <c r="L301" s="1">
        <v>744</v>
      </c>
      <c r="M301" s="8">
        <v>207.26999999999998</v>
      </c>
      <c r="N301">
        <f t="shared" si="4"/>
        <v>25</v>
      </c>
    </row>
    <row r="302" spans="1:14" x14ac:dyDescent="0.25">
      <c r="A302" s="7">
        <v>44130</v>
      </c>
      <c r="B302" s="1">
        <v>3001</v>
      </c>
      <c r="C302" s="1">
        <v>2640</v>
      </c>
      <c r="D302" s="1">
        <v>267</v>
      </c>
      <c r="E302" s="1">
        <v>361</v>
      </c>
      <c r="F302" s="1">
        <v>1054</v>
      </c>
      <c r="G302" s="1">
        <v>784</v>
      </c>
      <c r="H302" s="1">
        <v>732</v>
      </c>
      <c r="I302" s="1">
        <v>135</v>
      </c>
      <c r="J302" s="1">
        <v>96</v>
      </c>
      <c r="K302" s="1">
        <v>53</v>
      </c>
      <c r="L302" s="1">
        <v>583</v>
      </c>
      <c r="M302" s="8">
        <v>200.09</v>
      </c>
      <c r="N302">
        <f t="shared" si="4"/>
        <v>26</v>
      </c>
    </row>
    <row r="303" spans="1:14" x14ac:dyDescent="0.25">
      <c r="A303" s="7">
        <v>44131</v>
      </c>
      <c r="B303" s="1">
        <v>2813</v>
      </c>
      <c r="C303" s="1">
        <v>2475</v>
      </c>
      <c r="D303" s="1">
        <v>270</v>
      </c>
      <c r="E303" s="1">
        <v>338</v>
      </c>
      <c r="F303" s="1">
        <v>1398</v>
      </c>
      <c r="G303" s="1">
        <v>465</v>
      </c>
      <c r="H303" s="1">
        <v>532</v>
      </c>
      <c r="I303" s="1">
        <v>140</v>
      </c>
      <c r="J303" s="1">
        <v>78</v>
      </c>
      <c r="K303" s="1">
        <v>58</v>
      </c>
      <c r="L303" s="1">
        <v>348</v>
      </c>
      <c r="M303" s="8">
        <v>110.73</v>
      </c>
      <c r="N303">
        <f t="shared" si="4"/>
        <v>27</v>
      </c>
    </row>
    <row r="304" spans="1:14" x14ac:dyDescent="0.25">
      <c r="A304" s="7">
        <v>44132</v>
      </c>
      <c r="B304" s="1">
        <v>2177</v>
      </c>
      <c r="C304" s="1">
        <v>1915</v>
      </c>
      <c r="D304" s="1">
        <v>217</v>
      </c>
      <c r="E304" s="1">
        <v>262</v>
      </c>
      <c r="F304" s="1">
        <v>472</v>
      </c>
      <c r="G304" s="1">
        <v>740</v>
      </c>
      <c r="H304" s="1">
        <v>474</v>
      </c>
      <c r="I304" s="1">
        <v>81</v>
      </c>
      <c r="J304" s="1">
        <v>210</v>
      </c>
      <c r="K304" s="1">
        <v>54</v>
      </c>
      <c r="L304" s="1">
        <v>378</v>
      </c>
      <c r="M304" s="8">
        <v>123.5</v>
      </c>
      <c r="N304">
        <f t="shared" si="4"/>
        <v>28</v>
      </c>
    </row>
    <row r="305" spans="1:14" x14ac:dyDescent="0.25">
      <c r="A305" s="7">
        <v>44133</v>
      </c>
      <c r="B305" s="1">
        <v>2606</v>
      </c>
      <c r="C305" s="1">
        <v>2215</v>
      </c>
      <c r="D305" s="1">
        <v>324</v>
      </c>
      <c r="E305" s="1">
        <v>391</v>
      </c>
      <c r="F305" s="1">
        <v>436</v>
      </c>
      <c r="G305" s="1">
        <v>736</v>
      </c>
      <c r="H305" s="1">
        <v>664</v>
      </c>
      <c r="I305" s="1">
        <v>516</v>
      </c>
      <c r="J305" s="1">
        <v>54</v>
      </c>
      <c r="K305" s="1">
        <v>61</v>
      </c>
      <c r="L305" s="1">
        <v>915</v>
      </c>
      <c r="M305" s="8">
        <v>316.58</v>
      </c>
      <c r="N305">
        <f t="shared" si="4"/>
        <v>29</v>
      </c>
    </row>
    <row r="306" spans="1:14" x14ac:dyDescent="0.25">
      <c r="A306" s="7">
        <v>44134</v>
      </c>
      <c r="B306" s="1">
        <v>2173</v>
      </c>
      <c r="C306" s="1">
        <v>1521</v>
      </c>
      <c r="D306" s="1">
        <v>495</v>
      </c>
      <c r="E306" s="1">
        <v>652</v>
      </c>
      <c r="F306" s="1">
        <v>697</v>
      </c>
      <c r="G306" s="1">
        <v>322</v>
      </c>
      <c r="H306" s="1">
        <v>510</v>
      </c>
      <c r="I306" s="1">
        <v>240</v>
      </c>
      <c r="J306" s="1">
        <v>204</v>
      </c>
      <c r="K306" s="1">
        <v>57</v>
      </c>
      <c r="L306" s="1">
        <v>342</v>
      </c>
      <c r="M306" s="8">
        <v>81.36</v>
      </c>
      <c r="N306">
        <f t="shared" si="4"/>
        <v>30</v>
      </c>
    </row>
    <row r="307" spans="1:14" x14ac:dyDescent="0.25">
      <c r="A307" s="7">
        <v>44135</v>
      </c>
      <c r="B307" s="1">
        <v>2416</v>
      </c>
      <c r="C307" s="1">
        <v>1812</v>
      </c>
      <c r="D307" s="1">
        <v>434</v>
      </c>
      <c r="E307" s="1">
        <v>604</v>
      </c>
      <c r="F307" s="1">
        <v>522</v>
      </c>
      <c r="G307" s="1">
        <v>338</v>
      </c>
      <c r="H307" s="1">
        <v>706</v>
      </c>
      <c r="I307" s="1">
        <v>450</v>
      </c>
      <c r="J307" s="1">
        <v>200</v>
      </c>
      <c r="K307" s="1">
        <v>55</v>
      </c>
      <c r="L307" s="1">
        <v>440</v>
      </c>
      <c r="M307" s="8">
        <v>133.03</v>
      </c>
      <c r="N307">
        <f t="shared" si="4"/>
        <v>31</v>
      </c>
    </row>
    <row r="308" spans="1:14" x14ac:dyDescent="0.25">
      <c r="A308" s="7">
        <v>44136</v>
      </c>
      <c r="B308" s="1">
        <v>3679</v>
      </c>
      <c r="C308" s="1">
        <v>3090</v>
      </c>
      <c r="D308" s="1">
        <v>500</v>
      </c>
      <c r="E308" s="1">
        <v>589</v>
      </c>
      <c r="F308" s="1">
        <v>1804</v>
      </c>
      <c r="G308" s="1">
        <v>741</v>
      </c>
      <c r="H308" s="1">
        <v>643</v>
      </c>
      <c r="I308" s="1">
        <v>245</v>
      </c>
      <c r="J308" s="1">
        <v>46</v>
      </c>
      <c r="K308" s="1">
        <v>57</v>
      </c>
      <c r="L308" s="1">
        <v>570</v>
      </c>
      <c r="M308" s="8">
        <v>162</v>
      </c>
      <c r="N308">
        <f t="shared" si="4"/>
        <v>1</v>
      </c>
    </row>
    <row r="309" spans="1:14" x14ac:dyDescent="0.25">
      <c r="A309" s="7">
        <v>44137</v>
      </c>
      <c r="B309" s="1">
        <v>3595</v>
      </c>
      <c r="C309" s="1">
        <v>2552</v>
      </c>
      <c r="D309" s="1">
        <v>782</v>
      </c>
      <c r="E309" s="1">
        <v>1043</v>
      </c>
      <c r="F309" s="1">
        <v>2020</v>
      </c>
      <c r="G309" s="1">
        <v>540</v>
      </c>
      <c r="H309" s="1">
        <v>534</v>
      </c>
      <c r="I309" s="1">
        <v>141</v>
      </c>
      <c r="J309" s="1">
        <v>160</v>
      </c>
      <c r="K309" s="1">
        <v>65</v>
      </c>
      <c r="L309" s="1">
        <v>975</v>
      </c>
      <c r="M309" s="8">
        <v>208.34</v>
      </c>
      <c r="N309">
        <f t="shared" si="4"/>
        <v>2</v>
      </c>
    </row>
    <row r="310" spans="1:14" x14ac:dyDescent="0.25">
      <c r="A310" s="7">
        <v>44138</v>
      </c>
      <c r="B310" s="1">
        <v>2750</v>
      </c>
      <c r="C310" s="1">
        <v>2447</v>
      </c>
      <c r="D310" s="1">
        <v>230</v>
      </c>
      <c r="E310" s="1">
        <v>303</v>
      </c>
      <c r="F310" s="1">
        <v>1064</v>
      </c>
      <c r="G310" s="1">
        <v>720</v>
      </c>
      <c r="H310" s="1">
        <v>432</v>
      </c>
      <c r="I310" s="1">
        <v>100</v>
      </c>
      <c r="J310" s="1">
        <v>234</v>
      </c>
      <c r="K310" s="1">
        <v>51</v>
      </c>
      <c r="L310" s="1">
        <v>306</v>
      </c>
      <c r="M310" s="8">
        <v>116.15</v>
      </c>
      <c r="N310">
        <f t="shared" si="4"/>
        <v>3</v>
      </c>
    </row>
    <row r="311" spans="1:14" x14ac:dyDescent="0.25">
      <c r="A311" s="7">
        <v>44139</v>
      </c>
      <c r="B311" s="1">
        <v>2602</v>
      </c>
      <c r="C311" s="1">
        <v>2029</v>
      </c>
      <c r="D311" s="1">
        <v>475</v>
      </c>
      <c r="E311" s="1">
        <v>573</v>
      </c>
      <c r="F311" s="1">
        <v>916</v>
      </c>
      <c r="G311" s="1">
        <v>630</v>
      </c>
      <c r="H311" s="1">
        <v>570</v>
      </c>
      <c r="I311" s="1">
        <v>150</v>
      </c>
      <c r="J311" s="1">
        <v>136</v>
      </c>
      <c r="K311" s="1">
        <v>57</v>
      </c>
      <c r="L311" s="1">
        <v>570</v>
      </c>
      <c r="M311" s="8">
        <v>219.75</v>
      </c>
      <c r="N311">
        <f t="shared" si="4"/>
        <v>4</v>
      </c>
    </row>
    <row r="312" spans="1:14" x14ac:dyDescent="0.25">
      <c r="A312" s="7">
        <v>44140</v>
      </c>
      <c r="B312" s="1">
        <v>3134</v>
      </c>
      <c r="C312" s="1">
        <v>2413</v>
      </c>
      <c r="D312" s="1">
        <v>576</v>
      </c>
      <c r="E312" s="1">
        <v>721</v>
      </c>
      <c r="F312" s="1">
        <v>1276</v>
      </c>
      <c r="G312" s="1">
        <v>416</v>
      </c>
      <c r="H312" s="1">
        <v>732</v>
      </c>
      <c r="I312" s="1">
        <v>294</v>
      </c>
      <c r="J312" s="1">
        <v>216</v>
      </c>
      <c r="K312" s="1">
        <v>61</v>
      </c>
      <c r="L312" s="1">
        <v>854</v>
      </c>
      <c r="M312" s="8">
        <v>233.23</v>
      </c>
      <c r="N312">
        <f t="shared" si="4"/>
        <v>5</v>
      </c>
    </row>
    <row r="313" spans="1:14" x14ac:dyDescent="0.25">
      <c r="A313" s="7">
        <v>44141</v>
      </c>
      <c r="B313" s="1">
        <v>3064</v>
      </c>
      <c r="C313" s="1">
        <v>2359</v>
      </c>
      <c r="D313" s="1">
        <v>620</v>
      </c>
      <c r="E313" s="1">
        <v>705</v>
      </c>
      <c r="F313" s="1">
        <v>1340</v>
      </c>
      <c r="G313" s="1">
        <v>525</v>
      </c>
      <c r="H313" s="1">
        <v>532</v>
      </c>
      <c r="I313" s="1">
        <v>215</v>
      </c>
      <c r="J313" s="1">
        <v>252</v>
      </c>
      <c r="K313" s="1">
        <v>54</v>
      </c>
      <c r="L313" s="1">
        <v>486</v>
      </c>
      <c r="M313" s="8">
        <v>151.60999999999999</v>
      </c>
      <c r="N313">
        <f t="shared" si="4"/>
        <v>6</v>
      </c>
    </row>
    <row r="314" spans="1:14" x14ac:dyDescent="0.25">
      <c r="A314" s="7">
        <v>44142</v>
      </c>
      <c r="B314" s="1">
        <v>3122</v>
      </c>
      <c r="C314" s="1">
        <v>2279</v>
      </c>
      <c r="D314" s="1">
        <v>741</v>
      </c>
      <c r="E314" s="1">
        <v>843</v>
      </c>
      <c r="F314" s="1">
        <v>1075</v>
      </c>
      <c r="G314" s="1">
        <v>966</v>
      </c>
      <c r="H314" s="1">
        <v>608</v>
      </c>
      <c r="I314" s="1">
        <v>105</v>
      </c>
      <c r="J314" s="1">
        <v>168</v>
      </c>
      <c r="K314" s="1">
        <v>58</v>
      </c>
      <c r="L314" s="1">
        <v>638</v>
      </c>
      <c r="M314" s="8">
        <v>182.56</v>
      </c>
      <c r="N314">
        <f t="shared" si="4"/>
        <v>7</v>
      </c>
    </row>
    <row r="315" spans="1:14" x14ac:dyDescent="0.25">
      <c r="A315" s="7">
        <v>44143</v>
      </c>
      <c r="B315" s="1">
        <v>2534</v>
      </c>
      <c r="C315" s="1">
        <v>1773</v>
      </c>
      <c r="D315" s="1">
        <v>532</v>
      </c>
      <c r="E315" s="1">
        <v>761</v>
      </c>
      <c r="F315" s="1">
        <v>949</v>
      </c>
      <c r="G315" s="1">
        <v>384</v>
      </c>
      <c r="H315" s="1">
        <v>500</v>
      </c>
      <c r="I315" s="1">
        <v>336</v>
      </c>
      <c r="J315" s="1">
        <v>165</v>
      </c>
      <c r="K315" s="1">
        <v>57</v>
      </c>
      <c r="L315" s="1">
        <v>456</v>
      </c>
      <c r="M315" s="8">
        <v>133.26</v>
      </c>
      <c r="N315">
        <f t="shared" si="4"/>
        <v>8</v>
      </c>
    </row>
    <row r="316" spans="1:14" x14ac:dyDescent="0.25">
      <c r="A316" s="7">
        <v>44144</v>
      </c>
      <c r="B316" s="1">
        <v>2898</v>
      </c>
      <c r="C316" s="1">
        <v>2376</v>
      </c>
      <c r="D316" s="1">
        <v>375</v>
      </c>
      <c r="E316" s="1">
        <v>522</v>
      </c>
      <c r="F316" s="1">
        <v>1475</v>
      </c>
      <c r="G316" s="1">
        <v>483</v>
      </c>
      <c r="H316" s="1">
        <v>405</v>
      </c>
      <c r="I316" s="1">
        <v>115</v>
      </c>
      <c r="J316" s="1">
        <v>220</v>
      </c>
      <c r="K316" s="1">
        <v>59</v>
      </c>
      <c r="L316" s="1">
        <v>885</v>
      </c>
      <c r="M316" s="8">
        <v>239.31</v>
      </c>
      <c r="N316">
        <f t="shared" si="4"/>
        <v>9</v>
      </c>
    </row>
    <row r="317" spans="1:14" x14ac:dyDescent="0.25">
      <c r="A317" s="7">
        <v>44145</v>
      </c>
      <c r="B317" s="1">
        <v>3057</v>
      </c>
      <c r="C317" s="1">
        <v>2751</v>
      </c>
      <c r="D317" s="1">
        <v>275</v>
      </c>
      <c r="E317" s="1">
        <v>306</v>
      </c>
      <c r="F317" s="1">
        <v>1210</v>
      </c>
      <c r="G317" s="1">
        <v>416</v>
      </c>
      <c r="H317" s="1">
        <v>872</v>
      </c>
      <c r="I317" s="1">
        <v>100</v>
      </c>
      <c r="J317" s="1">
        <v>259</v>
      </c>
      <c r="K317" s="1">
        <v>59</v>
      </c>
      <c r="L317" s="1">
        <v>472</v>
      </c>
      <c r="M317" s="8">
        <v>168.23</v>
      </c>
      <c r="N317">
        <f t="shared" si="4"/>
        <v>10</v>
      </c>
    </row>
    <row r="318" spans="1:14" x14ac:dyDescent="0.25">
      <c r="A318" s="7">
        <v>44146</v>
      </c>
      <c r="B318" s="1">
        <v>3164</v>
      </c>
      <c r="C318" s="1">
        <v>2341</v>
      </c>
      <c r="D318" s="1">
        <v>699</v>
      </c>
      <c r="E318" s="1">
        <v>823</v>
      </c>
      <c r="F318" s="1">
        <v>1306</v>
      </c>
      <c r="G318" s="1">
        <v>510</v>
      </c>
      <c r="H318" s="1">
        <v>636</v>
      </c>
      <c r="I318" s="1">
        <v>288</v>
      </c>
      <c r="J318" s="1">
        <v>224</v>
      </c>
      <c r="K318" s="1">
        <v>59</v>
      </c>
      <c r="L318" s="1">
        <v>472</v>
      </c>
      <c r="M318" s="8">
        <v>163.60999999999999</v>
      </c>
      <c r="N318">
        <f t="shared" si="4"/>
        <v>11</v>
      </c>
    </row>
    <row r="319" spans="1:14" x14ac:dyDescent="0.25">
      <c r="A319" s="7">
        <v>44147</v>
      </c>
      <c r="B319" s="1">
        <v>2553</v>
      </c>
      <c r="C319" s="1">
        <v>1812</v>
      </c>
      <c r="D319" s="1">
        <v>644</v>
      </c>
      <c r="E319" s="1">
        <v>741</v>
      </c>
      <c r="F319" s="1">
        <v>685</v>
      </c>
      <c r="G319" s="1">
        <v>760</v>
      </c>
      <c r="H319" s="1">
        <v>594</v>
      </c>
      <c r="I319" s="1">
        <v>164</v>
      </c>
      <c r="J319" s="1">
        <v>150</v>
      </c>
      <c r="K319" s="1">
        <v>50</v>
      </c>
      <c r="L319" s="1">
        <v>650</v>
      </c>
      <c r="M319" s="8">
        <v>242.53</v>
      </c>
      <c r="N319">
        <f t="shared" si="4"/>
        <v>12</v>
      </c>
    </row>
    <row r="320" spans="1:14" x14ac:dyDescent="0.25">
      <c r="A320" s="7">
        <v>44148</v>
      </c>
      <c r="B320" s="1">
        <v>2335</v>
      </c>
      <c r="C320" s="1">
        <v>2078</v>
      </c>
      <c r="D320" s="1">
        <v>210</v>
      </c>
      <c r="E320" s="1">
        <v>257</v>
      </c>
      <c r="F320" s="1">
        <v>415</v>
      </c>
      <c r="G320" s="1">
        <v>559</v>
      </c>
      <c r="H320" s="1">
        <v>730</v>
      </c>
      <c r="I320" s="1">
        <v>231</v>
      </c>
      <c r="J320" s="1">
        <v>200</v>
      </c>
      <c r="K320" s="1">
        <v>53</v>
      </c>
      <c r="L320" s="1">
        <v>689</v>
      </c>
      <c r="M320" s="8">
        <v>257.8</v>
      </c>
      <c r="N320">
        <f t="shared" si="4"/>
        <v>13</v>
      </c>
    </row>
    <row r="321" spans="1:14" x14ac:dyDescent="0.25">
      <c r="A321" s="7">
        <v>44149</v>
      </c>
      <c r="B321" s="1">
        <v>2866</v>
      </c>
      <c r="C321" s="1">
        <v>2264</v>
      </c>
      <c r="D321" s="1">
        <v>511</v>
      </c>
      <c r="E321" s="1">
        <v>602</v>
      </c>
      <c r="F321" s="1">
        <v>1292</v>
      </c>
      <c r="G321" s="1">
        <v>400</v>
      </c>
      <c r="H321" s="1">
        <v>540</v>
      </c>
      <c r="I321" s="1">
        <v>350</v>
      </c>
      <c r="J321" s="1">
        <v>84</v>
      </c>
      <c r="K321" s="1">
        <v>64</v>
      </c>
      <c r="L321" s="1">
        <v>768</v>
      </c>
      <c r="M321" s="8">
        <v>233.41</v>
      </c>
      <c r="N321">
        <f t="shared" si="4"/>
        <v>14</v>
      </c>
    </row>
    <row r="322" spans="1:14" x14ac:dyDescent="0.25">
      <c r="A322" s="7">
        <v>44150</v>
      </c>
      <c r="B322" s="1">
        <v>2314</v>
      </c>
      <c r="C322" s="1">
        <v>1781</v>
      </c>
      <c r="D322" s="1">
        <v>431</v>
      </c>
      <c r="E322" s="1">
        <v>533</v>
      </c>
      <c r="F322" s="1">
        <v>688</v>
      </c>
      <c r="G322" s="1">
        <v>592</v>
      </c>
      <c r="H322" s="1">
        <v>552</v>
      </c>
      <c r="I322" s="1">
        <v>126</v>
      </c>
      <c r="J322" s="1">
        <v>156</v>
      </c>
      <c r="K322" s="1">
        <v>56</v>
      </c>
      <c r="L322" s="1">
        <v>448</v>
      </c>
      <c r="M322" s="8">
        <v>152.45999999999998</v>
      </c>
      <c r="N322">
        <f t="shared" si="4"/>
        <v>15</v>
      </c>
    </row>
    <row r="323" spans="1:14" x14ac:dyDescent="0.25">
      <c r="A323" s="7">
        <v>44151</v>
      </c>
      <c r="B323" s="1">
        <v>2829</v>
      </c>
      <c r="C323" s="1">
        <v>2234</v>
      </c>
      <c r="D323" s="1">
        <v>505</v>
      </c>
      <c r="E323" s="1">
        <v>595</v>
      </c>
      <c r="F323" s="1">
        <v>1020</v>
      </c>
      <c r="G323" s="1">
        <v>512</v>
      </c>
      <c r="H323" s="1">
        <v>516</v>
      </c>
      <c r="I323" s="1">
        <v>280</v>
      </c>
      <c r="J323" s="1">
        <v>301</v>
      </c>
      <c r="K323" s="1">
        <v>58</v>
      </c>
      <c r="L323" s="1">
        <v>812</v>
      </c>
      <c r="M323" s="8">
        <v>194.57</v>
      </c>
      <c r="N323">
        <f t="shared" si="4"/>
        <v>16</v>
      </c>
    </row>
    <row r="324" spans="1:14" x14ac:dyDescent="0.25">
      <c r="A324" s="7">
        <v>44152</v>
      </c>
      <c r="B324" s="1">
        <v>2351</v>
      </c>
      <c r="C324" s="1">
        <v>1763</v>
      </c>
      <c r="D324" s="1">
        <v>505</v>
      </c>
      <c r="E324" s="1">
        <v>588</v>
      </c>
      <c r="F324" s="1">
        <v>748</v>
      </c>
      <c r="G324" s="1">
        <v>462</v>
      </c>
      <c r="H324" s="1">
        <v>517</v>
      </c>
      <c r="I324" s="1">
        <v>252</v>
      </c>
      <c r="J324" s="1">
        <v>172</v>
      </c>
      <c r="K324" s="1">
        <v>45</v>
      </c>
      <c r="L324" s="1">
        <v>270</v>
      </c>
      <c r="M324" s="8">
        <v>61.919999999999995</v>
      </c>
      <c r="N324">
        <f t="shared" ref="N324:N368" si="5">DAY(A324)</f>
        <v>17</v>
      </c>
    </row>
    <row r="325" spans="1:14" x14ac:dyDescent="0.25">
      <c r="A325" s="7">
        <v>44153</v>
      </c>
      <c r="B325" s="1">
        <v>2380</v>
      </c>
      <c r="C325" s="1">
        <v>1808</v>
      </c>
      <c r="D325" s="1">
        <v>514</v>
      </c>
      <c r="E325" s="1">
        <v>572</v>
      </c>
      <c r="F325" s="1">
        <v>796</v>
      </c>
      <c r="G325" s="1">
        <v>740</v>
      </c>
      <c r="H325" s="1">
        <v>420</v>
      </c>
      <c r="I325" s="1">
        <v>140</v>
      </c>
      <c r="J325" s="1">
        <v>84</v>
      </c>
      <c r="K325" s="1">
        <v>60</v>
      </c>
      <c r="L325" s="1">
        <v>900</v>
      </c>
      <c r="M325" s="8">
        <v>322.3</v>
      </c>
      <c r="N325">
        <f t="shared" si="5"/>
        <v>18</v>
      </c>
    </row>
    <row r="326" spans="1:14" x14ac:dyDescent="0.25">
      <c r="A326" s="7">
        <v>44154</v>
      </c>
      <c r="B326" s="1">
        <v>2823</v>
      </c>
      <c r="C326" s="1">
        <v>2343</v>
      </c>
      <c r="D326" s="1">
        <v>364</v>
      </c>
      <c r="E326" s="1">
        <v>480</v>
      </c>
      <c r="F326" s="1">
        <v>1300</v>
      </c>
      <c r="G326" s="1">
        <v>385</v>
      </c>
      <c r="H326" s="1">
        <v>684</v>
      </c>
      <c r="I326" s="1">
        <v>50</v>
      </c>
      <c r="J326" s="1">
        <v>204</v>
      </c>
      <c r="K326" s="1">
        <v>56</v>
      </c>
      <c r="L326" s="1">
        <v>448</v>
      </c>
      <c r="M326" s="8">
        <v>125.07000000000001</v>
      </c>
      <c r="N326">
        <f t="shared" si="5"/>
        <v>19</v>
      </c>
    </row>
    <row r="327" spans="1:14" x14ac:dyDescent="0.25">
      <c r="A327" s="7">
        <v>44155</v>
      </c>
      <c r="B327" s="1">
        <v>2733</v>
      </c>
      <c r="C327" s="1">
        <v>2432</v>
      </c>
      <c r="D327" s="1">
        <v>258</v>
      </c>
      <c r="E327" s="1">
        <v>301</v>
      </c>
      <c r="F327" s="1">
        <v>1150</v>
      </c>
      <c r="G327" s="1">
        <v>703</v>
      </c>
      <c r="H327" s="1">
        <v>476</v>
      </c>
      <c r="I327" s="1">
        <v>117</v>
      </c>
      <c r="J327" s="1">
        <v>87</v>
      </c>
      <c r="K327" s="1">
        <v>55</v>
      </c>
      <c r="L327" s="1">
        <v>605</v>
      </c>
      <c r="M327" s="8">
        <v>197.29</v>
      </c>
      <c r="N327">
        <f t="shared" si="5"/>
        <v>20</v>
      </c>
    </row>
    <row r="328" spans="1:14" x14ac:dyDescent="0.25">
      <c r="A328" s="7">
        <v>44156</v>
      </c>
      <c r="B328" s="1">
        <v>2307</v>
      </c>
      <c r="C328" s="1">
        <v>1914</v>
      </c>
      <c r="D328" s="1">
        <v>286</v>
      </c>
      <c r="E328" s="1">
        <v>393</v>
      </c>
      <c r="F328" s="1">
        <v>802</v>
      </c>
      <c r="G328" s="1">
        <v>416</v>
      </c>
      <c r="H328" s="1">
        <v>492</v>
      </c>
      <c r="I328" s="1">
        <v>215</v>
      </c>
      <c r="J328" s="1">
        <v>182</v>
      </c>
      <c r="K328" s="1">
        <v>57</v>
      </c>
      <c r="L328" s="1">
        <v>855</v>
      </c>
      <c r="M328" s="8">
        <v>198.04</v>
      </c>
      <c r="N328">
        <f t="shared" si="5"/>
        <v>21</v>
      </c>
    </row>
    <row r="329" spans="1:14" x14ac:dyDescent="0.25">
      <c r="A329" s="7">
        <v>44157</v>
      </c>
      <c r="B329" s="1">
        <v>3099</v>
      </c>
      <c r="C329" s="1">
        <v>2169</v>
      </c>
      <c r="D329" s="1">
        <v>790</v>
      </c>
      <c r="E329" s="1">
        <v>930</v>
      </c>
      <c r="F329" s="1">
        <v>1500</v>
      </c>
      <c r="G329" s="1">
        <v>480</v>
      </c>
      <c r="H329" s="1">
        <v>625</v>
      </c>
      <c r="I329" s="1">
        <v>200</v>
      </c>
      <c r="J329" s="1">
        <v>94</v>
      </c>
      <c r="K329" s="1">
        <v>60</v>
      </c>
      <c r="L329" s="1">
        <v>360</v>
      </c>
      <c r="M329" s="8">
        <v>103.2</v>
      </c>
      <c r="N329">
        <f t="shared" si="5"/>
        <v>22</v>
      </c>
    </row>
    <row r="330" spans="1:14" x14ac:dyDescent="0.25">
      <c r="A330" s="7">
        <v>44158</v>
      </c>
      <c r="B330" s="1">
        <v>2417</v>
      </c>
      <c r="C330" s="1">
        <v>1909</v>
      </c>
      <c r="D330" s="1">
        <v>375</v>
      </c>
      <c r="E330" s="1">
        <v>508</v>
      </c>
      <c r="F330" s="1">
        <v>1201</v>
      </c>
      <c r="G330" s="1">
        <v>286</v>
      </c>
      <c r="H330" s="1">
        <v>410</v>
      </c>
      <c r="I330" s="1">
        <v>250</v>
      </c>
      <c r="J330" s="1">
        <v>70</v>
      </c>
      <c r="K330" s="1">
        <v>52</v>
      </c>
      <c r="L330" s="1">
        <v>676</v>
      </c>
      <c r="M330" s="8">
        <v>159.47</v>
      </c>
      <c r="N330">
        <f t="shared" si="5"/>
        <v>23</v>
      </c>
    </row>
    <row r="331" spans="1:14" x14ac:dyDescent="0.25">
      <c r="A331" s="7">
        <v>44159</v>
      </c>
      <c r="B331" s="1">
        <v>2422</v>
      </c>
      <c r="C331" s="1">
        <v>1937</v>
      </c>
      <c r="D331" s="1">
        <v>344</v>
      </c>
      <c r="E331" s="1">
        <v>485</v>
      </c>
      <c r="F331" s="1">
        <v>988</v>
      </c>
      <c r="G331" s="1">
        <v>630</v>
      </c>
      <c r="H331" s="1">
        <v>360</v>
      </c>
      <c r="I331" s="1">
        <v>200</v>
      </c>
      <c r="J331" s="1">
        <v>44</v>
      </c>
      <c r="K331" s="1">
        <v>43</v>
      </c>
      <c r="L331" s="1">
        <v>559</v>
      </c>
      <c r="M331" s="8">
        <v>214.06</v>
      </c>
      <c r="N331">
        <f t="shared" si="5"/>
        <v>24</v>
      </c>
    </row>
    <row r="332" spans="1:14" x14ac:dyDescent="0.25">
      <c r="A332" s="7">
        <v>44160</v>
      </c>
      <c r="B332" s="1">
        <v>2740</v>
      </c>
      <c r="C332" s="1">
        <v>2192</v>
      </c>
      <c r="D332" s="1">
        <v>427</v>
      </c>
      <c r="E332" s="1">
        <v>548</v>
      </c>
      <c r="F332" s="1">
        <v>1264</v>
      </c>
      <c r="G332" s="1">
        <v>455</v>
      </c>
      <c r="H332" s="1">
        <v>534</v>
      </c>
      <c r="I332" s="1">
        <v>35</v>
      </c>
      <c r="J332" s="1">
        <v>252</v>
      </c>
      <c r="K332" s="1">
        <v>47</v>
      </c>
      <c r="L332" s="1">
        <v>376</v>
      </c>
      <c r="M332" s="8">
        <v>87.100000000000009</v>
      </c>
      <c r="N332">
        <f t="shared" si="5"/>
        <v>25</v>
      </c>
    </row>
    <row r="333" spans="1:14" x14ac:dyDescent="0.25">
      <c r="A333" s="7">
        <v>44161</v>
      </c>
      <c r="B333" s="1">
        <v>3168</v>
      </c>
      <c r="C333" s="1">
        <v>2502</v>
      </c>
      <c r="D333" s="1">
        <v>479</v>
      </c>
      <c r="E333" s="1">
        <v>666</v>
      </c>
      <c r="F333" s="1">
        <v>1372</v>
      </c>
      <c r="G333" s="1">
        <v>506</v>
      </c>
      <c r="H333" s="1">
        <v>692</v>
      </c>
      <c r="I333" s="1">
        <v>210</v>
      </c>
      <c r="J333" s="1">
        <v>188</v>
      </c>
      <c r="K333" s="1">
        <v>65</v>
      </c>
      <c r="L333" s="1">
        <v>845</v>
      </c>
      <c r="M333" s="8">
        <v>246.12</v>
      </c>
      <c r="N333">
        <f t="shared" si="5"/>
        <v>26</v>
      </c>
    </row>
    <row r="334" spans="1:14" x14ac:dyDescent="0.25">
      <c r="A334" s="7">
        <v>44162</v>
      </c>
      <c r="B334" s="1">
        <v>2107</v>
      </c>
      <c r="C334" s="1">
        <v>1706</v>
      </c>
      <c r="D334" s="1">
        <v>296</v>
      </c>
      <c r="E334" s="1">
        <v>401</v>
      </c>
      <c r="F334" s="1">
        <v>564</v>
      </c>
      <c r="G334" s="1">
        <v>483</v>
      </c>
      <c r="H334" s="1">
        <v>677</v>
      </c>
      <c r="I334" s="1">
        <v>58</v>
      </c>
      <c r="J334" s="1">
        <v>125</v>
      </c>
      <c r="K334" s="1">
        <v>62</v>
      </c>
      <c r="L334" s="1">
        <v>558</v>
      </c>
      <c r="M334" s="8">
        <v>218.98</v>
      </c>
      <c r="N334">
        <f t="shared" si="5"/>
        <v>27</v>
      </c>
    </row>
    <row r="335" spans="1:14" x14ac:dyDescent="0.25">
      <c r="A335" s="7">
        <v>44163</v>
      </c>
      <c r="B335" s="1">
        <v>2526</v>
      </c>
      <c r="C335" s="1">
        <v>2147</v>
      </c>
      <c r="D335" s="1">
        <v>306</v>
      </c>
      <c r="E335" s="1">
        <v>379</v>
      </c>
      <c r="F335" s="1">
        <v>540</v>
      </c>
      <c r="G335" s="1">
        <v>702</v>
      </c>
      <c r="H335" s="1">
        <v>636</v>
      </c>
      <c r="I335" s="1">
        <v>252</v>
      </c>
      <c r="J335" s="1">
        <v>196</v>
      </c>
      <c r="K335" s="1">
        <v>56</v>
      </c>
      <c r="L335" s="1">
        <v>784</v>
      </c>
      <c r="M335" s="8">
        <v>194.89999999999998</v>
      </c>
      <c r="N335">
        <f t="shared" si="5"/>
        <v>28</v>
      </c>
    </row>
    <row r="336" spans="1:14" x14ac:dyDescent="0.25">
      <c r="A336" s="7">
        <v>44164</v>
      </c>
      <c r="B336" s="1">
        <v>2155</v>
      </c>
      <c r="C336" s="1">
        <v>1659</v>
      </c>
      <c r="D336" s="1">
        <v>401</v>
      </c>
      <c r="E336" s="1">
        <v>496</v>
      </c>
      <c r="F336" s="1">
        <v>484</v>
      </c>
      <c r="G336" s="1">
        <v>572</v>
      </c>
      <c r="H336" s="1">
        <v>692</v>
      </c>
      <c r="I336" s="1">
        <v>138</v>
      </c>
      <c r="J336" s="1">
        <v>69</v>
      </c>
      <c r="K336" s="1">
        <v>42</v>
      </c>
      <c r="L336" s="1">
        <v>210</v>
      </c>
      <c r="M336" s="8">
        <v>63.08</v>
      </c>
      <c r="N336">
        <f t="shared" si="5"/>
        <v>29</v>
      </c>
    </row>
    <row r="337" spans="1:14" x14ac:dyDescent="0.25">
      <c r="A337" s="7">
        <v>44165</v>
      </c>
      <c r="B337" s="1">
        <v>2779</v>
      </c>
      <c r="C337" s="1">
        <v>2223</v>
      </c>
      <c r="D337" s="1">
        <v>394</v>
      </c>
      <c r="E337" s="1">
        <v>556</v>
      </c>
      <c r="F337" s="1">
        <v>1474</v>
      </c>
      <c r="G337" s="1">
        <v>377</v>
      </c>
      <c r="H337" s="1">
        <v>492</v>
      </c>
      <c r="I337" s="1">
        <v>54</v>
      </c>
      <c r="J337" s="1">
        <v>182</v>
      </c>
      <c r="K337" s="1">
        <v>49</v>
      </c>
      <c r="L337" s="1">
        <v>686</v>
      </c>
      <c r="M337" s="8">
        <v>262.13</v>
      </c>
      <c r="N337">
        <f t="shared" si="5"/>
        <v>30</v>
      </c>
    </row>
    <row r="338" spans="1:14" x14ac:dyDescent="0.25">
      <c r="A338" s="7">
        <v>44166</v>
      </c>
      <c r="B338" s="1">
        <v>2855</v>
      </c>
      <c r="C338" s="1">
        <v>2455</v>
      </c>
      <c r="D338" s="1">
        <v>284</v>
      </c>
      <c r="E338" s="1">
        <v>400</v>
      </c>
      <c r="F338" s="1">
        <v>980</v>
      </c>
      <c r="G338" s="1">
        <v>846</v>
      </c>
      <c r="H338" s="1">
        <v>597</v>
      </c>
      <c r="I338" s="1">
        <v>50</v>
      </c>
      <c r="J338" s="1">
        <v>182</v>
      </c>
      <c r="K338" s="1">
        <v>58</v>
      </c>
      <c r="L338" s="1">
        <v>812</v>
      </c>
      <c r="M338" s="8">
        <v>211.87</v>
      </c>
      <c r="N338">
        <f t="shared" si="5"/>
        <v>1</v>
      </c>
    </row>
    <row r="339" spans="1:14" x14ac:dyDescent="0.25">
      <c r="A339" s="7">
        <v>44167</v>
      </c>
      <c r="B339" s="1">
        <v>2807</v>
      </c>
      <c r="C339" s="1">
        <v>2021</v>
      </c>
      <c r="D339" s="1">
        <v>628</v>
      </c>
      <c r="E339" s="1">
        <v>786</v>
      </c>
      <c r="F339" s="1">
        <v>894</v>
      </c>
      <c r="G339" s="1">
        <v>600</v>
      </c>
      <c r="H339" s="1">
        <v>804</v>
      </c>
      <c r="I339" s="1">
        <v>245</v>
      </c>
      <c r="J339" s="1">
        <v>64</v>
      </c>
      <c r="K339" s="1">
        <v>52</v>
      </c>
      <c r="L339" s="1">
        <v>780</v>
      </c>
      <c r="M339" s="8">
        <v>293.14999999999998</v>
      </c>
      <c r="N339">
        <f t="shared" si="5"/>
        <v>2</v>
      </c>
    </row>
    <row r="340" spans="1:14" x14ac:dyDescent="0.25">
      <c r="A340" s="7">
        <v>44168</v>
      </c>
      <c r="B340" s="1">
        <v>3112</v>
      </c>
      <c r="C340" s="1">
        <v>2645</v>
      </c>
      <c r="D340" s="1">
        <v>354</v>
      </c>
      <c r="E340" s="1">
        <v>467</v>
      </c>
      <c r="F340" s="1">
        <v>1524</v>
      </c>
      <c r="G340" s="1">
        <v>464</v>
      </c>
      <c r="H340" s="1">
        <v>674</v>
      </c>
      <c r="I340" s="1">
        <v>138</v>
      </c>
      <c r="J340" s="1">
        <v>112</v>
      </c>
      <c r="K340" s="1">
        <v>56</v>
      </c>
      <c r="L340" s="1">
        <v>784</v>
      </c>
      <c r="M340" s="8">
        <v>305.45999999999998</v>
      </c>
      <c r="N340">
        <f t="shared" si="5"/>
        <v>3</v>
      </c>
    </row>
    <row r="341" spans="1:14" x14ac:dyDescent="0.25">
      <c r="A341" s="7">
        <v>44169</v>
      </c>
      <c r="B341" s="1">
        <v>3397</v>
      </c>
      <c r="C341" s="1">
        <v>3023</v>
      </c>
      <c r="D341" s="1">
        <v>332</v>
      </c>
      <c r="E341" s="1">
        <v>374</v>
      </c>
      <c r="F341" s="1">
        <v>1710</v>
      </c>
      <c r="G341" s="1">
        <v>513</v>
      </c>
      <c r="H341" s="1">
        <v>570</v>
      </c>
      <c r="I341" s="1">
        <v>320</v>
      </c>
      <c r="J341" s="1">
        <v>84</v>
      </c>
      <c r="K341" s="1">
        <v>65</v>
      </c>
      <c r="L341" s="1">
        <v>325</v>
      </c>
      <c r="M341" s="8">
        <v>94.38000000000001</v>
      </c>
      <c r="N341">
        <f t="shared" si="5"/>
        <v>4</v>
      </c>
    </row>
    <row r="342" spans="1:14" x14ac:dyDescent="0.25">
      <c r="A342" s="7">
        <v>44170</v>
      </c>
      <c r="B342" s="1">
        <v>2764</v>
      </c>
      <c r="C342" s="1">
        <v>2487</v>
      </c>
      <c r="D342" s="1">
        <v>216</v>
      </c>
      <c r="E342" s="1">
        <v>277</v>
      </c>
      <c r="F342" s="1">
        <v>438</v>
      </c>
      <c r="G342" s="1">
        <v>784</v>
      </c>
      <c r="H342" s="1">
        <v>790</v>
      </c>
      <c r="I342" s="1">
        <v>280</v>
      </c>
      <c r="J342" s="1">
        <v>272</v>
      </c>
      <c r="K342" s="1">
        <v>56</v>
      </c>
      <c r="L342" s="1">
        <v>784</v>
      </c>
      <c r="M342" s="8">
        <v>222.26999999999998</v>
      </c>
      <c r="N342">
        <f t="shared" si="5"/>
        <v>5</v>
      </c>
    </row>
    <row r="343" spans="1:14" x14ac:dyDescent="0.25">
      <c r="A343" s="7">
        <v>44171</v>
      </c>
      <c r="B343" s="1">
        <v>2045</v>
      </c>
      <c r="C343" s="1">
        <v>1820</v>
      </c>
      <c r="D343" s="1">
        <v>202</v>
      </c>
      <c r="E343" s="1">
        <v>225</v>
      </c>
      <c r="F343" s="1">
        <v>462</v>
      </c>
      <c r="G343" s="1">
        <v>544</v>
      </c>
      <c r="H343" s="1">
        <v>415</v>
      </c>
      <c r="I343" s="1">
        <v>320</v>
      </c>
      <c r="J343" s="1">
        <v>104</v>
      </c>
      <c r="K343" s="1">
        <v>46</v>
      </c>
      <c r="L343" s="1">
        <v>414</v>
      </c>
      <c r="M343" s="8">
        <v>111.54</v>
      </c>
      <c r="N343">
        <f t="shared" si="5"/>
        <v>6</v>
      </c>
    </row>
    <row r="344" spans="1:14" x14ac:dyDescent="0.25">
      <c r="A344" s="7">
        <v>44172</v>
      </c>
      <c r="B344" s="1">
        <v>3328</v>
      </c>
      <c r="C344" s="1">
        <v>2862</v>
      </c>
      <c r="D344" s="1">
        <v>344</v>
      </c>
      <c r="E344" s="1">
        <v>466</v>
      </c>
      <c r="F344" s="1">
        <v>1554</v>
      </c>
      <c r="G344" s="1">
        <v>616</v>
      </c>
      <c r="H344" s="1">
        <v>508</v>
      </c>
      <c r="I344" s="1">
        <v>200</v>
      </c>
      <c r="J344" s="1">
        <v>250</v>
      </c>
      <c r="K344" s="1">
        <v>61</v>
      </c>
      <c r="L344" s="1">
        <v>366</v>
      </c>
      <c r="M344" s="8">
        <v>131.94</v>
      </c>
      <c r="N344">
        <f t="shared" si="5"/>
        <v>7</v>
      </c>
    </row>
    <row r="345" spans="1:14" x14ac:dyDescent="0.25">
      <c r="A345" s="7">
        <v>44173</v>
      </c>
      <c r="B345" s="1">
        <v>2860</v>
      </c>
      <c r="C345" s="1">
        <v>2373</v>
      </c>
      <c r="D345" s="1">
        <v>379</v>
      </c>
      <c r="E345" s="1">
        <v>487</v>
      </c>
      <c r="F345" s="1">
        <v>1062</v>
      </c>
      <c r="G345" s="1">
        <v>522</v>
      </c>
      <c r="H345" s="1">
        <v>576</v>
      </c>
      <c r="I345" s="1">
        <v>360</v>
      </c>
      <c r="J345" s="1">
        <v>140</v>
      </c>
      <c r="K345" s="1">
        <v>60</v>
      </c>
      <c r="L345" s="1">
        <v>360</v>
      </c>
      <c r="M345" s="8">
        <v>122.47</v>
      </c>
      <c r="N345">
        <f t="shared" si="5"/>
        <v>8</v>
      </c>
    </row>
    <row r="346" spans="1:14" x14ac:dyDescent="0.25">
      <c r="A346" s="7">
        <v>44174</v>
      </c>
      <c r="B346" s="1">
        <v>3143</v>
      </c>
      <c r="C346" s="1">
        <v>2828</v>
      </c>
      <c r="D346" s="1">
        <v>220</v>
      </c>
      <c r="E346" s="1">
        <v>315</v>
      </c>
      <c r="F346" s="1">
        <v>1117</v>
      </c>
      <c r="G346" s="1">
        <v>782</v>
      </c>
      <c r="H346" s="1">
        <v>672</v>
      </c>
      <c r="I346" s="1">
        <v>272</v>
      </c>
      <c r="J346" s="1">
        <v>100</v>
      </c>
      <c r="K346" s="1">
        <v>63</v>
      </c>
      <c r="L346" s="1">
        <v>693</v>
      </c>
      <c r="M346" s="8">
        <v>235.97</v>
      </c>
      <c r="N346">
        <f t="shared" si="5"/>
        <v>9</v>
      </c>
    </row>
    <row r="347" spans="1:14" x14ac:dyDescent="0.25">
      <c r="A347" s="7">
        <v>44175</v>
      </c>
      <c r="B347" s="1">
        <v>2139</v>
      </c>
      <c r="C347" s="1">
        <v>1604</v>
      </c>
      <c r="D347" s="1">
        <v>390</v>
      </c>
      <c r="E347" s="1">
        <v>535</v>
      </c>
      <c r="F347" s="1">
        <v>488</v>
      </c>
      <c r="G347" s="1">
        <v>442</v>
      </c>
      <c r="H347" s="1">
        <v>495</v>
      </c>
      <c r="I347" s="1">
        <v>294</v>
      </c>
      <c r="J347" s="1">
        <v>220</v>
      </c>
      <c r="K347" s="1">
        <v>53</v>
      </c>
      <c r="L347" s="1">
        <v>689</v>
      </c>
      <c r="M347" s="8">
        <v>181.07999999999998</v>
      </c>
      <c r="N347">
        <f t="shared" si="5"/>
        <v>10</v>
      </c>
    </row>
    <row r="348" spans="1:14" x14ac:dyDescent="0.25">
      <c r="A348" s="7">
        <v>44176</v>
      </c>
      <c r="B348" s="1">
        <v>2503</v>
      </c>
      <c r="C348" s="1">
        <v>1827</v>
      </c>
      <c r="D348" s="1">
        <v>561</v>
      </c>
      <c r="E348" s="1">
        <v>676</v>
      </c>
      <c r="F348" s="1">
        <v>798</v>
      </c>
      <c r="G348" s="1">
        <v>520</v>
      </c>
      <c r="H348" s="1">
        <v>530</v>
      </c>
      <c r="I348" s="1">
        <v>252</v>
      </c>
      <c r="J348" s="1">
        <v>203</v>
      </c>
      <c r="K348" s="1">
        <v>65</v>
      </c>
      <c r="L348" s="1">
        <v>845</v>
      </c>
      <c r="M348" s="8">
        <v>243.25</v>
      </c>
      <c r="N348">
        <f t="shared" si="5"/>
        <v>11</v>
      </c>
    </row>
    <row r="349" spans="1:14" x14ac:dyDescent="0.25">
      <c r="A349" s="7">
        <v>44177</v>
      </c>
      <c r="B349" s="1">
        <v>2233</v>
      </c>
      <c r="C349" s="1">
        <v>1987</v>
      </c>
      <c r="D349" s="1">
        <v>216</v>
      </c>
      <c r="E349" s="1">
        <v>246</v>
      </c>
      <c r="F349" s="1">
        <v>683</v>
      </c>
      <c r="G349" s="1">
        <v>450</v>
      </c>
      <c r="H349" s="1">
        <v>630</v>
      </c>
      <c r="I349" s="1">
        <v>132</v>
      </c>
      <c r="J349" s="1">
        <v>138</v>
      </c>
      <c r="K349" s="1">
        <v>49</v>
      </c>
      <c r="L349" s="1">
        <v>294</v>
      </c>
      <c r="M349" s="8">
        <v>86.320000000000007</v>
      </c>
      <c r="N349">
        <f t="shared" si="5"/>
        <v>12</v>
      </c>
    </row>
    <row r="350" spans="1:14" x14ac:dyDescent="0.25">
      <c r="A350" s="7">
        <v>44178</v>
      </c>
      <c r="B350" s="1">
        <v>3004</v>
      </c>
      <c r="C350" s="1">
        <v>2583</v>
      </c>
      <c r="D350" s="1">
        <v>357</v>
      </c>
      <c r="E350" s="1">
        <v>421</v>
      </c>
      <c r="F350" s="1">
        <v>1380</v>
      </c>
      <c r="G350" s="1">
        <v>615</v>
      </c>
      <c r="H350" s="1">
        <v>468</v>
      </c>
      <c r="I350" s="1">
        <v>125</v>
      </c>
      <c r="J350" s="1">
        <v>216</v>
      </c>
      <c r="K350" s="1">
        <v>54</v>
      </c>
      <c r="L350" s="1">
        <v>594</v>
      </c>
      <c r="M350" s="8">
        <v>236.64999999999998</v>
      </c>
      <c r="N350">
        <f t="shared" si="5"/>
        <v>13</v>
      </c>
    </row>
    <row r="351" spans="1:14" x14ac:dyDescent="0.25">
      <c r="A351" s="7">
        <v>44179</v>
      </c>
      <c r="B351" s="1">
        <v>3405</v>
      </c>
      <c r="C351" s="1">
        <v>2724</v>
      </c>
      <c r="D351" s="1">
        <v>612</v>
      </c>
      <c r="E351" s="1">
        <v>681</v>
      </c>
      <c r="F351" s="1">
        <v>1579</v>
      </c>
      <c r="G351" s="1">
        <v>700</v>
      </c>
      <c r="H351" s="1">
        <v>604</v>
      </c>
      <c r="I351" s="1">
        <v>252</v>
      </c>
      <c r="J351" s="1">
        <v>70</v>
      </c>
      <c r="K351" s="1">
        <v>52</v>
      </c>
      <c r="L351" s="1">
        <v>416</v>
      </c>
      <c r="M351" s="8">
        <v>95.940000000000012</v>
      </c>
      <c r="N351">
        <f t="shared" si="5"/>
        <v>14</v>
      </c>
    </row>
    <row r="352" spans="1:14" x14ac:dyDescent="0.25">
      <c r="A352" s="7">
        <v>44180</v>
      </c>
      <c r="B352" s="1">
        <v>2322</v>
      </c>
      <c r="C352" s="1">
        <v>1834</v>
      </c>
      <c r="D352" s="1">
        <v>400</v>
      </c>
      <c r="E352" s="1">
        <v>488</v>
      </c>
      <c r="F352" s="1">
        <v>332</v>
      </c>
      <c r="G352" s="1">
        <v>686</v>
      </c>
      <c r="H352" s="1">
        <v>624</v>
      </c>
      <c r="I352" s="1">
        <v>176</v>
      </c>
      <c r="J352" s="1">
        <v>304</v>
      </c>
      <c r="K352" s="1">
        <v>55</v>
      </c>
      <c r="L352" s="1">
        <v>550</v>
      </c>
      <c r="M352" s="8">
        <v>145.47999999999999</v>
      </c>
      <c r="N352">
        <f t="shared" si="5"/>
        <v>15</v>
      </c>
    </row>
    <row r="353" spans="1:14" x14ac:dyDescent="0.25">
      <c r="A353" s="7">
        <v>44181</v>
      </c>
      <c r="B353" s="1">
        <v>2240</v>
      </c>
      <c r="C353" s="1">
        <v>1612</v>
      </c>
      <c r="D353" s="1">
        <v>471</v>
      </c>
      <c r="E353" s="1">
        <v>628</v>
      </c>
      <c r="F353" s="1">
        <v>673</v>
      </c>
      <c r="G353" s="1">
        <v>392</v>
      </c>
      <c r="H353" s="1">
        <v>687</v>
      </c>
      <c r="I353" s="1">
        <v>136</v>
      </c>
      <c r="J353" s="1">
        <v>152</v>
      </c>
      <c r="K353" s="1">
        <v>48</v>
      </c>
      <c r="L353" s="1">
        <v>624</v>
      </c>
      <c r="M353" s="8">
        <v>241.57</v>
      </c>
      <c r="N353">
        <f t="shared" si="5"/>
        <v>16</v>
      </c>
    </row>
    <row r="354" spans="1:14" x14ac:dyDescent="0.25">
      <c r="A354" s="7">
        <v>44182</v>
      </c>
      <c r="B354" s="1">
        <v>2609</v>
      </c>
      <c r="C354" s="1">
        <v>1982</v>
      </c>
      <c r="D354" s="1">
        <v>457</v>
      </c>
      <c r="E354" s="1">
        <v>627</v>
      </c>
      <c r="F354" s="1">
        <v>740</v>
      </c>
      <c r="G354" s="1">
        <v>861</v>
      </c>
      <c r="H354" s="1">
        <v>552</v>
      </c>
      <c r="I354" s="1">
        <v>100</v>
      </c>
      <c r="J354" s="1">
        <v>156</v>
      </c>
      <c r="K354" s="1">
        <v>57</v>
      </c>
      <c r="L354" s="1">
        <v>570</v>
      </c>
      <c r="M354" s="8">
        <v>211.03</v>
      </c>
      <c r="N354">
        <f t="shared" si="5"/>
        <v>17</v>
      </c>
    </row>
    <row r="355" spans="1:14" x14ac:dyDescent="0.25">
      <c r="A355" s="7">
        <v>44183</v>
      </c>
      <c r="B355" s="1">
        <v>3300</v>
      </c>
      <c r="C355" s="1">
        <v>2343</v>
      </c>
      <c r="D355" s="1">
        <v>803</v>
      </c>
      <c r="E355" s="1">
        <v>957</v>
      </c>
      <c r="F355" s="1">
        <v>1458</v>
      </c>
      <c r="G355" s="1">
        <v>405</v>
      </c>
      <c r="H355" s="1">
        <v>817</v>
      </c>
      <c r="I355" s="1">
        <v>210</v>
      </c>
      <c r="J355" s="1">
        <v>210</v>
      </c>
      <c r="K355" s="1">
        <v>61</v>
      </c>
      <c r="L355" s="1">
        <v>366</v>
      </c>
      <c r="M355" s="8">
        <v>84.210000000000008</v>
      </c>
      <c r="N355">
        <f t="shared" si="5"/>
        <v>18</v>
      </c>
    </row>
    <row r="356" spans="1:14" x14ac:dyDescent="0.25">
      <c r="A356" s="7">
        <v>44184</v>
      </c>
      <c r="B356" s="1">
        <v>1757</v>
      </c>
      <c r="C356" s="1">
        <v>1370</v>
      </c>
      <c r="D356" s="1">
        <v>270</v>
      </c>
      <c r="E356" s="1">
        <v>387</v>
      </c>
      <c r="F356" s="1">
        <v>384</v>
      </c>
      <c r="G356" s="1">
        <v>544</v>
      </c>
      <c r="H356" s="1">
        <v>482</v>
      </c>
      <c r="I356" s="1">
        <v>66</v>
      </c>
      <c r="J356" s="1">
        <v>81</v>
      </c>
      <c r="K356" s="1">
        <v>47</v>
      </c>
      <c r="L356" s="1">
        <v>470</v>
      </c>
      <c r="M356" s="8">
        <v>128.32</v>
      </c>
      <c r="N356">
        <f t="shared" si="5"/>
        <v>19</v>
      </c>
    </row>
    <row r="357" spans="1:14" x14ac:dyDescent="0.25">
      <c r="A357" s="7">
        <v>44185</v>
      </c>
      <c r="B357" s="1">
        <v>2328</v>
      </c>
      <c r="C357" s="1">
        <v>2048</v>
      </c>
      <c r="D357" s="1">
        <v>246</v>
      </c>
      <c r="E357" s="1">
        <v>280</v>
      </c>
      <c r="F357" s="1">
        <v>503</v>
      </c>
      <c r="G357" s="1">
        <v>680</v>
      </c>
      <c r="H357" s="1">
        <v>540</v>
      </c>
      <c r="I357" s="1">
        <v>180</v>
      </c>
      <c r="J357" s="1">
        <v>225</v>
      </c>
      <c r="K357" s="1">
        <v>51</v>
      </c>
      <c r="L357" s="1">
        <v>357</v>
      </c>
      <c r="M357" s="8">
        <v>81.440000000000012</v>
      </c>
      <c r="N357">
        <f t="shared" si="5"/>
        <v>20</v>
      </c>
    </row>
    <row r="358" spans="1:14" x14ac:dyDescent="0.25">
      <c r="A358" s="7">
        <v>44186</v>
      </c>
      <c r="B358" s="1">
        <v>2132</v>
      </c>
      <c r="C358" s="1">
        <v>1918</v>
      </c>
      <c r="D358" s="1">
        <v>175</v>
      </c>
      <c r="E358" s="1">
        <v>214</v>
      </c>
      <c r="F358" s="1">
        <v>666</v>
      </c>
      <c r="G358" s="1">
        <v>504</v>
      </c>
      <c r="H358" s="1">
        <v>425</v>
      </c>
      <c r="I358" s="1">
        <v>99</v>
      </c>
      <c r="J358" s="1">
        <v>238</v>
      </c>
      <c r="K358" s="1">
        <v>55</v>
      </c>
      <c r="L358" s="1">
        <v>660</v>
      </c>
      <c r="M358" s="8">
        <v>190.48</v>
      </c>
      <c r="N358">
        <f t="shared" si="5"/>
        <v>21</v>
      </c>
    </row>
    <row r="359" spans="1:14" x14ac:dyDescent="0.25">
      <c r="A359" s="7">
        <v>44187</v>
      </c>
      <c r="B359" s="1">
        <v>2617</v>
      </c>
      <c r="C359" s="1">
        <v>2041</v>
      </c>
      <c r="D359" s="1">
        <v>455</v>
      </c>
      <c r="E359" s="1">
        <v>576</v>
      </c>
      <c r="F359" s="1">
        <v>886</v>
      </c>
      <c r="G359" s="1">
        <v>588</v>
      </c>
      <c r="H359" s="1">
        <v>643</v>
      </c>
      <c r="I359" s="1">
        <v>105</v>
      </c>
      <c r="J359" s="1">
        <v>195</v>
      </c>
      <c r="K359" s="1">
        <v>45</v>
      </c>
      <c r="L359" s="1">
        <v>540</v>
      </c>
      <c r="M359" s="8">
        <v>108.36</v>
      </c>
      <c r="N359">
        <f t="shared" si="5"/>
        <v>22</v>
      </c>
    </row>
    <row r="360" spans="1:14" x14ac:dyDescent="0.25">
      <c r="A360" s="7">
        <v>44188</v>
      </c>
      <c r="B360" s="1">
        <v>2899</v>
      </c>
      <c r="C360" s="1">
        <v>2029</v>
      </c>
      <c r="D360" s="1">
        <v>696</v>
      </c>
      <c r="E360" s="1">
        <v>870</v>
      </c>
      <c r="F360" s="1">
        <v>798</v>
      </c>
      <c r="G360" s="1">
        <v>684</v>
      </c>
      <c r="H360" s="1">
        <v>876</v>
      </c>
      <c r="I360" s="1">
        <v>180</v>
      </c>
      <c r="J360" s="1">
        <v>161</v>
      </c>
      <c r="K360" s="1">
        <v>65</v>
      </c>
      <c r="L360" s="1">
        <v>455</v>
      </c>
      <c r="M360" s="8">
        <v>135.13</v>
      </c>
      <c r="N360">
        <f t="shared" si="5"/>
        <v>23</v>
      </c>
    </row>
    <row r="361" spans="1:14" x14ac:dyDescent="0.25">
      <c r="A361" s="7">
        <v>44189</v>
      </c>
      <c r="B361" s="1">
        <v>2418</v>
      </c>
      <c r="C361" s="1">
        <v>2127</v>
      </c>
      <c r="D361" s="1">
        <v>224</v>
      </c>
      <c r="E361" s="1">
        <v>291</v>
      </c>
      <c r="F361" s="1">
        <v>520</v>
      </c>
      <c r="G361" s="1">
        <v>475</v>
      </c>
      <c r="H361" s="1">
        <v>642</v>
      </c>
      <c r="I361" s="1">
        <v>301</v>
      </c>
      <c r="J361" s="1">
        <v>280</v>
      </c>
      <c r="K361" s="1">
        <v>58</v>
      </c>
      <c r="L361" s="1">
        <v>696</v>
      </c>
      <c r="M361" s="8">
        <v>229.34</v>
      </c>
      <c r="N361">
        <f t="shared" si="5"/>
        <v>24</v>
      </c>
    </row>
    <row r="362" spans="1:14" x14ac:dyDescent="0.25">
      <c r="A362" s="7">
        <v>44190</v>
      </c>
      <c r="B362" s="1">
        <v>3006</v>
      </c>
      <c r="C362" s="1">
        <v>2344</v>
      </c>
      <c r="D362" s="1">
        <v>463</v>
      </c>
      <c r="E362" s="1">
        <v>662</v>
      </c>
      <c r="F362" s="1">
        <v>1013</v>
      </c>
      <c r="G362" s="1">
        <v>900</v>
      </c>
      <c r="H362" s="1">
        <v>445</v>
      </c>
      <c r="I362" s="1">
        <v>126</v>
      </c>
      <c r="J362" s="1">
        <v>322</v>
      </c>
      <c r="K362" s="1">
        <v>53</v>
      </c>
      <c r="L362" s="1">
        <v>742</v>
      </c>
      <c r="M362" s="8">
        <v>229.45999999999998</v>
      </c>
      <c r="N362">
        <f t="shared" si="5"/>
        <v>25</v>
      </c>
    </row>
    <row r="363" spans="1:14" x14ac:dyDescent="0.25">
      <c r="A363" s="7">
        <v>44191</v>
      </c>
      <c r="B363" s="1">
        <v>3103</v>
      </c>
      <c r="C363" s="1">
        <v>2358</v>
      </c>
      <c r="D363" s="1">
        <v>633</v>
      </c>
      <c r="E363" s="1">
        <v>745</v>
      </c>
      <c r="F363" s="1">
        <v>1172</v>
      </c>
      <c r="G363" s="1">
        <v>704</v>
      </c>
      <c r="H363" s="1">
        <v>839</v>
      </c>
      <c r="I363" s="1">
        <v>86</v>
      </c>
      <c r="J363" s="1">
        <v>102</v>
      </c>
      <c r="K363" s="1">
        <v>51</v>
      </c>
      <c r="L363" s="1">
        <v>306</v>
      </c>
      <c r="M363" s="8">
        <v>103.38000000000001</v>
      </c>
      <c r="N363">
        <f t="shared" si="5"/>
        <v>26</v>
      </c>
    </row>
    <row r="364" spans="1:14" x14ac:dyDescent="0.25">
      <c r="A364" s="7">
        <v>44192</v>
      </c>
      <c r="B364" s="1">
        <v>2454</v>
      </c>
      <c r="C364" s="1">
        <v>1963</v>
      </c>
      <c r="D364" s="1">
        <v>402</v>
      </c>
      <c r="E364" s="1">
        <v>491</v>
      </c>
      <c r="F364" s="1">
        <v>710</v>
      </c>
      <c r="G364" s="1">
        <v>476</v>
      </c>
      <c r="H364" s="1">
        <v>820</v>
      </c>
      <c r="I364" s="1">
        <v>140</v>
      </c>
      <c r="J364" s="1">
        <v>108</v>
      </c>
      <c r="K364" s="1">
        <v>60</v>
      </c>
      <c r="L364" s="1">
        <v>720</v>
      </c>
      <c r="M364" s="8">
        <v>237.5</v>
      </c>
      <c r="N364">
        <f t="shared" si="5"/>
        <v>27</v>
      </c>
    </row>
    <row r="365" spans="1:14" x14ac:dyDescent="0.25">
      <c r="A365" s="7">
        <v>44193</v>
      </c>
      <c r="B365" s="1">
        <v>2622</v>
      </c>
      <c r="C365" s="1">
        <v>1835</v>
      </c>
      <c r="D365" s="1">
        <v>566</v>
      </c>
      <c r="E365" s="1">
        <v>787</v>
      </c>
      <c r="F365" s="1">
        <v>754</v>
      </c>
      <c r="G365" s="1">
        <v>774</v>
      </c>
      <c r="H365" s="1">
        <v>660</v>
      </c>
      <c r="I365" s="1">
        <v>126</v>
      </c>
      <c r="J365" s="1">
        <v>108</v>
      </c>
      <c r="K365" s="1">
        <v>56</v>
      </c>
      <c r="L365" s="1">
        <v>840</v>
      </c>
      <c r="M365" s="8">
        <v>276.92</v>
      </c>
      <c r="N365">
        <f t="shared" si="5"/>
        <v>28</v>
      </c>
    </row>
    <row r="366" spans="1:14" x14ac:dyDescent="0.25">
      <c r="A366" s="7">
        <v>44194</v>
      </c>
      <c r="B366" s="1">
        <v>2653</v>
      </c>
      <c r="C366" s="1">
        <v>2095</v>
      </c>
      <c r="D366" s="1">
        <v>502</v>
      </c>
      <c r="E366" s="1">
        <v>558</v>
      </c>
      <c r="F366" s="1">
        <v>550</v>
      </c>
      <c r="G366" s="1">
        <v>760</v>
      </c>
      <c r="H366" s="1">
        <v>804</v>
      </c>
      <c r="I366" s="1">
        <v>235</v>
      </c>
      <c r="J366" s="1">
        <v>104</v>
      </c>
      <c r="K366" s="1">
        <v>61</v>
      </c>
      <c r="L366" s="1">
        <v>305</v>
      </c>
      <c r="M366" s="8">
        <v>79.050000000000011</v>
      </c>
      <c r="N366">
        <f t="shared" si="5"/>
        <v>29</v>
      </c>
    </row>
    <row r="367" spans="1:14" x14ac:dyDescent="0.25">
      <c r="A367" s="7">
        <v>44195</v>
      </c>
      <c r="B367" s="1">
        <v>3151</v>
      </c>
      <c r="C367" s="1">
        <v>2709</v>
      </c>
      <c r="D367" s="1">
        <v>353</v>
      </c>
      <c r="E367" s="1">
        <v>442</v>
      </c>
      <c r="F367" s="1">
        <v>1037</v>
      </c>
      <c r="G367" s="1">
        <v>1100</v>
      </c>
      <c r="H367" s="1">
        <v>460</v>
      </c>
      <c r="I367" s="1">
        <v>162</v>
      </c>
      <c r="J367" s="1">
        <v>192</v>
      </c>
      <c r="K367" s="1">
        <v>69</v>
      </c>
      <c r="L367" s="1">
        <v>759</v>
      </c>
      <c r="M367" s="8">
        <v>155.32999999999998</v>
      </c>
      <c r="N367">
        <f t="shared" si="5"/>
        <v>30</v>
      </c>
    </row>
    <row r="368" spans="1:14" x14ac:dyDescent="0.25">
      <c r="A368" s="7">
        <v>44196</v>
      </c>
      <c r="B368" s="1">
        <v>2782</v>
      </c>
      <c r="C368" s="1">
        <v>2169</v>
      </c>
      <c r="D368" s="1">
        <v>447</v>
      </c>
      <c r="E368" s="1">
        <v>613</v>
      </c>
      <c r="F368" s="1">
        <v>475</v>
      </c>
      <c r="G368" s="1">
        <v>630</v>
      </c>
      <c r="H368" s="1">
        <v>804</v>
      </c>
      <c r="I368" s="1">
        <v>423</v>
      </c>
      <c r="J368" s="1">
        <v>250</v>
      </c>
      <c r="K368" s="1">
        <v>64</v>
      </c>
      <c r="L368" s="1">
        <v>576</v>
      </c>
      <c r="M368" s="8">
        <v>143.66</v>
      </c>
      <c r="N368">
        <f t="shared" si="5"/>
        <v>31</v>
      </c>
    </row>
  </sheetData>
  <mergeCells count="6">
    <mergeCell ref="A1:A2"/>
    <mergeCell ref="F1:J1"/>
    <mergeCell ref="L1:L2"/>
    <mergeCell ref="M1:M2"/>
    <mergeCell ref="K1:K2"/>
    <mergeCell ref="B1:E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/>
  <dimension ref="A1:S578"/>
  <sheetViews>
    <sheetView zoomScaleNormal="100" workbookViewId="0">
      <selection activeCell="O4" sqref="O4"/>
    </sheetView>
  </sheetViews>
  <sheetFormatPr defaultRowHeight="15" x14ac:dyDescent="0.25"/>
  <cols>
    <col min="1" max="1" width="7" bestFit="1" customWidth="1"/>
    <col min="2" max="2" width="15.140625" bestFit="1" customWidth="1"/>
    <col min="3" max="3" width="12" style="1" customWidth="1"/>
    <col min="4" max="4" width="11.28515625" style="1" customWidth="1"/>
    <col min="5" max="5" width="10.28515625" style="1" customWidth="1"/>
    <col min="6" max="6" width="13.5703125" style="1" customWidth="1"/>
    <col min="7" max="7" width="10.42578125" style="1" customWidth="1"/>
    <col min="8" max="8" width="9.140625" style="1"/>
  </cols>
  <sheetData>
    <row r="1" spans="1:19" ht="23.25" x14ac:dyDescent="0.35">
      <c r="A1" s="41" t="s">
        <v>70</v>
      </c>
      <c r="B1" s="41" t="s">
        <v>71</v>
      </c>
      <c r="C1" s="21">
        <v>1</v>
      </c>
      <c r="D1" s="21">
        <v>2</v>
      </c>
      <c r="E1" s="21">
        <v>3</v>
      </c>
      <c r="F1" s="21">
        <v>4</v>
      </c>
      <c r="G1" s="23">
        <v>5</v>
      </c>
      <c r="H1" s="22" t="s">
        <v>72</v>
      </c>
      <c r="J1" s="34"/>
      <c r="K1" s="35"/>
      <c r="L1" s="35"/>
      <c r="M1" s="35"/>
      <c r="N1" s="35"/>
      <c r="O1" s="35"/>
      <c r="P1" s="35"/>
      <c r="Q1" s="35"/>
      <c r="R1" s="35"/>
      <c r="S1" s="35"/>
    </row>
    <row r="2" spans="1:19" ht="45" x14ac:dyDescent="0.25">
      <c r="A2" s="41"/>
      <c r="B2" s="41"/>
      <c r="C2" s="2" t="s">
        <v>63</v>
      </c>
      <c r="D2" s="2" t="s">
        <v>64</v>
      </c>
      <c r="E2" s="2" t="s">
        <v>65</v>
      </c>
      <c r="F2" s="2" t="s">
        <v>66</v>
      </c>
      <c r="G2" s="2" t="s">
        <v>67</v>
      </c>
      <c r="H2" s="33" t="s">
        <v>72</v>
      </c>
    </row>
    <row r="3" spans="1:19" x14ac:dyDescent="0.25">
      <c r="A3">
        <v>1</v>
      </c>
      <c r="B3" t="s">
        <v>3</v>
      </c>
      <c r="C3" s="25">
        <v>204</v>
      </c>
      <c r="D3" s="25">
        <v>453</v>
      </c>
      <c r="E3" s="25">
        <v>999</v>
      </c>
      <c r="F3" s="25">
        <v>237</v>
      </c>
      <c r="G3" s="25">
        <v>167</v>
      </c>
      <c r="H3" s="22">
        <f t="shared" ref="H3:H66" si="0">INDEX($C$1:$G$1,0,MATCH(MAX(C3:G3),C3:G3,0))</f>
        <v>3</v>
      </c>
    </row>
    <row r="4" spans="1:19" x14ac:dyDescent="0.25">
      <c r="A4">
        <f>IF((ROW()-3)/48=INT((ROW()-3)/48),A3+1,A3)</f>
        <v>1</v>
      </c>
      <c r="B4" t="s">
        <v>4</v>
      </c>
      <c r="C4" s="25">
        <v>685</v>
      </c>
      <c r="D4" s="25">
        <v>244</v>
      </c>
      <c r="E4" s="25">
        <v>1161</v>
      </c>
      <c r="F4" s="25">
        <v>56</v>
      </c>
      <c r="G4" s="25">
        <v>60</v>
      </c>
      <c r="H4" s="22">
        <f t="shared" si="0"/>
        <v>3</v>
      </c>
    </row>
    <row r="5" spans="1:19" x14ac:dyDescent="0.25">
      <c r="A5">
        <f t="shared" ref="A5:A68" si="1">IF((ROW()-3)/48=INT((ROW()-3)/48),A4+1,A4)</f>
        <v>1</v>
      </c>
      <c r="B5" t="s">
        <v>5</v>
      </c>
      <c r="C5" s="25">
        <v>394</v>
      </c>
      <c r="D5" s="25">
        <v>366</v>
      </c>
      <c r="E5" s="25">
        <v>216</v>
      </c>
      <c r="F5" s="25">
        <v>141</v>
      </c>
      <c r="G5" s="25">
        <v>107</v>
      </c>
      <c r="H5" s="22">
        <f t="shared" si="0"/>
        <v>1</v>
      </c>
    </row>
    <row r="6" spans="1:19" x14ac:dyDescent="0.25">
      <c r="A6">
        <f t="shared" si="1"/>
        <v>1</v>
      </c>
      <c r="B6" t="s">
        <v>6</v>
      </c>
      <c r="C6" s="25">
        <v>233</v>
      </c>
      <c r="D6" s="25">
        <v>383</v>
      </c>
      <c r="E6" s="25">
        <v>621</v>
      </c>
      <c r="F6" s="25">
        <v>107</v>
      </c>
      <c r="G6" s="25">
        <v>94</v>
      </c>
      <c r="H6" s="22">
        <f t="shared" si="0"/>
        <v>3</v>
      </c>
    </row>
    <row r="7" spans="1:19" x14ac:dyDescent="0.25">
      <c r="A7">
        <f t="shared" si="1"/>
        <v>1</v>
      </c>
      <c r="B7" t="s">
        <v>7</v>
      </c>
      <c r="C7" s="25">
        <v>350</v>
      </c>
      <c r="D7" s="25">
        <v>488</v>
      </c>
      <c r="E7" s="25">
        <v>1053</v>
      </c>
      <c r="F7" s="25">
        <v>51</v>
      </c>
      <c r="G7" s="25">
        <v>13</v>
      </c>
      <c r="H7" s="22">
        <f t="shared" si="0"/>
        <v>3</v>
      </c>
    </row>
    <row r="8" spans="1:19" x14ac:dyDescent="0.25">
      <c r="A8">
        <f t="shared" si="1"/>
        <v>1</v>
      </c>
      <c r="B8" t="s">
        <v>8</v>
      </c>
      <c r="C8" s="25">
        <v>671</v>
      </c>
      <c r="D8" s="25">
        <v>523</v>
      </c>
      <c r="E8" s="25">
        <v>486</v>
      </c>
      <c r="F8" s="25">
        <v>158</v>
      </c>
      <c r="G8" s="25">
        <v>149</v>
      </c>
      <c r="H8" s="22">
        <f t="shared" si="0"/>
        <v>1</v>
      </c>
    </row>
    <row r="9" spans="1:19" x14ac:dyDescent="0.25">
      <c r="A9">
        <f t="shared" si="1"/>
        <v>1</v>
      </c>
      <c r="B9" t="s">
        <v>9</v>
      </c>
      <c r="C9" s="25">
        <v>335</v>
      </c>
      <c r="D9" s="25">
        <v>470</v>
      </c>
      <c r="E9" s="25">
        <v>918</v>
      </c>
      <c r="F9" s="25">
        <v>102</v>
      </c>
      <c r="G9" s="25">
        <v>201</v>
      </c>
      <c r="H9" s="22">
        <f t="shared" si="0"/>
        <v>3</v>
      </c>
    </row>
    <row r="10" spans="1:19" x14ac:dyDescent="0.25">
      <c r="A10">
        <f t="shared" si="1"/>
        <v>1</v>
      </c>
      <c r="B10" t="s">
        <v>10</v>
      </c>
      <c r="C10" s="25">
        <v>73</v>
      </c>
      <c r="D10" s="25">
        <v>174</v>
      </c>
      <c r="E10" s="25">
        <v>27</v>
      </c>
      <c r="F10" s="25">
        <v>214</v>
      </c>
      <c r="G10" s="25">
        <v>102</v>
      </c>
      <c r="H10" s="22">
        <f t="shared" si="0"/>
        <v>4</v>
      </c>
    </row>
    <row r="11" spans="1:19" x14ac:dyDescent="0.25">
      <c r="A11">
        <f t="shared" si="1"/>
        <v>1</v>
      </c>
      <c r="B11" t="s">
        <v>11</v>
      </c>
      <c r="C11" s="25">
        <v>160</v>
      </c>
      <c r="D11" s="25">
        <v>418</v>
      </c>
      <c r="E11" s="25">
        <v>135</v>
      </c>
      <c r="F11" s="25">
        <v>96</v>
      </c>
      <c r="G11" s="25">
        <v>4</v>
      </c>
      <c r="H11" s="22">
        <f t="shared" si="0"/>
        <v>2</v>
      </c>
    </row>
    <row r="12" spans="1:19" x14ac:dyDescent="0.25">
      <c r="A12">
        <f t="shared" si="1"/>
        <v>1</v>
      </c>
      <c r="B12" t="s">
        <v>12</v>
      </c>
      <c r="C12" s="25">
        <v>277</v>
      </c>
      <c r="D12" s="25">
        <v>314</v>
      </c>
      <c r="E12" s="25">
        <v>81</v>
      </c>
      <c r="F12" s="25">
        <v>198</v>
      </c>
      <c r="G12" s="25">
        <v>21</v>
      </c>
      <c r="H12" s="22">
        <f t="shared" si="0"/>
        <v>2</v>
      </c>
    </row>
    <row r="13" spans="1:19" x14ac:dyDescent="0.25">
      <c r="A13">
        <f t="shared" si="1"/>
        <v>1</v>
      </c>
      <c r="B13" t="s">
        <v>13</v>
      </c>
      <c r="C13" s="25">
        <v>423</v>
      </c>
      <c r="D13" s="25">
        <v>749</v>
      </c>
      <c r="E13" s="25">
        <v>702</v>
      </c>
      <c r="F13" s="25">
        <v>11</v>
      </c>
      <c r="G13" s="25">
        <v>128</v>
      </c>
      <c r="H13" s="22">
        <f t="shared" si="0"/>
        <v>2</v>
      </c>
    </row>
    <row r="14" spans="1:19" x14ac:dyDescent="0.25">
      <c r="A14">
        <f t="shared" si="1"/>
        <v>1</v>
      </c>
      <c r="B14" t="s">
        <v>14</v>
      </c>
      <c r="C14" s="25">
        <v>836</v>
      </c>
      <c r="D14" s="25">
        <v>226</v>
      </c>
      <c r="E14" s="25">
        <v>292</v>
      </c>
      <c r="F14" s="25">
        <v>68</v>
      </c>
      <c r="G14" s="25">
        <v>1134</v>
      </c>
      <c r="H14" s="22">
        <f t="shared" si="0"/>
        <v>5</v>
      </c>
    </row>
    <row r="15" spans="1:19" x14ac:dyDescent="0.25">
      <c r="A15">
        <f t="shared" si="1"/>
        <v>1</v>
      </c>
      <c r="B15" t="s">
        <v>15</v>
      </c>
      <c r="C15" s="25">
        <v>146</v>
      </c>
      <c r="D15" s="25">
        <v>226</v>
      </c>
      <c r="E15" s="25">
        <v>459</v>
      </c>
      <c r="F15" s="25">
        <v>271</v>
      </c>
      <c r="G15" s="25">
        <v>124</v>
      </c>
      <c r="H15" s="22">
        <f t="shared" si="0"/>
        <v>3</v>
      </c>
    </row>
    <row r="16" spans="1:19" x14ac:dyDescent="0.25">
      <c r="A16">
        <f t="shared" si="1"/>
        <v>1</v>
      </c>
      <c r="B16" t="s">
        <v>16</v>
      </c>
      <c r="C16" s="25">
        <v>700</v>
      </c>
      <c r="D16" s="25">
        <v>17</v>
      </c>
      <c r="E16" s="25">
        <v>1188</v>
      </c>
      <c r="F16" s="25">
        <v>169</v>
      </c>
      <c r="G16" s="25">
        <v>98</v>
      </c>
      <c r="H16" s="22">
        <f t="shared" si="0"/>
        <v>3</v>
      </c>
    </row>
    <row r="17" spans="1:8" x14ac:dyDescent="0.25">
      <c r="A17">
        <f t="shared" si="1"/>
        <v>1</v>
      </c>
      <c r="B17" t="s">
        <v>17</v>
      </c>
      <c r="C17" s="25">
        <v>190</v>
      </c>
      <c r="D17" s="25">
        <v>592</v>
      </c>
      <c r="E17" s="25">
        <v>648</v>
      </c>
      <c r="F17" s="25">
        <v>164</v>
      </c>
      <c r="G17" s="25">
        <v>56</v>
      </c>
      <c r="H17" s="22">
        <f t="shared" si="0"/>
        <v>3</v>
      </c>
    </row>
    <row r="18" spans="1:8" x14ac:dyDescent="0.25">
      <c r="A18">
        <f t="shared" si="1"/>
        <v>1</v>
      </c>
      <c r="B18" t="s">
        <v>18</v>
      </c>
      <c r="C18" s="25">
        <v>452</v>
      </c>
      <c r="D18" s="25">
        <v>35</v>
      </c>
      <c r="E18" s="25">
        <v>540</v>
      </c>
      <c r="F18" s="25">
        <v>28</v>
      </c>
      <c r="G18" s="25">
        <v>171</v>
      </c>
      <c r="H18" s="22">
        <f t="shared" si="0"/>
        <v>3</v>
      </c>
    </row>
    <row r="19" spans="1:8" x14ac:dyDescent="0.25">
      <c r="A19">
        <f t="shared" si="1"/>
        <v>1</v>
      </c>
      <c r="B19" t="s">
        <v>19</v>
      </c>
      <c r="C19" s="25">
        <v>102</v>
      </c>
      <c r="D19" s="25">
        <v>784</v>
      </c>
      <c r="E19" s="25">
        <v>432</v>
      </c>
      <c r="F19" s="25">
        <v>220</v>
      </c>
      <c r="G19" s="25">
        <v>30</v>
      </c>
      <c r="H19" s="22">
        <f t="shared" si="0"/>
        <v>2</v>
      </c>
    </row>
    <row r="20" spans="1:8" x14ac:dyDescent="0.25">
      <c r="A20">
        <f t="shared" si="1"/>
        <v>1</v>
      </c>
      <c r="B20" t="s">
        <v>20</v>
      </c>
      <c r="C20" s="25">
        <v>58</v>
      </c>
      <c r="D20" s="25">
        <v>714</v>
      </c>
      <c r="E20" s="25">
        <v>567</v>
      </c>
      <c r="F20" s="25">
        <v>45</v>
      </c>
      <c r="G20" s="25">
        <v>162</v>
      </c>
      <c r="H20" s="22">
        <f t="shared" si="0"/>
        <v>2</v>
      </c>
    </row>
    <row r="21" spans="1:8" x14ac:dyDescent="0.25">
      <c r="A21">
        <f t="shared" si="1"/>
        <v>1</v>
      </c>
      <c r="B21" t="s">
        <v>21</v>
      </c>
      <c r="C21" s="25">
        <v>539</v>
      </c>
      <c r="D21" s="25">
        <v>627</v>
      </c>
      <c r="E21" s="25">
        <v>837</v>
      </c>
      <c r="F21" s="25">
        <v>17</v>
      </c>
      <c r="G21" s="25">
        <v>81</v>
      </c>
      <c r="H21" s="22">
        <f t="shared" si="0"/>
        <v>3</v>
      </c>
    </row>
    <row r="22" spans="1:8" x14ac:dyDescent="0.25">
      <c r="A22">
        <f t="shared" si="1"/>
        <v>1</v>
      </c>
      <c r="B22" t="s">
        <v>22</v>
      </c>
      <c r="C22" s="25">
        <v>296</v>
      </c>
      <c r="D22" s="25">
        <v>203</v>
      </c>
      <c r="E22" s="25">
        <v>365</v>
      </c>
      <c r="F22" s="25">
        <v>34</v>
      </c>
      <c r="G22" s="25">
        <v>1215</v>
      </c>
      <c r="H22" s="22">
        <f t="shared" si="0"/>
        <v>5</v>
      </c>
    </row>
    <row r="23" spans="1:8" x14ac:dyDescent="0.25">
      <c r="A23">
        <f t="shared" si="1"/>
        <v>1</v>
      </c>
      <c r="B23" t="s">
        <v>23</v>
      </c>
      <c r="C23" s="25">
        <v>569</v>
      </c>
      <c r="D23" s="25">
        <v>105</v>
      </c>
      <c r="E23" s="25">
        <v>1026</v>
      </c>
      <c r="F23" s="25">
        <v>119</v>
      </c>
      <c r="G23" s="25">
        <v>85</v>
      </c>
      <c r="H23" s="22">
        <f t="shared" si="0"/>
        <v>3</v>
      </c>
    </row>
    <row r="24" spans="1:8" x14ac:dyDescent="0.25">
      <c r="A24">
        <f t="shared" si="1"/>
        <v>1</v>
      </c>
      <c r="B24" t="s">
        <v>24</v>
      </c>
      <c r="C24" s="25">
        <v>131</v>
      </c>
      <c r="D24" s="25">
        <v>192</v>
      </c>
      <c r="E24" s="25">
        <v>162</v>
      </c>
      <c r="F24" s="25">
        <v>34</v>
      </c>
      <c r="G24" s="25">
        <v>26</v>
      </c>
      <c r="H24" s="22">
        <f t="shared" si="0"/>
        <v>2</v>
      </c>
    </row>
    <row r="25" spans="1:8" x14ac:dyDescent="0.25">
      <c r="A25">
        <f t="shared" si="1"/>
        <v>1</v>
      </c>
      <c r="B25" t="s">
        <v>25</v>
      </c>
      <c r="C25" s="25">
        <v>598</v>
      </c>
      <c r="D25" s="25">
        <v>540</v>
      </c>
      <c r="E25" s="25">
        <v>1269</v>
      </c>
      <c r="F25" s="25">
        <v>130</v>
      </c>
      <c r="G25" s="25">
        <v>43</v>
      </c>
      <c r="H25" s="22">
        <f t="shared" si="0"/>
        <v>3</v>
      </c>
    </row>
    <row r="26" spans="1:8" x14ac:dyDescent="0.25">
      <c r="A26">
        <f t="shared" si="1"/>
        <v>1</v>
      </c>
      <c r="B26" t="s">
        <v>26</v>
      </c>
      <c r="C26" s="25">
        <v>15</v>
      </c>
      <c r="D26" s="25">
        <v>662</v>
      </c>
      <c r="E26" s="25">
        <v>513</v>
      </c>
      <c r="F26" s="25">
        <v>113</v>
      </c>
      <c r="G26" s="25">
        <v>77</v>
      </c>
      <c r="H26" s="22">
        <f t="shared" si="0"/>
        <v>2</v>
      </c>
    </row>
    <row r="27" spans="1:8" x14ac:dyDescent="0.25">
      <c r="A27">
        <f t="shared" si="1"/>
        <v>1</v>
      </c>
      <c r="B27" t="s">
        <v>27</v>
      </c>
      <c r="C27" s="25">
        <v>29</v>
      </c>
      <c r="D27" s="25">
        <v>435</v>
      </c>
      <c r="E27" s="25">
        <v>756</v>
      </c>
      <c r="F27" s="25">
        <v>23</v>
      </c>
      <c r="G27" s="25">
        <v>145</v>
      </c>
      <c r="H27" s="22">
        <f t="shared" si="0"/>
        <v>3</v>
      </c>
    </row>
    <row r="28" spans="1:8" x14ac:dyDescent="0.25">
      <c r="A28">
        <f t="shared" si="1"/>
        <v>1</v>
      </c>
      <c r="B28" t="s">
        <v>28</v>
      </c>
      <c r="C28" s="25">
        <v>481</v>
      </c>
      <c r="D28" s="25">
        <v>279</v>
      </c>
      <c r="E28" s="25">
        <v>189</v>
      </c>
      <c r="F28" s="25">
        <v>40</v>
      </c>
      <c r="G28" s="25">
        <v>111</v>
      </c>
      <c r="H28" s="22">
        <f t="shared" si="0"/>
        <v>1</v>
      </c>
    </row>
    <row r="29" spans="1:8" x14ac:dyDescent="0.25">
      <c r="A29">
        <f t="shared" si="1"/>
        <v>1</v>
      </c>
      <c r="B29" t="s">
        <v>29</v>
      </c>
      <c r="C29" s="25">
        <v>117</v>
      </c>
      <c r="D29" s="25">
        <v>610</v>
      </c>
      <c r="E29" s="25">
        <v>270</v>
      </c>
      <c r="F29" s="25">
        <v>85</v>
      </c>
      <c r="G29" s="25">
        <v>196</v>
      </c>
      <c r="H29" s="22">
        <f t="shared" si="0"/>
        <v>2</v>
      </c>
    </row>
    <row r="30" spans="1:8" x14ac:dyDescent="0.25">
      <c r="A30">
        <f t="shared" si="1"/>
        <v>1</v>
      </c>
      <c r="B30" t="s">
        <v>30</v>
      </c>
      <c r="C30" s="25">
        <v>627</v>
      </c>
      <c r="D30" s="25">
        <v>697</v>
      </c>
      <c r="E30" s="25">
        <v>864</v>
      </c>
      <c r="F30" s="25">
        <v>90</v>
      </c>
      <c r="G30" s="25">
        <v>47</v>
      </c>
      <c r="H30" s="22">
        <f t="shared" si="0"/>
        <v>3</v>
      </c>
    </row>
    <row r="31" spans="1:8" x14ac:dyDescent="0.25">
      <c r="A31">
        <f t="shared" si="1"/>
        <v>1</v>
      </c>
      <c r="B31" t="s">
        <v>31</v>
      </c>
      <c r="C31" s="25">
        <v>248</v>
      </c>
      <c r="D31" s="25">
        <v>157</v>
      </c>
      <c r="E31" s="25">
        <v>108</v>
      </c>
      <c r="F31" s="25">
        <v>152</v>
      </c>
      <c r="G31" s="25">
        <v>154</v>
      </c>
      <c r="H31" s="22">
        <f t="shared" si="0"/>
        <v>1</v>
      </c>
    </row>
    <row r="32" spans="1:8" x14ac:dyDescent="0.25">
      <c r="A32">
        <f t="shared" si="1"/>
        <v>1</v>
      </c>
      <c r="B32" t="s">
        <v>32</v>
      </c>
      <c r="C32" s="25">
        <v>321</v>
      </c>
      <c r="D32" s="25">
        <v>575</v>
      </c>
      <c r="E32" s="25">
        <v>1296</v>
      </c>
      <c r="F32" s="25">
        <v>135</v>
      </c>
      <c r="G32" s="25">
        <v>120</v>
      </c>
      <c r="H32" s="22">
        <f t="shared" si="0"/>
        <v>3</v>
      </c>
    </row>
    <row r="33" spans="1:8" x14ac:dyDescent="0.25">
      <c r="A33">
        <f t="shared" si="1"/>
        <v>1</v>
      </c>
      <c r="B33" t="s">
        <v>33</v>
      </c>
      <c r="C33" s="25">
        <v>510</v>
      </c>
      <c r="D33" s="25">
        <v>52</v>
      </c>
      <c r="E33" s="25">
        <v>783</v>
      </c>
      <c r="F33" s="25">
        <v>248</v>
      </c>
      <c r="G33" s="25">
        <v>188</v>
      </c>
      <c r="H33" s="22">
        <f t="shared" si="0"/>
        <v>3</v>
      </c>
    </row>
    <row r="34" spans="1:8" x14ac:dyDescent="0.25">
      <c r="A34">
        <f t="shared" si="1"/>
        <v>1</v>
      </c>
      <c r="B34" t="s">
        <v>34</v>
      </c>
      <c r="C34" s="25">
        <v>70</v>
      </c>
      <c r="D34" s="25">
        <v>408</v>
      </c>
      <c r="E34" s="25">
        <v>324</v>
      </c>
      <c r="F34" s="25">
        <v>260</v>
      </c>
      <c r="G34" s="25">
        <v>51</v>
      </c>
      <c r="H34" s="22">
        <f t="shared" si="0"/>
        <v>2</v>
      </c>
    </row>
    <row r="35" spans="1:8" x14ac:dyDescent="0.25">
      <c r="A35">
        <f t="shared" si="1"/>
        <v>1</v>
      </c>
      <c r="B35" t="s">
        <v>35</v>
      </c>
      <c r="C35" s="25">
        <v>437</v>
      </c>
      <c r="D35" s="25">
        <v>505</v>
      </c>
      <c r="E35" s="25">
        <v>351</v>
      </c>
      <c r="F35" s="25">
        <v>79</v>
      </c>
      <c r="G35" s="25">
        <v>184</v>
      </c>
      <c r="H35" s="22">
        <f t="shared" si="0"/>
        <v>2</v>
      </c>
    </row>
    <row r="36" spans="1:8" x14ac:dyDescent="0.25">
      <c r="A36">
        <f t="shared" si="1"/>
        <v>1</v>
      </c>
      <c r="B36" t="s">
        <v>36</v>
      </c>
      <c r="C36" s="25">
        <v>525</v>
      </c>
      <c r="D36" s="25">
        <v>557</v>
      </c>
      <c r="E36" s="25">
        <v>810</v>
      </c>
      <c r="F36" s="25">
        <v>73</v>
      </c>
      <c r="G36" s="25">
        <v>64</v>
      </c>
      <c r="H36" s="22">
        <f t="shared" si="0"/>
        <v>3</v>
      </c>
    </row>
    <row r="37" spans="1:8" x14ac:dyDescent="0.25">
      <c r="A37">
        <f t="shared" si="1"/>
        <v>1</v>
      </c>
      <c r="B37" t="s">
        <v>37</v>
      </c>
      <c r="C37" s="25">
        <v>583</v>
      </c>
      <c r="D37" s="25">
        <v>645</v>
      </c>
      <c r="E37" s="25">
        <v>297</v>
      </c>
      <c r="F37" s="25">
        <v>175</v>
      </c>
      <c r="G37" s="25">
        <v>179</v>
      </c>
      <c r="H37" s="22">
        <f t="shared" si="0"/>
        <v>2</v>
      </c>
    </row>
    <row r="38" spans="1:8" x14ac:dyDescent="0.25">
      <c r="A38">
        <f t="shared" si="1"/>
        <v>1</v>
      </c>
      <c r="B38" t="s">
        <v>38</v>
      </c>
      <c r="C38" s="25">
        <v>262</v>
      </c>
      <c r="D38" s="25">
        <v>766</v>
      </c>
      <c r="E38" s="25">
        <v>378</v>
      </c>
      <c r="F38" s="25">
        <v>186</v>
      </c>
      <c r="G38" s="25">
        <v>90</v>
      </c>
      <c r="H38" s="22">
        <f t="shared" si="0"/>
        <v>2</v>
      </c>
    </row>
    <row r="39" spans="1:8" x14ac:dyDescent="0.25">
      <c r="A39">
        <f t="shared" si="1"/>
        <v>1</v>
      </c>
      <c r="B39" t="s">
        <v>39</v>
      </c>
      <c r="C39" s="25">
        <v>554</v>
      </c>
      <c r="D39" s="25">
        <v>139</v>
      </c>
      <c r="E39" s="25">
        <v>1080</v>
      </c>
      <c r="F39" s="25">
        <v>192</v>
      </c>
      <c r="G39" s="25">
        <v>115</v>
      </c>
      <c r="H39" s="22">
        <f t="shared" si="0"/>
        <v>3</v>
      </c>
    </row>
    <row r="40" spans="1:8" x14ac:dyDescent="0.25">
      <c r="A40">
        <f t="shared" si="1"/>
        <v>1</v>
      </c>
      <c r="B40" t="s">
        <v>40</v>
      </c>
      <c r="C40" s="25">
        <v>87</v>
      </c>
      <c r="D40" s="25">
        <v>261</v>
      </c>
      <c r="E40" s="25">
        <v>675</v>
      </c>
      <c r="F40" s="25">
        <v>231</v>
      </c>
      <c r="G40" s="25">
        <v>175</v>
      </c>
      <c r="H40" s="22">
        <f t="shared" si="0"/>
        <v>3</v>
      </c>
    </row>
    <row r="41" spans="1:8" x14ac:dyDescent="0.25">
      <c r="A41">
        <f t="shared" si="1"/>
        <v>1</v>
      </c>
      <c r="B41" t="s">
        <v>41</v>
      </c>
      <c r="C41" s="25">
        <v>642</v>
      </c>
      <c r="D41" s="25">
        <v>401</v>
      </c>
      <c r="E41" s="25">
        <v>1242</v>
      </c>
      <c r="F41" s="25">
        <v>124</v>
      </c>
      <c r="G41" s="25">
        <v>192</v>
      </c>
      <c r="H41" s="22">
        <f t="shared" si="0"/>
        <v>3</v>
      </c>
    </row>
    <row r="42" spans="1:8" x14ac:dyDescent="0.25">
      <c r="A42">
        <f t="shared" si="1"/>
        <v>1</v>
      </c>
      <c r="B42" t="s">
        <v>42</v>
      </c>
      <c r="C42" s="25">
        <v>656</v>
      </c>
      <c r="D42" s="25">
        <v>87</v>
      </c>
      <c r="E42" s="25">
        <v>54</v>
      </c>
      <c r="F42" s="25">
        <v>147</v>
      </c>
      <c r="G42" s="25">
        <v>38</v>
      </c>
      <c r="H42" s="22">
        <f t="shared" si="0"/>
        <v>1</v>
      </c>
    </row>
    <row r="43" spans="1:8" x14ac:dyDescent="0.25">
      <c r="A43">
        <f t="shared" si="1"/>
        <v>1</v>
      </c>
      <c r="B43" t="s">
        <v>43</v>
      </c>
      <c r="C43" s="25">
        <v>467</v>
      </c>
      <c r="D43" s="25">
        <v>331</v>
      </c>
      <c r="E43" s="25">
        <v>594</v>
      </c>
      <c r="F43" s="25">
        <v>254</v>
      </c>
      <c r="G43" s="25">
        <v>158</v>
      </c>
      <c r="H43" s="22">
        <f t="shared" si="0"/>
        <v>3</v>
      </c>
    </row>
    <row r="44" spans="1:8" x14ac:dyDescent="0.25">
      <c r="A44">
        <f t="shared" si="1"/>
        <v>1</v>
      </c>
      <c r="B44" t="s">
        <v>44</v>
      </c>
      <c r="C44" s="25">
        <v>219</v>
      </c>
      <c r="D44" s="25">
        <v>209</v>
      </c>
      <c r="E44" s="25">
        <v>945</v>
      </c>
      <c r="F44" s="25">
        <v>265</v>
      </c>
      <c r="G44" s="25">
        <v>17</v>
      </c>
      <c r="H44" s="22">
        <f t="shared" si="0"/>
        <v>3</v>
      </c>
    </row>
    <row r="45" spans="1:8" x14ac:dyDescent="0.25">
      <c r="A45">
        <f t="shared" si="1"/>
        <v>1</v>
      </c>
      <c r="B45" t="s">
        <v>45</v>
      </c>
      <c r="C45" s="25">
        <v>612</v>
      </c>
      <c r="D45" s="25">
        <v>679</v>
      </c>
      <c r="E45" s="25">
        <v>972</v>
      </c>
      <c r="F45" s="25">
        <v>6</v>
      </c>
      <c r="G45" s="25">
        <v>9</v>
      </c>
      <c r="H45" s="22">
        <f t="shared" si="0"/>
        <v>3</v>
      </c>
    </row>
    <row r="46" spans="1:8" x14ac:dyDescent="0.25">
      <c r="A46">
        <f t="shared" si="1"/>
        <v>1</v>
      </c>
      <c r="B46" t="s">
        <v>46</v>
      </c>
      <c r="C46" s="25">
        <v>306</v>
      </c>
      <c r="D46" s="25">
        <v>801</v>
      </c>
      <c r="E46" s="25">
        <v>891</v>
      </c>
      <c r="F46" s="25">
        <v>243</v>
      </c>
      <c r="G46" s="25">
        <v>205</v>
      </c>
      <c r="H46" s="22">
        <f t="shared" si="0"/>
        <v>3</v>
      </c>
    </row>
    <row r="47" spans="1:8" x14ac:dyDescent="0.25">
      <c r="A47">
        <f t="shared" si="1"/>
        <v>1</v>
      </c>
      <c r="B47" t="s">
        <v>47</v>
      </c>
      <c r="C47" s="25">
        <v>496</v>
      </c>
      <c r="D47" s="25">
        <v>122</v>
      </c>
      <c r="E47" s="25">
        <v>1107</v>
      </c>
      <c r="F47" s="25">
        <v>68</v>
      </c>
      <c r="G47" s="25">
        <v>137</v>
      </c>
      <c r="H47" s="22">
        <f t="shared" si="0"/>
        <v>3</v>
      </c>
    </row>
    <row r="48" spans="1:8" x14ac:dyDescent="0.25">
      <c r="A48">
        <f t="shared" si="1"/>
        <v>1</v>
      </c>
      <c r="B48" t="s">
        <v>48</v>
      </c>
      <c r="C48" s="25">
        <v>44</v>
      </c>
      <c r="D48" s="25">
        <v>819</v>
      </c>
      <c r="E48" s="25">
        <v>729</v>
      </c>
      <c r="F48" s="25">
        <v>62</v>
      </c>
      <c r="G48" s="25">
        <v>73</v>
      </c>
      <c r="H48" s="22">
        <f t="shared" si="0"/>
        <v>2</v>
      </c>
    </row>
    <row r="49" spans="1:8" x14ac:dyDescent="0.25">
      <c r="A49">
        <f t="shared" si="1"/>
        <v>1</v>
      </c>
      <c r="B49" t="s">
        <v>49</v>
      </c>
      <c r="C49" s="25">
        <v>175</v>
      </c>
      <c r="D49" s="25">
        <v>732</v>
      </c>
      <c r="E49" s="25">
        <v>405</v>
      </c>
      <c r="F49" s="25">
        <v>181</v>
      </c>
      <c r="G49" s="25">
        <v>132</v>
      </c>
      <c r="H49" s="22">
        <f t="shared" si="0"/>
        <v>2</v>
      </c>
    </row>
    <row r="50" spans="1:8" x14ac:dyDescent="0.25">
      <c r="A50">
        <f t="shared" si="1"/>
        <v>1</v>
      </c>
      <c r="B50" t="s">
        <v>50</v>
      </c>
      <c r="C50" s="25">
        <v>379</v>
      </c>
      <c r="D50" s="25">
        <v>348</v>
      </c>
      <c r="E50" s="25">
        <v>243</v>
      </c>
      <c r="F50" s="25">
        <v>209</v>
      </c>
      <c r="G50" s="25">
        <v>141</v>
      </c>
      <c r="H50" s="22">
        <f t="shared" si="0"/>
        <v>1</v>
      </c>
    </row>
    <row r="51" spans="1:8" x14ac:dyDescent="0.25">
      <c r="A51">
        <f t="shared" si="1"/>
        <v>2</v>
      </c>
      <c r="B51" t="s">
        <v>3</v>
      </c>
      <c r="C51" s="25">
        <v>119</v>
      </c>
      <c r="D51" s="25">
        <v>628</v>
      </c>
      <c r="E51" s="25">
        <v>370</v>
      </c>
      <c r="F51" s="25">
        <v>81</v>
      </c>
      <c r="G51" s="25">
        <v>131</v>
      </c>
      <c r="H51" s="22">
        <f t="shared" si="0"/>
        <v>2</v>
      </c>
    </row>
    <row r="52" spans="1:8" x14ac:dyDescent="0.25">
      <c r="A52">
        <f t="shared" si="1"/>
        <v>2</v>
      </c>
      <c r="B52" t="s">
        <v>4</v>
      </c>
      <c r="C52" s="25">
        <v>357</v>
      </c>
      <c r="D52" s="25">
        <v>690</v>
      </c>
      <c r="E52" s="25">
        <v>99</v>
      </c>
      <c r="F52" s="25">
        <v>50</v>
      </c>
      <c r="G52" s="25">
        <v>154</v>
      </c>
      <c r="H52" s="22">
        <f t="shared" si="0"/>
        <v>2</v>
      </c>
    </row>
    <row r="53" spans="1:8" x14ac:dyDescent="0.25">
      <c r="A53">
        <f t="shared" si="1"/>
        <v>2</v>
      </c>
      <c r="B53" t="s">
        <v>5</v>
      </c>
      <c r="C53" s="25">
        <v>595</v>
      </c>
      <c r="D53" s="25">
        <v>352</v>
      </c>
      <c r="E53" s="25">
        <v>913</v>
      </c>
      <c r="F53" s="25">
        <v>177</v>
      </c>
      <c r="G53" s="25">
        <v>89</v>
      </c>
      <c r="H53" s="22">
        <f t="shared" si="0"/>
        <v>3</v>
      </c>
    </row>
    <row r="54" spans="1:8" x14ac:dyDescent="0.25">
      <c r="A54">
        <f t="shared" si="1"/>
        <v>2</v>
      </c>
      <c r="B54" t="s">
        <v>6</v>
      </c>
      <c r="C54" s="25">
        <v>282</v>
      </c>
      <c r="D54" s="25">
        <v>306</v>
      </c>
      <c r="E54" s="25">
        <v>666</v>
      </c>
      <c r="F54" s="25">
        <v>71</v>
      </c>
      <c r="G54" s="25">
        <v>42</v>
      </c>
      <c r="H54" s="22">
        <f t="shared" si="0"/>
        <v>3</v>
      </c>
    </row>
    <row r="55" spans="1:8" x14ac:dyDescent="0.25">
      <c r="A55">
        <f t="shared" si="1"/>
        <v>2</v>
      </c>
      <c r="B55" t="s">
        <v>7</v>
      </c>
      <c r="C55" s="25">
        <v>520</v>
      </c>
      <c r="D55" s="25">
        <v>123</v>
      </c>
      <c r="E55" s="25">
        <v>863</v>
      </c>
      <c r="F55" s="25">
        <v>151</v>
      </c>
      <c r="G55" s="25">
        <v>54</v>
      </c>
      <c r="H55" s="22">
        <f t="shared" si="0"/>
        <v>3</v>
      </c>
    </row>
    <row r="56" spans="1:8" x14ac:dyDescent="0.25">
      <c r="A56">
        <f t="shared" si="1"/>
        <v>2</v>
      </c>
      <c r="B56" t="s">
        <v>8</v>
      </c>
      <c r="C56" s="25">
        <v>714</v>
      </c>
      <c r="D56" s="25">
        <v>659</v>
      </c>
      <c r="E56" s="25">
        <v>641</v>
      </c>
      <c r="F56" s="25">
        <v>66</v>
      </c>
      <c r="G56" s="25">
        <v>97</v>
      </c>
      <c r="H56" s="22">
        <f t="shared" si="0"/>
        <v>1</v>
      </c>
    </row>
    <row r="57" spans="1:8" x14ac:dyDescent="0.25">
      <c r="A57">
        <f t="shared" si="1"/>
        <v>2</v>
      </c>
      <c r="B57" t="s">
        <v>9</v>
      </c>
      <c r="C57" s="25">
        <v>550</v>
      </c>
      <c r="D57" s="25">
        <v>184</v>
      </c>
      <c r="E57" s="25">
        <v>1135</v>
      </c>
      <c r="F57" s="25">
        <v>96</v>
      </c>
      <c r="G57" s="25">
        <v>135</v>
      </c>
      <c r="H57" s="22">
        <f t="shared" si="0"/>
        <v>3</v>
      </c>
    </row>
    <row r="58" spans="1:8" x14ac:dyDescent="0.25">
      <c r="A58">
        <f t="shared" si="1"/>
        <v>2</v>
      </c>
      <c r="B58" t="s">
        <v>10</v>
      </c>
      <c r="C58" s="25">
        <v>268</v>
      </c>
      <c r="D58" s="25">
        <v>536</v>
      </c>
      <c r="E58" s="25">
        <v>592</v>
      </c>
      <c r="F58" s="25">
        <v>237</v>
      </c>
      <c r="G58" s="25">
        <v>178</v>
      </c>
      <c r="H58" s="22">
        <f t="shared" si="0"/>
        <v>3</v>
      </c>
    </row>
    <row r="59" spans="1:8" x14ac:dyDescent="0.25">
      <c r="A59">
        <f t="shared" si="1"/>
        <v>2</v>
      </c>
      <c r="B59" t="s">
        <v>11</v>
      </c>
      <c r="C59" s="25">
        <v>416</v>
      </c>
      <c r="D59" s="25">
        <v>567</v>
      </c>
      <c r="E59" s="25">
        <v>247</v>
      </c>
      <c r="F59" s="25">
        <v>131</v>
      </c>
      <c r="G59" s="25">
        <v>73</v>
      </c>
      <c r="H59" s="22">
        <f t="shared" si="0"/>
        <v>2</v>
      </c>
    </row>
    <row r="60" spans="1:8" x14ac:dyDescent="0.25">
      <c r="A60">
        <f t="shared" si="1"/>
        <v>2</v>
      </c>
      <c r="B60" t="s">
        <v>12</v>
      </c>
      <c r="C60" s="25">
        <v>431</v>
      </c>
      <c r="D60" s="25">
        <v>613</v>
      </c>
      <c r="E60" s="25">
        <v>1011</v>
      </c>
      <c r="F60" s="25">
        <v>161</v>
      </c>
      <c r="G60" s="25">
        <v>27</v>
      </c>
      <c r="H60" s="22">
        <f t="shared" si="0"/>
        <v>3</v>
      </c>
    </row>
    <row r="61" spans="1:8" x14ac:dyDescent="0.25">
      <c r="A61">
        <f t="shared" si="1"/>
        <v>2</v>
      </c>
      <c r="B61" t="s">
        <v>13</v>
      </c>
      <c r="C61" s="25">
        <v>164</v>
      </c>
      <c r="D61" s="25">
        <v>582</v>
      </c>
      <c r="E61" s="25">
        <v>518</v>
      </c>
      <c r="F61" s="25">
        <v>242</v>
      </c>
      <c r="G61" s="25">
        <v>166</v>
      </c>
      <c r="H61" s="22">
        <f t="shared" si="0"/>
        <v>2</v>
      </c>
    </row>
    <row r="62" spans="1:8" x14ac:dyDescent="0.25">
      <c r="A62">
        <f t="shared" si="1"/>
        <v>2</v>
      </c>
      <c r="B62" t="s">
        <v>14</v>
      </c>
      <c r="C62" s="25">
        <v>565</v>
      </c>
      <c r="D62" s="25">
        <v>705</v>
      </c>
      <c r="E62" s="25">
        <v>49</v>
      </c>
      <c r="F62" s="25">
        <v>45</v>
      </c>
      <c r="G62" s="25">
        <v>174</v>
      </c>
      <c r="H62" s="22">
        <f t="shared" si="0"/>
        <v>2</v>
      </c>
    </row>
    <row r="63" spans="1:8" x14ac:dyDescent="0.25">
      <c r="A63">
        <f t="shared" si="1"/>
        <v>2</v>
      </c>
      <c r="B63" t="s">
        <v>15</v>
      </c>
      <c r="C63" s="25">
        <v>446</v>
      </c>
      <c r="D63" s="25">
        <v>521</v>
      </c>
      <c r="E63" s="25">
        <v>617</v>
      </c>
      <c r="F63" s="25">
        <v>207</v>
      </c>
      <c r="G63" s="25">
        <v>39</v>
      </c>
      <c r="H63" s="22">
        <f t="shared" si="0"/>
        <v>3</v>
      </c>
    </row>
    <row r="64" spans="1:8" x14ac:dyDescent="0.25">
      <c r="A64">
        <f t="shared" si="1"/>
        <v>2</v>
      </c>
      <c r="B64" t="s">
        <v>16</v>
      </c>
      <c r="C64" s="25">
        <v>580</v>
      </c>
      <c r="D64" s="25">
        <v>414</v>
      </c>
      <c r="E64" s="25">
        <v>789</v>
      </c>
      <c r="F64" s="25">
        <v>166</v>
      </c>
      <c r="G64" s="25">
        <v>158</v>
      </c>
      <c r="H64" s="22">
        <f t="shared" si="0"/>
        <v>3</v>
      </c>
    </row>
    <row r="65" spans="1:8" x14ac:dyDescent="0.25">
      <c r="A65">
        <f t="shared" si="1"/>
        <v>2</v>
      </c>
      <c r="B65" t="s">
        <v>17</v>
      </c>
      <c r="C65" s="25">
        <v>699</v>
      </c>
      <c r="D65" s="25">
        <v>230</v>
      </c>
      <c r="E65" s="25">
        <v>1085</v>
      </c>
      <c r="F65" s="25">
        <v>10</v>
      </c>
      <c r="G65" s="25">
        <v>66</v>
      </c>
      <c r="H65" s="22">
        <f t="shared" si="0"/>
        <v>3</v>
      </c>
    </row>
    <row r="66" spans="1:8" x14ac:dyDescent="0.25">
      <c r="A66">
        <f t="shared" si="1"/>
        <v>2</v>
      </c>
      <c r="B66" t="s">
        <v>18</v>
      </c>
      <c r="C66" s="25">
        <v>624</v>
      </c>
      <c r="D66" s="25">
        <v>61</v>
      </c>
      <c r="E66" s="25">
        <v>987</v>
      </c>
      <c r="F66" s="25">
        <v>116</v>
      </c>
      <c r="G66" s="25">
        <v>162</v>
      </c>
      <c r="H66" s="22">
        <f t="shared" si="0"/>
        <v>3</v>
      </c>
    </row>
    <row r="67" spans="1:8" x14ac:dyDescent="0.25">
      <c r="A67">
        <f t="shared" si="1"/>
        <v>2</v>
      </c>
      <c r="B67" t="s">
        <v>19</v>
      </c>
      <c r="C67" s="25">
        <v>208</v>
      </c>
      <c r="D67" s="25">
        <v>598</v>
      </c>
      <c r="E67" s="25">
        <v>715</v>
      </c>
      <c r="F67" s="25">
        <v>91</v>
      </c>
      <c r="G67" s="25">
        <v>62</v>
      </c>
      <c r="H67" s="22">
        <f t="shared" ref="H67:H130" si="2">INDEX($C$1:$G$1,0,MATCH(MAX(C67:G67),C67:G67,0))</f>
        <v>3</v>
      </c>
    </row>
    <row r="68" spans="1:8" x14ac:dyDescent="0.25">
      <c r="A68">
        <f t="shared" si="1"/>
        <v>2</v>
      </c>
      <c r="B68" t="s">
        <v>20</v>
      </c>
      <c r="C68" s="25">
        <v>654</v>
      </c>
      <c r="D68" s="25">
        <v>475</v>
      </c>
      <c r="E68" s="25">
        <v>321</v>
      </c>
      <c r="F68" s="25">
        <v>146</v>
      </c>
      <c r="G68" s="25">
        <v>19</v>
      </c>
      <c r="H68" s="22">
        <f t="shared" si="2"/>
        <v>1</v>
      </c>
    </row>
    <row r="69" spans="1:8" x14ac:dyDescent="0.25">
      <c r="A69">
        <f t="shared" ref="A69:A132" si="3">IF((ROW()-3)/48=INT((ROW()-3)/48),A68+1,A68)</f>
        <v>2</v>
      </c>
      <c r="B69" t="s">
        <v>21</v>
      </c>
      <c r="C69" s="25">
        <v>74</v>
      </c>
      <c r="D69" s="25">
        <v>138</v>
      </c>
      <c r="E69" s="25">
        <v>173</v>
      </c>
      <c r="F69" s="25">
        <v>30</v>
      </c>
      <c r="G69" s="25">
        <v>127</v>
      </c>
      <c r="H69" s="22">
        <f t="shared" si="2"/>
        <v>3</v>
      </c>
    </row>
    <row r="70" spans="1:8" x14ac:dyDescent="0.25">
      <c r="A70">
        <f t="shared" si="3"/>
        <v>2</v>
      </c>
      <c r="B70" t="s">
        <v>22</v>
      </c>
      <c r="C70" s="25">
        <v>89</v>
      </c>
      <c r="D70" s="25">
        <v>107</v>
      </c>
      <c r="E70" s="25">
        <v>1061</v>
      </c>
      <c r="F70" s="25">
        <v>35</v>
      </c>
      <c r="G70" s="25">
        <v>23</v>
      </c>
      <c r="H70" s="22">
        <f t="shared" si="2"/>
        <v>3</v>
      </c>
    </row>
    <row r="71" spans="1:8" x14ac:dyDescent="0.25">
      <c r="A71">
        <f t="shared" si="3"/>
        <v>2</v>
      </c>
      <c r="B71" t="s">
        <v>23</v>
      </c>
      <c r="C71" s="25">
        <v>506</v>
      </c>
      <c r="D71" s="25">
        <v>337</v>
      </c>
      <c r="E71" s="25">
        <v>419</v>
      </c>
      <c r="F71" s="25">
        <v>15</v>
      </c>
      <c r="G71" s="25">
        <v>116</v>
      </c>
      <c r="H71" s="22">
        <f t="shared" si="2"/>
        <v>1</v>
      </c>
    </row>
    <row r="72" spans="1:8" x14ac:dyDescent="0.25">
      <c r="A72">
        <f t="shared" si="3"/>
        <v>2</v>
      </c>
      <c r="B72" t="s">
        <v>24</v>
      </c>
      <c r="C72" s="25">
        <v>535</v>
      </c>
      <c r="D72" s="25">
        <v>199</v>
      </c>
      <c r="E72" s="25">
        <v>1036</v>
      </c>
      <c r="F72" s="25">
        <v>232</v>
      </c>
      <c r="G72" s="25">
        <v>104</v>
      </c>
      <c r="H72" s="22">
        <f t="shared" si="2"/>
        <v>3</v>
      </c>
    </row>
    <row r="73" spans="1:8" x14ac:dyDescent="0.25">
      <c r="A73">
        <f t="shared" si="3"/>
        <v>2</v>
      </c>
      <c r="B73" t="s">
        <v>25</v>
      </c>
      <c r="C73" s="25">
        <v>372</v>
      </c>
      <c r="D73" s="25">
        <v>429</v>
      </c>
      <c r="E73" s="25">
        <v>888</v>
      </c>
      <c r="F73" s="25">
        <v>76</v>
      </c>
      <c r="G73" s="25">
        <v>108</v>
      </c>
      <c r="H73" s="22">
        <f t="shared" si="2"/>
        <v>3</v>
      </c>
    </row>
    <row r="74" spans="1:8" x14ac:dyDescent="0.25">
      <c r="A74">
        <f t="shared" si="3"/>
        <v>2</v>
      </c>
      <c r="B74" t="s">
        <v>26</v>
      </c>
      <c r="C74" s="25">
        <v>15</v>
      </c>
      <c r="D74" s="25">
        <v>222</v>
      </c>
      <c r="E74" s="25">
        <v>253</v>
      </c>
      <c r="F74" s="25">
        <v>4</v>
      </c>
      <c r="G74" s="25">
        <v>814</v>
      </c>
      <c r="H74" s="22">
        <f t="shared" si="2"/>
        <v>5</v>
      </c>
    </row>
    <row r="75" spans="1:8" x14ac:dyDescent="0.25">
      <c r="A75">
        <f t="shared" si="3"/>
        <v>2</v>
      </c>
      <c r="B75" t="s">
        <v>27</v>
      </c>
      <c r="C75" s="25">
        <v>153</v>
      </c>
      <c r="D75" s="25">
        <v>5</v>
      </c>
      <c r="E75" s="25">
        <v>476</v>
      </c>
      <c r="F75" s="25">
        <v>8</v>
      </c>
      <c r="G75" s="25">
        <v>1110</v>
      </c>
      <c r="H75" s="22">
        <f t="shared" si="2"/>
        <v>5</v>
      </c>
    </row>
    <row r="76" spans="1:8" x14ac:dyDescent="0.25">
      <c r="A76">
        <f t="shared" si="3"/>
        <v>2</v>
      </c>
      <c r="B76" t="s">
        <v>28</v>
      </c>
      <c r="C76" s="25">
        <v>444</v>
      </c>
      <c r="D76" s="25">
        <v>202</v>
      </c>
      <c r="E76" s="25">
        <v>223</v>
      </c>
      <c r="F76" s="25">
        <v>46</v>
      </c>
      <c r="G76" s="25">
        <v>1159</v>
      </c>
      <c r="H76" s="22">
        <f t="shared" si="2"/>
        <v>5</v>
      </c>
    </row>
    <row r="77" spans="1:8" x14ac:dyDescent="0.25">
      <c r="A77">
        <f t="shared" si="3"/>
        <v>2</v>
      </c>
      <c r="B77" t="s">
        <v>29</v>
      </c>
      <c r="C77" s="25">
        <v>669</v>
      </c>
      <c r="D77" s="25">
        <v>490</v>
      </c>
      <c r="E77" s="25">
        <v>1184</v>
      </c>
      <c r="F77" s="25">
        <v>111</v>
      </c>
      <c r="G77" s="25">
        <v>151</v>
      </c>
      <c r="H77" s="22">
        <f t="shared" si="2"/>
        <v>3</v>
      </c>
    </row>
    <row r="78" spans="1:8" x14ac:dyDescent="0.25">
      <c r="A78">
        <f t="shared" si="3"/>
        <v>2</v>
      </c>
      <c r="B78" t="s">
        <v>30</v>
      </c>
      <c r="C78" s="25">
        <v>104</v>
      </c>
      <c r="D78" s="25">
        <v>383</v>
      </c>
      <c r="E78" s="25">
        <v>271</v>
      </c>
      <c r="F78" s="25">
        <v>217</v>
      </c>
      <c r="G78" s="25">
        <v>147</v>
      </c>
      <c r="H78" s="22">
        <f t="shared" si="2"/>
        <v>2</v>
      </c>
    </row>
    <row r="79" spans="1:8" x14ac:dyDescent="0.25">
      <c r="A79">
        <f t="shared" si="3"/>
        <v>2</v>
      </c>
      <c r="B79" t="s">
        <v>31</v>
      </c>
      <c r="C79" s="25">
        <v>684</v>
      </c>
      <c r="D79" s="25">
        <v>31</v>
      </c>
      <c r="E79" s="25">
        <v>444</v>
      </c>
      <c r="F79" s="25">
        <v>61</v>
      </c>
      <c r="G79" s="25">
        <v>15</v>
      </c>
      <c r="H79" s="22">
        <f t="shared" si="2"/>
        <v>1</v>
      </c>
    </row>
    <row r="80" spans="1:8" x14ac:dyDescent="0.25">
      <c r="A80">
        <f t="shared" si="3"/>
        <v>2</v>
      </c>
      <c r="B80" t="s">
        <v>32</v>
      </c>
      <c r="C80" s="25">
        <v>461</v>
      </c>
      <c r="D80" s="25">
        <v>506</v>
      </c>
      <c r="E80" s="25">
        <v>740</v>
      </c>
      <c r="F80" s="25">
        <v>106</v>
      </c>
      <c r="G80" s="25">
        <v>12</v>
      </c>
      <c r="H80" s="22">
        <f t="shared" si="2"/>
        <v>3</v>
      </c>
    </row>
    <row r="81" spans="1:8" x14ac:dyDescent="0.25">
      <c r="A81">
        <f t="shared" si="3"/>
        <v>2</v>
      </c>
      <c r="B81" t="s">
        <v>33</v>
      </c>
      <c r="C81" s="25">
        <v>238</v>
      </c>
      <c r="D81" s="25">
        <v>674</v>
      </c>
      <c r="E81" s="25">
        <v>74</v>
      </c>
      <c r="F81" s="25">
        <v>182</v>
      </c>
      <c r="G81" s="25">
        <v>70</v>
      </c>
      <c r="H81" s="22">
        <f t="shared" si="2"/>
        <v>2</v>
      </c>
    </row>
    <row r="82" spans="1:8" x14ac:dyDescent="0.25">
      <c r="A82">
        <f t="shared" si="3"/>
        <v>2</v>
      </c>
      <c r="B82" t="s">
        <v>34</v>
      </c>
      <c r="C82" s="25">
        <v>312</v>
      </c>
      <c r="D82" s="25">
        <v>644</v>
      </c>
      <c r="E82" s="25">
        <v>395</v>
      </c>
      <c r="F82" s="25">
        <v>212</v>
      </c>
      <c r="G82" s="25">
        <v>93</v>
      </c>
      <c r="H82" s="22">
        <f t="shared" si="2"/>
        <v>2</v>
      </c>
    </row>
    <row r="83" spans="1:8" x14ac:dyDescent="0.25">
      <c r="A83">
        <f t="shared" si="3"/>
        <v>2</v>
      </c>
      <c r="B83" t="s">
        <v>35</v>
      </c>
      <c r="C83" s="25">
        <v>387</v>
      </c>
      <c r="D83" s="25">
        <v>245</v>
      </c>
      <c r="E83" s="25">
        <v>222</v>
      </c>
      <c r="F83" s="25">
        <v>197</v>
      </c>
      <c r="G83" s="25">
        <v>170</v>
      </c>
      <c r="H83" s="22">
        <f t="shared" si="2"/>
        <v>1</v>
      </c>
    </row>
    <row r="84" spans="1:8" x14ac:dyDescent="0.25">
      <c r="A84">
        <f t="shared" si="3"/>
        <v>2</v>
      </c>
      <c r="B84" t="s">
        <v>36</v>
      </c>
      <c r="C84" s="25">
        <v>59</v>
      </c>
      <c r="D84" s="25">
        <v>398</v>
      </c>
      <c r="E84" s="25">
        <v>765</v>
      </c>
      <c r="F84" s="25">
        <v>136</v>
      </c>
      <c r="G84" s="25">
        <v>112</v>
      </c>
      <c r="H84" s="22">
        <f t="shared" si="2"/>
        <v>3</v>
      </c>
    </row>
    <row r="85" spans="1:8" x14ac:dyDescent="0.25">
      <c r="A85">
        <f t="shared" si="3"/>
        <v>2</v>
      </c>
      <c r="B85" t="s">
        <v>37</v>
      </c>
      <c r="C85" s="25">
        <v>639</v>
      </c>
      <c r="D85" s="25">
        <v>276</v>
      </c>
      <c r="E85" s="25">
        <v>493</v>
      </c>
      <c r="F85" s="25">
        <v>25</v>
      </c>
      <c r="G85" s="25">
        <v>124</v>
      </c>
      <c r="H85" s="22">
        <f t="shared" si="2"/>
        <v>1</v>
      </c>
    </row>
    <row r="86" spans="1:8" x14ac:dyDescent="0.25">
      <c r="A86">
        <f t="shared" si="3"/>
        <v>2</v>
      </c>
      <c r="B86" t="s">
        <v>38</v>
      </c>
      <c r="C86" s="25">
        <v>15</v>
      </c>
      <c r="D86" s="25">
        <v>92</v>
      </c>
      <c r="E86" s="25">
        <v>543</v>
      </c>
      <c r="F86" s="25">
        <v>192</v>
      </c>
      <c r="G86" s="25">
        <v>58</v>
      </c>
      <c r="H86" s="22">
        <f t="shared" si="2"/>
        <v>3</v>
      </c>
    </row>
    <row r="87" spans="1:8" x14ac:dyDescent="0.25">
      <c r="A87">
        <f t="shared" si="3"/>
        <v>2</v>
      </c>
      <c r="B87" t="s">
        <v>39</v>
      </c>
      <c r="C87" s="25">
        <v>193</v>
      </c>
      <c r="D87" s="25">
        <v>291</v>
      </c>
      <c r="E87" s="25">
        <v>25</v>
      </c>
      <c r="F87" s="25">
        <v>171</v>
      </c>
      <c r="G87" s="25">
        <v>120</v>
      </c>
      <c r="H87" s="22">
        <f t="shared" si="2"/>
        <v>2</v>
      </c>
    </row>
    <row r="88" spans="1:8" x14ac:dyDescent="0.25">
      <c r="A88">
        <f t="shared" si="3"/>
        <v>2</v>
      </c>
      <c r="B88" t="s">
        <v>40</v>
      </c>
      <c r="C88" s="25">
        <v>134</v>
      </c>
      <c r="D88" s="25">
        <v>169</v>
      </c>
      <c r="E88" s="25">
        <v>345</v>
      </c>
      <c r="F88" s="25">
        <v>121</v>
      </c>
      <c r="G88" s="25">
        <v>181</v>
      </c>
      <c r="H88" s="22">
        <f t="shared" si="2"/>
        <v>3</v>
      </c>
    </row>
    <row r="89" spans="1:8" x14ac:dyDescent="0.25">
      <c r="A89">
        <f t="shared" si="3"/>
        <v>2</v>
      </c>
      <c r="B89" t="s">
        <v>41</v>
      </c>
      <c r="C89" s="25">
        <v>178</v>
      </c>
      <c r="D89" s="25">
        <v>215</v>
      </c>
      <c r="E89" s="25">
        <v>197</v>
      </c>
      <c r="F89" s="25">
        <v>227</v>
      </c>
      <c r="G89" s="25">
        <v>50</v>
      </c>
      <c r="H89" s="22">
        <f t="shared" si="2"/>
        <v>4</v>
      </c>
    </row>
    <row r="90" spans="1:8" x14ac:dyDescent="0.25">
      <c r="A90">
        <f t="shared" si="3"/>
        <v>2</v>
      </c>
      <c r="B90" t="s">
        <v>42</v>
      </c>
      <c r="C90" s="25">
        <v>342</v>
      </c>
      <c r="D90" s="25">
        <v>736</v>
      </c>
      <c r="E90" s="25">
        <v>839</v>
      </c>
      <c r="F90" s="25">
        <v>55</v>
      </c>
      <c r="G90" s="25">
        <v>185</v>
      </c>
      <c r="H90" s="22">
        <f t="shared" si="2"/>
        <v>3</v>
      </c>
    </row>
    <row r="91" spans="1:8" x14ac:dyDescent="0.25">
      <c r="A91">
        <f t="shared" si="3"/>
        <v>2</v>
      </c>
      <c r="B91" t="s">
        <v>43</v>
      </c>
      <c r="C91" s="25">
        <v>30</v>
      </c>
      <c r="D91" s="25">
        <v>46</v>
      </c>
      <c r="E91" s="25">
        <v>296</v>
      </c>
      <c r="F91" s="25">
        <v>20</v>
      </c>
      <c r="G91" s="25">
        <v>143</v>
      </c>
      <c r="H91" s="22">
        <f t="shared" si="2"/>
        <v>3</v>
      </c>
    </row>
    <row r="92" spans="1:8" x14ac:dyDescent="0.25">
      <c r="A92">
        <f t="shared" si="3"/>
        <v>2</v>
      </c>
      <c r="B92" t="s">
        <v>44</v>
      </c>
      <c r="C92" s="25">
        <v>327</v>
      </c>
      <c r="D92" s="25">
        <v>460</v>
      </c>
      <c r="E92" s="25">
        <v>937</v>
      </c>
      <c r="F92" s="25">
        <v>141</v>
      </c>
      <c r="G92" s="25">
        <v>81</v>
      </c>
      <c r="H92" s="22">
        <f t="shared" si="2"/>
        <v>3</v>
      </c>
    </row>
    <row r="93" spans="1:8" x14ac:dyDescent="0.25">
      <c r="A93">
        <f t="shared" si="3"/>
        <v>2</v>
      </c>
      <c r="B93" t="s">
        <v>45</v>
      </c>
      <c r="C93" s="25">
        <v>401</v>
      </c>
      <c r="D93" s="25">
        <v>322</v>
      </c>
      <c r="E93" s="25">
        <v>469</v>
      </c>
      <c r="F93" s="25">
        <v>156</v>
      </c>
      <c r="G93" s="25">
        <v>139</v>
      </c>
      <c r="H93" s="22">
        <f t="shared" si="2"/>
        <v>3</v>
      </c>
    </row>
    <row r="94" spans="1:8" x14ac:dyDescent="0.25">
      <c r="A94">
        <f t="shared" si="3"/>
        <v>2</v>
      </c>
      <c r="B94" t="s">
        <v>46</v>
      </c>
      <c r="C94" s="25">
        <v>45</v>
      </c>
      <c r="D94" s="25">
        <v>720</v>
      </c>
      <c r="E94" s="25">
        <v>567</v>
      </c>
      <c r="F94" s="25">
        <v>86</v>
      </c>
      <c r="G94" s="25">
        <v>77</v>
      </c>
      <c r="H94" s="22">
        <f t="shared" si="2"/>
        <v>2</v>
      </c>
    </row>
    <row r="95" spans="1:8" x14ac:dyDescent="0.25">
      <c r="A95">
        <f t="shared" si="3"/>
        <v>2</v>
      </c>
      <c r="B95" t="s">
        <v>47</v>
      </c>
      <c r="C95" s="25">
        <v>610</v>
      </c>
      <c r="D95" s="25">
        <v>77</v>
      </c>
      <c r="E95" s="25">
        <v>123</v>
      </c>
      <c r="F95" s="25">
        <v>126</v>
      </c>
      <c r="G95" s="25">
        <v>100</v>
      </c>
      <c r="H95" s="22">
        <f t="shared" si="2"/>
        <v>1</v>
      </c>
    </row>
    <row r="96" spans="1:8" x14ac:dyDescent="0.25">
      <c r="A96">
        <f t="shared" si="3"/>
        <v>2</v>
      </c>
      <c r="B96" t="s">
        <v>48</v>
      </c>
      <c r="C96" s="25">
        <v>297</v>
      </c>
      <c r="D96" s="25">
        <v>368</v>
      </c>
      <c r="E96" s="25">
        <v>691</v>
      </c>
      <c r="F96" s="25">
        <v>40</v>
      </c>
      <c r="G96" s="25">
        <v>31</v>
      </c>
      <c r="H96" s="22">
        <f t="shared" si="2"/>
        <v>3</v>
      </c>
    </row>
    <row r="97" spans="1:8" x14ac:dyDescent="0.25">
      <c r="A97">
        <f t="shared" si="3"/>
        <v>2</v>
      </c>
      <c r="B97" t="s">
        <v>49</v>
      </c>
      <c r="C97" s="25">
        <v>149</v>
      </c>
      <c r="D97" s="25">
        <v>261</v>
      </c>
      <c r="E97" s="25">
        <v>962</v>
      </c>
      <c r="F97" s="25">
        <v>101</v>
      </c>
      <c r="G97" s="25">
        <v>35</v>
      </c>
      <c r="H97" s="22">
        <f t="shared" si="2"/>
        <v>3</v>
      </c>
    </row>
    <row r="98" spans="1:8" x14ac:dyDescent="0.25">
      <c r="A98">
        <f t="shared" si="3"/>
        <v>2</v>
      </c>
      <c r="B98" t="s">
        <v>50</v>
      </c>
      <c r="C98" s="25">
        <v>491</v>
      </c>
      <c r="D98" s="25">
        <v>552</v>
      </c>
      <c r="E98" s="25">
        <v>148</v>
      </c>
      <c r="F98" s="25">
        <v>187</v>
      </c>
      <c r="G98" s="25">
        <v>85</v>
      </c>
      <c r="H98" s="22">
        <f t="shared" si="2"/>
        <v>2</v>
      </c>
    </row>
    <row r="99" spans="1:8" x14ac:dyDescent="0.25">
      <c r="A99">
        <f t="shared" si="3"/>
        <v>3</v>
      </c>
      <c r="B99" t="s">
        <v>3</v>
      </c>
      <c r="C99" s="25">
        <v>76</v>
      </c>
      <c r="D99" s="25">
        <v>571</v>
      </c>
      <c r="E99" s="25">
        <v>858</v>
      </c>
      <c r="F99" s="25">
        <v>116</v>
      </c>
      <c r="G99" s="25">
        <v>21</v>
      </c>
      <c r="H99" s="22">
        <f t="shared" si="2"/>
        <v>3</v>
      </c>
    </row>
    <row r="100" spans="1:8" x14ac:dyDescent="0.25">
      <c r="A100">
        <f t="shared" si="3"/>
        <v>3</v>
      </c>
      <c r="B100" t="s">
        <v>4</v>
      </c>
      <c r="C100" s="25">
        <v>242</v>
      </c>
      <c r="D100" s="25">
        <v>726</v>
      </c>
      <c r="E100" s="25">
        <v>20</v>
      </c>
      <c r="F100" s="25">
        <v>15</v>
      </c>
      <c r="G100" s="25">
        <v>160</v>
      </c>
      <c r="H100" s="22">
        <f t="shared" si="2"/>
        <v>2</v>
      </c>
    </row>
    <row r="101" spans="1:8" x14ac:dyDescent="0.25">
      <c r="A101">
        <f t="shared" si="3"/>
        <v>3</v>
      </c>
      <c r="B101" t="s">
        <v>5</v>
      </c>
      <c r="C101" s="25">
        <v>247</v>
      </c>
      <c r="D101" s="25">
        <v>199</v>
      </c>
      <c r="E101" s="25">
        <v>349</v>
      </c>
      <c r="F101" s="25">
        <v>429</v>
      </c>
      <c r="G101" s="25">
        <v>139</v>
      </c>
      <c r="H101" s="22">
        <f t="shared" si="2"/>
        <v>4</v>
      </c>
    </row>
    <row r="102" spans="1:8" x14ac:dyDescent="0.25">
      <c r="A102">
        <f t="shared" si="3"/>
        <v>3</v>
      </c>
      <c r="B102" t="s">
        <v>6</v>
      </c>
      <c r="C102" s="25">
        <v>62</v>
      </c>
      <c r="D102" s="25">
        <v>29</v>
      </c>
      <c r="E102" s="25">
        <v>273</v>
      </c>
      <c r="F102" s="25">
        <v>980</v>
      </c>
      <c r="G102" s="25">
        <v>168</v>
      </c>
      <c r="H102" s="22">
        <f t="shared" si="2"/>
        <v>4</v>
      </c>
    </row>
    <row r="103" spans="1:8" x14ac:dyDescent="0.25">
      <c r="A103">
        <f t="shared" si="3"/>
        <v>3</v>
      </c>
      <c r="B103" t="s">
        <v>7</v>
      </c>
      <c r="C103" s="25">
        <v>278</v>
      </c>
      <c r="D103" s="25">
        <v>223</v>
      </c>
      <c r="E103" s="25">
        <v>500</v>
      </c>
      <c r="F103" s="25">
        <v>735</v>
      </c>
      <c r="G103" s="25">
        <v>88</v>
      </c>
      <c r="H103" s="22">
        <f t="shared" si="2"/>
        <v>4</v>
      </c>
    </row>
    <row r="104" spans="1:8" x14ac:dyDescent="0.25">
      <c r="A104">
        <f t="shared" si="3"/>
        <v>3</v>
      </c>
      <c r="B104" t="s">
        <v>8</v>
      </c>
      <c r="C104" s="25">
        <v>710</v>
      </c>
      <c r="D104" s="25">
        <v>140</v>
      </c>
      <c r="E104" s="25">
        <v>379</v>
      </c>
      <c r="F104" s="25">
        <v>878</v>
      </c>
      <c r="G104" s="25">
        <v>25</v>
      </c>
      <c r="H104" s="22">
        <f t="shared" si="2"/>
        <v>4</v>
      </c>
    </row>
    <row r="105" spans="1:8" x14ac:dyDescent="0.25">
      <c r="A105">
        <f t="shared" si="3"/>
        <v>3</v>
      </c>
      <c r="B105" t="s">
        <v>9</v>
      </c>
      <c r="C105" s="25">
        <v>576</v>
      </c>
      <c r="D105" s="25">
        <v>417</v>
      </c>
      <c r="E105" s="25">
        <v>286</v>
      </c>
      <c r="F105" s="25">
        <v>179</v>
      </c>
      <c r="G105" s="25">
        <v>17</v>
      </c>
      <c r="H105" s="22">
        <f t="shared" si="2"/>
        <v>1</v>
      </c>
    </row>
    <row r="106" spans="1:8" x14ac:dyDescent="0.25">
      <c r="A106">
        <f t="shared" si="3"/>
        <v>3</v>
      </c>
      <c r="B106" t="s">
        <v>10</v>
      </c>
      <c r="C106" s="25">
        <v>197</v>
      </c>
      <c r="D106" s="25">
        <v>541</v>
      </c>
      <c r="E106" s="25">
        <v>776</v>
      </c>
      <c r="F106" s="25">
        <v>145</v>
      </c>
      <c r="G106" s="25">
        <v>164</v>
      </c>
      <c r="H106" s="22">
        <f t="shared" si="2"/>
        <v>3</v>
      </c>
    </row>
    <row r="107" spans="1:8" x14ac:dyDescent="0.25">
      <c r="A107">
        <f t="shared" si="3"/>
        <v>3</v>
      </c>
      <c r="B107" t="s">
        <v>11</v>
      </c>
      <c r="C107" s="25">
        <v>15</v>
      </c>
      <c r="D107" s="25">
        <v>510</v>
      </c>
      <c r="E107" s="25">
        <v>408</v>
      </c>
      <c r="F107" s="25">
        <v>39</v>
      </c>
      <c r="G107" s="25">
        <v>101</v>
      </c>
      <c r="H107" s="22">
        <f t="shared" si="2"/>
        <v>2</v>
      </c>
    </row>
    <row r="108" spans="1:8" x14ac:dyDescent="0.25">
      <c r="A108">
        <f t="shared" si="3"/>
        <v>3</v>
      </c>
      <c r="B108" t="s">
        <v>12</v>
      </c>
      <c r="C108" s="25">
        <v>121</v>
      </c>
      <c r="D108" s="25">
        <v>355</v>
      </c>
      <c r="E108" s="25">
        <v>613</v>
      </c>
      <c r="F108" s="25">
        <v>174</v>
      </c>
      <c r="G108" s="25">
        <v>151</v>
      </c>
      <c r="H108" s="22">
        <f t="shared" si="2"/>
        <v>3</v>
      </c>
    </row>
    <row r="109" spans="1:8" x14ac:dyDescent="0.25">
      <c r="A109">
        <f t="shared" si="3"/>
        <v>3</v>
      </c>
      <c r="B109" t="s">
        <v>13</v>
      </c>
      <c r="C109" s="25">
        <v>386</v>
      </c>
      <c r="D109" s="25">
        <v>194</v>
      </c>
      <c r="E109" s="25">
        <v>30</v>
      </c>
      <c r="F109" s="25">
        <v>126</v>
      </c>
      <c r="G109" s="25">
        <v>551</v>
      </c>
      <c r="H109" s="22">
        <f t="shared" si="2"/>
        <v>5</v>
      </c>
    </row>
    <row r="110" spans="1:8" x14ac:dyDescent="0.25">
      <c r="A110">
        <f t="shared" si="3"/>
        <v>3</v>
      </c>
      <c r="B110" t="s">
        <v>14</v>
      </c>
      <c r="C110" s="25">
        <v>170</v>
      </c>
      <c r="D110" s="25">
        <v>102</v>
      </c>
      <c r="E110" s="25">
        <v>682</v>
      </c>
      <c r="F110" s="25">
        <v>76</v>
      </c>
      <c r="G110" s="25">
        <v>837</v>
      </c>
      <c r="H110" s="22">
        <f t="shared" si="2"/>
        <v>5</v>
      </c>
    </row>
    <row r="111" spans="1:8" x14ac:dyDescent="0.25">
      <c r="A111">
        <f t="shared" si="3"/>
        <v>3</v>
      </c>
      <c r="B111" t="s">
        <v>15</v>
      </c>
      <c r="C111" s="25">
        <v>364</v>
      </c>
      <c r="D111" s="25">
        <v>602</v>
      </c>
      <c r="E111" s="25">
        <v>633</v>
      </c>
      <c r="F111" s="25">
        <v>170</v>
      </c>
      <c r="G111" s="25">
        <v>80</v>
      </c>
      <c r="H111" s="22">
        <f t="shared" si="2"/>
        <v>3</v>
      </c>
    </row>
    <row r="112" spans="1:8" x14ac:dyDescent="0.25">
      <c r="A112">
        <f t="shared" si="3"/>
        <v>3</v>
      </c>
      <c r="B112" t="s">
        <v>16</v>
      </c>
      <c r="C112" s="25">
        <v>318</v>
      </c>
      <c r="D112" s="25">
        <v>618</v>
      </c>
      <c r="E112" s="25">
        <v>41</v>
      </c>
      <c r="F112" s="25">
        <v>92</v>
      </c>
      <c r="G112" s="25">
        <v>193</v>
      </c>
      <c r="H112" s="22">
        <f t="shared" si="2"/>
        <v>2</v>
      </c>
    </row>
    <row r="113" spans="1:8" x14ac:dyDescent="0.25">
      <c r="A113">
        <f t="shared" si="3"/>
        <v>3</v>
      </c>
      <c r="B113" t="s">
        <v>17</v>
      </c>
      <c r="C113" s="25">
        <v>561</v>
      </c>
      <c r="D113" s="25">
        <v>556</v>
      </c>
      <c r="E113" s="25">
        <v>511</v>
      </c>
      <c r="F113" s="25">
        <v>131</v>
      </c>
      <c r="G113" s="25">
        <v>130</v>
      </c>
      <c r="H113" s="22">
        <f t="shared" si="2"/>
        <v>1</v>
      </c>
    </row>
    <row r="114" spans="1:8" x14ac:dyDescent="0.25">
      <c r="A114">
        <f t="shared" si="3"/>
        <v>3</v>
      </c>
      <c r="B114" t="s">
        <v>18</v>
      </c>
      <c r="C114" s="25">
        <v>324</v>
      </c>
      <c r="D114" s="25">
        <v>592</v>
      </c>
      <c r="E114" s="25">
        <v>5</v>
      </c>
      <c r="F114" s="25">
        <v>652</v>
      </c>
      <c r="G114" s="25">
        <v>172</v>
      </c>
      <c r="H114" s="22">
        <f t="shared" si="2"/>
        <v>4</v>
      </c>
    </row>
    <row r="115" spans="1:8" x14ac:dyDescent="0.25">
      <c r="A115">
        <f t="shared" si="3"/>
        <v>3</v>
      </c>
      <c r="B115" t="s">
        <v>19</v>
      </c>
      <c r="C115" s="25">
        <v>530</v>
      </c>
      <c r="D115" s="25">
        <v>448</v>
      </c>
      <c r="E115" s="25">
        <v>939</v>
      </c>
      <c r="F115" s="25">
        <v>126</v>
      </c>
      <c r="G115" s="25">
        <v>147</v>
      </c>
      <c r="H115" s="22">
        <f t="shared" si="2"/>
        <v>3</v>
      </c>
    </row>
    <row r="116" spans="1:8" x14ac:dyDescent="0.25">
      <c r="A116">
        <f t="shared" si="3"/>
        <v>3</v>
      </c>
      <c r="B116" t="s">
        <v>20</v>
      </c>
      <c r="C116" s="25">
        <v>152</v>
      </c>
      <c r="D116" s="25">
        <v>525</v>
      </c>
      <c r="E116" s="25">
        <v>265</v>
      </c>
      <c r="F116" s="25">
        <v>160</v>
      </c>
      <c r="G116" s="25">
        <v>67</v>
      </c>
      <c r="H116" s="22">
        <f t="shared" si="2"/>
        <v>2</v>
      </c>
    </row>
    <row r="117" spans="1:8" x14ac:dyDescent="0.25">
      <c r="A117">
        <f t="shared" si="3"/>
        <v>3</v>
      </c>
      <c r="B117" t="s">
        <v>21</v>
      </c>
      <c r="C117" s="25">
        <v>167</v>
      </c>
      <c r="D117" s="25">
        <v>77</v>
      </c>
      <c r="E117" s="25">
        <v>674</v>
      </c>
      <c r="F117" s="25">
        <v>155</v>
      </c>
      <c r="G117" s="25">
        <v>105</v>
      </c>
      <c r="H117" s="22">
        <f t="shared" si="2"/>
        <v>3</v>
      </c>
    </row>
    <row r="118" spans="1:8" x14ac:dyDescent="0.25">
      <c r="A118">
        <f t="shared" si="3"/>
        <v>3</v>
      </c>
      <c r="B118" t="s">
        <v>22</v>
      </c>
      <c r="C118" s="25">
        <v>667</v>
      </c>
      <c r="D118" s="25">
        <v>695</v>
      </c>
      <c r="E118" s="25">
        <v>327</v>
      </c>
      <c r="F118" s="25">
        <v>44</v>
      </c>
      <c r="G118" s="25">
        <v>50</v>
      </c>
      <c r="H118" s="22">
        <f t="shared" si="2"/>
        <v>2</v>
      </c>
    </row>
    <row r="119" spans="1:8" x14ac:dyDescent="0.25">
      <c r="A119">
        <f t="shared" si="3"/>
        <v>3</v>
      </c>
      <c r="B119" t="s">
        <v>23</v>
      </c>
      <c r="C119" s="25">
        <v>439</v>
      </c>
      <c r="D119" s="25">
        <v>664</v>
      </c>
      <c r="E119" s="25">
        <v>306</v>
      </c>
      <c r="F119" s="25">
        <v>184</v>
      </c>
      <c r="G119" s="25">
        <v>84</v>
      </c>
      <c r="H119" s="22">
        <f t="shared" si="2"/>
        <v>2</v>
      </c>
    </row>
    <row r="120" spans="1:8" x14ac:dyDescent="0.25">
      <c r="A120">
        <f t="shared" si="3"/>
        <v>3</v>
      </c>
      <c r="B120" t="s">
        <v>24</v>
      </c>
      <c r="C120" s="25">
        <v>455</v>
      </c>
      <c r="D120" s="25">
        <v>340</v>
      </c>
      <c r="E120" s="25">
        <v>82</v>
      </c>
      <c r="F120" s="25">
        <v>97</v>
      </c>
      <c r="G120" s="25">
        <v>42</v>
      </c>
      <c r="H120" s="22">
        <f t="shared" si="2"/>
        <v>1</v>
      </c>
    </row>
    <row r="121" spans="1:8" x14ac:dyDescent="0.25">
      <c r="A121">
        <f t="shared" si="3"/>
        <v>3</v>
      </c>
      <c r="B121" t="s">
        <v>25</v>
      </c>
      <c r="C121" s="25">
        <v>409</v>
      </c>
      <c r="D121" s="25">
        <v>432</v>
      </c>
      <c r="E121" s="25">
        <v>490</v>
      </c>
      <c r="F121" s="25">
        <v>87</v>
      </c>
      <c r="G121" s="25">
        <v>143</v>
      </c>
      <c r="H121" s="22">
        <f t="shared" si="2"/>
        <v>3</v>
      </c>
    </row>
    <row r="122" spans="1:8" x14ac:dyDescent="0.25">
      <c r="A122">
        <f t="shared" si="3"/>
        <v>3</v>
      </c>
      <c r="B122" t="s">
        <v>26</v>
      </c>
      <c r="C122" s="25">
        <v>258</v>
      </c>
      <c r="D122" s="25">
        <v>46</v>
      </c>
      <c r="E122" s="25">
        <v>368</v>
      </c>
      <c r="F122" s="25">
        <v>24</v>
      </c>
      <c r="G122" s="25">
        <v>8</v>
      </c>
      <c r="H122" s="22">
        <f t="shared" si="2"/>
        <v>3</v>
      </c>
    </row>
    <row r="123" spans="1:8" x14ac:dyDescent="0.25">
      <c r="A123">
        <f t="shared" si="3"/>
        <v>3</v>
      </c>
      <c r="B123" t="s">
        <v>27</v>
      </c>
      <c r="C123" s="25">
        <v>371</v>
      </c>
      <c r="D123" s="25">
        <v>606</v>
      </c>
      <c r="E123" s="25">
        <v>184</v>
      </c>
      <c r="F123" s="25">
        <v>77</v>
      </c>
      <c r="G123" s="25">
        <v>181</v>
      </c>
      <c r="H123" s="22">
        <f t="shared" si="2"/>
        <v>2</v>
      </c>
    </row>
    <row r="124" spans="1:8" x14ac:dyDescent="0.25">
      <c r="A124">
        <f t="shared" si="3"/>
        <v>3</v>
      </c>
      <c r="B124" t="s">
        <v>28</v>
      </c>
      <c r="C124" s="25">
        <v>227</v>
      </c>
      <c r="D124" s="25">
        <v>649</v>
      </c>
      <c r="E124" s="25">
        <v>204</v>
      </c>
      <c r="F124" s="25">
        <v>165</v>
      </c>
      <c r="G124" s="25">
        <v>202</v>
      </c>
      <c r="H124" s="22">
        <f t="shared" si="2"/>
        <v>2</v>
      </c>
    </row>
    <row r="125" spans="1:8" x14ac:dyDescent="0.25">
      <c r="A125">
        <f t="shared" si="3"/>
        <v>3</v>
      </c>
      <c r="B125" t="s">
        <v>29</v>
      </c>
      <c r="C125" s="25">
        <v>515</v>
      </c>
      <c r="D125" s="25">
        <v>31</v>
      </c>
      <c r="E125" s="25">
        <v>817</v>
      </c>
      <c r="F125" s="25">
        <v>121</v>
      </c>
      <c r="G125" s="25">
        <v>109</v>
      </c>
      <c r="H125" s="22">
        <f t="shared" si="2"/>
        <v>3</v>
      </c>
    </row>
    <row r="126" spans="1:8" x14ac:dyDescent="0.25">
      <c r="A126">
        <f t="shared" si="3"/>
        <v>3</v>
      </c>
      <c r="B126" t="s">
        <v>30</v>
      </c>
      <c r="C126" s="25">
        <v>106</v>
      </c>
      <c r="D126" s="25">
        <v>124</v>
      </c>
      <c r="E126" s="25">
        <v>960</v>
      </c>
      <c r="F126" s="25">
        <v>150</v>
      </c>
      <c r="G126" s="25">
        <v>59</v>
      </c>
      <c r="H126" s="22">
        <f t="shared" si="2"/>
        <v>3</v>
      </c>
    </row>
    <row r="127" spans="1:8" x14ac:dyDescent="0.25">
      <c r="A127">
        <f t="shared" si="3"/>
        <v>3</v>
      </c>
      <c r="B127" t="s">
        <v>31</v>
      </c>
      <c r="C127" s="25">
        <v>136</v>
      </c>
      <c r="D127" s="25">
        <v>201</v>
      </c>
      <c r="E127" s="25">
        <v>694</v>
      </c>
      <c r="F127" s="25">
        <v>19</v>
      </c>
      <c r="G127" s="25">
        <v>122</v>
      </c>
      <c r="H127" s="22">
        <f t="shared" si="2"/>
        <v>3</v>
      </c>
    </row>
    <row r="128" spans="1:8" x14ac:dyDescent="0.25">
      <c r="A128">
        <f t="shared" si="3"/>
        <v>3</v>
      </c>
      <c r="B128" t="s">
        <v>32</v>
      </c>
      <c r="C128" s="25">
        <v>216</v>
      </c>
      <c r="D128" s="25">
        <v>591</v>
      </c>
      <c r="E128" s="25">
        <v>61</v>
      </c>
      <c r="F128" s="25">
        <v>232</v>
      </c>
      <c r="G128" s="25">
        <v>92</v>
      </c>
      <c r="H128" s="22">
        <f t="shared" si="2"/>
        <v>2</v>
      </c>
    </row>
    <row r="129" spans="1:8" x14ac:dyDescent="0.25">
      <c r="A129">
        <f t="shared" si="3"/>
        <v>3</v>
      </c>
      <c r="B129" t="s">
        <v>33</v>
      </c>
      <c r="C129" s="25">
        <v>485</v>
      </c>
      <c r="D129" s="25">
        <v>463</v>
      </c>
      <c r="E129" s="25">
        <v>796</v>
      </c>
      <c r="F129" s="25">
        <v>111</v>
      </c>
      <c r="G129" s="25">
        <v>177</v>
      </c>
      <c r="H129" s="22">
        <f t="shared" si="2"/>
        <v>3</v>
      </c>
    </row>
    <row r="130" spans="1:8" x14ac:dyDescent="0.25">
      <c r="A130">
        <f t="shared" si="3"/>
        <v>3</v>
      </c>
      <c r="B130" t="s">
        <v>34</v>
      </c>
      <c r="C130" s="25">
        <v>61</v>
      </c>
      <c r="D130" s="25">
        <v>679</v>
      </c>
      <c r="E130" s="25">
        <v>102</v>
      </c>
      <c r="F130" s="25">
        <v>34</v>
      </c>
      <c r="G130" s="25">
        <v>114</v>
      </c>
      <c r="H130" s="22">
        <f t="shared" si="2"/>
        <v>2</v>
      </c>
    </row>
    <row r="131" spans="1:8" x14ac:dyDescent="0.25">
      <c r="A131">
        <f t="shared" si="3"/>
        <v>3</v>
      </c>
      <c r="B131" t="s">
        <v>35</v>
      </c>
      <c r="C131" s="25">
        <v>621</v>
      </c>
      <c r="D131" s="25">
        <v>232</v>
      </c>
      <c r="E131" s="25">
        <v>899</v>
      </c>
      <c r="F131" s="25">
        <v>48</v>
      </c>
      <c r="G131" s="25">
        <v>13</v>
      </c>
      <c r="H131" s="22">
        <f t="shared" ref="H131:H194" si="4">INDEX($C$1:$G$1,0,MATCH(MAX(C131:G131),C131:G131,0))</f>
        <v>3</v>
      </c>
    </row>
    <row r="132" spans="1:8" x14ac:dyDescent="0.25">
      <c r="A132">
        <f t="shared" si="3"/>
        <v>3</v>
      </c>
      <c r="B132" t="s">
        <v>36</v>
      </c>
      <c r="C132" s="25">
        <v>394</v>
      </c>
      <c r="D132" s="25">
        <v>479</v>
      </c>
      <c r="E132" s="25">
        <v>715</v>
      </c>
      <c r="F132" s="25">
        <v>228</v>
      </c>
      <c r="G132" s="25">
        <v>4</v>
      </c>
      <c r="H132" s="22">
        <f t="shared" si="4"/>
        <v>3</v>
      </c>
    </row>
    <row r="133" spans="1:8" x14ac:dyDescent="0.25">
      <c r="A133">
        <f t="shared" ref="A133:A196" si="5">IF((ROW()-3)/48=INT((ROW()-3)/48),A132+1,A132)</f>
        <v>3</v>
      </c>
      <c r="B133" t="s">
        <v>37</v>
      </c>
      <c r="C133" s="25">
        <v>212</v>
      </c>
      <c r="D133" s="25">
        <v>494</v>
      </c>
      <c r="E133" s="25">
        <v>245</v>
      </c>
      <c r="F133" s="25">
        <v>208</v>
      </c>
      <c r="G133" s="25">
        <v>97</v>
      </c>
      <c r="H133" s="22">
        <f t="shared" si="4"/>
        <v>2</v>
      </c>
    </row>
    <row r="134" spans="1:8" x14ac:dyDescent="0.25">
      <c r="A134">
        <f t="shared" si="5"/>
        <v>3</v>
      </c>
      <c r="B134" t="s">
        <v>38</v>
      </c>
      <c r="C134" s="25">
        <v>303</v>
      </c>
      <c r="D134" s="25">
        <v>93</v>
      </c>
      <c r="E134" s="25">
        <v>756</v>
      </c>
      <c r="F134" s="25">
        <v>58</v>
      </c>
      <c r="G134" s="25">
        <v>198</v>
      </c>
      <c r="H134" s="22">
        <f t="shared" si="4"/>
        <v>3</v>
      </c>
    </row>
    <row r="135" spans="1:8" x14ac:dyDescent="0.25">
      <c r="A135">
        <f t="shared" si="5"/>
        <v>3</v>
      </c>
      <c r="B135" t="s">
        <v>39</v>
      </c>
      <c r="C135" s="25">
        <v>546</v>
      </c>
      <c r="D135" s="25">
        <v>633</v>
      </c>
      <c r="E135" s="25">
        <v>225</v>
      </c>
      <c r="F135" s="25">
        <v>53</v>
      </c>
      <c r="G135" s="25">
        <v>55</v>
      </c>
      <c r="H135" s="22">
        <f t="shared" si="4"/>
        <v>2</v>
      </c>
    </row>
    <row r="136" spans="1:8" x14ac:dyDescent="0.25">
      <c r="A136">
        <f t="shared" si="5"/>
        <v>3</v>
      </c>
      <c r="B136" t="s">
        <v>40</v>
      </c>
      <c r="C136" s="25">
        <v>182</v>
      </c>
      <c r="D136" s="25">
        <v>15</v>
      </c>
      <c r="E136" s="25">
        <v>531</v>
      </c>
      <c r="F136" s="25">
        <v>68</v>
      </c>
      <c r="G136" s="25">
        <v>63</v>
      </c>
      <c r="H136" s="22">
        <f t="shared" si="4"/>
        <v>3</v>
      </c>
    </row>
    <row r="137" spans="1:8" x14ac:dyDescent="0.25">
      <c r="A137">
        <f t="shared" si="5"/>
        <v>3</v>
      </c>
      <c r="B137" t="s">
        <v>41</v>
      </c>
      <c r="C137" s="25">
        <v>424</v>
      </c>
      <c r="D137" s="25">
        <v>741</v>
      </c>
      <c r="E137" s="25">
        <v>143</v>
      </c>
      <c r="F137" s="25">
        <v>10</v>
      </c>
      <c r="G137" s="25">
        <v>185</v>
      </c>
      <c r="H137" s="22">
        <f t="shared" si="4"/>
        <v>2</v>
      </c>
    </row>
    <row r="138" spans="1:8" x14ac:dyDescent="0.25">
      <c r="A138">
        <f t="shared" si="5"/>
        <v>3</v>
      </c>
      <c r="B138" t="s">
        <v>42</v>
      </c>
      <c r="C138" s="25">
        <v>45</v>
      </c>
      <c r="D138" s="25">
        <v>139</v>
      </c>
      <c r="E138" s="25">
        <v>470</v>
      </c>
      <c r="F138" s="25">
        <v>189</v>
      </c>
      <c r="G138" s="25">
        <v>34</v>
      </c>
      <c r="H138" s="22">
        <f t="shared" si="4"/>
        <v>3</v>
      </c>
    </row>
    <row r="139" spans="1:8" x14ac:dyDescent="0.25">
      <c r="A139">
        <f t="shared" si="5"/>
        <v>3</v>
      </c>
      <c r="B139" t="s">
        <v>43</v>
      </c>
      <c r="C139" s="25">
        <v>91</v>
      </c>
      <c r="D139" s="25">
        <v>293</v>
      </c>
      <c r="E139" s="25">
        <v>347</v>
      </c>
      <c r="F139" s="25">
        <v>73</v>
      </c>
      <c r="G139" s="25">
        <v>46</v>
      </c>
      <c r="H139" s="22">
        <f t="shared" si="4"/>
        <v>3</v>
      </c>
    </row>
    <row r="140" spans="1:8" x14ac:dyDescent="0.25">
      <c r="A140">
        <f t="shared" si="5"/>
        <v>3</v>
      </c>
      <c r="B140" t="s">
        <v>44</v>
      </c>
      <c r="C140" s="25">
        <v>697</v>
      </c>
      <c r="D140" s="25">
        <v>309</v>
      </c>
      <c r="E140" s="25">
        <v>653</v>
      </c>
      <c r="F140" s="25">
        <v>82</v>
      </c>
      <c r="G140" s="25">
        <v>71</v>
      </c>
      <c r="H140" s="22">
        <f t="shared" si="4"/>
        <v>1</v>
      </c>
    </row>
    <row r="141" spans="1:8" x14ac:dyDescent="0.25">
      <c r="A141">
        <f t="shared" si="5"/>
        <v>3</v>
      </c>
      <c r="B141" t="s">
        <v>45</v>
      </c>
      <c r="C141" s="25">
        <v>288</v>
      </c>
      <c r="D141" s="25">
        <v>185</v>
      </c>
      <c r="E141" s="25">
        <v>388</v>
      </c>
      <c r="F141" s="25">
        <v>107</v>
      </c>
      <c r="G141" s="25">
        <v>189</v>
      </c>
      <c r="H141" s="22">
        <f t="shared" si="4"/>
        <v>3</v>
      </c>
    </row>
    <row r="142" spans="1:8" x14ac:dyDescent="0.25">
      <c r="A142">
        <f t="shared" si="5"/>
        <v>3</v>
      </c>
      <c r="B142" t="s">
        <v>46</v>
      </c>
      <c r="C142" s="25">
        <v>333</v>
      </c>
      <c r="D142" s="25">
        <v>263</v>
      </c>
      <c r="E142" s="25">
        <v>163</v>
      </c>
      <c r="F142" s="25">
        <v>136</v>
      </c>
      <c r="G142" s="25">
        <v>118</v>
      </c>
      <c r="H142" s="22">
        <f t="shared" si="4"/>
        <v>1</v>
      </c>
    </row>
    <row r="143" spans="1:8" x14ac:dyDescent="0.25">
      <c r="A143">
        <f t="shared" si="5"/>
        <v>3</v>
      </c>
      <c r="B143" t="s">
        <v>47</v>
      </c>
      <c r="C143" s="25">
        <v>636</v>
      </c>
      <c r="D143" s="25">
        <v>587</v>
      </c>
      <c r="E143" s="25">
        <v>123</v>
      </c>
      <c r="F143" s="25">
        <v>203</v>
      </c>
      <c r="G143" s="25">
        <v>135</v>
      </c>
      <c r="H143" s="22">
        <f t="shared" si="4"/>
        <v>1</v>
      </c>
    </row>
    <row r="144" spans="1:8" x14ac:dyDescent="0.25">
      <c r="A144">
        <f t="shared" si="5"/>
        <v>3</v>
      </c>
      <c r="B144" t="s">
        <v>48</v>
      </c>
      <c r="C144" s="25">
        <v>727</v>
      </c>
      <c r="D144" s="25">
        <v>402</v>
      </c>
      <c r="E144" s="25">
        <v>449</v>
      </c>
      <c r="F144" s="25">
        <v>218</v>
      </c>
      <c r="G144" s="25">
        <v>156</v>
      </c>
      <c r="H144" s="22">
        <f t="shared" si="4"/>
        <v>1</v>
      </c>
    </row>
    <row r="145" spans="1:8" x14ac:dyDescent="0.25">
      <c r="A145">
        <f t="shared" si="5"/>
        <v>3</v>
      </c>
      <c r="B145" t="s">
        <v>49</v>
      </c>
      <c r="C145" s="25">
        <v>712</v>
      </c>
      <c r="D145" s="25">
        <v>154</v>
      </c>
      <c r="E145" s="25">
        <v>572</v>
      </c>
      <c r="F145" s="25">
        <v>63</v>
      </c>
      <c r="G145" s="25">
        <v>29</v>
      </c>
      <c r="H145" s="22">
        <f t="shared" si="4"/>
        <v>1</v>
      </c>
    </row>
    <row r="146" spans="1:8" x14ac:dyDescent="0.25">
      <c r="A146">
        <f t="shared" si="5"/>
        <v>3</v>
      </c>
      <c r="B146" t="s">
        <v>50</v>
      </c>
      <c r="C146" s="25">
        <v>470</v>
      </c>
      <c r="D146" s="25">
        <v>108</v>
      </c>
      <c r="E146" s="25">
        <v>919</v>
      </c>
      <c r="F146" s="25">
        <v>213</v>
      </c>
      <c r="G146" s="25">
        <v>38</v>
      </c>
      <c r="H146" s="22">
        <f t="shared" si="4"/>
        <v>3</v>
      </c>
    </row>
    <row r="147" spans="1:8" x14ac:dyDescent="0.25">
      <c r="A147">
        <f t="shared" si="5"/>
        <v>4</v>
      </c>
      <c r="B147" t="s">
        <v>3</v>
      </c>
      <c r="C147" s="25">
        <v>206</v>
      </c>
      <c r="D147" s="25">
        <v>123</v>
      </c>
      <c r="E147" s="25">
        <v>84</v>
      </c>
      <c r="F147" s="25">
        <v>196</v>
      </c>
      <c r="G147" s="25">
        <v>178</v>
      </c>
      <c r="H147" s="22">
        <f t="shared" si="4"/>
        <v>1</v>
      </c>
    </row>
    <row r="148" spans="1:8" x14ac:dyDescent="0.25">
      <c r="A148">
        <f t="shared" si="5"/>
        <v>4</v>
      </c>
      <c r="B148" t="s">
        <v>4</v>
      </c>
      <c r="C148" s="25">
        <v>713</v>
      </c>
      <c r="D148" s="25">
        <v>277</v>
      </c>
      <c r="E148" s="25">
        <v>106</v>
      </c>
      <c r="F148" s="25">
        <v>74</v>
      </c>
      <c r="G148" s="25">
        <v>75</v>
      </c>
      <c r="H148" s="22">
        <f t="shared" si="4"/>
        <v>1</v>
      </c>
    </row>
    <row r="149" spans="1:8" x14ac:dyDescent="0.25">
      <c r="A149">
        <f t="shared" si="5"/>
        <v>4</v>
      </c>
      <c r="B149" t="s">
        <v>5</v>
      </c>
      <c r="C149" s="25">
        <v>127</v>
      </c>
      <c r="D149" s="25">
        <v>677</v>
      </c>
      <c r="E149" s="25">
        <v>338</v>
      </c>
      <c r="F149" s="25">
        <v>217</v>
      </c>
      <c r="G149" s="25">
        <v>59</v>
      </c>
      <c r="H149" s="22">
        <f t="shared" si="4"/>
        <v>2</v>
      </c>
    </row>
    <row r="150" spans="1:8" x14ac:dyDescent="0.25">
      <c r="A150">
        <f t="shared" si="5"/>
        <v>4</v>
      </c>
      <c r="B150" t="s">
        <v>6</v>
      </c>
      <c r="C150" s="25">
        <v>32</v>
      </c>
      <c r="D150" s="25">
        <v>600</v>
      </c>
      <c r="E150" s="25">
        <v>845</v>
      </c>
      <c r="F150" s="25">
        <v>180</v>
      </c>
      <c r="G150" s="25">
        <v>146</v>
      </c>
      <c r="H150" s="22">
        <f t="shared" si="4"/>
        <v>3</v>
      </c>
    </row>
    <row r="151" spans="1:8" x14ac:dyDescent="0.25">
      <c r="A151">
        <f t="shared" si="5"/>
        <v>4</v>
      </c>
      <c r="B151" t="s">
        <v>7</v>
      </c>
      <c r="C151" s="25">
        <v>301</v>
      </c>
      <c r="D151" s="25">
        <v>646</v>
      </c>
      <c r="E151" s="25">
        <v>127</v>
      </c>
      <c r="F151" s="25">
        <v>228</v>
      </c>
      <c r="G151" s="25">
        <v>47</v>
      </c>
      <c r="H151" s="22">
        <f t="shared" si="4"/>
        <v>2</v>
      </c>
    </row>
    <row r="152" spans="1:8" x14ac:dyDescent="0.25">
      <c r="A152">
        <f t="shared" si="5"/>
        <v>4</v>
      </c>
      <c r="B152" t="s">
        <v>8</v>
      </c>
      <c r="C152" s="25">
        <v>222</v>
      </c>
      <c r="D152" s="25">
        <v>400</v>
      </c>
      <c r="E152" s="25">
        <v>718</v>
      </c>
      <c r="F152" s="25">
        <v>191</v>
      </c>
      <c r="G152" s="25">
        <v>28</v>
      </c>
      <c r="H152" s="22">
        <f t="shared" si="4"/>
        <v>3</v>
      </c>
    </row>
    <row r="153" spans="1:8" x14ac:dyDescent="0.25">
      <c r="A153">
        <f t="shared" si="5"/>
        <v>4</v>
      </c>
      <c r="B153" t="s">
        <v>9</v>
      </c>
      <c r="C153" s="25">
        <v>108</v>
      </c>
      <c r="D153" s="25">
        <v>42</v>
      </c>
      <c r="E153" s="25">
        <v>79</v>
      </c>
      <c r="F153" s="25">
        <v>211</v>
      </c>
      <c r="G153" s="25">
        <v>138</v>
      </c>
      <c r="H153" s="22">
        <f t="shared" si="4"/>
        <v>4</v>
      </c>
    </row>
    <row r="154" spans="1:8" x14ac:dyDescent="0.25">
      <c r="A154">
        <f t="shared" si="5"/>
        <v>4</v>
      </c>
      <c r="B154" t="s">
        <v>10</v>
      </c>
      <c r="C154" s="25">
        <v>77</v>
      </c>
      <c r="D154" s="25">
        <v>11</v>
      </c>
      <c r="E154" s="25">
        <v>317</v>
      </c>
      <c r="F154" s="25">
        <v>929</v>
      </c>
      <c r="G154" s="25">
        <v>158</v>
      </c>
      <c r="H154" s="22">
        <f t="shared" si="4"/>
        <v>4</v>
      </c>
    </row>
    <row r="155" spans="1:8" x14ac:dyDescent="0.25">
      <c r="A155">
        <f t="shared" si="5"/>
        <v>4</v>
      </c>
      <c r="B155" t="s">
        <v>11</v>
      </c>
      <c r="C155" s="25">
        <v>62</v>
      </c>
      <c r="D155" s="25">
        <v>16</v>
      </c>
      <c r="E155" s="25">
        <v>666</v>
      </c>
      <c r="F155" s="25">
        <v>169</v>
      </c>
      <c r="G155" s="25">
        <v>150</v>
      </c>
      <c r="H155" s="22">
        <f t="shared" si="4"/>
        <v>3</v>
      </c>
    </row>
    <row r="156" spans="1:8" x14ac:dyDescent="0.25">
      <c r="A156">
        <f t="shared" si="5"/>
        <v>4</v>
      </c>
      <c r="B156" t="s">
        <v>12</v>
      </c>
      <c r="C156" s="25">
        <v>285</v>
      </c>
      <c r="D156" s="25">
        <v>569</v>
      </c>
      <c r="E156" s="25">
        <v>634</v>
      </c>
      <c r="F156" s="25">
        <v>154</v>
      </c>
      <c r="G156" s="25">
        <v>122</v>
      </c>
      <c r="H156" s="22">
        <f t="shared" si="4"/>
        <v>3</v>
      </c>
    </row>
    <row r="157" spans="1:8" x14ac:dyDescent="0.25">
      <c r="A157">
        <f t="shared" si="5"/>
        <v>4</v>
      </c>
      <c r="B157" t="s">
        <v>13</v>
      </c>
      <c r="C157" s="25">
        <v>154</v>
      </c>
      <c r="D157" s="25">
        <v>190</v>
      </c>
      <c r="E157" s="25">
        <v>507</v>
      </c>
      <c r="F157" s="25">
        <v>133</v>
      </c>
      <c r="G157" s="25">
        <v>8</v>
      </c>
      <c r="H157" s="22">
        <f t="shared" si="4"/>
        <v>3</v>
      </c>
    </row>
    <row r="158" spans="1:8" x14ac:dyDescent="0.25">
      <c r="A158">
        <f t="shared" si="5"/>
        <v>4</v>
      </c>
      <c r="B158" t="s">
        <v>14</v>
      </c>
      <c r="C158" s="25">
        <v>428</v>
      </c>
      <c r="D158" s="25">
        <v>554</v>
      </c>
      <c r="E158" s="25">
        <v>570</v>
      </c>
      <c r="F158" s="25">
        <v>127</v>
      </c>
      <c r="G158" s="25">
        <v>186</v>
      </c>
      <c r="H158" s="22">
        <f t="shared" si="4"/>
        <v>3</v>
      </c>
    </row>
    <row r="159" spans="1:8" x14ac:dyDescent="0.25">
      <c r="A159">
        <f t="shared" si="5"/>
        <v>4</v>
      </c>
      <c r="B159" t="s">
        <v>15</v>
      </c>
      <c r="C159" s="25">
        <v>111</v>
      </c>
      <c r="D159" s="25">
        <v>738</v>
      </c>
      <c r="E159" s="25">
        <v>296</v>
      </c>
      <c r="F159" s="25">
        <v>207</v>
      </c>
      <c r="G159" s="25">
        <v>170</v>
      </c>
      <c r="H159" s="22">
        <f t="shared" si="4"/>
        <v>2</v>
      </c>
    </row>
    <row r="160" spans="1:8" x14ac:dyDescent="0.25">
      <c r="A160">
        <f t="shared" si="5"/>
        <v>4</v>
      </c>
      <c r="B160" t="s">
        <v>16</v>
      </c>
      <c r="C160" s="25">
        <v>698</v>
      </c>
      <c r="D160" s="25">
        <v>431</v>
      </c>
      <c r="E160" s="25">
        <v>803</v>
      </c>
      <c r="F160" s="25">
        <v>21</v>
      </c>
      <c r="G160" s="25">
        <v>107</v>
      </c>
      <c r="H160" s="22">
        <f t="shared" si="4"/>
        <v>3</v>
      </c>
    </row>
    <row r="161" spans="1:8" x14ac:dyDescent="0.25">
      <c r="A161">
        <f t="shared" si="5"/>
        <v>4</v>
      </c>
      <c r="B161" t="s">
        <v>17</v>
      </c>
      <c r="C161" s="25">
        <v>761</v>
      </c>
      <c r="D161" s="25">
        <v>138</v>
      </c>
      <c r="E161" s="25">
        <v>993</v>
      </c>
      <c r="F161" s="25">
        <v>5</v>
      </c>
      <c r="G161" s="25">
        <v>36</v>
      </c>
      <c r="H161" s="22">
        <f t="shared" si="4"/>
        <v>3</v>
      </c>
    </row>
    <row r="162" spans="1:8" x14ac:dyDescent="0.25">
      <c r="A162">
        <f t="shared" si="5"/>
        <v>4</v>
      </c>
      <c r="B162" t="s">
        <v>18</v>
      </c>
      <c r="C162" s="25">
        <v>385</v>
      </c>
      <c r="D162" s="25">
        <v>571</v>
      </c>
      <c r="E162" s="25">
        <v>465</v>
      </c>
      <c r="F162" s="25">
        <v>239</v>
      </c>
      <c r="G162" s="25">
        <v>142</v>
      </c>
      <c r="H162" s="22">
        <f t="shared" si="4"/>
        <v>2</v>
      </c>
    </row>
    <row r="163" spans="1:8" x14ac:dyDescent="0.25">
      <c r="A163">
        <f t="shared" si="5"/>
        <v>4</v>
      </c>
      <c r="B163" t="s">
        <v>19</v>
      </c>
      <c r="C163" s="25">
        <v>634</v>
      </c>
      <c r="D163" s="25">
        <v>661</v>
      </c>
      <c r="E163" s="25">
        <v>380</v>
      </c>
      <c r="F163" s="25">
        <v>164</v>
      </c>
      <c r="G163" s="25">
        <v>174</v>
      </c>
      <c r="H163" s="22">
        <f t="shared" si="4"/>
        <v>2</v>
      </c>
    </row>
    <row r="164" spans="1:8" x14ac:dyDescent="0.25">
      <c r="A164">
        <f t="shared" si="5"/>
        <v>4</v>
      </c>
      <c r="B164" t="s">
        <v>20</v>
      </c>
      <c r="C164" s="25">
        <v>523</v>
      </c>
      <c r="D164" s="25">
        <v>523</v>
      </c>
      <c r="E164" s="25">
        <v>824</v>
      </c>
      <c r="F164" s="25">
        <v>90</v>
      </c>
      <c r="G164" s="25">
        <v>115</v>
      </c>
      <c r="H164" s="22">
        <f t="shared" si="4"/>
        <v>3</v>
      </c>
    </row>
    <row r="165" spans="1:8" x14ac:dyDescent="0.25">
      <c r="A165">
        <f t="shared" si="5"/>
        <v>4</v>
      </c>
      <c r="B165" t="s">
        <v>21</v>
      </c>
      <c r="C165" s="25">
        <v>238</v>
      </c>
      <c r="D165" s="25">
        <v>461</v>
      </c>
      <c r="E165" s="25">
        <v>422</v>
      </c>
      <c r="F165" s="25">
        <v>122</v>
      </c>
      <c r="G165" s="25">
        <v>55</v>
      </c>
      <c r="H165" s="22">
        <f t="shared" si="4"/>
        <v>2</v>
      </c>
    </row>
    <row r="166" spans="1:8" x14ac:dyDescent="0.25">
      <c r="A166">
        <f t="shared" si="5"/>
        <v>4</v>
      </c>
      <c r="B166" t="s">
        <v>22</v>
      </c>
      <c r="C166" s="25">
        <v>555</v>
      </c>
      <c r="D166" s="25">
        <v>169</v>
      </c>
      <c r="E166" s="25">
        <v>739</v>
      </c>
      <c r="F166" s="25">
        <v>64</v>
      </c>
      <c r="G166" s="25">
        <v>63</v>
      </c>
      <c r="H166" s="22">
        <f t="shared" si="4"/>
        <v>3</v>
      </c>
    </row>
    <row r="167" spans="1:8" x14ac:dyDescent="0.25">
      <c r="A167">
        <f t="shared" si="5"/>
        <v>4</v>
      </c>
      <c r="B167" t="s">
        <v>23</v>
      </c>
      <c r="C167" s="25">
        <v>63</v>
      </c>
      <c r="D167" s="25">
        <v>585</v>
      </c>
      <c r="E167" s="25">
        <v>317</v>
      </c>
      <c r="F167" s="25">
        <v>85</v>
      </c>
      <c r="G167" s="25">
        <v>182</v>
      </c>
      <c r="H167" s="22">
        <f t="shared" si="4"/>
        <v>2</v>
      </c>
    </row>
    <row r="168" spans="1:8" x14ac:dyDescent="0.25">
      <c r="A168">
        <f t="shared" si="5"/>
        <v>4</v>
      </c>
      <c r="B168" t="s">
        <v>24</v>
      </c>
      <c r="C168" s="25">
        <v>460</v>
      </c>
      <c r="D168" s="25">
        <v>308</v>
      </c>
      <c r="E168" s="25">
        <v>444</v>
      </c>
      <c r="F168" s="25">
        <v>48</v>
      </c>
      <c r="G168" s="25">
        <v>134</v>
      </c>
      <c r="H168" s="22">
        <f t="shared" si="4"/>
        <v>1</v>
      </c>
    </row>
    <row r="169" spans="1:8" x14ac:dyDescent="0.25">
      <c r="A169">
        <f t="shared" si="5"/>
        <v>4</v>
      </c>
      <c r="B169" t="s">
        <v>25</v>
      </c>
      <c r="C169" s="25">
        <v>292</v>
      </c>
      <c r="D169" s="25">
        <v>42</v>
      </c>
      <c r="E169" s="25">
        <v>333</v>
      </c>
      <c r="F169" s="25">
        <v>223</v>
      </c>
      <c r="G169" s="25">
        <v>79</v>
      </c>
      <c r="H169" s="22">
        <f t="shared" si="4"/>
        <v>3</v>
      </c>
    </row>
    <row r="170" spans="1:8" x14ac:dyDescent="0.25">
      <c r="A170">
        <f t="shared" si="5"/>
        <v>4</v>
      </c>
      <c r="B170" t="s">
        <v>26</v>
      </c>
      <c r="C170" s="25">
        <v>46</v>
      </c>
      <c r="D170" s="25">
        <v>760</v>
      </c>
      <c r="E170" s="25">
        <v>444</v>
      </c>
      <c r="F170" s="25">
        <v>201</v>
      </c>
      <c r="G170" s="25">
        <v>16</v>
      </c>
      <c r="H170" s="22">
        <f t="shared" si="4"/>
        <v>2</v>
      </c>
    </row>
    <row r="171" spans="1:8" x14ac:dyDescent="0.25">
      <c r="A171">
        <f t="shared" si="5"/>
        <v>4</v>
      </c>
      <c r="B171" t="s">
        <v>27</v>
      </c>
      <c r="C171" s="25">
        <v>48</v>
      </c>
      <c r="D171" s="25">
        <v>261</v>
      </c>
      <c r="E171" s="25">
        <v>697</v>
      </c>
      <c r="F171" s="25">
        <v>138</v>
      </c>
      <c r="G171" s="25">
        <v>99</v>
      </c>
      <c r="H171" s="22">
        <f t="shared" si="4"/>
        <v>3</v>
      </c>
    </row>
    <row r="172" spans="1:8" x14ac:dyDescent="0.25">
      <c r="A172">
        <f t="shared" si="5"/>
        <v>4</v>
      </c>
      <c r="B172" t="s">
        <v>28</v>
      </c>
      <c r="C172" s="25">
        <v>174</v>
      </c>
      <c r="D172" s="25">
        <v>477</v>
      </c>
      <c r="E172" s="25">
        <v>676</v>
      </c>
      <c r="F172" s="25">
        <v>101</v>
      </c>
      <c r="G172" s="25">
        <v>24</v>
      </c>
      <c r="H172" s="22">
        <f t="shared" si="4"/>
        <v>3</v>
      </c>
    </row>
    <row r="173" spans="1:8" x14ac:dyDescent="0.25">
      <c r="A173">
        <f t="shared" si="5"/>
        <v>4</v>
      </c>
      <c r="B173" t="s">
        <v>29</v>
      </c>
      <c r="C173" s="25">
        <v>254</v>
      </c>
      <c r="D173" s="25">
        <v>631</v>
      </c>
      <c r="E173" s="25">
        <v>908</v>
      </c>
      <c r="F173" s="25">
        <v>244</v>
      </c>
      <c r="G173" s="25">
        <v>67</v>
      </c>
      <c r="H173" s="22">
        <f t="shared" si="4"/>
        <v>3</v>
      </c>
    </row>
    <row r="174" spans="1:8" x14ac:dyDescent="0.25">
      <c r="A174">
        <f t="shared" si="5"/>
        <v>4</v>
      </c>
      <c r="B174" t="s">
        <v>30</v>
      </c>
      <c r="C174" s="25">
        <v>682</v>
      </c>
      <c r="D174" s="25">
        <v>369</v>
      </c>
      <c r="E174" s="25">
        <v>972</v>
      </c>
      <c r="F174" s="25">
        <v>111</v>
      </c>
      <c r="G174" s="25">
        <v>111</v>
      </c>
      <c r="H174" s="22">
        <f t="shared" si="4"/>
        <v>3</v>
      </c>
    </row>
    <row r="175" spans="1:8" x14ac:dyDescent="0.25">
      <c r="A175">
        <f t="shared" si="5"/>
        <v>4</v>
      </c>
      <c r="B175" t="s">
        <v>31</v>
      </c>
      <c r="C175" s="25">
        <v>602</v>
      </c>
      <c r="D175" s="25">
        <v>508</v>
      </c>
      <c r="E175" s="25">
        <v>549</v>
      </c>
      <c r="F175" s="25">
        <v>117</v>
      </c>
      <c r="G175" s="25">
        <v>162</v>
      </c>
      <c r="H175" s="22">
        <f t="shared" si="4"/>
        <v>1</v>
      </c>
    </row>
    <row r="176" spans="1:8" x14ac:dyDescent="0.25">
      <c r="A176">
        <f t="shared" si="5"/>
        <v>4</v>
      </c>
      <c r="B176" t="s">
        <v>32</v>
      </c>
      <c r="C176" s="25">
        <v>412</v>
      </c>
      <c r="D176" s="25">
        <v>538</v>
      </c>
      <c r="E176" s="25">
        <v>253</v>
      </c>
      <c r="F176" s="25">
        <v>148</v>
      </c>
      <c r="G176" s="25">
        <v>87</v>
      </c>
      <c r="H176" s="22">
        <f t="shared" si="4"/>
        <v>2</v>
      </c>
    </row>
    <row r="177" spans="1:8" x14ac:dyDescent="0.25">
      <c r="A177">
        <f t="shared" si="5"/>
        <v>4</v>
      </c>
      <c r="B177" t="s">
        <v>33</v>
      </c>
      <c r="C177" s="25">
        <v>745</v>
      </c>
      <c r="D177" s="25">
        <v>708</v>
      </c>
      <c r="E177" s="25">
        <v>887</v>
      </c>
      <c r="F177" s="25">
        <v>32</v>
      </c>
      <c r="G177" s="25">
        <v>166</v>
      </c>
      <c r="H177" s="22">
        <f t="shared" si="4"/>
        <v>3</v>
      </c>
    </row>
    <row r="178" spans="1:8" x14ac:dyDescent="0.25">
      <c r="A178">
        <f t="shared" si="5"/>
        <v>4</v>
      </c>
      <c r="B178" t="s">
        <v>34</v>
      </c>
      <c r="C178" s="25">
        <v>270</v>
      </c>
      <c r="D178" s="25">
        <v>492</v>
      </c>
      <c r="E178" s="25">
        <v>359</v>
      </c>
      <c r="F178" s="25">
        <v>58</v>
      </c>
      <c r="G178" s="25">
        <v>126</v>
      </c>
      <c r="H178" s="22">
        <f t="shared" si="4"/>
        <v>2</v>
      </c>
    </row>
    <row r="179" spans="1:8" x14ac:dyDescent="0.25">
      <c r="A179">
        <f t="shared" si="5"/>
        <v>4</v>
      </c>
      <c r="B179" t="s">
        <v>35</v>
      </c>
      <c r="C179" s="25">
        <v>396</v>
      </c>
      <c r="D179" s="25">
        <v>185</v>
      </c>
      <c r="E179" s="25">
        <v>232</v>
      </c>
      <c r="F179" s="25">
        <v>27</v>
      </c>
      <c r="G179" s="25">
        <v>51</v>
      </c>
      <c r="H179" s="22">
        <f t="shared" si="4"/>
        <v>1</v>
      </c>
    </row>
    <row r="180" spans="1:8" x14ac:dyDescent="0.25">
      <c r="A180">
        <f t="shared" si="5"/>
        <v>4</v>
      </c>
      <c r="B180" t="s">
        <v>36</v>
      </c>
      <c r="C180" s="25">
        <v>491</v>
      </c>
      <c r="D180" s="25">
        <v>31</v>
      </c>
      <c r="E180" s="25">
        <v>591</v>
      </c>
      <c r="F180" s="25">
        <v>95</v>
      </c>
      <c r="G180" s="25">
        <v>119</v>
      </c>
      <c r="H180" s="22">
        <f t="shared" si="4"/>
        <v>3</v>
      </c>
    </row>
    <row r="181" spans="1:8" x14ac:dyDescent="0.25">
      <c r="A181">
        <f t="shared" si="5"/>
        <v>4</v>
      </c>
      <c r="B181" t="s">
        <v>37</v>
      </c>
      <c r="C181" s="25">
        <v>365</v>
      </c>
      <c r="D181" s="25">
        <v>692</v>
      </c>
      <c r="E181" s="25">
        <v>866</v>
      </c>
      <c r="F181" s="25">
        <v>212</v>
      </c>
      <c r="G181" s="25">
        <v>43</v>
      </c>
      <c r="H181" s="22">
        <f t="shared" si="4"/>
        <v>3</v>
      </c>
    </row>
    <row r="182" spans="1:8" x14ac:dyDescent="0.25">
      <c r="A182">
        <f t="shared" si="5"/>
        <v>4</v>
      </c>
      <c r="B182" t="s">
        <v>38</v>
      </c>
      <c r="C182" s="25">
        <v>159</v>
      </c>
      <c r="D182" s="25">
        <v>231</v>
      </c>
      <c r="E182" s="25">
        <v>781</v>
      </c>
      <c r="F182" s="25">
        <v>143</v>
      </c>
      <c r="G182" s="25">
        <v>12</v>
      </c>
      <c r="H182" s="22">
        <f t="shared" si="4"/>
        <v>3</v>
      </c>
    </row>
    <row r="183" spans="1:8" x14ac:dyDescent="0.25">
      <c r="A183">
        <f t="shared" si="5"/>
        <v>4</v>
      </c>
      <c r="B183" t="s">
        <v>39</v>
      </c>
      <c r="C183" s="1">
        <v>618</v>
      </c>
      <c r="D183" s="1">
        <v>723</v>
      </c>
      <c r="E183" s="1">
        <v>21</v>
      </c>
      <c r="F183" s="1">
        <v>69</v>
      </c>
      <c r="G183" s="1">
        <v>4</v>
      </c>
      <c r="H183" s="22">
        <f t="shared" si="4"/>
        <v>2</v>
      </c>
    </row>
    <row r="184" spans="1:8" x14ac:dyDescent="0.25">
      <c r="A184">
        <f t="shared" si="5"/>
        <v>4</v>
      </c>
      <c r="B184" t="s">
        <v>40</v>
      </c>
      <c r="C184" s="1">
        <v>246</v>
      </c>
      <c r="D184" s="1">
        <v>80</v>
      </c>
      <c r="E184" s="1">
        <v>95</v>
      </c>
      <c r="F184" s="1">
        <v>130</v>
      </c>
      <c r="G184" s="1">
        <v>401</v>
      </c>
      <c r="H184" s="22">
        <f t="shared" si="4"/>
        <v>5</v>
      </c>
    </row>
    <row r="185" spans="1:8" x14ac:dyDescent="0.25">
      <c r="A185">
        <f t="shared" si="5"/>
        <v>4</v>
      </c>
      <c r="B185" t="s">
        <v>41</v>
      </c>
      <c r="C185" s="1">
        <v>354</v>
      </c>
      <c r="D185" s="1">
        <v>53</v>
      </c>
      <c r="E185" s="1">
        <v>349</v>
      </c>
      <c r="F185" s="1">
        <v>71</v>
      </c>
      <c r="G185" s="1">
        <v>655</v>
      </c>
      <c r="H185" s="22">
        <f t="shared" si="4"/>
        <v>5</v>
      </c>
    </row>
    <row r="186" spans="1:8" x14ac:dyDescent="0.25">
      <c r="A186">
        <f t="shared" si="5"/>
        <v>4</v>
      </c>
      <c r="B186" t="s">
        <v>42</v>
      </c>
      <c r="C186" s="1">
        <v>381</v>
      </c>
      <c r="D186" s="1">
        <v>615</v>
      </c>
      <c r="E186" s="1">
        <v>528</v>
      </c>
      <c r="F186" s="1">
        <v>106</v>
      </c>
      <c r="G186" s="1">
        <v>40</v>
      </c>
      <c r="H186" s="22">
        <f t="shared" si="4"/>
        <v>2</v>
      </c>
    </row>
    <row r="187" spans="1:8" x14ac:dyDescent="0.25">
      <c r="A187">
        <f t="shared" si="5"/>
        <v>4</v>
      </c>
      <c r="B187" t="s">
        <v>43</v>
      </c>
      <c r="C187" s="1">
        <v>729</v>
      </c>
      <c r="D187" s="1">
        <v>92</v>
      </c>
      <c r="E187" s="1">
        <v>63</v>
      </c>
      <c r="F187" s="1">
        <v>186</v>
      </c>
      <c r="G187" s="1">
        <v>91</v>
      </c>
      <c r="H187" s="22">
        <f t="shared" si="4"/>
        <v>1</v>
      </c>
    </row>
    <row r="188" spans="1:8" x14ac:dyDescent="0.25">
      <c r="A188">
        <f t="shared" si="5"/>
        <v>4</v>
      </c>
      <c r="B188" t="s">
        <v>44</v>
      </c>
      <c r="C188" s="1">
        <v>190</v>
      </c>
      <c r="D188" s="1">
        <v>215</v>
      </c>
      <c r="E188" s="1">
        <v>950</v>
      </c>
      <c r="F188" s="1">
        <v>170</v>
      </c>
      <c r="G188" s="1">
        <v>190</v>
      </c>
      <c r="H188" s="22">
        <f t="shared" si="4"/>
        <v>3</v>
      </c>
    </row>
    <row r="189" spans="1:8" x14ac:dyDescent="0.25">
      <c r="A189">
        <f t="shared" si="5"/>
        <v>4</v>
      </c>
      <c r="B189" t="s">
        <v>45</v>
      </c>
      <c r="C189" s="1">
        <v>650</v>
      </c>
      <c r="D189" s="1">
        <v>338</v>
      </c>
      <c r="E189" s="1">
        <v>507</v>
      </c>
      <c r="F189" s="1">
        <v>249</v>
      </c>
      <c r="G189" s="1">
        <v>154</v>
      </c>
      <c r="H189" s="22">
        <f t="shared" si="4"/>
        <v>1</v>
      </c>
    </row>
    <row r="190" spans="1:8" x14ac:dyDescent="0.25">
      <c r="A190">
        <f t="shared" si="5"/>
        <v>4</v>
      </c>
      <c r="B190" t="s">
        <v>46</v>
      </c>
      <c r="C190" s="1">
        <v>539</v>
      </c>
      <c r="D190" s="1">
        <v>323</v>
      </c>
      <c r="E190" s="1">
        <v>612</v>
      </c>
      <c r="F190" s="1">
        <v>159</v>
      </c>
      <c r="G190" s="1">
        <v>32</v>
      </c>
      <c r="H190" s="22">
        <f t="shared" si="4"/>
        <v>3</v>
      </c>
    </row>
    <row r="191" spans="1:8" x14ac:dyDescent="0.25">
      <c r="A191">
        <f t="shared" si="5"/>
        <v>4</v>
      </c>
      <c r="B191" t="s">
        <v>47</v>
      </c>
      <c r="C191" s="1">
        <v>143</v>
      </c>
      <c r="D191" s="1">
        <v>15</v>
      </c>
      <c r="E191" s="1">
        <v>1014</v>
      </c>
      <c r="F191" s="1">
        <v>254</v>
      </c>
      <c r="G191" s="1">
        <v>20</v>
      </c>
      <c r="H191" s="22">
        <f t="shared" si="4"/>
        <v>3</v>
      </c>
    </row>
    <row r="192" spans="1:8" x14ac:dyDescent="0.25">
      <c r="A192">
        <f t="shared" si="5"/>
        <v>4</v>
      </c>
      <c r="B192" t="s">
        <v>48</v>
      </c>
      <c r="C192" s="1">
        <v>587</v>
      </c>
      <c r="D192" s="1">
        <v>200</v>
      </c>
      <c r="E192" s="1">
        <v>275</v>
      </c>
      <c r="F192" s="1">
        <v>175</v>
      </c>
      <c r="G192" s="1">
        <v>95</v>
      </c>
      <c r="H192" s="22">
        <f t="shared" si="4"/>
        <v>1</v>
      </c>
    </row>
    <row r="193" spans="1:8" x14ac:dyDescent="0.25">
      <c r="A193">
        <f t="shared" si="5"/>
        <v>4</v>
      </c>
      <c r="B193" t="s">
        <v>49</v>
      </c>
      <c r="C193" s="1">
        <v>476</v>
      </c>
      <c r="D193" s="1">
        <v>446</v>
      </c>
      <c r="E193" s="1">
        <v>486</v>
      </c>
      <c r="F193" s="1">
        <v>37</v>
      </c>
      <c r="G193" s="1">
        <v>103</v>
      </c>
      <c r="H193" s="22">
        <f t="shared" si="4"/>
        <v>3</v>
      </c>
    </row>
    <row r="194" spans="1:8" x14ac:dyDescent="0.25">
      <c r="A194">
        <f t="shared" si="5"/>
        <v>4</v>
      </c>
      <c r="B194" t="s">
        <v>50</v>
      </c>
      <c r="C194" s="1">
        <v>16</v>
      </c>
      <c r="D194" s="1">
        <v>415</v>
      </c>
      <c r="E194" s="1">
        <v>148</v>
      </c>
      <c r="F194" s="1">
        <v>233</v>
      </c>
      <c r="G194" s="1">
        <v>83</v>
      </c>
      <c r="H194" s="22">
        <f t="shared" si="4"/>
        <v>2</v>
      </c>
    </row>
    <row r="195" spans="1:8" x14ac:dyDescent="0.25">
      <c r="A195">
        <f t="shared" si="5"/>
        <v>5</v>
      </c>
      <c r="B195" t="s">
        <v>3</v>
      </c>
      <c r="C195" s="1">
        <v>761</v>
      </c>
      <c r="D195" s="1">
        <v>237</v>
      </c>
      <c r="E195" s="1">
        <v>830</v>
      </c>
      <c r="F195" s="1">
        <v>12</v>
      </c>
      <c r="G195" s="1">
        <v>175</v>
      </c>
      <c r="H195" s="22">
        <f t="shared" ref="H195:H258" si="6">INDEX($C$1:$G$1,0,MATCH(MAX(C195:G195),C195:G195,0))</f>
        <v>3</v>
      </c>
    </row>
    <row r="196" spans="1:8" x14ac:dyDescent="0.25">
      <c r="A196">
        <f t="shared" si="5"/>
        <v>5</v>
      </c>
      <c r="B196" t="s">
        <v>4</v>
      </c>
      <c r="C196" s="1">
        <v>364</v>
      </c>
      <c r="D196" s="1">
        <v>522</v>
      </c>
      <c r="E196" s="1">
        <v>25</v>
      </c>
      <c r="F196" s="1">
        <v>43</v>
      </c>
      <c r="G196" s="1">
        <v>121</v>
      </c>
      <c r="H196" s="22">
        <f t="shared" si="6"/>
        <v>2</v>
      </c>
    </row>
    <row r="197" spans="1:8" x14ac:dyDescent="0.25">
      <c r="A197">
        <f t="shared" ref="A197:A260" si="7">IF((ROW()-3)/48=INT((ROW()-3)/48),A196+1,A196)</f>
        <v>5</v>
      </c>
      <c r="B197" t="s">
        <v>5</v>
      </c>
      <c r="C197" s="1">
        <v>331</v>
      </c>
      <c r="D197" s="1">
        <v>47</v>
      </c>
      <c r="E197" s="1">
        <v>729</v>
      </c>
      <c r="F197" s="1">
        <v>201</v>
      </c>
      <c r="G197" s="1">
        <v>72</v>
      </c>
      <c r="H197" s="22">
        <f t="shared" si="6"/>
        <v>3</v>
      </c>
    </row>
    <row r="198" spans="1:8" x14ac:dyDescent="0.25">
      <c r="A198">
        <f t="shared" si="7"/>
        <v>5</v>
      </c>
      <c r="B198" t="s">
        <v>6</v>
      </c>
      <c r="C198" s="1">
        <v>265</v>
      </c>
      <c r="D198" s="1">
        <v>443</v>
      </c>
      <c r="E198" s="1">
        <v>126</v>
      </c>
      <c r="F198" s="1">
        <v>61</v>
      </c>
      <c r="G198" s="1">
        <v>179</v>
      </c>
      <c r="H198" s="22">
        <f t="shared" si="6"/>
        <v>2</v>
      </c>
    </row>
    <row r="199" spans="1:8" x14ac:dyDescent="0.25">
      <c r="A199">
        <f t="shared" si="7"/>
        <v>5</v>
      </c>
      <c r="B199" t="s">
        <v>7</v>
      </c>
      <c r="C199" s="1">
        <v>50</v>
      </c>
      <c r="D199" s="1">
        <v>174</v>
      </c>
      <c r="E199" s="1">
        <v>578</v>
      </c>
      <c r="F199" s="1">
        <v>73</v>
      </c>
      <c r="G199" s="1">
        <v>49</v>
      </c>
      <c r="H199" s="22">
        <f t="shared" si="6"/>
        <v>3</v>
      </c>
    </row>
    <row r="200" spans="1:8" x14ac:dyDescent="0.25">
      <c r="A200">
        <f t="shared" si="7"/>
        <v>5</v>
      </c>
      <c r="B200" t="s">
        <v>8</v>
      </c>
      <c r="C200" s="1">
        <v>33</v>
      </c>
      <c r="D200" s="1">
        <v>760</v>
      </c>
      <c r="E200" s="1">
        <v>528</v>
      </c>
      <c r="F200" s="1">
        <v>213</v>
      </c>
      <c r="G200" s="1">
        <v>18</v>
      </c>
      <c r="H200" s="22">
        <f t="shared" si="6"/>
        <v>2</v>
      </c>
    </row>
    <row r="201" spans="1:8" x14ac:dyDescent="0.25">
      <c r="A201">
        <f t="shared" si="7"/>
        <v>5</v>
      </c>
      <c r="B201" t="s">
        <v>9</v>
      </c>
      <c r="C201" s="1">
        <v>530</v>
      </c>
      <c r="D201" s="1">
        <v>665</v>
      </c>
      <c r="E201" s="1">
        <v>176</v>
      </c>
      <c r="F201" s="1">
        <v>195</v>
      </c>
      <c r="G201" s="1">
        <v>112</v>
      </c>
      <c r="H201" s="22">
        <f t="shared" si="6"/>
        <v>2</v>
      </c>
    </row>
    <row r="202" spans="1:8" x14ac:dyDescent="0.25">
      <c r="A202">
        <f t="shared" si="7"/>
        <v>5</v>
      </c>
      <c r="B202" t="s">
        <v>10</v>
      </c>
      <c r="C202" s="1">
        <v>206</v>
      </c>
      <c r="D202" s="1">
        <v>158</v>
      </c>
      <c r="E202" s="1">
        <v>66</v>
      </c>
      <c r="F202" s="1">
        <v>76</v>
      </c>
      <c r="G202" s="1">
        <v>780</v>
      </c>
      <c r="H202" s="22">
        <f t="shared" si="6"/>
        <v>5</v>
      </c>
    </row>
    <row r="203" spans="1:8" x14ac:dyDescent="0.25">
      <c r="A203">
        <f t="shared" si="7"/>
        <v>5</v>
      </c>
      <c r="B203" t="s">
        <v>11</v>
      </c>
      <c r="C203" s="1">
        <v>190</v>
      </c>
      <c r="D203" s="1">
        <v>243</v>
      </c>
      <c r="E203" s="1">
        <v>430</v>
      </c>
      <c r="F203" s="1">
        <v>126</v>
      </c>
      <c r="G203" s="1">
        <v>1157</v>
      </c>
      <c r="H203" s="22">
        <f t="shared" si="6"/>
        <v>5</v>
      </c>
    </row>
    <row r="204" spans="1:8" x14ac:dyDescent="0.25">
      <c r="A204">
        <f t="shared" si="7"/>
        <v>5</v>
      </c>
      <c r="B204" t="s">
        <v>12</v>
      </c>
      <c r="C204" s="1">
        <v>158</v>
      </c>
      <c r="D204" s="1">
        <v>207</v>
      </c>
      <c r="E204" s="1">
        <v>712</v>
      </c>
      <c r="F204" s="1">
        <v>85</v>
      </c>
      <c r="G204" s="1">
        <v>931</v>
      </c>
      <c r="H204" s="22">
        <f t="shared" si="6"/>
        <v>5</v>
      </c>
    </row>
    <row r="205" spans="1:8" x14ac:dyDescent="0.25">
      <c r="A205">
        <f t="shared" si="7"/>
        <v>5</v>
      </c>
      <c r="B205" t="s">
        <v>13</v>
      </c>
      <c r="C205" s="1">
        <v>629</v>
      </c>
      <c r="D205" s="1">
        <v>317</v>
      </c>
      <c r="E205" s="1">
        <v>201</v>
      </c>
      <c r="F205" s="1">
        <v>176</v>
      </c>
      <c r="G205" s="1">
        <v>36</v>
      </c>
      <c r="H205" s="22">
        <f t="shared" si="6"/>
        <v>1</v>
      </c>
    </row>
    <row r="206" spans="1:8" x14ac:dyDescent="0.25">
      <c r="A206">
        <f t="shared" si="7"/>
        <v>5</v>
      </c>
      <c r="B206" t="s">
        <v>14</v>
      </c>
      <c r="C206" s="1">
        <v>149</v>
      </c>
      <c r="D206" s="1">
        <v>744</v>
      </c>
      <c r="E206" s="1">
        <v>453</v>
      </c>
      <c r="F206" s="1">
        <v>103</v>
      </c>
      <c r="G206" s="1">
        <v>31</v>
      </c>
      <c r="H206" s="22">
        <f t="shared" si="6"/>
        <v>2</v>
      </c>
    </row>
    <row r="207" spans="1:8" x14ac:dyDescent="0.25">
      <c r="A207">
        <f t="shared" si="7"/>
        <v>5</v>
      </c>
      <c r="B207" t="s">
        <v>15</v>
      </c>
      <c r="C207" s="1">
        <v>497</v>
      </c>
      <c r="D207" s="1">
        <v>301</v>
      </c>
      <c r="E207" s="1">
        <v>377</v>
      </c>
      <c r="F207" s="1">
        <v>18</v>
      </c>
      <c r="G207" s="1">
        <v>9</v>
      </c>
      <c r="H207" s="22">
        <f t="shared" si="6"/>
        <v>1</v>
      </c>
    </row>
    <row r="208" spans="1:8" x14ac:dyDescent="0.25">
      <c r="A208">
        <f t="shared" si="7"/>
        <v>5</v>
      </c>
      <c r="B208" t="s">
        <v>16</v>
      </c>
      <c r="C208" s="1">
        <v>563</v>
      </c>
      <c r="D208" s="1">
        <v>396</v>
      </c>
      <c r="E208" s="1">
        <v>352</v>
      </c>
      <c r="F208" s="1">
        <v>170</v>
      </c>
      <c r="G208" s="1">
        <v>67</v>
      </c>
      <c r="H208" s="22">
        <f t="shared" si="6"/>
        <v>1</v>
      </c>
    </row>
    <row r="209" spans="1:8" x14ac:dyDescent="0.25">
      <c r="A209">
        <f t="shared" si="7"/>
        <v>5</v>
      </c>
      <c r="B209" t="s">
        <v>17</v>
      </c>
      <c r="C209" s="1">
        <v>414</v>
      </c>
      <c r="D209" s="1">
        <v>712</v>
      </c>
      <c r="E209" s="1">
        <v>1081</v>
      </c>
      <c r="F209" s="1">
        <v>140</v>
      </c>
      <c r="G209" s="1">
        <v>134</v>
      </c>
      <c r="H209" s="22">
        <f t="shared" si="6"/>
        <v>3</v>
      </c>
    </row>
    <row r="210" spans="1:8" x14ac:dyDescent="0.25">
      <c r="A210">
        <f t="shared" si="7"/>
        <v>5</v>
      </c>
      <c r="B210" t="s">
        <v>18</v>
      </c>
      <c r="C210" s="1">
        <v>480</v>
      </c>
      <c r="D210" s="1">
        <v>538</v>
      </c>
      <c r="E210" s="1">
        <v>50</v>
      </c>
      <c r="F210" s="1">
        <v>91</v>
      </c>
      <c r="G210" s="1">
        <v>27</v>
      </c>
      <c r="H210" s="22">
        <f t="shared" si="6"/>
        <v>2</v>
      </c>
    </row>
    <row r="211" spans="1:8" x14ac:dyDescent="0.25">
      <c r="A211">
        <f t="shared" si="7"/>
        <v>5</v>
      </c>
      <c r="B211" t="s">
        <v>19</v>
      </c>
      <c r="C211" s="1">
        <v>298</v>
      </c>
      <c r="D211" s="1">
        <v>491</v>
      </c>
      <c r="E211" s="1">
        <v>1006</v>
      </c>
      <c r="F211" s="1">
        <v>36</v>
      </c>
      <c r="G211" s="1">
        <v>94</v>
      </c>
      <c r="H211" s="22">
        <f t="shared" si="6"/>
        <v>3</v>
      </c>
    </row>
    <row r="212" spans="1:8" x14ac:dyDescent="0.25">
      <c r="A212">
        <f t="shared" si="7"/>
        <v>5</v>
      </c>
      <c r="B212" t="s">
        <v>20</v>
      </c>
      <c r="C212" s="1">
        <v>215</v>
      </c>
      <c r="D212" s="1">
        <v>696</v>
      </c>
      <c r="E212" s="1">
        <v>151</v>
      </c>
      <c r="F212" s="1">
        <v>146</v>
      </c>
      <c r="G212" s="1">
        <v>215</v>
      </c>
      <c r="H212" s="22">
        <f t="shared" si="6"/>
        <v>2</v>
      </c>
    </row>
    <row r="213" spans="1:8" x14ac:dyDescent="0.25">
      <c r="A213">
        <f t="shared" si="7"/>
        <v>5</v>
      </c>
      <c r="B213" t="s">
        <v>21</v>
      </c>
      <c r="C213" s="1">
        <v>778</v>
      </c>
      <c r="D213" s="1">
        <v>459</v>
      </c>
      <c r="E213" s="1">
        <v>277</v>
      </c>
      <c r="F213" s="1">
        <v>261</v>
      </c>
      <c r="G213" s="1">
        <v>4</v>
      </c>
      <c r="H213" s="22">
        <f t="shared" si="6"/>
        <v>1</v>
      </c>
    </row>
    <row r="214" spans="1:8" x14ac:dyDescent="0.25">
      <c r="A214">
        <f t="shared" si="7"/>
        <v>5</v>
      </c>
      <c r="B214" t="s">
        <v>22</v>
      </c>
      <c r="C214" s="1">
        <v>679</v>
      </c>
      <c r="D214" s="1">
        <v>506</v>
      </c>
      <c r="E214" s="1">
        <v>805</v>
      </c>
      <c r="F214" s="1">
        <v>280</v>
      </c>
      <c r="G214" s="1">
        <v>40</v>
      </c>
      <c r="H214" s="22">
        <f t="shared" si="6"/>
        <v>3</v>
      </c>
    </row>
    <row r="215" spans="1:8" x14ac:dyDescent="0.25">
      <c r="A215">
        <f t="shared" si="7"/>
        <v>5</v>
      </c>
      <c r="B215" t="s">
        <v>23</v>
      </c>
      <c r="C215" s="1">
        <v>596</v>
      </c>
      <c r="D215" s="1">
        <v>728</v>
      </c>
      <c r="E215" s="1">
        <v>302</v>
      </c>
      <c r="F215" s="1">
        <v>182</v>
      </c>
      <c r="G215" s="1">
        <v>22</v>
      </c>
      <c r="H215" s="22">
        <f t="shared" si="6"/>
        <v>2</v>
      </c>
    </row>
    <row r="216" spans="1:8" x14ac:dyDescent="0.25">
      <c r="A216">
        <f t="shared" si="7"/>
        <v>5</v>
      </c>
      <c r="B216" t="s">
        <v>24</v>
      </c>
      <c r="C216" s="1">
        <v>795</v>
      </c>
      <c r="D216" s="1">
        <v>633</v>
      </c>
      <c r="E216" s="1">
        <v>880</v>
      </c>
      <c r="F216" s="1">
        <v>267</v>
      </c>
      <c r="G216" s="1">
        <v>166</v>
      </c>
      <c r="H216" s="22">
        <f t="shared" si="6"/>
        <v>3</v>
      </c>
    </row>
    <row r="217" spans="1:8" x14ac:dyDescent="0.25">
      <c r="A217">
        <f t="shared" si="7"/>
        <v>5</v>
      </c>
      <c r="B217" t="s">
        <v>25</v>
      </c>
      <c r="C217" s="1">
        <v>182</v>
      </c>
      <c r="D217" s="1">
        <v>222</v>
      </c>
      <c r="E217" s="1">
        <v>1132</v>
      </c>
      <c r="F217" s="1">
        <v>6</v>
      </c>
      <c r="G217" s="1">
        <v>130</v>
      </c>
      <c r="H217" s="22">
        <f t="shared" si="6"/>
        <v>3</v>
      </c>
    </row>
    <row r="218" spans="1:8" x14ac:dyDescent="0.25">
      <c r="A218">
        <f t="shared" si="7"/>
        <v>5</v>
      </c>
      <c r="B218" t="s">
        <v>26</v>
      </c>
      <c r="C218" s="1">
        <v>728</v>
      </c>
      <c r="D218" s="1">
        <v>142</v>
      </c>
      <c r="E218" s="1">
        <v>553</v>
      </c>
      <c r="F218" s="1">
        <v>188</v>
      </c>
      <c r="G218" s="1">
        <v>161</v>
      </c>
      <c r="H218" s="22">
        <f t="shared" si="6"/>
        <v>1</v>
      </c>
    </row>
    <row r="219" spans="1:8" x14ac:dyDescent="0.25">
      <c r="A219">
        <f t="shared" si="7"/>
        <v>5</v>
      </c>
      <c r="B219" t="s">
        <v>27</v>
      </c>
      <c r="C219" s="1">
        <v>397</v>
      </c>
      <c r="D219" s="1">
        <v>253</v>
      </c>
      <c r="E219" s="1">
        <v>503</v>
      </c>
      <c r="F219" s="1">
        <v>292</v>
      </c>
      <c r="G219" s="1">
        <v>117</v>
      </c>
      <c r="H219" s="22">
        <f t="shared" si="6"/>
        <v>3</v>
      </c>
    </row>
    <row r="220" spans="1:8" x14ac:dyDescent="0.25">
      <c r="A220">
        <f t="shared" si="7"/>
        <v>5</v>
      </c>
      <c r="B220" t="s">
        <v>28</v>
      </c>
      <c r="C220" s="1">
        <v>116</v>
      </c>
      <c r="D220" s="1">
        <v>649</v>
      </c>
      <c r="E220" s="1">
        <v>1207</v>
      </c>
      <c r="F220" s="1">
        <v>134</v>
      </c>
      <c r="G220" s="1">
        <v>54</v>
      </c>
      <c r="H220" s="22">
        <f t="shared" si="6"/>
        <v>3</v>
      </c>
    </row>
    <row r="221" spans="1:8" x14ac:dyDescent="0.25">
      <c r="A221">
        <f t="shared" si="7"/>
        <v>5</v>
      </c>
      <c r="B221" t="s">
        <v>29</v>
      </c>
      <c r="C221" s="1">
        <v>248</v>
      </c>
      <c r="D221" s="1">
        <v>285</v>
      </c>
      <c r="E221" s="1">
        <v>101</v>
      </c>
      <c r="F221" s="1">
        <v>30</v>
      </c>
      <c r="G221" s="1">
        <v>90</v>
      </c>
      <c r="H221" s="22">
        <f t="shared" si="6"/>
        <v>2</v>
      </c>
    </row>
    <row r="222" spans="1:8" x14ac:dyDescent="0.25">
      <c r="A222">
        <f t="shared" si="7"/>
        <v>5</v>
      </c>
      <c r="B222" t="s">
        <v>30</v>
      </c>
      <c r="C222" s="1">
        <v>281</v>
      </c>
      <c r="D222" s="1">
        <v>79</v>
      </c>
      <c r="E222" s="1">
        <v>654</v>
      </c>
      <c r="F222" s="1">
        <v>249</v>
      </c>
      <c r="G222" s="1">
        <v>139</v>
      </c>
      <c r="H222" s="22">
        <f t="shared" si="6"/>
        <v>3</v>
      </c>
    </row>
    <row r="223" spans="1:8" x14ac:dyDescent="0.25">
      <c r="A223">
        <f t="shared" si="7"/>
        <v>5</v>
      </c>
      <c r="B223" t="s">
        <v>31</v>
      </c>
      <c r="C223" s="1">
        <v>17</v>
      </c>
      <c r="D223" s="1">
        <v>570</v>
      </c>
      <c r="E223" s="1">
        <v>226</v>
      </c>
      <c r="F223" s="1">
        <v>85</v>
      </c>
      <c r="G223" s="1">
        <v>99</v>
      </c>
      <c r="H223" s="22">
        <f t="shared" si="6"/>
        <v>2</v>
      </c>
    </row>
    <row r="224" spans="1:8" x14ac:dyDescent="0.25">
      <c r="A224">
        <f t="shared" si="7"/>
        <v>5</v>
      </c>
      <c r="B224" t="s">
        <v>32</v>
      </c>
      <c r="C224" s="1">
        <v>546</v>
      </c>
      <c r="D224" s="1">
        <v>95</v>
      </c>
      <c r="E224" s="1">
        <v>75</v>
      </c>
      <c r="F224" s="1">
        <v>67</v>
      </c>
      <c r="G224" s="1">
        <v>108</v>
      </c>
      <c r="H224" s="22">
        <f t="shared" si="6"/>
        <v>1</v>
      </c>
    </row>
    <row r="225" spans="1:8" x14ac:dyDescent="0.25">
      <c r="A225">
        <f t="shared" si="7"/>
        <v>5</v>
      </c>
      <c r="B225" t="s">
        <v>33</v>
      </c>
      <c r="C225" s="1">
        <v>83</v>
      </c>
      <c r="D225" s="1">
        <v>586</v>
      </c>
      <c r="E225" s="1">
        <v>478</v>
      </c>
      <c r="F225" s="1">
        <v>164</v>
      </c>
      <c r="G225" s="1">
        <v>170</v>
      </c>
      <c r="H225" s="22">
        <f t="shared" si="6"/>
        <v>2</v>
      </c>
    </row>
    <row r="226" spans="1:8" x14ac:dyDescent="0.25">
      <c r="A226">
        <f t="shared" si="7"/>
        <v>5</v>
      </c>
      <c r="B226" t="s">
        <v>34</v>
      </c>
      <c r="C226" s="1">
        <v>475</v>
      </c>
      <c r="D226" s="1">
        <v>274</v>
      </c>
      <c r="E226" s="1">
        <v>579</v>
      </c>
      <c r="F226" s="1">
        <v>679</v>
      </c>
      <c r="G226" s="1">
        <v>184</v>
      </c>
      <c r="H226" s="22">
        <f t="shared" si="6"/>
        <v>4</v>
      </c>
    </row>
    <row r="227" spans="1:8" x14ac:dyDescent="0.25">
      <c r="A227">
        <f t="shared" si="7"/>
        <v>5</v>
      </c>
      <c r="B227" t="s">
        <v>35</v>
      </c>
      <c r="C227" s="1">
        <v>364</v>
      </c>
      <c r="D227" s="1">
        <v>79</v>
      </c>
      <c r="E227" s="1">
        <v>745</v>
      </c>
      <c r="F227" s="1">
        <v>855</v>
      </c>
      <c r="G227" s="1">
        <v>103</v>
      </c>
      <c r="H227" s="22">
        <f t="shared" si="6"/>
        <v>4</v>
      </c>
    </row>
    <row r="228" spans="1:8" x14ac:dyDescent="0.25">
      <c r="A228">
        <f t="shared" si="7"/>
        <v>5</v>
      </c>
      <c r="B228" t="s">
        <v>36</v>
      </c>
      <c r="C228" s="1">
        <v>127</v>
      </c>
      <c r="D228" s="1">
        <v>109</v>
      </c>
      <c r="E228" s="1">
        <v>464</v>
      </c>
      <c r="F228" s="1">
        <v>704</v>
      </c>
      <c r="G228" s="1">
        <v>188</v>
      </c>
      <c r="H228" s="22">
        <f t="shared" si="6"/>
        <v>4</v>
      </c>
    </row>
    <row r="229" spans="1:8" x14ac:dyDescent="0.25">
      <c r="A229">
        <f t="shared" si="7"/>
        <v>5</v>
      </c>
      <c r="B229" t="s">
        <v>37</v>
      </c>
      <c r="C229" s="1">
        <v>269</v>
      </c>
      <c r="D229" s="1">
        <v>255</v>
      </c>
      <c r="E229" s="1">
        <v>232</v>
      </c>
      <c r="F229" s="1">
        <v>956</v>
      </c>
      <c r="G229" s="1">
        <v>157</v>
      </c>
      <c r="H229" s="22">
        <f t="shared" si="6"/>
        <v>4</v>
      </c>
    </row>
    <row r="230" spans="1:8" x14ac:dyDescent="0.25">
      <c r="A230">
        <f t="shared" si="7"/>
        <v>5</v>
      </c>
      <c r="B230" t="s">
        <v>38</v>
      </c>
      <c r="C230" s="1">
        <v>348</v>
      </c>
      <c r="D230" s="1">
        <v>617</v>
      </c>
      <c r="E230" s="1">
        <v>428</v>
      </c>
      <c r="F230" s="1">
        <v>49</v>
      </c>
      <c r="G230" s="1">
        <v>81</v>
      </c>
      <c r="H230" s="22">
        <f t="shared" si="6"/>
        <v>2</v>
      </c>
    </row>
    <row r="231" spans="1:8" x14ac:dyDescent="0.25">
      <c r="A231">
        <f t="shared" si="7"/>
        <v>5</v>
      </c>
      <c r="B231" t="s">
        <v>39</v>
      </c>
      <c r="C231" s="1">
        <v>695</v>
      </c>
      <c r="D231" s="1">
        <v>348</v>
      </c>
      <c r="E231" s="1">
        <v>1031</v>
      </c>
      <c r="F231" s="1">
        <v>231</v>
      </c>
      <c r="G231" s="1">
        <v>211</v>
      </c>
      <c r="H231" s="22">
        <f t="shared" si="6"/>
        <v>3</v>
      </c>
    </row>
    <row r="232" spans="1:8" x14ac:dyDescent="0.25">
      <c r="A232">
        <f t="shared" si="7"/>
        <v>5</v>
      </c>
      <c r="B232" t="s">
        <v>40</v>
      </c>
      <c r="C232" s="1">
        <v>132</v>
      </c>
      <c r="D232" s="1">
        <v>554</v>
      </c>
      <c r="E232" s="1">
        <v>1107</v>
      </c>
      <c r="F232" s="1">
        <v>122</v>
      </c>
      <c r="G232" s="1">
        <v>13</v>
      </c>
      <c r="H232" s="22">
        <f t="shared" si="6"/>
        <v>3</v>
      </c>
    </row>
    <row r="233" spans="1:8" x14ac:dyDescent="0.25">
      <c r="A233">
        <f t="shared" si="7"/>
        <v>5</v>
      </c>
      <c r="B233" t="s">
        <v>41</v>
      </c>
      <c r="C233" s="1">
        <v>166</v>
      </c>
      <c r="D233" s="1">
        <v>332</v>
      </c>
      <c r="E233" s="1">
        <v>1056</v>
      </c>
      <c r="F233" s="1">
        <v>55</v>
      </c>
      <c r="G233" s="1">
        <v>193</v>
      </c>
      <c r="H233" s="22">
        <f t="shared" si="6"/>
        <v>3</v>
      </c>
    </row>
    <row r="234" spans="1:8" x14ac:dyDescent="0.25">
      <c r="A234">
        <f t="shared" si="7"/>
        <v>5</v>
      </c>
      <c r="B234" t="s">
        <v>42</v>
      </c>
      <c r="C234" s="1">
        <v>381</v>
      </c>
      <c r="D234" s="1">
        <v>16</v>
      </c>
      <c r="E234" s="1">
        <v>327</v>
      </c>
      <c r="F234" s="1">
        <v>286</v>
      </c>
      <c r="G234" s="1">
        <v>63</v>
      </c>
      <c r="H234" s="22">
        <f t="shared" si="6"/>
        <v>1</v>
      </c>
    </row>
    <row r="235" spans="1:8" x14ac:dyDescent="0.25">
      <c r="A235">
        <f t="shared" si="7"/>
        <v>5</v>
      </c>
      <c r="B235" t="s">
        <v>43</v>
      </c>
      <c r="C235" s="1">
        <v>513</v>
      </c>
      <c r="D235" s="1">
        <v>411</v>
      </c>
      <c r="E235" s="1">
        <v>905</v>
      </c>
      <c r="F235" s="1">
        <v>152</v>
      </c>
      <c r="G235" s="1">
        <v>206</v>
      </c>
      <c r="H235" s="22">
        <f t="shared" si="6"/>
        <v>3</v>
      </c>
    </row>
    <row r="236" spans="1:8" x14ac:dyDescent="0.25">
      <c r="A236">
        <f t="shared" si="7"/>
        <v>5</v>
      </c>
      <c r="B236" t="s">
        <v>44</v>
      </c>
      <c r="C236" s="1">
        <v>646</v>
      </c>
      <c r="D236" s="1">
        <v>111</v>
      </c>
      <c r="E236" s="1">
        <v>755</v>
      </c>
      <c r="F236" s="1">
        <v>219</v>
      </c>
      <c r="G236" s="1">
        <v>202</v>
      </c>
      <c r="H236" s="22">
        <f t="shared" si="6"/>
        <v>3</v>
      </c>
    </row>
    <row r="237" spans="1:8" x14ac:dyDescent="0.25">
      <c r="A237">
        <f t="shared" si="7"/>
        <v>5</v>
      </c>
      <c r="B237" t="s">
        <v>45</v>
      </c>
      <c r="C237" s="1">
        <v>447</v>
      </c>
      <c r="D237" s="1">
        <v>681</v>
      </c>
      <c r="E237" s="1">
        <v>402</v>
      </c>
      <c r="F237" s="1">
        <v>225</v>
      </c>
      <c r="G237" s="1">
        <v>152</v>
      </c>
      <c r="H237" s="22">
        <f t="shared" si="6"/>
        <v>2</v>
      </c>
    </row>
    <row r="238" spans="1:8" x14ac:dyDescent="0.25">
      <c r="A238">
        <f t="shared" si="7"/>
        <v>5</v>
      </c>
      <c r="B238" t="s">
        <v>46</v>
      </c>
      <c r="C238" s="1">
        <v>199</v>
      </c>
      <c r="D238" s="1">
        <v>32</v>
      </c>
      <c r="E238" s="1">
        <v>629</v>
      </c>
      <c r="F238" s="1">
        <v>237</v>
      </c>
      <c r="G238" s="1">
        <v>58</v>
      </c>
      <c r="H238" s="22">
        <f t="shared" si="6"/>
        <v>3</v>
      </c>
    </row>
    <row r="239" spans="1:8" x14ac:dyDescent="0.25">
      <c r="A239">
        <f t="shared" si="7"/>
        <v>5</v>
      </c>
      <c r="B239" t="s">
        <v>47</v>
      </c>
      <c r="C239" s="1">
        <v>99</v>
      </c>
      <c r="D239" s="1">
        <v>380</v>
      </c>
      <c r="E239" s="1">
        <v>981</v>
      </c>
      <c r="F239" s="1">
        <v>24</v>
      </c>
      <c r="G239" s="1">
        <v>148</v>
      </c>
      <c r="H239" s="22">
        <f t="shared" si="6"/>
        <v>3</v>
      </c>
    </row>
    <row r="240" spans="1:8" x14ac:dyDescent="0.25">
      <c r="A240">
        <f t="shared" si="7"/>
        <v>5</v>
      </c>
      <c r="B240" t="s">
        <v>48</v>
      </c>
      <c r="C240" s="1">
        <v>662</v>
      </c>
      <c r="D240" s="1">
        <v>63</v>
      </c>
      <c r="E240" s="1">
        <v>1182</v>
      </c>
      <c r="F240" s="1">
        <v>128</v>
      </c>
      <c r="G240" s="1">
        <v>143</v>
      </c>
      <c r="H240" s="22">
        <f t="shared" si="6"/>
        <v>3</v>
      </c>
    </row>
    <row r="241" spans="1:8" x14ac:dyDescent="0.25">
      <c r="A241">
        <f t="shared" si="7"/>
        <v>5</v>
      </c>
      <c r="B241" t="s">
        <v>49</v>
      </c>
      <c r="C241" s="1">
        <v>612</v>
      </c>
      <c r="D241" s="1">
        <v>601</v>
      </c>
      <c r="E241" s="1">
        <v>604</v>
      </c>
      <c r="F241" s="1">
        <v>97</v>
      </c>
      <c r="G241" s="1">
        <v>197</v>
      </c>
      <c r="H241" s="22">
        <f t="shared" si="6"/>
        <v>1</v>
      </c>
    </row>
    <row r="242" spans="1:8" x14ac:dyDescent="0.25">
      <c r="A242">
        <f t="shared" si="7"/>
        <v>5</v>
      </c>
      <c r="B242" t="s">
        <v>50</v>
      </c>
      <c r="C242" s="1">
        <v>315</v>
      </c>
      <c r="D242" s="1">
        <v>427</v>
      </c>
      <c r="E242" s="1">
        <v>252</v>
      </c>
      <c r="F242" s="1">
        <v>115</v>
      </c>
      <c r="G242" s="1">
        <v>45</v>
      </c>
      <c r="H242" s="22">
        <f t="shared" si="6"/>
        <v>2</v>
      </c>
    </row>
    <row r="243" spans="1:8" x14ac:dyDescent="0.25">
      <c r="A243">
        <f t="shared" si="7"/>
        <v>6</v>
      </c>
      <c r="B243" t="s">
        <v>3</v>
      </c>
      <c r="C243" s="1">
        <v>651</v>
      </c>
      <c r="D243" s="1">
        <v>264</v>
      </c>
      <c r="E243" s="1">
        <v>1013</v>
      </c>
      <c r="F243" s="1">
        <v>232</v>
      </c>
      <c r="G243" s="1">
        <v>120</v>
      </c>
      <c r="H243" s="22">
        <f t="shared" si="6"/>
        <v>3</v>
      </c>
    </row>
    <row r="244" spans="1:8" x14ac:dyDescent="0.25">
      <c r="A244">
        <f t="shared" si="7"/>
        <v>6</v>
      </c>
      <c r="B244" t="s">
        <v>4</v>
      </c>
      <c r="C244" s="1">
        <v>54</v>
      </c>
      <c r="D244" s="1">
        <v>729</v>
      </c>
      <c r="E244" s="1">
        <v>651</v>
      </c>
      <c r="F244" s="1">
        <v>62</v>
      </c>
      <c r="G244" s="1">
        <v>146</v>
      </c>
      <c r="H244" s="22">
        <f t="shared" si="6"/>
        <v>2</v>
      </c>
    </row>
    <row r="245" spans="1:8" x14ac:dyDescent="0.25">
      <c r="A245">
        <f t="shared" si="7"/>
        <v>6</v>
      </c>
      <c r="B245" t="s">
        <v>5</v>
      </c>
      <c r="C245" s="1">
        <v>489</v>
      </c>
      <c r="D245" s="1">
        <v>698</v>
      </c>
      <c r="E245" s="1">
        <v>48</v>
      </c>
      <c r="F245" s="1">
        <v>88</v>
      </c>
      <c r="G245" s="1">
        <v>22</v>
      </c>
      <c r="H245" s="22">
        <f t="shared" si="6"/>
        <v>2</v>
      </c>
    </row>
    <row r="246" spans="1:8" x14ac:dyDescent="0.25">
      <c r="A246">
        <f t="shared" si="7"/>
        <v>6</v>
      </c>
      <c r="B246" t="s">
        <v>6</v>
      </c>
      <c r="C246" s="1">
        <v>136</v>
      </c>
      <c r="D246" s="1">
        <v>357</v>
      </c>
      <c r="E246" s="1">
        <v>1061</v>
      </c>
      <c r="F246" s="1">
        <v>165</v>
      </c>
      <c r="G246" s="1">
        <v>131</v>
      </c>
      <c r="H246" s="22">
        <f t="shared" si="6"/>
        <v>3</v>
      </c>
    </row>
    <row r="247" spans="1:8" x14ac:dyDescent="0.25">
      <c r="A247">
        <f t="shared" si="7"/>
        <v>6</v>
      </c>
      <c r="B247" t="s">
        <v>7</v>
      </c>
      <c r="C247" s="1">
        <v>163</v>
      </c>
      <c r="D247" s="1">
        <v>295</v>
      </c>
      <c r="E247" s="1">
        <v>169</v>
      </c>
      <c r="F247" s="1">
        <v>67</v>
      </c>
      <c r="G247" s="1">
        <v>112</v>
      </c>
      <c r="H247" s="22">
        <f t="shared" si="6"/>
        <v>2</v>
      </c>
    </row>
    <row r="248" spans="1:8" x14ac:dyDescent="0.25">
      <c r="A248">
        <f t="shared" si="7"/>
        <v>6</v>
      </c>
      <c r="B248" t="s">
        <v>8</v>
      </c>
      <c r="C248" s="1">
        <v>176</v>
      </c>
      <c r="D248" s="1">
        <v>233</v>
      </c>
      <c r="E248" s="1">
        <v>796</v>
      </c>
      <c r="F248" s="1">
        <v>41</v>
      </c>
      <c r="G248" s="1">
        <v>34</v>
      </c>
      <c r="H248" s="22">
        <f t="shared" si="6"/>
        <v>3</v>
      </c>
    </row>
    <row r="249" spans="1:8" x14ac:dyDescent="0.25">
      <c r="A249">
        <f t="shared" si="7"/>
        <v>6</v>
      </c>
      <c r="B249" t="s">
        <v>9</v>
      </c>
      <c r="C249" s="1">
        <v>394</v>
      </c>
      <c r="D249" s="1">
        <v>16</v>
      </c>
      <c r="E249" s="1">
        <v>314</v>
      </c>
      <c r="F249" s="1">
        <v>160</v>
      </c>
      <c r="G249" s="1">
        <v>86</v>
      </c>
      <c r="H249" s="22">
        <f t="shared" si="6"/>
        <v>1</v>
      </c>
    </row>
    <row r="250" spans="1:8" x14ac:dyDescent="0.25">
      <c r="A250">
        <f t="shared" si="7"/>
        <v>6</v>
      </c>
      <c r="B250" t="s">
        <v>10</v>
      </c>
      <c r="C250" s="1">
        <v>556</v>
      </c>
      <c r="D250" s="1">
        <v>481</v>
      </c>
      <c r="E250" s="1">
        <v>265</v>
      </c>
      <c r="F250" s="1">
        <v>93</v>
      </c>
      <c r="G250" s="1">
        <v>49</v>
      </c>
      <c r="H250" s="22">
        <f t="shared" si="6"/>
        <v>1</v>
      </c>
    </row>
    <row r="251" spans="1:8" x14ac:dyDescent="0.25">
      <c r="A251">
        <f t="shared" si="7"/>
        <v>6</v>
      </c>
      <c r="B251" t="s">
        <v>11</v>
      </c>
      <c r="C251" s="1">
        <v>529</v>
      </c>
      <c r="D251" s="1">
        <v>109</v>
      </c>
      <c r="E251" s="1">
        <v>217</v>
      </c>
      <c r="F251" s="1">
        <v>217</v>
      </c>
      <c r="G251" s="1">
        <v>37</v>
      </c>
      <c r="H251" s="22">
        <f t="shared" si="6"/>
        <v>1</v>
      </c>
    </row>
    <row r="252" spans="1:8" x14ac:dyDescent="0.25">
      <c r="A252">
        <f t="shared" si="7"/>
        <v>6</v>
      </c>
      <c r="B252" t="s">
        <v>12</v>
      </c>
      <c r="C252" s="1">
        <v>326</v>
      </c>
      <c r="D252" s="1">
        <v>558</v>
      </c>
      <c r="E252" s="1">
        <v>1134</v>
      </c>
      <c r="F252" s="1">
        <v>144</v>
      </c>
      <c r="G252" s="1">
        <v>94</v>
      </c>
      <c r="H252" s="22">
        <f t="shared" si="6"/>
        <v>3</v>
      </c>
    </row>
    <row r="253" spans="1:8" x14ac:dyDescent="0.25">
      <c r="A253">
        <f t="shared" si="7"/>
        <v>6</v>
      </c>
      <c r="B253" t="s">
        <v>13</v>
      </c>
      <c r="C253" s="1">
        <v>299</v>
      </c>
      <c r="D253" s="1">
        <v>465</v>
      </c>
      <c r="E253" s="1">
        <v>699</v>
      </c>
      <c r="F253" s="1">
        <v>201</v>
      </c>
      <c r="G253" s="1">
        <v>105</v>
      </c>
      <c r="H253" s="22">
        <f t="shared" si="6"/>
        <v>3</v>
      </c>
    </row>
    <row r="254" spans="1:8" x14ac:dyDescent="0.25">
      <c r="A254">
        <f t="shared" si="7"/>
        <v>6</v>
      </c>
      <c r="B254" t="s">
        <v>14</v>
      </c>
      <c r="C254" s="1">
        <v>217</v>
      </c>
      <c r="D254" s="1">
        <v>543</v>
      </c>
      <c r="E254" s="1">
        <v>386</v>
      </c>
      <c r="F254" s="1">
        <v>52</v>
      </c>
      <c r="G254" s="1">
        <v>161</v>
      </c>
      <c r="H254" s="22">
        <f t="shared" si="6"/>
        <v>2</v>
      </c>
    </row>
    <row r="255" spans="1:8" x14ac:dyDescent="0.25">
      <c r="A255">
        <f t="shared" si="7"/>
        <v>6</v>
      </c>
      <c r="B255" t="s">
        <v>15</v>
      </c>
      <c r="C255" s="1">
        <v>543</v>
      </c>
      <c r="D255" s="1">
        <v>636</v>
      </c>
      <c r="E255" s="1">
        <v>289</v>
      </c>
      <c r="F255" s="1">
        <v>180</v>
      </c>
      <c r="G255" s="1">
        <v>52</v>
      </c>
      <c r="H255" s="22">
        <f t="shared" si="6"/>
        <v>2</v>
      </c>
    </row>
    <row r="256" spans="1:8" x14ac:dyDescent="0.25">
      <c r="A256">
        <f t="shared" si="7"/>
        <v>6</v>
      </c>
      <c r="B256" t="s">
        <v>16</v>
      </c>
      <c r="C256" s="1">
        <v>78</v>
      </c>
      <c r="D256" s="1">
        <v>170</v>
      </c>
      <c r="E256" s="1">
        <v>366</v>
      </c>
      <c r="F256" s="1">
        <v>434</v>
      </c>
      <c r="G256" s="1">
        <v>90</v>
      </c>
      <c r="H256" s="22">
        <f t="shared" si="6"/>
        <v>4</v>
      </c>
    </row>
    <row r="257" spans="1:8" x14ac:dyDescent="0.25">
      <c r="A257">
        <f t="shared" si="7"/>
        <v>6</v>
      </c>
      <c r="B257" t="s">
        <v>17</v>
      </c>
      <c r="C257" s="1">
        <v>527</v>
      </c>
      <c r="D257" s="1">
        <v>196</v>
      </c>
      <c r="E257" s="1">
        <v>122</v>
      </c>
      <c r="F257" s="1">
        <v>989</v>
      </c>
      <c r="G257" s="1">
        <v>26</v>
      </c>
      <c r="H257" s="22">
        <f t="shared" si="6"/>
        <v>4</v>
      </c>
    </row>
    <row r="258" spans="1:8" x14ac:dyDescent="0.25">
      <c r="A258">
        <f t="shared" si="7"/>
        <v>6</v>
      </c>
      <c r="B258" t="s">
        <v>18</v>
      </c>
      <c r="C258" s="1">
        <v>434</v>
      </c>
      <c r="D258" s="1">
        <v>36</v>
      </c>
      <c r="E258" s="1">
        <v>611</v>
      </c>
      <c r="F258" s="1">
        <v>72</v>
      </c>
      <c r="G258" s="1">
        <v>60</v>
      </c>
      <c r="H258" s="22">
        <f t="shared" si="6"/>
        <v>3</v>
      </c>
    </row>
    <row r="259" spans="1:8" x14ac:dyDescent="0.25">
      <c r="A259">
        <f t="shared" si="7"/>
        <v>6</v>
      </c>
      <c r="B259" t="s">
        <v>19</v>
      </c>
      <c r="C259" s="1">
        <v>47</v>
      </c>
      <c r="D259" s="1">
        <v>129</v>
      </c>
      <c r="E259" s="1">
        <v>95</v>
      </c>
      <c r="F259" s="1">
        <v>362</v>
      </c>
      <c r="G259" s="1">
        <v>116</v>
      </c>
      <c r="H259" s="22">
        <f t="shared" ref="H259:H322" si="8">INDEX($C$1:$G$1,0,MATCH(MAX(C259:G259),C259:G259,0))</f>
        <v>4</v>
      </c>
    </row>
    <row r="260" spans="1:8" x14ac:dyDescent="0.25">
      <c r="A260">
        <f t="shared" si="7"/>
        <v>6</v>
      </c>
      <c r="B260" t="s">
        <v>20</v>
      </c>
      <c r="C260" s="1">
        <v>171</v>
      </c>
      <c r="D260" s="1">
        <v>150</v>
      </c>
      <c r="E260" s="1">
        <v>570</v>
      </c>
      <c r="F260" s="1">
        <v>844</v>
      </c>
      <c r="G260" s="1">
        <v>30</v>
      </c>
      <c r="H260" s="22">
        <f t="shared" si="8"/>
        <v>4</v>
      </c>
    </row>
    <row r="261" spans="1:8" x14ac:dyDescent="0.25">
      <c r="A261">
        <f t="shared" ref="A261:A324" si="9">IF((ROW()-3)/48=INT((ROW()-3)/48),A260+1,A260)</f>
        <v>6</v>
      </c>
      <c r="B261" t="s">
        <v>21</v>
      </c>
      <c r="C261" s="1">
        <v>407</v>
      </c>
      <c r="D261" s="1">
        <v>124</v>
      </c>
      <c r="E261" s="1">
        <v>748</v>
      </c>
      <c r="F261" s="1">
        <v>237</v>
      </c>
      <c r="G261" s="1">
        <v>64</v>
      </c>
      <c r="H261" s="22">
        <f t="shared" si="8"/>
        <v>3</v>
      </c>
    </row>
    <row r="262" spans="1:8" x14ac:dyDescent="0.25">
      <c r="A262">
        <f t="shared" si="9"/>
        <v>6</v>
      </c>
      <c r="B262" t="s">
        <v>22</v>
      </c>
      <c r="C262" s="1">
        <v>448</v>
      </c>
      <c r="D262" s="1">
        <v>496</v>
      </c>
      <c r="E262" s="1">
        <v>531</v>
      </c>
      <c r="F262" s="1">
        <v>211</v>
      </c>
      <c r="G262" s="1">
        <v>19</v>
      </c>
      <c r="H262" s="22">
        <f t="shared" si="8"/>
        <v>3</v>
      </c>
    </row>
    <row r="263" spans="1:8" x14ac:dyDescent="0.25">
      <c r="A263">
        <f t="shared" si="9"/>
        <v>6</v>
      </c>
      <c r="B263" t="s">
        <v>23</v>
      </c>
      <c r="C263" s="1">
        <v>597</v>
      </c>
      <c r="D263" s="1">
        <v>310</v>
      </c>
      <c r="E263" s="1">
        <v>338</v>
      </c>
      <c r="F263" s="1">
        <v>77</v>
      </c>
      <c r="G263" s="1">
        <v>109</v>
      </c>
      <c r="H263" s="22">
        <f t="shared" si="8"/>
        <v>1</v>
      </c>
    </row>
    <row r="264" spans="1:8" x14ac:dyDescent="0.25">
      <c r="A264">
        <f t="shared" si="9"/>
        <v>6</v>
      </c>
      <c r="B264" t="s">
        <v>24</v>
      </c>
      <c r="C264" s="1">
        <v>231</v>
      </c>
      <c r="D264" s="1">
        <v>683</v>
      </c>
      <c r="E264" s="1">
        <v>145</v>
      </c>
      <c r="F264" s="1">
        <v>124</v>
      </c>
      <c r="G264" s="1">
        <v>41</v>
      </c>
      <c r="H264" s="22">
        <f t="shared" si="8"/>
        <v>2</v>
      </c>
    </row>
    <row r="265" spans="1:8" x14ac:dyDescent="0.25">
      <c r="A265">
        <f t="shared" si="9"/>
        <v>6</v>
      </c>
      <c r="B265" t="s">
        <v>25</v>
      </c>
      <c r="C265" s="1">
        <v>461</v>
      </c>
      <c r="D265" s="1">
        <v>155</v>
      </c>
      <c r="E265" s="1">
        <v>627</v>
      </c>
      <c r="F265" s="1">
        <v>191</v>
      </c>
      <c r="G265" s="1">
        <v>7</v>
      </c>
      <c r="H265" s="22">
        <f t="shared" si="8"/>
        <v>3</v>
      </c>
    </row>
    <row r="266" spans="1:8" x14ac:dyDescent="0.25">
      <c r="A266">
        <f t="shared" si="9"/>
        <v>6</v>
      </c>
      <c r="B266" t="s">
        <v>26</v>
      </c>
      <c r="C266" s="1">
        <v>380</v>
      </c>
      <c r="D266" s="1">
        <v>605</v>
      </c>
      <c r="E266" s="1">
        <v>555</v>
      </c>
      <c r="F266" s="1">
        <v>175</v>
      </c>
      <c r="G266" s="1">
        <v>150</v>
      </c>
      <c r="H266" s="22">
        <f t="shared" si="8"/>
        <v>2</v>
      </c>
    </row>
    <row r="267" spans="1:8" x14ac:dyDescent="0.25">
      <c r="A267">
        <f t="shared" si="9"/>
        <v>6</v>
      </c>
      <c r="B267" t="s">
        <v>27</v>
      </c>
      <c r="C267" s="1">
        <v>81</v>
      </c>
      <c r="D267" s="1">
        <v>450</v>
      </c>
      <c r="E267" s="1">
        <v>193</v>
      </c>
      <c r="F267" s="1">
        <v>57</v>
      </c>
      <c r="G267" s="1">
        <v>157</v>
      </c>
      <c r="H267" s="22">
        <f t="shared" si="8"/>
        <v>2</v>
      </c>
    </row>
    <row r="268" spans="1:8" x14ac:dyDescent="0.25">
      <c r="A268">
        <f t="shared" si="9"/>
        <v>6</v>
      </c>
      <c r="B268" t="s">
        <v>28</v>
      </c>
      <c r="C268" s="1">
        <v>638</v>
      </c>
      <c r="D268" s="1">
        <v>326</v>
      </c>
      <c r="E268" s="1">
        <v>121</v>
      </c>
      <c r="F268" s="1">
        <v>119</v>
      </c>
      <c r="G268" s="1">
        <v>56</v>
      </c>
      <c r="H268" s="22">
        <f t="shared" si="8"/>
        <v>1</v>
      </c>
    </row>
    <row r="269" spans="1:8" x14ac:dyDescent="0.25">
      <c r="A269">
        <f t="shared" si="9"/>
        <v>6</v>
      </c>
      <c r="B269" t="s">
        <v>29</v>
      </c>
      <c r="C269" s="1">
        <v>421</v>
      </c>
      <c r="D269" s="1">
        <v>419</v>
      </c>
      <c r="E269" s="1">
        <v>1109</v>
      </c>
      <c r="F269" s="1">
        <v>242</v>
      </c>
      <c r="G269" s="1">
        <v>45</v>
      </c>
      <c r="H269" s="22">
        <f t="shared" si="8"/>
        <v>3</v>
      </c>
    </row>
    <row r="270" spans="1:8" x14ac:dyDescent="0.25">
      <c r="A270">
        <f t="shared" si="9"/>
        <v>6</v>
      </c>
      <c r="B270" t="s">
        <v>30</v>
      </c>
      <c r="C270" s="1">
        <v>248</v>
      </c>
      <c r="D270" s="1">
        <v>83</v>
      </c>
      <c r="E270" s="1">
        <v>271</v>
      </c>
      <c r="F270" s="1">
        <v>139</v>
      </c>
      <c r="G270" s="1">
        <v>965</v>
      </c>
      <c r="H270" s="22">
        <f t="shared" si="8"/>
        <v>5</v>
      </c>
    </row>
    <row r="271" spans="1:8" x14ac:dyDescent="0.25">
      <c r="A271">
        <f t="shared" si="9"/>
        <v>6</v>
      </c>
      <c r="B271" t="s">
        <v>31</v>
      </c>
      <c r="C271" s="1">
        <v>667</v>
      </c>
      <c r="D271" s="1">
        <v>134</v>
      </c>
      <c r="E271" s="1">
        <v>109</v>
      </c>
      <c r="F271" s="1">
        <v>101</v>
      </c>
      <c r="G271" s="1">
        <v>868</v>
      </c>
      <c r="H271" s="22">
        <f t="shared" si="8"/>
        <v>5</v>
      </c>
    </row>
    <row r="272" spans="1:8" x14ac:dyDescent="0.25">
      <c r="A272">
        <f t="shared" si="9"/>
        <v>6</v>
      </c>
      <c r="B272" t="s">
        <v>32</v>
      </c>
      <c r="C272" s="1">
        <v>512</v>
      </c>
      <c r="D272" s="1">
        <v>108</v>
      </c>
      <c r="E272" s="1">
        <v>584</v>
      </c>
      <c r="F272" s="1">
        <v>79</v>
      </c>
      <c r="G272" s="1">
        <v>772</v>
      </c>
      <c r="H272" s="22">
        <f t="shared" si="8"/>
        <v>5</v>
      </c>
    </row>
    <row r="273" spans="1:8" x14ac:dyDescent="0.25">
      <c r="A273">
        <f t="shared" si="9"/>
        <v>6</v>
      </c>
      <c r="B273" t="s">
        <v>33</v>
      </c>
      <c r="C273" s="1">
        <v>590</v>
      </c>
      <c r="D273" s="1">
        <v>5</v>
      </c>
      <c r="E273" s="1">
        <v>27</v>
      </c>
      <c r="F273" s="1">
        <v>135</v>
      </c>
      <c r="G273" s="1">
        <v>892</v>
      </c>
      <c r="H273" s="22">
        <f t="shared" si="8"/>
        <v>5</v>
      </c>
    </row>
    <row r="274" spans="1:8" x14ac:dyDescent="0.25">
      <c r="A274">
        <f t="shared" si="9"/>
        <v>6</v>
      </c>
      <c r="B274" t="s">
        <v>34</v>
      </c>
      <c r="C274" s="1">
        <v>621</v>
      </c>
      <c r="D274" s="1">
        <v>10</v>
      </c>
      <c r="E274" s="1">
        <v>68</v>
      </c>
      <c r="F274" s="1">
        <v>97</v>
      </c>
      <c r="G274" s="1">
        <v>820</v>
      </c>
      <c r="H274" s="22">
        <f t="shared" si="8"/>
        <v>5</v>
      </c>
    </row>
    <row r="275" spans="1:8" x14ac:dyDescent="0.25">
      <c r="A275">
        <f t="shared" si="9"/>
        <v>6</v>
      </c>
      <c r="B275" t="s">
        <v>35</v>
      </c>
      <c r="C275" s="1">
        <v>353</v>
      </c>
      <c r="D275" s="1">
        <v>279</v>
      </c>
      <c r="E275" s="1">
        <v>579</v>
      </c>
      <c r="F275" s="1">
        <v>139</v>
      </c>
      <c r="G275" s="1">
        <v>15</v>
      </c>
      <c r="H275" s="22">
        <f t="shared" si="8"/>
        <v>3</v>
      </c>
    </row>
    <row r="276" spans="1:8" x14ac:dyDescent="0.25">
      <c r="A276">
        <f t="shared" si="9"/>
        <v>6</v>
      </c>
      <c r="B276" t="s">
        <v>36</v>
      </c>
      <c r="C276" s="1">
        <v>285</v>
      </c>
      <c r="D276" s="1">
        <v>341</v>
      </c>
      <c r="E276" s="1">
        <v>96</v>
      </c>
      <c r="F276" s="1">
        <v>113</v>
      </c>
      <c r="G276" s="1">
        <v>168</v>
      </c>
      <c r="H276" s="22">
        <f t="shared" si="8"/>
        <v>2</v>
      </c>
    </row>
    <row r="277" spans="1:8" x14ac:dyDescent="0.25">
      <c r="A277">
        <f t="shared" si="9"/>
        <v>6</v>
      </c>
      <c r="B277" t="s">
        <v>37</v>
      </c>
      <c r="C277" s="1">
        <v>624</v>
      </c>
      <c r="D277" s="1">
        <v>372</v>
      </c>
      <c r="E277" s="1">
        <v>1158</v>
      </c>
      <c r="F277" s="1">
        <v>186</v>
      </c>
      <c r="G277" s="1">
        <v>4</v>
      </c>
      <c r="H277" s="22">
        <f t="shared" si="8"/>
        <v>3</v>
      </c>
    </row>
    <row r="278" spans="1:8" x14ac:dyDescent="0.25">
      <c r="A278">
        <f t="shared" si="9"/>
        <v>6</v>
      </c>
      <c r="B278" t="s">
        <v>38</v>
      </c>
      <c r="C278" s="1">
        <v>339</v>
      </c>
      <c r="D278" s="1">
        <v>31</v>
      </c>
      <c r="E278" s="1">
        <v>1085</v>
      </c>
      <c r="F278" s="1">
        <v>248</v>
      </c>
      <c r="G278" s="1">
        <v>165</v>
      </c>
      <c r="H278" s="22">
        <f t="shared" si="8"/>
        <v>3</v>
      </c>
    </row>
    <row r="279" spans="1:8" x14ac:dyDescent="0.25">
      <c r="A279">
        <f t="shared" si="9"/>
        <v>6</v>
      </c>
      <c r="B279" t="s">
        <v>39</v>
      </c>
      <c r="C279" s="1">
        <v>475</v>
      </c>
      <c r="D279" s="1">
        <v>62</v>
      </c>
      <c r="E279" s="1">
        <v>724</v>
      </c>
      <c r="F279" s="1">
        <v>227</v>
      </c>
      <c r="G279" s="1">
        <v>142</v>
      </c>
      <c r="H279" s="22">
        <f t="shared" si="8"/>
        <v>3</v>
      </c>
    </row>
    <row r="280" spans="1:8" x14ac:dyDescent="0.25">
      <c r="A280">
        <f t="shared" si="9"/>
        <v>6</v>
      </c>
      <c r="B280" t="s">
        <v>40</v>
      </c>
      <c r="C280" s="1">
        <v>434</v>
      </c>
      <c r="D280" s="1">
        <v>403</v>
      </c>
      <c r="E280" s="1">
        <v>941</v>
      </c>
      <c r="F280" s="1">
        <v>155</v>
      </c>
      <c r="G280" s="1">
        <v>154</v>
      </c>
      <c r="H280" s="22">
        <f t="shared" si="8"/>
        <v>3</v>
      </c>
    </row>
    <row r="281" spans="1:8" x14ac:dyDescent="0.25">
      <c r="A281">
        <f t="shared" si="9"/>
        <v>6</v>
      </c>
      <c r="B281" t="s">
        <v>41</v>
      </c>
      <c r="C281" s="1">
        <v>190</v>
      </c>
      <c r="D281" s="1">
        <v>217</v>
      </c>
      <c r="E281" s="1">
        <v>603</v>
      </c>
      <c r="F281" s="1">
        <v>31</v>
      </c>
      <c r="G281" s="1">
        <v>127</v>
      </c>
      <c r="H281" s="22">
        <f t="shared" si="8"/>
        <v>3</v>
      </c>
    </row>
    <row r="282" spans="1:8" x14ac:dyDescent="0.25">
      <c r="A282">
        <f t="shared" si="9"/>
        <v>6</v>
      </c>
      <c r="B282" t="s">
        <v>42</v>
      </c>
      <c r="C282" s="1">
        <v>41</v>
      </c>
      <c r="D282" s="1">
        <v>140</v>
      </c>
      <c r="E282" s="1">
        <v>24</v>
      </c>
      <c r="F282" s="1">
        <v>21</v>
      </c>
      <c r="G282" s="1">
        <v>82</v>
      </c>
      <c r="H282" s="22">
        <f t="shared" si="8"/>
        <v>2</v>
      </c>
    </row>
    <row r="283" spans="1:8" x14ac:dyDescent="0.25">
      <c r="A283">
        <f t="shared" si="9"/>
        <v>6</v>
      </c>
      <c r="B283" t="s">
        <v>43</v>
      </c>
      <c r="C283" s="1">
        <v>149</v>
      </c>
      <c r="D283" s="1">
        <v>652</v>
      </c>
      <c r="E283" s="1">
        <v>458</v>
      </c>
      <c r="F283" s="1">
        <v>72</v>
      </c>
      <c r="G283" s="1">
        <v>67</v>
      </c>
      <c r="H283" s="22">
        <f t="shared" si="8"/>
        <v>2</v>
      </c>
    </row>
    <row r="284" spans="1:8" x14ac:dyDescent="0.25">
      <c r="A284">
        <f t="shared" si="9"/>
        <v>6</v>
      </c>
      <c r="B284" t="s">
        <v>44</v>
      </c>
      <c r="C284" s="1">
        <v>516</v>
      </c>
      <c r="D284" s="1">
        <v>186</v>
      </c>
      <c r="E284" s="1">
        <v>507</v>
      </c>
      <c r="F284" s="1">
        <v>26</v>
      </c>
      <c r="G284" s="1">
        <v>172</v>
      </c>
      <c r="H284" s="22">
        <f t="shared" si="8"/>
        <v>1</v>
      </c>
    </row>
    <row r="285" spans="1:8" x14ac:dyDescent="0.25">
      <c r="A285">
        <f t="shared" si="9"/>
        <v>6</v>
      </c>
      <c r="B285" t="s">
        <v>45</v>
      </c>
      <c r="C285" s="1">
        <v>204</v>
      </c>
      <c r="D285" s="1">
        <v>574</v>
      </c>
      <c r="E285" s="1">
        <v>241</v>
      </c>
      <c r="F285" s="1">
        <v>206</v>
      </c>
      <c r="G285" s="1">
        <v>11</v>
      </c>
      <c r="H285" s="22">
        <f t="shared" si="8"/>
        <v>2</v>
      </c>
    </row>
    <row r="286" spans="1:8" x14ac:dyDescent="0.25">
      <c r="A286">
        <f t="shared" si="9"/>
        <v>6</v>
      </c>
      <c r="B286" t="s">
        <v>46</v>
      </c>
      <c r="C286" s="1">
        <v>244</v>
      </c>
      <c r="D286" s="1">
        <v>714</v>
      </c>
      <c r="E286" s="1">
        <v>482</v>
      </c>
      <c r="F286" s="1">
        <v>103</v>
      </c>
      <c r="G286" s="1">
        <v>176</v>
      </c>
      <c r="H286" s="22">
        <f t="shared" si="8"/>
        <v>2</v>
      </c>
    </row>
    <row r="287" spans="1:8" x14ac:dyDescent="0.25">
      <c r="A287">
        <f t="shared" si="9"/>
        <v>6</v>
      </c>
      <c r="B287" t="s">
        <v>47</v>
      </c>
      <c r="C287" s="1">
        <v>14</v>
      </c>
      <c r="D287" s="1">
        <v>93</v>
      </c>
      <c r="E287" s="1">
        <v>410</v>
      </c>
      <c r="F287" s="1">
        <v>222</v>
      </c>
      <c r="G287" s="1">
        <v>180</v>
      </c>
      <c r="H287" s="22">
        <f t="shared" si="8"/>
        <v>3</v>
      </c>
    </row>
    <row r="288" spans="1:8" x14ac:dyDescent="0.25">
      <c r="A288">
        <f t="shared" si="9"/>
        <v>6</v>
      </c>
      <c r="B288" t="s">
        <v>48</v>
      </c>
      <c r="C288" s="1">
        <v>502</v>
      </c>
      <c r="D288" s="1">
        <v>388</v>
      </c>
      <c r="E288" s="1">
        <v>675</v>
      </c>
      <c r="F288" s="1">
        <v>98</v>
      </c>
      <c r="G288" s="1">
        <v>71</v>
      </c>
      <c r="H288" s="22">
        <f t="shared" si="8"/>
        <v>3</v>
      </c>
    </row>
    <row r="289" spans="1:8" x14ac:dyDescent="0.25">
      <c r="A289">
        <f t="shared" si="9"/>
        <v>6</v>
      </c>
      <c r="B289" t="s">
        <v>49</v>
      </c>
      <c r="C289" s="1">
        <v>258</v>
      </c>
      <c r="D289" s="1">
        <v>202</v>
      </c>
      <c r="E289" s="1">
        <v>1037</v>
      </c>
      <c r="F289" s="1">
        <v>46</v>
      </c>
      <c r="G289" s="1">
        <v>124</v>
      </c>
      <c r="H289" s="22">
        <f t="shared" si="8"/>
        <v>3</v>
      </c>
    </row>
    <row r="290" spans="1:8" x14ac:dyDescent="0.25">
      <c r="A290">
        <f t="shared" si="9"/>
        <v>6</v>
      </c>
      <c r="B290" t="s">
        <v>50</v>
      </c>
      <c r="C290" s="1">
        <v>312</v>
      </c>
      <c r="D290" s="1">
        <v>745</v>
      </c>
      <c r="E290" s="1">
        <v>917</v>
      </c>
      <c r="F290" s="1">
        <v>15</v>
      </c>
      <c r="G290" s="1">
        <v>75</v>
      </c>
      <c r="H290" s="22">
        <f t="shared" si="8"/>
        <v>3</v>
      </c>
    </row>
    <row r="291" spans="1:8" x14ac:dyDescent="0.25">
      <c r="A291">
        <f t="shared" si="9"/>
        <v>7</v>
      </c>
      <c r="B291" t="s">
        <v>3</v>
      </c>
      <c r="C291" s="1">
        <v>65</v>
      </c>
      <c r="D291" s="1">
        <v>215</v>
      </c>
      <c r="E291" s="1">
        <v>282</v>
      </c>
      <c r="F291" s="1">
        <v>1272</v>
      </c>
      <c r="G291" s="1">
        <v>123</v>
      </c>
      <c r="H291" s="22">
        <f t="shared" si="8"/>
        <v>4</v>
      </c>
    </row>
    <row r="292" spans="1:8" x14ac:dyDescent="0.25">
      <c r="A292">
        <f t="shared" si="9"/>
        <v>7</v>
      </c>
      <c r="B292" t="s">
        <v>4</v>
      </c>
      <c r="C292" s="1">
        <v>146</v>
      </c>
      <c r="D292" s="1">
        <v>176</v>
      </c>
      <c r="E292" s="1">
        <v>188</v>
      </c>
      <c r="F292" s="1">
        <v>893</v>
      </c>
      <c r="G292" s="1">
        <v>141</v>
      </c>
      <c r="H292" s="22">
        <f t="shared" si="8"/>
        <v>4</v>
      </c>
    </row>
    <row r="293" spans="1:8" x14ac:dyDescent="0.25">
      <c r="A293">
        <f t="shared" si="9"/>
        <v>7</v>
      </c>
      <c r="B293" t="s">
        <v>5</v>
      </c>
      <c r="C293" s="1">
        <v>455</v>
      </c>
      <c r="D293" s="1">
        <v>170</v>
      </c>
      <c r="E293" s="1">
        <v>402</v>
      </c>
      <c r="F293" s="1">
        <v>1110</v>
      </c>
      <c r="G293" s="1">
        <v>80</v>
      </c>
      <c r="H293" s="22">
        <f t="shared" si="8"/>
        <v>4</v>
      </c>
    </row>
    <row r="294" spans="1:8" x14ac:dyDescent="0.25">
      <c r="A294">
        <f t="shared" si="9"/>
        <v>7</v>
      </c>
      <c r="B294" t="s">
        <v>6</v>
      </c>
      <c r="C294" s="1">
        <v>667</v>
      </c>
      <c r="D294" s="1">
        <v>142</v>
      </c>
      <c r="E294" s="1">
        <v>510</v>
      </c>
      <c r="F294" s="1">
        <v>1002</v>
      </c>
      <c r="G294" s="1">
        <v>118</v>
      </c>
      <c r="H294" s="22">
        <f t="shared" si="8"/>
        <v>4</v>
      </c>
    </row>
    <row r="295" spans="1:8" x14ac:dyDescent="0.25">
      <c r="A295">
        <f t="shared" si="9"/>
        <v>7</v>
      </c>
      <c r="B295" t="s">
        <v>7</v>
      </c>
      <c r="C295" s="1">
        <v>488</v>
      </c>
      <c r="D295" s="1">
        <v>74</v>
      </c>
      <c r="E295" s="1">
        <v>255</v>
      </c>
      <c r="F295" s="1">
        <v>541</v>
      </c>
      <c r="G295" s="1">
        <v>61</v>
      </c>
      <c r="H295" s="22">
        <f t="shared" si="8"/>
        <v>4</v>
      </c>
    </row>
    <row r="296" spans="1:8" x14ac:dyDescent="0.25">
      <c r="A296">
        <f t="shared" si="9"/>
        <v>7</v>
      </c>
      <c r="B296" t="s">
        <v>8</v>
      </c>
      <c r="C296" s="1">
        <v>537</v>
      </c>
      <c r="D296" s="1">
        <v>45</v>
      </c>
      <c r="E296" s="1">
        <v>295</v>
      </c>
      <c r="F296" s="1">
        <v>1029</v>
      </c>
      <c r="G296" s="1">
        <v>217</v>
      </c>
      <c r="H296" s="22">
        <f t="shared" si="8"/>
        <v>4</v>
      </c>
    </row>
    <row r="297" spans="1:8" x14ac:dyDescent="0.25">
      <c r="A297">
        <f t="shared" si="9"/>
        <v>7</v>
      </c>
      <c r="B297" t="s">
        <v>9</v>
      </c>
      <c r="C297" s="1">
        <v>483</v>
      </c>
      <c r="D297" s="1">
        <v>358</v>
      </c>
      <c r="E297" s="1">
        <v>352</v>
      </c>
      <c r="F297" s="1">
        <v>164</v>
      </c>
      <c r="G297" s="1">
        <v>108</v>
      </c>
      <c r="H297" s="22">
        <f t="shared" si="8"/>
        <v>1</v>
      </c>
    </row>
    <row r="298" spans="1:8" x14ac:dyDescent="0.25">
      <c r="A298">
        <f t="shared" si="9"/>
        <v>7</v>
      </c>
      <c r="B298" t="s">
        <v>10</v>
      </c>
      <c r="C298" s="1">
        <v>268</v>
      </c>
      <c r="D298" s="1">
        <v>732</v>
      </c>
      <c r="E298" s="1">
        <v>677</v>
      </c>
      <c r="F298" s="1">
        <v>136</v>
      </c>
      <c r="G298" s="1">
        <v>212</v>
      </c>
      <c r="H298" s="22">
        <f t="shared" si="8"/>
        <v>2</v>
      </c>
    </row>
    <row r="299" spans="1:8" x14ac:dyDescent="0.25">
      <c r="A299">
        <f t="shared" si="9"/>
        <v>7</v>
      </c>
      <c r="B299" t="s">
        <v>11</v>
      </c>
      <c r="C299" s="1">
        <v>349</v>
      </c>
      <c r="D299" s="1">
        <v>699</v>
      </c>
      <c r="E299" s="1">
        <v>1191</v>
      </c>
      <c r="F299" s="1">
        <v>261</v>
      </c>
      <c r="G299" s="1">
        <v>198</v>
      </c>
      <c r="H299" s="22">
        <f t="shared" si="8"/>
        <v>3</v>
      </c>
    </row>
    <row r="300" spans="1:8" x14ac:dyDescent="0.25">
      <c r="A300">
        <f t="shared" si="9"/>
        <v>7</v>
      </c>
      <c r="B300" t="s">
        <v>12</v>
      </c>
      <c r="C300" s="1">
        <v>470</v>
      </c>
      <c r="D300" s="1">
        <v>211</v>
      </c>
      <c r="E300" s="1">
        <v>731</v>
      </c>
      <c r="F300" s="1">
        <v>57</v>
      </c>
      <c r="G300" s="1">
        <v>132</v>
      </c>
      <c r="H300" s="22">
        <f t="shared" si="8"/>
        <v>3</v>
      </c>
    </row>
    <row r="301" spans="1:8" x14ac:dyDescent="0.25">
      <c r="A301">
        <f t="shared" si="9"/>
        <v>7</v>
      </c>
      <c r="B301" t="s">
        <v>13</v>
      </c>
      <c r="C301" s="1">
        <v>631</v>
      </c>
      <c r="D301" s="1">
        <v>553</v>
      </c>
      <c r="E301" s="1">
        <v>108</v>
      </c>
      <c r="F301" s="1">
        <v>17</v>
      </c>
      <c r="G301" s="1">
        <v>85</v>
      </c>
      <c r="H301" s="22">
        <f t="shared" si="8"/>
        <v>1</v>
      </c>
    </row>
    <row r="302" spans="1:8" x14ac:dyDescent="0.25">
      <c r="A302">
        <f t="shared" si="9"/>
        <v>7</v>
      </c>
      <c r="B302" t="s">
        <v>14</v>
      </c>
      <c r="C302" s="1">
        <v>27</v>
      </c>
      <c r="D302" s="1">
        <v>260</v>
      </c>
      <c r="E302" s="1">
        <v>839</v>
      </c>
      <c r="F302" s="1">
        <v>210</v>
      </c>
      <c r="G302" s="1">
        <v>66</v>
      </c>
      <c r="H302" s="22">
        <f t="shared" si="8"/>
        <v>3</v>
      </c>
    </row>
    <row r="303" spans="1:8" x14ac:dyDescent="0.25">
      <c r="A303">
        <f t="shared" si="9"/>
        <v>7</v>
      </c>
      <c r="B303" t="s">
        <v>15</v>
      </c>
      <c r="C303" s="1">
        <v>174</v>
      </c>
      <c r="D303" s="1">
        <v>683</v>
      </c>
      <c r="E303" s="1">
        <v>271</v>
      </c>
      <c r="F303" s="1">
        <v>51</v>
      </c>
      <c r="G303" s="1">
        <v>146</v>
      </c>
      <c r="H303" s="22">
        <f t="shared" si="8"/>
        <v>2</v>
      </c>
    </row>
    <row r="304" spans="1:8" x14ac:dyDescent="0.25">
      <c r="A304">
        <f t="shared" si="9"/>
        <v>7</v>
      </c>
      <c r="B304" t="s">
        <v>16</v>
      </c>
      <c r="C304" s="1">
        <v>604</v>
      </c>
      <c r="D304" s="1">
        <v>472</v>
      </c>
      <c r="E304" s="1">
        <v>514</v>
      </c>
      <c r="F304" s="1">
        <v>272</v>
      </c>
      <c r="G304" s="1">
        <v>99</v>
      </c>
      <c r="H304" s="22">
        <f t="shared" si="8"/>
        <v>1</v>
      </c>
    </row>
    <row r="305" spans="1:8" x14ac:dyDescent="0.25">
      <c r="A305">
        <f t="shared" si="9"/>
        <v>7</v>
      </c>
      <c r="B305" t="s">
        <v>17</v>
      </c>
      <c r="C305" s="1">
        <v>322</v>
      </c>
      <c r="D305" s="1">
        <v>585</v>
      </c>
      <c r="E305" s="1">
        <v>1245</v>
      </c>
      <c r="F305" s="1">
        <v>198</v>
      </c>
      <c r="G305" s="1">
        <v>28</v>
      </c>
      <c r="H305" s="22">
        <f t="shared" si="8"/>
        <v>3</v>
      </c>
    </row>
    <row r="306" spans="1:8" x14ac:dyDescent="0.25">
      <c r="A306">
        <f t="shared" si="9"/>
        <v>7</v>
      </c>
      <c r="B306" t="s">
        <v>18</v>
      </c>
      <c r="C306" s="1">
        <v>134</v>
      </c>
      <c r="D306" s="1">
        <v>602</v>
      </c>
      <c r="E306" s="1">
        <v>866</v>
      </c>
      <c r="F306" s="1">
        <v>6</v>
      </c>
      <c r="G306" s="1">
        <v>14</v>
      </c>
      <c r="H306" s="22">
        <f t="shared" si="8"/>
        <v>3</v>
      </c>
    </row>
    <row r="307" spans="1:8" x14ac:dyDescent="0.25">
      <c r="A307">
        <f t="shared" si="9"/>
        <v>7</v>
      </c>
      <c r="B307" t="s">
        <v>19</v>
      </c>
      <c r="C307" s="1">
        <v>416</v>
      </c>
      <c r="D307" s="1">
        <v>114</v>
      </c>
      <c r="E307" s="1">
        <v>704</v>
      </c>
      <c r="F307" s="1">
        <v>119</v>
      </c>
      <c r="G307" s="1">
        <v>75</v>
      </c>
      <c r="H307" s="22">
        <f t="shared" si="8"/>
        <v>3</v>
      </c>
    </row>
    <row r="308" spans="1:8" x14ac:dyDescent="0.25">
      <c r="A308">
        <f t="shared" si="9"/>
        <v>7</v>
      </c>
      <c r="B308" t="s">
        <v>20</v>
      </c>
      <c r="C308" s="1">
        <v>617</v>
      </c>
      <c r="D308" s="1">
        <v>81</v>
      </c>
      <c r="E308" s="1">
        <v>568</v>
      </c>
      <c r="F308" s="1">
        <v>11</v>
      </c>
      <c r="G308" s="1">
        <v>38</v>
      </c>
      <c r="H308" s="22">
        <f t="shared" si="8"/>
        <v>1</v>
      </c>
    </row>
    <row r="309" spans="1:8" x14ac:dyDescent="0.25">
      <c r="A309">
        <f t="shared" si="9"/>
        <v>7</v>
      </c>
      <c r="B309" t="s">
        <v>21</v>
      </c>
      <c r="C309" s="1">
        <v>94</v>
      </c>
      <c r="D309" s="1">
        <v>634</v>
      </c>
      <c r="E309" s="1">
        <v>758</v>
      </c>
      <c r="F309" s="1">
        <v>102</v>
      </c>
      <c r="G309" s="1">
        <v>33</v>
      </c>
      <c r="H309" s="22">
        <f t="shared" si="8"/>
        <v>3</v>
      </c>
    </row>
    <row r="310" spans="1:8" x14ac:dyDescent="0.25">
      <c r="A310">
        <f t="shared" si="9"/>
        <v>7</v>
      </c>
      <c r="B310" t="s">
        <v>22</v>
      </c>
      <c r="C310" s="1">
        <v>107</v>
      </c>
      <c r="D310" s="1">
        <v>374</v>
      </c>
      <c r="E310" s="1">
        <v>54</v>
      </c>
      <c r="F310" s="1">
        <v>159</v>
      </c>
      <c r="G310" s="1">
        <v>9</v>
      </c>
      <c r="H310" s="22">
        <f t="shared" si="8"/>
        <v>2</v>
      </c>
    </row>
    <row r="311" spans="1:8" x14ac:dyDescent="0.25">
      <c r="A311">
        <f t="shared" si="9"/>
        <v>7</v>
      </c>
      <c r="B311" t="s">
        <v>23</v>
      </c>
      <c r="C311" s="1">
        <v>563</v>
      </c>
      <c r="D311" s="1">
        <v>569</v>
      </c>
      <c r="E311" s="1">
        <v>1299</v>
      </c>
      <c r="F311" s="1">
        <v>221</v>
      </c>
      <c r="G311" s="1">
        <v>156</v>
      </c>
      <c r="H311" s="22">
        <f t="shared" si="8"/>
        <v>3</v>
      </c>
    </row>
    <row r="312" spans="1:8" x14ac:dyDescent="0.25">
      <c r="A312">
        <f t="shared" si="9"/>
        <v>7</v>
      </c>
      <c r="B312" t="s">
        <v>24</v>
      </c>
      <c r="C312" s="1">
        <v>389</v>
      </c>
      <c r="D312" s="1">
        <v>179</v>
      </c>
      <c r="E312" s="1">
        <v>1164</v>
      </c>
      <c r="F312" s="1">
        <v>249</v>
      </c>
      <c r="G312" s="1">
        <v>47</v>
      </c>
      <c r="H312" s="22">
        <f t="shared" si="8"/>
        <v>3</v>
      </c>
    </row>
    <row r="313" spans="1:8" x14ac:dyDescent="0.25">
      <c r="A313">
        <f t="shared" si="9"/>
        <v>7</v>
      </c>
      <c r="B313" t="s">
        <v>25</v>
      </c>
      <c r="C313" s="1">
        <v>215</v>
      </c>
      <c r="D313" s="1">
        <v>650</v>
      </c>
      <c r="E313" s="1">
        <v>406</v>
      </c>
      <c r="F313" s="1">
        <v>153</v>
      </c>
      <c r="G313" s="1">
        <v>24</v>
      </c>
      <c r="H313" s="22">
        <f t="shared" si="8"/>
        <v>2</v>
      </c>
    </row>
    <row r="314" spans="1:8" x14ac:dyDescent="0.25">
      <c r="A314">
        <f t="shared" si="9"/>
        <v>7</v>
      </c>
      <c r="B314" t="s">
        <v>26</v>
      </c>
      <c r="C314" s="1">
        <v>13</v>
      </c>
      <c r="D314" s="1">
        <v>439</v>
      </c>
      <c r="E314" s="1">
        <v>947</v>
      </c>
      <c r="F314" s="1">
        <v>113</v>
      </c>
      <c r="G314" s="1">
        <v>151</v>
      </c>
      <c r="H314" s="22">
        <f t="shared" si="8"/>
        <v>3</v>
      </c>
    </row>
    <row r="315" spans="1:8" x14ac:dyDescent="0.25">
      <c r="A315">
        <f t="shared" si="9"/>
        <v>7</v>
      </c>
      <c r="B315" t="s">
        <v>27</v>
      </c>
      <c r="C315" s="1">
        <v>456</v>
      </c>
      <c r="D315" s="1">
        <v>325</v>
      </c>
      <c r="E315" s="1">
        <v>623</v>
      </c>
      <c r="F315" s="1">
        <v>96</v>
      </c>
      <c r="G315" s="1">
        <v>42</v>
      </c>
      <c r="H315" s="22">
        <f t="shared" si="8"/>
        <v>3</v>
      </c>
    </row>
    <row r="316" spans="1:8" x14ac:dyDescent="0.25">
      <c r="A316">
        <f t="shared" si="9"/>
        <v>7</v>
      </c>
      <c r="B316" t="s">
        <v>28</v>
      </c>
      <c r="C316" s="1">
        <v>309</v>
      </c>
      <c r="D316" s="1">
        <v>390</v>
      </c>
      <c r="E316" s="1">
        <v>785</v>
      </c>
      <c r="F316" s="1">
        <v>227</v>
      </c>
      <c r="G316" s="1">
        <v>189</v>
      </c>
      <c r="H316" s="22">
        <f t="shared" si="8"/>
        <v>3</v>
      </c>
    </row>
    <row r="317" spans="1:8" x14ac:dyDescent="0.25">
      <c r="A317">
        <f t="shared" si="9"/>
        <v>7</v>
      </c>
      <c r="B317" t="s">
        <v>29</v>
      </c>
      <c r="C317" s="1">
        <v>241</v>
      </c>
      <c r="D317" s="1">
        <v>748</v>
      </c>
      <c r="E317" s="1">
        <v>217</v>
      </c>
      <c r="F317" s="1">
        <v>108</v>
      </c>
      <c r="G317" s="1">
        <v>160</v>
      </c>
      <c r="H317" s="22">
        <f t="shared" si="8"/>
        <v>2</v>
      </c>
    </row>
    <row r="318" spans="1:8" x14ac:dyDescent="0.25">
      <c r="A318">
        <f t="shared" si="9"/>
        <v>7</v>
      </c>
      <c r="B318" t="s">
        <v>30</v>
      </c>
      <c r="C318" s="1">
        <v>228</v>
      </c>
      <c r="D318" s="1">
        <v>244</v>
      </c>
      <c r="E318" s="1">
        <v>596</v>
      </c>
      <c r="F318" s="1">
        <v>62</v>
      </c>
      <c r="G318" s="1">
        <v>174</v>
      </c>
      <c r="H318" s="22">
        <f t="shared" si="8"/>
        <v>3</v>
      </c>
    </row>
    <row r="319" spans="1:8" x14ac:dyDescent="0.25">
      <c r="A319">
        <f t="shared" si="9"/>
        <v>7</v>
      </c>
      <c r="B319" t="s">
        <v>31</v>
      </c>
      <c r="C319" s="1">
        <v>429</v>
      </c>
      <c r="D319" s="1">
        <v>341</v>
      </c>
      <c r="E319" s="1">
        <v>325</v>
      </c>
      <c r="F319" s="1">
        <v>130</v>
      </c>
      <c r="G319" s="1">
        <v>127</v>
      </c>
      <c r="H319" s="22">
        <f t="shared" si="8"/>
        <v>1</v>
      </c>
    </row>
    <row r="320" spans="1:8" x14ac:dyDescent="0.25">
      <c r="A320">
        <f t="shared" si="9"/>
        <v>7</v>
      </c>
      <c r="B320" t="s">
        <v>32</v>
      </c>
      <c r="C320" s="1">
        <v>644</v>
      </c>
      <c r="D320" s="1">
        <v>293</v>
      </c>
      <c r="E320" s="1">
        <v>162</v>
      </c>
      <c r="F320" s="1">
        <v>28</v>
      </c>
      <c r="G320" s="1">
        <v>137</v>
      </c>
      <c r="H320" s="22">
        <f t="shared" si="8"/>
        <v>1</v>
      </c>
    </row>
    <row r="321" spans="1:8" x14ac:dyDescent="0.25">
      <c r="A321">
        <f t="shared" si="9"/>
        <v>7</v>
      </c>
      <c r="B321" t="s">
        <v>33</v>
      </c>
      <c r="C321" s="1">
        <v>550</v>
      </c>
      <c r="D321" s="1">
        <v>309</v>
      </c>
      <c r="E321" s="1">
        <v>298</v>
      </c>
      <c r="F321" s="1">
        <v>204</v>
      </c>
      <c r="G321" s="1">
        <v>90</v>
      </c>
      <c r="H321" s="22">
        <f t="shared" si="8"/>
        <v>1</v>
      </c>
    </row>
    <row r="322" spans="1:8" x14ac:dyDescent="0.25">
      <c r="A322">
        <f t="shared" si="9"/>
        <v>7</v>
      </c>
      <c r="B322" t="s">
        <v>34</v>
      </c>
      <c r="C322" s="1">
        <v>376</v>
      </c>
      <c r="D322" s="1">
        <v>781</v>
      </c>
      <c r="E322" s="1">
        <v>460</v>
      </c>
      <c r="F322" s="1">
        <v>193</v>
      </c>
      <c r="G322" s="1">
        <v>170</v>
      </c>
      <c r="H322" s="22">
        <f t="shared" si="8"/>
        <v>2</v>
      </c>
    </row>
    <row r="323" spans="1:8" x14ac:dyDescent="0.25">
      <c r="A323">
        <f t="shared" si="9"/>
        <v>7</v>
      </c>
      <c r="B323" t="s">
        <v>35</v>
      </c>
      <c r="C323" s="1">
        <v>40</v>
      </c>
      <c r="D323" s="1">
        <v>715</v>
      </c>
      <c r="E323" s="1">
        <v>487</v>
      </c>
      <c r="F323" s="1">
        <v>40</v>
      </c>
      <c r="G323" s="1">
        <v>94</v>
      </c>
      <c r="H323" s="22">
        <f t="shared" ref="H323:H386" si="10">INDEX($C$1:$G$1,0,MATCH(MAX(C323:G323),C323:G323,0))</f>
        <v>2</v>
      </c>
    </row>
    <row r="324" spans="1:8" x14ac:dyDescent="0.25">
      <c r="A324">
        <f t="shared" si="9"/>
        <v>7</v>
      </c>
      <c r="B324" t="s">
        <v>36</v>
      </c>
      <c r="C324" s="1">
        <v>443</v>
      </c>
      <c r="D324" s="1">
        <v>33</v>
      </c>
      <c r="E324" s="1">
        <v>1056</v>
      </c>
      <c r="F324" s="1">
        <v>238</v>
      </c>
      <c r="G324" s="1">
        <v>104</v>
      </c>
      <c r="H324" s="22">
        <f t="shared" si="10"/>
        <v>3</v>
      </c>
    </row>
    <row r="325" spans="1:8" x14ac:dyDescent="0.25">
      <c r="A325">
        <f t="shared" ref="A325:A388" si="11">IF((ROW()-3)/48=INT((ROW()-3)/48),A324+1,A324)</f>
        <v>7</v>
      </c>
      <c r="B325" t="s">
        <v>37</v>
      </c>
      <c r="C325" s="1">
        <v>537</v>
      </c>
      <c r="D325" s="1">
        <v>618</v>
      </c>
      <c r="E325" s="1">
        <v>920</v>
      </c>
      <c r="F325" s="1">
        <v>244</v>
      </c>
      <c r="G325" s="1">
        <v>113</v>
      </c>
      <c r="H325" s="22">
        <f t="shared" si="10"/>
        <v>3</v>
      </c>
    </row>
    <row r="326" spans="1:8" x14ac:dyDescent="0.25">
      <c r="A326">
        <f t="shared" si="11"/>
        <v>7</v>
      </c>
      <c r="B326" t="s">
        <v>38</v>
      </c>
      <c r="C326" s="1">
        <v>523</v>
      </c>
      <c r="D326" s="1">
        <v>130</v>
      </c>
      <c r="E326" s="1">
        <v>1218</v>
      </c>
      <c r="F326" s="1">
        <v>255</v>
      </c>
      <c r="G326" s="1">
        <v>193</v>
      </c>
      <c r="H326" s="22">
        <f t="shared" si="10"/>
        <v>3</v>
      </c>
    </row>
    <row r="327" spans="1:8" x14ac:dyDescent="0.25">
      <c r="A327">
        <f t="shared" si="11"/>
        <v>7</v>
      </c>
      <c r="B327" t="s">
        <v>39</v>
      </c>
      <c r="C327" s="1">
        <v>148</v>
      </c>
      <c r="D327" s="1">
        <v>98</v>
      </c>
      <c r="E327" s="1">
        <v>81</v>
      </c>
      <c r="F327" s="1">
        <v>187</v>
      </c>
      <c r="G327" s="1">
        <v>203</v>
      </c>
      <c r="H327" s="22">
        <f t="shared" si="10"/>
        <v>5</v>
      </c>
    </row>
    <row r="328" spans="1:8" x14ac:dyDescent="0.25">
      <c r="A328">
        <f t="shared" si="11"/>
        <v>7</v>
      </c>
      <c r="B328" t="s">
        <v>40</v>
      </c>
      <c r="C328" s="1">
        <v>161</v>
      </c>
      <c r="D328" s="1">
        <v>49</v>
      </c>
      <c r="E328" s="1">
        <v>433</v>
      </c>
      <c r="F328" s="1">
        <v>23</v>
      </c>
      <c r="G328" s="1">
        <v>71</v>
      </c>
      <c r="H328" s="22">
        <f t="shared" si="10"/>
        <v>3</v>
      </c>
    </row>
    <row r="329" spans="1:8" x14ac:dyDescent="0.25">
      <c r="A329">
        <f t="shared" si="11"/>
        <v>7</v>
      </c>
      <c r="B329" t="s">
        <v>41</v>
      </c>
      <c r="C329" s="1">
        <v>577</v>
      </c>
      <c r="D329" s="1">
        <v>504</v>
      </c>
      <c r="E329" s="1">
        <v>650</v>
      </c>
      <c r="F329" s="1">
        <v>91</v>
      </c>
      <c r="G329" s="1">
        <v>19</v>
      </c>
      <c r="H329" s="22">
        <f t="shared" si="10"/>
        <v>3</v>
      </c>
    </row>
    <row r="330" spans="1:8" x14ac:dyDescent="0.25">
      <c r="A330">
        <f t="shared" si="11"/>
        <v>7</v>
      </c>
      <c r="B330" t="s">
        <v>42</v>
      </c>
      <c r="C330" s="1">
        <v>496</v>
      </c>
      <c r="D330" s="1">
        <v>407</v>
      </c>
      <c r="E330" s="1">
        <v>974</v>
      </c>
      <c r="F330" s="1">
        <v>125</v>
      </c>
      <c r="G330" s="1">
        <v>226</v>
      </c>
      <c r="H330" s="22">
        <f t="shared" si="10"/>
        <v>3</v>
      </c>
    </row>
    <row r="331" spans="1:8" x14ac:dyDescent="0.25">
      <c r="A331">
        <f t="shared" si="11"/>
        <v>7</v>
      </c>
      <c r="B331" t="s">
        <v>43</v>
      </c>
      <c r="C331" s="1">
        <v>67</v>
      </c>
      <c r="D331" s="1">
        <v>276</v>
      </c>
      <c r="E331" s="1">
        <v>189</v>
      </c>
      <c r="F331" s="1">
        <v>181</v>
      </c>
      <c r="G331" s="1">
        <v>52</v>
      </c>
      <c r="H331" s="22">
        <f t="shared" si="10"/>
        <v>2</v>
      </c>
    </row>
    <row r="332" spans="1:8" x14ac:dyDescent="0.25">
      <c r="A332">
        <f t="shared" si="11"/>
        <v>7</v>
      </c>
      <c r="B332" t="s">
        <v>44</v>
      </c>
      <c r="C332" s="1">
        <v>121</v>
      </c>
      <c r="D332" s="1">
        <v>163</v>
      </c>
      <c r="E332" s="1">
        <v>812</v>
      </c>
      <c r="F332" s="1">
        <v>232</v>
      </c>
      <c r="G332" s="1">
        <v>207</v>
      </c>
      <c r="H332" s="22">
        <f t="shared" si="10"/>
        <v>3</v>
      </c>
    </row>
    <row r="333" spans="1:8" x14ac:dyDescent="0.25">
      <c r="A333">
        <f t="shared" si="11"/>
        <v>7</v>
      </c>
      <c r="B333" t="s">
        <v>45</v>
      </c>
      <c r="C333" s="1">
        <v>362</v>
      </c>
      <c r="D333" s="1">
        <v>16</v>
      </c>
      <c r="E333" s="1">
        <v>1137</v>
      </c>
      <c r="F333" s="1">
        <v>68</v>
      </c>
      <c r="G333" s="1">
        <v>184</v>
      </c>
      <c r="H333" s="22">
        <f t="shared" si="10"/>
        <v>3</v>
      </c>
    </row>
    <row r="334" spans="1:8" x14ac:dyDescent="0.25">
      <c r="A334">
        <f t="shared" si="11"/>
        <v>7</v>
      </c>
      <c r="B334" t="s">
        <v>46</v>
      </c>
      <c r="C334" s="1">
        <v>201</v>
      </c>
      <c r="D334" s="1">
        <v>195</v>
      </c>
      <c r="E334" s="1">
        <v>135</v>
      </c>
      <c r="F334" s="1">
        <v>34</v>
      </c>
      <c r="G334" s="1">
        <v>222</v>
      </c>
      <c r="H334" s="22">
        <f t="shared" si="10"/>
        <v>5</v>
      </c>
    </row>
    <row r="335" spans="1:8" x14ac:dyDescent="0.25">
      <c r="A335">
        <f t="shared" si="11"/>
        <v>7</v>
      </c>
      <c r="B335" t="s">
        <v>47</v>
      </c>
      <c r="C335" s="1">
        <v>54</v>
      </c>
      <c r="D335" s="1">
        <v>228</v>
      </c>
      <c r="E335" s="1">
        <v>27</v>
      </c>
      <c r="F335" s="1">
        <v>147</v>
      </c>
      <c r="G335" s="1">
        <v>57</v>
      </c>
      <c r="H335" s="22">
        <f t="shared" si="10"/>
        <v>2</v>
      </c>
    </row>
    <row r="336" spans="1:8" x14ac:dyDescent="0.25">
      <c r="A336">
        <f t="shared" si="11"/>
        <v>7</v>
      </c>
      <c r="B336" t="s">
        <v>48</v>
      </c>
      <c r="C336" s="1">
        <v>335</v>
      </c>
      <c r="D336" s="1">
        <v>520</v>
      </c>
      <c r="E336" s="1">
        <v>244</v>
      </c>
      <c r="F336" s="1">
        <v>266</v>
      </c>
      <c r="G336" s="1">
        <v>165</v>
      </c>
      <c r="H336" s="22">
        <f t="shared" si="10"/>
        <v>2</v>
      </c>
    </row>
    <row r="337" spans="1:8" x14ac:dyDescent="0.25">
      <c r="A337">
        <f t="shared" si="11"/>
        <v>7</v>
      </c>
      <c r="B337" t="s">
        <v>49</v>
      </c>
      <c r="C337" s="1">
        <v>80</v>
      </c>
      <c r="D337" s="1">
        <v>764</v>
      </c>
      <c r="E337" s="1">
        <v>379</v>
      </c>
      <c r="F337" s="1">
        <v>79</v>
      </c>
      <c r="G337" s="1">
        <v>179</v>
      </c>
      <c r="H337" s="22">
        <f t="shared" si="10"/>
        <v>2</v>
      </c>
    </row>
    <row r="338" spans="1:8" x14ac:dyDescent="0.25">
      <c r="A338">
        <f t="shared" si="11"/>
        <v>7</v>
      </c>
      <c r="B338" t="s">
        <v>50</v>
      </c>
      <c r="C338" s="1">
        <v>590</v>
      </c>
      <c r="D338" s="1">
        <v>423</v>
      </c>
      <c r="E338" s="1">
        <v>1083</v>
      </c>
      <c r="F338" s="1">
        <v>85</v>
      </c>
      <c r="G338" s="1">
        <v>5</v>
      </c>
      <c r="H338" s="22">
        <f t="shared" si="10"/>
        <v>3</v>
      </c>
    </row>
    <row r="339" spans="1:8" x14ac:dyDescent="0.25">
      <c r="A339">
        <f t="shared" si="11"/>
        <v>8</v>
      </c>
      <c r="B339" t="s">
        <v>3</v>
      </c>
      <c r="C339" s="1">
        <v>421</v>
      </c>
      <c r="D339" s="1">
        <v>333</v>
      </c>
      <c r="E339" s="1">
        <v>48</v>
      </c>
      <c r="F339" s="1">
        <v>146</v>
      </c>
      <c r="G339" s="1">
        <v>26</v>
      </c>
      <c r="H339" s="22">
        <f t="shared" si="10"/>
        <v>1</v>
      </c>
    </row>
    <row r="340" spans="1:8" x14ac:dyDescent="0.25">
      <c r="A340">
        <f t="shared" si="11"/>
        <v>8</v>
      </c>
      <c r="B340" t="s">
        <v>4</v>
      </c>
      <c r="C340" s="1">
        <v>749</v>
      </c>
      <c r="D340" s="1">
        <v>798</v>
      </c>
      <c r="E340" s="1">
        <v>120</v>
      </c>
      <c r="F340" s="1">
        <v>233</v>
      </c>
      <c r="G340" s="1">
        <v>153</v>
      </c>
      <c r="H340" s="22">
        <f t="shared" si="10"/>
        <v>2</v>
      </c>
    </row>
    <row r="341" spans="1:8" x14ac:dyDescent="0.25">
      <c r="A341">
        <f t="shared" si="11"/>
        <v>8</v>
      </c>
      <c r="B341" t="s">
        <v>5</v>
      </c>
      <c r="C341" s="1">
        <v>702</v>
      </c>
      <c r="D341" s="1">
        <v>183</v>
      </c>
      <c r="E341" s="1">
        <v>1152</v>
      </c>
      <c r="F341" s="1">
        <v>180</v>
      </c>
      <c r="G341" s="1">
        <v>97</v>
      </c>
      <c r="H341" s="22">
        <f t="shared" si="10"/>
        <v>3</v>
      </c>
    </row>
    <row r="342" spans="1:8" x14ac:dyDescent="0.25">
      <c r="A342">
        <f t="shared" si="11"/>
        <v>8</v>
      </c>
      <c r="B342" t="s">
        <v>6</v>
      </c>
      <c r="C342" s="1">
        <v>62</v>
      </c>
      <c r="D342" s="1">
        <v>67</v>
      </c>
      <c r="E342" s="1">
        <v>360</v>
      </c>
      <c r="F342" s="1">
        <v>279</v>
      </c>
      <c r="G342" s="1">
        <v>116</v>
      </c>
      <c r="H342" s="22">
        <f t="shared" si="10"/>
        <v>3</v>
      </c>
    </row>
    <row r="343" spans="1:8" x14ac:dyDescent="0.25">
      <c r="A343">
        <f t="shared" si="11"/>
        <v>8</v>
      </c>
      <c r="B343" t="s">
        <v>7</v>
      </c>
      <c r="C343" s="1">
        <v>187</v>
      </c>
      <c r="D343" s="1">
        <v>599</v>
      </c>
      <c r="E343" s="1">
        <v>432</v>
      </c>
      <c r="F343" s="1">
        <v>47</v>
      </c>
      <c r="G343" s="1">
        <v>146</v>
      </c>
      <c r="H343" s="22">
        <f t="shared" si="10"/>
        <v>2</v>
      </c>
    </row>
    <row r="344" spans="1:8" x14ac:dyDescent="0.25">
      <c r="A344">
        <f t="shared" si="11"/>
        <v>8</v>
      </c>
      <c r="B344" t="s">
        <v>8</v>
      </c>
      <c r="C344" s="1">
        <v>296</v>
      </c>
      <c r="D344" s="1">
        <v>283</v>
      </c>
      <c r="E344" s="1">
        <v>1008</v>
      </c>
      <c r="F344" s="1">
        <v>111</v>
      </c>
      <c r="G344" s="1">
        <v>41</v>
      </c>
      <c r="H344" s="22">
        <f t="shared" si="10"/>
        <v>3</v>
      </c>
    </row>
    <row r="345" spans="1:8" x14ac:dyDescent="0.25">
      <c r="A345">
        <f t="shared" si="11"/>
        <v>8</v>
      </c>
      <c r="B345" t="s">
        <v>9</v>
      </c>
      <c r="C345" s="1">
        <v>686</v>
      </c>
      <c r="D345" s="1">
        <v>665</v>
      </c>
      <c r="E345" s="1">
        <v>792</v>
      </c>
      <c r="F345" s="1">
        <v>6</v>
      </c>
      <c r="G345" s="1">
        <v>101</v>
      </c>
      <c r="H345" s="22">
        <f t="shared" si="10"/>
        <v>3</v>
      </c>
    </row>
    <row r="346" spans="1:8" x14ac:dyDescent="0.25">
      <c r="A346">
        <f t="shared" si="11"/>
        <v>8</v>
      </c>
      <c r="B346" t="s">
        <v>10</v>
      </c>
      <c r="C346" s="1">
        <v>172</v>
      </c>
      <c r="D346" s="1">
        <v>299</v>
      </c>
      <c r="E346" s="1">
        <v>624</v>
      </c>
      <c r="F346" s="1">
        <v>35</v>
      </c>
      <c r="G346" s="1">
        <v>19</v>
      </c>
      <c r="H346" s="22">
        <f t="shared" si="10"/>
        <v>3</v>
      </c>
    </row>
    <row r="347" spans="1:8" x14ac:dyDescent="0.25">
      <c r="A347">
        <f t="shared" si="11"/>
        <v>8</v>
      </c>
      <c r="B347" t="s">
        <v>11</v>
      </c>
      <c r="C347" s="1">
        <v>218</v>
      </c>
      <c r="D347" s="1">
        <v>266</v>
      </c>
      <c r="E347" s="1">
        <v>912</v>
      </c>
      <c r="F347" s="1">
        <v>175</v>
      </c>
      <c r="G347" s="1">
        <v>75</v>
      </c>
      <c r="H347" s="22">
        <f t="shared" si="10"/>
        <v>3</v>
      </c>
    </row>
    <row r="348" spans="1:8" x14ac:dyDescent="0.25">
      <c r="A348">
        <f t="shared" si="11"/>
        <v>8</v>
      </c>
      <c r="B348" t="s">
        <v>12</v>
      </c>
      <c r="C348" s="1">
        <v>562</v>
      </c>
      <c r="D348" s="1">
        <v>33</v>
      </c>
      <c r="E348" s="1">
        <v>576</v>
      </c>
      <c r="F348" s="1">
        <v>99</v>
      </c>
      <c r="G348" s="1">
        <v>172</v>
      </c>
      <c r="H348" s="22">
        <f t="shared" si="10"/>
        <v>3</v>
      </c>
    </row>
    <row r="349" spans="1:8" x14ac:dyDescent="0.25">
      <c r="A349">
        <f t="shared" si="11"/>
        <v>8</v>
      </c>
      <c r="B349" t="s">
        <v>13</v>
      </c>
      <c r="C349" s="1">
        <v>312</v>
      </c>
      <c r="D349" s="1">
        <v>233</v>
      </c>
      <c r="E349" s="1">
        <v>768</v>
      </c>
      <c r="F349" s="1">
        <v>116</v>
      </c>
      <c r="G349" s="1">
        <v>45</v>
      </c>
      <c r="H349" s="22">
        <f t="shared" si="10"/>
        <v>3</v>
      </c>
    </row>
    <row r="350" spans="1:8" x14ac:dyDescent="0.25">
      <c r="A350">
        <f t="shared" si="11"/>
        <v>8</v>
      </c>
      <c r="B350" t="s">
        <v>14</v>
      </c>
      <c r="C350" s="1">
        <v>156</v>
      </c>
      <c r="D350" s="1">
        <v>399</v>
      </c>
      <c r="E350" s="1">
        <v>144</v>
      </c>
      <c r="F350" s="1">
        <v>29</v>
      </c>
      <c r="G350" s="1">
        <v>179</v>
      </c>
      <c r="H350" s="22">
        <f t="shared" si="10"/>
        <v>2</v>
      </c>
    </row>
    <row r="351" spans="1:8" x14ac:dyDescent="0.25">
      <c r="A351">
        <f t="shared" si="11"/>
        <v>8</v>
      </c>
      <c r="B351" t="s">
        <v>15</v>
      </c>
      <c r="C351" s="1">
        <v>468</v>
      </c>
      <c r="D351" s="1">
        <v>765</v>
      </c>
      <c r="E351" s="1">
        <v>312</v>
      </c>
      <c r="F351" s="1">
        <v>198</v>
      </c>
      <c r="G351" s="1">
        <v>34</v>
      </c>
      <c r="H351" s="22">
        <f t="shared" si="10"/>
        <v>2</v>
      </c>
    </row>
    <row r="352" spans="1:8" x14ac:dyDescent="0.25">
      <c r="A352">
        <f t="shared" si="11"/>
        <v>8</v>
      </c>
      <c r="B352" t="s">
        <v>16</v>
      </c>
      <c r="C352" s="1">
        <v>140</v>
      </c>
      <c r="D352" s="1">
        <v>565</v>
      </c>
      <c r="E352" s="1">
        <v>480</v>
      </c>
      <c r="F352" s="1">
        <v>17</v>
      </c>
      <c r="G352" s="1">
        <v>123</v>
      </c>
      <c r="H352" s="22">
        <f t="shared" si="10"/>
        <v>2</v>
      </c>
    </row>
    <row r="353" spans="1:8" x14ac:dyDescent="0.25">
      <c r="A353">
        <f t="shared" si="11"/>
        <v>8</v>
      </c>
      <c r="B353" t="s">
        <v>17</v>
      </c>
      <c r="C353" s="1">
        <v>649</v>
      </c>
      <c r="D353" s="1">
        <v>268</v>
      </c>
      <c r="E353" s="1">
        <v>577</v>
      </c>
      <c r="F353" s="1">
        <v>888</v>
      </c>
      <c r="G353" s="1">
        <v>131</v>
      </c>
      <c r="H353" s="22">
        <f t="shared" si="10"/>
        <v>4</v>
      </c>
    </row>
    <row r="354" spans="1:8" x14ac:dyDescent="0.25">
      <c r="A354">
        <f t="shared" si="11"/>
        <v>8</v>
      </c>
      <c r="B354" t="s">
        <v>18</v>
      </c>
      <c r="C354" s="1">
        <v>349</v>
      </c>
      <c r="D354" s="1">
        <v>58</v>
      </c>
      <c r="E354" s="1">
        <v>640</v>
      </c>
      <c r="F354" s="1">
        <v>864</v>
      </c>
      <c r="G354" s="1">
        <v>127</v>
      </c>
      <c r="H354" s="22">
        <f t="shared" si="10"/>
        <v>4</v>
      </c>
    </row>
    <row r="355" spans="1:8" x14ac:dyDescent="0.25">
      <c r="A355">
        <f t="shared" si="11"/>
        <v>8</v>
      </c>
      <c r="B355" t="s">
        <v>19</v>
      </c>
      <c r="C355" s="1">
        <v>316</v>
      </c>
      <c r="D355" s="1">
        <v>52</v>
      </c>
      <c r="E355" s="1">
        <v>265</v>
      </c>
      <c r="F355" s="1">
        <v>1032</v>
      </c>
      <c r="G355" s="1">
        <v>11</v>
      </c>
      <c r="H355" s="22">
        <f t="shared" si="10"/>
        <v>4</v>
      </c>
    </row>
    <row r="356" spans="1:8" x14ac:dyDescent="0.25">
      <c r="A356">
        <f t="shared" si="11"/>
        <v>8</v>
      </c>
      <c r="B356" t="s">
        <v>20</v>
      </c>
      <c r="C356" s="1">
        <v>100</v>
      </c>
      <c r="D356" s="1">
        <v>239</v>
      </c>
      <c r="E356" s="1">
        <v>390</v>
      </c>
      <c r="F356" s="1">
        <v>600</v>
      </c>
      <c r="G356" s="1">
        <v>22</v>
      </c>
      <c r="H356" s="22">
        <f t="shared" si="10"/>
        <v>4</v>
      </c>
    </row>
    <row r="357" spans="1:8" x14ac:dyDescent="0.25">
      <c r="A357">
        <f t="shared" si="11"/>
        <v>8</v>
      </c>
      <c r="B357" t="s">
        <v>21</v>
      </c>
      <c r="C357" s="1">
        <v>416</v>
      </c>
      <c r="D357" s="1">
        <v>151</v>
      </c>
      <c r="E357" s="1">
        <v>109</v>
      </c>
      <c r="F357" s="1">
        <v>456</v>
      </c>
      <c r="G357" s="1">
        <v>168</v>
      </c>
      <c r="H357" s="22">
        <f t="shared" si="10"/>
        <v>4</v>
      </c>
    </row>
    <row r="358" spans="1:8" x14ac:dyDescent="0.25">
      <c r="A358">
        <f t="shared" si="11"/>
        <v>8</v>
      </c>
      <c r="B358" t="s">
        <v>22</v>
      </c>
      <c r="C358" s="1">
        <v>532</v>
      </c>
      <c r="D358" s="1">
        <v>76</v>
      </c>
      <c r="E358" s="1">
        <v>47</v>
      </c>
      <c r="F358" s="1">
        <v>1128</v>
      </c>
      <c r="G358" s="1">
        <v>37</v>
      </c>
      <c r="H358" s="22">
        <f t="shared" si="10"/>
        <v>4</v>
      </c>
    </row>
    <row r="359" spans="1:8" x14ac:dyDescent="0.25">
      <c r="A359">
        <f t="shared" si="11"/>
        <v>8</v>
      </c>
      <c r="B359" t="s">
        <v>23</v>
      </c>
      <c r="C359" s="1">
        <v>432</v>
      </c>
      <c r="D359" s="1">
        <v>82</v>
      </c>
      <c r="E359" s="1">
        <v>452</v>
      </c>
      <c r="F359" s="1">
        <v>744</v>
      </c>
      <c r="G359" s="1">
        <v>138</v>
      </c>
      <c r="H359" s="22">
        <f t="shared" si="10"/>
        <v>4</v>
      </c>
    </row>
    <row r="360" spans="1:8" x14ac:dyDescent="0.25">
      <c r="A360">
        <f t="shared" si="11"/>
        <v>8</v>
      </c>
      <c r="B360" t="s">
        <v>24</v>
      </c>
      <c r="C360" s="1">
        <v>530</v>
      </c>
      <c r="D360" s="1">
        <v>682</v>
      </c>
      <c r="E360" s="1">
        <v>168</v>
      </c>
      <c r="F360" s="1">
        <v>169</v>
      </c>
      <c r="G360" s="1">
        <v>134</v>
      </c>
      <c r="H360" s="22">
        <f t="shared" si="10"/>
        <v>2</v>
      </c>
    </row>
    <row r="361" spans="1:8" x14ac:dyDescent="0.25">
      <c r="A361">
        <f t="shared" si="11"/>
        <v>8</v>
      </c>
      <c r="B361" t="s">
        <v>25</v>
      </c>
      <c r="C361" s="1">
        <v>499</v>
      </c>
      <c r="D361" s="1">
        <v>150</v>
      </c>
      <c r="E361" s="1">
        <v>1104</v>
      </c>
      <c r="F361" s="1">
        <v>70</v>
      </c>
      <c r="G361" s="1">
        <v>86</v>
      </c>
      <c r="H361" s="22">
        <f t="shared" si="10"/>
        <v>3</v>
      </c>
    </row>
    <row r="362" spans="1:8" x14ac:dyDescent="0.25">
      <c r="A362">
        <f t="shared" si="11"/>
        <v>8</v>
      </c>
      <c r="B362" t="s">
        <v>26</v>
      </c>
      <c r="C362" s="1">
        <v>733</v>
      </c>
      <c r="D362" s="1">
        <v>17</v>
      </c>
      <c r="E362" s="1">
        <v>720</v>
      </c>
      <c r="F362" s="1">
        <v>210</v>
      </c>
      <c r="G362" s="1">
        <v>15</v>
      </c>
      <c r="H362" s="22">
        <f t="shared" si="10"/>
        <v>1</v>
      </c>
    </row>
    <row r="363" spans="1:8" x14ac:dyDescent="0.25">
      <c r="A363">
        <f t="shared" si="11"/>
        <v>8</v>
      </c>
      <c r="B363" t="s">
        <v>27</v>
      </c>
      <c r="C363" s="1">
        <v>406</v>
      </c>
      <c r="D363" s="1">
        <v>133</v>
      </c>
      <c r="E363" s="1">
        <v>504</v>
      </c>
      <c r="F363" s="1">
        <v>274</v>
      </c>
      <c r="G363" s="1">
        <v>63</v>
      </c>
      <c r="H363" s="22">
        <f t="shared" si="10"/>
        <v>3</v>
      </c>
    </row>
    <row r="364" spans="1:8" x14ac:dyDescent="0.25">
      <c r="A364">
        <f t="shared" si="11"/>
        <v>8</v>
      </c>
      <c r="B364" t="s">
        <v>28</v>
      </c>
      <c r="C364" s="1">
        <v>203</v>
      </c>
      <c r="D364" s="1">
        <v>582</v>
      </c>
      <c r="E364" s="1">
        <v>96</v>
      </c>
      <c r="F364" s="1">
        <v>64</v>
      </c>
      <c r="G364" s="1">
        <v>52</v>
      </c>
      <c r="H364" s="22">
        <f t="shared" si="10"/>
        <v>2</v>
      </c>
    </row>
    <row r="365" spans="1:8" x14ac:dyDescent="0.25">
      <c r="A365">
        <f t="shared" si="11"/>
        <v>8</v>
      </c>
      <c r="B365" t="s">
        <v>29</v>
      </c>
      <c r="C365" s="1">
        <v>343</v>
      </c>
      <c r="D365" s="1">
        <v>499</v>
      </c>
      <c r="E365" s="1">
        <v>528</v>
      </c>
      <c r="F365" s="1">
        <v>12</v>
      </c>
      <c r="G365" s="1">
        <v>108</v>
      </c>
      <c r="H365" s="22">
        <f t="shared" si="10"/>
        <v>3</v>
      </c>
    </row>
    <row r="366" spans="1:8" x14ac:dyDescent="0.25">
      <c r="A366">
        <f t="shared" si="11"/>
        <v>8</v>
      </c>
      <c r="B366" t="s">
        <v>30</v>
      </c>
      <c r="C366" s="1">
        <v>250</v>
      </c>
      <c r="D366" s="1">
        <v>699</v>
      </c>
      <c r="E366" s="1">
        <v>24</v>
      </c>
      <c r="F366" s="1">
        <v>250</v>
      </c>
      <c r="G366" s="1">
        <v>30</v>
      </c>
      <c r="H366" s="22">
        <f t="shared" si="10"/>
        <v>2</v>
      </c>
    </row>
    <row r="367" spans="1:8" x14ac:dyDescent="0.25">
      <c r="A367">
        <f t="shared" si="11"/>
        <v>8</v>
      </c>
      <c r="B367" t="s">
        <v>31</v>
      </c>
      <c r="C367" s="1">
        <v>718</v>
      </c>
      <c r="D367" s="1">
        <v>482</v>
      </c>
      <c r="E367" s="1">
        <v>216</v>
      </c>
      <c r="F367" s="1">
        <v>227</v>
      </c>
      <c r="G367" s="1">
        <v>119</v>
      </c>
      <c r="H367" s="22">
        <f t="shared" si="10"/>
        <v>1</v>
      </c>
    </row>
    <row r="368" spans="1:8" x14ac:dyDescent="0.25">
      <c r="A368">
        <f t="shared" si="11"/>
        <v>8</v>
      </c>
      <c r="B368" t="s">
        <v>32</v>
      </c>
      <c r="C368" s="1">
        <v>546</v>
      </c>
      <c r="D368" s="1">
        <v>732</v>
      </c>
      <c r="E368" s="1">
        <v>288</v>
      </c>
      <c r="F368" s="1">
        <v>41</v>
      </c>
      <c r="G368" s="1">
        <v>160</v>
      </c>
      <c r="H368" s="22">
        <f t="shared" si="10"/>
        <v>2</v>
      </c>
    </row>
    <row r="369" spans="1:8" x14ac:dyDescent="0.25">
      <c r="A369">
        <f t="shared" si="11"/>
        <v>8</v>
      </c>
      <c r="B369" t="s">
        <v>33</v>
      </c>
      <c r="C369" s="1">
        <v>593</v>
      </c>
      <c r="D369" s="1">
        <v>50</v>
      </c>
      <c r="E369" s="1">
        <v>936</v>
      </c>
      <c r="F369" s="1">
        <v>140</v>
      </c>
      <c r="G369" s="1">
        <v>60</v>
      </c>
      <c r="H369" s="22">
        <f t="shared" si="10"/>
        <v>3</v>
      </c>
    </row>
    <row r="370" spans="1:8" x14ac:dyDescent="0.25">
      <c r="A370">
        <f t="shared" si="11"/>
        <v>8</v>
      </c>
      <c r="B370" t="s">
        <v>34</v>
      </c>
      <c r="C370" s="1">
        <v>624</v>
      </c>
      <c r="D370" s="1">
        <v>615</v>
      </c>
      <c r="E370" s="1">
        <v>240</v>
      </c>
      <c r="F370" s="1">
        <v>245</v>
      </c>
      <c r="G370" s="1">
        <v>4</v>
      </c>
      <c r="H370" s="22">
        <f t="shared" si="10"/>
        <v>1</v>
      </c>
    </row>
    <row r="371" spans="1:8" x14ac:dyDescent="0.25">
      <c r="A371">
        <f t="shared" si="11"/>
        <v>8</v>
      </c>
      <c r="B371" t="s">
        <v>35</v>
      </c>
      <c r="C371" s="1">
        <v>94</v>
      </c>
      <c r="D371" s="1">
        <v>383</v>
      </c>
      <c r="E371" s="1">
        <v>192</v>
      </c>
      <c r="F371" s="1">
        <v>221</v>
      </c>
      <c r="G371" s="1">
        <v>149</v>
      </c>
      <c r="H371" s="22">
        <f t="shared" si="10"/>
        <v>2</v>
      </c>
    </row>
    <row r="372" spans="1:8" x14ac:dyDescent="0.25">
      <c r="A372">
        <f t="shared" si="11"/>
        <v>8</v>
      </c>
      <c r="B372" t="s">
        <v>36</v>
      </c>
      <c r="C372" s="1">
        <v>671</v>
      </c>
      <c r="D372" s="1">
        <v>166</v>
      </c>
      <c r="E372" s="1">
        <v>408</v>
      </c>
      <c r="F372" s="1">
        <v>163</v>
      </c>
      <c r="G372" s="1">
        <v>175</v>
      </c>
      <c r="H372" s="22">
        <f t="shared" si="10"/>
        <v>1</v>
      </c>
    </row>
    <row r="373" spans="1:8" x14ac:dyDescent="0.25">
      <c r="A373">
        <f t="shared" si="11"/>
        <v>8</v>
      </c>
      <c r="B373" t="s">
        <v>37</v>
      </c>
      <c r="C373" s="1">
        <v>655</v>
      </c>
      <c r="D373" s="1">
        <v>516</v>
      </c>
      <c r="E373" s="1">
        <v>960</v>
      </c>
      <c r="F373" s="1">
        <v>186</v>
      </c>
      <c r="G373" s="1">
        <v>71</v>
      </c>
      <c r="H373" s="22">
        <f t="shared" si="10"/>
        <v>3</v>
      </c>
    </row>
    <row r="374" spans="1:8" x14ac:dyDescent="0.25">
      <c r="A374">
        <f t="shared" si="11"/>
        <v>8</v>
      </c>
      <c r="B374" t="s">
        <v>38</v>
      </c>
      <c r="C374" s="1">
        <v>234</v>
      </c>
      <c r="D374" s="1">
        <v>216</v>
      </c>
      <c r="E374" s="1">
        <v>72</v>
      </c>
      <c r="F374" s="1">
        <v>204</v>
      </c>
      <c r="G374" s="1">
        <v>105</v>
      </c>
      <c r="H374" s="22">
        <f t="shared" si="10"/>
        <v>1</v>
      </c>
    </row>
    <row r="375" spans="1:8" x14ac:dyDescent="0.25">
      <c r="A375">
        <f t="shared" si="11"/>
        <v>8</v>
      </c>
      <c r="B375" t="s">
        <v>39</v>
      </c>
      <c r="C375" s="1">
        <v>31</v>
      </c>
      <c r="D375" s="1">
        <v>782</v>
      </c>
      <c r="E375" s="1">
        <v>840</v>
      </c>
      <c r="F375" s="1">
        <v>23</v>
      </c>
      <c r="G375" s="1">
        <v>56</v>
      </c>
      <c r="H375" s="22">
        <f t="shared" si="10"/>
        <v>3</v>
      </c>
    </row>
    <row r="376" spans="1:8" x14ac:dyDescent="0.25">
      <c r="A376">
        <f t="shared" si="11"/>
        <v>8</v>
      </c>
      <c r="B376" t="s">
        <v>40</v>
      </c>
      <c r="C376" s="1">
        <v>16</v>
      </c>
      <c r="D376" s="1">
        <v>83</v>
      </c>
      <c r="E376" s="1">
        <v>672</v>
      </c>
      <c r="F376" s="1">
        <v>128</v>
      </c>
      <c r="G376" s="1">
        <v>142</v>
      </c>
      <c r="H376" s="22">
        <f t="shared" si="10"/>
        <v>3</v>
      </c>
    </row>
    <row r="377" spans="1:8" x14ac:dyDescent="0.25">
      <c r="A377">
        <f t="shared" si="11"/>
        <v>8</v>
      </c>
      <c r="B377" t="s">
        <v>41</v>
      </c>
      <c r="C377" s="1">
        <v>281</v>
      </c>
      <c r="D377" s="1">
        <v>366</v>
      </c>
      <c r="E377" s="1">
        <v>384</v>
      </c>
      <c r="F377" s="1">
        <v>157</v>
      </c>
      <c r="G377" s="1">
        <v>67</v>
      </c>
      <c r="H377" s="22">
        <f t="shared" si="10"/>
        <v>3</v>
      </c>
    </row>
    <row r="378" spans="1:8" x14ac:dyDescent="0.25">
      <c r="A378">
        <f t="shared" si="11"/>
        <v>8</v>
      </c>
      <c r="B378" t="s">
        <v>42</v>
      </c>
      <c r="C378" s="1">
        <v>437</v>
      </c>
      <c r="D378" s="1">
        <v>549</v>
      </c>
      <c r="E378" s="1">
        <v>264</v>
      </c>
      <c r="F378" s="1">
        <v>122</v>
      </c>
      <c r="G378" s="1">
        <v>49</v>
      </c>
      <c r="H378" s="22">
        <f t="shared" si="10"/>
        <v>2</v>
      </c>
    </row>
    <row r="379" spans="1:8" x14ac:dyDescent="0.25">
      <c r="A379">
        <f t="shared" si="11"/>
        <v>8</v>
      </c>
      <c r="B379" t="s">
        <v>43</v>
      </c>
      <c r="C379" s="1">
        <v>608</v>
      </c>
      <c r="D379" s="1">
        <v>200</v>
      </c>
      <c r="E379" s="1">
        <v>552</v>
      </c>
      <c r="F379" s="1">
        <v>192</v>
      </c>
      <c r="G379" s="1">
        <v>93</v>
      </c>
      <c r="H379" s="22">
        <f t="shared" si="10"/>
        <v>1</v>
      </c>
    </row>
    <row r="380" spans="1:8" x14ac:dyDescent="0.25">
      <c r="A380">
        <f t="shared" si="11"/>
        <v>8</v>
      </c>
      <c r="B380" t="s">
        <v>44</v>
      </c>
      <c r="C380" s="1">
        <v>328</v>
      </c>
      <c r="D380" s="1">
        <v>466</v>
      </c>
      <c r="E380" s="1">
        <v>816</v>
      </c>
      <c r="F380" s="1">
        <v>105</v>
      </c>
      <c r="G380" s="1">
        <v>157</v>
      </c>
      <c r="H380" s="22">
        <f t="shared" si="10"/>
        <v>3</v>
      </c>
    </row>
    <row r="381" spans="1:8" x14ac:dyDescent="0.25">
      <c r="A381">
        <f t="shared" si="11"/>
        <v>8</v>
      </c>
      <c r="B381" t="s">
        <v>45</v>
      </c>
      <c r="C381" s="1">
        <v>125</v>
      </c>
      <c r="D381" s="1">
        <v>449</v>
      </c>
      <c r="E381" s="1">
        <v>1080</v>
      </c>
      <c r="F381" s="1">
        <v>262</v>
      </c>
      <c r="G381" s="1">
        <v>90</v>
      </c>
      <c r="H381" s="22">
        <f t="shared" si="10"/>
        <v>3</v>
      </c>
    </row>
    <row r="382" spans="1:8" x14ac:dyDescent="0.25">
      <c r="A382">
        <f t="shared" si="11"/>
        <v>8</v>
      </c>
      <c r="B382" t="s">
        <v>46</v>
      </c>
      <c r="C382" s="1">
        <v>359</v>
      </c>
      <c r="D382" s="1">
        <v>249</v>
      </c>
      <c r="E382" s="1">
        <v>336</v>
      </c>
      <c r="F382" s="1">
        <v>256</v>
      </c>
      <c r="G382" s="1">
        <v>164</v>
      </c>
      <c r="H382" s="22">
        <f t="shared" si="10"/>
        <v>1</v>
      </c>
    </row>
    <row r="383" spans="1:8" x14ac:dyDescent="0.25">
      <c r="A383">
        <f t="shared" si="11"/>
        <v>8</v>
      </c>
      <c r="B383" t="s">
        <v>47</v>
      </c>
      <c r="C383" s="1">
        <v>748</v>
      </c>
      <c r="D383" s="1">
        <v>87</v>
      </c>
      <c r="E383" s="1">
        <v>484</v>
      </c>
      <c r="F383" s="1">
        <v>7</v>
      </c>
      <c r="G383" s="1">
        <v>984</v>
      </c>
      <c r="H383" s="22">
        <f t="shared" si="10"/>
        <v>5</v>
      </c>
    </row>
    <row r="384" spans="1:8" x14ac:dyDescent="0.25">
      <c r="A384">
        <f t="shared" si="11"/>
        <v>8</v>
      </c>
      <c r="B384" t="s">
        <v>48</v>
      </c>
      <c r="C384" s="1">
        <v>116</v>
      </c>
      <c r="D384" s="1">
        <v>134</v>
      </c>
      <c r="E384" s="1">
        <v>515</v>
      </c>
      <c r="F384" s="1">
        <v>78</v>
      </c>
      <c r="G384" s="1">
        <v>1056</v>
      </c>
      <c r="H384" s="22">
        <f t="shared" si="10"/>
        <v>5</v>
      </c>
    </row>
    <row r="385" spans="1:8" x14ac:dyDescent="0.25">
      <c r="A385">
        <f t="shared" si="11"/>
        <v>8</v>
      </c>
      <c r="B385" t="s">
        <v>49</v>
      </c>
      <c r="C385" s="1">
        <v>632</v>
      </c>
      <c r="D385" s="1">
        <v>215</v>
      </c>
      <c r="E385" s="1">
        <v>374</v>
      </c>
      <c r="F385" s="1">
        <v>112</v>
      </c>
      <c r="G385" s="1">
        <v>648</v>
      </c>
      <c r="H385" s="22">
        <f t="shared" si="10"/>
        <v>5</v>
      </c>
    </row>
    <row r="386" spans="1:8" x14ac:dyDescent="0.25">
      <c r="A386">
        <f t="shared" si="11"/>
        <v>8</v>
      </c>
      <c r="B386" t="s">
        <v>50</v>
      </c>
      <c r="C386" s="1">
        <v>78</v>
      </c>
      <c r="D386" s="1">
        <v>715</v>
      </c>
      <c r="E386" s="1">
        <v>696</v>
      </c>
      <c r="F386" s="1">
        <v>93</v>
      </c>
      <c r="G386" s="1">
        <v>82</v>
      </c>
      <c r="H386" s="22">
        <f t="shared" si="10"/>
        <v>2</v>
      </c>
    </row>
    <row r="387" spans="1:8" x14ac:dyDescent="0.25">
      <c r="A387">
        <f t="shared" si="11"/>
        <v>9</v>
      </c>
      <c r="B387" t="s">
        <v>3</v>
      </c>
      <c r="C387" s="1">
        <v>499</v>
      </c>
      <c r="D387" s="1">
        <v>220</v>
      </c>
      <c r="E387" s="1">
        <v>457</v>
      </c>
      <c r="F387" s="1">
        <v>54</v>
      </c>
      <c r="G387" s="1">
        <v>845</v>
      </c>
      <c r="H387" s="22">
        <f t="shared" ref="H387:H450" si="12">INDEX($C$1:$G$1,0,MATCH(MAX(C387:G387),C387:G387,0))</f>
        <v>5</v>
      </c>
    </row>
    <row r="388" spans="1:8" x14ac:dyDescent="0.25">
      <c r="A388">
        <f t="shared" si="11"/>
        <v>9</v>
      </c>
      <c r="B388" t="s">
        <v>4</v>
      </c>
      <c r="C388" s="1">
        <v>408</v>
      </c>
      <c r="D388" s="1">
        <v>52</v>
      </c>
      <c r="E388" s="1">
        <v>335</v>
      </c>
      <c r="F388" s="1">
        <v>93</v>
      </c>
      <c r="G388" s="1">
        <v>822</v>
      </c>
      <c r="H388" s="22">
        <f t="shared" si="12"/>
        <v>5</v>
      </c>
    </row>
    <row r="389" spans="1:8" x14ac:dyDescent="0.25">
      <c r="A389">
        <f t="shared" ref="A389:A452" si="13">IF((ROW()-3)/48=INT((ROW()-3)/48),A388+1,A388)</f>
        <v>9</v>
      </c>
      <c r="B389" t="s">
        <v>5</v>
      </c>
      <c r="C389" s="1">
        <v>197</v>
      </c>
      <c r="D389" s="1">
        <v>42</v>
      </c>
      <c r="E389" s="1">
        <v>563</v>
      </c>
      <c r="F389" s="1">
        <v>176</v>
      </c>
      <c r="G389" s="1">
        <v>1080</v>
      </c>
      <c r="H389" s="22">
        <f t="shared" si="12"/>
        <v>5</v>
      </c>
    </row>
    <row r="390" spans="1:8" x14ac:dyDescent="0.25">
      <c r="A390">
        <f t="shared" si="13"/>
        <v>9</v>
      </c>
      <c r="B390" t="s">
        <v>6</v>
      </c>
      <c r="C390" s="1">
        <v>560</v>
      </c>
      <c r="D390" s="1">
        <v>241</v>
      </c>
      <c r="E390" s="1">
        <v>30</v>
      </c>
      <c r="F390" s="1">
        <v>195</v>
      </c>
      <c r="G390" s="1">
        <v>634</v>
      </c>
      <c r="H390" s="22">
        <f t="shared" si="12"/>
        <v>5</v>
      </c>
    </row>
    <row r="391" spans="1:8" x14ac:dyDescent="0.25">
      <c r="A391">
        <f t="shared" si="13"/>
        <v>9</v>
      </c>
      <c r="B391" t="s">
        <v>7</v>
      </c>
      <c r="C391" s="1">
        <v>151</v>
      </c>
      <c r="D391" s="1">
        <v>73</v>
      </c>
      <c r="E391" s="1">
        <v>441</v>
      </c>
      <c r="F391" s="1">
        <v>181</v>
      </c>
      <c r="G391" s="1">
        <v>775</v>
      </c>
      <c r="H391" s="22">
        <f t="shared" si="12"/>
        <v>5</v>
      </c>
    </row>
    <row r="392" spans="1:8" x14ac:dyDescent="0.25">
      <c r="A392">
        <f t="shared" si="13"/>
        <v>9</v>
      </c>
      <c r="B392" t="s">
        <v>8</v>
      </c>
      <c r="C392" s="1">
        <v>333</v>
      </c>
      <c r="D392" s="1">
        <v>517</v>
      </c>
      <c r="E392" s="1">
        <v>258</v>
      </c>
      <c r="F392" s="1">
        <v>152</v>
      </c>
      <c r="G392" s="1">
        <v>229</v>
      </c>
      <c r="H392" s="22">
        <f t="shared" si="12"/>
        <v>2</v>
      </c>
    </row>
    <row r="393" spans="1:8" x14ac:dyDescent="0.25">
      <c r="A393">
        <f t="shared" si="13"/>
        <v>9</v>
      </c>
      <c r="B393" t="s">
        <v>9</v>
      </c>
      <c r="C393" s="1">
        <v>544</v>
      </c>
      <c r="D393" s="1">
        <v>540</v>
      </c>
      <c r="E393" s="1">
        <v>609</v>
      </c>
      <c r="F393" s="1">
        <v>215</v>
      </c>
      <c r="G393" s="1">
        <v>39</v>
      </c>
      <c r="H393" s="22">
        <f t="shared" si="12"/>
        <v>3</v>
      </c>
    </row>
    <row r="394" spans="1:8" x14ac:dyDescent="0.25">
      <c r="A394">
        <f t="shared" si="13"/>
        <v>9</v>
      </c>
      <c r="B394" t="s">
        <v>10</v>
      </c>
      <c r="C394" s="1">
        <v>228</v>
      </c>
      <c r="D394" s="1">
        <v>302</v>
      </c>
      <c r="E394" s="1">
        <v>282</v>
      </c>
      <c r="F394" s="1">
        <v>63</v>
      </c>
      <c r="G394" s="1">
        <v>59</v>
      </c>
      <c r="H394" s="22">
        <f t="shared" si="12"/>
        <v>2</v>
      </c>
    </row>
    <row r="395" spans="1:8" x14ac:dyDescent="0.25">
      <c r="A395">
        <f t="shared" si="13"/>
        <v>9</v>
      </c>
      <c r="B395" t="s">
        <v>11</v>
      </c>
      <c r="C395" s="1">
        <v>487</v>
      </c>
      <c r="D395" s="1">
        <v>121</v>
      </c>
      <c r="E395" s="1">
        <v>517</v>
      </c>
      <c r="F395" s="1">
        <v>110</v>
      </c>
      <c r="G395" s="1">
        <v>68</v>
      </c>
      <c r="H395" s="22">
        <f t="shared" si="12"/>
        <v>3</v>
      </c>
    </row>
    <row r="396" spans="1:8" x14ac:dyDescent="0.25">
      <c r="A396">
        <f t="shared" si="13"/>
        <v>9</v>
      </c>
      <c r="B396" t="s">
        <v>12</v>
      </c>
      <c r="C396" s="1">
        <v>639</v>
      </c>
      <c r="D396" s="1">
        <v>484</v>
      </c>
      <c r="E396" s="1">
        <v>470</v>
      </c>
      <c r="F396" s="1">
        <v>131</v>
      </c>
      <c r="G396" s="1">
        <v>151</v>
      </c>
      <c r="H396" s="22">
        <f t="shared" si="12"/>
        <v>1</v>
      </c>
    </row>
    <row r="397" spans="1:8" x14ac:dyDescent="0.25">
      <c r="A397">
        <f t="shared" si="13"/>
        <v>9</v>
      </c>
      <c r="B397" t="s">
        <v>13</v>
      </c>
      <c r="C397" s="1">
        <v>533</v>
      </c>
      <c r="D397" s="1">
        <v>650</v>
      </c>
      <c r="E397" s="1">
        <v>164</v>
      </c>
      <c r="F397" s="1">
        <v>194</v>
      </c>
      <c r="G397" s="1">
        <v>44</v>
      </c>
      <c r="H397" s="22">
        <f t="shared" si="12"/>
        <v>2</v>
      </c>
    </row>
    <row r="398" spans="1:8" x14ac:dyDescent="0.25">
      <c r="A398">
        <f t="shared" si="13"/>
        <v>9</v>
      </c>
      <c r="B398" t="s">
        <v>14</v>
      </c>
      <c r="C398" s="1">
        <v>380</v>
      </c>
      <c r="D398" s="1">
        <v>348</v>
      </c>
      <c r="E398" s="1">
        <v>23</v>
      </c>
      <c r="F398" s="1">
        <v>147</v>
      </c>
      <c r="G398" s="1">
        <v>24</v>
      </c>
      <c r="H398" s="22">
        <f t="shared" si="12"/>
        <v>1</v>
      </c>
    </row>
    <row r="399" spans="1:8" x14ac:dyDescent="0.25">
      <c r="A399">
        <f t="shared" si="13"/>
        <v>9</v>
      </c>
      <c r="B399" t="s">
        <v>15</v>
      </c>
      <c r="C399" s="1">
        <v>15</v>
      </c>
      <c r="D399" s="1">
        <v>393</v>
      </c>
      <c r="E399" s="1">
        <v>1033</v>
      </c>
      <c r="F399" s="1">
        <v>10</v>
      </c>
      <c r="G399" s="1">
        <v>171</v>
      </c>
      <c r="H399" s="22">
        <f t="shared" si="12"/>
        <v>3</v>
      </c>
    </row>
    <row r="400" spans="1:8" x14ac:dyDescent="0.25">
      <c r="A400">
        <f t="shared" si="13"/>
        <v>9</v>
      </c>
      <c r="B400" t="s">
        <v>16</v>
      </c>
      <c r="C400" s="1">
        <v>274</v>
      </c>
      <c r="D400" s="1">
        <v>106</v>
      </c>
      <c r="E400" s="1">
        <v>1104</v>
      </c>
      <c r="F400" s="1">
        <v>79</v>
      </c>
      <c r="G400" s="1">
        <v>224</v>
      </c>
      <c r="H400" s="22">
        <f t="shared" si="12"/>
        <v>3</v>
      </c>
    </row>
    <row r="401" spans="1:8" x14ac:dyDescent="0.25">
      <c r="A401">
        <f t="shared" si="13"/>
        <v>9</v>
      </c>
      <c r="B401" t="s">
        <v>17</v>
      </c>
      <c r="C401" s="1">
        <v>715</v>
      </c>
      <c r="D401" s="1">
        <v>287</v>
      </c>
      <c r="E401" s="1">
        <v>704</v>
      </c>
      <c r="F401" s="1">
        <v>68</v>
      </c>
      <c r="G401" s="1">
        <v>185</v>
      </c>
      <c r="H401" s="22">
        <f t="shared" si="12"/>
        <v>1</v>
      </c>
    </row>
    <row r="402" spans="1:8" x14ac:dyDescent="0.25">
      <c r="A402">
        <f t="shared" si="13"/>
        <v>9</v>
      </c>
      <c r="B402" t="s">
        <v>18</v>
      </c>
      <c r="C402" s="1">
        <v>502</v>
      </c>
      <c r="D402" s="1">
        <v>76</v>
      </c>
      <c r="E402" s="1">
        <v>939</v>
      </c>
      <c r="F402" s="1">
        <v>16</v>
      </c>
      <c r="G402" s="1">
        <v>49</v>
      </c>
      <c r="H402" s="22">
        <f t="shared" si="12"/>
        <v>3</v>
      </c>
    </row>
    <row r="403" spans="1:8" x14ac:dyDescent="0.25">
      <c r="A403">
        <f t="shared" si="13"/>
        <v>9</v>
      </c>
      <c r="B403" t="s">
        <v>19</v>
      </c>
      <c r="C403" s="1">
        <v>122</v>
      </c>
      <c r="D403" s="1">
        <v>529</v>
      </c>
      <c r="E403" s="1">
        <v>446</v>
      </c>
      <c r="F403" s="1">
        <v>89</v>
      </c>
      <c r="G403" s="1">
        <v>117</v>
      </c>
      <c r="H403" s="22">
        <f t="shared" si="12"/>
        <v>2</v>
      </c>
    </row>
    <row r="404" spans="1:8" x14ac:dyDescent="0.25">
      <c r="A404">
        <f t="shared" si="13"/>
        <v>9</v>
      </c>
      <c r="B404" t="s">
        <v>20</v>
      </c>
      <c r="C404" s="1">
        <v>304</v>
      </c>
      <c r="D404" s="1">
        <v>30</v>
      </c>
      <c r="E404" s="1">
        <v>611</v>
      </c>
      <c r="F404" s="1">
        <v>226</v>
      </c>
      <c r="G404" s="1">
        <v>215</v>
      </c>
      <c r="H404" s="22">
        <f t="shared" si="12"/>
        <v>3</v>
      </c>
    </row>
    <row r="405" spans="1:8" x14ac:dyDescent="0.25">
      <c r="A405">
        <f t="shared" si="13"/>
        <v>9</v>
      </c>
      <c r="B405" t="s">
        <v>21</v>
      </c>
      <c r="C405" s="1">
        <v>243</v>
      </c>
      <c r="D405" s="1">
        <v>212</v>
      </c>
      <c r="E405" s="1">
        <v>892</v>
      </c>
      <c r="F405" s="1">
        <v>236</v>
      </c>
      <c r="G405" s="1">
        <v>190</v>
      </c>
      <c r="H405" s="22">
        <f t="shared" si="12"/>
        <v>3</v>
      </c>
    </row>
    <row r="406" spans="1:8" x14ac:dyDescent="0.25">
      <c r="A406">
        <f t="shared" si="13"/>
        <v>9</v>
      </c>
      <c r="B406" t="s">
        <v>22</v>
      </c>
      <c r="C406" s="1">
        <v>152</v>
      </c>
      <c r="D406" s="1">
        <v>696</v>
      </c>
      <c r="E406" s="1">
        <v>423</v>
      </c>
      <c r="F406" s="1">
        <v>231</v>
      </c>
      <c r="G406" s="1">
        <v>137</v>
      </c>
      <c r="H406" s="22">
        <f t="shared" si="12"/>
        <v>2</v>
      </c>
    </row>
    <row r="407" spans="1:8" x14ac:dyDescent="0.25">
      <c r="A407">
        <f t="shared" si="13"/>
        <v>9</v>
      </c>
      <c r="B407" t="s">
        <v>23</v>
      </c>
      <c r="C407" s="1">
        <v>61</v>
      </c>
      <c r="D407" s="1">
        <v>590</v>
      </c>
      <c r="E407" s="1">
        <v>399</v>
      </c>
      <c r="F407" s="1">
        <v>199</v>
      </c>
      <c r="G407" s="1">
        <v>29</v>
      </c>
      <c r="H407" s="22">
        <f t="shared" si="12"/>
        <v>2</v>
      </c>
    </row>
    <row r="408" spans="1:8" x14ac:dyDescent="0.25">
      <c r="A408">
        <f t="shared" si="13"/>
        <v>9</v>
      </c>
      <c r="B408" t="s">
        <v>24</v>
      </c>
      <c r="C408" s="1">
        <v>594</v>
      </c>
      <c r="D408" s="1">
        <v>45</v>
      </c>
      <c r="E408" s="1">
        <v>1057</v>
      </c>
      <c r="F408" s="1">
        <v>142</v>
      </c>
      <c r="G408" s="1">
        <v>107</v>
      </c>
      <c r="H408" s="22">
        <f t="shared" si="12"/>
        <v>3</v>
      </c>
    </row>
    <row r="409" spans="1:8" x14ac:dyDescent="0.25">
      <c r="A409">
        <f t="shared" si="13"/>
        <v>9</v>
      </c>
      <c r="B409" t="s">
        <v>25</v>
      </c>
      <c r="C409" s="1">
        <v>76</v>
      </c>
      <c r="D409" s="1">
        <v>257</v>
      </c>
      <c r="E409" s="1">
        <v>188</v>
      </c>
      <c r="F409" s="1">
        <v>173</v>
      </c>
      <c r="G409" s="1">
        <v>98</v>
      </c>
      <c r="H409" s="22">
        <f t="shared" si="12"/>
        <v>2</v>
      </c>
    </row>
    <row r="410" spans="1:8" x14ac:dyDescent="0.25">
      <c r="A410">
        <f t="shared" si="13"/>
        <v>9</v>
      </c>
      <c r="B410" t="s">
        <v>26</v>
      </c>
      <c r="C410" s="1">
        <v>213</v>
      </c>
      <c r="D410" s="1">
        <v>272</v>
      </c>
      <c r="E410" s="1">
        <v>1010</v>
      </c>
      <c r="F410" s="1">
        <v>126</v>
      </c>
      <c r="G410" s="1">
        <v>200</v>
      </c>
      <c r="H410" s="22">
        <f t="shared" si="12"/>
        <v>3</v>
      </c>
    </row>
    <row r="411" spans="1:8" x14ac:dyDescent="0.25">
      <c r="A411">
        <f t="shared" si="13"/>
        <v>9</v>
      </c>
      <c r="B411" t="s">
        <v>27</v>
      </c>
      <c r="C411" s="1">
        <v>91</v>
      </c>
      <c r="D411" s="1">
        <v>15</v>
      </c>
      <c r="E411" s="1">
        <v>681</v>
      </c>
      <c r="F411" s="1">
        <v>84</v>
      </c>
      <c r="G411" s="1">
        <v>166</v>
      </c>
      <c r="H411" s="22">
        <f t="shared" si="12"/>
        <v>3</v>
      </c>
    </row>
    <row r="412" spans="1:8" x14ac:dyDescent="0.25">
      <c r="A412">
        <f t="shared" si="13"/>
        <v>9</v>
      </c>
      <c r="B412" t="s">
        <v>28</v>
      </c>
      <c r="C412" s="1">
        <v>548</v>
      </c>
      <c r="D412" s="1">
        <v>363</v>
      </c>
      <c r="E412" s="1">
        <v>658</v>
      </c>
      <c r="F412" s="1">
        <v>210</v>
      </c>
      <c r="G412" s="1">
        <v>205</v>
      </c>
      <c r="H412" s="22">
        <f t="shared" si="12"/>
        <v>3</v>
      </c>
    </row>
    <row r="413" spans="1:8" x14ac:dyDescent="0.25">
      <c r="A413">
        <f t="shared" si="13"/>
        <v>9</v>
      </c>
      <c r="B413" t="s">
        <v>29</v>
      </c>
      <c r="C413" s="1">
        <v>730</v>
      </c>
      <c r="D413" s="1">
        <v>514</v>
      </c>
      <c r="E413" s="1">
        <v>70</v>
      </c>
      <c r="F413" s="1">
        <v>37</v>
      </c>
      <c r="G413" s="1">
        <v>127</v>
      </c>
      <c r="H413" s="22">
        <f t="shared" si="12"/>
        <v>1</v>
      </c>
    </row>
    <row r="414" spans="1:8" x14ac:dyDescent="0.25">
      <c r="A414">
        <f t="shared" si="13"/>
        <v>9</v>
      </c>
      <c r="B414" t="s">
        <v>30</v>
      </c>
      <c r="C414" s="1">
        <v>426</v>
      </c>
      <c r="D414" s="1">
        <v>605</v>
      </c>
      <c r="E414" s="1">
        <v>305</v>
      </c>
      <c r="F414" s="1">
        <v>157</v>
      </c>
      <c r="G414" s="1">
        <v>156</v>
      </c>
      <c r="H414" s="22">
        <f t="shared" si="12"/>
        <v>2</v>
      </c>
    </row>
    <row r="415" spans="1:8" x14ac:dyDescent="0.25">
      <c r="A415">
        <f t="shared" si="13"/>
        <v>9</v>
      </c>
      <c r="B415" t="s">
        <v>31</v>
      </c>
      <c r="C415" s="1">
        <v>411</v>
      </c>
      <c r="D415" s="1">
        <v>575</v>
      </c>
      <c r="E415" s="1">
        <v>798</v>
      </c>
      <c r="F415" s="1">
        <v>105</v>
      </c>
      <c r="G415" s="1">
        <v>146</v>
      </c>
      <c r="H415" s="22">
        <f t="shared" si="12"/>
        <v>3</v>
      </c>
    </row>
    <row r="416" spans="1:8" x14ac:dyDescent="0.25">
      <c r="A416">
        <f t="shared" si="13"/>
        <v>9</v>
      </c>
      <c r="B416" t="s">
        <v>32</v>
      </c>
      <c r="C416" s="1">
        <v>350</v>
      </c>
      <c r="D416" s="1">
        <v>136</v>
      </c>
      <c r="E416" s="1">
        <v>376</v>
      </c>
      <c r="F416" s="1">
        <v>58</v>
      </c>
      <c r="G416" s="1">
        <v>83</v>
      </c>
      <c r="H416" s="22">
        <f t="shared" si="12"/>
        <v>3</v>
      </c>
    </row>
    <row r="417" spans="1:8" x14ac:dyDescent="0.25">
      <c r="A417">
        <f t="shared" si="13"/>
        <v>9</v>
      </c>
      <c r="B417" t="s">
        <v>33</v>
      </c>
      <c r="C417" s="1">
        <v>700</v>
      </c>
      <c r="D417" s="1">
        <v>620</v>
      </c>
      <c r="E417" s="1">
        <v>564</v>
      </c>
      <c r="F417" s="1">
        <v>168</v>
      </c>
      <c r="G417" s="1">
        <v>102</v>
      </c>
      <c r="H417" s="22">
        <f t="shared" si="12"/>
        <v>1</v>
      </c>
    </row>
    <row r="418" spans="1:8" x14ac:dyDescent="0.25">
      <c r="A418">
        <f t="shared" si="13"/>
        <v>9</v>
      </c>
      <c r="B418" t="s">
        <v>34</v>
      </c>
      <c r="C418" s="1">
        <v>365</v>
      </c>
      <c r="D418" s="1">
        <v>318</v>
      </c>
      <c r="E418" s="1">
        <v>751</v>
      </c>
      <c r="F418" s="1">
        <v>184</v>
      </c>
      <c r="G418" s="1">
        <v>5</v>
      </c>
      <c r="H418" s="22">
        <f t="shared" si="12"/>
        <v>3</v>
      </c>
    </row>
    <row r="419" spans="1:8" x14ac:dyDescent="0.25">
      <c r="A419">
        <f t="shared" si="13"/>
        <v>9</v>
      </c>
      <c r="B419" t="s">
        <v>35</v>
      </c>
      <c r="C419" s="1">
        <v>320</v>
      </c>
      <c r="D419" s="1">
        <v>378</v>
      </c>
      <c r="E419" s="1">
        <v>869</v>
      </c>
      <c r="F419" s="1">
        <v>205</v>
      </c>
      <c r="G419" s="1">
        <v>34</v>
      </c>
      <c r="H419" s="22">
        <f t="shared" si="12"/>
        <v>3</v>
      </c>
    </row>
    <row r="420" spans="1:8" x14ac:dyDescent="0.25">
      <c r="A420">
        <f t="shared" si="13"/>
        <v>9</v>
      </c>
      <c r="B420" t="s">
        <v>36</v>
      </c>
      <c r="C420" s="1">
        <v>198</v>
      </c>
      <c r="D420" s="1">
        <v>711</v>
      </c>
      <c r="E420" s="1">
        <v>47</v>
      </c>
      <c r="F420" s="1">
        <v>31</v>
      </c>
      <c r="G420" s="1">
        <v>88</v>
      </c>
      <c r="H420" s="22">
        <f t="shared" si="12"/>
        <v>2</v>
      </c>
    </row>
    <row r="421" spans="1:8" x14ac:dyDescent="0.25">
      <c r="A421">
        <f t="shared" si="13"/>
        <v>9</v>
      </c>
      <c r="B421" t="s">
        <v>37</v>
      </c>
      <c r="C421" s="1">
        <v>46</v>
      </c>
      <c r="D421" s="1">
        <v>469</v>
      </c>
      <c r="E421" s="1">
        <v>1127</v>
      </c>
      <c r="F421" s="1">
        <v>115</v>
      </c>
      <c r="G421" s="1">
        <v>220</v>
      </c>
      <c r="H421" s="22">
        <f t="shared" si="12"/>
        <v>3</v>
      </c>
    </row>
    <row r="422" spans="1:8" x14ac:dyDescent="0.25">
      <c r="A422">
        <f t="shared" si="13"/>
        <v>9</v>
      </c>
      <c r="B422" t="s">
        <v>38</v>
      </c>
      <c r="C422" s="1">
        <v>107</v>
      </c>
      <c r="D422" s="1">
        <v>91</v>
      </c>
      <c r="E422" s="1">
        <v>117</v>
      </c>
      <c r="F422" s="1">
        <v>136</v>
      </c>
      <c r="G422" s="1">
        <v>132</v>
      </c>
      <c r="H422" s="22">
        <f t="shared" si="12"/>
        <v>4</v>
      </c>
    </row>
    <row r="423" spans="1:8" x14ac:dyDescent="0.25">
      <c r="A423">
        <f t="shared" si="13"/>
        <v>9</v>
      </c>
      <c r="B423" t="s">
        <v>39</v>
      </c>
      <c r="C423" s="1">
        <v>654</v>
      </c>
      <c r="D423" s="1">
        <v>423</v>
      </c>
      <c r="E423" s="1">
        <v>916</v>
      </c>
      <c r="F423" s="1">
        <v>178</v>
      </c>
      <c r="G423" s="1">
        <v>112</v>
      </c>
      <c r="H423" s="22">
        <f t="shared" si="12"/>
        <v>3</v>
      </c>
    </row>
    <row r="424" spans="1:8" x14ac:dyDescent="0.25">
      <c r="A424">
        <f t="shared" si="13"/>
        <v>9</v>
      </c>
      <c r="B424" t="s">
        <v>40</v>
      </c>
      <c r="C424" s="1">
        <v>472</v>
      </c>
      <c r="D424" s="1">
        <v>60</v>
      </c>
      <c r="E424" s="1">
        <v>493</v>
      </c>
      <c r="F424" s="1">
        <v>247</v>
      </c>
      <c r="G424" s="1">
        <v>20</v>
      </c>
      <c r="H424" s="22">
        <f t="shared" si="12"/>
        <v>3</v>
      </c>
    </row>
    <row r="425" spans="1:8" x14ac:dyDescent="0.25">
      <c r="A425">
        <f t="shared" si="13"/>
        <v>9</v>
      </c>
      <c r="B425" t="s">
        <v>41</v>
      </c>
      <c r="C425" s="1">
        <v>259</v>
      </c>
      <c r="D425" s="1">
        <v>227</v>
      </c>
      <c r="E425" s="1">
        <v>587</v>
      </c>
      <c r="F425" s="1">
        <v>189</v>
      </c>
      <c r="G425" s="1">
        <v>141</v>
      </c>
      <c r="H425" s="22">
        <f t="shared" si="12"/>
        <v>3</v>
      </c>
    </row>
    <row r="426" spans="1:8" x14ac:dyDescent="0.25">
      <c r="A426">
        <f t="shared" si="13"/>
        <v>9</v>
      </c>
      <c r="B426" t="s">
        <v>42</v>
      </c>
      <c r="C426" s="1">
        <v>624</v>
      </c>
      <c r="D426" s="1">
        <v>181</v>
      </c>
      <c r="E426" s="1">
        <v>352</v>
      </c>
      <c r="F426" s="1">
        <v>252</v>
      </c>
      <c r="G426" s="1">
        <v>234</v>
      </c>
      <c r="H426" s="22">
        <f t="shared" si="12"/>
        <v>1</v>
      </c>
    </row>
    <row r="427" spans="1:8" x14ac:dyDescent="0.25">
      <c r="A427">
        <f t="shared" si="13"/>
        <v>9</v>
      </c>
      <c r="B427" t="s">
        <v>43</v>
      </c>
      <c r="C427" s="1">
        <v>578</v>
      </c>
      <c r="D427" s="1">
        <v>635</v>
      </c>
      <c r="E427" s="1">
        <v>94</v>
      </c>
      <c r="F427" s="1">
        <v>100</v>
      </c>
      <c r="G427" s="1">
        <v>210</v>
      </c>
      <c r="H427" s="22">
        <f t="shared" si="12"/>
        <v>2</v>
      </c>
    </row>
    <row r="428" spans="1:8" x14ac:dyDescent="0.25">
      <c r="A428">
        <f t="shared" si="13"/>
        <v>9</v>
      </c>
      <c r="B428" t="s">
        <v>44</v>
      </c>
      <c r="C428" s="1">
        <v>137</v>
      </c>
      <c r="D428" s="1">
        <v>454</v>
      </c>
      <c r="E428" s="1">
        <v>211</v>
      </c>
      <c r="F428" s="1">
        <v>21</v>
      </c>
      <c r="G428" s="1">
        <v>63</v>
      </c>
      <c r="H428" s="22">
        <f t="shared" si="12"/>
        <v>2</v>
      </c>
    </row>
    <row r="429" spans="1:8" x14ac:dyDescent="0.25">
      <c r="A429">
        <f t="shared" si="13"/>
        <v>9</v>
      </c>
      <c r="B429" t="s">
        <v>45</v>
      </c>
      <c r="C429" s="1">
        <v>183</v>
      </c>
      <c r="D429" s="1">
        <v>681</v>
      </c>
      <c r="E429" s="1">
        <v>963</v>
      </c>
      <c r="F429" s="1">
        <v>163</v>
      </c>
      <c r="G429" s="1">
        <v>15</v>
      </c>
      <c r="H429" s="22">
        <f t="shared" si="12"/>
        <v>3</v>
      </c>
    </row>
    <row r="430" spans="1:8" x14ac:dyDescent="0.25">
      <c r="A430">
        <f t="shared" si="13"/>
        <v>9</v>
      </c>
      <c r="B430" t="s">
        <v>46</v>
      </c>
      <c r="C430" s="1">
        <v>289</v>
      </c>
      <c r="D430" s="1">
        <v>665</v>
      </c>
      <c r="E430" s="1">
        <v>986</v>
      </c>
      <c r="F430" s="1">
        <v>94</v>
      </c>
      <c r="G430" s="1">
        <v>78</v>
      </c>
      <c r="H430" s="22">
        <f t="shared" si="12"/>
        <v>3</v>
      </c>
    </row>
    <row r="431" spans="1:8" x14ac:dyDescent="0.25">
      <c r="A431">
        <f t="shared" si="13"/>
        <v>9</v>
      </c>
      <c r="B431" t="s">
        <v>47</v>
      </c>
      <c r="C431" s="1">
        <v>685</v>
      </c>
      <c r="D431" s="1">
        <v>242</v>
      </c>
      <c r="E431" s="1">
        <v>329</v>
      </c>
      <c r="F431" s="1">
        <v>5</v>
      </c>
      <c r="G431" s="1">
        <v>10</v>
      </c>
      <c r="H431" s="22">
        <f t="shared" si="12"/>
        <v>1</v>
      </c>
    </row>
    <row r="432" spans="1:8" x14ac:dyDescent="0.25">
      <c r="A432">
        <f t="shared" si="13"/>
        <v>9</v>
      </c>
      <c r="B432" t="s">
        <v>48</v>
      </c>
      <c r="C432" s="1">
        <v>670</v>
      </c>
      <c r="D432" s="1">
        <v>439</v>
      </c>
      <c r="E432" s="1">
        <v>141</v>
      </c>
      <c r="F432" s="1">
        <v>47</v>
      </c>
      <c r="G432" s="1">
        <v>73</v>
      </c>
      <c r="H432" s="22">
        <f t="shared" si="12"/>
        <v>1</v>
      </c>
    </row>
    <row r="433" spans="1:8" x14ac:dyDescent="0.25">
      <c r="A433">
        <f t="shared" si="13"/>
        <v>9</v>
      </c>
      <c r="B433" t="s">
        <v>49</v>
      </c>
      <c r="C433" s="1">
        <v>167</v>
      </c>
      <c r="D433" s="1">
        <v>726</v>
      </c>
      <c r="E433" s="1">
        <v>235</v>
      </c>
      <c r="F433" s="1">
        <v>121</v>
      </c>
      <c r="G433" s="1">
        <v>122</v>
      </c>
      <c r="H433" s="22">
        <f t="shared" si="12"/>
        <v>2</v>
      </c>
    </row>
    <row r="434" spans="1:8" x14ac:dyDescent="0.25">
      <c r="A434">
        <f t="shared" si="13"/>
        <v>9</v>
      </c>
      <c r="B434" t="s">
        <v>50</v>
      </c>
      <c r="C434" s="1">
        <v>396</v>
      </c>
      <c r="D434" s="1">
        <v>166</v>
      </c>
      <c r="E434" s="1">
        <v>728</v>
      </c>
      <c r="F434" s="1">
        <v>26</v>
      </c>
      <c r="G434" s="1">
        <v>161</v>
      </c>
      <c r="H434" s="22">
        <f t="shared" si="12"/>
        <v>3</v>
      </c>
    </row>
    <row r="435" spans="1:8" x14ac:dyDescent="0.25">
      <c r="A435">
        <f t="shared" si="13"/>
        <v>10</v>
      </c>
      <c r="B435" t="s">
        <v>3</v>
      </c>
      <c r="C435" s="1">
        <v>394</v>
      </c>
      <c r="D435" s="1">
        <v>459</v>
      </c>
      <c r="E435" s="1">
        <v>217</v>
      </c>
      <c r="F435" s="1">
        <v>222</v>
      </c>
      <c r="G435" s="1">
        <v>82</v>
      </c>
      <c r="H435" s="22">
        <f t="shared" si="12"/>
        <v>2</v>
      </c>
    </row>
    <row r="436" spans="1:8" x14ac:dyDescent="0.25">
      <c r="A436">
        <f t="shared" si="13"/>
        <v>10</v>
      </c>
      <c r="B436" t="s">
        <v>4</v>
      </c>
      <c r="C436" s="1">
        <v>126</v>
      </c>
      <c r="D436" s="1">
        <v>131</v>
      </c>
      <c r="E436" s="1">
        <v>145</v>
      </c>
      <c r="F436" s="1">
        <v>78</v>
      </c>
      <c r="G436" s="1">
        <v>172</v>
      </c>
      <c r="H436" s="22">
        <f t="shared" si="12"/>
        <v>5</v>
      </c>
    </row>
    <row r="437" spans="1:8" x14ac:dyDescent="0.25">
      <c r="A437">
        <f t="shared" si="13"/>
        <v>10</v>
      </c>
      <c r="B437" t="s">
        <v>5</v>
      </c>
      <c r="C437" s="1">
        <v>693</v>
      </c>
      <c r="D437" s="1">
        <v>524</v>
      </c>
      <c r="E437" s="1">
        <v>892</v>
      </c>
      <c r="F437" s="1">
        <v>186</v>
      </c>
      <c r="G437" s="1">
        <v>110</v>
      </c>
      <c r="H437" s="22">
        <f t="shared" si="12"/>
        <v>3</v>
      </c>
    </row>
    <row r="438" spans="1:8" x14ac:dyDescent="0.25">
      <c r="A438">
        <f t="shared" si="13"/>
        <v>10</v>
      </c>
      <c r="B438" t="s">
        <v>6</v>
      </c>
      <c r="C438" s="1">
        <v>362</v>
      </c>
      <c r="D438" s="1">
        <v>82</v>
      </c>
      <c r="E438" s="1">
        <v>169</v>
      </c>
      <c r="F438" s="1">
        <v>156</v>
      </c>
      <c r="G438" s="1">
        <v>118</v>
      </c>
      <c r="H438" s="22">
        <f t="shared" si="12"/>
        <v>1</v>
      </c>
    </row>
    <row r="439" spans="1:8" x14ac:dyDescent="0.25">
      <c r="A439">
        <f t="shared" si="13"/>
        <v>10</v>
      </c>
      <c r="B439" t="s">
        <v>7</v>
      </c>
      <c r="C439" s="1">
        <v>475</v>
      </c>
      <c r="D439" s="1">
        <v>120</v>
      </c>
      <c r="E439" s="1">
        <v>94</v>
      </c>
      <c r="F439" s="1">
        <v>1013</v>
      </c>
      <c r="G439" s="1">
        <v>20</v>
      </c>
      <c r="H439" s="22">
        <f t="shared" si="12"/>
        <v>4</v>
      </c>
    </row>
    <row r="440" spans="1:8" x14ac:dyDescent="0.25">
      <c r="A440">
        <f t="shared" si="13"/>
        <v>10</v>
      </c>
      <c r="B440" t="s">
        <v>8</v>
      </c>
      <c r="C440" s="1">
        <v>213</v>
      </c>
      <c r="D440" s="1">
        <v>144</v>
      </c>
      <c r="E440" s="1">
        <v>173</v>
      </c>
      <c r="F440" s="1">
        <v>844</v>
      </c>
      <c r="G440" s="1">
        <v>53</v>
      </c>
      <c r="H440" s="22">
        <f t="shared" si="12"/>
        <v>4</v>
      </c>
    </row>
    <row r="441" spans="1:8" x14ac:dyDescent="0.25">
      <c r="A441">
        <f t="shared" si="13"/>
        <v>10</v>
      </c>
      <c r="B441" t="s">
        <v>9</v>
      </c>
      <c r="C441" s="1">
        <v>688</v>
      </c>
      <c r="D441" s="1">
        <v>114</v>
      </c>
      <c r="E441" s="1">
        <v>63</v>
      </c>
      <c r="F441" s="1">
        <v>820</v>
      </c>
      <c r="G441" s="1">
        <v>106</v>
      </c>
      <c r="H441" s="22">
        <f t="shared" si="12"/>
        <v>4</v>
      </c>
    </row>
    <row r="442" spans="1:8" x14ac:dyDescent="0.25">
      <c r="A442">
        <f t="shared" si="13"/>
        <v>10</v>
      </c>
      <c r="B442" t="s">
        <v>10</v>
      </c>
      <c r="C442" s="1">
        <v>426</v>
      </c>
      <c r="D442" s="1">
        <v>138</v>
      </c>
      <c r="E442" s="1">
        <v>331</v>
      </c>
      <c r="F442" s="1">
        <v>1085</v>
      </c>
      <c r="G442" s="1">
        <v>25</v>
      </c>
      <c r="H442" s="22">
        <f t="shared" si="12"/>
        <v>4</v>
      </c>
    </row>
    <row r="443" spans="1:8" x14ac:dyDescent="0.25">
      <c r="A443">
        <f t="shared" si="13"/>
        <v>10</v>
      </c>
      <c r="B443" t="s">
        <v>11</v>
      </c>
      <c r="C443" s="1">
        <v>49</v>
      </c>
      <c r="D443" s="1">
        <v>12</v>
      </c>
      <c r="E443" s="1">
        <v>598</v>
      </c>
      <c r="F443" s="1">
        <v>940</v>
      </c>
      <c r="G443" s="1">
        <v>16</v>
      </c>
      <c r="H443" s="22">
        <f t="shared" si="12"/>
        <v>4</v>
      </c>
    </row>
    <row r="444" spans="1:8" x14ac:dyDescent="0.25">
      <c r="A444">
        <f t="shared" si="13"/>
        <v>10</v>
      </c>
      <c r="B444" t="s">
        <v>12</v>
      </c>
      <c r="C444" s="1">
        <v>393</v>
      </c>
      <c r="D444" s="1">
        <v>724</v>
      </c>
      <c r="E444" s="1">
        <v>289</v>
      </c>
      <c r="F444" s="1">
        <v>288</v>
      </c>
      <c r="G444" s="1">
        <v>159</v>
      </c>
      <c r="H444" s="22">
        <f t="shared" si="12"/>
        <v>2</v>
      </c>
    </row>
    <row r="445" spans="1:8" x14ac:dyDescent="0.25">
      <c r="A445">
        <f t="shared" si="13"/>
        <v>10</v>
      </c>
      <c r="B445" t="s">
        <v>13</v>
      </c>
      <c r="C445" s="1">
        <v>441</v>
      </c>
      <c r="D445" s="1">
        <v>770</v>
      </c>
      <c r="E445" s="1">
        <v>747</v>
      </c>
      <c r="F445" s="1">
        <v>216</v>
      </c>
      <c r="G445" s="1">
        <v>78</v>
      </c>
      <c r="H445" s="22">
        <f t="shared" si="12"/>
        <v>2</v>
      </c>
    </row>
    <row r="446" spans="1:8" x14ac:dyDescent="0.25">
      <c r="A446">
        <f t="shared" si="13"/>
        <v>10</v>
      </c>
      <c r="B446" t="s">
        <v>14</v>
      </c>
      <c r="C446" s="1">
        <v>315</v>
      </c>
      <c r="D446" s="1">
        <v>180</v>
      </c>
      <c r="E446" s="1">
        <v>868</v>
      </c>
      <c r="F446" s="1">
        <v>174</v>
      </c>
      <c r="G446" s="1">
        <v>135</v>
      </c>
      <c r="H446" s="22">
        <f t="shared" si="12"/>
        <v>3</v>
      </c>
    </row>
    <row r="447" spans="1:8" x14ac:dyDescent="0.25">
      <c r="A447">
        <f t="shared" si="13"/>
        <v>10</v>
      </c>
      <c r="B447" t="s">
        <v>15</v>
      </c>
      <c r="C447" s="1">
        <v>262</v>
      </c>
      <c r="D447" s="1">
        <v>661</v>
      </c>
      <c r="E447" s="1">
        <v>579</v>
      </c>
      <c r="F447" s="1">
        <v>162</v>
      </c>
      <c r="G447" s="1">
        <v>155</v>
      </c>
      <c r="H447" s="22">
        <f t="shared" si="12"/>
        <v>2</v>
      </c>
    </row>
    <row r="448" spans="1:8" x14ac:dyDescent="0.25">
      <c r="A448">
        <f t="shared" si="13"/>
        <v>10</v>
      </c>
      <c r="B448" t="s">
        <v>16</v>
      </c>
      <c r="C448" s="1">
        <v>535</v>
      </c>
      <c r="D448" s="1">
        <v>491</v>
      </c>
      <c r="E448" s="1">
        <v>699</v>
      </c>
      <c r="F448" s="1">
        <v>6</v>
      </c>
      <c r="G448" s="1">
        <v>90</v>
      </c>
      <c r="H448" s="22">
        <f t="shared" si="12"/>
        <v>3</v>
      </c>
    </row>
    <row r="449" spans="1:8" x14ac:dyDescent="0.25">
      <c r="A449">
        <f t="shared" si="13"/>
        <v>10</v>
      </c>
      <c r="B449" t="s">
        <v>17</v>
      </c>
      <c r="C449" s="1">
        <v>630</v>
      </c>
      <c r="D449" s="1">
        <v>672</v>
      </c>
      <c r="E449" s="1">
        <v>193</v>
      </c>
      <c r="F449" s="1">
        <v>24</v>
      </c>
      <c r="G449" s="1">
        <v>114</v>
      </c>
      <c r="H449" s="22">
        <f t="shared" si="12"/>
        <v>2</v>
      </c>
    </row>
    <row r="450" spans="1:8" x14ac:dyDescent="0.25">
      <c r="A450">
        <f t="shared" si="13"/>
        <v>10</v>
      </c>
      <c r="B450" t="s">
        <v>18</v>
      </c>
      <c r="C450" s="1">
        <v>205</v>
      </c>
      <c r="D450" s="1">
        <v>606</v>
      </c>
      <c r="E450" s="1">
        <v>482</v>
      </c>
      <c r="F450" s="1">
        <v>90</v>
      </c>
      <c r="G450" s="1">
        <v>163</v>
      </c>
      <c r="H450" s="22">
        <f t="shared" si="12"/>
        <v>2</v>
      </c>
    </row>
    <row r="451" spans="1:8" x14ac:dyDescent="0.25">
      <c r="A451">
        <f t="shared" si="13"/>
        <v>10</v>
      </c>
      <c r="B451" t="s">
        <v>19</v>
      </c>
      <c r="C451" s="1">
        <v>378</v>
      </c>
      <c r="D451" s="1">
        <v>442</v>
      </c>
      <c r="E451" s="1">
        <v>988</v>
      </c>
      <c r="F451" s="1">
        <v>54</v>
      </c>
      <c r="G451" s="1">
        <v>65</v>
      </c>
      <c r="H451" s="22">
        <f t="shared" ref="H451:H514" si="14">INDEX($C$1:$G$1,0,MATCH(MAX(C451:G451),C451:G451,0))</f>
        <v>3</v>
      </c>
    </row>
    <row r="452" spans="1:8" x14ac:dyDescent="0.25">
      <c r="A452">
        <f t="shared" si="13"/>
        <v>10</v>
      </c>
      <c r="B452" t="s">
        <v>20</v>
      </c>
      <c r="C452" s="1">
        <v>157</v>
      </c>
      <c r="D452" s="1">
        <v>197</v>
      </c>
      <c r="E452" s="1">
        <v>651</v>
      </c>
      <c r="F452" s="1">
        <v>204</v>
      </c>
      <c r="G452" s="1">
        <v>196</v>
      </c>
      <c r="H452" s="22">
        <f t="shared" si="14"/>
        <v>3</v>
      </c>
    </row>
    <row r="453" spans="1:8" x14ac:dyDescent="0.25">
      <c r="A453">
        <f t="shared" ref="A453:A516" si="15">IF((ROW()-3)/48=INT((ROW()-3)/48),A452+1,A452)</f>
        <v>10</v>
      </c>
      <c r="B453" t="s">
        <v>21</v>
      </c>
      <c r="C453" s="1">
        <v>567</v>
      </c>
      <c r="D453" s="1">
        <v>541</v>
      </c>
      <c r="E453" s="1">
        <v>964</v>
      </c>
      <c r="F453" s="1">
        <v>84</v>
      </c>
      <c r="G453" s="1">
        <v>61</v>
      </c>
      <c r="H453" s="22">
        <f t="shared" si="14"/>
        <v>3</v>
      </c>
    </row>
    <row r="454" spans="1:8" x14ac:dyDescent="0.25">
      <c r="A454">
        <f t="shared" si="15"/>
        <v>10</v>
      </c>
      <c r="B454" t="s">
        <v>22</v>
      </c>
      <c r="C454" s="1">
        <v>740</v>
      </c>
      <c r="D454" s="1">
        <v>410</v>
      </c>
      <c r="E454" s="1">
        <v>410</v>
      </c>
      <c r="F454" s="1">
        <v>252</v>
      </c>
      <c r="G454" s="1">
        <v>29</v>
      </c>
      <c r="H454" s="22">
        <f t="shared" si="14"/>
        <v>1</v>
      </c>
    </row>
    <row r="455" spans="1:8" x14ac:dyDescent="0.25">
      <c r="A455">
        <f t="shared" si="15"/>
        <v>10</v>
      </c>
      <c r="B455" t="s">
        <v>23</v>
      </c>
      <c r="C455" s="1">
        <v>557</v>
      </c>
      <c r="D455" s="1">
        <v>709</v>
      </c>
      <c r="E455" s="1">
        <v>386</v>
      </c>
      <c r="F455" s="1">
        <v>72</v>
      </c>
      <c r="G455" s="1">
        <v>123</v>
      </c>
      <c r="H455" s="22">
        <f t="shared" si="14"/>
        <v>2</v>
      </c>
    </row>
    <row r="456" spans="1:8" x14ac:dyDescent="0.25">
      <c r="A456">
        <f t="shared" si="15"/>
        <v>10</v>
      </c>
      <c r="B456" t="s">
        <v>24</v>
      </c>
      <c r="C456" s="1">
        <v>409</v>
      </c>
      <c r="D456" s="1">
        <v>229</v>
      </c>
      <c r="E456" s="1">
        <v>241</v>
      </c>
      <c r="F456" s="1">
        <v>180</v>
      </c>
      <c r="G456" s="1">
        <v>49</v>
      </c>
      <c r="H456" s="22">
        <f t="shared" si="14"/>
        <v>1</v>
      </c>
    </row>
    <row r="457" spans="1:8" x14ac:dyDescent="0.25">
      <c r="A457">
        <f t="shared" si="15"/>
        <v>10</v>
      </c>
      <c r="B457" t="s">
        <v>25</v>
      </c>
      <c r="C457" s="1">
        <v>268</v>
      </c>
      <c r="D457" s="1">
        <v>344</v>
      </c>
      <c r="E457" s="1">
        <v>1109</v>
      </c>
      <c r="F457" s="1">
        <v>18</v>
      </c>
      <c r="G457" s="1">
        <v>151</v>
      </c>
      <c r="H457" s="22">
        <f t="shared" si="14"/>
        <v>3</v>
      </c>
    </row>
    <row r="458" spans="1:8" x14ac:dyDescent="0.25">
      <c r="A458">
        <f t="shared" si="15"/>
        <v>10</v>
      </c>
      <c r="B458" t="s">
        <v>26</v>
      </c>
      <c r="C458" s="1">
        <v>115</v>
      </c>
      <c r="D458" s="1">
        <v>236</v>
      </c>
      <c r="E458" s="1">
        <v>48</v>
      </c>
      <c r="F458" s="1">
        <v>228</v>
      </c>
      <c r="G458" s="1">
        <v>176</v>
      </c>
      <c r="H458" s="22">
        <f t="shared" si="14"/>
        <v>2</v>
      </c>
    </row>
    <row r="459" spans="1:8" x14ac:dyDescent="0.25">
      <c r="A459">
        <f t="shared" si="15"/>
        <v>10</v>
      </c>
      <c r="B459" t="s">
        <v>27</v>
      </c>
      <c r="C459" s="1">
        <v>346</v>
      </c>
      <c r="D459" s="1">
        <v>623</v>
      </c>
      <c r="E459" s="1">
        <v>1157</v>
      </c>
      <c r="F459" s="1">
        <v>36</v>
      </c>
      <c r="G459" s="1">
        <v>180</v>
      </c>
      <c r="H459" s="22">
        <f t="shared" si="14"/>
        <v>3</v>
      </c>
    </row>
    <row r="460" spans="1:8" x14ac:dyDescent="0.25">
      <c r="A460">
        <f t="shared" si="15"/>
        <v>10</v>
      </c>
      <c r="B460" t="s">
        <v>28</v>
      </c>
      <c r="C460" s="1">
        <v>551</v>
      </c>
      <c r="D460" s="1">
        <v>754</v>
      </c>
      <c r="E460" s="1">
        <v>627</v>
      </c>
      <c r="F460" s="1">
        <v>282</v>
      </c>
      <c r="G460" s="1">
        <v>33</v>
      </c>
      <c r="H460" s="22">
        <f t="shared" si="14"/>
        <v>2</v>
      </c>
    </row>
    <row r="461" spans="1:8" x14ac:dyDescent="0.25">
      <c r="A461">
        <f t="shared" si="15"/>
        <v>10</v>
      </c>
      <c r="B461" t="s">
        <v>29</v>
      </c>
      <c r="C461" s="1">
        <v>583</v>
      </c>
      <c r="D461" s="1">
        <v>16</v>
      </c>
      <c r="E461" s="1">
        <v>1061</v>
      </c>
      <c r="F461" s="1">
        <v>246</v>
      </c>
      <c r="G461" s="1">
        <v>98</v>
      </c>
      <c r="H461" s="22">
        <f t="shared" si="14"/>
        <v>3</v>
      </c>
    </row>
    <row r="462" spans="1:8" x14ac:dyDescent="0.25">
      <c r="A462">
        <f t="shared" si="15"/>
        <v>10</v>
      </c>
      <c r="B462" t="s">
        <v>30</v>
      </c>
      <c r="C462" s="1">
        <v>677</v>
      </c>
      <c r="D462" s="1">
        <v>98</v>
      </c>
      <c r="E462" s="1">
        <v>72</v>
      </c>
      <c r="F462" s="1">
        <v>150</v>
      </c>
      <c r="G462" s="1">
        <v>102</v>
      </c>
      <c r="H462" s="22">
        <f t="shared" si="14"/>
        <v>1</v>
      </c>
    </row>
    <row r="463" spans="1:8" x14ac:dyDescent="0.25">
      <c r="A463">
        <f t="shared" si="15"/>
        <v>10</v>
      </c>
      <c r="B463" t="s">
        <v>31</v>
      </c>
      <c r="C463" s="1">
        <v>425</v>
      </c>
      <c r="D463" s="1">
        <v>66</v>
      </c>
      <c r="E463" s="1">
        <v>916</v>
      </c>
      <c r="F463" s="1">
        <v>270</v>
      </c>
      <c r="G463" s="1">
        <v>37</v>
      </c>
      <c r="H463" s="22">
        <f t="shared" si="14"/>
        <v>3</v>
      </c>
    </row>
    <row r="464" spans="1:8" x14ac:dyDescent="0.25">
      <c r="A464">
        <f t="shared" si="15"/>
        <v>10</v>
      </c>
      <c r="B464" t="s">
        <v>32</v>
      </c>
      <c r="C464" s="1">
        <v>47</v>
      </c>
      <c r="D464" s="1">
        <v>360</v>
      </c>
      <c r="E464" s="1">
        <v>338</v>
      </c>
      <c r="F464" s="1">
        <v>30</v>
      </c>
      <c r="G464" s="1">
        <v>139</v>
      </c>
      <c r="H464" s="22">
        <f t="shared" si="14"/>
        <v>2</v>
      </c>
    </row>
    <row r="465" spans="1:8" x14ac:dyDescent="0.25">
      <c r="A465">
        <f t="shared" si="15"/>
        <v>10</v>
      </c>
      <c r="B465" t="s">
        <v>33</v>
      </c>
      <c r="C465" s="1">
        <v>472</v>
      </c>
      <c r="D465" s="1">
        <v>573</v>
      </c>
      <c r="E465" s="1">
        <v>1133</v>
      </c>
      <c r="F465" s="1">
        <v>66</v>
      </c>
      <c r="G465" s="1">
        <v>8</v>
      </c>
      <c r="H465" s="22">
        <f t="shared" si="14"/>
        <v>3</v>
      </c>
    </row>
    <row r="466" spans="1:8" x14ac:dyDescent="0.25">
      <c r="A466">
        <f t="shared" si="15"/>
        <v>10</v>
      </c>
      <c r="B466" t="s">
        <v>34</v>
      </c>
      <c r="C466" s="1">
        <v>504</v>
      </c>
      <c r="D466" s="1">
        <v>33</v>
      </c>
      <c r="E466" s="1">
        <v>675</v>
      </c>
      <c r="F466" s="1">
        <v>48</v>
      </c>
      <c r="G466" s="1">
        <v>74</v>
      </c>
      <c r="H466" s="22">
        <f t="shared" si="14"/>
        <v>3</v>
      </c>
    </row>
    <row r="467" spans="1:8" x14ac:dyDescent="0.25">
      <c r="A467">
        <f t="shared" si="15"/>
        <v>10</v>
      </c>
      <c r="B467" t="s">
        <v>35</v>
      </c>
      <c r="C467" s="1">
        <v>299</v>
      </c>
      <c r="D467" s="1">
        <v>377</v>
      </c>
      <c r="E467" s="1">
        <v>771</v>
      </c>
      <c r="F467" s="1">
        <v>192</v>
      </c>
      <c r="G467" s="1">
        <v>147</v>
      </c>
      <c r="H467" s="22">
        <f t="shared" si="14"/>
        <v>3</v>
      </c>
    </row>
    <row r="468" spans="1:8" x14ac:dyDescent="0.25">
      <c r="A468">
        <f t="shared" si="15"/>
        <v>10</v>
      </c>
      <c r="B468" t="s">
        <v>36</v>
      </c>
      <c r="C468" s="1">
        <v>16</v>
      </c>
      <c r="D468" s="1">
        <v>164</v>
      </c>
      <c r="E468" s="1">
        <v>506</v>
      </c>
      <c r="F468" s="1">
        <v>168</v>
      </c>
      <c r="G468" s="1">
        <v>94</v>
      </c>
      <c r="H468" s="22">
        <f t="shared" si="14"/>
        <v>3</v>
      </c>
    </row>
    <row r="469" spans="1:8" x14ac:dyDescent="0.25">
      <c r="A469">
        <f t="shared" si="15"/>
        <v>10</v>
      </c>
      <c r="B469" t="s">
        <v>37</v>
      </c>
      <c r="C469" s="1">
        <v>79</v>
      </c>
      <c r="D469" s="1">
        <v>246</v>
      </c>
      <c r="E469" s="1">
        <v>796</v>
      </c>
      <c r="F469" s="1">
        <v>96</v>
      </c>
      <c r="G469" s="1">
        <v>127</v>
      </c>
      <c r="H469" s="22">
        <f t="shared" si="14"/>
        <v>3</v>
      </c>
    </row>
    <row r="470" spans="1:8" x14ac:dyDescent="0.25">
      <c r="A470">
        <f t="shared" si="15"/>
        <v>10</v>
      </c>
      <c r="B470" t="s">
        <v>38</v>
      </c>
      <c r="C470" s="1">
        <v>457</v>
      </c>
      <c r="D470" s="1">
        <v>328</v>
      </c>
      <c r="E470" s="1">
        <v>434</v>
      </c>
      <c r="F470" s="1">
        <v>60</v>
      </c>
      <c r="G470" s="1">
        <v>188</v>
      </c>
      <c r="H470" s="22">
        <f t="shared" si="14"/>
        <v>1</v>
      </c>
    </row>
    <row r="471" spans="1:8" x14ac:dyDescent="0.25">
      <c r="A471">
        <f t="shared" si="15"/>
        <v>10</v>
      </c>
      <c r="B471" t="s">
        <v>39</v>
      </c>
      <c r="C471" s="1">
        <v>220</v>
      </c>
      <c r="D471" s="1">
        <v>590</v>
      </c>
      <c r="E471" s="1">
        <v>723</v>
      </c>
      <c r="F471" s="1">
        <v>258</v>
      </c>
      <c r="G471" s="1">
        <v>12</v>
      </c>
      <c r="H471" s="22">
        <f t="shared" si="14"/>
        <v>3</v>
      </c>
    </row>
    <row r="472" spans="1:8" x14ac:dyDescent="0.25">
      <c r="A472">
        <f t="shared" si="15"/>
        <v>10</v>
      </c>
      <c r="B472" t="s">
        <v>40</v>
      </c>
      <c r="C472" s="1">
        <v>488</v>
      </c>
      <c r="D472" s="1">
        <v>721</v>
      </c>
      <c r="E472" s="1">
        <v>24</v>
      </c>
      <c r="F472" s="1">
        <v>126</v>
      </c>
      <c r="G472" s="1">
        <v>4</v>
      </c>
      <c r="H472" s="22">
        <f t="shared" si="14"/>
        <v>2</v>
      </c>
    </row>
    <row r="473" spans="1:8" x14ac:dyDescent="0.25">
      <c r="A473">
        <f t="shared" si="15"/>
        <v>10</v>
      </c>
      <c r="B473" t="s">
        <v>41</v>
      </c>
      <c r="C473" s="1">
        <v>520</v>
      </c>
      <c r="D473" s="1">
        <v>655</v>
      </c>
      <c r="E473" s="1">
        <v>603</v>
      </c>
      <c r="F473" s="1">
        <v>240</v>
      </c>
      <c r="G473" s="1">
        <v>45</v>
      </c>
      <c r="H473" s="22">
        <f t="shared" si="14"/>
        <v>2</v>
      </c>
    </row>
    <row r="474" spans="1:8" x14ac:dyDescent="0.25">
      <c r="A474">
        <f t="shared" si="15"/>
        <v>10</v>
      </c>
      <c r="B474" t="s">
        <v>42</v>
      </c>
      <c r="C474" s="1">
        <v>283</v>
      </c>
      <c r="D474" s="1">
        <v>311</v>
      </c>
      <c r="E474" s="1">
        <v>362</v>
      </c>
      <c r="F474" s="1">
        <v>132</v>
      </c>
      <c r="G474" s="1">
        <v>57</v>
      </c>
      <c r="H474" s="22">
        <f t="shared" si="14"/>
        <v>3</v>
      </c>
    </row>
    <row r="475" spans="1:8" x14ac:dyDescent="0.25">
      <c r="A475">
        <f t="shared" si="15"/>
        <v>10</v>
      </c>
      <c r="B475" t="s">
        <v>43</v>
      </c>
      <c r="C475" s="1">
        <v>252</v>
      </c>
      <c r="D475" s="1">
        <v>279</v>
      </c>
      <c r="E475" s="1">
        <v>1037</v>
      </c>
      <c r="F475" s="1">
        <v>108</v>
      </c>
      <c r="G475" s="1">
        <v>184</v>
      </c>
      <c r="H475" s="22">
        <f t="shared" si="14"/>
        <v>3</v>
      </c>
    </row>
    <row r="476" spans="1:8" x14ac:dyDescent="0.25">
      <c r="A476">
        <f t="shared" si="15"/>
        <v>10</v>
      </c>
      <c r="B476" t="s">
        <v>44</v>
      </c>
      <c r="C476" s="1">
        <v>614</v>
      </c>
      <c r="D476" s="1">
        <v>704</v>
      </c>
      <c r="E476" s="1">
        <v>458</v>
      </c>
      <c r="F476" s="1">
        <v>264</v>
      </c>
      <c r="G476" s="1">
        <v>86</v>
      </c>
      <c r="H476" s="22">
        <f t="shared" si="14"/>
        <v>2</v>
      </c>
    </row>
    <row r="477" spans="1:8" x14ac:dyDescent="0.25">
      <c r="A477">
        <f t="shared" si="15"/>
        <v>10</v>
      </c>
      <c r="B477" t="s">
        <v>45</v>
      </c>
      <c r="C477" s="1">
        <v>756</v>
      </c>
      <c r="D477" s="1">
        <v>639</v>
      </c>
      <c r="E477" s="1">
        <v>121</v>
      </c>
      <c r="F477" s="1">
        <v>210</v>
      </c>
      <c r="G477" s="1">
        <v>143</v>
      </c>
      <c r="H477" s="22">
        <f t="shared" si="14"/>
        <v>1</v>
      </c>
    </row>
    <row r="478" spans="1:8" x14ac:dyDescent="0.25">
      <c r="A478">
        <f t="shared" si="15"/>
        <v>10</v>
      </c>
      <c r="B478" t="s">
        <v>46</v>
      </c>
      <c r="C478" s="1">
        <v>31</v>
      </c>
      <c r="D478" s="1">
        <v>508</v>
      </c>
      <c r="E478" s="1">
        <v>554</v>
      </c>
      <c r="F478" s="1">
        <v>276</v>
      </c>
      <c r="G478" s="1">
        <v>69</v>
      </c>
      <c r="H478" s="22">
        <f t="shared" si="14"/>
        <v>3</v>
      </c>
    </row>
    <row r="479" spans="1:8" x14ac:dyDescent="0.25">
      <c r="A479">
        <f t="shared" si="15"/>
        <v>10</v>
      </c>
      <c r="B479" t="s">
        <v>47</v>
      </c>
      <c r="C479" s="1">
        <v>142</v>
      </c>
      <c r="D479" s="1">
        <v>737</v>
      </c>
      <c r="E479" s="1">
        <v>313</v>
      </c>
      <c r="F479" s="1">
        <v>234</v>
      </c>
      <c r="G479" s="1">
        <v>167</v>
      </c>
      <c r="H479" s="22">
        <f t="shared" si="14"/>
        <v>2</v>
      </c>
    </row>
    <row r="480" spans="1:8" x14ac:dyDescent="0.25">
      <c r="A480">
        <f t="shared" si="15"/>
        <v>10</v>
      </c>
      <c r="B480" t="s">
        <v>48</v>
      </c>
      <c r="C480" s="1">
        <v>646</v>
      </c>
      <c r="D480" s="1">
        <v>295</v>
      </c>
      <c r="E480" s="1">
        <v>96</v>
      </c>
      <c r="F480" s="1">
        <v>198</v>
      </c>
      <c r="G480" s="1">
        <v>131</v>
      </c>
      <c r="H480" s="22">
        <f t="shared" si="14"/>
        <v>1</v>
      </c>
    </row>
    <row r="481" spans="1:8" x14ac:dyDescent="0.25">
      <c r="A481">
        <f t="shared" si="15"/>
        <v>10</v>
      </c>
      <c r="B481" t="s">
        <v>49</v>
      </c>
      <c r="C481" s="1">
        <v>189</v>
      </c>
      <c r="D481" s="1">
        <v>786</v>
      </c>
      <c r="E481" s="1">
        <v>530</v>
      </c>
      <c r="F481" s="1">
        <v>42</v>
      </c>
      <c r="G481" s="1">
        <v>192</v>
      </c>
      <c r="H481" s="22">
        <f t="shared" si="14"/>
        <v>2</v>
      </c>
    </row>
    <row r="482" spans="1:8" x14ac:dyDescent="0.25">
      <c r="A482">
        <f t="shared" si="15"/>
        <v>10</v>
      </c>
      <c r="B482" t="s">
        <v>50</v>
      </c>
      <c r="C482" s="1">
        <v>110</v>
      </c>
      <c r="D482" s="1">
        <v>147</v>
      </c>
      <c r="E482" s="1">
        <v>265</v>
      </c>
      <c r="F482" s="1">
        <v>102</v>
      </c>
      <c r="G482" s="1">
        <v>41</v>
      </c>
      <c r="H482" s="22">
        <f t="shared" si="14"/>
        <v>3</v>
      </c>
    </row>
    <row r="483" spans="1:8" x14ac:dyDescent="0.25">
      <c r="A483">
        <f t="shared" si="15"/>
        <v>11</v>
      </c>
      <c r="B483" t="s">
        <v>3</v>
      </c>
      <c r="C483" s="1">
        <v>278</v>
      </c>
      <c r="D483" s="1">
        <v>131</v>
      </c>
      <c r="E483" s="1">
        <v>501</v>
      </c>
      <c r="F483" s="1">
        <v>184</v>
      </c>
      <c r="G483" s="1">
        <v>59</v>
      </c>
      <c r="H483" s="22">
        <f t="shared" si="14"/>
        <v>3</v>
      </c>
    </row>
    <row r="484" spans="1:8" x14ac:dyDescent="0.25">
      <c r="A484">
        <f t="shared" si="15"/>
        <v>11</v>
      </c>
      <c r="B484" t="s">
        <v>4</v>
      </c>
      <c r="C484" s="1">
        <v>56</v>
      </c>
      <c r="D484" s="1">
        <v>567</v>
      </c>
      <c r="E484" s="1">
        <v>1224</v>
      </c>
      <c r="F484" s="1">
        <v>9</v>
      </c>
      <c r="G484" s="1">
        <v>46</v>
      </c>
      <c r="H484" s="22">
        <f t="shared" si="14"/>
        <v>3</v>
      </c>
    </row>
    <row r="485" spans="1:8" x14ac:dyDescent="0.25">
      <c r="A485">
        <f t="shared" si="15"/>
        <v>11</v>
      </c>
      <c r="B485" t="s">
        <v>5</v>
      </c>
      <c r="C485" s="1">
        <v>236</v>
      </c>
      <c r="D485" s="1">
        <v>524</v>
      </c>
      <c r="E485" s="1">
        <v>835</v>
      </c>
      <c r="F485" s="1">
        <v>193</v>
      </c>
      <c r="G485" s="1">
        <v>113</v>
      </c>
      <c r="H485" s="22">
        <f t="shared" si="14"/>
        <v>3</v>
      </c>
    </row>
    <row r="486" spans="1:8" x14ac:dyDescent="0.25">
      <c r="A486">
        <f t="shared" si="15"/>
        <v>11</v>
      </c>
      <c r="B486" t="s">
        <v>6</v>
      </c>
      <c r="C486" s="1">
        <v>306</v>
      </c>
      <c r="D486" s="1">
        <v>102</v>
      </c>
      <c r="E486" s="1">
        <v>1085</v>
      </c>
      <c r="F486" s="1">
        <v>221</v>
      </c>
      <c r="G486" s="1">
        <v>117</v>
      </c>
      <c r="H486" s="22">
        <f t="shared" si="14"/>
        <v>3</v>
      </c>
    </row>
    <row r="487" spans="1:8" x14ac:dyDescent="0.25">
      <c r="A487">
        <f t="shared" si="15"/>
        <v>11</v>
      </c>
      <c r="B487" t="s">
        <v>7</v>
      </c>
      <c r="C487" s="1">
        <v>70</v>
      </c>
      <c r="D487" s="1">
        <v>640</v>
      </c>
      <c r="E487" s="1">
        <v>807</v>
      </c>
      <c r="F487" s="1">
        <v>74</v>
      </c>
      <c r="G487" s="1">
        <v>17</v>
      </c>
      <c r="H487" s="22">
        <f t="shared" si="14"/>
        <v>3</v>
      </c>
    </row>
    <row r="488" spans="1:8" x14ac:dyDescent="0.25">
      <c r="A488">
        <f t="shared" si="15"/>
        <v>11</v>
      </c>
      <c r="B488" t="s">
        <v>8</v>
      </c>
      <c r="C488" s="1">
        <v>431</v>
      </c>
      <c r="D488" s="1">
        <v>407</v>
      </c>
      <c r="E488" s="1">
        <v>1308</v>
      </c>
      <c r="F488" s="1">
        <v>101</v>
      </c>
      <c r="G488" s="1">
        <v>21</v>
      </c>
      <c r="H488" s="22">
        <f t="shared" si="14"/>
        <v>3</v>
      </c>
    </row>
    <row r="489" spans="1:8" x14ac:dyDescent="0.25">
      <c r="A489">
        <f t="shared" si="15"/>
        <v>11</v>
      </c>
      <c r="B489" t="s">
        <v>9</v>
      </c>
      <c r="C489" s="1">
        <v>459</v>
      </c>
      <c r="D489" s="1">
        <v>669</v>
      </c>
      <c r="E489" s="1">
        <v>529</v>
      </c>
      <c r="F489" s="1">
        <v>97</v>
      </c>
      <c r="G489" s="1">
        <v>84</v>
      </c>
      <c r="H489" s="22">
        <f t="shared" si="14"/>
        <v>2</v>
      </c>
    </row>
    <row r="490" spans="1:8" x14ac:dyDescent="0.25">
      <c r="A490">
        <f t="shared" si="15"/>
        <v>11</v>
      </c>
      <c r="B490" t="s">
        <v>10</v>
      </c>
      <c r="C490" s="1">
        <v>598</v>
      </c>
      <c r="D490" s="1">
        <v>436</v>
      </c>
      <c r="E490" s="1">
        <v>1196</v>
      </c>
      <c r="F490" s="1">
        <v>115</v>
      </c>
      <c r="G490" s="1">
        <v>126</v>
      </c>
      <c r="H490" s="22">
        <f t="shared" si="14"/>
        <v>3</v>
      </c>
    </row>
    <row r="491" spans="1:8" x14ac:dyDescent="0.25">
      <c r="A491">
        <f t="shared" si="15"/>
        <v>11</v>
      </c>
      <c r="B491" t="s">
        <v>11</v>
      </c>
      <c r="C491" s="1">
        <v>403</v>
      </c>
      <c r="D491" s="1">
        <v>145</v>
      </c>
      <c r="E491" s="1">
        <v>1002</v>
      </c>
      <c r="F491" s="1">
        <v>32</v>
      </c>
      <c r="G491" s="1">
        <v>184</v>
      </c>
      <c r="H491" s="22">
        <f t="shared" si="14"/>
        <v>3</v>
      </c>
    </row>
    <row r="492" spans="1:8" x14ac:dyDescent="0.25">
      <c r="A492">
        <f t="shared" si="15"/>
        <v>11</v>
      </c>
      <c r="B492" t="s">
        <v>12</v>
      </c>
      <c r="C492" s="1">
        <v>362</v>
      </c>
      <c r="D492" s="1">
        <v>334</v>
      </c>
      <c r="E492" s="1">
        <v>1252</v>
      </c>
      <c r="F492" s="1">
        <v>198</v>
      </c>
      <c r="G492" s="1">
        <v>92</v>
      </c>
      <c r="H492" s="22">
        <f t="shared" si="14"/>
        <v>3</v>
      </c>
    </row>
    <row r="493" spans="1:8" x14ac:dyDescent="0.25">
      <c r="A493">
        <f t="shared" si="15"/>
        <v>11</v>
      </c>
      <c r="B493" t="s">
        <v>13</v>
      </c>
      <c r="C493" s="1">
        <v>160</v>
      </c>
      <c r="D493" s="1">
        <v>143</v>
      </c>
      <c r="E493" s="1">
        <v>292</v>
      </c>
      <c r="F493" s="1">
        <v>556</v>
      </c>
      <c r="G493" s="1">
        <v>50</v>
      </c>
      <c r="H493" s="22">
        <f t="shared" si="14"/>
        <v>4</v>
      </c>
    </row>
    <row r="494" spans="1:8" x14ac:dyDescent="0.25">
      <c r="A494">
        <f t="shared" si="15"/>
        <v>11</v>
      </c>
      <c r="B494" t="s">
        <v>14</v>
      </c>
      <c r="C494" s="1">
        <v>422</v>
      </c>
      <c r="D494" s="1">
        <v>152</v>
      </c>
      <c r="E494" s="1">
        <v>195</v>
      </c>
      <c r="F494" s="1">
        <v>473</v>
      </c>
      <c r="G494" s="1">
        <v>180</v>
      </c>
      <c r="H494" s="22">
        <f t="shared" si="14"/>
        <v>4</v>
      </c>
    </row>
    <row r="495" spans="1:8" x14ac:dyDescent="0.25">
      <c r="A495">
        <f t="shared" si="15"/>
        <v>11</v>
      </c>
      <c r="B495" t="s">
        <v>15</v>
      </c>
      <c r="C495" s="1">
        <v>116</v>
      </c>
      <c r="D495" s="1">
        <v>51</v>
      </c>
      <c r="E495" s="1">
        <v>250</v>
      </c>
      <c r="F495" s="1">
        <v>974</v>
      </c>
      <c r="G495" s="1">
        <v>121</v>
      </c>
      <c r="H495" s="22">
        <f t="shared" si="14"/>
        <v>4</v>
      </c>
    </row>
    <row r="496" spans="1:8" x14ac:dyDescent="0.25">
      <c r="A496">
        <f t="shared" si="15"/>
        <v>11</v>
      </c>
      <c r="B496" t="s">
        <v>16</v>
      </c>
      <c r="C496" s="1">
        <v>465</v>
      </c>
      <c r="D496" s="1">
        <v>124</v>
      </c>
      <c r="E496" s="1">
        <v>320</v>
      </c>
      <c r="F496" s="1">
        <v>946</v>
      </c>
      <c r="G496" s="1">
        <v>159</v>
      </c>
      <c r="H496" s="22">
        <f t="shared" si="14"/>
        <v>4</v>
      </c>
    </row>
    <row r="497" spans="1:8" x14ac:dyDescent="0.25">
      <c r="A497">
        <f t="shared" si="15"/>
        <v>11</v>
      </c>
      <c r="B497" t="s">
        <v>17</v>
      </c>
      <c r="C497" s="1">
        <v>87</v>
      </c>
      <c r="D497" s="1">
        <v>216</v>
      </c>
      <c r="E497" s="1">
        <v>389</v>
      </c>
      <c r="F497" s="1">
        <v>1113</v>
      </c>
      <c r="G497" s="1">
        <v>88</v>
      </c>
      <c r="H497" s="22">
        <f t="shared" si="14"/>
        <v>4</v>
      </c>
    </row>
    <row r="498" spans="1:8" x14ac:dyDescent="0.25">
      <c r="A498">
        <f t="shared" si="15"/>
        <v>11</v>
      </c>
      <c r="B498" t="s">
        <v>18</v>
      </c>
      <c r="C498" s="1">
        <v>538</v>
      </c>
      <c r="D498" s="1">
        <v>166</v>
      </c>
      <c r="E498" s="1">
        <v>348</v>
      </c>
      <c r="F498" s="1">
        <v>1280</v>
      </c>
      <c r="G498" s="1">
        <v>75</v>
      </c>
      <c r="H498" s="22">
        <f t="shared" si="14"/>
        <v>4</v>
      </c>
    </row>
    <row r="499" spans="1:8" x14ac:dyDescent="0.25">
      <c r="A499">
        <f t="shared" si="15"/>
        <v>11</v>
      </c>
      <c r="B499" t="s">
        <v>19</v>
      </c>
      <c r="C499" s="1">
        <v>15</v>
      </c>
      <c r="D499" s="1">
        <v>170</v>
      </c>
      <c r="E499" s="1">
        <v>653</v>
      </c>
      <c r="F499" s="1">
        <v>1029</v>
      </c>
      <c r="G499" s="1">
        <v>8</v>
      </c>
      <c r="H499" s="22">
        <f t="shared" si="14"/>
        <v>4</v>
      </c>
    </row>
    <row r="500" spans="1:8" x14ac:dyDescent="0.25">
      <c r="A500">
        <f t="shared" si="15"/>
        <v>11</v>
      </c>
      <c r="B500" t="s">
        <v>20</v>
      </c>
      <c r="C500" s="1">
        <v>378</v>
      </c>
      <c r="D500" s="1">
        <v>55</v>
      </c>
      <c r="E500" s="1">
        <v>417</v>
      </c>
      <c r="F500" s="1">
        <v>918</v>
      </c>
      <c r="G500" s="1">
        <v>172</v>
      </c>
      <c r="H500" s="22">
        <f t="shared" si="14"/>
        <v>4</v>
      </c>
    </row>
    <row r="501" spans="1:8" x14ac:dyDescent="0.25">
      <c r="A501">
        <f t="shared" si="15"/>
        <v>11</v>
      </c>
      <c r="B501" t="s">
        <v>21</v>
      </c>
      <c r="C501" s="1">
        <v>667</v>
      </c>
      <c r="D501" s="1">
        <v>611</v>
      </c>
      <c r="E501" s="1">
        <v>696</v>
      </c>
      <c r="F501" s="1">
        <v>133</v>
      </c>
      <c r="G501" s="1">
        <v>33</v>
      </c>
      <c r="H501" s="22">
        <f t="shared" si="14"/>
        <v>3</v>
      </c>
    </row>
    <row r="502" spans="1:8" x14ac:dyDescent="0.25">
      <c r="A502">
        <f t="shared" si="15"/>
        <v>11</v>
      </c>
      <c r="B502" t="s">
        <v>22</v>
      </c>
      <c r="C502" s="1">
        <v>139</v>
      </c>
      <c r="D502" s="1">
        <v>233</v>
      </c>
      <c r="E502" s="1">
        <v>390</v>
      </c>
      <c r="F502" s="1">
        <v>5</v>
      </c>
      <c r="G502" s="1">
        <v>197</v>
      </c>
      <c r="H502" s="22">
        <f t="shared" si="14"/>
        <v>3</v>
      </c>
    </row>
    <row r="503" spans="1:8" x14ac:dyDescent="0.25">
      <c r="A503">
        <f t="shared" si="15"/>
        <v>11</v>
      </c>
      <c r="B503" t="s">
        <v>23</v>
      </c>
      <c r="C503" s="1">
        <v>181</v>
      </c>
      <c r="D503" s="1">
        <v>204</v>
      </c>
      <c r="E503" s="1">
        <v>751</v>
      </c>
      <c r="F503" s="1">
        <v>41</v>
      </c>
      <c r="G503" s="1">
        <v>71</v>
      </c>
      <c r="H503" s="22">
        <f t="shared" si="14"/>
        <v>3</v>
      </c>
    </row>
    <row r="504" spans="1:8" x14ac:dyDescent="0.25">
      <c r="A504">
        <f t="shared" si="15"/>
        <v>11</v>
      </c>
      <c r="B504" t="s">
        <v>24</v>
      </c>
      <c r="C504" s="1">
        <v>501</v>
      </c>
      <c r="D504" s="1">
        <v>654</v>
      </c>
      <c r="E504" s="1">
        <v>139</v>
      </c>
      <c r="F504" s="1">
        <v>14</v>
      </c>
      <c r="G504" s="1">
        <v>188</v>
      </c>
      <c r="H504" s="22">
        <f t="shared" si="14"/>
        <v>2</v>
      </c>
    </row>
    <row r="505" spans="1:8" x14ac:dyDescent="0.25">
      <c r="A505">
        <f t="shared" si="15"/>
        <v>11</v>
      </c>
      <c r="B505" t="s">
        <v>25</v>
      </c>
      <c r="C505" s="1">
        <v>28</v>
      </c>
      <c r="D505" s="1">
        <v>582</v>
      </c>
      <c r="E505" s="1">
        <v>890</v>
      </c>
      <c r="F505" s="1">
        <v>69</v>
      </c>
      <c r="G505" s="1">
        <v>163</v>
      </c>
      <c r="H505" s="22">
        <f t="shared" si="14"/>
        <v>3</v>
      </c>
    </row>
    <row r="506" spans="1:8" x14ac:dyDescent="0.25">
      <c r="A506">
        <f t="shared" si="15"/>
        <v>11</v>
      </c>
      <c r="B506" t="s">
        <v>26</v>
      </c>
      <c r="C506" s="1">
        <v>514</v>
      </c>
      <c r="D506" s="1">
        <v>262</v>
      </c>
      <c r="E506" s="1">
        <v>362</v>
      </c>
      <c r="F506" s="1">
        <v>60</v>
      </c>
      <c r="G506" s="1">
        <v>138</v>
      </c>
      <c r="H506" s="22">
        <f t="shared" si="14"/>
        <v>1</v>
      </c>
    </row>
    <row r="507" spans="1:8" x14ac:dyDescent="0.25">
      <c r="A507">
        <f t="shared" si="15"/>
        <v>11</v>
      </c>
      <c r="B507" t="s">
        <v>27</v>
      </c>
      <c r="C507" s="1">
        <v>445</v>
      </c>
      <c r="D507" s="1">
        <v>29</v>
      </c>
      <c r="E507" s="1">
        <v>445</v>
      </c>
      <c r="F507" s="1">
        <v>92</v>
      </c>
      <c r="G507" s="1">
        <v>29</v>
      </c>
      <c r="H507" s="22">
        <f t="shared" si="14"/>
        <v>1</v>
      </c>
    </row>
    <row r="508" spans="1:8" x14ac:dyDescent="0.25">
      <c r="A508">
        <f t="shared" si="15"/>
        <v>11</v>
      </c>
      <c r="B508" t="s">
        <v>28</v>
      </c>
      <c r="C508" s="1">
        <v>570</v>
      </c>
      <c r="D508" s="1">
        <v>175</v>
      </c>
      <c r="E508" s="1">
        <v>417</v>
      </c>
      <c r="F508" s="1">
        <v>18</v>
      </c>
      <c r="G508" s="1">
        <v>130</v>
      </c>
      <c r="H508" s="22">
        <f t="shared" si="14"/>
        <v>1</v>
      </c>
    </row>
    <row r="509" spans="1:8" x14ac:dyDescent="0.25">
      <c r="A509">
        <f t="shared" si="15"/>
        <v>11</v>
      </c>
      <c r="B509" t="s">
        <v>29</v>
      </c>
      <c r="C509" s="1">
        <v>14</v>
      </c>
      <c r="D509" s="1">
        <v>44</v>
      </c>
      <c r="E509" s="1">
        <v>612</v>
      </c>
      <c r="F509" s="1">
        <v>147</v>
      </c>
      <c r="G509" s="1">
        <v>105</v>
      </c>
      <c r="H509" s="22">
        <f t="shared" si="14"/>
        <v>3</v>
      </c>
    </row>
    <row r="510" spans="1:8" x14ac:dyDescent="0.25">
      <c r="A510">
        <f t="shared" si="15"/>
        <v>11</v>
      </c>
      <c r="B510" t="s">
        <v>30</v>
      </c>
      <c r="C510" s="1">
        <v>334</v>
      </c>
      <c r="D510" s="1">
        <v>349</v>
      </c>
      <c r="E510" s="1">
        <v>223</v>
      </c>
      <c r="F510" s="1">
        <v>189</v>
      </c>
      <c r="G510" s="1">
        <v>96</v>
      </c>
      <c r="H510" s="22">
        <f t="shared" si="14"/>
        <v>2</v>
      </c>
    </row>
    <row r="511" spans="1:8" x14ac:dyDescent="0.25">
      <c r="A511">
        <f t="shared" si="15"/>
        <v>11</v>
      </c>
      <c r="B511" t="s">
        <v>31</v>
      </c>
      <c r="C511" s="1">
        <v>556</v>
      </c>
      <c r="D511" s="1">
        <v>684</v>
      </c>
      <c r="E511" s="1">
        <v>862</v>
      </c>
      <c r="F511" s="1">
        <v>87</v>
      </c>
      <c r="G511" s="1">
        <v>42</v>
      </c>
      <c r="H511" s="22">
        <f t="shared" si="14"/>
        <v>3</v>
      </c>
    </row>
    <row r="512" spans="1:8" x14ac:dyDescent="0.25">
      <c r="A512">
        <f t="shared" si="15"/>
        <v>11</v>
      </c>
      <c r="B512" t="s">
        <v>32</v>
      </c>
      <c r="C512" s="1">
        <v>487</v>
      </c>
      <c r="D512" s="1">
        <v>698</v>
      </c>
      <c r="E512" s="1">
        <v>111</v>
      </c>
      <c r="F512" s="1">
        <v>156</v>
      </c>
      <c r="G512" s="1">
        <v>13</v>
      </c>
      <c r="H512" s="22">
        <f t="shared" si="14"/>
        <v>2</v>
      </c>
    </row>
    <row r="513" spans="1:8" x14ac:dyDescent="0.25">
      <c r="A513">
        <f t="shared" si="15"/>
        <v>11</v>
      </c>
      <c r="B513" t="s">
        <v>33</v>
      </c>
      <c r="C513" s="1">
        <v>209</v>
      </c>
      <c r="D513" s="1">
        <v>364</v>
      </c>
      <c r="E513" s="1">
        <v>584</v>
      </c>
      <c r="F513" s="1">
        <v>138</v>
      </c>
      <c r="G513" s="1">
        <v>134</v>
      </c>
      <c r="H513" s="22">
        <f t="shared" si="14"/>
        <v>3</v>
      </c>
    </row>
    <row r="514" spans="1:8" x14ac:dyDescent="0.25">
      <c r="A514">
        <f t="shared" si="15"/>
        <v>11</v>
      </c>
      <c r="B514" t="s">
        <v>34</v>
      </c>
      <c r="C514" s="1">
        <v>125</v>
      </c>
      <c r="D514" s="1">
        <v>625</v>
      </c>
      <c r="E514" s="1">
        <v>1169</v>
      </c>
      <c r="F514" s="1">
        <v>161</v>
      </c>
      <c r="G514" s="1">
        <v>67</v>
      </c>
      <c r="H514" s="22">
        <f t="shared" si="14"/>
        <v>3</v>
      </c>
    </row>
    <row r="515" spans="1:8" x14ac:dyDescent="0.25">
      <c r="A515">
        <f t="shared" si="15"/>
        <v>11</v>
      </c>
      <c r="B515" t="s">
        <v>35</v>
      </c>
      <c r="C515" s="1">
        <v>612</v>
      </c>
      <c r="D515" s="1">
        <v>509</v>
      </c>
      <c r="E515" s="1">
        <v>779</v>
      </c>
      <c r="F515" s="1">
        <v>28</v>
      </c>
      <c r="G515" s="1">
        <v>54</v>
      </c>
      <c r="H515" s="22">
        <f t="shared" ref="H515:H578" si="16">INDEX($C$1:$G$1,0,MATCH(MAX(C515:G515),C515:G515,0))</f>
        <v>3</v>
      </c>
    </row>
    <row r="516" spans="1:8" x14ac:dyDescent="0.25">
      <c r="A516">
        <f t="shared" si="15"/>
        <v>11</v>
      </c>
      <c r="B516" t="s">
        <v>36</v>
      </c>
      <c r="C516" s="1">
        <v>167</v>
      </c>
      <c r="D516" s="1">
        <v>480</v>
      </c>
      <c r="E516" s="1">
        <v>1141</v>
      </c>
      <c r="F516" s="1">
        <v>202</v>
      </c>
      <c r="G516" s="1">
        <v>100</v>
      </c>
      <c r="H516" s="22">
        <f t="shared" si="16"/>
        <v>3</v>
      </c>
    </row>
    <row r="517" spans="1:8" x14ac:dyDescent="0.25">
      <c r="A517">
        <f t="shared" ref="A517:A578" si="17">IF((ROW()-3)/48=INT((ROW()-3)/48),A516+1,A516)</f>
        <v>11</v>
      </c>
      <c r="B517" t="s">
        <v>37</v>
      </c>
      <c r="C517" s="1">
        <v>83</v>
      </c>
      <c r="D517" s="1">
        <v>73</v>
      </c>
      <c r="E517" s="1">
        <v>334</v>
      </c>
      <c r="F517" s="1">
        <v>83</v>
      </c>
      <c r="G517" s="1">
        <v>4</v>
      </c>
      <c r="H517" s="22">
        <f t="shared" si="16"/>
        <v>3</v>
      </c>
    </row>
    <row r="518" spans="1:8" x14ac:dyDescent="0.25">
      <c r="A518">
        <f t="shared" si="17"/>
        <v>11</v>
      </c>
      <c r="B518" t="s">
        <v>38</v>
      </c>
      <c r="C518" s="1">
        <v>375</v>
      </c>
      <c r="D518" s="1">
        <v>553</v>
      </c>
      <c r="E518" s="1">
        <v>195</v>
      </c>
      <c r="F518" s="1">
        <v>212</v>
      </c>
      <c r="G518" s="1">
        <v>146</v>
      </c>
      <c r="H518" s="22">
        <f t="shared" si="16"/>
        <v>2</v>
      </c>
    </row>
    <row r="519" spans="1:8" x14ac:dyDescent="0.25">
      <c r="A519">
        <f t="shared" si="17"/>
        <v>11</v>
      </c>
      <c r="B519" t="s">
        <v>39</v>
      </c>
      <c r="C519" s="1">
        <v>528</v>
      </c>
      <c r="D519" s="1">
        <v>247</v>
      </c>
      <c r="E519" s="1">
        <v>723</v>
      </c>
      <c r="F519" s="1">
        <v>106</v>
      </c>
      <c r="G519" s="1">
        <v>79</v>
      </c>
      <c r="H519" s="22">
        <f t="shared" si="16"/>
        <v>3</v>
      </c>
    </row>
    <row r="520" spans="1:8" x14ac:dyDescent="0.25">
      <c r="A520">
        <f t="shared" si="17"/>
        <v>11</v>
      </c>
      <c r="B520" t="s">
        <v>40</v>
      </c>
      <c r="C520" s="1">
        <v>222</v>
      </c>
      <c r="D520" s="1">
        <v>451</v>
      </c>
      <c r="E520" s="1">
        <v>250</v>
      </c>
      <c r="F520" s="1">
        <v>23</v>
      </c>
      <c r="G520" s="1">
        <v>176</v>
      </c>
      <c r="H520" s="22">
        <f t="shared" si="16"/>
        <v>2</v>
      </c>
    </row>
    <row r="521" spans="1:8" x14ac:dyDescent="0.25">
      <c r="A521">
        <f t="shared" si="17"/>
        <v>11</v>
      </c>
      <c r="B521" t="s">
        <v>41</v>
      </c>
      <c r="C521" s="1">
        <v>153</v>
      </c>
      <c r="D521" s="1">
        <v>494</v>
      </c>
      <c r="E521" s="1">
        <v>306</v>
      </c>
      <c r="F521" s="1">
        <v>179</v>
      </c>
      <c r="G521" s="1">
        <v>38</v>
      </c>
      <c r="H521" s="22">
        <f t="shared" si="16"/>
        <v>2</v>
      </c>
    </row>
    <row r="522" spans="1:8" x14ac:dyDescent="0.25">
      <c r="A522">
        <f t="shared" si="17"/>
        <v>11</v>
      </c>
      <c r="B522" t="s">
        <v>42</v>
      </c>
      <c r="C522" s="1">
        <v>111</v>
      </c>
      <c r="D522" s="1">
        <v>58</v>
      </c>
      <c r="E522" s="1">
        <v>83</v>
      </c>
      <c r="F522" s="1">
        <v>175</v>
      </c>
      <c r="G522" s="1">
        <v>201</v>
      </c>
      <c r="H522" s="22">
        <f t="shared" si="16"/>
        <v>5</v>
      </c>
    </row>
    <row r="523" spans="1:8" x14ac:dyDescent="0.25">
      <c r="A523">
        <f t="shared" si="17"/>
        <v>11</v>
      </c>
      <c r="B523" t="s">
        <v>43</v>
      </c>
      <c r="C523" s="1">
        <v>584</v>
      </c>
      <c r="D523" s="1">
        <v>393</v>
      </c>
      <c r="E523" s="1">
        <v>1057</v>
      </c>
      <c r="F523" s="1">
        <v>37</v>
      </c>
      <c r="G523" s="1">
        <v>192</v>
      </c>
      <c r="H523" s="22">
        <f t="shared" si="16"/>
        <v>3</v>
      </c>
    </row>
    <row r="524" spans="1:8" x14ac:dyDescent="0.25">
      <c r="A524">
        <f t="shared" si="17"/>
        <v>11</v>
      </c>
      <c r="B524" t="s">
        <v>44</v>
      </c>
      <c r="C524" s="1">
        <v>97</v>
      </c>
      <c r="D524" s="1">
        <v>189</v>
      </c>
      <c r="E524" s="1">
        <v>1335</v>
      </c>
      <c r="F524" s="1">
        <v>207</v>
      </c>
      <c r="G524" s="1">
        <v>155</v>
      </c>
      <c r="H524" s="22">
        <f t="shared" si="16"/>
        <v>3</v>
      </c>
    </row>
    <row r="525" spans="1:8" x14ac:dyDescent="0.25">
      <c r="A525">
        <f t="shared" si="17"/>
        <v>11</v>
      </c>
      <c r="B525" t="s">
        <v>45</v>
      </c>
      <c r="C525" s="1">
        <v>42</v>
      </c>
      <c r="D525" s="1">
        <v>320</v>
      </c>
      <c r="E525" s="1">
        <v>28</v>
      </c>
      <c r="F525" s="1">
        <v>64</v>
      </c>
      <c r="G525" s="1">
        <v>142</v>
      </c>
      <c r="H525" s="22">
        <f t="shared" si="16"/>
        <v>2</v>
      </c>
    </row>
    <row r="526" spans="1:8" x14ac:dyDescent="0.25">
      <c r="A526">
        <f t="shared" si="17"/>
        <v>11</v>
      </c>
      <c r="B526" t="s">
        <v>46</v>
      </c>
      <c r="C526" s="1">
        <v>542</v>
      </c>
      <c r="D526" s="1">
        <v>596</v>
      </c>
      <c r="E526" s="1">
        <v>278</v>
      </c>
      <c r="F526" s="1">
        <v>120</v>
      </c>
      <c r="G526" s="1">
        <v>109</v>
      </c>
      <c r="H526" s="22">
        <f t="shared" si="16"/>
        <v>2</v>
      </c>
    </row>
    <row r="527" spans="1:8" x14ac:dyDescent="0.25">
      <c r="A527">
        <f t="shared" si="17"/>
        <v>11</v>
      </c>
      <c r="B527" t="s">
        <v>47</v>
      </c>
      <c r="C527" s="1">
        <v>626</v>
      </c>
      <c r="D527" s="1">
        <v>218</v>
      </c>
      <c r="E527" s="1">
        <v>56</v>
      </c>
      <c r="F527" s="1">
        <v>129</v>
      </c>
      <c r="G527" s="1">
        <v>151</v>
      </c>
      <c r="H527" s="22">
        <f t="shared" si="16"/>
        <v>1</v>
      </c>
    </row>
    <row r="528" spans="1:8" x14ac:dyDescent="0.25">
      <c r="A528">
        <f t="shared" si="17"/>
        <v>11</v>
      </c>
      <c r="B528" t="s">
        <v>48</v>
      </c>
      <c r="C528" s="1">
        <v>640</v>
      </c>
      <c r="D528" s="1">
        <v>291</v>
      </c>
      <c r="E528" s="1">
        <v>640</v>
      </c>
      <c r="F528" s="1">
        <v>46</v>
      </c>
      <c r="G528" s="1">
        <v>25</v>
      </c>
      <c r="H528" s="22">
        <f t="shared" si="16"/>
        <v>1</v>
      </c>
    </row>
    <row r="529" spans="1:8" x14ac:dyDescent="0.25">
      <c r="A529">
        <f t="shared" si="17"/>
        <v>11</v>
      </c>
      <c r="B529" t="s">
        <v>49</v>
      </c>
      <c r="C529" s="1">
        <v>473</v>
      </c>
      <c r="D529" s="1">
        <v>276</v>
      </c>
      <c r="E529" s="1">
        <v>668</v>
      </c>
      <c r="F529" s="1">
        <v>78</v>
      </c>
      <c r="G529" s="1">
        <v>63</v>
      </c>
      <c r="H529" s="22">
        <f t="shared" si="16"/>
        <v>3</v>
      </c>
    </row>
    <row r="530" spans="1:8" x14ac:dyDescent="0.25">
      <c r="A530">
        <f t="shared" si="17"/>
        <v>11</v>
      </c>
      <c r="B530" t="s">
        <v>50</v>
      </c>
      <c r="C530" s="1">
        <v>264</v>
      </c>
      <c r="D530" s="1">
        <v>305</v>
      </c>
      <c r="E530" s="1">
        <v>167</v>
      </c>
      <c r="F530" s="1">
        <v>110</v>
      </c>
      <c r="G530" s="1">
        <v>167</v>
      </c>
      <c r="H530" s="22">
        <f t="shared" si="16"/>
        <v>2</v>
      </c>
    </row>
    <row r="531" spans="1:8" x14ac:dyDescent="0.25">
      <c r="A531">
        <f t="shared" si="17"/>
        <v>12</v>
      </c>
      <c r="B531" t="s">
        <v>3</v>
      </c>
      <c r="C531" s="1">
        <v>366</v>
      </c>
      <c r="D531" s="1">
        <v>347</v>
      </c>
      <c r="E531" s="1">
        <v>581</v>
      </c>
      <c r="F531" s="1">
        <v>161</v>
      </c>
      <c r="G531" s="1">
        <v>132</v>
      </c>
      <c r="H531" s="22">
        <f t="shared" si="16"/>
        <v>3</v>
      </c>
    </row>
    <row r="532" spans="1:8" x14ac:dyDescent="0.25">
      <c r="A532">
        <f t="shared" si="17"/>
        <v>12</v>
      </c>
      <c r="B532" t="s">
        <v>4</v>
      </c>
      <c r="C532" s="1">
        <v>682</v>
      </c>
      <c r="D532" s="1">
        <v>612</v>
      </c>
      <c r="E532" s="1">
        <v>1023</v>
      </c>
      <c r="F532" s="1">
        <v>114</v>
      </c>
      <c r="G532" s="1">
        <v>64</v>
      </c>
      <c r="H532" s="22">
        <f t="shared" si="16"/>
        <v>3</v>
      </c>
    </row>
    <row r="533" spans="1:8" x14ac:dyDescent="0.25">
      <c r="A533">
        <f t="shared" si="17"/>
        <v>12</v>
      </c>
      <c r="B533" t="s">
        <v>5</v>
      </c>
      <c r="C533" s="1">
        <v>449</v>
      </c>
      <c r="D533" s="1">
        <v>116</v>
      </c>
      <c r="E533" s="1">
        <v>814</v>
      </c>
      <c r="F533" s="1">
        <v>212</v>
      </c>
      <c r="G533" s="1">
        <v>182</v>
      </c>
      <c r="H533" s="22">
        <f t="shared" si="16"/>
        <v>3</v>
      </c>
    </row>
    <row r="534" spans="1:8" x14ac:dyDescent="0.25">
      <c r="A534">
        <f t="shared" si="17"/>
        <v>12</v>
      </c>
      <c r="B534" t="s">
        <v>6</v>
      </c>
      <c r="C534" s="1">
        <v>233</v>
      </c>
      <c r="D534" s="1">
        <v>744</v>
      </c>
      <c r="E534" s="1">
        <v>465</v>
      </c>
      <c r="F534" s="1">
        <v>93</v>
      </c>
      <c r="G534" s="1">
        <v>82</v>
      </c>
      <c r="H534" s="22">
        <f t="shared" si="16"/>
        <v>2</v>
      </c>
    </row>
    <row r="535" spans="1:8" x14ac:dyDescent="0.25">
      <c r="A535">
        <f t="shared" si="17"/>
        <v>12</v>
      </c>
      <c r="B535" t="s">
        <v>7</v>
      </c>
      <c r="C535" s="1">
        <v>749</v>
      </c>
      <c r="D535" s="1">
        <v>629</v>
      </c>
      <c r="E535" s="1">
        <v>837</v>
      </c>
      <c r="F535" s="1">
        <v>135</v>
      </c>
      <c r="G535" s="1">
        <v>55</v>
      </c>
      <c r="H535" s="22">
        <f t="shared" si="16"/>
        <v>3</v>
      </c>
    </row>
    <row r="536" spans="1:8" x14ac:dyDescent="0.25">
      <c r="A536">
        <f t="shared" si="17"/>
        <v>12</v>
      </c>
      <c r="B536" t="s">
        <v>8</v>
      </c>
      <c r="C536" s="1">
        <v>133</v>
      </c>
      <c r="D536" s="1">
        <v>596</v>
      </c>
      <c r="E536" s="1">
        <v>70</v>
      </c>
      <c r="F536" s="1">
        <v>104</v>
      </c>
      <c r="G536" s="1">
        <v>127</v>
      </c>
      <c r="H536" s="22">
        <f t="shared" si="16"/>
        <v>2</v>
      </c>
    </row>
    <row r="537" spans="1:8" x14ac:dyDescent="0.25">
      <c r="A537">
        <f t="shared" si="17"/>
        <v>12</v>
      </c>
      <c r="B537" t="s">
        <v>9</v>
      </c>
      <c r="C537" s="1">
        <v>599</v>
      </c>
      <c r="D537" s="1">
        <v>695</v>
      </c>
      <c r="E537" s="1">
        <v>163</v>
      </c>
      <c r="F537" s="1">
        <v>228</v>
      </c>
      <c r="G537" s="1">
        <v>59</v>
      </c>
      <c r="H537" s="22">
        <f t="shared" si="16"/>
        <v>2</v>
      </c>
    </row>
    <row r="538" spans="1:8" x14ac:dyDescent="0.25">
      <c r="A538">
        <f t="shared" si="17"/>
        <v>12</v>
      </c>
      <c r="B538" t="s">
        <v>10</v>
      </c>
      <c r="C538" s="1">
        <v>215</v>
      </c>
      <c r="D538" s="1">
        <v>109</v>
      </c>
      <c r="E538" s="1">
        <v>100</v>
      </c>
      <c r="F538" s="1">
        <v>214</v>
      </c>
      <c r="G538" s="1">
        <v>860</v>
      </c>
      <c r="H538" s="22">
        <f t="shared" si="16"/>
        <v>5</v>
      </c>
    </row>
    <row r="539" spans="1:8" x14ac:dyDescent="0.25">
      <c r="A539">
        <f t="shared" si="17"/>
        <v>12</v>
      </c>
      <c r="B539" t="s">
        <v>11</v>
      </c>
      <c r="C539" s="1">
        <v>761</v>
      </c>
      <c r="D539" s="1">
        <v>21</v>
      </c>
      <c r="E539" s="1">
        <v>782</v>
      </c>
      <c r="F539" s="1">
        <v>154</v>
      </c>
      <c r="G539" s="1">
        <v>1046</v>
      </c>
      <c r="H539" s="22">
        <f t="shared" si="16"/>
        <v>5</v>
      </c>
    </row>
    <row r="540" spans="1:8" x14ac:dyDescent="0.25">
      <c r="A540">
        <f t="shared" si="17"/>
        <v>12</v>
      </c>
      <c r="B540" t="s">
        <v>12</v>
      </c>
      <c r="C540" s="1">
        <v>645</v>
      </c>
      <c r="D540" s="1">
        <v>145</v>
      </c>
      <c r="E540" s="1">
        <v>466</v>
      </c>
      <c r="F540" s="1">
        <v>95</v>
      </c>
      <c r="G540" s="1">
        <v>651</v>
      </c>
      <c r="H540" s="22">
        <f t="shared" si="16"/>
        <v>5</v>
      </c>
    </row>
    <row r="541" spans="1:8" x14ac:dyDescent="0.25">
      <c r="A541">
        <f t="shared" si="17"/>
        <v>12</v>
      </c>
      <c r="B541" t="s">
        <v>13</v>
      </c>
      <c r="C541" s="1">
        <v>380</v>
      </c>
      <c r="D541" s="1">
        <v>83</v>
      </c>
      <c r="E541" s="1">
        <v>632</v>
      </c>
      <c r="F541" s="1">
        <v>68</v>
      </c>
      <c r="G541" s="1">
        <v>372</v>
      </c>
      <c r="H541" s="22">
        <f t="shared" si="16"/>
        <v>3</v>
      </c>
    </row>
    <row r="542" spans="1:8" x14ac:dyDescent="0.25">
      <c r="A542">
        <f t="shared" si="17"/>
        <v>12</v>
      </c>
      <c r="B542" t="s">
        <v>14</v>
      </c>
      <c r="C542" s="1">
        <v>463</v>
      </c>
      <c r="D542" s="1">
        <v>186</v>
      </c>
      <c r="E542" s="1">
        <v>150</v>
      </c>
      <c r="F542" s="1">
        <v>173</v>
      </c>
      <c r="G542" s="1">
        <v>697</v>
      </c>
      <c r="H542" s="22">
        <f t="shared" si="16"/>
        <v>5</v>
      </c>
    </row>
    <row r="543" spans="1:8" x14ac:dyDescent="0.25">
      <c r="A543">
        <f t="shared" si="17"/>
        <v>12</v>
      </c>
      <c r="B543" t="s">
        <v>15</v>
      </c>
      <c r="C543" s="1">
        <v>579</v>
      </c>
      <c r="D543" s="1">
        <v>223</v>
      </c>
      <c r="E543" s="1">
        <v>200</v>
      </c>
      <c r="F543" s="1">
        <v>18</v>
      </c>
      <c r="G543" s="1">
        <v>790</v>
      </c>
      <c r="H543" s="22">
        <f t="shared" si="16"/>
        <v>5</v>
      </c>
    </row>
    <row r="544" spans="1:8" x14ac:dyDescent="0.25">
      <c r="A544">
        <f t="shared" si="17"/>
        <v>12</v>
      </c>
      <c r="B544" t="s">
        <v>16</v>
      </c>
      <c r="C544" s="1">
        <v>33</v>
      </c>
      <c r="D544" s="1">
        <v>31</v>
      </c>
      <c r="E544" s="1">
        <v>333</v>
      </c>
      <c r="F544" s="1">
        <v>9</v>
      </c>
      <c r="G544" s="1">
        <v>976</v>
      </c>
      <c r="H544" s="22">
        <f t="shared" si="16"/>
        <v>5</v>
      </c>
    </row>
    <row r="545" spans="1:8" x14ac:dyDescent="0.25">
      <c r="A545">
        <f t="shared" si="17"/>
        <v>12</v>
      </c>
      <c r="B545" t="s">
        <v>17</v>
      </c>
      <c r="C545" s="1">
        <v>166</v>
      </c>
      <c r="D545" s="1">
        <v>711</v>
      </c>
      <c r="E545" s="1">
        <v>674</v>
      </c>
      <c r="F545" s="1">
        <v>16</v>
      </c>
      <c r="G545" s="1">
        <v>141</v>
      </c>
      <c r="H545" s="22">
        <f t="shared" si="16"/>
        <v>2</v>
      </c>
    </row>
    <row r="546" spans="1:8" x14ac:dyDescent="0.25">
      <c r="A546">
        <f t="shared" si="17"/>
        <v>12</v>
      </c>
      <c r="B546" t="s">
        <v>18</v>
      </c>
      <c r="C546" s="1">
        <v>17</v>
      </c>
      <c r="D546" s="1">
        <v>99</v>
      </c>
      <c r="E546" s="1">
        <v>23</v>
      </c>
      <c r="F546" s="1">
        <v>140</v>
      </c>
      <c r="G546" s="1">
        <v>45</v>
      </c>
      <c r="H546" s="22">
        <f t="shared" si="16"/>
        <v>4</v>
      </c>
    </row>
    <row r="547" spans="1:8" x14ac:dyDescent="0.25">
      <c r="A547">
        <f t="shared" si="17"/>
        <v>12</v>
      </c>
      <c r="B547" t="s">
        <v>19</v>
      </c>
      <c r="C547" s="1">
        <v>316</v>
      </c>
      <c r="D547" s="1">
        <v>199</v>
      </c>
      <c r="E547" s="1">
        <v>721</v>
      </c>
      <c r="F547" s="1">
        <v>176</v>
      </c>
      <c r="G547" s="1">
        <v>104</v>
      </c>
      <c r="H547" s="22">
        <f t="shared" si="16"/>
        <v>3</v>
      </c>
    </row>
    <row r="548" spans="1:8" x14ac:dyDescent="0.25">
      <c r="A548">
        <f t="shared" si="17"/>
        <v>12</v>
      </c>
      <c r="B548" t="s">
        <v>20</v>
      </c>
      <c r="C548" s="1">
        <v>183</v>
      </c>
      <c r="D548" s="1">
        <v>430</v>
      </c>
      <c r="E548" s="1">
        <v>256</v>
      </c>
      <c r="F548" s="1">
        <v>150</v>
      </c>
      <c r="G548" s="1">
        <v>91</v>
      </c>
      <c r="H548" s="22">
        <f t="shared" si="16"/>
        <v>2</v>
      </c>
    </row>
    <row r="549" spans="1:8" x14ac:dyDescent="0.25">
      <c r="A549">
        <f t="shared" si="17"/>
        <v>12</v>
      </c>
      <c r="B549" t="s">
        <v>21</v>
      </c>
      <c r="C549" s="1">
        <v>715</v>
      </c>
      <c r="D549" s="1">
        <v>678</v>
      </c>
      <c r="E549" s="1">
        <v>907</v>
      </c>
      <c r="F549" s="1">
        <v>238</v>
      </c>
      <c r="G549" s="1">
        <v>177</v>
      </c>
      <c r="H549" s="22">
        <f t="shared" si="16"/>
        <v>3</v>
      </c>
    </row>
    <row r="550" spans="1:8" x14ac:dyDescent="0.25">
      <c r="A550">
        <f t="shared" si="17"/>
        <v>12</v>
      </c>
      <c r="B550" t="s">
        <v>22</v>
      </c>
      <c r="C550" s="1">
        <v>416</v>
      </c>
      <c r="D550" s="1">
        <v>794</v>
      </c>
      <c r="E550" s="1">
        <v>302</v>
      </c>
      <c r="F550" s="1">
        <v>243</v>
      </c>
      <c r="G550" s="1">
        <v>145</v>
      </c>
      <c r="H550" s="22">
        <f t="shared" si="16"/>
        <v>2</v>
      </c>
    </row>
    <row r="551" spans="1:8" x14ac:dyDescent="0.25">
      <c r="A551">
        <f t="shared" si="17"/>
        <v>12</v>
      </c>
      <c r="B551" t="s">
        <v>23</v>
      </c>
      <c r="C551" s="1">
        <v>665</v>
      </c>
      <c r="D551" s="1">
        <v>83</v>
      </c>
      <c r="E551" s="1">
        <v>325</v>
      </c>
      <c r="F551" s="1">
        <v>124</v>
      </c>
      <c r="G551" s="1">
        <v>41</v>
      </c>
      <c r="H551" s="22">
        <f t="shared" si="16"/>
        <v>1</v>
      </c>
    </row>
    <row r="552" spans="1:8" x14ac:dyDescent="0.25">
      <c r="A552">
        <f t="shared" si="17"/>
        <v>12</v>
      </c>
      <c r="B552" t="s">
        <v>24</v>
      </c>
      <c r="C552" s="1">
        <v>582</v>
      </c>
      <c r="D552" s="1">
        <v>496</v>
      </c>
      <c r="E552" s="1">
        <v>232</v>
      </c>
      <c r="F552" s="1">
        <v>166</v>
      </c>
      <c r="G552" s="1">
        <v>77</v>
      </c>
      <c r="H552" s="22">
        <f t="shared" si="16"/>
        <v>1</v>
      </c>
    </row>
    <row r="553" spans="1:8" x14ac:dyDescent="0.25">
      <c r="A553">
        <f t="shared" si="17"/>
        <v>12</v>
      </c>
      <c r="B553" t="s">
        <v>25</v>
      </c>
      <c r="C553" s="1">
        <v>349</v>
      </c>
      <c r="D553" s="1">
        <v>546</v>
      </c>
      <c r="E553" s="1">
        <v>116</v>
      </c>
      <c r="F553" s="1">
        <v>249</v>
      </c>
      <c r="G553" s="1">
        <v>191</v>
      </c>
      <c r="H553" s="22">
        <f t="shared" si="16"/>
        <v>2</v>
      </c>
    </row>
    <row r="554" spans="1:8" x14ac:dyDescent="0.25">
      <c r="A554">
        <f t="shared" si="17"/>
        <v>12</v>
      </c>
      <c r="B554" t="s">
        <v>26</v>
      </c>
      <c r="C554" s="1">
        <v>232</v>
      </c>
      <c r="D554" s="1">
        <v>93</v>
      </c>
      <c r="E554" s="1">
        <v>566</v>
      </c>
      <c r="F554" s="1">
        <v>73</v>
      </c>
      <c r="G554" s="1">
        <v>200</v>
      </c>
      <c r="H554" s="22">
        <f t="shared" si="16"/>
        <v>3</v>
      </c>
    </row>
    <row r="555" spans="1:8" x14ac:dyDescent="0.25">
      <c r="A555">
        <f t="shared" si="17"/>
        <v>12</v>
      </c>
      <c r="B555" t="s">
        <v>27</v>
      </c>
      <c r="C555" s="1">
        <v>482</v>
      </c>
      <c r="D555" s="1">
        <v>414</v>
      </c>
      <c r="E555" s="1">
        <v>1000</v>
      </c>
      <c r="F555" s="1">
        <v>98</v>
      </c>
      <c r="G555" s="1">
        <v>209</v>
      </c>
      <c r="H555" s="22">
        <f t="shared" si="16"/>
        <v>3</v>
      </c>
    </row>
    <row r="556" spans="1:8" x14ac:dyDescent="0.25">
      <c r="A556">
        <f t="shared" si="17"/>
        <v>12</v>
      </c>
      <c r="B556" t="s">
        <v>28</v>
      </c>
      <c r="C556" s="1">
        <v>67</v>
      </c>
      <c r="D556" s="1">
        <v>447</v>
      </c>
      <c r="E556" s="1">
        <v>930</v>
      </c>
      <c r="F556" s="1">
        <v>57</v>
      </c>
      <c r="G556" s="1">
        <v>86</v>
      </c>
      <c r="H556" s="22">
        <f t="shared" si="16"/>
        <v>3</v>
      </c>
    </row>
    <row r="557" spans="1:8" x14ac:dyDescent="0.25">
      <c r="A557">
        <f t="shared" si="17"/>
        <v>12</v>
      </c>
      <c r="B557" t="s">
        <v>29</v>
      </c>
      <c r="C557" s="1">
        <v>50</v>
      </c>
      <c r="D557" s="1">
        <v>364</v>
      </c>
      <c r="E557" s="1">
        <v>535</v>
      </c>
      <c r="F557" s="1">
        <v>202</v>
      </c>
      <c r="G557" s="1">
        <v>168</v>
      </c>
      <c r="H557" s="22">
        <f t="shared" si="16"/>
        <v>3</v>
      </c>
    </row>
    <row r="558" spans="1:8" x14ac:dyDescent="0.25">
      <c r="A558">
        <f t="shared" si="17"/>
        <v>12</v>
      </c>
      <c r="B558" t="s">
        <v>30</v>
      </c>
      <c r="C558" s="1">
        <v>116</v>
      </c>
      <c r="D558" s="1">
        <v>331</v>
      </c>
      <c r="E558" s="1">
        <v>186</v>
      </c>
      <c r="F558" s="1">
        <v>218</v>
      </c>
      <c r="G558" s="1">
        <v>150</v>
      </c>
      <c r="H558" s="22">
        <f t="shared" si="16"/>
        <v>2</v>
      </c>
    </row>
    <row r="559" spans="1:8" x14ac:dyDescent="0.25">
      <c r="A559">
        <f t="shared" si="17"/>
        <v>12</v>
      </c>
      <c r="B559" t="s">
        <v>31</v>
      </c>
      <c r="C559" s="1">
        <v>532</v>
      </c>
      <c r="D559" s="1">
        <v>529</v>
      </c>
      <c r="E559" s="1">
        <v>209</v>
      </c>
      <c r="F559" s="1">
        <v>47</v>
      </c>
      <c r="G559" s="1">
        <v>159</v>
      </c>
      <c r="H559" s="22">
        <f t="shared" si="16"/>
        <v>1</v>
      </c>
    </row>
    <row r="560" spans="1:8" x14ac:dyDescent="0.25">
      <c r="A560">
        <f t="shared" si="17"/>
        <v>12</v>
      </c>
      <c r="B560" t="s">
        <v>32</v>
      </c>
      <c r="C560" s="1">
        <v>399</v>
      </c>
      <c r="D560" s="1">
        <v>298</v>
      </c>
      <c r="E560" s="1">
        <v>139</v>
      </c>
      <c r="F560" s="1">
        <v>192</v>
      </c>
      <c r="G560" s="1">
        <v>14</v>
      </c>
      <c r="H560" s="22">
        <f t="shared" si="16"/>
        <v>1</v>
      </c>
    </row>
    <row r="561" spans="1:8" x14ac:dyDescent="0.25">
      <c r="A561">
        <f t="shared" si="17"/>
        <v>12</v>
      </c>
      <c r="B561" t="s">
        <v>33</v>
      </c>
      <c r="C561" s="1">
        <v>216</v>
      </c>
      <c r="D561" s="1">
        <v>562</v>
      </c>
      <c r="E561" s="1">
        <v>558</v>
      </c>
      <c r="F561" s="1">
        <v>62</v>
      </c>
      <c r="G561" s="1">
        <v>36</v>
      </c>
      <c r="H561" s="22">
        <f t="shared" si="16"/>
        <v>2</v>
      </c>
    </row>
    <row r="562" spans="1:8" x14ac:dyDescent="0.25">
      <c r="A562">
        <f t="shared" si="17"/>
        <v>12</v>
      </c>
      <c r="B562" t="s">
        <v>34</v>
      </c>
      <c r="C562" s="1">
        <v>83</v>
      </c>
      <c r="D562" s="1">
        <v>149</v>
      </c>
      <c r="E562" s="1">
        <v>395</v>
      </c>
      <c r="F562" s="1">
        <v>88</v>
      </c>
      <c r="G562" s="1">
        <v>218</v>
      </c>
      <c r="H562" s="22">
        <f t="shared" si="16"/>
        <v>3</v>
      </c>
    </row>
    <row r="563" spans="1:8" x14ac:dyDescent="0.25">
      <c r="A563">
        <f t="shared" si="17"/>
        <v>12</v>
      </c>
      <c r="B563" t="s">
        <v>35</v>
      </c>
      <c r="C563" s="1">
        <v>732</v>
      </c>
      <c r="D563" s="1">
        <v>248</v>
      </c>
      <c r="E563" s="1">
        <v>442</v>
      </c>
      <c r="F563" s="1">
        <v>67</v>
      </c>
      <c r="G563" s="1">
        <v>204</v>
      </c>
      <c r="H563" s="22">
        <f t="shared" si="16"/>
        <v>1</v>
      </c>
    </row>
    <row r="564" spans="1:8" x14ac:dyDescent="0.25">
      <c r="A564">
        <f t="shared" si="17"/>
        <v>12</v>
      </c>
      <c r="B564" t="s">
        <v>36</v>
      </c>
      <c r="C564" s="1">
        <v>432</v>
      </c>
      <c r="D564" s="1">
        <v>777</v>
      </c>
      <c r="E564" s="1">
        <v>46</v>
      </c>
      <c r="F564" s="1">
        <v>5</v>
      </c>
      <c r="G564" s="1">
        <v>123</v>
      </c>
      <c r="H564" s="22">
        <f t="shared" si="16"/>
        <v>2</v>
      </c>
    </row>
    <row r="565" spans="1:8" x14ac:dyDescent="0.25">
      <c r="A565">
        <f t="shared" si="17"/>
        <v>12</v>
      </c>
      <c r="B565" t="s">
        <v>37</v>
      </c>
      <c r="C565" s="1">
        <v>383</v>
      </c>
      <c r="D565" s="1">
        <v>397</v>
      </c>
      <c r="E565" s="1">
        <v>1116</v>
      </c>
      <c r="F565" s="1">
        <v>36</v>
      </c>
      <c r="G565" s="1">
        <v>164</v>
      </c>
      <c r="H565" s="22">
        <f t="shared" si="16"/>
        <v>3</v>
      </c>
    </row>
    <row r="566" spans="1:8" x14ac:dyDescent="0.25">
      <c r="A566">
        <f t="shared" si="17"/>
        <v>12</v>
      </c>
      <c r="B566" t="s">
        <v>38</v>
      </c>
      <c r="C566" s="1">
        <v>283</v>
      </c>
      <c r="D566" s="1">
        <v>17</v>
      </c>
      <c r="E566" s="1">
        <v>953</v>
      </c>
      <c r="F566" s="1">
        <v>181</v>
      </c>
      <c r="G566" s="1">
        <v>109</v>
      </c>
      <c r="H566" s="22">
        <f t="shared" si="16"/>
        <v>3</v>
      </c>
    </row>
    <row r="567" spans="1:8" x14ac:dyDescent="0.25">
      <c r="A567">
        <f t="shared" si="17"/>
        <v>12</v>
      </c>
      <c r="B567" t="s">
        <v>39</v>
      </c>
      <c r="C567" s="1">
        <v>516</v>
      </c>
      <c r="D567" s="1">
        <v>513</v>
      </c>
      <c r="E567" s="1">
        <v>883</v>
      </c>
      <c r="F567" s="1">
        <v>197</v>
      </c>
      <c r="G567" s="1">
        <v>23</v>
      </c>
      <c r="H567" s="22">
        <f t="shared" si="16"/>
        <v>3</v>
      </c>
    </row>
    <row r="568" spans="1:8" x14ac:dyDescent="0.25">
      <c r="A568">
        <f t="shared" si="17"/>
        <v>12</v>
      </c>
      <c r="B568" t="s">
        <v>40</v>
      </c>
      <c r="C568" s="1">
        <v>798</v>
      </c>
      <c r="D568" s="1">
        <v>662</v>
      </c>
      <c r="E568" s="1">
        <v>511</v>
      </c>
      <c r="F568" s="1">
        <v>129</v>
      </c>
      <c r="G568" s="1">
        <v>195</v>
      </c>
      <c r="H568" s="22">
        <f t="shared" si="16"/>
        <v>1</v>
      </c>
    </row>
    <row r="569" spans="1:8" x14ac:dyDescent="0.25">
      <c r="A569">
        <f t="shared" si="17"/>
        <v>12</v>
      </c>
      <c r="B569" t="s">
        <v>41</v>
      </c>
      <c r="C569" s="1">
        <v>649</v>
      </c>
      <c r="D569" s="1">
        <v>728</v>
      </c>
      <c r="E569" s="1">
        <v>279</v>
      </c>
      <c r="F569" s="1">
        <v>207</v>
      </c>
      <c r="G569" s="1">
        <v>50</v>
      </c>
      <c r="H569" s="22">
        <f t="shared" si="16"/>
        <v>2</v>
      </c>
    </row>
    <row r="570" spans="1:8" x14ac:dyDescent="0.25">
      <c r="A570">
        <f t="shared" si="17"/>
        <v>12</v>
      </c>
      <c r="B570" t="s">
        <v>42</v>
      </c>
      <c r="C570" s="1">
        <v>250</v>
      </c>
      <c r="D570" s="1">
        <v>480</v>
      </c>
      <c r="E570" s="1">
        <v>488</v>
      </c>
      <c r="F570" s="1">
        <v>155</v>
      </c>
      <c r="G570" s="1">
        <v>100</v>
      </c>
      <c r="H570" s="22">
        <f t="shared" si="16"/>
        <v>3</v>
      </c>
    </row>
    <row r="571" spans="1:8" x14ac:dyDescent="0.25">
      <c r="A571">
        <f t="shared" si="17"/>
        <v>12</v>
      </c>
      <c r="B571" t="s">
        <v>43</v>
      </c>
      <c r="C571" s="1">
        <v>549</v>
      </c>
      <c r="D571" s="1">
        <v>50</v>
      </c>
      <c r="E571" s="1">
        <v>349</v>
      </c>
      <c r="F571" s="1">
        <v>119</v>
      </c>
      <c r="G571" s="1">
        <v>73</v>
      </c>
      <c r="H571" s="22">
        <f t="shared" si="16"/>
        <v>1</v>
      </c>
    </row>
    <row r="572" spans="1:8" x14ac:dyDescent="0.25">
      <c r="A572">
        <f t="shared" si="17"/>
        <v>12</v>
      </c>
      <c r="B572" t="s">
        <v>44</v>
      </c>
      <c r="C572" s="1">
        <v>499</v>
      </c>
      <c r="D572" s="1">
        <v>165</v>
      </c>
      <c r="E572" s="1">
        <v>1093</v>
      </c>
      <c r="F572" s="1">
        <v>171</v>
      </c>
      <c r="G572" s="1">
        <v>27</v>
      </c>
      <c r="H572" s="22">
        <f t="shared" si="16"/>
        <v>3</v>
      </c>
    </row>
    <row r="573" spans="1:8" x14ac:dyDescent="0.25">
      <c r="A573">
        <f t="shared" si="17"/>
        <v>12</v>
      </c>
      <c r="B573" t="s">
        <v>45</v>
      </c>
      <c r="C573" s="1">
        <v>765</v>
      </c>
      <c r="D573" s="1">
        <v>66</v>
      </c>
      <c r="E573" s="1">
        <v>628</v>
      </c>
      <c r="F573" s="1">
        <v>10</v>
      </c>
      <c r="G573" s="1">
        <v>114</v>
      </c>
      <c r="H573" s="22">
        <f t="shared" si="16"/>
        <v>1</v>
      </c>
    </row>
    <row r="574" spans="1:8" x14ac:dyDescent="0.25">
      <c r="A574">
        <f t="shared" si="17"/>
        <v>12</v>
      </c>
      <c r="B574" t="s">
        <v>46</v>
      </c>
      <c r="C574" s="1">
        <v>266</v>
      </c>
      <c r="D574" s="1">
        <v>314</v>
      </c>
      <c r="E574" s="1">
        <v>1069</v>
      </c>
      <c r="F574" s="1">
        <v>41</v>
      </c>
      <c r="G574" s="1">
        <v>32</v>
      </c>
      <c r="H574" s="22">
        <f t="shared" si="16"/>
        <v>3</v>
      </c>
    </row>
    <row r="575" spans="1:8" x14ac:dyDescent="0.25">
      <c r="A575">
        <f t="shared" si="17"/>
        <v>12</v>
      </c>
      <c r="B575" t="s">
        <v>47</v>
      </c>
      <c r="C575" s="1">
        <v>299</v>
      </c>
      <c r="D575" s="1">
        <v>265</v>
      </c>
      <c r="E575" s="1">
        <v>418</v>
      </c>
      <c r="F575" s="1">
        <v>26</v>
      </c>
      <c r="G575" s="1">
        <v>118</v>
      </c>
      <c r="H575" s="22">
        <f t="shared" si="16"/>
        <v>3</v>
      </c>
    </row>
    <row r="576" spans="1:8" x14ac:dyDescent="0.25">
      <c r="A576">
        <f t="shared" si="17"/>
        <v>12</v>
      </c>
      <c r="B576" t="s">
        <v>48</v>
      </c>
      <c r="C576" s="1">
        <v>33</v>
      </c>
      <c r="D576" s="1">
        <v>132</v>
      </c>
      <c r="E576" s="1">
        <v>604</v>
      </c>
      <c r="F576" s="1">
        <v>52</v>
      </c>
      <c r="G576" s="1">
        <v>136</v>
      </c>
      <c r="H576" s="22">
        <f t="shared" si="16"/>
        <v>3</v>
      </c>
    </row>
    <row r="577" spans="1:8" x14ac:dyDescent="0.25">
      <c r="A577">
        <f t="shared" si="17"/>
        <v>12</v>
      </c>
      <c r="B577" t="s">
        <v>49</v>
      </c>
      <c r="C577" s="1">
        <v>615</v>
      </c>
      <c r="D577" s="1">
        <v>182</v>
      </c>
      <c r="E577" s="1">
        <v>744</v>
      </c>
      <c r="F577" s="1">
        <v>78</v>
      </c>
      <c r="G577" s="1">
        <v>186</v>
      </c>
      <c r="H577" s="22">
        <f t="shared" si="16"/>
        <v>3</v>
      </c>
    </row>
    <row r="578" spans="1:8" x14ac:dyDescent="0.25">
      <c r="A578">
        <f t="shared" si="17"/>
        <v>12</v>
      </c>
      <c r="B578" t="s">
        <v>50</v>
      </c>
      <c r="C578" s="1">
        <v>699</v>
      </c>
      <c r="D578" s="1">
        <v>281</v>
      </c>
      <c r="E578" s="1">
        <v>767</v>
      </c>
      <c r="F578" s="1">
        <v>233</v>
      </c>
      <c r="G578" s="1">
        <v>5</v>
      </c>
      <c r="H578" s="22">
        <f t="shared" si="16"/>
        <v>3</v>
      </c>
    </row>
  </sheetData>
  <mergeCells count="2">
    <mergeCell ref="A1:A2"/>
    <mergeCell ref="B1:B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/>
  <dimension ref="A1:Z48"/>
  <sheetViews>
    <sheetView zoomScale="85" zoomScaleNormal="85" workbookViewId="0">
      <selection activeCell="A10" sqref="A10"/>
    </sheetView>
  </sheetViews>
  <sheetFormatPr defaultRowHeight="15" x14ac:dyDescent="0.25"/>
  <cols>
    <col min="1" max="1" width="16.28515625" customWidth="1"/>
    <col min="2" max="2" width="10.5703125" customWidth="1"/>
    <col min="3" max="3" width="11.140625" customWidth="1"/>
    <col min="4" max="4" width="12.5703125" customWidth="1"/>
    <col min="5" max="5" width="10.5703125" customWidth="1"/>
    <col min="8" max="8" width="13" customWidth="1"/>
    <col min="9" max="9" width="12" bestFit="1" customWidth="1"/>
    <col min="10" max="10" width="10.28515625" bestFit="1" customWidth="1"/>
    <col min="14" max="14" width="15.140625" bestFit="1" customWidth="1"/>
    <col min="17" max="17" width="15.140625" bestFit="1" customWidth="1"/>
  </cols>
  <sheetData>
    <row r="1" spans="1:26" x14ac:dyDescent="0.25">
      <c r="A1" t="s">
        <v>85</v>
      </c>
      <c r="C1">
        <f>DAY(EOMONTH(DATE(YEAR($B$2),ROW(),1),0))</f>
        <v>31</v>
      </c>
      <c r="D1" s="43" t="s">
        <v>96</v>
      </c>
      <c r="E1" s="43"/>
      <c r="F1" s="43" t="s">
        <v>97</v>
      </c>
      <c r="G1" s="43"/>
      <c r="H1" s="43" t="s">
        <v>78</v>
      </c>
      <c r="I1" s="43"/>
      <c r="J1" t="s">
        <v>98</v>
      </c>
      <c r="N1" t="s">
        <v>3</v>
      </c>
      <c r="O1">
        <f>SUMIFS(States!H:H,States!A:A,$B$5,States!B:B,N1)</f>
        <v>3</v>
      </c>
      <c r="Q1" t="s">
        <v>3</v>
      </c>
      <c r="R1">
        <f>IFERROR(INDEX($O$1:$O$48,MATCH(Q1,$N$1:$N$48,0)),0)</f>
        <v>3</v>
      </c>
      <c r="S1">
        <f ca="1">INDEX(OFFSET(States!$C$3:$C$50,$B$5*48-48,0),MATCH(Q1,OFFSET(States!$B$3:$B$50,$B$5*48-48,0),0))</f>
        <v>366</v>
      </c>
      <c r="T1">
        <f>COUNTIF(R1:R48,1)</f>
        <v>8</v>
      </c>
      <c r="U1" t="str">
        <f t="array" ref="U1">INDEX($Q$1:$Q$48,SMALL(IF($R$1:$R$48=W1,ROW($R$1:$R$48)),COUNTIF($W$1:W1,W1)))</f>
        <v>Minnesota</v>
      </c>
      <c r="V1">
        <f ca="1">IFERROR(INDEX($S$1:$S$48,MATCH(U1,$Q$1:$Q$48,0)),0)</f>
        <v>665</v>
      </c>
      <c r="W1">
        <v>1</v>
      </c>
      <c r="X1" t="str">
        <f t="array" aca="1" ref="X1" ca="1">IFERROR(INDEX($U$1:$U$48,SMALL(IF($V$1:$V$48=Y1,ROW($V$1:$V$48)),COUNTIF($Y$1:Y1,Y1))),"-")</f>
        <v>South Carolina</v>
      </c>
      <c r="Y1">
        <f ca="1">LARGE($V$1:$V$48,ROW())</f>
        <v>798</v>
      </c>
      <c r="Z1">
        <f ca="1">IF(X1="-",0,MAX($Y$1:$Y$7)-Y1)</f>
        <v>0</v>
      </c>
    </row>
    <row r="2" spans="1:26" x14ac:dyDescent="0.25">
      <c r="A2" t="s">
        <v>52</v>
      </c>
      <c r="B2" s="5">
        <f>Users!A3</f>
        <v>43831</v>
      </c>
      <c r="C2">
        <f t="shared" ref="C2:C12" si="0">DAY(EOMONTH(DATE(YEAR($B$2),ROW(),1),0))</f>
        <v>29</v>
      </c>
      <c r="D2" t="s">
        <v>99</v>
      </c>
      <c r="E2" t="s">
        <v>100</v>
      </c>
      <c r="F2" t="s">
        <v>103</v>
      </c>
      <c r="G2" t="s">
        <v>82</v>
      </c>
      <c r="H2" t="s">
        <v>101</v>
      </c>
      <c r="I2" t="s">
        <v>102</v>
      </c>
      <c r="J2" t="s">
        <v>100</v>
      </c>
      <c r="K2" t="s">
        <v>99</v>
      </c>
      <c r="N2" t="s">
        <v>4</v>
      </c>
      <c r="O2">
        <f>SUMIFS(States!H:H,States!A:A,$B$5,States!B:B,N2)</f>
        <v>3</v>
      </c>
      <c r="Q2" t="s">
        <v>4</v>
      </c>
      <c r="R2">
        <f t="shared" ref="R2:R48" si="1">IFERROR(INDEX($O$1:$O$48,MATCH(Q2,$N$1:$N$48,0)),0)</f>
        <v>3</v>
      </c>
      <c r="S2">
        <f ca="1">INDEX(OFFSET(States!$C$3:$C$50,$B$5*48-48,0),MATCH(Q2,OFFSET(States!$B$3:$B$50,$B$5*48-48,0),0))</f>
        <v>682</v>
      </c>
      <c r="U2" t="str">
        <f t="array" ref="U2">INDEX($Q$1:$Q$48,SMALL(IF($R$1:$R$48=W2,ROW($R$1:$R$48)),COUNTIF($W$1:W2,W2)))</f>
        <v>Mississippi</v>
      </c>
      <c r="V2">
        <f t="shared" ref="V2:V48" ca="1" si="2">IFERROR(INDEX($S$1:$S$48,MATCH(U2,$Q$1:$Q$48,0)),0)</f>
        <v>582</v>
      </c>
      <c r="W2">
        <v>1</v>
      </c>
      <c r="X2" t="str">
        <f t="array" aca="1" ref="X2" ca="1">IFERROR(INDEX($U$1:$U$48,SMALL(IF($V$1:$V$48=Y2,ROW($V$1:$V$48)),COUNTIF($Y$1:Y2,Y2))),"-")</f>
        <v>Vermont</v>
      </c>
      <c r="Y2">
        <f t="shared" ref="Y2:Y48" ca="1" si="3">LARGE($V$1:$V$48,ROW())</f>
        <v>765</v>
      </c>
      <c r="Z2">
        <f t="shared" ref="Z2:Z48" ca="1" si="4">IF(X2="-",0,MAX($Y$1:$Y$7)-Y2)</f>
        <v>33</v>
      </c>
    </row>
    <row r="3" spans="1:26" x14ac:dyDescent="0.25">
      <c r="A3" t="s">
        <v>86</v>
      </c>
      <c r="B3">
        <f ca="1">SUM(OFFSET(C1,0,0,B5,1))-B4</f>
        <v>335</v>
      </c>
      <c r="C3">
        <f t="shared" si="0"/>
        <v>31</v>
      </c>
      <c r="D3">
        <f ca="1">SUM(NewVisitorsMonth)</f>
        <v>68016</v>
      </c>
      <c r="E3">
        <f ca="1">SUM(OldVisitorsMonth)</f>
        <v>15972</v>
      </c>
      <c r="F3">
        <f ca="1">SUM(SalesMonth)-G3</f>
        <v>12339</v>
      </c>
      <c r="G3">
        <f ca="1">ROUND(SUM(ProfitMonth),0)</f>
        <v>5353</v>
      </c>
      <c r="H3">
        <f ca="1">SUM(ActiveUsersMonth)</f>
        <v>12658</v>
      </c>
      <c r="I3">
        <f ca="1">D3+E3-H3</f>
        <v>71330</v>
      </c>
      <c r="J3">
        <f ca="1">E3</f>
        <v>15972</v>
      </c>
      <c r="K3">
        <f ca="1">D3</f>
        <v>68016</v>
      </c>
      <c r="N3" t="s">
        <v>5</v>
      </c>
      <c r="O3">
        <f>SUMIFS(States!H:H,States!A:A,$B$5,States!B:B,N3)</f>
        <v>3</v>
      </c>
      <c r="Q3" t="s">
        <v>5</v>
      </c>
      <c r="R3">
        <f t="shared" si="1"/>
        <v>3</v>
      </c>
      <c r="S3">
        <f ca="1">INDEX(OFFSET(States!$C$3:$C$50,$B$5*48-48,0),MATCH(Q3,OFFSET(States!$B$3:$B$50,$B$5*48-48,0),0))</f>
        <v>449</v>
      </c>
      <c r="U3" t="str">
        <f t="array" ref="U3">INDEX($Q$1:$Q$48,SMALL(IF($R$1:$R$48=W3,ROW($R$1:$R$48)),COUNTIF($W$1:W3,W3)))</f>
        <v>New Mexico</v>
      </c>
      <c r="V3">
        <f t="shared" ca="1" si="2"/>
        <v>532</v>
      </c>
      <c r="W3">
        <v>1</v>
      </c>
      <c r="X3" t="str">
        <f t="array" aca="1" ref="X3" ca="1">IFERROR(INDEX($U$1:$U$48,SMALL(IF($V$1:$V$48=Y3,ROW($V$1:$V$48)),COUNTIF($Y$1:Y3,Y3))),"-")</f>
        <v>Ohio</v>
      </c>
      <c r="Y3">
        <f t="shared" ca="1" si="3"/>
        <v>732</v>
      </c>
      <c r="Z3">
        <f t="shared" ca="1" si="4"/>
        <v>66</v>
      </c>
    </row>
    <row r="4" spans="1:26" x14ac:dyDescent="0.25">
      <c r="A4" t="s">
        <v>87</v>
      </c>
      <c r="B4">
        <f>INDEX(C1:C12,B5)</f>
        <v>31</v>
      </c>
      <c r="C4">
        <f t="shared" si="0"/>
        <v>30</v>
      </c>
      <c r="N4" t="s">
        <v>6</v>
      </c>
      <c r="O4">
        <f>SUMIFS(States!H:H,States!A:A,$B$5,States!B:B,N4)</f>
        <v>2</v>
      </c>
      <c r="Q4" t="s">
        <v>6</v>
      </c>
      <c r="R4">
        <f t="shared" si="1"/>
        <v>2</v>
      </c>
      <c r="S4">
        <f ca="1">INDEX(OFFSET(States!$C$3:$C$50,$B$5*48-48,0),MATCH(Q4,OFFSET(States!$B$3:$B$50,$B$5*48-48,0),0))</f>
        <v>233</v>
      </c>
      <c r="U4" t="str">
        <f t="array" ref="U4">INDEX($Q$1:$Q$48,SMALL(IF($R$1:$R$48=W4,ROW($R$1:$R$48)),COUNTIF($W$1:W4,W4)))</f>
        <v>New York</v>
      </c>
      <c r="V4">
        <f t="shared" ca="1" si="2"/>
        <v>399</v>
      </c>
      <c r="W4">
        <v>1</v>
      </c>
      <c r="X4" t="str">
        <f t="array" aca="1" ref="X4" ca="1">IFERROR(INDEX($U$1:$U$48,SMALL(IF($V$1:$V$48=Y4,ROW($V$1:$V$48)),COUNTIF($Y$1:Y4,Y4))),"-")</f>
        <v>Minnesota</v>
      </c>
      <c r="Y4">
        <f t="shared" ca="1" si="3"/>
        <v>665</v>
      </c>
      <c r="Z4">
        <f t="shared" ca="1" si="4"/>
        <v>133</v>
      </c>
    </row>
    <row r="5" spans="1:26" x14ac:dyDescent="0.25">
      <c r="A5" t="s">
        <v>88</v>
      </c>
      <c r="B5">
        <v>12</v>
      </c>
      <c r="C5">
        <f t="shared" si="0"/>
        <v>31</v>
      </c>
      <c r="E5" s="19" t="s">
        <v>92</v>
      </c>
      <c r="N5" t="s">
        <v>7</v>
      </c>
      <c r="O5">
        <f>SUMIFS(States!H:H,States!A:A,$B$5,States!B:B,N5)</f>
        <v>3</v>
      </c>
      <c r="Q5" t="s">
        <v>7</v>
      </c>
      <c r="R5">
        <f t="shared" si="1"/>
        <v>3</v>
      </c>
      <c r="S5">
        <f ca="1">INDEX(OFFSET(States!$C$3:$C$50,$B$5*48-48,0),MATCH(Q5,OFFSET(States!$B$3:$B$50,$B$5*48-48,0),0))</f>
        <v>749</v>
      </c>
      <c r="U5" t="str">
        <f t="array" ref="U5">INDEX($Q$1:$Q$48,SMALL(IF($R$1:$R$48=W5,ROW($R$1:$R$48)),COUNTIF($W$1:W5,W5)))</f>
        <v>Ohio</v>
      </c>
      <c r="V5">
        <f t="shared" ca="1" si="2"/>
        <v>732</v>
      </c>
      <c r="W5">
        <v>1</v>
      </c>
      <c r="X5" t="str">
        <f t="array" aca="1" ref="X5" ca="1">IFERROR(INDEX($U$1:$U$48,SMALL(IF($V$1:$V$48=Y5,ROW($V$1:$V$48)),COUNTIF($Y$1:Y5,Y5))),"-")</f>
        <v>Mississippi</v>
      </c>
      <c r="Y5">
        <f t="shared" ca="1" si="3"/>
        <v>582</v>
      </c>
      <c r="Z5">
        <f t="shared" ca="1" si="4"/>
        <v>216</v>
      </c>
    </row>
    <row r="6" spans="1:26" x14ac:dyDescent="0.25">
      <c r="C6">
        <f t="shared" si="0"/>
        <v>30</v>
      </c>
      <c r="E6" s="18" t="s">
        <v>93</v>
      </c>
      <c r="F6">
        <f ca="1">SUM(OFFSET(Users!$F$3,Processing!$B$3,0,Processing!$B$4,1))</f>
        <v>27340</v>
      </c>
      <c r="H6" s="18" t="s">
        <v>93</v>
      </c>
      <c r="I6">
        <f ca="1">F6</f>
        <v>27340</v>
      </c>
      <c r="J6">
        <f ca="1">MAX($I$6:I6)-I6</f>
        <v>0</v>
      </c>
      <c r="N6" t="s">
        <v>8</v>
      </c>
      <c r="O6">
        <f>SUMIFS(States!H:H,States!A:A,$B$5,States!B:B,N6)</f>
        <v>2</v>
      </c>
      <c r="Q6" t="s">
        <v>8</v>
      </c>
      <c r="R6">
        <f t="shared" si="1"/>
        <v>2</v>
      </c>
      <c r="S6">
        <f ca="1">INDEX(OFFSET(States!$C$3:$C$50,$B$5*48-48,0),MATCH(Q6,OFFSET(States!$B$3:$B$50,$B$5*48-48,0),0))</f>
        <v>133</v>
      </c>
      <c r="U6" t="str">
        <f t="array" ref="U6">INDEX($Q$1:$Q$48,SMALL(IF($R$1:$R$48=W6,ROW($R$1:$R$48)),COUNTIF($W$1:W6,W6)))</f>
        <v>South Carolina</v>
      </c>
      <c r="V6">
        <f t="shared" ca="1" si="2"/>
        <v>798</v>
      </c>
      <c r="W6">
        <v>1</v>
      </c>
      <c r="X6" t="str">
        <f t="array" aca="1" ref="X6" ca="1">IFERROR(INDEX($U$1:$U$48,SMALL(IF($V$1:$V$48=Y6,ROW($V$1:$V$48)),COUNTIF($Y$1:Y6,Y6))),"-")</f>
        <v>Texas</v>
      </c>
      <c r="Y6">
        <f t="shared" ca="1" si="3"/>
        <v>549</v>
      </c>
      <c r="Z6">
        <f t="shared" ca="1" si="4"/>
        <v>249</v>
      </c>
    </row>
    <row r="7" spans="1:26" x14ac:dyDescent="0.25">
      <c r="C7">
        <f t="shared" si="0"/>
        <v>31</v>
      </c>
      <c r="E7" s="18" t="s">
        <v>94</v>
      </c>
      <c r="F7">
        <f ca="1">SUM(OFFSET(Users!$G$3,Processing!$B$3,0,Processing!$B$4,1))</f>
        <v>19561</v>
      </c>
      <c r="H7" s="18" t="s">
        <v>94</v>
      </c>
      <c r="I7">
        <f ca="1">F10</f>
        <v>5343</v>
      </c>
      <c r="J7">
        <f ca="1">MAX($I$6:I7)-I7</f>
        <v>21997</v>
      </c>
      <c r="N7" t="s">
        <v>9</v>
      </c>
      <c r="O7">
        <f>SUMIFS(States!H:H,States!A:A,$B$5,States!B:B,N7)</f>
        <v>2</v>
      </c>
      <c r="Q7" t="s">
        <v>9</v>
      </c>
      <c r="R7">
        <f t="shared" si="1"/>
        <v>2</v>
      </c>
      <c r="S7">
        <f ca="1">INDEX(OFFSET(States!$C$3:$C$50,$B$5*48-48,0),MATCH(Q7,OFFSET(States!$B$3:$B$50,$B$5*48-48,0),0))</f>
        <v>599</v>
      </c>
      <c r="U7" t="str">
        <f t="array" ref="U7">INDEX($Q$1:$Q$48,SMALL(IF($R$1:$R$48=W7,ROW($R$1:$R$48)),COUNTIF($W$1:W7,W7)))</f>
        <v>Texas</v>
      </c>
      <c r="V7">
        <f t="shared" ca="1" si="2"/>
        <v>549</v>
      </c>
      <c r="W7">
        <v>1</v>
      </c>
      <c r="X7" t="str">
        <f t="array" aca="1" ref="X7" ca="1">IFERROR(INDEX($U$1:$U$48,SMALL(IF($V$1:$V$48=Y7,ROW($V$1:$V$48)),COUNTIF($Y$1:Y7,Y7))),"-")</f>
        <v>New Mexico</v>
      </c>
      <c r="Y7">
        <f t="shared" ca="1" si="3"/>
        <v>532</v>
      </c>
      <c r="Z7">
        <f t="shared" ca="1" si="4"/>
        <v>266</v>
      </c>
    </row>
    <row r="8" spans="1:26" x14ac:dyDescent="0.25">
      <c r="C8">
        <f t="shared" si="0"/>
        <v>31</v>
      </c>
      <c r="E8" s="18" t="s">
        <v>65</v>
      </c>
      <c r="F8">
        <f ca="1">SUM(OFFSET(Users!$H$3,Processing!$B$3,0,Processing!$B$4,1))</f>
        <v>19453</v>
      </c>
      <c r="H8" s="18" t="s">
        <v>65</v>
      </c>
      <c r="I8">
        <f ca="1">F9</f>
        <v>6091</v>
      </c>
      <c r="J8">
        <f ca="1">MAX($I$6:I8)-I8</f>
        <v>21249</v>
      </c>
      <c r="N8" t="s">
        <v>10</v>
      </c>
      <c r="O8">
        <f>SUMIFS(States!H:H,States!A:A,$B$5,States!B:B,N8)</f>
        <v>5</v>
      </c>
      <c r="Q8" t="s">
        <v>10</v>
      </c>
      <c r="R8">
        <f t="shared" si="1"/>
        <v>5</v>
      </c>
      <c r="S8">
        <f ca="1">INDEX(OFFSET(States!$C$3:$C$50,$B$5*48-48,0),MATCH(Q8,OFFSET(States!$B$3:$B$50,$B$5*48-48,0),0))</f>
        <v>215</v>
      </c>
      <c r="U8" t="str">
        <f t="array" ref="U8">INDEX($Q$1:$Q$48,SMALL(IF($R$1:$R$48=W8,ROW($R$1:$R$48)),COUNTIF($W$1:W8,W8)))</f>
        <v>Vermont</v>
      </c>
      <c r="V8">
        <f t="shared" ca="1" si="2"/>
        <v>765</v>
      </c>
      <c r="W8">
        <v>1</v>
      </c>
      <c r="X8" t="str">
        <f t="array" aca="1" ref="X8" ca="1">IFERROR(INDEX($U$1:$U$48,SMALL(IF($V$1:$V$48=Y8,ROW($V$1:$V$48)),COUNTIF($Y$1:Y8,Y8))),"-")</f>
        <v>New York</v>
      </c>
      <c r="Y8">
        <f t="shared" ca="1" si="3"/>
        <v>399</v>
      </c>
      <c r="Z8">
        <f t="shared" ca="1" si="4"/>
        <v>399</v>
      </c>
    </row>
    <row r="9" spans="1:26" x14ac:dyDescent="0.25">
      <c r="C9">
        <f t="shared" si="0"/>
        <v>30</v>
      </c>
      <c r="E9" s="18" t="s">
        <v>66</v>
      </c>
      <c r="F9">
        <f ca="1">SUM(OFFSET(Users!$I$3,Processing!$B$3,0,Processing!$B$4,1))</f>
        <v>6091</v>
      </c>
      <c r="H9" s="18" t="s">
        <v>66</v>
      </c>
      <c r="I9">
        <f ca="1">F8</f>
        <v>19453</v>
      </c>
      <c r="J9">
        <f ca="1">MAX($I$6:I9)-I9</f>
        <v>7887</v>
      </c>
      <c r="N9" t="s">
        <v>11</v>
      </c>
      <c r="O9">
        <f>SUMIFS(States!H:H,States!A:A,$B$5,States!B:B,N9)</f>
        <v>5</v>
      </c>
      <c r="Q9" t="s">
        <v>11</v>
      </c>
      <c r="R9">
        <f t="shared" si="1"/>
        <v>5</v>
      </c>
      <c r="S9">
        <f ca="1">INDEX(OFFSET(States!$C$3:$C$50,$B$5*48-48,0),MATCH(Q9,OFFSET(States!$B$3:$B$50,$B$5*48-48,0),0))</f>
        <v>761</v>
      </c>
      <c r="U9" t="e">
        <f t="array" ref="U9">INDEX($Q$1:$Q$48,SMALL(IF($R$1:$R$48=W9,ROW($R$1:$R$48)),COUNTIF($W$1:W9,W9)))</f>
        <v>#NUM!</v>
      </c>
      <c r="V9">
        <f t="shared" si="2"/>
        <v>0</v>
      </c>
      <c r="W9">
        <v>1</v>
      </c>
      <c r="X9" t="str">
        <f t="array" aca="1" ref="X9" ca="1">IFERROR(INDEX($U$1:$U$48,SMALL(IF($V$1:$V$48=Y9,ROW($V$1:$V$48)),COUNTIF($Y$1:Y9,Y9))),"-")</f>
        <v>-</v>
      </c>
      <c r="Y9">
        <f t="shared" ca="1" si="3"/>
        <v>0</v>
      </c>
      <c r="Z9">
        <f t="shared" ca="1" si="4"/>
        <v>0</v>
      </c>
    </row>
    <row r="10" spans="1:26" x14ac:dyDescent="0.25">
      <c r="C10">
        <f t="shared" si="0"/>
        <v>31</v>
      </c>
      <c r="E10" s="18" t="s">
        <v>95</v>
      </c>
      <c r="F10">
        <f ca="1">SUM(OFFSET(Users!$J$3,Processing!$B$3,0,Processing!$B$4,1))</f>
        <v>5343</v>
      </c>
      <c r="H10" s="18" t="s">
        <v>95</v>
      </c>
      <c r="I10">
        <f ca="1">F7</f>
        <v>19561</v>
      </c>
      <c r="J10">
        <f ca="1">MAX($I$6:I10)-I10</f>
        <v>7779</v>
      </c>
      <c r="N10" t="s">
        <v>12</v>
      </c>
      <c r="O10">
        <f>SUMIFS(States!H:H,States!A:A,$B$5,States!B:B,N10)</f>
        <v>5</v>
      </c>
      <c r="Q10" t="s">
        <v>12</v>
      </c>
      <c r="R10">
        <f t="shared" si="1"/>
        <v>5</v>
      </c>
      <c r="S10">
        <f ca="1">INDEX(OFFSET(States!$C$3:$C$50,$B$5*48-48,0),MATCH(Q10,OFFSET(States!$B$3:$B$50,$B$5*48-48,0),0))</f>
        <v>645</v>
      </c>
      <c r="U10" t="e">
        <f t="array" ref="U10">INDEX($Q$1:$Q$48,SMALL(IF($R$1:$R$48=W10,ROW($R$1:$R$48)),COUNTIF($W$1:W10,W10)))</f>
        <v>#NUM!</v>
      </c>
      <c r="V10">
        <f t="shared" si="2"/>
        <v>0</v>
      </c>
      <c r="W10">
        <v>1</v>
      </c>
      <c r="X10" t="str">
        <f t="array" aca="1" ref="X10" ca="1">IFERROR(INDEX($U$1:$U$48,SMALL(IF($V$1:$V$48=Y10,ROW($V$1:$V$48)),COUNTIF($Y$1:Y10,Y10))),"-")</f>
        <v>-</v>
      </c>
      <c r="Y10">
        <f t="shared" ca="1" si="3"/>
        <v>0</v>
      </c>
      <c r="Z10">
        <f t="shared" ca="1" si="4"/>
        <v>0</v>
      </c>
    </row>
    <row r="11" spans="1:26" x14ac:dyDescent="0.25">
      <c r="C11">
        <f t="shared" si="0"/>
        <v>30</v>
      </c>
      <c r="F11" s="18" t="str">
        <f ca="1">"Total visits"&amp;CHAR(10)&amp;TEXT(D3+E3,"# ###")</f>
        <v>Total visits
83 988</v>
      </c>
      <c r="N11" t="s">
        <v>13</v>
      </c>
      <c r="O11">
        <f>SUMIFS(States!H:H,States!A:A,$B$5,States!B:B,N11)</f>
        <v>3</v>
      </c>
      <c r="Q11" t="s">
        <v>13</v>
      </c>
      <c r="R11">
        <f t="shared" si="1"/>
        <v>3</v>
      </c>
      <c r="S11">
        <f ca="1">INDEX(OFFSET(States!$C$3:$C$50,$B$5*48-48,0),MATCH(Q11,OFFSET(States!$B$3:$B$50,$B$5*48-48,0),0))</f>
        <v>380</v>
      </c>
      <c r="U11" t="e">
        <f t="array" ref="U11">INDEX($Q$1:$Q$48,SMALL(IF($R$1:$R$48=W11,ROW($R$1:$R$48)),COUNTIF($W$1:W11,W11)))</f>
        <v>#NUM!</v>
      </c>
      <c r="V11">
        <f t="shared" si="2"/>
        <v>0</v>
      </c>
      <c r="W11">
        <v>1</v>
      </c>
      <c r="X11" t="str">
        <f t="array" aca="1" ref="X11" ca="1">IFERROR(INDEX($U$1:$U$48,SMALL(IF($V$1:$V$48=Y11,ROW($V$1:$V$48)),COUNTIF($Y$1:Y11,Y11))),"-")</f>
        <v>-</v>
      </c>
      <c r="Y11">
        <f t="shared" ca="1" si="3"/>
        <v>0</v>
      </c>
      <c r="Z11">
        <f t="shared" ca="1" si="4"/>
        <v>0</v>
      </c>
    </row>
    <row r="12" spans="1:26" x14ac:dyDescent="0.25">
      <c r="C12">
        <f t="shared" si="0"/>
        <v>31</v>
      </c>
      <c r="N12" t="s">
        <v>14</v>
      </c>
      <c r="O12">
        <f>SUMIFS(States!H:H,States!A:A,$B$5,States!B:B,N12)</f>
        <v>5</v>
      </c>
      <c r="Q12" t="s">
        <v>14</v>
      </c>
      <c r="R12">
        <f t="shared" si="1"/>
        <v>5</v>
      </c>
      <c r="S12">
        <f ca="1">INDEX(OFFSET(States!$C$3:$C$50,$B$5*48-48,0),MATCH(Q12,OFFSET(States!$B$3:$B$50,$B$5*48-48,0),0))</f>
        <v>463</v>
      </c>
      <c r="U12" t="e">
        <f t="array" ref="U12">INDEX($Q$1:$Q$48,SMALL(IF($R$1:$R$48=W12,ROW($R$1:$R$48)),COUNTIF($W$1:W12,W12)))</f>
        <v>#NUM!</v>
      </c>
      <c r="V12">
        <f t="shared" si="2"/>
        <v>0</v>
      </c>
      <c r="W12">
        <v>1</v>
      </c>
      <c r="X12" t="str">
        <f t="array" aca="1" ref="X12" ca="1">IFERROR(INDEX($U$1:$U$48,SMALL(IF($V$1:$V$48=Y12,ROW($V$1:$V$48)),COUNTIF($Y$1:Y12,Y12))),"-")</f>
        <v>-</v>
      </c>
      <c r="Y12">
        <f t="shared" ca="1" si="3"/>
        <v>0</v>
      </c>
      <c r="Z12">
        <f t="shared" ca="1" si="4"/>
        <v>0</v>
      </c>
    </row>
    <row r="13" spans="1:26" x14ac:dyDescent="0.25">
      <c r="N13" t="s">
        <v>15</v>
      </c>
      <c r="O13">
        <f>SUMIFS(States!H:H,States!A:A,$B$5,States!B:B,N13)</f>
        <v>5</v>
      </c>
      <c r="Q13" t="s">
        <v>15</v>
      </c>
      <c r="R13">
        <f t="shared" si="1"/>
        <v>5</v>
      </c>
      <c r="S13">
        <f ca="1">INDEX(OFFSET(States!$C$3:$C$50,$B$5*48-48,0),MATCH(Q13,OFFSET(States!$B$3:$B$50,$B$5*48-48,0),0))</f>
        <v>579</v>
      </c>
      <c r="U13" t="e">
        <f t="array" ref="U13">INDEX($Q$1:$Q$48,SMALL(IF($R$1:$R$48=W13,ROW($R$1:$R$48)),COUNTIF($W$1:W13,W13)))</f>
        <v>#NUM!</v>
      </c>
      <c r="V13">
        <f t="shared" si="2"/>
        <v>0</v>
      </c>
      <c r="W13">
        <v>1</v>
      </c>
      <c r="X13" t="str">
        <f t="array" aca="1" ref="X13" ca="1">IFERROR(INDEX($U$1:$U$48,SMALL(IF($V$1:$V$48=Y13,ROW($V$1:$V$48)),COUNTIF($Y$1:Y13,Y13))),"-")</f>
        <v>-</v>
      </c>
      <c r="Y13">
        <f t="shared" ca="1" si="3"/>
        <v>0</v>
      </c>
      <c r="Z13">
        <f t="shared" ca="1" si="4"/>
        <v>0</v>
      </c>
    </row>
    <row r="14" spans="1:26" x14ac:dyDescent="0.25">
      <c r="B14" s="43" t="s">
        <v>89</v>
      </c>
      <c r="C14" s="43"/>
      <c r="J14" s="4" t="s">
        <v>0</v>
      </c>
      <c r="K14" s="4" t="s">
        <v>1</v>
      </c>
      <c r="L14" s="4" t="s">
        <v>2</v>
      </c>
      <c r="N14" t="s">
        <v>16</v>
      </c>
      <c r="O14">
        <f>SUMIFS(States!H:H,States!A:A,$B$5,States!B:B,N14)</f>
        <v>5</v>
      </c>
      <c r="Q14" t="s">
        <v>16</v>
      </c>
      <c r="R14">
        <f t="shared" si="1"/>
        <v>5</v>
      </c>
      <c r="S14">
        <f ca="1">INDEX(OFFSET(States!$C$3:$C$50,$B$5*48-48,0),MATCH(Q14,OFFSET(States!$B$3:$B$50,$B$5*48-48,0),0))</f>
        <v>33</v>
      </c>
      <c r="U14" t="e">
        <f t="array" ref="U14">INDEX($Q$1:$Q$48,SMALL(IF($R$1:$R$48=W14,ROW($R$1:$R$48)),COUNTIF($W$1:W14,W14)))</f>
        <v>#NUM!</v>
      </c>
      <c r="V14">
        <f t="shared" si="2"/>
        <v>0</v>
      </c>
      <c r="W14">
        <v>1</v>
      </c>
      <c r="X14" t="str">
        <f t="array" aca="1" ref="X14" ca="1">IFERROR(INDEX($U$1:$U$48,SMALL(IF($V$1:$V$48=Y14,ROW($V$1:$V$48)),COUNTIF($Y$1:Y14,Y14))),"-")</f>
        <v>-</v>
      </c>
      <c r="Y14">
        <f t="shared" ca="1" si="3"/>
        <v>0</v>
      </c>
      <c r="Z14">
        <f t="shared" ca="1" si="4"/>
        <v>0</v>
      </c>
    </row>
    <row r="15" spans="1:26" x14ac:dyDescent="0.25">
      <c r="B15" t="s">
        <v>90</v>
      </c>
      <c r="C15" t="s">
        <v>91</v>
      </c>
      <c r="I15" s="18" t="s">
        <v>63</v>
      </c>
      <c r="J15">
        <f>SUMIFS(Products!$B:$B,Products!$H:$H,$B$5,Products!$G:$G,J$14)</f>
        <v>112</v>
      </c>
      <c r="K15">
        <f>SUMIFS(Products!$B:$B,Products!$H:$H,$B$5,Products!$G:$G,K$14)</f>
        <v>114</v>
      </c>
      <c r="L15">
        <f>SUMIFS(Products!$B:$B,Products!$H:$H,$B$5,Products!$G:$G,L$14)</f>
        <v>122</v>
      </c>
      <c r="N15" t="s">
        <v>17</v>
      </c>
      <c r="O15">
        <f>SUMIFS(States!H:H,States!A:A,$B$5,States!B:B,N15)</f>
        <v>2</v>
      </c>
      <c r="Q15" t="s">
        <v>17</v>
      </c>
      <c r="R15">
        <f t="shared" si="1"/>
        <v>2</v>
      </c>
      <c r="S15">
        <f ca="1">INDEX(OFFSET(States!$C$3:$C$50,$B$5*48-48,0),MATCH(Q15,OFFSET(States!$B$3:$B$50,$B$5*48-48,0),0))</f>
        <v>166</v>
      </c>
      <c r="U15" t="e">
        <f t="array" ref="U15">INDEX($Q$1:$Q$48,SMALL(IF($R$1:$R$48=W15,ROW($R$1:$R$48)),COUNTIF($W$1:W15,W15)))</f>
        <v>#NUM!</v>
      </c>
      <c r="V15">
        <f t="shared" si="2"/>
        <v>0</v>
      </c>
      <c r="W15">
        <v>1</v>
      </c>
      <c r="X15" t="str">
        <f t="array" aca="1" ref="X15" ca="1">IFERROR(INDEX($U$1:$U$48,SMALL(IF($V$1:$V$48=Y15,ROW($V$1:$V$48)),COUNTIF($Y$1:Y15,Y15))),"-")</f>
        <v>-</v>
      </c>
      <c r="Y15">
        <f t="shared" ca="1" si="3"/>
        <v>0</v>
      </c>
      <c r="Z15">
        <f t="shared" ca="1" si="4"/>
        <v>0</v>
      </c>
    </row>
    <row r="16" spans="1:26" x14ac:dyDescent="0.25">
      <c r="A16">
        <v>1</v>
      </c>
      <c r="B16" s="28">
        <f t="shared" ref="B16:B46" ca="1" si="5">IFERROR($F$22*INDEX(DaysInCurMonth,A16)^5+$F$21*INDEX(DaysInCurMonth,A16)^4+$F$20*INDEX(DaysInCurMonth,A16)^3+$F$19*INDEX(DaysInCurMonth,A16)^2+$F$18*INDEX(DaysInCurMonth,A16)+$F$17,NA())</f>
        <v>277.34770721925071</v>
      </c>
      <c r="C16" s="28">
        <f t="shared" ref="C16:C46" ca="1" si="6">IFERROR($G$22*INDEX(DaysInPrevMonth,A16)^5+$G$21*INDEX(DaysInPrevMonth,A16)^4+$G$20*INDEX(DaysInPrevMonth,A16)^3+$G$19*INDEX(DaysInPrevMonth,A16)^2+$G$18*INDEX(DaysInPrevMonth,A16)+$G$17,NA())</f>
        <v>175.27488563049937</v>
      </c>
      <c r="E16" s="44" t="s">
        <v>53</v>
      </c>
      <c r="F16" s="44"/>
      <c r="I16" s="18" t="s">
        <v>64</v>
      </c>
      <c r="J16">
        <f>SUMIFS(Products!$C:$C,Products!$H:$H,$B$5,Products!$G:$G,J$14)</f>
        <v>111</v>
      </c>
      <c r="K16">
        <f>SUMIFS(Products!$C:$C,Products!$H:$H,$B$5,Products!$G:$G,K$14)</f>
        <v>99</v>
      </c>
      <c r="L16">
        <f>SUMIFS(Products!$C:$C,Products!$H:$H,$B$5,Products!$G:$G,L$14)</f>
        <v>126</v>
      </c>
      <c r="N16" t="s">
        <v>18</v>
      </c>
      <c r="O16">
        <f>SUMIFS(States!H:H,States!A:A,$B$5,States!B:B,N16)</f>
        <v>4</v>
      </c>
      <c r="Q16" t="s">
        <v>18</v>
      </c>
      <c r="R16">
        <f t="shared" si="1"/>
        <v>4</v>
      </c>
      <c r="S16">
        <f ca="1">INDEX(OFFSET(States!$C$3:$C$50,$B$5*48-48,0),MATCH(Q16,OFFSET(States!$B$3:$B$50,$B$5*48-48,0),0))</f>
        <v>17</v>
      </c>
      <c r="U16" t="e">
        <f t="array" ref="U16">INDEX($Q$1:$Q$48,SMALL(IF($R$1:$R$48=W16,ROW($R$1:$R$48)),COUNTIF($W$1:W16,W16)))</f>
        <v>#NUM!</v>
      </c>
      <c r="V16">
        <f t="shared" si="2"/>
        <v>0</v>
      </c>
      <c r="W16">
        <v>1</v>
      </c>
      <c r="X16" t="str">
        <f t="array" aca="1" ref="X16" ca="1">IFERROR(INDEX($U$1:$U$48,SMALL(IF($V$1:$V$48=Y16,ROW($V$1:$V$48)),COUNTIF($Y$1:Y16,Y16))),"-")</f>
        <v>-</v>
      </c>
      <c r="Y16">
        <f t="shared" ca="1" si="3"/>
        <v>0</v>
      </c>
      <c r="Z16">
        <f t="shared" ca="1" si="4"/>
        <v>0</v>
      </c>
    </row>
    <row r="17" spans="1:26" x14ac:dyDescent="0.25">
      <c r="A17">
        <v>2</v>
      </c>
      <c r="B17" s="28">
        <f t="shared" ca="1" si="5"/>
        <v>231.03111091944169</v>
      </c>
      <c r="C17" s="28">
        <f t="shared" ca="1" si="6"/>
        <v>174.16265415524157</v>
      </c>
      <c r="E17" s="27" t="s">
        <v>54</v>
      </c>
      <c r="F17" s="27">
        <f ca="1">INDEX(LINEST(ProfitMonth,DaysInCurMonth^{1,2,3,4,5}),1,6)</f>
        <v>345.26099797495544</v>
      </c>
      <c r="G17" s="27">
        <f ca="1">INDEX(LINEST(ProfitPrevMonth,DaysInPrevMonth^{1,2,3,4,5}),1,6)</f>
        <v>179.3814203359866</v>
      </c>
      <c r="I17" s="18" t="s">
        <v>65</v>
      </c>
      <c r="J17">
        <f>SUMIFS(Products!$D:$D,Products!$H:$H,$B$5,Products!$G:$G,J$14)</f>
        <v>112</v>
      </c>
      <c r="K17">
        <f>SUMIFS(Products!$D:$D,Products!$H:$H,$B$5,Products!$G:$G,K$14)</f>
        <v>108</v>
      </c>
      <c r="L17">
        <f>SUMIFS(Products!$D:$D,Products!$H:$H,$B$5,Products!$G:$G,L$14)</f>
        <v>123</v>
      </c>
      <c r="N17" t="s">
        <v>19</v>
      </c>
      <c r="O17">
        <f>SUMIFS(States!H:H,States!A:A,$B$5,States!B:B,N17)</f>
        <v>3</v>
      </c>
      <c r="Q17" t="s">
        <v>19</v>
      </c>
      <c r="R17">
        <f t="shared" si="1"/>
        <v>3</v>
      </c>
      <c r="S17">
        <f ca="1">INDEX(OFFSET(States!$C$3:$C$50,$B$5*48-48,0),MATCH(Q17,OFFSET(States!$B$3:$B$50,$B$5*48-48,0),0))</f>
        <v>316</v>
      </c>
      <c r="U17" t="e">
        <f t="array" ref="U17">INDEX($Q$1:$Q$48,SMALL(IF($R$1:$R$48=W17,ROW($R$1:$R$48)),COUNTIF($W$1:W17,W17)))</f>
        <v>#NUM!</v>
      </c>
      <c r="V17">
        <f t="shared" si="2"/>
        <v>0</v>
      </c>
      <c r="W17">
        <v>1</v>
      </c>
      <c r="X17" t="str">
        <f t="array" aca="1" ref="X17" ca="1">IFERROR(INDEX($U$1:$U$48,SMALL(IF($V$1:$V$48=Y17,ROW($V$1:$V$48)),COUNTIF($Y$1:Y17,Y17))),"-")</f>
        <v>-</v>
      </c>
      <c r="Y17">
        <f t="shared" ca="1" si="3"/>
        <v>0</v>
      </c>
      <c r="Z17">
        <f t="shared" ca="1" si="4"/>
        <v>0</v>
      </c>
    </row>
    <row r="18" spans="1:26" x14ac:dyDescent="0.25">
      <c r="A18">
        <v>3</v>
      </c>
      <c r="B18" s="28">
        <f t="shared" ca="1" si="5"/>
        <v>201.21794969009068</v>
      </c>
      <c r="C18" s="28">
        <f t="shared" ca="1" si="6"/>
        <v>175.25297417808312</v>
      </c>
      <c r="E18" s="27" t="s">
        <v>55</v>
      </c>
      <c r="F18" s="27">
        <f ca="1">INDEX(LINEST(ProfitMonth,DaysInCurMonth^{1,2,3,4,5}),1,5)</f>
        <v>-80.61260983968711</v>
      </c>
      <c r="G18" s="27">
        <f ca="1">INDEX(LINEST(ProfitPrevMonth,DaysInPrevMonth^{1,2,3,4,5}),1,5)</f>
        <v>-5.8938631219317825</v>
      </c>
      <c r="I18" s="18" t="s">
        <v>66</v>
      </c>
      <c r="J18">
        <f>SUMIFS(Products!$E:$E,Products!$H:$H,$B$5,Products!$G:$G,J$14)</f>
        <v>102</v>
      </c>
      <c r="K18">
        <f>SUMIFS(Products!$E:$E,Products!$H:$H,$B$5,Products!$G:$G,K$14)</f>
        <v>121</v>
      </c>
      <c r="L18">
        <f>SUMIFS(Products!$E:$E,Products!$H:$H,$B$5,Products!$G:$G,L$14)</f>
        <v>87</v>
      </c>
      <c r="N18" t="s">
        <v>20</v>
      </c>
      <c r="O18">
        <f>SUMIFS(States!H:H,States!A:A,$B$5,States!B:B,N18)</f>
        <v>2</v>
      </c>
      <c r="Q18" t="s">
        <v>20</v>
      </c>
      <c r="R18">
        <f t="shared" si="1"/>
        <v>2</v>
      </c>
      <c r="S18">
        <f ca="1">INDEX(OFFSET(States!$C$3:$C$50,$B$5*48-48,0),MATCH(Q18,OFFSET(States!$B$3:$B$50,$B$5*48-48,0),0))</f>
        <v>183</v>
      </c>
      <c r="U18" t="e">
        <f t="array" ref="U18">INDEX($Q$1:$Q$48,SMALL(IF($R$1:$R$48=W18,ROW($R$1:$R$48)),COUNTIF($W$1:W18,W18)))</f>
        <v>#NUM!</v>
      </c>
      <c r="V18">
        <f t="shared" si="2"/>
        <v>0</v>
      </c>
      <c r="W18">
        <v>1</v>
      </c>
      <c r="X18" t="str">
        <f t="array" aca="1" ref="X18" ca="1">IFERROR(INDEX($U$1:$U$48,SMALL(IF($V$1:$V$48=Y18,ROW($V$1:$V$48)),COUNTIF($Y$1:Y18,Y18))),"-")</f>
        <v>-</v>
      </c>
      <c r="Y18">
        <f t="shared" ca="1" si="3"/>
        <v>0</v>
      </c>
      <c r="Z18">
        <f t="shared" ca="1" si="4"/>
        <v>0</v>
      </c>
    </row>
    <row r="19" spans="1:26" x14ac:dyDescent="0.25">
      <c r="A19">
        <v>4</v>
      </c>
      <c r="B19" s="28">
        <f t="shared" ca="1" si="5"/>
        <v>183.58337167560072</v>
      </c>
      <c r="C19" s="28">
        <f t="shared" ca="1" si="6"/>
        <v>177.85513912071073</v>
      </c>
      <c r="E19" s="27" t="s">
        <v>56</v>
      </c>
      <c r="F19" s="27">
        <f ca="1">INDEX(LINEST(ProfitMonth,DaysInCurMonth^{1,2,3,4,5}),1,4)</f>
        <v>13.72032379912525</v>
      </c>
      <c r="G19" s="27">
        <f ca="1">INDEX(LINEST(ProfitPrevMonth,DaysInPrevMonth^{1,2,3,4,5}),1,4)</f>
        <v>1.9414195700796952</v>
      </c>
      <c r="I19" s="18" t="s">
        <v>95</v>
      </c>
      <c r="J19">
        <f>SUMIFS(Products!$F:$F,Products!$H:$H,$B$5,Products!$G:$G,J$14)</f>
        <v>109</v>
      </c>
      <c r="K19">
        <f>SUMIFS(Products!$F:$F,Products!$H:$H,$B$5,Products!$G:$G,K$14)</f>
        <v>119</v>
      </c>
      <c r="L19">
        <f>SUMIFS(Products!$F:$F,Products!$H:$H,$B$5,Products!$G:$G,L$14)</f>
        <v>114</v>
      </c>
      <c r="N19" t="s">
        <v>21</v>
      </c>
      <c r="O19">
        <f>SUMIFS(States!H:H,States!A:A,$B$5,States!B:B,N19)</f>
        <v>3</v>
      </c>
      <c r="Q19" t="s">
        <v>21</v>
      </c>
      <c r="R19">
        <f t="shared" si="1"/>
        <v>3</v>
      </c>
      <c r="S19">
        <f ca="1">INDEX(OFFSET(States!$C$3:$C$50,$B$5*48-48,0),MATCH(Q19,OFFSET(States!$B$3:$B$50,$B$5*48-48,0),0))</f>
        <v>715</v>
      </c>
      <c r="U19" t="e">
        <f t="array" ref="U19">INDEX($Q$1:$Q$48,SMALL(IF($R$1:$R$48=W19,ROW($R$1:$R$48)),COUNTIF($W$1:W19,W19)))</f>
        <v>#NUM!</v>
      </c>
      <c r="V19">
        <f t="shared" si="2"/>
        <v>0</v>
      </c>
      <c r="W19">
        <v>1</v>
      </c>
      <c r="X19" t="str">
        <f t="array" aca="1" ref="X19" ca="1">IFERROR(INDEX($U$1:$U$48,SMALL(IF($V$1:$V$48=Y19,ROW($V$1:$V$48)),COUNTIF($Y$1:Y19,Y19))),"-")</f>
        <v>-</v>
      </c>
      <c r="Y19">
        <f t="shared" ca="1" si="3"/>
        <v>0</v>
      </c>
      <c r="Z19">
        <f t="shared" ca="1" si="4"/>
        <v>0</v>
      </c>
    </row>
    <row r="20" spans="1:26" x14ac:dyDescent="0.25">
      <c r="A20">
        <v>5</v>
      </c>
      <c r="B20" s="28">
        <f t="shared" ca="1" si="5"/>
        <v>174.51534832473948</v>
      </c>
      <c r="C20" s="28">
        <f t="shared" ca="1" si="6"/>
        <v>181.37449621446623</v>
      </c>
      <c r="E20" s="27" t="s">
        <v>57</v>
      </c>
      <c r="F20" s="27">
        <f ca="1">INDEX(LINEST(ProfitMonth,DaysInCurMonth^{1,2,3,4,5}),1,3)</f>
        <v>-1.0571905124635785</v>
      </c>
      <c r="G20" s="27">
        <f ca="1">INDEX(LINEST(ProfitPrevMonth,DaysInPrevMonth^{1,2,3,4,5}),1,3)</f>
        <v>-0.1586757191896275</v>
      </c>
      <c r="N20" t="s">
        <v>22</v>
      </c>
      <c r="O20">
        <f>SUMIFS(States!H:H,States!A:A,$B$5,States!B:B,N20)</f>
        <v>2</v>
      </c>
      <c r="Q20" t="s">
        <v>22</v>
      </c>
      <c r="R20">
        <f t="shared" si="1"/>
        <v>2</v>
      </c>
      <c r="S20">
        <f ca="1">INDEX(OFFSET(States!$C$3:$C$50,$B$5*48-48,0),MATCH(Q20,OFFSET(States!$B$3:$B$50,$B$5*48-48,0),0))</f>
        <v>416</v>
      </c>
      <c r="U20" t="e">
        <f t="array" ref="U20">INDEX($Q$1:$Q$48,SMALL(IF($R$1:$R$48=W20,ROW($R$1:$R$48)),COUNTIF($W$1:W20,W20)))</f>
        <v>#NUM!</v>
      </c>
      <c r="V20">
        <f t="shared" si="2"/>
        <v>0</v>
      </c>
      <c r="W20">
        <v>1</v>
      </c>
      <c r="X20" t="str">
        <f t="array" aca="1" ref="X20" ca="1">IFERROR(INDEX($U$1:$U$48,SMALL(IF($V$1:$V$48=Y20,ROW($V$1:$V$48)),COUNTIF($Y$1:Y20,Y20))),"-")</f>
        <v>-</v>
      </c>
      <c r="Y20">
        <f t="shared" ca="1" si="3"/>
        <v>0</v>
      </c>
      <c r="Z20">
        <f t="shared" ca="1" si="4"/>
        <v>0</v>
      </c>
    </row>
    <row r="21" spans="1:26" x14ac:dyDescent="0.25">
      <c r="A21">
        <v>6</v>
      </c>
      <c r="B21" s="28">
        <f t="shared" ca="1" si="5"/>
        <v>171.05909016516352</v>
      </c>
      <c r="C21" s="28">
        <f t="shared" ca="1" si="6"/>
        <v>185.30745515618511</v>
      </c>
      <c r="E21" s="27" t="s">
        <v>58</v>
      </c>
      <c r="F21" s="27">
        <f ca="1">INDEX(LINEST(ProfitMonth,DaysInCurMonth^{1,2,3,4,5}),1,2)</f>
        <v>3.6648999199687664E-2</v>
      </c>
      <c r="G21" s="27">
        <f ca="1">INDEX(LINEST(ProfitPrevMonth,DaysInPrevMonth^{1,2,3,4,5}),1,2)</f>
        <v>4.6261600891559897E-3</v>
      </c>
      <c r="N21" t="s">
        <v>23</v>
      </c>
      <c r="O21">
        <f>SUMIFS(States!H:H,States!A:A,$B$5,States!B:B,N21)</f>
        <v>1</v>
      </c>
      <c r="Q21" t="s">
        <v>23</v>
      </c>
      <c r="R21">
        <f t="shared" si="1"/>
        <v>1</v>
      </c>
      <c r="S21">
        <f ca="1">INDEX(OFFSET(States!$C$3:$C$50,$B$5*48-48,0),MATCH(Q21,OFFSET(States!$B$3:$B$50,$B$5*48-48,0),0))</f>
        <v>665</v>
      </c>
      <c r="U21" t="e">
        <f t="array" ref="U21">INDEX($Q$1:$Q$48,SMALL(IF($R$1:$R$48=W21,ROW($R$1:$R$48)),COUNTIF($W$1:W21,W21)))</f>
        <v>#NUM!</v>
      </c>
      <c r="V21">
        <f t="shared" si="2"/>
        <v>0</v>
      </c>
      <c r="W21">
        <v>1</v>
      </c>
      <c r="X21" t="str">
        <f t="array" aca="1" ref="X21" ca="1">IFERROR(INDEX($U$1:$U$48,SMALL(IF($V$1:$V$48=Y21,ROW($V$1:$V$48)),COUNTIF($Y$1:Y21,Y21))),"-")</f>
        <v>-</v>
      </c>
      <c r="Y21">
        <f t="shared" ca="1" si="3"/>
        <v>0</v>
      </c>
      <c r="Z21">
        <f t="shared" ca="1" si="4"/>
        <v>0</v>
      </c>
    </row>
    <row r="22" spans="1:26" x14ac:dyDescent="0.25">
      <c r="A22">
        <v>7</v>
      </c>
      <c r="B22" s="28">
        <f t="shared" ca="1" si="5"/>
        <v>170.86146257794201</v>
      </c>
      <c r="C22" s="28">
        <f t="shared" ca="1" si="6"/>
        <v>189.23649676403502</v>
      </c>
      <c r="E22" s="27" t="s">
        <v>59</v>
      </c>
      <c r="F22" s="27">
        <f ca="1">INDEX(LINEST(ProfitMonth,DaysInCurMonth^{1,2,3,4,5}),1)</f>
        <v>-4.6320187896611452E-4</v>
      </c>
      <c r="G22" s="27">
        <f ca="1">INDEX(LINEST(ProfitPrevMonth,DaysInPrevMonth^{1,2,3,4,5}),1)</f>
        <v>-4.1594534679327067E-5</v>
      </c>
      <c r="N22" t="s">
        <v>24</v>
      </c>
      <c r="O22">
        <f>SUMIFS(States!H:H,States!A:A,$B$5,States!B:B,N22)</f>
        <v>1</v>
      </c>
      <c r="Q22" t="s">
        <v>24</v>
      </c>
      <c r="R22">
        <f t="shared" si="1"/>
        <v>1</v>
      </c>
      <c r="S22">
        <f ca="1">INDEX(OFFSET(States!$C$3:$C$50,$B$5*48-48,0),MATCH(Q22,OFFSET(States!$B$3:$B$50,$B$5*48-48,0),0))</f>
        <v>582</v>
      </c>
      <c r="U22" t="e">
        <f t="array" ref="U22">INDEX($Q$1:$Q$48,SMALL(IF($R$1:$R$48=W22,ROW($R$1:$R$48)),COUNTIF($W$1:W22,W22)))</f>
        <v>#NUM!</v>
      </c>
      <c r="V22">
        <f t="shared" si="2"/>
        <v>0</v>
      </c>
      <c r="W22">
        <v>1</v>
      </c>
      <c r="X22" t="str">
        <f t="array" aca="1" ref="X22" ca="1">IFERROR(INDEX($U$1:$U$48,SMALL(IF($V$1:$V$48=Y22,ROW($V$1:$V$48)),COUNTIF($Y$1:Y22,Y22))),"-")</f>
        <v>-</v>
      </c>
      <c r="Y22">
        <f t="shared" ca="1" si="3"/>
        <v>0</v>
      </c>
      <c r="Z22">
        <f t="shared" ca="1" si="4"/>
        <v>0</v>
      </c>
    </row>
    <row r="23" spans="1:26" x14ac:dyDescent="0.25">
      <c r="A23">
        <v>8</v>
      </c>
      <c r="B23" s="28">
        <f t="shared" ca="1" si="5"/>
        <v>172.1154015720814</v>
      </c>
      <c r="C23" s="28">
        <f t="shared" ca="1" si="6"/>
        <v>192.8251816333543</v>
      </c>
      <c r="E23" s="27" t="s">
        <v>60</v>
      </c>
      <c r="F23" s="27">
        <f ca="1">INDEX(LINEST(ProfitMonth,DaysInCurMonth^{1,2,3,4,5},,1),3,1)</f>
        <v>0.16494641207584979</v>
      </c>
      <c r="G23" s="27">
        <f ca="1">INDEX(LINEST(ProfitPrevMonth,DaysInPrevMonth^{1,2,3,4,5},,1),3,1)</f>
        <v>3.4660023275862969E-2</v>
      </c>
      <c r="N23" t="s">
        <v>25</v>
      </c>
      <c r="O23">
        <f>SUMIFS(States!H:H,States!A:A,$B$5,States!B:B,N23)</f>
        <v>2</v>
      </c>
      <c r="Q23" t="s">
        <v>25</v>
      </c>
      <c r="R23">
        <f t="shared" si="1"/>
        <v>2</v>
      </c>
      <c r="S23">
        <f ca="1">INDEX(OFFSET(States!$C$3:$C$50,$B$5*48-48,0),MATCH(Q23,OFFSET(States!$B$3:$B$50,$B$5*48-48,0),0))</f>
        <v>349</v>
      </c>
      <c r="U23" t="e">
        <f t="array" ref="U23">INDEX($Q$1:$Q$48,SMALL(IF($R$1:$R$48=W23,ROW($R$1:$R$48)),COUNTIF($W$1:W23,W23)))</f>
        <v>#NUM!</v>
      </c>
      <c r="V23">
        <f t="shared" si="2"/>
        <v>0</v>
      </c>
      <c r="W23">
        <v>1</v>
      </c>
      <c r="X23" t="str">
        <f t="array" aca="1" ref="X23" ca="1">IFERROR(INDEX($U$1:$U$48,SMALL(IF($V$1:$V$48=Y23,ROW($V$1:$V$48)),COUNTIF($Y$1:Y23,Y23))),"-")</f>
        <v>-</v>
      </c>
      <c r="Y23">
        <f t="shared" ca="1" si="3"/>
        <v>0</v>
      </c>
      <c r="Z23">
        <f t="shared" ca="1" si="4"/>
        <v>0</v>
      </c>
    </row>
    <row r="24" spans="1:26" x14ac:dyDescent="0.25">
      <c r="A24">
        <v>9</v>
      </c>
      <c r="B24" s="28">
        <f t="shared" ca="1" si="5"/>
        <v>173.50432955904864</v>
      </c>
      <c r="C24" s="28">
        <f t="shared" ca="1" si="6"/>
        <v>195.8131587924903</v>
      </c>
      <c r="N24" t="s">
        <v>26</v>
      </c>
      <c r="O24">
        <f>SUMIFS(States!H:H,States!A:A,$B$5,States!B:B,N24)</f>
        <v>3</v>
      </c>
      <c r="Q24" t="s">
        <v>26</v>
      </c>
      <c r="R24">
        <f t="shared" si="1"/>
        <v>3</v>
      </c>
      <c r="S24">
        <f ca="1">INDEX(OFFSET(States!$C$3:$C$50,$B$5*48-48,0),MATCH(Q24,OFFSET(States!$B$3:$B$50,$B$5*48-48,0),0))</f>
        <v>232</v>
      </c>
      <c r="U24" t="e">
        <f t="array" ref="U24">INDEX($Q$1:$Q$48,SMALL(IF($R$1:$R$48=W24,ROW($R$1:$R$48)),COUNTIF($W$1:W24,W24)))</f>
        <v>#NUM!</v>
      </c>
      <c r="V24">
        <f t="shared" si="2"/>
        <v>0</v>
      </c>
      <c r="W24">
        <v>1</v>
      </c>
      <c r="X24" t="str">
        <f t="array" aca="1" ref="X24" ca="1">IFERROR(INDEX($U$1:$U$48,SMALL(IF($V$1:$V$48=Y24,ROW($V$1:$V$48)),COUNTIF($Y$1:Y24,Y24))),"-")</f>
        <v>-</v>
      </c>
      <c r="Y24">
        <f t="shared" ca="1" si="3"/>
        <v>0</v>
      </c>
      <c r="Z24">
        <f t="shared" ca="1" si="4"/>
        <v>0</v>
      </c>
    </row>
    <row r="25" spans="1:26" ht="23.25" x14ac:dyDescent="0.35">
      <c r="A25">
        <v>10</v>
      </c>
      <c r="B25" s="28">
        <f t="shared" ca="1" si="5"/>
        <v>174.14657112729594</v>
      </c>
      <c r="C25" s="28">
        <f t="shared" ca="1" si="6"/>
        <v>198.01117435863799</v>
      </c>
      <c r="D25" s="34"/>
      <c r="E25" s="35"/>
      <c r="F25" s="35"/>
      <c r="G25" s="35"/>
      <c r="H25" s="35"/>
      <c r="I25" s="35"/>
      <c r="J25" s="35"/>
      <c r="K25" s="35"/>
      <c r="L25" s="35"/>
      <c r="M25" s="35"/>
      <c r="N25" t="s">
        <v>27</v>
      </c>
      <c r="O25">
        <f>SUMIFS(States!H:H,States!A:A,$B$5,States!B:B,N25)</f>
        <v>3</v>
      </c>
      <c r="Q25" t="s">
        <v>27</v>
      </c>
      <c r="R25">
        <f t="shared" si="1"/>
        <v>3</v>
      </c>
      <c r="S25">
        <f ca="1">INDEX(OFFSET(States!$C$3:$C$50,$B$5*48-48,0),MATCH(Q25,OFFSET(States!$B$3:$B$50,$B$5*48-48,0),0))</f>
        <v>482</v>
      </c>
      <c r="U25" t="e">
        <f t="array" ref="U25">INDEX($Q$1:$Q$48,SMALL(IF($R$1:$R$48=W25,ROW($R$1:$R$48)),COUNTIF($W$1:W25,W25)))</f>
        <v>#NUM!</v>
      </c>
      <c r="V25">
        <f t="shared" si="2"/>
        <v>0</v>
      </c>
      <c r="W25">
        <v>1</v>
      </c>
      <c r="X25" t="str">
        <f t="array" aca="1" ref="X25" ca="1">IFERROR(INDEX($U$1:$U$48,SMALL(IF($V$1:$V$48=Y25,ROW($V$1:$V$48)),COUNTIF($Y$1:Y25,Y25))),"-")</f>
        <v>-</v>
      </c>
      <c r="Y25">
        <f t="shared" ca="1" si="3"/>
        <v>0</v>
      </c>
      <c r="Z25">
        <f t="shared" ca="1" si="4"/>
        <v>0</v>
      </c>
    </row>
    <row r="26" spans="1:26" x14ac:dyDescent="0.25">
      <c r="A26">
        <v>11</v>
      </c>
      <c r="B26" s="28">
        <f t="shared" ca="1" si="5"/>
        <v>173.53976881678489</v>
      </c>
      <c r="C26" s="28">
        <f t="shared" ca="1" si="6"/>
        <v>199.29608019367845</v>
      </c>
      <c r="N26" t="s">
        <v>28</v>
      </c>
      <c r="O26">
        <f>SUMIFS(States!H:H,States!A:A,$B$5,States!B:B,N26)</f>
        <v>3</v>
      </c>
      <c r="Q26" t="s">
        <v>28</v>
      </c>
      <c r="R26">
        <f t="shared" si="1"/>
        <v>3</v>
      </c>
      <c r="S26">
        <f ca="1">INDEX(OFFSET(States!$C$3:$C$50,$B$5*48-48,0),MATCH(Q26,OFFSET(States!$B$3:$B$50,$B$5*48-48,0),0))</f>
        <v>67</v>
      </c>
      <c r="U26" t="e">
        <f t="array" ref="U26">INDEX($Q$1:$Q$48,SMALL(IF($R$1:$R$48=W26,ROW($R$1:$R$48)),COUNTIF($W$1:W26,W26)))</f>
        <v>#NUM!</v>
      </c>
      <c r="V26">
        <f t="shared" si="2"/>
        <v>0</v>
      </c>
      <c r="W26">
        <v>1</v>
      </c>
      <c r="X26" t="str">
        <f t="array" aca="1" ref="X26" ca="1">IFERROR(INDEX($U$1:$U$48,SMALL(IF($V$1:$V$48=Y26,ROW($V$1:$V$48)),COUNTIF($Y$1:Y26,Y26))),"-")</f>
        <v>-</v>
      </c>
      <c r="Y26">
        <f t="shared" ca="1" si="3"/>
        <v>0</v>
      </c>
      <c r="Z26">
        <f t="shared" ca="1" si="4"/>
        <v>0</v>
      </c>
    </row>
    <row r="27" spans="1:26" x14ac:dyDescent="0.25">
      <c r="A27">
        <v>12</v>
      </c>
      <c r="B27" s="28">
        <f t="shared" ca="1" si="5"/>
        <v>171.50529889350958</v>
      </c>
      <c r="C27" s="28">
        <f t="shared" ca="1" si="6"/>
        <v>199.60584256001732</v>
      </c>
      <c r="N27" t="s">
        <v>29</v>
      </c>
      <c r="O27">
        <f>SUMIFS(States!H:H,States!A:A,$B$5,States!B:B,N27)</f>
        <v>3</v>
      </c>
      <c r="Q27" t="s">
        <v>29</v>
      </c>
      <c r="R27">
        <f t="shared" si="1"/>
        <v>3</v>
      </c>
      <c r="S27">
        <f ca="1">INDEX(OFFSET(States!$C$3:$C$50,$B$5*48-48,0),MATCH(Q27,OFFSET(States!$B$3:$B$50,$B$5*48-48,0),0))</f>
        <v>50</v>
      </c>
      <c r="U27" t="e">
        <f t="array" ref="U27">INDEX($Q$1:$Q$48,SMALL(IF($R$1:$R$48=W27,ROW($R$1:$R$48)),COUNTIF($W$1:W27,W27)))</f>
        <v>#NUM!</v>
      </c>
      <c r="V27">
        <f t="shared" si="2"/>
        <v>0</v>
      </c>
      <c r="W27">
        <v>1</v>
      </c>
      <c r="X27" t="str">
        <f t="array" aca="1" ref="X27" ca="1">IFERROR(INDEX($U$1:$U$48,SMALL(IF($V$1:$V$48=Y27,ROW($V$1:$V$48)),COUNTIF($Y$1:Y27,Y27))),"-")</f>
        <v>-</v>
      </c>
      <c r="Y27">
        <f t="shared" ca="1" si="3"/>
        <v>0</v>
      </c>
      <c r="Z27">
        <f t="shared" ca="1" si="4"/>
        <v>0</v>
      </c>
    </row>
    <row r="28" spans="1:26" x14ac:dyDescent="0.25">
      <c r="A28">
        <v>13</v>
      </c>
      <c r="B28" s="28">
        <f t="shared" ca="1" si="5"/>
        <v>168.13268712402214</v>
      </c>
      <c r="C28" s="28">
        <f t="shared" ca="1" si="6"/>
        <v>198.93455077642312</v>
      </c>
      <c r="N28" t="s">
        <v>30</v>
      </c>
      <c r="O28">
        <f>SUMIFS(States!H:H,States!A:A,$B$5,States!B:B,N28)</f>
        <v>2</v>
      </c>
      <c r="Q28" t="s">
        <v>30</v>
      </c>
      <c r="R28">
        <f t="shared" si="1"/>
        <v>2</v>
      </c>
      <c r="S28">
        <f ca="1">INDEX(OFFSET(States!$C$3:$C$50,$B$5*48-48,0),MATCH(Q28,OFFSET(States!$B$3:$B$50,$B$5*48-48,0),0))</f>
        <v>116</v>
      </c>
      <c r="U28" t="e">
        <f t="array" ref="U28">INDEX($Q$1:$Q$48,SMALL(IF($R$1:$R$48=W28,ROW($R$1:$R$48)),COUNTIF($W$1:W28,W28)))</f>
        <v>#NUM!</v>
      </c>
      <c r="V28">
        <f t="shared" si="2"/>
        <v>0</v>
      </c>
      <c r="W28">
        <v>1</v>
      </c>
      <c r="X28" t="str">
        <f t="array" aca="1" ref="X28" ca="1">IFERROR(INDEX($U$1:$U$48,SMALL(IF($V$1:$V$48=Y28,ROW($V$1:$V$48)),COUNTIF($Y$1:Y28,Y28))),"-")</f>
        <v>-</v>
      </c>
      <c r="Y28">
        <f t="shared" ca="1" si="3"/>
        <v>0</v>
      </c>
      <c r="Z28">
        <f t="shared" ca="1" si="4"/>
        <v>0</v>
      </c>
    </row>
    <row r="29" spans="1:26" x14ac:dyDescent="0.25">
      <c r="A29">
        <v>14</v>
      </c>
      <c r="B29" s="28">
        <f t="shared" ca="1" si="5"/>
        <v>163.72402454995495</v>
      </c>
      <c r="C29" s="28">
        <f t="shared" ca="1" si="6"/>
        <v>197.3274258738661</v>
      </c>
      <c r="N29" t="s">
        <v>31</v>
      </c>
      <c r="O29">
        <f>SUMIFS(States!H:H,States!A:A,$B$5,States!B:B,N29)</f>
        <v>1</v>
      </c>
      <c r="Q29" t="s">
        <v>31</v>
      </c>
      <c r="R29">
        <f t="shared" si="1"/>
        <v>1</v>
      </c>
      <c r="S29">
        <f ca="1">INDEX(OFFSET(States!$C$3:$C$50,$B$5*48-48,0),MATCH(Q29,OFFSET(States!$B$3:$B$50,$B$5*48-48,0),0))</f>
        <v>532</v>
      </c>
      <c r="U29" t="e">
        <f t="array" ref="U29">INDEX($Q$1:$Q$48,SMALL(IF($R$1:$R$48=W29,ROW($R$1:$R$48)),COUNTIF($W$1:W29,W29)))</f>
        <v>#NUM!</v>
      </c>
      <c r="V29">
        <f t="shared" si="2"/>
        <v>0</v>
      </c>
      <c r="W29">
        <v>1</v>
      </c>
      <c r="X29" t="str">
        <f t="array" aca="1" ref="X29" ca="1">IFERROR(INDEX($U$1:$U$48,SMALL(IF($V$1:$V$48=Y29,ROW($V$1:$V$48)),COUNTIF($Y$1:Y29,Y29))),"-")</f>
        <v>-</v>
      </c>
      <c r="Y29">
        <f t="shared" ca="1" si="3"/>
        <v>0</v>
      </c>
      <c r="Z29">
        <f t="shared" ca="1" si="4"/>
        <v>0</v>
      </c>
    </row>
    <row r="30" spans="1:26" x14ac:dyDescent="0.25">
      <c r="A30">
        <v>15</v>
      </c>
      <c r="B30" s="28">
        <f t="shared" ca="1" si="5"/>
        <v>158.73838326254736</v>
      </c>
      <c r="C30" s="28">
        <f t="shared" ca="1" si="6"/>
        <v>194.87582925135644</v>
      </c>
      <c r="N30" t="s">
        <v>32</v>
      </c>
      <c r="O30">
        <f>SUMIFS(States!H:H,States!A:A,$B$5,States!B:B,N30)</f>
        <v>1</v>
      </c>
      <c r="Q30" t="s">
        <v>32</v>
      </c>
      <c r="R30">
        <f t="shared" si="1"/>
        <v>1</v>
      </c>
      <c r="S30">
        <f ca="1">INDEX(OFFSET(States!$C$3:$C$50,$B$5*48-48,0),MATCH(Q30,OFFSET(States!$B$3:$B$50,$B$5*48-48,0),0))</f>
        <v>399</v>
      </c>
      <c r="U30" t="e">
        <f t="array" ref="U30">INDEX($Q$1:$Q$48,SMALL(IF($R$1:$R$48=W30,ROW($R$1:$R$48)),COUNTIF($W$1:W30,W30)))</f>
        <v>#NUM!</v>
      </c>
      <c r="V30">
        <f t="shared" si="2"/>
        <v>0</v>
      </c>
      <c r="W30">
        <v>1</v>
      </c>
      <c r="X30" t="str">
        <f t="array" aca="1" ref="X30" ca="1">IFERROR(INDEX($U$1:$U$48,SMALL(IF($V$1:$V$48=Y30,ROW($V$1:$V$48)),COUNTIF($Y$1:Y30,Y30))),"-")</f>
        <v>-</v>
      </c>
      <c r="Y30">
        <f t="shared" ca="1" si="3"/>
        <v>0</v>
      </c>
      <c r="Z30">
        <f t="shared" ca="1" si="4"/>
        <v>0</v>
      </c>
    </row>
    <row r="31" spans="1:26" x14ac:dyDescent="0.25">
      <c r="A31">
        <v>16</v>
      </c>
      <c r="B31" s="28">
        <f t="shared" ca="1" si="5"/>
        <v>153.73623217716613</v>
      </c>
      <c r="C31" s="28">
        <f t="shared" ca="1" si="6"/>
        <v>191.71227133178269</v>
      </c>
      <c r="N31" t="s">
        <v>33</v>
      </c>
      <c r="O31">
        <f>SUMIFS(States!H:H,States!A:A,$B$5,States!B:B,N31)</f>
        <v>2</v>
      </c>
      <c r="Q31" t="s">
        <v>33</v>
      </c>
      <c r="R31">
        <f t="shared" si="1"/>
        <v>2</v>
      </c>
      <c r="S31">
        <f ca="1">INDEX(OFFSET(States!$C$3:$C$50,$B$5*48-48,0),MATCH(Q31,OFFSET(States!$B$3:$B$50,$B$5*48-48,0),0))</f>
        <v>216</v>
      </c>
      <c r="U31" t="e">
        <f t="array" ref="U31">INDEX($Q$1:$Q$48,SMALL(IF($R$1:$R$48=W31,ROW($R$1:$R$48)),COUNTIF($W$1:W31,W31)))</f>
        <v>#NUM!</v>
      </c>
      <c r="V31">
        <f t="shared" si="2"/>
        <v>0</v>
      </c>
      <c r="W31">
        <v>1</v>
      </c>
      <c r="X31" t="str">
        <f t="array" aca="1" ref="X31" ca="1">IFERROR(INDEX($U$1:$U$48,SMALL(IF($V$1:$V$48=Y31,ROW($V$1:$V$48)),COUNTIF($Y$1:Y31,Y31))),"-")</f>
        <v>-</v>
      </c>
      <c r="Y31">
        <f t="shared" ca="1" si="3"/>
        <v>0</v>
      </c>
      <c r="Z31">
        <f t="shared" ca="1" si="4"/>
        <v>0</v>
      </c>
    </row>
    <row r="32" spans="1:26" x14ac:dyDescent="0.25">
      <c r="A32">
        <v>17</v>
      </c>
      <c r="B32" s="28">
        <f t="shared" ca="1" si="5"/>
        <v>149.32385280783365</v>
      </c>
      <c r="C32" s="28">
        <f t="shared" ca="1" si="6"/>
        <v>188.00542021775044</v>
      </c>
      <c r="N32" t="s">
        <v>34</v>
      </c>
      <c r="O32">
        <f>SUMIFS(States!H:H,States!A:A,$B$5,States!B:B,N32)</f>
        <v>3</v>
      </c>
      <c r="Q32" t="s">
        <v>34</v>
      </c>
      <c r="R32">
        <f t="shared" si="1"/>
        <v>3</v>
      </c>
      <c r="S32">
        <f ca="1">INDEX(OFFSET(States!$C$3:$C$50,$B$5*48-48,0),MATCH(Q32,OFFSET(States!$B$3:$B$50,$B$5*48-48,0),0))</f>
        <v>83</v>
      </c>
      <c r="U32" t="e">
        <f t="array" ref="U32">INDEX($Q$1:$Q$48,SMALL(IF($R$1:$R$48=W32,ROW($R$1:$R$48)),COUNTIF($W$1:W32,W32)))</f>
        <v>#NUM!</v>
      </c>
      <c r="V32">
        <f t="shared" si="2"/>
        <v>0</v>
      </c>
      <c r="W32">
        <v>1</v>
      </c>
      <c r="X32" t="str">
        <f t="array" aca="1" ref="X32" ca="1">IFERROR(INDEX($U$1:$U$48,SMALL(IF($V$1:$V$48=Y32,ROW($V$1:$V$48)),COUNTIF($Y$1:Y32,Y32))),"-")</f>
        <v>-</v>
      </c>
      <c r="Y32">
        <f t="shared" ca="1" si="3"/>
        <v>0</v>
      </c>
      <c r="Z32">
        <f t="shared" ca="1" si="4"/>
        <v>0</v>
      </c>
    </row>
    <row r="33" spans="1:26" x14ac:dyDescent="0.25">
      <c r="A33">
        <v>18</v>
      </c>
      <c r="B33" s="28">
        <f t="shared" ca="1" si="5"/>
        <v>146.09775504174786</v>
      </c>
      <c r="C33" s="28">
        <f t="shared" ca="1" si="6"/>
        <v>183.95511034742074</v>
      </c>
      <c r="N33" t="s">
        <v>35</v>
      </c>
      <c r="O33">
        <f>SUMIFS(States!H:H,States!A:A,$B$5,States!B:B,N33)</f>
        <v>1</v>
      </c>
      <c r="Q33" t="s">
        <v>35</v>
      </c>
      <c r="R33">
        <f t="shared" si="1"/>
        <v>1</v>
      </c>
      <c r="S33">
        <f ca="1">INDEX(OFFSET(States!$C$3:$C$50,$B$5*48-48,0),MATCH(Q33,OFFSET(States!$B$3:$B$50,$B$5*48-48,0),0))</f>
        <v>732</v>
      </c>
      <c r="U33" t="e">
        <f t="array" ref="U33">INDEX($Q$1:$Q$48,SMALL(IF($R$1:$R$48=W33,ROW($R$1:$R$48)),COUNTIF($W$1:W33,W33)))</f>
        <v>#NUM!</v>
      </c>
      <c r="V33">
        <f t="shared" si="2"/>
        <v>0</v>
      </c>
      <c r="W33">
        <v>1</v>
      </c>
      <c r="X33" t="str">
        <f t="array" aca="1" ref="X33" ca="1">IFERROR(INDEX($U$1:$U$48,SMALL(IF($V$1:$V$48=Y33,ROW($V$1:$V$48)),COUNTIF($Y$1:Y33,Y33))),"-")</f>
        <v>-</v>
      </c>
      <c r="Y33">
        <f t="shared" ca="1" si="3"/>
        <v>0</v>
      </c>
      <c r="Z33">
        <f t="shared" ca="1" si="4"/>
        <v>0</v>
      </c>
    </row>
    <row r="34" spans="1:26" x14ac:dyDescent="0.25">
      <c r="A34">
        <v>19</v>
      </c>
      <c r="B34" s="28">
        <f t="shared" ca="1" si="5"/>
        <v>144.58909291380905</v>
      </c>
      <c r="C34" s="28">
        <f t="shared" ca="1" si="6"/>
        <v>179.78735115034829</v>
      </c>
      <c r="N34" t="s">
        <v>36</v>
      </c>
      <c r="O34">
        <f>SUMIFS(States!H:H,States!A:A,$B$5,States!B:B,N34)</f>
        <v>2</v>
      </c>
      <c r="Q34" t="s">
        <v>36</v>
      </c>
      <c r="R34">
        <f t="shared" si="1"/>
        <v>2</v>
      </c>
      <c r="S34">
        <f ca="1">INDEX(OFFSET(States!$C$3:$C$50,$B$5*48-48,0),MATCH(Q34,OFFSET(States!$B$3:$B$50,$B$5*48-48,0),0))</f>
        <v>432</v>
      </c>
      <c r="U34" t="e">
        <f t="array" ref="U34">INDEX($Q$1:$Q$48,SMALL(IF($R$1:$R$48=W34,ROW($R$1:$R$48)),COUNTIF($W$1:W34,W34)))</f>
        <v>#NUM!</v>
      </c>
      <c r="V34">
        <f t="shared" si="2"/>
        <v>0</v>
      </c>
      <c r="W34">
        <v>1</v>
      </c>
      <c r="X34" t="str">
        <f t="array" aca="1" ref="X34" ca="1">IFERROR(INDEX($U$1:$U$48,SMALL(IF($V$1:$V$48=Y34,ROW($V$1:$V$48)),COUNTIF($Y$1:Y34,Y34))),"-")</f>
        <v>-</v>
      </c>
      <c r="Y34">
        <f t="shared" ca="1" si="3"/>
        <v>0</v>
      </c>
      <c r="Z34">
        <f t="shared" ca="1" si="4"/>
        <v>0</v>
      </c>
    </row>
    <row r="35" spans="1:26" x14ac:dyDescent="0.25">
      <c r="A35">
        <v>20</v>
      </c>
      <c r="B35" s="28">
        <f t="shared" ca="1" si="5"/>
        <v>145.20808038114501</v>
      </c>
      <c r="C35" s="28">
        <f t="shared" ca="1" si="6"/>
        <v>175.74933570332072</v>
      </c>
      <c r="N35" t="s">
        <v>37</v>
      </c>
      <c r="O35">
        <f>SUMIFS(States!H:H,States!A:A,$B$5,States!B:B,N35)</f>
        <v>3</v>
      </c>
      <c r="Q35" t="s">
        <v>37</v>
      </c>
      <c r="R35">
        <f t="shared" si="1"/>
        <v>3</v>
      </c>
      <c r="S35">
        <f ca="1">INDEX(OFFSET(States!$C$3:$C$50,$B$5*48-48,0),MATCH(Q35,OFFSET(States!$B$3:$B$50,$B$5*48-48,0),0))</f>
        <v>383</v>
      </c>
      <c r="U35" t="e">
        <f t="array" ref="U35">INDEX($Q$1:$Q$48,SMALL(IF($R$1:$R$48=W35,ROW($R$1:$R$48)),COUNTIF($W$1:W35,W35)))</f>
        <v>#NUM!</v>
      </c>
      <c r="V35">
        <f t="shared" si="2"/>
        <v>0</v>
      </c>
      <c r="W35">
        <v>1</v>
      </c>
      <c r="X35" t="str">
        <f t="array" aca="1" ref="X35" ca="1">IFERROR(INDEX($U$1:$U$48,SMALL(IF($V$1:$V$48=Y35,ROW($V$1:$V$48)),COUNTIF($Y$1:Y35,Y35))),"-")</f>
        <v>-</v>
      </c>
      <c r="Y35">
        <f t="shared" ca="1" si="3"/>
        <v>0</v>
      </c>
      <c r="Z35">
        <f t="shared" ca="1" si="4"/>
        <v>0</v>
      </c>
    </row>
    <row r="36" spans="1:26" x14ac:dyDescent="0.25">
      <c r="A36">
        <v>21</v>
      </c>
      <c r="B36" s="28">
        <f t="shared" ca="1" si="5"/>
        <v>148.18840709763049</v>
      </c>
      <c r="C36" s="28">
        <f t="shared" ca="1" si="6"/>
        <v>172.10444938619611</v>
      </c>
      <c r="N36" t="s">
        <v>38</v>
      </c>
      <c r="O36">
        <f>SUMIFS(States!H:H,States!A:A,$B$5,States!B:B,N36)</f>
        <v>3</v>
      </c>
      <c r="Q36" t="s">
        <v>38</v>
      </c>
      <c r="R36">
        <f t="shared" si="1"/>
        <v>3</v>
      </c>
      <c r="S36">
        <f ca="1">INDEX(OFFSET(States!$C$3:$C$50,$B$5*48-48,0),MATCH(Q36,OFFSET(States!$B$3:$B$50,$B$5*48-48,0),0))</f>
        <v>283</v>
      </c>
      <c r="U36" t="e">
        <f t="array" ref="U36">INDEX($Q$1:$Q$48,SMALL(IF($R$1:$R$48=W36,ROW($R$1:$R$48)),COUNTIF($W$1:W36,W36)))</f>
        <v>#NUM!</v>
      </c>
      <c r="V36">
        <f t="shared" si="2"/>
        <v>0</v>
      </c>
      <c r="W36">
        <v>1</v>
      </c>
      <c r="X36" t="str">
        <f t="array" aca="1" ref="X36" ca="1">IFERROR(INDEX($U$1:$U$48,SMALL(IF($V$1:$V$48=Y36,ROW($V$1:$V$48)),COUNTIF($Y$1:Y36,Y36))),"-")</f>
        <v>-</v>
      </c>
      <c r="Y36">
        <f t="shared" ca="1" si="3"/>
        <v>0</v>
      </c>
      <c r="Z36">
        <f t="shared" ca="1" si="4"/>
        <v>0</v>
      </c>
    </row>
    <row r="37" spans="1:26" x14ac:dyDescent="0.25">
      <c r="A37">
        <v>22</v>
      </c>
      <c r="B37" s="28">
        <f t="shared" ca="1" si="5"/>
        <v>153.53165418841422</v>
      </c>
      <c r="C37" s="28">
        <f t="shared" ca="1" si="6"/>
        <v>169.127278537742</v>
      </c>
      <c r="N37" t="s">
        <v>39</v>
      </c>
      <c r="O37">
        <f>SUMIFS(States!H:H,States!A:A,$B$5,States!B:B,N37)</f>
        <v>3</v>
      </c>
      <c r="Q37" t="s">
        <v>39</v>
      </c>
      <c r="R37">
        <f t="shared" si="1"/>
        <v>3</v>
      </c>
      <c r="S37">
        <f ca="1">INDEX(OFFSET(States!$C$3:$C$50,$B$5*48-48,0),MATCH(Q37,OFFSET(States!$B$3:$B$50,$B$5*48-48,0),0))</f>
        <v>516</v>
      </c>
      <c r="U37" t="e">
        <f t="array" ref="U37">INDEX($Q$1:$Q$48,SMALL(IF($R$1:$R$48=W37,ROW($R$1:$R$48)),COUNTIF($W$1:W37,W37)))</f>
        <v>#NUM!</v>
      </c>
      <c r="V37">
        <f t="shared" si="2"/>
        <v>0</v>
      </c>
      <c r="W37">
        <v>1</v>
      </c>
      <c r="X37" t="str">
        <f t="array" aca="1" ref="X37" ca="1">IFERROR(INDEX($U$1:$U$48,SMALL(IF($V$1:$V$48=Y37,ROW($V$1:$V$48)),COUNTIF($Y$1:Y37,Y37))),"-")</f>
        <v>-</v>
      </c>
      <c r="Y37">
        <f t="shared" ca="1" si="3"/>
        <v>0</v>
      </c>
      <c r="Z37">
        <f t="shared" ca="1" si="4"/>
        <v>0</v>
      </c>
    </row>
    <row r="38" spans="1:26" x14ac:dyDescent="0.25">
      <c r="A38">
        <v>23</v>
      </c>
      <c r="B38" s="28">
        <f t="shared" ca="1" si="5"/>
        <v>160.95171002444499</v>
      </c>
      <c r="C38" s="28">
        <f t="shared" ca="1" si="6"/>
        <v>167.09861911147394</v>
      </c>
      <c r="N38" t="s">
        <v>40</v>
      </c>
      <c r="O38">
        <f>SUMIFS(States!H:H,States!A:A,$B$5,States!B:B,N38)</f>
        <v>1</v>
      </c>
      <c r="Q38" t="s">
        <v>40</v>
      </c>
      <c r="R38">
        <f t="shared" si="1"/>
        <v>1</v>
      </c>
      <c r="S38">
        <f ca="1">INDEX(OFFSET(States!$C$3:$C$50,$B$5*48-48,0),MATCH(Q38,OFFSET(States!$B$3:$B$50,$B$5*48-48,0),0))</f>
        <v>798</v>
      </c>
      <c r="U38" t="e">
        <f t="array" ref="U38">INDEX($Q$1:$Q$48,SMALL(IF($R$1:$R$48=W38,ROW($R$1:$R$48)),COUNTIF($W$1:W38,W38)))</f>
        <v>#NUM!</v>
      </c>
      <c r="V38">
        <f t="shared" si="2"/>
        <v>0</v>
      </c>
      <c r="W38">
        <v>1</v>
      </c>
      <c r="X38" t="str">
        <f t="array" aca="1" ref="X38" ca="1">IFERROR(INDEX($U$1:$U$48,SMALL(IF($V$1:$V$48=Y38,ROW($V$1:$V$48)),COUNTIF($Y$1:Y38,Y38))),"-")</f>
        <v>-</v>
      </c>
      <c r="Y38">
        <f t="shared" ca="1" si="3"/>
        <v>0</v>
      </c>
      <c r="Z38">
        <f t="shared" ca="1" si="4"/>
        <v>0</v>
      </c>
    </row>
    <row r="39" spans="1:26" x14ac:dyDescent="0.25">
      <c r="A39">
        <v>24</v>
      </c>
      <c r="B39" s="28">
        <f t="shared" ca="1" si="5"/>
        <v>169.81918599699407</v>
      </c>
      <c r="C39" s="28">
        <f t="shared" ca="1" si="6"/>
        <v>166.30048533149341</v>
      </c>
      <c r="N39" t="s">
        <v>41</v>
      </c>
      <c r="O39">
        <f>SUMIFS(States!H:H,States!A:A,$B$5,States!B:B,N39)</f>
        <v>2</v>
      </c>
      <c r="Q39" t="s">
        <v>41</v>
      </c>
      <c r="R39">
        <f t="shared" si="1"/>
        <v>2</v>
      </c>
      <c r="S39">
        <f ca="1">INDEX(OFFSET(States!$C$3:$C$50,$B$5*48-48,0),MATCH(Q39,OFFSET(States!$B$3:$B$50,$B$5*48-48,0),0))</f>
        <v>649</v>
      </c>
      <c r="U39" t="e">
        <f t="array" ref="U39">INDEX($Q$1:$Q$48,SMALL(IF($R$1:$R$48=W39,ROW($R$1:$R$48)),COUNTIF($W$1:W39,W39)))</f>
        <v>#NUM!</v>
      </c>
      <c r="V39">
        <f t="shared" si="2"/>
        <v>0</v>
      </c>
      <c r="W39">
        <v>1</v>
      </c>
      <c r="X39" t="str">
        <f t="array" aca="1" ref="X39" ca="1">IFERROR(INDEX($U$1:$U$48,SMALL(IF($V$1:$V$48=Y39,ROW($V$1:$V$48)),COUNTIF($Y$1:Y39,Y39))),"-")</f>
        <v>-</v>
      </c>
      <c r="Y39">
        <f t="shared" ca="1" si="3"/>
        <v>0</v>
      </c>
      <c r="Z39">
        <f t="shared" ca="1" si="4"/>
        <v>0</v>
      </c>
    </row>
    <row r="40" spans="1:26" x14ac:dyDescent="0.25">
      <c r="A40">
        <v>25</v>
      </c>
      <c r="B40" s="28">
        <f t="shared" ca="1" si="5"/>
        <v>179.1058322921765</v>
      </c>
      <c r="C40" s="28">
        <f t="shared" ca="1" si="6"/>
        <v>167.01111834832702</v>
      </c>
      <c r="N40" t="s">
        <v>42</v>
      </c>
      <c r="O40">
        <f>SUMIFS(States!H:H,States!A:A,$B$5,States!B:B,N40)</f>
        <v>3</v>
      </c>
      <c r="Q40" t="s">
        <v>42</v>
      </c>
      <c r="R40">
        <f t="shared" si="1"/>
        <v>3</v>
      </c>
      <c r="S40">
        <f ca="1">INDEX(OFFSET(States!$C$3:$C$50,$B$5*48-48,0),MATCH(Q40,OFFSET(States!$B$3:$B$50,$B$5*48-48,0),0))</f>
        <v>250</v>
      </c>
      <c r="U40" t="e">
        <f t="array" ref="U40">INDEX($Q$1:$Q$48,SMALL(IF($R$1:$R$48=W40,ROW($R$1:$R$48)),COUNTIF($W$1:W40,W40)))</f>
        <v>#NUM!</v>
      </c>
      <c r="V40">
        <f t="shared" si="2"/>
        <v>0</v>
      </c>
      <c r="W40">
        <v>1</v>
      </c>
      <c r="X40" t="str">
        <f t="array" aca="1" ref="X40" ca="1">IFERROR(INDEX($U$1:$U$48,SMALL(IF($V$1:$V$48=Y40,ROW($V$1:$V$48)),COUNTIF($Y$1:Y40,Y40))),"-")</f>
        <v>-</v>
      </c>
      <c r="Y40">
        <f t="shared" ca="1" si="3"/>
        <v>0</v>
      </c>
      <c r="Z40">
        <f t="shared" ca="1" si="4"/>
        <v>0</v>
      </c>
    </row>
    <row r="41" spans="1:26" x14ac:dyDescent="0.25">
      <c r="A41">
        <v>26</v>
      </c>
      <c r="B41" s="28">
        <f t="shared" ca="1" si="5"/>
        <v>187.32895366547427</v>
      </c>
      <c r="C41" s="28">
        <f t="shared" ca="1" si="6"/>
        <v>169.49999489476437</v>
      </c>
      <c r="N41" t="s">
        <v>43</v>
      </c>
      <c r="O41">
        <f>SUMIFS(States!H:H,States!A:A,$B$5,States!B:B,N41)</f>
        <v>1</v>
      </c>
      <c r="Q41" t="s">
        <v>43</v>
      </c>
      <c r="R41">
        <f t="shared" si="1"/>
        <v>1</v>
      </c>
      <c r="S41">
        <f ca="1">INDEX(OFFSET(States!$C$3:$C$50,$B$5*48-48,0),MATCH(Q41,OFFSET(States!$B$3:$B$50,$B$5*48-48,0),0))</f>
        <v>549</v>
      </c>
      <c r="U41" t="e">
        <f t="array" ref="U41">INDEX($Q$1:$Q$48,SMALL(IF($R$1:$R$48=W41,ROW($R$1:$R$48)),COUNTIF($W$1:W41,W41)))</f>
        <v>#NUM!</v>
      </c>
      <c r="V41">
        <f t="shared" si="2"/>
        <v>0</v>
      </c>
      <c r="W41">
        <v>1</v>
      </c>
      <c r="X41" t="str">
        <f t="array" aca="1" ref="X41" ca="1">IFERROR(INDEX($U$1:$U$48,SMALL(IF($V$1:$V$48=Y41,ROW($V$1:$V$48)),COUNTIF($Y$1:Y41,Y41))),"-")</f>
        <v>-</v>
      </c>
      <c r="Y41">
        <f t="shared" ca="1" si="3"/>
        <v>0</v>
      </c>
      <c r="Z41">
        <f t="shared" ca="1" si="4"/>
        <v>0</v>
      </c>
    </row>
    <row r="42" spans="1:26" x14ac:dyDescent="0.25">
      <c r="A42">
        <v>27</v>
      </c>
      <c r="B42" s="28">
        <f t="shared" ca="1" si="5"/>
        <v>192.49582521627281</v>
      </c>
      <c r="C42" s="28">
        <f t="shared" ca="1" si="6"/>
        <v>174.02283594169799</v>
      </c>
      <c r="N42" t="s">
        <v>44</v>
      </c>
      <c r="O42">
        <f>SUMIFS(States!H:H,States!A:A,$B$5,States!B:B,N42)</f>
        <v>3</v>
      </c>
      <c r="Q42" t="s">
        <v>44</v>
      </c>
      <c r="R42">
        <f t="shared" si="1"/>
        <v>3</v>
      </c>
      <c r="S42">
        <f ca="1">INDEX(OFFSET(States!$C$3:$C$50,$B$5*48-48,0),MATCH(Q42,OFFSET(States!$B$3:$B$50,$B$5*48-48,0),0))</f>
        <v>499</v>
      </c>
      <c r="U42" t="e">
        <f t="array" ref="U42">INDEX($Q$1:$Q$48,SMALL(IF($R$1:$R$48=W42,ROW($R$1:$R$48)),COUNTIF($W$1:W42,W42)))</f>
        <v>#NUM!</v>
      </c>
      <c r="V42">
        <f t="shared" si="2"/>
        <v>0</v>
      </c>
      <c r="W42">
        <v>1</v>
      </c>
      <c r="X42" t="str">
        <f t="array" aca="1" ref="X42" ca="1">IFERROR(INDEX($U$1:$U$48,SMALL(IF($V$1:$V$48=Y42,ROW($V$1:$V$48)),COUNTIF($Y$1:Y42,Y42))),"-")</f>
        <v>-</v>
      </c>
      <c r="Y42">
        <f t="shared" ca="1" si="3"/>
        <v>0</v>
      </c>
      <c r="Z42">
        <f t="shared" ca="1" si="4"/>
        <v>0</v>
      </c>
    </row>
    <row r="43" spans="1:26" x14ac:dyDescent="0.25">
      <c r="A43">
        <v>28</v>
      </c>
      <c r="B43" s="28">
        <f t="shared" ca="1" si="5"/>
        <v>192.04810816236613</v>
      </c>
      <c r="C43" s="28">
        <f t="shared" ca="1" si="6"/>
        <v>180.81661535395801</v>
      </c>
      <c r="N43" t="s">
        <v>45</v>
      </c>
      <c r="O43">
        <f>SUMIFS(States!H:H,States!A:A,$B$5,States!B:B,N43)</f>
        <v>1</v>
      </c>
      <c r="Q43" t="s">
        <v>45</v>
      </c>
      <c r="R43">
        <f t="shared" si="1"/>
        <v>1</v>
      </c>
      <c r="S43">
        <f ca="1">INDEX(OFFSET(States!$C$3:$C$50,$B$5*48-48,0),MATCH(Q43,OFFSET(States!$B$3:$B$50,$B$5*48-48,0),0))</f>
        <v>765</v>
      </c>
      <c r="U43" t="e">
        <f t="array" ref="U43">INDEX($Q$1:$Q$48,SMALL(IF($R$1:$R$48=W43,ROW($R$1:$R$48)),COUNTIF($W$1:W43,W43)))</f>
        <v>#NUM!</v>
      </c>
      <c r="V43">
        <f t="shared" si="2"/>
        <v>0</v>
      </c>
      <c r="W43">
        <v>1</v>
      </c>
      <c r="X43" t="str">
        <f t="array" aca="1" ref="X43" ca="1">IFERROR(INDEX($U$1:$U$48,SMALL(IF($V$1:$V$48=Y43,ROW($V$1:$V$48)),COUNTIF($Y$1:Y43,Y43))),"-")</f>
        <v>-</v>
      </c>
      <c r="Y43">
        <f t="shared" ca="1" si="3"/>
        <v>0</v>
      </c>
      <c r="Z43">
        <f t="shared" ca="1" si="4"/>
        <v>0</v>
      </c>
    </row>
    <row r="44" spans="1:26" x14ac:dyDescent="0.25">
      <c r="A44">
        <v>29</v>
      </c>
      <c r="B44" s="28">
        <f t="shared" ca="1" si="5"/>
        <v>182.80626561449617</v>
      </c>
      <c r="C44" s="28">
        <f t="shared" ca="1" si="6"/>
        <v>190.09456854615621</v>
      </c>
      <c r="N44" t="s">
        <v>46</v>
      </c>
      <c r="O44">
        <f>SUMIFS(States!H:H,States!A:A,$B$5,States!B:B,N44)</f>
        <v>3</v>
      </c>
      <c r="Q44" t="s">
        <v>46</v>
      </c>
      <c r="R44">
        <f t="shared" si="1"/>
        <v>3</v>
      </c>
      <c r="S44">
        <f ca="1">INDEX(OFFSET(States!$C$3:$C$50,$B$5*48-48,0),MATCH(Q44,OFFSET(States!$B$3:$B$50,$B$5*48-48,0),0))</f>
        <v>266</v>
      </c>
      <c r="U44" t="e">
        <f t="array" ref="U44">INDEX($Q$1:$Q$48,SMALL(IF($R$1:$R$48=W44,ROW($R$1:$R$48)),COUNTIF($W$1:W44,W44)))</f>
        <v>#NUM!</v>
      </c>
      <c r="V44">
        <f t="shared" si="2"/>
        <v>0</v>
      </c>
      <c r="W44">
        <v>1</v>
      </c>
      <c r="X44" t="str">
        <f t="array" aca="1" ref="X44" ca="1">IFERROR(INDEX($U$1:$U$48,SMALL(IF($V$1:$V$48=Y44,ROW($V$1:$V$48)),COUNTIF($Y$1:Y44,Y44))),"-")</f>
        <v>-</v>
      </c>
      <c r="Y44">
        <f t="shared" ca="1" si="3"/>
        <v>0</v>
      </c>
      <c r="Z44">
        <f t="shared" ca="1" si="4"/>
        <v>0</v>
      </c>
    </row>
    <row r="45" spans="1:26" x14ac:dyDescent="0.25">
      <c r="A45">
        <v>30</v>
      </c>
      <c r="B45" s="28">
        <f t="shared" ca="1" si="5"/>
        <v>160.91397835087128</v>
      </c>
      <c r="C45" s="28">
        <f t="shared" ca="1" si="6"/>
        <v>202.04120113852011</v>
      </c>
      <c r="N45" t="s">
        <v>47</v>
      </c>
      <c r="O45">
        <f>SUMIFS(States!H:H,States!A:A,$B$5,States!B:B,N45)</f>
        <v>3</v>
      </c>
      <c r="Q45" t="s">
        <v>47</v>
      </c>
      <c r="R45">
        <f t="shared" si="1"/>
        <v>3</v>
      </c>
      <c r="S45">
        <f ca="1">INDEX(OFFSET(States!$C$3:$C$50,$B$5*48-48,0),MATCH(Q45,OFFSET(States!$B$3:$B$50,$B$5*48-48,0),0))</f>
        <v>299</v>
      </c>
      <c r="U45" t="e">
        <f t="array" ref="U45">INDEX($Q$1:$Q$48,SMALL(IF($R$1:$R$48=W45,ROW($R$1:$R$48)),COUNTIF($W$1:W45,W45)))</f>
        <v>#NUM!</v>
      </c>
      <c r="V45">
        <f t="shared" si="2"/>
        <v>0</v>
      </c>
      <c r="W45">
        <v>1</v>
      </c>
      <c r="X45" t="str">
        <f t="array" aca="1" ref="X45" ca="1">IFERROR(INDEX($U$1:$U$48,SMALL(IF($V$1:$V$48=Y45,ROW($V$1:$V$48)),COUNTIF($Y$1:Y45,Y45))),"-")</f>
        <v>-</v>
      </c>
      <c r="Y45">
        <f t="shared" ca="1" si="3"/>
        <v>0</v>
      </c>
      <c r="Z45">
        <f t="shared" ca="1" si="4"/>
        <v>0</v>
      </c>
    </row>
    <row r="46" spans="1:26" x14ac:dyDescent="0.25">
      <c r="A46">
        <v>31</v>
      </c>
      <c r="B46" s="28">
        <f t="shared" ca="1" si="5"/>
        <v>121.78256059168643</v>
      </c>
      <c r="C46" s="28" t="e">
        <f t="shared" ca="1" si="6"/>
        <v>#N/A</v>
      </c>
      <c r="N46" t="s">
        <v>48</v>
      </c>
      <c r="O46">
        <f>SUMIFS(States!H:H,States!A:A,$B$5,States!B:B,N46)</f>
        <v>3</v>
      </c>
      <c r="Q46" t="s">
        <v>48</v>
      </c>
      <c r="R46">
        <f t="shared" si="1"/>
        <v>3</v>
      </c>
      <c r="S46">
        <f ca="1">INDEX(OFFSET(States!$C$3:$C$50,$B$5*48-48,0),MATCH(Q46,OFFSET(States!$B$3:$B$50,$B$5*48-48,0),0))</f>
        <v>33</v>
      </c>
      <c r="U46" t="e">
        <f t="array" ref="U46">INDEX($Q$1:$Q$48,SMALL(IF($R$1:$R$48=W46,ROW($R$1:$R$48)),COUNTIF($W$1:W46,W46)))</f>
        <v>#NUM!</v>
      </c>
      <c r="V46">
        <f t="shared" si="2"/>
        <v>0</v>
      </c>
      <c r="W46">
        <v>1</v>
      </c>
      <c r="X46" t="str">
        <f t="array" aca="1" ref="X46" ca="1">IFERROR(INDEX($U$1:$U$48,SMALL(IF($V$1:$V$48=Y46,ROW($V$1:$V$48)),COUNTIF($Y$1:Y46,Y46))),"-")</f>
        <v>-</v>
      </c>
      <c r="Y46">
        <f t="shared" ca="1" si="3"/>
        <v>0</v>
      </c>
      <c r="Z46">
        <f t="shared" ca="1" si="4"/>
        <v>0</v>
      </c>
    </row>
    <row r="47" spans="1:26" x14ac:dyDescent="0.25">
      <c r="N47" t="s">
        <v>49</v>
      </c>
      <c r="O47">
        <f>SUMIFS(States!H:H,States!A:A,$B$5,States!B:B,N47)</f>
        <v>3</v>
      </c>
      <c r="Q47" t="s">
        <v>49</v>
      </c>
      <c r="R47">
        <f t="shared" si="1"/>
        <v>3</v>
      </c>
      <c r="S47">
        <f ca="1">INDEX(OFFSET(States!$C$3:$C$50,$B$5*48-48,0),MATCH(Q47,OFFSET(States!$B$3:$B$50,$B$5*48-48,0),0))</f>
        <v>615</v>
      </c>
      <c r="U47" t="e">
        <f t="array" ref="U47">INDEX($Q$1:$Q$48,SMALL(IF($R$1:$R$48=W47,ROW($R$1:$R$48)),COUNTIF($W$1:W47,W47)))</f>
        <v>#NUM!</v>
      </c>
      <c r="V47">
        <f t="shared" si="2"/>
        <v>0</v>
      </c>
      <c r="W47">
        <v>1</v>
      </c>
      <c r="X47" t="str">
        <f t="array" aca="1" ref="X47" ca="1">IFERROR(INDEX($U$1:$U$48,SMALL(IF($V$1:$V$48=Y47,ROW($V$1:$V$48)),COUNTIF($Y$1:Y47,Y47))),"-")</f>
        <v>-</v>
      </c>
      <c r="Y47">
        <f t="shared" ca="1" si="3"/>
        <v>0</v>
      </c>
      <c r="Z47">
        <f t="shared" ca="1" si="4"/>
        <v>0</v>
      </c>
    </row>
    <row r="48" spans="1:26" x14ac:dyDescent="0.25">
      <c r="N48" t="s">
        <v>50</v>
      </c>
      <c r="O48">
        <f>SUMIFS(States!H:H,States!A:A,$B$5,States!B:B,N48)</f>
        <v>3</v>
      </c>
      <c r="Q48" t="s">
        <v>50</v>
      </c>
      <c r="R48">
        <f t="shared" si="1"/>
        <v>3</v>
      </c>
      <c r="S48">
        <f ca="1">INDEX(OFFSET(States!$C$3:$C$50,$B$5*48-48,0),MATCH(Q48,OFFSET(States!$B$3:$B$50,$B$5*48-48,0),0))</f>
        <v>699</v>
      </c>
      <c r="U48" t="e">
        <f t="array" ref="U48">INDEX($Q$1:$Q$48,SMALL(IF($R$1:$R$48=W48,ROW($R$1:$R$48)),COUNTIF($W$1:W48,W48)))</f>
        <v>#NUM!</v>
      </c>
      <c r="V48">
        <f t="shared" si="2"/>
        <v>0</v>
      </c>
      <c r="W48">
        <v>1</v>
      </c>
      <c r="X48" t="str">
        <f t="array" aca="1" ref="X48" ca="1">IFERROR(INDEX($U$1:$U$48,SMALL(IF($V$1:$V$48=Y48,ROW($V$1:$V$48)),COUNTIF($Y$1:Y48,Y48))),"-")</f>
        <v>-</v>
      </c>
      <c r="Y48">
        <f t="shared" ca="1" si="3"/>
        <v>0</v>
      </c>
      <c r="Z48">
        <f t="shared" ca="1" si="4"/>
        <v>0</v>
      </c>
    </row>
  </sheetData>
  <mergeCells count="5">
    <mergeCell ref="D1:E1"/>
    <mergeCell ref="F1:G1"/>
    <mergeCell ref="H1:I1"/>
    <mergeCell ref="B14:C14"/>
    <mergeCell ref="E16:F16"/>
  </mergeCells>
  <conditionalFormatting sqref="R1:R48">
    <cfRule type="cellIs" dxfId="5" priority="1" operator="equal">
      <formula>5</formula>
    </cfRule>
    <cfRule type="cellIs" dxfId="4" priority="2" operator="equal">
      <formula>4</formula>
    </cfRule>
    <cfRule type="cellIs" dxfId="3" priority="3" operator="equal">
      <formula>3</formula>
    </cfRule>
    <cfRule type="cellIs" dxfId="2" priority="4" operator="equal">
      <formula>2</formula>
    </cfRule>
    <cfRule type="cellIs" dxfId="1" priority="5" operator="equal">
      <formula>1</formula>
    </cfRule>
    <cfRule type="cellIs" dxfId="0" priority="6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Products</vt:lpstr>
      <vt:lpstr>Users</vt:lpstr>
      <vt:lpstr>States</vt:lpstr>
      <vt:lpstr>Processing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2019-10-17T10:45:35Z</dcterms:created>
  <dcterms:modified xsi:type="dcterms:W3CDTF">2022-10-28T08:16:02Z</dcterms:modified>
</cp:coreProperties>
</file>