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E83601E-C31C-4705-B65C-C296E1474C49}" xr6:coauthVersionLast="47" xr6:coauthVersionMax="47" xr10:uidLastSave="{00000000-0000-0000-0000-000000000000}"/>
  <bookViews>
    <workbookView xWindow="-120" yWindow="-120" windowWidth="20730" windowHeight="11040" tabRatio="778" xr2:uid="{00000000-000D-0000-FFFF-FFFF00000000}"/>
  </bookViews>
  <sheets>
    <sheet name="DashBoard" sheetId="19" r:id="rId1"/>
    <sheet name="parameters" sheetId="18" r:id="rId2"/>
  </sheets>
  <definedNames>
    <definedName name="AP">DashBoard!$AT$23:$BC$36</definedName>
    <definedName name="APpercent">DashBoard!$AT$48:$AZ$60</definedName>
    <definedName name="DMC_AP">DashBoard!A$66:P$78</definedName>
    <definedName name="DMC_RN">DashBoard!$AT$83:$BF$95</definedName>
    <definedName name="mySortCriteria">DashBoard!$AU$117</definedName>
    <definedName name="_xlnm.Print_Area" localSheetId="0">DashBoard!$A$2:$AN$43</definedName>
    <definedName name="RN">DashBoard!$AT$3:$BE$15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3" i="19" l="1"/>
  <c r="BF95" i="19"/>
  <c r="BE95" i="19"/>
  <c r="BD95" i="19"/>
  <c r="BC95" i="19"/>
  <c r="BB95" i="19"/>
  <c r="BA95" i="19"/>
  <c r="AZ95" i="19"/>
  <c r="AY95" i="19"/>
  <c r="AX95" i="19"/>
  <c r="AW95" i="19"/>
  <c r="AV95" i="19"/>
  <c r="BF94" i="19"/>
  <c r="BE94" i="19"/>
  <c r="BD94" i="19"/>
  <c r="BC94" i="19"/>
  <c r="BB94" i="19"/>
  <c r="BA94" i="19"/>
  <c r="AZ94" i="19"/>
  <c r="AY94" i="19"/>
  <c r="AX94" i="19"/>
  <c r="AW94" i="19"/>
  <c r="AV94" i="19"/>
  <c r="BF93" i="19"/>
  <c r="BE93" i="19"/>
  <c r="BD93" i="19"/>
  <c r="BC93" i="19"/>
  <c r="BB93" i="19"/>
  <c r="BA93" i="19"/>
  <c r="AZ93" i="19"/>
  <c r="AY93" i="19"/>
  <c r="AX93" i="19"/>
  <c r="AW93" i="19"/>
  <c r="AV93" i="19"/>
  <c r="BF92" i="19"/>
  <c r="BE92" i="19"/>
  <c r="BD92" i="19"/>
  <c r="BC92" i="19"/>
  <c r="BB92" i="19"/>
  <c r="BA92" i="19"/>
  <c r="AZ92" i="19"/>
  <c r="AY92" i="19"/>
  <c r="AX92" i="19"/>
  <c r="AW92" i="19"/>
  <c r="AV92" i="19"/>
  <c r="BF91" i="19"/>
  <c r="BE91" i="19"/>
  <c r="BD91" i="19"/>
  <c r="BC91" i="19"/>
  <c r="BB91" i="19"/>
  <c r="BA91" i="19"/>
  <c r="AZ91" i="19"/>
  <c r="AY91" i="19"/>
  <c r="AX91" i="19"/>
  <c r="AW91" i="19"/>
  <c r="AV91" i="19"/>
  <c r="BF90" i="19"/>
  <c r="BE90" i="19"/>
  <c r="BD90" i="19"/>
  <c r="BC90" i="19"/>
  <c r="BB90" i="19"/>
  <c r="BA90" i="19"/>
  <c r="AZ90" i="19"/>
  <c r="AY90" i="19"/>
  <c r="AX90" i="19"/>
  <c r="AW90" i="19"/>
  <c r="AV90" i="19"/>
  <c r="AU95" i="19"/>
  <c r="AU94" i="19"/>
  <c r="AU93" i="19"/>
  <c r="AU92" i="19"/>
  <c r="AU91" i="19"/>
  <c r="AU90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BJ89" i="19" s="1"/>
  <c r="AU88" i="19"/>
  <c r="BF88" i="19"/>
  <c r="BE88" i="19"/>
  <c r="BD88" i="19"/>
  <c r="BC88" i="19"/>
  <c r="BB88" i="19"/>
  <c r="BA88" i="19"/>
  <c r="AZ88" i="19"/>
  <c r="AY88" i="19"/>
  <c r="AX88" i="19"/>
  <c r="AW88" i="19"/>
  <c r="AV88" i="19"/>
  <c r="AU113" i="19"/>
  <c r="AU132" i="19"/>
  <c r="AV132" i="19" s="1"/>
  <c r="AU114" i="19"/>
  <c r="AU133" i="19"/>
  <c r="AV133" i="19" s="1"/>
  <c r="AT133" i="19"/>
  <c r="AT132" i="19"/>
  <c r="BJ67" i="19"/>
  <c r="AU154" i="19"/>
  <c r="AV135" i="19"/>
  <c r="B43" i="19" s="1"/>
  <c r="F27" i="19"/>
  <c r="E27" i="19"/>
  <c r="D27" i="19"/>
  <c r="C27" i="19"/>
  <c r="AT131" i="19"/>
  <c r="AT130" i="19"/>
  <c r="AT129" i="19"/>
  <c r="AT128" i="19"/>
  <c r="AT127" i="19"/>
  <c r="AT126" i="19"/>
  <c r="AT125" i="19"/>
  <c r="AT124" i="19"/>
  <c r="AT123" i="19"/>
  <c r="AT122" i="19"/>
  <c r="AT121" i="19"/>
  <c r="AT120" i="19"/>
  <c r="B2" i="19"/>
  <c r="AT100" i="19"/>
  <c r="AV50" i="19"/>
  <c r="AV49" i="19"/>
  <c r="AT63" i="19"/>
  <c r="AV60" i="19"/>
  <c r="AZ60" i="19" s="1"/>
  <c r="AV59" i="19"/>
  <c r="AV58" i="19"/>
  <c r="AV57" i="19"/>
  <c r="AV56" i="19"/>
  <c r="AZ56" i="19" s="1"/>
  <c r="AV55" i="19"/>
  <c r="AV54" i="19"/>
  <c r="AV53" i="19"/>
  <c r="AV18" i="19"/>
  <c r="D12" i="19" s="1"/>
  <c r="BC35" i="19"/>
  <c r="AY35" i="19"/>
  <c r="AU60" i="19"/>
  <c r="BC34" i="19"/>
  <c r="BD34" i="19" s="1"/>
  <c r="AY34" i="19"/>
  <c r="AU59" i="19"/>
  <c r="BC33" i="19"/>
  <c r="AY33" i="19"/>
  <c r="AU58" i="19"/>
  <c r="BC32" i="19"/>
  <c r="BD32" i="19" s="1"/>
  <c r="AY32" i="19"/>
  <c r="AU57" i="19"/>
  <c r="BC31" i="19"/>
  <c r="AY31" i="19"/>
  <c r="AU56" i="19"/>
  <c r="BC30" i="19"/>
  <c r="BD30" i="19" s="1"/>
  <c r="AY30" i="19"/>
  <c r="AU55" i="19"/>
  <c r="BC29" i="19"/>
  <c r="AY29" i="19"/>
  <c r="AU54" i="19"/>
  <c r="BC28" i="19"/>
  <c r="BD28" i="19" s="1"/>
  <c r="AY28" i="19"/>
  <c r="AU53" i="19"/>
  <c r="BC27" i="19"/>
  <c r="BC26" i="19"/>
  <c r="AY26" i="19"/>
  <c r="BD26" i="19"/>
  <c r="AW51" i="19" s="1"/>
  <c r="BC25" i="19"/>
  <c r="AU50" i="19"/>
  <c r="BC24" i="19"/>
  <c r="AY24" i="19"/>
  <c r="AU49" i="19"/>
  <c r="AV40" i="19"/>
  <c r="BB36" i="19"/>
  <c r="BA45" i="19"/>
  <c r="BA36" i="19"/>
  <c r="AZ45" i="19"/>
  <c r="AZ36" i="19"/>
  <c r="AY45" i="19"/>
  <c r="AX36" i="19"/>
  <c r="AX45" i="19"/>
  <c r="AV36" i="19"/>
  <c r="AV45" i="19"/>
  <c r="AX40" i="19"/>
  <c r="BA40" i="19"/>
  <c r="AZ40" i="19"/>
  <c r="AY40" i="19"/>
  <c r="AT40" i="19"/>
  <c r="C22" i="19"/>
  <c r="C21" i="19"/>
  <c r="D21" i="19"/>
  <c r="E21" i="19"/>
  <c r="AX4" i="19"/>
  <c r="AX5" i="19" s="1"/>
  <c r="AX6" i="19" s="1"/>
  <c r="AX7" i="19" s="1"/>
  <c r="AX8" i="19" s="1"/>
  <c r="AW18" i="19"/>
  <c r="E12" i="19" s="1"/>
  <c r="BA4" i="19"/>
  <c r="BA6" i="19"/>
  <c r="BA8" i="19"/>
  <c r="BA7" i="19"/>
  <c r="BA5" i="19"/>
  <c r="BZ5" i="19" s="1"/>
  <c r="BB4" i="19"/>
  <c r="BB5" i="19"/>
  <c r="AZ7" i="19"/>
  <c r="BE7" i="19" s="1"/>
  <c r="AZ5" i="19"/>
  <c r="BE5" i="19" s="1"/>
  <c r="AZ4" i="19"/>
  <c r="BE4" i="19" s="1"/>
  <c r="AZ6" i="19"/>
  <c r="BE6" i="19" s="1"/>
  <c r="AZ8" i="19"/>
  <c r="BE8" i="19" s="1"/>
  <c r="AY7" i="19"/>
  <c r="BD7" i="19" s="1"/>
  <c r="AY5" i="19"/>
  <c r="BD5" i="19" s="1"/>
  <c r="AY4" i="19"/>
  <c r="BD4" i="19" s="1"/>
  <c r="AY6" i="19"/>
  <c r="BD6" i="19" s="1"/>
  <c r="AY8" i="19"/>
  <c r="BD8" i="19" s="1"/>
  <c r="BC18" i="19"/>
  <c r="AT18" i="19"/>
  <c r="BA15" i="19"/>
  <c r="BA14" i="19"/>
  <c r="BA13" i="19"/>
  <c r="BA12" i="19"/>
  <c r="BA11" i="19"/>
  <c r="BA10" i="19"/>
  <c r="BA9" i="19"/>
  <c r="AZ15" i="19"/>
  <c r="BE15" i="19"/>
  <c r="AY15" i="19"/>
  <c r="BD15" i="19" s="1"/>
  <c r="AZ14" i="19"/>
  <c r="BE14" i="19"/>
  <c r="AY14" i="19"/>
  <c r="BD14" i="19" s="1"/>
  <c r="AZ13" i="19"/>
  <c r="BE13" i="19"/>
  <c r="AY13" i="19"/>
  <c r="BD13" i="19" s="1"/>
  <c r="AZ12" i="19"/>
  <c r="BE12" i="19"/>
  <c r="AY12" i="19"/>
  <c r="BD12" i="19" s="1"/>
  <c r="AZ11" i="19"/>
  <c r="BE11" i="19"/>
  <c r="AY11" i="19"/>
  <c r="BD11" i="19" s="1"/>
  <c r="AZ10" i="19"/>
  <c r="BE10" i="19"/>
  <c r="BE18" i="19" s="1"/>
  <c r="AY10" i="19"/>
  <c r="BD10" i="19" s="1"/>
  <c r="BD18" i="19" s="1"/>
  <c r="AZ9" i="19"/>
  <c r="AY9" i="19"/>
  <c r="CB5" i="19"/>
  <c r="CA5" i="19"/>
  <c r="BY5" i="19"/>
  <c r="BX5" i="19"/>
  <c r="BW5" i="19"/>
  <c r="BU5" i="19"/>
  <c r="BT5" i="19"/>
  <c r="BS5" i="19"/>
  <c r="BQ5" i="19"/>
  <c r="BP5" i="19"/>
  <c r="BO5" i="19"/>
  <c r="BM5" i="19"/>
  <c r="BL5" i="19"/>
  <c r="BK5" i="19"/>
  <c r="BF5" i="19"/>
  <c r="CB4" i="19"/>
  <c r="CA4" i="19"/>
  <c r="BY4" i="19"/>
  <c r="BX4" i="19"/>
  <c r="BW4" i="19"/>
  <c r="BU4" i="19"/>
  <c r="BT4" i="19"/>
  <c r="BS4" i="19"/>
  <c r="BQ4" i="19"/>
  <c r="BP4" i="19"/>
  <c r="BO4" i="19"/>
  <c r="BM4" i="19"/>
  <c r="BL4" i="19"/>
  <c r="BK4" i="19"/>
  <c r="BF4" i="19"/>
  <c r="AU96" i="19"/>
  <c r="AV101" i="19"/>
  <c r="AU120" i="19"/>
  <c r="AV120" i="19" s="1"/>
  <c r="AV102" i="19"/>
  <c r="AU121" i="19" s="1"/>
  <c r="AV121" i="19" s="1"/>
  <c r="AV103" i="19"/>
  <c r="AU122" i="19" s="1"/>
  <c r="AV122" i="19" s="1"/>
  <c r="AV104" i="19"/>
  <c r="AU123" i="19" s="1"/>
  <c r="AV123" i="19" s="1"/>
  <c r="AV105" i="19"/>
  <c r="AU124" i="19" s="1"/>
  <c r="AV124" i="19" s="1"/>
  <c r="AV106" i="19"/>
  <c r="AU125" i="19" s="1"/>
  <c r="AV125" i="19" s="1"/>
  <c r="AV107" i="19"/>
  <c r="AU126" i="19" s="1"/>
  <c r="AV126" i="19" s="1"/>
  <c r="AV108" i="19"/>
  <c r="AV109" i="19"/>
  <c r="AU128" i="19" s="1"/>
  <c r="AV128" i="19" s="1"/>
  <c r="AV110" i="19"/>
  <c r="AU129" i="19" s="1"/>
  <c r="AV129" i="19" s="1"/>
  <c r="AV111" i="19"/>
  <c r="AU130" i="19" s="1"/>
  <c r="AV130" i="19" s="1"/>
  <c r="AV112" i="19"/>
  <c r="AU131" i="19" s="1"/>
  <c r="AV131" i="19" s="1"/>
  <c r="AU140" i="19"/>
  <c r="AU155" i="19" s="1"/>
  <c r="AV140" i="19"/>
  <c r="AW140" i="19"/>
  <c r="AZ140" i="19"/>
  <c r="BB140" i="19"/>
  <c r="BD140" i="19"/>
  <c r="BE140" i="19"/>
  <c r="BF140" i="19"/>
  <c r="AU141" i="19"/>
  <c r="AU156" i="19" s="1"/>
  <c r="AV141" i="19"/>
  <c r="AW141" i="19"/>
  <c r="AZ141" i="19"/>
  <c r="BB141" i="19"/>
  <c r="BD141" i="19"/>
  <c r="BE141" i="19"/>
  <c r="BF141" i="19"/>
  <c r="AU142" i="19"/>
  <c r="AU157" i="19" s="1"/>
  <c r="AV142" i="19"/>
  <c r="AW142" i="19"/>
  <c r="AZ142" i="19"/>
  <c r="BB142" i="19"/>
  <c r="BD142" i="19"/>
  <c r="BE142" i="19"/>
  <c r="BF142" i="19"/>
  <c r="AU143" i="19"/>
  <c r="AU158" i="19" s="1"/>
  <c r="AV143" i="19"/>
  <c r="AW143" i="19"/>
  <c r="BB143" i="19"/>
  <c r="BD143" i="19"/>
  <c r="BE143" i="19"/>
  <c r="BF143" i="19"/>
  <c r="BA140" i="19"/>
  <c r="AY140" i="19"/>
  <c r="BC140" i="19"/>
  <c r="AX140" i="19"/>
  <c r="BA141" i="19"/>
  <c r="AY141" i="19"/>
  <c r="BC141" i="19"/>
  <c r="AX141" i="19"/>
  <c r="BA142" i="19"/>
  <c r="AY142" i="19"/>
  <c r="BC142" i="19"/>
  <c r="AX142" i="19"/>
  <c r="BA143" i="19"/>
  <c r="AY143" i="19"/>
  <c r="BC143" i="19"/>
  <c r="AZ143" i="19"/>
  <c r="AX143" i="19"/>
  <c r="BJ68" i="19"/>
  <c r="BJ69" i="19"/>
  <c r="BJ70" i="19"/>
  <c r="BJ84" i="19"/>
  <c r="BJ85" i="19"/>
  <c r="BJ86" i="19"/>
  <c r="BJ87" i="19"/>
  <c r="BB6" i="19"/>
  <c r="BP6" i="19" s="1"/>
  <c r="BL6" i="19"/>
  <c r="CB6" i="19"/>
  <c r="BB7" i="19"/>
  <c r="BL7" i="19" s="1"/>
  <c r="BO7" i="19"/>
  <c r="BV7" i="19"/>
  <c r="AU18" i="19"/>
  <c r="C12" i="19" s="1"/>
  <c r="D22" i="19"/>
  <c r="E22" i="19"/>
  <c r="AU16" i="19"/>
  <c r="AW40" i="19"/>
  <c r="AU40" i="19"/>
  <c r="AU36" i="19"/>
  <c r="AU45" i="19" s="1"/>
  <c r="AY25" i="19"/>
  <c r="BD25" i="19" s="1"/>
  <c r="AW50" i="19" s="1"/>
  <c r="AV51" i="19"/>
  <c r="AV52" i="19"/>
  <c r="AU51" i="19"/>
  <c r="AY51" i="19" s="1"/>
  <c r="AU52" i="19"/>
  <c r="AZ51" i="19"/>
  <c r="BD9" i="19"/>
  <c r="BE9" i="19"/>
  <c r="AZ59" i="19"/>
  <c r="BK6" i="19"/>
  <c r="BO6" i="19"/>
  <c r="BW6" i="19"/>
  <c r="BY6" i="19"/>
  <c r="AY27" i="19"/>
  <c r="L7" i="19"/>
  <c r="AW36" i="19"/>
  <c r="AW45" i="19" s="1"/>
  <c r="BR6" i="19"/>
  <c r="BN6" i="19"/>
  <c r="BE71" i="19"/>
  <c r="BC71" i="19"/>
  <c r="BA71" i="19"/>
  <c r="AW71" i="19"/>
  <c r="AW144" i="19" s="1"/>
  <c r="AU71" i="19"/>
  <c r="AW53" i="19"/>
  <c r="BD71" i="19"/>
  <c r="BD144" i="19" s="1"/>
  <c r="BB71" i="19"/>
  <c r="AZ71" i="19"/>
  <c r="AV71" i="19"/>
  <c r="BE73" i="19"/>
  <c r="BE146" i="19" s="1"/>
  <c r="BA73" i="19"/>
  <c r="AW73" i="19"/>
  <c r="AW146" i="19" s="1"/>
  <c r="AW55" i="19"/>
  <c r="AY55" i="19" s="1"/>
  <c r="BF73" i="19"/>
  <c r="BF146" i="19" s="1"/>
  <c r="BB73" i="19"/>
  <c r="BB146" i="19" s="1"/>
  <c r="AX73" i="19"/>
  <c r="BE75" i="19"/>
  <c r="BE148" i="19" s="1"/>
  <c r="BA75" i="19"/>
  <c r="BA148" i="19"/>
  <c r="AW75" i="19"/>
  <c r="AW148" i="19" s="1"/>
  <c r="AW57" i="19"/>
  <c r="BF75" i="19"/>
  <c r="BF148" i="19" s="1"/>
  <c r="BB75" i="19"/>
  <c r="BB148" i="19"/>
  <c r="AX75" i="19"/>
  <c r="AX148" i="19" s="1"/>
  <c r="BE77" i="19"/>
  <c r="BE150" i="19" s="1"/>
  <c r="BA77" i="19"/>
  <c r="BA150" i="19" s="1"/>
  <c r="AW77" i="19"/>
  <c r="AW150" i="19" s="1"/>
  <c r="AW59" i="19"/>
  <c r="AX59" i="19" s="1"/>
  <c r="BF77" i="19"/>
  <c r="BB77" i="19"/>
  <c r="BB150" i="19" s="1"/>
  <c r="AX77" i="19"/>
  <c r="BA18" i="19"/>
  <c r="AU108" i="19"/>
  <c r="AY57" i="19"/>
  <c r="AX57" i="19"/>
  <c r="AZ144" i="19"/>
  <c r="BA144" i="19"/>
  <c r="BE144" i="19"/>
  <c r="BD27" i="19"/>
  <c r="AW52" i="19" s="1"/>
  <c r="AU111" i="19"/>
  <c r="AY59" i="19"/>
  <c r="AX55" i="19"/>
  <c r="BB144" i="19"/>
  <c r="AU144" i="19"/>
  <c r="AU159" i="19" s="1"/>
  <c r="AZ55" i="19"/>
  <c r="AU63" i="19" s="1"/>
  <c r="AZ58" i="19"/>
  <c r="AX51" i="19"/>
  <c r="AZ18" i="19"/>
  <c r="AZ57" i="19"/>
  <c r="BZ4" i="19" l="1"/>
  <c r="BD31" i="19"/>
  <c r="BD35" i="19"/>
  <c r="AZ54" i="19"/>
  <c r="AY36" i="19"/>
  <c r="CA7" i="19"/>
  <c r="BT7" i="19"/>
  <c r="AU103" i="19"/>
  <c r="BV6" i="19"/>
  <c r="BS6" i="19"/>
  <c r="BF6" i="19"/>
  <c r="BZ7" i="19"/>
  <c r="BS7" i="19"/>
  <c r="BK7" i="19"/>
  <c r="BX6" i="19"/>
  <c r="BD29" i="19"/>
  <c r="BD33" i="19"/>
  <c r="AZ50" i="19"/>
  <c r="BJ88" i="19"/>
  <c r="BN7" i="19"/>
  <c r="AU112" i="19"/>
  <c r="CA6" i="19"/>
  <c r="BQ6" i="19"/>
  <c r="BX7" i="19"/>
  <c r="BP7" i="19"/>
  <c r="BJ7" i="19"/>
  <c r="BJ90" i="19"/>
  <c r="AV96" i="19"/>
  <c r="AZ96" i="19"/>
  <c r="BD96" i="19"/>
  <c r="BA96" i="19"/>
  <c r="BE96" i="19"/>
  <c r="BB96" i="19"/>
  <c r="AX52" i="19"/>
  <c r="AY52" i="19"/>
  <c r="AY96" i="19"/>
  <c r="AY50" i="19"/>
  <c r="AX50" i="19"/>
  <c r="C7" i="19"/>
  <c r="C20" i="19"/>
  <c r="F7" i="19"/>
  <c r="X7" i="19" s="1"/>
  <c r="AD6" i="19"/>
  <c r="G12" i="19"/>
  <c r="AU127" i="19"/>
  <c r="AV127" i="19" s="1"/>
  <c r="AW131" i="19" s="1"/>
  <c r="AX131" i="19" s="1"/>
  <c r="AV115" i="19"/>
  <c r="AJ7" i="19"/>
  <c r="AD7" i="19"/>
  <c r="BC96" i="19"/>
  <c r="AW96" i="19"/>
  <c r="BJ93" i="19"/>
  <c r="BJ94" i="19"/>
  <c r="AX96" i="19"/>
  <c r="BF96" i="19"/>
  <c r="BF150" i="19"/>
  <c r="AY18" i="19"/>
  <c r="AX146" i="19"/>
  <c r="AU104" i="19"/>
  <c r="BA146" i="19"/>
  <c r="AU107" i="19"/>
  <c r="BJ91" i="19"/>
  <c r="AX111" i="19"/>
  <c r="AW111" i="19"/>
  <c r="AX108" i="19"/>
  <c r="AW108" i="19"/>
  <c r="AZ52" i="19"/>
  <c r="AZ53" i="19"/>
  <c r="BC36" i="19"/>
  <c r="BD36" i="19" s="1"/>
  <c r="BD24" i="19"/>
  <c r="AW49" i="19" s="1"/>
  <c r="BC72" i="19"/>
  <c r="BC145" i="19" s="1"/>
  <c r="AU72" i="19"/>
  <c r="BB72" i="19"/>
  <c r="BA72" i="19"/>
  <c r="BF72" i="19"/>
  <c r="BF145" i="19" s="1"/>
  <c r="AV72" i="19"/>
  <c r="AY72" i="19"/>
  <c r="AY145" i="19" s="1"/>
  <c r="BD72" i="19"/>
  <c r="AW72" i="19"/>
  <c r="AZ72" i="19"/>
  <c r="BE76" i="19"/>
  <c r="BE149" i="19" s="1"/>
  <c r="BA76" i="19"/>
  <c r="BA149" i="19" s="1"/>
  <c r="AW76" i="19"/>
  <c r="AW149" i="19" s="1"/>
  <c r="BF76" i="19"/>
  <c r="BF149" i="19" s="1"/>
  <c r="BB76" i="19"/>
  <c r="BB149" i="19" s="1"/>
  <c r="BC76" i="19"/>
  <c r="BC149" i="19" s="1"/>
  <c r="AZ76" i="19"/>
  <c r="AZ149" i="19" s="1"/>
  <c r="AV76" i="19"/>
  <c r="AV149" i="19" s="1"/>
  <c r="BD76" i="19"/>
  <c r="BD149" i="19" s="1"/>
  <c r="AU76" i="19"/>
  <c r="AX76" i="19"/>
  <c r="AX149" i="19" s="1"/>
  <c r="AX150" i="19"/>
  <c r="AV144" i="19"/>
  <c r="AY53" i="19"/>
  <c r="AX53" i="19"/>
  <c r="BC144" i="19"/>
  <c r="AX9" i="19"/>
  <c r="BB8" i="19"/>
  <c r="BF7" i="19"/>
  <c r="BM7" i="19"/>
  <c r="BQ7" i="19"/>
  <c r="BU7" i="19"/>
  <c r="BY7" i="19"/>
  <c r="AY71" i="19"/>
  <c r="BF71" i="19"/>
  <c r="AX71" i="19"/>
  <c r="BC75" i="19"/>
  <c r="BC148" i="19" s="1"/>
  <c r="AY75" i="19"/>
  <c r="AY148" i="19" s="1"/>
  <c r="AU75" i="19"/>
  <c r="BD75" i="19"/>
  <c r="BD148" i="19" s="1"/>
  <c r="AZ75" i="19"/>
  <c r="AZ148" i="19" s="1"/>
  <c r="AV75" i="19"/>
  <c r="AV148" i="19" s="1"/>
  <c r="BJ92" i="19"/>
  <c r="BJ95" i="19"/>
  <c r="CB7" i="19"/>
  <c r="BW7" i="19"/>
  <c r="BR7" i="19"/>
  <c r="BM6" i="19"/>
  <c r="BU6" i="19"/>
  <c r="BZ6" i="19"/>
  <c r="BJ6" i="19"/>
  <c r="BE74" i="19"/>
  <c r="BA74" i="19"/>
  <c r="BA147" i="19" s="1"/>
  <c r="AW74" i="19"/>
  <c r="BF74" i="19"/>
  <c r="BF147" i="19" s="1"/>
  <c r="BB74" i="19"/>
  <c r="BB147" i="19" s="1"/>
  <c r="AX74" i="19"/>
  <c r="AX147" i="19" s="1"/>
  <c r="BT6" i="19"/>
  <c r="BC73" i="19"/>
  <c r="AY73" i="19"/>
  <c r="AU73" i="19"/>
  <c r="BD73" i="19"/>
  <c r="AZ73" i="19"/>
  <c r="AV73" i="19"/>
  <c r="BC77" i="19"/>
  <c r="BC150" i="19" s="1"/>
  <c r="AY77" i="19"/>
  <c r="AY150" i="19" s="1"/>
  <c r="AU77" i="19"/>
  <c r="BD77" i="19"/>
  <c r="BD150" i="19" s="1"/>
  <c r="AZ77" i="19"/>
  <c r="AZ150" i="19" s="1"/>
  <c r="AV77" i="19"/>
  <c r="AV150" i="19" s="1"/>
  <c r="BJ4" i="19"/>
  <c r="BN4" i="19"/>
  <c r="BR4" i="19"/>
  <c r="BV4" i="19"/>
  <c r="BJ5" i="19"/>
  <c r="BN5" i="19"/>
  <c r="BR5" i="19"/>
  <c r="BV5" i="19"/>
  <c r="AW54" i="19" l="1"/>
  <c r="AX72" i="19"/>
  <c r="AX145" i="19" s="1"/>
  <c r="BE72" i="19"/>
  <c r="BE145" i="19" s="1"/>
  <c r="AW103" i="19"/>
  <c r="AX103" i="19"/>
  <c r="AW112" i="19"/>
  <c r="AX112" i="19"/>
  <c r="BA78" i="19"/>
  <c r="BA151" i="19" s="1"/>
  <c r="AZ78" i="19"/>
  <c r="AZ151" i="19" s="1"/>
  <c r="AY78" i="19"/>
  <c r="AY151" i="19" s="1"/>
  <c r="BB78" i="19"/>
  <c r="BB151" i="19" s="1"/>
  <c r="BC78" i="19"/>
  <c r="BC151" i="19" s="1"/>
  <c r="BF78" i="19"/>
  <c r="BF151" i="19" s="1"/>
  <c r="AV78" i="19"/>
  <c r="AV151" i="19" s="1"/>
  <c r="BE78" i="19"/>
  <c r="BE151" i="19" s="1"/>
  <c r="AU78" i="19"/>
  <c r="BD78" i="19"/>
  <c r="BD151" i="19" s="1"/>
  <c r="AX78" i="19"/>
  <c r="AX151" i="19" s="1"/>
  <c r="AW60" i="19"/>
  <c r="AW78" i="19"/>
  <c r="AW151" i="19" s="1"/>
  <c r="BJ96" i="19"/>
  <c r="AW58" i="19"/>
  <c r="AY76" i="19"/>
  <c r="AY149" i="19" s="1"/>
  <c r="AU74" i="19"/>
  <c r="AU147" i="19" s="1"/>
  <c r="AU162" i="19" s="1"/>
  <c r="BC74" i="19"/>
  <c r="BC147" i="19" s="1"/>
  <c r="BD74" i="19"/>
  <c r="BD147" i="19" s="1"/>
  <c r="AZ74" i="19"/>
  <c r="AZ147" i="19" s="1"/>
  <c r="AW56" i="19"/>
  <c r="AV74" i="19"/>
  <c r="AV147" i="19" s="1"/>
  <c r="AY74" i="19"/>
  <c r="AY147" i="19" s="1"/>
  <c r="AW126" i="19"/>
  <c r="AX126" i="19" s="1"/>
  <c r="BB126" i="19" s="1"/>
  <c r="D34" i="19" s="1"/>
  <c r="AW130" i="19"/>
  <c r="AX130" i="19" s="1"/>
  <c r="AZ130" i="19" s="1"/>
  <c r="B38" i="19" s="1"/>
  <c r="AW123" i="19"/>
  <c r="AX123" i="19" s="1"/>
  <c r="AW127" i="19"/>
  <c r="AX127" i="19" s="1"/>
  <c r="BB127" i="19" s="1"/>
  <c r="D35" i="19" s="1"/>
  <c r="AW129" i="19"/>
  <c r="AX129" i="19" s="1"/>
  <c r="AW125" i="19"/>
  <c r="AX125" i="19" s="1"/>
  <c r="BA125" i="19" s="1"/>
  <c r="C33" i="19" s="1"/>
  <c r="AW128" i="19"/>
  <c r="AX128" i="19" s="1"/>
  <c r="BB128" i="19" s="1"/>
  <c r="D36" i="19" s="1"/>
  <c r="AW121" i="19"/>
  <c r="AX121" i="19" s="1"/>
  <c r="AW120" i="19"/>
  <c r="AX120" i="19" s="1"/>
  <c r="AW124" i="19"/>
  <c r="AX124" i="19" s="1"/>
  <c r="BA124" i="19" s="1"/>
  <c r="C32" i="19" s="1"/>
  <c r="AW133" i="19"/>
  <c r="AX133" i="19" s="1"/>
  <c r="BB133" i="19" s="1"/>
  <c r="D41" i="19" s="1"/>
  <c r="AW122" i="19"/>
  <c r="AX122" i="19" s="1"/>
  <c r="BB122" i="19" s="1"/>
  <c r="D30" i="19" s="1"/>
  <c r="AW132" i="19"/>
  <c r="AX132" i="19" s="1"/>
  <c r="BB132" i="19" s="1"/>
  <c r="D40" i="19" s="1"/>
  <c r="AW147" i="19"/>
  <c r="AZ131" i="19"/>
  <c r="B39" i="19" s="1"/>
  <c r="BB131" i="19"/>
  <c r="D39" i="19" s="1"/>
  <c r="BD146" i="19"/>
  <c r="AU110" i="19"/>
  <c r="AU149" i="19"/>
  <c r="AU164" i="19" s="1"/>
  <c r="BA79" i="19"/>
  <c r="BA145" i="19"/>
  <c r="AZ133" i="19"/>
  <c r="B41" i="19" s="1"/>
  <c r="AW107" i="19"/>
  <c r="AX107" i="19"/>
  <c r="AV146" i="19"/>
  <c r="AU102" i="19"/>
  <c r="AY146" i="19"/>
  <c r="AU105" i="19"/>
  <c r="BA131" i="19" s="1"/>
  <c r="C39" i="19" s="1"/>
  <c r="BE147" i="19"/>
  <c r="BE79" i="19"/>
  <c r="AX144" i="19"/>
  <c r="AX79" i="19"/>
  <c r="CB8" i="19"/>
  <c r="BL8" i="19"/>
  <c r="BU8" i="19"/>
  <c r="BR8" i="19"/>
  <c r="BO8" i="19"/>
  <c r="BX8" i="19"/>
  <c r="CA8" i="19"/>
  <c r="BM8" i="19"/>
  <c r="BN8" i="19"/>
  <c r="BY8" i="19"/>
  <c r="BT8" i="19"/>
  <c r="BS8" i="19"/>
  <c r="BZ8" i="19"/>
  <c r="BJ8" i="19"/>
  <c r="BQ8" i="19"/>
  <c r="BK8" i="19"/>
  <c r="BV8" i="19"/>
  <c r="BW8" i="19"/>
  <c r="BF8" i="19"/>
  <c r="BP8" i="19"/>
  <c r="AZ145" i="19"/>
  <c r="AV145" i="19"/>
  <c r="AV79" i="19"/>
  <c r="AU145" i="19"/>
  <c r="AU160" i="19" s="1"/>
  <c r="AU79" i="19"/>
  <c r="BB123" i="19"/>
  <c r="D31" i="19" s="1"/>
  <c r="AZ123" i="19"/>
  <c r="B31" i="19" s="1"/>
  <c r="AY144" i="19"/>
  <c r="BJ71" i="19"/>
  <c r="BD145" i="19"/>
  <c r="BD79" i="19"/>
  <c r="AY49" i="19"/>
  <c r="AX49" i="19"/>
  <c r="AZ127" i="19"/>
  <c r="B35" i="19" s="1"/>
  <c r="AU146" i="19"/>
  <c r="AU161" i="19" s="1"/>
  <c r="AU101" i="19"/>
  <c r="BJ73" i="19"/>
  <c r="BB145" i="19"/>
  <c r="BJ77" i="19"/>
  <c r="AU150" i="19"/>
  <c r="AU165" i="19" s="1"/>
  <c r="AU106" i="19"/>
  <c r="BA128" i="19" s="1"/>
  <c r="C36" i="19" s="1"/>
  <c r="AZ146" i="19"/>
  <c r="AU109" i="19"/>
  <c r="BA133" i="19" s="1"/>
  <c r="C41" i="19" s="1"/>
  <c r="BC146" i="19"/>
  <c r="AU148" i="19"/>
  <c r="AU163" i="19" s="1"/>
  <c r="BJ75" i="19"/>
  <c r="BF144" i="19"/>
  <c r="BF79" i="19"/>
  <c r="AX10" i="19"/>
  <c r="BB9" i="19"/>
  <c r="AW145" i="19"/>
  <c r="AW79" i="19"/>
  <c r="AX104" i="19"/>
  <c r="AW104" i="19"/>
  <c r="AZ128" i="19"/>
  <c r="B36" i="19" s="1"/>
  <c r="BA127" i="19" l="1"/>
  <c r="C35" i="19" s="1"/>
  <c r="BA123" i="19"/>
  <c r="C31" i="19" s="1"/>
  <c r="BB125" i="19"/>
  <c r="D33" i="19" s="1"/>
  <c r="BB121" i="19"/>
  <c r="D29" i="19" s="1"/>
  <c r="BC125" i="19"/>
  <c r="E33" i="19" s="1"/>
  <c r="BA130" i="19"/>
  <c r="C38" i="19" s="1"/>
  <c r="AZ125" i="19"/>
  <c r="B33" i="19" s="1"/>
  <c r="BD125" i="19"/>
  <c r="F33" i="19" s="1"/>
  <c r="AZ124" i="19"/>
  <c r="B32" i="19" s="1"/>
  <c r="BB130" i="19"/>
  <c r="D38" i="19" s="1"/>
  <c r="BB124" i="19"/>
  <c r="D32" i="19" s="1"/>
  <c r="AZ126" i="19"/>
  <c r="B34" i="19" s="1"/>
  <c r="AX60" i="19"/>
  <c r="AY60" i="19"/>
  <c r="BA126" i="19"/>
  <c r="C34" i="19" s="1"/>
  <c r="BJ72" i="19"/>
  <c r="BJ79" i="19" s="1"/>
  <c r="AZ79" i="19"/>
  <c r="AX58" i="19"/>
  <c r="AY58" i="19"/>
  <c r="BJ76" i="19"/>
  <c r="AY54" i="19"/>
  <c r="AX54" i="19"/>
  <c r="BB79" i="19"/>
  <c r="AY79" i="19"/>
  <c r="BJ74" i="19"/>
  <c r="AX56" i="19"/>
  <c r="AY56" i="19"/>
  <c r="AU151" i="19"/>
  <c r="AU166" i="19" s="1"/>
  <c r="BJ78" i="19"/>
  <c r="BC79" i="19"/>
  <c r="BD127" i="19"/>
  <c r="F35" i="19" s="1"/>
  <c r="BC127" i="19"/>
  <c r="E35" i="19" s="1"/>
  <c r="BA121" i="19"/>
  <c r="C29" i="19" s="1"/>
  <c r="AZ122" i="19"/>
  <c r="B30" i="19" s="1"/>
  <c r="BB129" i="19"/>
  <c r="D37" i="19" s="1"/>
  <c r="BA120" i="19"/>
  <c r="C28" i="19" s="1"/>
  <c r="AZ129" i="19"/>
  <c r="B37" i="19" s="1"/>
  <c r="BD129" i="19"/>
  <c r="F37" i="19" s="1"/>
  <c r="BA132" i="19"/>
  <c r="C40" i="19" s="1"/>
  <c r="AZ120" i="19"/>
  <c r="B28" i="19" s="1"/>
  <c r="BB120" i="19"/>
  <c r="D28" i="19" s="1"/>
  <c r="BA129" i="19"/>
  <c r="C37" i="19" s="1"/>
  <c r="AZ121" i="19"/>
  <c r="B29" i="19" s="1"/>
  <c r="AZ132" i="19"/>
  <c r="B40" i="19" s="1"/>
  <c r="CA9" i="19"/>
  <c r="BM9" i="19"/>
  <c r="BV9" i="19"/>
  <c r="BY9" i="19"/>
  <c r="BP9" i="19"/>
  <c r="BS9" i="19"/>
  <c r="CB9" i="19"/>
  <c r="BN9" i="19"/>
  <c r="BQ9" i="19"/>
  <c r="BZ9" i="19"/>
  <c r="BK9" i="19"/>
  <c r="BT9" i="19"/>
  <c r="BW9" i="19"/>
  <c r="BF9" i="19"/>
  <c r="BR9" i="19"/>
  <c r="BX9" i="19"/>
  <c r="BU9" i="19"/>
  <c r="BJ9" i="19"/>
  <c r="BL9" i="19"/>
  <c r="BO9" i="19"/>
  <c r="AX105" i="19"/>
  <c r="AW105" i="19"/>
  <c r="AX110" i="19"/>
  <c r="BD126" i="19" s="1"/>
  <c r="F34" i="19" s="1"/>
  <c r="AW110" i="19"/>
  <c r="BC126" i="19" s="1"/>
  <c r="E34" i="19" s="1"/>
  <c r="BB10" i="19"/>
  <c r="AX18" i="19"/>
  <c r="F12" i="19" s="1"/>
  <c r="AX11" i="19"/>
  <c r="AX106" i="19"/>
  <c r="BD128" i="19" s="1"/>
  <c r="F36" i="19" s="1"/>
  <c r="AW106" i="19"/>
  <c r="BC128" i="19" s="1"/>
  <c r="E36" i="19" s="1"/>
  <c r="AW109" i="19"/>
  <c r="BC132" i="19" s="1"/>
  <c r="E40" i="19" s="1"/>
  <c r="AX109" i="19"/>
  <c r="BD132" i="19" s="1"/>
  <c r="F40" i="19" s="1"/>
  <c r="AX101" i="19"/>
  <c r="BD122" i="19" s="1"/>
  <c r="F30" i="19" s="1"/>
  <c r="AW101" i="19"/>
  <c r="BC122" i="19" s="1"/>
  <c r="E30" i="19" s="1"/>
  <c r="AU115" i="19"/>
  <c r="AX102" i="19"/>
  <c r="BD123" i="19" s="1"/>
  <c r="F31" i="19" s="1"/>
  <c r="AW102" i="19"/>
  <c r="BC123" i="19" s="1"/>
  <c r="E31" i="19" s="1"/>
  <c r="BA122" i="19"/>
  <c r="C30" i="19" s="1"/>
  <c r="BC133" i="19" l="1"/>
  <c r="E41" i="19" s="1"/>
  <c r="BC129" i="19"/>
  <c r="E37" i="19" s="1"/>
  <c r="BD133" i="19"/>
  <c r="F41" i="19" s="1"/>
  <c r="BC121" i="19"/>
  <c r="E29" i="19" s="1"/>
  <c r="BC124" i="19"/>
  <c r="E32" i="19" s="1"/>
  <c r="BC131" i="19"/>
  <c r="E39" i="19" s="1"/>
  <c r="BD121" i="19"/>
  <c r="F29" i="19" s="1"/>
  <c r="BD130" i="19"/>
  <c r="F38" i="19" s="1"/>
  <c r="BD124" i="19"/>
  <c r="F32" i="19" s="1"/>
  <c r="BD131" i="19"/>
  <c r="F39" i="19" s="1"/>
  <c r="BC130" i="19"/>
  <c r="E38" i="19" s="1"/>
  <c r="BC120" i="19"/>
  <c r="E28" i="19" s="1"/>
  <c r="BD120" i="19"/>
  <c r="F28" i="19" s="1"/>
  <c r="AW115" i="19"/>
  <c r="AX115" i="19"/>
  <c r="BW10" i="19"/>
  <c r="BZ10" i="19"/>
  <c r="BP10" i="19"/>
  <c r="BM10" i="19"/>
  <c r="CB10" i="19"/>
  <c r="BS10" i="19"/>
  <c r="BR10" i="19"/>
  <c r="BY10" i="19"/>
  <c r="BF10" i="19"/>
  <c r="BT10" i="19"/>
  <c r="BB18" i="19"/>
  <c r="BO10" i="19"/>
  <c r="BJ10" i="19"/>
  <c r="BU10" i="19"/>
  <c r="BV10" i="19"/>
  <c r="BL10" i="19"/>
  <c r="BX10" i="19"/>
  <c r="BQ10" i="19"/>
  <c r="CA10" i="19"/>
  <c r="BN10" i="19"/>
  <c r="BK10" i="19"/>
  <c r="BB11" i="19"/>
  <c r="AX12" i="19"/>
  <c r="BQ11" i="19" l="1"/>
  <c r="CB11" i="19"/>
  <c r="BN11" i="19"/>
  <c r="BS11" i="19"/>
  <c r="BZ11" i="19"/>
  <c r="BF11" i="19"/>
  <c r="BT11" i="19"/>
  <c r="BU11" i="19"/>
  <c r="BK11" i="19"/>
  <c r="BR11" i="19"/>
  <c r="BW11" i="19"/>
  <c r="BL11" i="19"/>
  <c r="BM11" i="19"/>
  <c r="BX11" i="19"/>
  <c r="BJ11" i="19"/>
  <c r="BO11" i="19"/>
  <c r="BP11" i="19"/>
  <c r="BV11" i="19"/>
  <c r="BY11" i="19"/>
  <c r="CA11" i="19"/>
  <c r="BB12" i="19"/>
  <c r="AX13" i="19"/>
  <c r="O12" i="19"/>
  <c r="N12" i="19"/>
  <c r="K12" i="19"/>
  <c r="P12" i="19"/>
  <c r="Q12" i="19"/>
  <c r="W12" i="19"/>
  <c r="S12" i="19"/>
  <c r="Z12" i="19"/>
  <c r="U12" i="19"/>
  <c r="V12" i="19"/>
  <c r="X12" i="19"/>
  <c r="AA12" i="19"/>
  <c r="M12" i="19"/>
  <c r="L12" i="19"/>
  <c r="Y12" i="19"/>
  <c r="R12" i="19"/>
  <c r="T12" i="19"/>
  <c r="I12" i="19"/>
  <c r="J12" i="19"/>
  <c r="AX14" i="19" l="1"/>
  <c r="BB13" i="19"/>
  <c r="BW12" i="19"/>
  <c r="CB12" i="19"/>
  <c r="BN12" i="19"/>
  <c r="BM12" i="19"/>
  <c r="BZ12" i="19"/>
  <c r="BS12" i="19"/>
  <c r="BT12" i="19"/>
  <c r="BY12" i="19"/>
  <c r="BF12" i="19"/>
  <c r="BR12" i="19"/>
  <c r="BO12" i="19"/>
  <c r="BL12" i="19"/>
  <c r="BU12" i="19"/>
  <c r="BX12" i="19"/>
  <c r="BJ12" i="19"/>
  <c r="BQ12" i="19"/>
  <c r="CA12" i="19"/>
  <c r="BP12" i="19"/>
  <c r="BK12" i="19"/>
  <c r="BV12" i="19"/>
  <c r="BF13" i="19" l="1"/>
  <c r="BP13" i="19"/>
  <c r="CA13" i="19"/>
  <c r="BQ13" i="19"/>
  <c r="BV13" i="19"/>
  <c r="BU13" i="19"/>
  <c r="BZ13" i="19"/>
  <c r="BS13" i="19"/>
  <c r="CB13" i="19"/>
  <c r="BN13" i="19"/>
  <c r="BW13" i="19"/>
  <c r="BM13" i="19"/>
  <c r="BR13" i="19"/>
  <c r="BK13" i="19"/>
  <c r="BT13" i="19"/>
  <c r="BX13" i="19"/>
  <c r="BJ13" i="19"/>
  <c r="BL13" i="19"/>
  <c r="BO13" i="19"/>
  <c r="BY13" i="19"/>
  <c r="BB14" i="19"/>
  <c r="AX15" i="19"/>
  <c r="BB15" i="19" s="1"/>
  <c r="CA15" i="19" l="1"/>
  <c r="BP15" i="19"/>
  <c r="BY15" i="19"/>
  <c r="BO15" i="19"/>
  <c r="BV15" i="19"/>
  <c r="BS15" i="19"/>
  <c r="BZ15" i="19"/>
  <c r="BQ15" i="19"/>
  <c r="CB15" i="19"/>
  <c r="BN15" i="19"/>
  <c r="BU15" i="19"/>
  <c r="BK15" i="19"/>
  <c r="BR15" i="19"/>
  <c r="BF15" i="19"/>
  <c r="BT15" i="19"/>
  <c r="BM15" i="19"/>
  <c r="BL15" i="19"/>
  <c r="BX15" i="19"/>
  <c r="BJ15" i="19"/>
  <c r="BW15" i="19"/>
  <c r="BQ14" i="19"/>
  <c r="BN14" i="19"/>
  <c r="CA14" i="19"/>
  <c r="BK14" i="19"/>
  <c r="BX14" i="19"/>
  <c r="BM14" i="19"/>
  <c r="CB14" i="19"/>
  <c r="BW14" i="19"/>
  <c r="BZ14" i="19"/>
  <c r="BP14" i="19"/>
  <c r="BY14" i="19"/>
  <c r="BF14" i="19"/>
  <c r="BT14" i="19"/>
  <c r="BS14" i="19"/>
  <c r="BR14" i="19"/>
  <c r="BO14" i="19"/>
  <c r="BJ14" i="19"/>
  <c r="BU14" i="19"/>
  <c r="BL14" i="19"/>
  <c r="BV14" i="19"/>
</calcChain>
</file>

<file path=xl/sharedStrings.xml><?xml version="1.0" encoding="utf-8"?>
<sst xmlns="http://schemas.openxmlformats.org/spreadsheetml/2006/main" count="204" uniqueCount="93">
  <si>
    <t>Destination</t>
  </si>
  <si>
    <t>Position</t>
  </si>
  <si>
    <t>Sample Travel Site</t>
    <phoneticPr fontId="3" type="noConversion"/>
  </si>
  <si>
    <t>AUSTRALIA</t>
  </si>
  <si>
    <t>PHILLIPINES</t>
  </si>
  <si>
    <t>Grand Total</t>
  </si>
  <si>
    <t>Others</t>
  </si>
  <si>
    <t>A&amp;P Cost</t>
  </si>
  <si>
    <t>Actual</t>
  </si>
  <si>
    <t>A&amp;P</t>
  </si>
  <si>
    <t>INDONESIA</t>
  </si>
  <si>
    <t>CHINA</t>
  </si>
  <si>
    <t>HONG KONG</t>
  </si>
  <si>
    <t>JAPAN</t>
  </si>
  <si>
    <t>MACAU</t>
  </si>
  <si>
    <t>MALAYSIA</t>
  </si>
  <si>
    <t>SINGAPORE</t>
  </si>
  <si>
    <t>TAIWAN</t>
  </si>
  <si>
    <t>THAILAND</t>
  </si>
  <si>
    <t>VIETNAM</t>
  </si>
  <si>
    <t>Total</t>
  </si>
  <si>
    <t>RN</t>
  </si>
  <si>
    <t>A&amp;P Spend</t>
  </si>
  <si>
    <t>Cost/RN</t>
  </si>
  <si>
    <t>%</t>
  </si>
  <si>
    <t>Month :</t>
  </si>
  <si>
    <t>Site :</t>
  </si>
  <si>
    <t>GOR</t>
  </si>
  <si>
    <t>A&amp;P Spent</t>
  </si>
  <si>
    <t>Budgeted</t>
  </si>
  <si>
    <t>Last Year</t>
  </si>
  <si>
    <t>YTD</t>
  </si>
  <si>
    <t>Data Table</t>
  </si>
  <si>
    <t>2. Daily RN by Destination</t>
  </si>
  <si>
    <t>1. Daily A&amp;P spend table including Google, Yahoo, FB, Ads, others BY Destination</t>
  </si>
  <si>
    <t>3. Daily Traffics</t>
  </si>
  <si>
    <t>Momentum</t>
  </si>
  <si>
    <t>Normalized</t>
  </si>
  <si>
    <t>─</t>
  </si>
  <si>
    <t>┼</t>
  </si>
  <si>
    <t>Bad</t>
  </si>
  <si>
    <t>Ok</t>
  </si>
  <si>
    <t>Based on Budgetd</t>
  </si>
  <si>
    <t>▼</t>
  </si>
  <si>
    <t>▐</t>
  </si>
  <si>
    <t>ACT</t>
  </si>
  <si>
    <t>ABP</t>
  </si>
  <si>
    <t>LY</t>
  </si>
  <si>
    <t>VAR</t>
  </si>
  <si>
    <t>Room Nights Per Day</t>
  </si>
  <si>
    <t>Avg Rate</t>
  </si>
  <si>
    <t>Sales Trend</t>
  </si>
  <si>
    <t>Google</t>
  </si>
  <si>
    <t>Yahoo</t>
  </si>
  <si>
    <t>Online</t>
  </si>
  <si>
    <t>Offline</t>
  </si>
  <si>
    <t>FB</t>
  </si>
  <si>
    <t>Newspaper</t>
  </si>
  <si>
    <t>Fair</t>
  </si>
  <si>
    <t>Choose Month</t>
  </si>
  <si>
    <t>KPI</t>
  </si>
  <si>
    <t>Room Night</t>
  </si>
  <si>
    <t xml:space="preserve">A&amp;P % </t>
  </si>
  <si>
    <t>To show pie</t>
  </si>
  <si>
    <t>Online Oths</t>
  </si>
  <si>
    <t>Offline Oths</t>
  </si>
  <si>
    <t>To show YTD</t>
  </si>
  <si>
    <t>To show A&amp;P% Trend</t>
  </si>
  <si>
    <t>A&amp;P%</t>
  </si>
  <si>
    <t>Destination Effectiveness</t>
  </si>
  <si>
    <t>Diff fr pr m</t>
  </si>
  <si>
    <t>For top message, Sales is XX up or down from previous month</t>
  </si>
  <si>
    <t>Good</t>
  </si>
  <si>
    <t>Perfect</t>
  </si>
  <si>
    <t>Destination Effectiveness - Cost (RM)</t>
  </si>
  <si>
    <t>Room Nights By Destination</t>
  </si>
  <si>
    <t>To draw chart</t>
  </si>
  <si>
    <t>Sort by</t>
  </si>
  <si>
    <t>Sort By</t>
  </si>
  <si>
    <t>Sort KPI</t>
  </si>
  <si>
    <t>Unique</t>
  </si>
  <si>
    <t>Sorted</t>
  </si>
  <si>
    <t>Sort Order</t>
  </si>
  <si>
    <t>Cost/RN Benchmark</t>
  </si>
  <si>
    <t>If the Cost per room night is higher this number, the city is highlighted</t>
  </si>
  <si>
    <t>Cost / RN Bench mark</t>
  </si>
  <si>
    <t>Note:</t>
  </si>
  <si>
    <t>Cost / RN Trend Master Chart</t>
  </si>
  <si>
    <t>Cost / RN Trend for this month</t>
  </si>
  <si>
    <t>Country Selected</t>
  </si>
  <si>
    <t>Last Updated as of :</t>
  </si>
  <si>
    <t>MALAYSIA_FB</t>
  </si>
  <si>
    <t>SINGAPORE_FB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</si>
</sst>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0.0%"/>
    <numFmt numFmtId="165" formatCode="0.0"/>
    <numFmt numFmtId="166" formatCode="_(* #,##0.0_);_(* \(#,##0.0\);_(* &quot;-&quot;??_);_(@_)"/>
    <numFmt numFmtId="167" formatCode="_(* #,##0_);_(* \(#,##0\);_(* &quot;-&quot;??_);_(@_)"/>
    <numFmt numFmtId="168" formatCode="&quot;$&quot;#,##0"/>
    <numFmt numFmtId="169" formatCode="d/m/yyyy\ h:mm"/>
  </numFmts>
  <fonts count="2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4"/>
      <name val="Arial"/>
      <family val="2"/>
    </font>
    <font>
      <sz val="7"/>
      <name val="Arial"/>
      <family val="2"/>
    </font>
    <font>
      <sz val="16"/>
      <name val="Arial"/>
      <family val="2"/>
    </font>
    <font>
      <b/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5"/>
      <color indexed="13"/>
      <name val="Arial"/>
      <family val="2"/>
    </font>
    <font>
      <sz val="10"/>
      <color indexed="13"/>
      <name val="Arial"/>
      <family val="2"/>
    </font>
    <font>
      <sz val="10"/>
      <color indexed="63"/>
      <name val="Arial"/>
      <family val="2"/>
    </font>
    <font>
      <b/>
      <sz val="14"/>
      <name val="Arial"/>
      <family val="2"/>
    </font>
    <font>
      <sz val="8"/>
      <color indexed="23"/>
      <name val="Arial"/>
      <family val="2"/>
    </font>
    <font>
      <sz val="10"/>
      <color indexed="2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/>
      <right style="medium">
        <color indexed="10"/>
      </right>
      <top/>
      <bottom/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/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Fill="1" applyBorder="1"/>
    <xf numFmtId="0" fontId="0" fillId="0" borderId="0" xfId="0" applyFill="1"/>
    <xf numFmtId="10" fontId="0" fillId="0" borderId="2" xfId="0" applyNumberFormat="1" applyBorder="1"/>
    <xf numFmtId="3" fontId="0" fillId="0" borderId="0" xfId="0" applyNumberFormat="1"/>
    <xf numFmtId="1" fontId="0" fillId="0" borderId="2" xfId="0" applyNumberFormat="1" applyBorder="1"/>
    <xf numFmtId="9" fontId="1" fillId="0" borderId="2" xfId="2" applyFont="1" applyBorder="1"/>
    <xf numFmtId="0" fontId="5" fillId="0" borderId="0" xfId="0" applyFont="1"/>
    <xf numFmtId="0" fontId="4" fillId="0" borderId="0" xfId="0" applyFont="1" applyBorder="1"/>
    <xf numFmtId="10" fontId="0" fillId="0" borderId="4" xfId="0" applyNumberFormat="1" applyBorder="1"/>
    <xf numFmtId="9" fontId="0" fillId="0" borderId="0" xfId="0" applyNumberFormat="1"/>
    <xf numFmtId="37" fontId="0" fillId="0" borderId="0" xfId="0" applyNumberFormat="1"/>
    <xf numFmtId="37" fontId="0" fillId="0" borderId="2" xfId="0" applyNumberFormat="1" applyBorder="1"/>
    <xf numFmtId="0" fontId="0" fillId="0" borderId="0" xfId="0" applyBorder="1"/>
    <xf numFmtId="9" fontId="0" fillId="0" borderId="0" xfId="2" applyFont="1"/>
    <xf numFmtId="164" fontId="0" fillId="0" borderId="0" xfId="2" applyNumberFormat="1" applyFont="1"/>
    <xf numFmtId="9" fontId="0" fillId="0" borderId="2" xfId="2" applyFont="1" applyBorder="1"/>
    <xf numFmtId="0" fontId="0" fillId="2" borderId="0" xfId="0" applyFill="1"/>
    <xf numFmtId="17" fontId="0" fillId="0" borderId="0" xfId="0" applyNumberFormat="1"/>
    <xf numFmtId="167" fontId="0" fillId="0" borderId="0" xfId="1" applyNumberFormat="1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7" fontId="0" fillId="0" borderId="0" xfId="0" applyNumberFormat="1"/>
    <xf numFmtId="1" fontId="0" fillId="0" borderId="0" xfId="0" applyNumberFormat="1"/>
    <xf numFmtId="165" fontId="3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7" fontId="11" fillId="0" borderId="0" xfId="1" applyNumberFormat="1" applyFont="1" applyAlignment="1"/>
    <xf numFmtId="0" fontId="3" fillId="0" borderId="8" xfId="0" applyFont="1" applyBorder="1" applyAlignment="1"/>
    <xf numFmtId="17" fontId="0" fillId="0" borderId="2" xfId="0" applyNumberFormat="1" applyBorder="1"/>
    <xf numFmtId="167" fontId="0" fillId="0" borderId="2" xfId="1" applyNumberFormat="1" applyFont="1" applyBorder="1"/>
    <xf numFmtId="0" fontId="0" fillId="0" borderId="0" xfId="0" applyAlignment="1"/>
    <xf numFmtId="167" fontId="0" fillId="0" borderId="2" xfId="0" applyNumberFormat="1" applyBorder="1"/>
    <xf numFmtId="0" fontId="5" fillId="0" borderId="0" xfId="0" applyFont="1" applyFill="1"/>
    <xf numFmtId="0" fontId="13" fillId="0" borderId="0" xfId="0" applyFont="1" applyFill="1"/>
    <xf numFmtId="0" fontId="14" fillId="0" borderId="0" xfId="0" applyFont="1" applyFill="1"/>
    <xf numFmtId="0" fontId="15" fillId="0" borderId="0" xfId="0" applyFont="1" applyFill="1"/>
    <xf numFmtId="0" fontId="1" fillId="0" borderId="0" xfId="0" applyFont="1" applyBorder="1"/>
    <xf numFmtId="0" fontId="4" fillId="0" borderId="0" xfId="0" applyFont="1" applyFill="1" applyBorder="1"/>
    <xf numFmtId="1" fontId="0" fillId="0" borderId="0" xfId="1" applyNumberFormat="1" applyFont="1"/>
    <xf numFmtId="0" fontId="16" fillId="3" borderId="0" xfId="0" applyFont="1" applyFill="1" applyBorder="1" applyAlignment="1">
      <alignment vertical="top" wrapText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7" fillId="0" borderId="9" xfId="0" applyFont="1" applyFill="1" applyBorder="1" applyAlignment="1" applyProtection="1">
      <alignment horizontal="center" vertical="center" wrapText="1"/>
      <protection hidden="1"/>
    </xf>
    <xf numFmtId="1" fontId="16" fillId="3" borderId="0" xfId="0" applyNumberFormat="1" applyFont="1" applyFill="1" applyBorder="1" applyAlignment="1">
      <alignment vertical="top" wrapText="1"/>
    </xf>
    <xf numFmtId="0" fontId="2" fillId="4" borderId="0" xfId="0" applyFont="1" applyFill="1"/>
    <xf numFmtId="43" fontId="0" fillId="0" borderId="0" xfId="1" applyFont="1" applyFill="1" applyBorder="1"/>
    <xf numFmtId="43" fontId="0" fillId="0" borderId="0" xfId="1" applyFont="1" applyBorder="1"/>
    <xf numFmtId="169" fontId="3" fillId="0" borderId="0" xfId="0" applyNumberFormat="1" applyFont="1"/>
    <xf numFmtId="17" fontId="0" fillId="0" borderId="0" xfId="0" applyNumberFormat="1" applyBorder="1"/>
    <xf numFmtId="167" fontId="0" fillId="0" borderId="0" xfId="1" applyNumberFormat="1" applyFont="1" applyBorder="1"/>
    <xf numFmtId="0" fontId="3" fillId="0" borderId="1" xfId="0" applyFont="1" applyBorder="1"/>
    <xf numFmtId="1" fontId="3" fillId="0" borderId="1" xfId="0" applyNumberFormat="1" applyFont="1" applyBorder="1"/>
    <xf numFmtId="9" fontId="3" fillId="0" borderId="1" xfId="2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37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7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8" fillId="0" borderId="8" xfId="0" applyFont="1" applyBorder="1" applyAlignment="1"/>
    <xf numFmtId="0" fontId="19" fillId="0" borderId="0" xfId="0" applyFont="1"/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7" fontId="10" fillId="0" borderId="1" xfId="0" applyNumberFormat="1" applyFont="1" applyBorder="1"/>
    <xf numFmtId="166" fontId="10" fillId="0" borderId="1" xfId="1" applyNumberFormat="1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7" xfId="0" applyBorder="1" applyAlignment="1">
      <alignment horizontal="center"/>
    </xf>
    <xf numFmtId="0" fontId="12" fillId="5" borderId="1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5" fontId="9" fillId="0" borderId="16" xfId="1" applyNumberFormat="1" applyFont="1" applyBorder="1" applyAlignment="1">
      <alignment horizontal="center" vertical="center"/>
    </xf>
    <xf numFmtId="5" fontId="9" fillId="0" borderId="0" xfId="1" applyNumberFormat="1" applyFont="1" applyBorder="1" applyAlignment="1">
      <alignment horizontal="center" vertical="center"/>
    </xf>
    <xf numFmtId="5" fontId="9" fillId="0" borderId="21" xfId="1" applyNumberFormat="1" applyFont="1" applyBorder="1" applyAlignment="1">
      <alignment horizontal="center" vertical="center"/>
    </xf>
    <xf numFmtId="5" fontId="9" fillId="0" borderId="22" xfId="1" applyNumberFormat="1" applyFont="1" applyBorder="1" applyAlignment="1">
      <alignment horizontal="center" vertical="center"/>
    </xf>
    <xf numFmtId="5" fontId="9" fillId="0" borderId="8" xfId="1" applyNumberFormat="1" applyFont="1" applyBorder="1" applyAlignment="1">
      <alignment horizontal="center" vertical="center"/>
    </xf>
    <xf numFmtId="5" fontId="9" fillId="0" borderId="23" xfId="1" applyNumberFormat="1" applyFont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68" fontId="9" fillId="0" borderId="16" xfId="0" applyNumberFormat="1" applyFont="1" applyBorder="1" applyAlignment="1">
      <alignment horizontal="center" vertical="center"/>
    </xf>
    <xf numFmtId="168" fontId="9" fillId="0" borderId="0" xfId="0" applyNumberFormat="1" applyFont="1" applyBorder="1" applyAlignment="1">
      <alignment horizontal="center" vertical="center"/>
    </xf>
    <xf numFmtId="168" fontId="9" fillId="0" borderId="21" xfId="0" applyNumberFormat="1" applyFont="1" applyBorder="1" applyAlignment="1">
      <alignment horizontal="center" vertical="center"/>
    </xf>
    <xf numFmtId="168" fontId="9" fillId="0" borderId="22" xfId="0" applyNumberFormat="1" applyFont="1" applyBorder="1" applyAlignment="1">
      <alignment horizontal="center" vertical="center"/>
    </xf>
    <xf numFmtId="168" fontId="9" fillId="0" borderId="8" xfId="0" applyNumberFormat="1" applyFont="1" applyBorder="1" applyAlignment="1">
      <alignment horizontal="center" vertical="center"/>
    </xf>
    <xf numFmtId="168" fontId="9" fillId="0" borderId="2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9" fontId="9" fillId="0" borderId="16" xfId="2" applyFont="1" applyBorder="1" applyAlignment="1">
      <alignment horizontal="center" vertical="center"/>
    </xf>
    <xf numFmtId="9" fontId="9" fillId="0" borderId="0" xfId="2" applyFont="1" applyBorder="1" applyAlignment="1">
      <alignment horizontal="center" vertical="center"/>
    </xf>
    <xf numFmtId="9" fontId="9" fillId="0" borderId="21" xfId="2" applyFont="1" applyBorder="1" applyAlignment="1">
      <alignment horizontal="center" vertical="center"/>
    </xf>
    <xf numFmtId="9" fontId="9" fillId="0" borderId="22" xfId="2" applyFont="1" applyBorder="1" applyAlignment="1">
      <alignment horizontal="center" vertical="center"/>
    </xf>
    <xf numFmtId="9" fontId="9" fillId="0" borderId="8" xfId="2" applyFont="1" applyBorder="1" applyAlignment="1">
      <alignment horizontal="center" vertical="center"/>
    </xf>
    <xf numFmtId="9" fontId="9" fillId="0" borderId="23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9">
    <dxf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11"/>
        </patternFill>
      </fill>
    </dxf>
    <dxf>
      <font>
        <condense val="0"/>
        <extend val="0"/>
        <color indexed="9"/>
      </font>
      <fill>
        <patternFill>
          <bgColor indexed="1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  <fill>
        <patternFill>
          <bgColor indexed="11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5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52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55"/>
        </patternFill>
      </fill>
    </dxf>
    <dxf>
      <fill>
        <patternFill>
          <bgColor indexed="2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59018716978713E-2"/>
          <c:y val="0.13888912436442796"/>
          <c:w val="0.8762729658792644"/>
          <c:h val="0.73551201448656123"/>
        </c:manualLayout>
      </c:layout>
      <c:lineChart>
        <c:grouping val="standard"/>
        <c:varyColors val="0"/>
        <c:ser>
          <c:idx val="0"/>
          <c:order val="0"/>
          <c:tx>
            <c:strRef>
              <c:f>DashBoard!$AU$154</c:f>
              <c:strCache>
                <c:ptCount val="1"/>
                <c:pt idx="0">
                  <c:v> AUSTRALIA </c:v>
                </c:pt>
              </c:strCache>
            </c:strRef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numRef>
              <c:f>DashBoard!$AT$155:$AT$166</c:f>
              <c:numCache>
                <c:formatCode>mmm\-yy</c:formatCode>
                <c:ptCount val="12"/>
                <c:pt idx="0">
                  <c:v>40269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</c:numCache>
            </c:numRef>
          </c:cat>
          <c:val>
            <c:numRef>
              <c:f>DashBoard!$AU$155:$AU$166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73.333333333333343</c:v>
                </c:pt>
                <c:pt idx="5">
                  <c:v>58.139534883720927</c:v>
                </c:pt>
                <c:pt idx="6">
                  <c:v>44.583333333333336</c:v>
                </c:pt>
                <c:pt idx="7">
                  <c:v>25.285714285714285</c:v>
                </c:pt>
                <c:pt idx="8">
                  <c:v>22.888888888888889</c:v>
                </c:pt>
                <c:pt idx="9">
                  <c:v>7.6202531645569609</c:v>
                </c:pt>
                <c:pt idx="10">
                  <c:v>9.823008849557521</c:v>
                </c:pt>
                <c:pt idx="11">
                  <c:v>7.8888888888888884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D-4DFE-AC29-AAD116ACB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6355984"/>
        <c:axId val="-1056364688"/>
      </c:lineChart>
      <c:dateAx>
        <c:axId val="-1056355984"/>
        <c:scaling>
          <c:orientation val="minMax"/>
        </c:scaling>
        <c:delete val="0"/>
        <c:axPos val="b"/>
        <c:numFmt formatCode="mmmmm" sourceLinked="0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636468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10563646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6355984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 alignWithMargins="0"/>
    <c:pageMargins b="1" l="0.75000000000000078" r="0.750000000000000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759018716978713E-2"/>
          <c:y val="0.13888912436442796"/>
          <c:w val="0.8762729658792644"/>
          <c:h val="0.7355120144865612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strRef>
              <c:f>DashBoard!$C$21:$E$21</c:f>
              <c:strCache>
                <c:ptCount val="3"/>
                <c:pt idx="0">
                  <c:v>RN</c:v>
                </c:pt>
                <c:pt idx="1">
                  <c:v>Apr-22</c:v>
                </c:pt>
                <c:pt idx="2">
                  <c:v>May-22</c:v>
                </c:pt>
              </c:strCache>
            </c:strRef>
          </c:cat>
          <c:val>
            <c:numRef>
              <c:f>DashBoard!$C$22:$E$22</c:f>
              <c:numCache>
                <c:formatCode>_(* #,##0.0_);_(* \(#,##0.0\);_(* "-"??_);_(@_)</c:formatCode>
                <c:ptCount val="3"/>
                <c:pt idx="0">
                  <c:v>0</c:v>
                </c:pt>
                <c:pt idx="1">
                  <c:v>0.83333333333333337</c:v>
                </c:pt>
                <c:pt idx="2">
                  <c:v>1.2333333333333334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3-4D44-BEA0-C77205310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6368496"/>
        <c:axId val="-1056357072"/>
      </c:lineChart>
      <c:dateAx>
        <c:axId val="-1056368496"/>
        <c:scaling>
          <c:orientation val="minMax"/>
        </c:scaling>
        <c:delete val="0"/>
        <c:axPos val="b"/>
        <c:numFmt formatCode="mmmmm" sourceLinked="0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63570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1056357072"/>
        <c:scaling>
          <c:orientation val="minMax"/>
        </c:scaling>
        <c:delete val="0"/>
        <c:axPos val="l"/>
        <c:numFmt formatCode="_(* #,##0.0_);_(* \(#,##0.0\);_(* &quot;-&quot;??_);_(@_)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6368496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 alignWithMargins="0"/>
    <c:pageMargins b="1" l="0.75000000000000078" r="0.75000000000000078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59018716978713E-2"/>
          <c:y val="0.1388888888888889"/>
          <c:w val="0.87627296587926473"/>
          <c:h val="0.52519575678040242"/>
        </c:manualLayout>
      </c:layout>
      <c:lineChart>
        <c:grouping val="standard"/>
        <c:varyColors val="0"/>
        <c:ser>
          <c:idx val="0"/>
          <c:order val="0"/>
          <c:tx>
            <c:strRef>
              <c:f>DashBoard!$AU$3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numRef>
              <c:f>DashBoard!$AT$4:$AT$15</c:f>
              <c:numCache>
                <c:formatCode>mmm\-yy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DashBoard!$AU$4:$AU$15</c:f>
              <c:numCache>
                <c:formatCode>#,##0_);\(#,##0\)</c:formatCode>
                <c:ptCount val="12"/>
                <c:pt idx="0">
                  <c:v>25</c:v>
                </c:pt>
                <c:pt idx="1">
                  <c:v>37</c:v>
                </c:pt>
                <c:pt idx="2">
                  <c:v>68</c:v>
                </c:pt>
                <c:pt idx="3">
                  <c:v>32</c:v>
                </c:pt>
                <c:pt idx="4" formatCode="General">
                  <c:v>60</c:v>
                </c:pt>
                <c:pt idx="5">
                  <c:v>86</c:v>
                </c:pt>
                <c:pt idx="6">
                  <c:v>120</c:v>
                </c:pt>
                <c:pt idx="7">
                  <c:v>350</c:v>
                </c:pt>
                <c:pt idx="8">
                  <c:v>900</c:v>
                </c:pt>
                <c:pt idx="9">
                  <c:v>790</c:v>
                </c:pt>
                <c:pt idx="10">
                  <c:v>678</c:v>
                </c:pt>
                <c:pt idx="11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C-4D5E-B39D-9A9B9E5F8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6363056"/>
        <c:axId val="-1056362512"/>
      </c:lineChart>
      <c:dateAx>
        <c:axId val="-1056363056"/>
        <c:scaling>
          <c:orientation val="minMax"/>
        </c:scaling>
        <c:delete val="0"/>
        <c:axPos val="b"/>
        <c:numFmt formatCode="mmmmm" sourceLinked="0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636251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1056362512"/>
        <c:scaling>
          <c:orientation val="minMax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6363056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 alignWithMargins="0"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862475523892849"/>
          <c:y val="0.11240208852896946"/>
          <c:w val="0.57016872890888637"/>
          <c:h val="0.678448895142193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DashBoard!$AT$40</c:f>
              <c:strCache>
                <c:ptCount val="1"/>
                <c:pt idx="0">
                  <c:v>May-10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Lbls>
            <c:numFmt formatCode="0;0;;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DashBoard!$AU$39:$BA$39</c:f>
              <c:strCache>
                <c:ptCount val="7"/>
                <c:pt idx="0">
                  <c:v>Google</c:v>
                </c:pt>
                <c:pt idx="1">
                  <c:v>Yahoo</c:v>
                </c:pt>
                <c:pt idx="2">
                  <c:v>FB</c:v>
                </c:pt>
                <c:pt idx="3">
                  <c:v>Online Oths</c:v>
                </c:pt>
                <c:pt idx="4">
                  <c:v>Newspaper</c:v>
                </c:pt>
                <c:pt idx="5">
                  <c:v>Fair</c:v>
                </c:pt>
                <c:pt idx="6">
                  <c:v>Offline Oths</c:v>
                </c:pt>
              </c:strCache>
            </c:strRef>
          </c:cat>
          <c:val>
            <c:numRef>
              <c:f>DashBoard!$AU$40:$BA$40</c:f>
              <c:numCache>
                <c:formatCode>_(* #,##0_);_(* \(#,##0\);_(* "-"??_);_(@_)</c:formatCode>
                <c:ptCount val="7"/>
                <c:pt idx="0">
                  <c:v>4928</c:v>
                </c:pt>
                <c:pt idx="1">
                  <c:v>120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1-4173-AE12-9ACD296A8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053038048"/>
        <c:axId val="-1053027168"/>
      </c:barChart>
      <c:catAx>
        <c:axId val="-105303804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3027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53027168"/>
        <c:scaling>
          <c:orientation val="minMax"/>
        </c:scaling>
        <c:delete val="1"/>
        <c:axPos val="t"/>
        <c:numFmt formatCode="_(* #,##0_);_(* \(#,##0\);_(* &quot;-&quot;??_);_(@_)" sourceLinked="1"/>
        <c:majorTickMark val="out"/>
        <c:minorTickMark val="none"/>
        <c:tickLblPos val="nextTo"/>
        <c:crossAx val="-1053038048"/>
        <c:crosses val="autoZero"/>
        <c:crossBetween val="between"/>
      </c:valAx>
    </c:plotArea>
    <c:plotVisOnly val="1"/>
    <c:dispBlanksAs val="zero"/>
    <c:showDLblsOverMax val="0"/>
  </c:chart>
  <c:spPr>
    <a:ln>
      <a:solidFill>
        <a:schemeClr val="bg1">
          <a:lumMod val="75000"/>
        </a:schemeClr>
      </a:solidFill>
    </a:ln>
  </c:sp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507978169395516"/>
          <c:y val="0.11240208852896946"/>
          <c:w val="0.57016872890888659"/>
          <c:h val="0.828319599584935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DashBoard!$AT$45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Lbls>
            <c:numFmt formatCode="0;0;;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DashBoard!$AU$39:$BA$39</c:f>
              <c:strCache>
                <c:ptCount val="7"/>
                <c:pt idx="0">
                  <c:v>Google</c:v>
                </c:pt>
                <c:pt idx="1">
                  <c:v>Yahoo</c:v>
                </c:pt>
                <c:pt idx="2">
                  <c:v>FB</c:v>
                </c:pt>
                <c:pt idx="3">
                  <c:v>Online Oths</c:v>
                </c:pt>
                <c:pt idx="4">
                  <c:v>Newspaper</c:v>
                </c:pt>
                <c:pt idx="5">
                  <c:v>Fair</c:v>
                </c:pt>
                <c:pt idx="6">
                  <c:v>Offline Oths</c:v>
                </c:pt>
              </c:strCache>
            </c:strRef>
          </c:cat>
          <c:val>
            <c:numRef>
              <c:f>DashBoard!$AU$45:$BA$45</c:f>
              <c:numCache>
                <c:formatCode>_(* #,##0_);_(* \(#,##0\);_(* "-"??_);_(@_)</c:formatCode>
                <c:ptCount val="7"/>
                <c:pt idx="0">
                  <c:v>39434</c:v>
                </c:pt>
                <c:pt idx="1">
                  <c:v>4800</c:v>
                </c:pt>
                <c:pt idx="2">
                  <c:v>13806</c:v>
                </c:pt>
                <c:pt idx="3">
                  <c:v>3240</c:v>
                </c:pt>
                <c:pt idx="4">
                  <c:v>5000</c:v>
                </c:pt>
                <c:pt idx="5">
                  <c:v>15000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6-466C-A7CA-CEB54477D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053026624"/>
        <c:axId val="-1053038592"/>
      </c:barChart>
      <c:catAx>
        <c:axId val="-105302662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303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53038592"/>
        <c:scaling>
          <c:orientation val="minMax"/>
        </c:scaling>
        <c:delete val="1"/>
        <c:axPos val="t"/>
        <c:numFmt formatCode="_(* #,##0_);_(* \(#,##0\);_(* &quot;-&quot;??_);_(@_)" sourceLinked="1"/>
        <c:majorTickMark val="out"/>
        <c:minorTickMark val="none"/>
        <c:tickLblPos val="nextTo"/>
        <c:crossAx val="-1053026624"/>
        <c:crosses val="autoZero"/>
        <c:crossBetween val="between"/>
      </c:valAx>
    </c:plotArea>
    <c:plotVisOnly val="1"/>
    <c:dispBlanksAs val="zero"/>
    <c:showDLblsOverMax val="0"/>
  </c:chart>
  <c:spPr>
    <a:ln>
      <a:solidFill>
        <a:schemeClr val="bg1">
          <a:lumMod val="75000"/>
        </a:schemeClr>
      </a:solidFill>
    </a:ln>
  </c:spPr>
  <c:printSettings>
    <c:headerFooter alignWithMargins="0"/>
    <c:pageMargins b="1" l="0.75000000000000022" r="0.7500000000000002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759018716978713E-2"/>
          <c:y val="0.13888912436442796"/>
          <c:w val="0.82816301499368528"/>
          <c:h val="0.61436235364196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DashBoard!$AU$48</c:f>
              <c:strCache>
                <c:ptCount val="1"/>
                <c:pt idx="0">
                  <c:v>RN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DashBoard!$AT$49:$AT$60</c:f>
              <c:numCache>
                <c:formatCode>mmm\-yy</c:formatCode>
                <c:ptCount val="12"/>
                <c:pt idx="0">
                  <c:v>40269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</c:numCache>
            </c:numRef>
          </c:cat>
          <c:val>
            <c:numRef>
              <c:f>DashBoard!$AU$49:$AU$60</c:f>
              <c:numCache>
                <c:formatCode>#,##0_);\(#,##0\)</c:formatCode>
                <c:ptCount val="12"/>
                <c:pt idx="0">
                  <c:v>25</c:v>
                </c:pt>
                <c:pt idx="1">
                  <c:v>37</c:v>
                </c:pt>
                <c:pt idx="2">
                  <c:v>68</c:v>
                </c:pt>
                <c:pt idx="3">
                  <c:v>32</c:v>
                </c:pt>
                <c:pt idx="4">
                  <c:v>60</c:v>
                </c:pt>
                <c:pt idx="5">
                  <c:v>86</c:v>
                </c:pt>
                <c:pt idx="6">
                  <c:v>120</c:v>
                </c:pt>
                <c:pt idx="7">
                  <c:v>350</c:v>
                </c:pt>
                <c:pt idx="8">
                  <c:v>900</c:v>
                </c:pt>
                <c:pt idx="9">
                  <c:v>790</c:v>
                </c:pt>
                <c:pt idx="10">
                  <c:v>678</c:v>
                </c:pt>
                <c:pt idx="11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1-46C0-934A-697AF7EE0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53036416"/>
        <c:axId val="-1053032608"/>
      </c:barChart>
      <c:lineChart>
        <c:grouping val="standard"/>
        <c:varyColors val="0"/>
        <c:ser>
          <c:idx val="2"/>
          <c:order val="1"/>
          <c:tx>
            <c:strRef>
              <c:f>DashBoard!$AX$48</c:f>
              <c:strCache>
                <c:ptCount val="1"/>
                <c:pt idx="0">
                  <c:v>A&amp;P%</c:v>
                </c:pt>
              </c:strCache>
            </c:strRef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numRef>
              <c:f>DashBoard!$AT$49:$AT$60</c:f>
              <c:numCache>
                <c:formatCode>mmm\-yy</c:formatCode>
                <c:ptCount val="12"/>
                <c:pt idx="0">
                  <c:v>40269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</c:numCache>
            </c:numRef>
          </c:cat>
          <c:val>
            <c:numRef>
              <c:f>DashBoard!$AX$49:$AX$60</c:f>
              <c:numCache>
                <c:formatCode>0%</c:formatCode>
                <c:ptCount val="12"/>
                <c:pt idx="0">
                  <c:v>0.62476923076923074</c:v>
                </c:pt>
                <c:pt idx="1">
                  <c:v>0.54553014553014556</c:v>
                </c:pt>
                <c:pt idx="2">
                  <c:v>0.25497737556561084</c:v>
                </c:pt>
                <c:pt idx="3">
                  <c:v>0.41862980769230768</c:v>
                </c:pt>
                <c:pt idx="4">
                  <c:v>0.28205128205128205</c:v>
                </c:pt>
                <c:pt idx="5">
                  <c:v>0.22361359570661896</c:v>
                </c:pt>
                <c:pt idx="6">
                  <c:v>0.17147435897435898</c:v>
                </c:pt>
                <c:pt idx="7">
                  <c:v>9.7252747252747254E-2</c:v>
                </c:pt>
                <c:pt idx="8">
                  <c:v>8.8034188034188041E-2</c:v>
                </c:pt>
                <c:pt idx="9">
                  <c:v>2.9308666017526776E-2</c:v>
                </c:pt>
                <c:pt idx="10">
                  <c:v>3.7780803267528931E-2</c:v>
                </c:pt>
                <c:pt idx="11">
                  <c:v>3.0341880341880342E-2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F1-46C0-934A-697AF7EE0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53027712"/>
        <c:axId val="-1053033696"/>
      </c:lineChart>
      <c:dateAx>
        <c:axId val="-1053036416"/>
        <c:scaling>
          <c:orientation val="minMax"/>
        </c:scaling>
        <c:delete val="0"/>
        <c:axPos val="b"/>
        <c:numFmt formatCode="mmmmm" sourceLinked="0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303260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1053032608"/>
        <c:scaling>
          <c:orientation val="minMax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3036416"/>
        <c:crosses val="autoZero"/>
        <c:crossBetween val="between"/>
      </c:valAx>
      <c:dateAx>
        <c:axId val="-105302771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1053033696"/>
        <c:crosses val="autoZero"/>
        <c:auto val="1"/>
        <c:lblOffset val="100"/>
        <c:baseTimeUnit val="months"/>
      </c:dateAx>
      <c:valAx>
        <c:axId val="-1053033696"/>
        <c:scaling>
          <c:orientation val="minMax"/>
        </c:scaling>
        <c:delete val="0"/>
        <c:axPos val="r"/>
        <c:numFmt formatCode="0%" sourceLinked="1"/>
        <c:majorTickMark val="cross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3027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23107853206329"/>
          <c:y val="0.90453565644719947"/>
          <c:w val="0.3736158044183096"/>
          <c:h val="9.4102864801474229E-2"/>
        </c:manualLayout>
      </c:layout>
      <c:overlay val="0"/>
      <c:spPr>
        <a:ln>
          <a:noFill/>
        </a:ln>
      </c:spPr>
      <c:txPr>
        <a:bodyPr/>
        <a:lstStyle/>
        <a:p>
          <a:pPr>
            <a:defRPr sz="800">
              <a:solidFill>
                <a:schemeClr val="tx1">
                  <a:lumMod val="50000"/>
                  <a:lumOff val="50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59018716978713E-2"/>
          <c:y val="0.13888912436442796"/>
          <c:w val="0.87627296587926506"/>
          <c:h val="0.73551201448656123"/>
        </c:manualLayout>
      </c:layout>
      <c:lineChart>
        <c:grouping val="standard"/>
        <c:varyColors val="0"/>
        <c:ser>
          <c:idx val="0"/>
          <c:order val="0"/>
          <c:tx>
            <c:strRef>
              <c:f>DashBoard!$AY$48</c:f>
              <c:strCache>
                <c:ptCount val="1"/>
                <c:pt idx="0">
                  <c:v>Cost/RN</c:v>
                </c:pt>
              </c:strCache>
            </c:strRef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cat>
            <c:numRef>
              <c:f>DashBoard!$AT$49:$AT$60</c:f>
              <c:numCache>
                <c:formatCode>mmm\-yy</c:formatCode>
                <c:ptCount val="12"/>
                <c:pt idx="0">
                  <c:v>40269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</c:numCache>
            </c:numRef>
          </c:cat>
          <c:val>
            <c:numRef>
              <c:f>DashBoard!$AY$49:$AY$60</c:f>
              <c:numCache>
                <c:formatCode>0</c:formatCode>
                <c:ptCount val="12"/>
                <c:pt idx="0">
                  <c:v>162.44</c:v>
                </c:pt>
                <c:pt idx="1">
                  <c:v>141.83783783783784</c:v>
                </c:pt>
                <c:pt idx="2">
                  <c:v>66.294117647058826</c:v>
                </c:pt>
                <c:pt idx="3">
                  <c:v>108.84375</c:v>
                </c:pt>
                <c:pt idx="4">
                  <c:v>73.333333333333329</c:v>
                </c:pt>
                <c:pt idx="5">
                  <c:v>58.139534883720927</c:v>
                </c:pt>
                <c:pt idx="6">
                  <c:v>44.583333333333336</c:v>
                </c:pt>
                <c:pt idx="7">
                  <c:v>25.285714285714285</c:v>
                </c:pt>
                <c:pt idx="8">
                  <c:v>22.888888888888889</c:v>
                </c:pt>
                <c:pt idx="9">
                  <c:v>7.6202531645569618</c:v>
                </c:pt>
                <c:pt idx="10">
                  <c:v>9.8230088495575227</c:v>
                </c:pt>
                <c:pt idx="11">
                  <c:v>7.8888888888888893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3B-4245-9F11-17CFF845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3025536"/>
        <c:axId val="-1053031520"/>
      </c:lineChart>
      <c:dateAx>
        <c:axId val="-1053025536"/>
        <c:scaling>
          <c:orientation val="minMax"/>
        </c:scaling>
        <c:delete val="0"/>
        <c:axPos val="b"/>
        <c:numFmt formatCode="mmmmm" sourceLinked="0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30315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105303152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txPr>
          <a:bodyPr rot="0" vert="horz"/>
          <a:lstStyle/>
          <a:p>
            <a:pPr>
              <a:defRPr sz="8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1053025536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 alignWithMargins="0"/>
    <c:pageMargins b="1" l="0.75000000000000022" r="0.75000000000000022" t="1" header="0.5" footer="0.5"/>
    <c:pageSetup/>
  </c:printSettings>
</c:chartSpace>
</file>

<file path=xl/ctrlProps/ctrlProp1.xml><?xml version="1.0" encoding="utf-8"?>
<formControlPr xmlns="http://schemas.microsoft.com/office/spreadsheetml/2009/9/main" objectType="Drop" dropLines="62" dropStyle="combo" dx="22" fmlaLink="DashBoard!$AT$17" fmlaRange="DashBoard!$AT$4:$AT$15" sel="2" val="0"/>
</file>

<file path=xl/ctrlProps/ctrlProp2.xml><?xml version="1.0" encoding="utf-8"?>
<formControlPr xmlns="http://schemas.microsoft.com/office/spreadsheetml/2009/9/main" objectType="Radio" firstButton="1" fmlaLink="$AU$117" lockText="1"/>
</file>

<file path=xl/ctrlProps/ctrlProp3.xml><?xml version="1.0" encoding="utf-8"?>
<formControlPr xmlns="http://schemas.microsoft.com/office/spreadsheetml/2009/9/main" objectType="Radio" checked="Checked" lockText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Spin" dx="16" fmlaLink="$AU$118" max="2" min="1" page="10" val="2"/>
</file>

<file path=xl/ctrlProps/ctrlProp7.xml><?xml version="1.0" encoding="utf-8"?>
<formControlPr xmlns="http://schemas.microsoft.com/office/spreadsheetml/2009/9/main" objectType="Drop" dropLines="67" dropStyle="combo" dx="22" fmlaLink="$AT$137" fmlaRange="parameters!$B$11:$B$22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27</xdr:row>
      <xdr:rowOff>257175</xdr:rowOff>
    </xdr:from>
    <xdr:to>
      <xdr:col>27</xdr:col>
      <xdr:colOff>285750</xdr:colOff>
      <xdr:row>40</xdr:row>
      <xdr:rowOff>161925</xdr:rowOff>
    </xdr:to>
    <xdr:graphicFrame macro="">
      <xdr:nvGraphicFramePr>
        <xdr:cNvPr id="65050" name="Chart 29">
          <a:extLst>
            <a:ext uri="{FF2B5EF4-FFF2-40B4-BE49-F238E27FC236}">
              <a16:creationId xmlns:a16="http://schemas.microsoft.com/office/drawing/2014/main" id="{00000000-0008-0000-0000-00001AF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20</xdr:row>
      <xdr:rowOff>104775</xdr:rowOff>
    </xdr:from>
    <xdr:to>
      <xdr:col>27</xdr:col>
      <xdr:colOff>304800</xdr:colOff>
      <xdr:row>25</xdr:row>
      <xdr:rowOff>161925</xdr:rowOff>
    </xdr:to>
    <xdr:graphicFrame macro="">
      <xdr:nvGraphicFramePr>
        <xdr:cNvPr id="65051" name="Chart 3">
          <a:extLst>
            <a:ext uri="{FF2B5EF4-FFF2-40B4-BE49-F238E27FC236}">
              <a16:creationId xmlns:a16="http://schemas.microsoft.com/office/drawing/2014/main" id="{00000000-0008-0000-0000-00001BF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13</xdr:row>
      <xdr:rowOff>0</xdr:rowOff>
    </xdr:from>
    <xdr:to>
      <xdr:col>27</xdr:col>
      <xdr:colOff>314325</xdr:colOff>
      <xdr:row>18</xdr:row>
      <xdr:rowOff>104775</xdr:rowOff>
    </xdr:to>
    <xdr:graphicFrame macro="">
      <xdr:nvGraphicFramePr>
        <xdr:cNvPr id="65052" name="Chart 6">
          <a:extLst>
            <a:ext uri="{FF2B5EF4-FFF2-40B4-BE49-F238E27FC236}">
              <a16:creationId xmlns:a16="http://schemas.microsoft.com/office/drawing/2014/main" id="{00000000-0008-0000-0000-00001CF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10</xdr:row>
      <xdr:rowOff>28575</xdr:rowOff>
    </xdr:from>
    <xdr:to>
      <xdr:col>33</xdr:col>
      <xdr:colOff>123825</xdr:colOff>
      <xdr:row>26</xdr:row>
      <xdr:rowOff>0</xdr:rowOff>
    </xdr:to>
    <xdr:graphicFrame macro="">
      <xdr:nvGraphicFramePr>
        <xdr:cNvPr id="65053" name="Chart 9">
          <a:extLst>
            <a:ext uri="{FF2B5EF4-FFF2-40B4-BE49-F238E27FC236}">
              <a16:creationId xmlns:a16="http://schemas.microsoft.com/office/drawing/2014/main" id="{00000000-0008-0000-0000-00001DF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27</xdr:row>
      <xdr:rowOff>238125</xdr:rowOff>
    </xdr:from>
    <xdr:to>
      <xdr:col>33</xdr:col>
      <xdr:colOff>114300</xdr:colOff>
      <xdr:row>41</xdr:row>
      <xdr:rowOff>0</xdr:rowOff>
    </xdr:to>
    <xdr:graphicFrame macro="">
      <xdr:nvGraphicFramePr>
        <xdr:cNvPr id="65054" name="Chart 15">
          <a:extLst>
            <a:ext uri="{FF2B5EF4-FFF2-40B4-BE49-F238E27FC236}">
              <a16:creationId xmlns:a16="http://schemas.microsoft.com/office/drawing/2014/main" id="{00000000-0008-0000-0000-00001EF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247650</xdr:colOff>
      <xdr:row>10</xdr:row>
      <xdr:rowOff>28575</xdr:rowOff>
    </xdr:from>
    <xdr:to>
      <xdr:col>39</xdr:col>
      <xdr:colOff>19050</xdr:colOff>
      <xdr:row>26</xdr:row>
      <xdr:rowOff>9525</xdr:rowOff>
    </xdr:to>
    <xdr:graphicFrame macro="">
      <xdr:nvGraphicFramePr>
        <xdr:cNvPr id="65055" name="Chart 16">
          <a:extLst>
            <a:ext uri="{FF2B5EF4-FFF2-40B4-BE49-F238E27FC236}">
              <a16:creationId xmlns:a16="http://schemas.microsoft.com/office/drawing/2014/main" id="{00000000-0008-0000-0000-00001FF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257175</xdr:colOff>
      <xdr:row>27</xdr:row>
      <xdr:rowOff>238125</xdr:rowOff>
    </xdr:from>
    <xdr:to>
      <xdr:col>39</xdr:col>
      <xdr:colOff>0</xdr:colOff>
      <xdr:row>40</xdr:row>
      <xdr:rowOff>161925</xdr:rowOff>
    </xdr:to>
    <xdr:graphicFrame macro="">
      <xdr:nvGraphicFramePr>
        <xdr:cNvPr id="65056" name="Chart 17">
          <a:extLst>
            <a:ext uri="{FF2B5EF4-FFF2-40B4-BE49-F238E27FC236}">
              <a16:creationId xmlns:a16="http://schemas.microsoft.com/office/drawing/2014/main" id="{00000000-0008-0000-0000-000020F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8</xdr:row>
      <xdr:rowOff>123825</xdr:rowOff>
    </xdr:from>
    <xdr:to>
      <xdr:col>39</xdr:col>
      <xdr:colOff>57150</xdr:colOff>
      <xdr:row>8</xdr:row>
      <xdr:rowOff>123825</xdr:rowOff>
    </xdr:to>
    <xdr:sp macro="" textlink="">
      <xdr:nvSpPr>
        <xdr:cNvPr id="65057" name="Line 19">
          <a:extLst>
            <a:ext uri="{FF2B5EF4-FFF2-40B4-BE49-F238E27FC236}">
              <a16:creationId xmlns:a16="http://schemas.microsoft.com/office/drawing/2014/main" id="{00000000-0008-0000-0000-000021FE0000}"/>
            </a:ext>
          </a:extLst>
        </xdr:cNvPr>
        <xdr:cNvSpPr>
          <a:spLocks noChangeShapeType="1"/>
        </xdr:cNvSpPr>
      </xdr:nvSpPr>
      <xdr:spPr bwMode="auto">
        <a:xfrm flipV="1">
          <a:off x="85725" y="1476375"/>
          <a:ext cx="11191875" cy="0"/>
        </a:xfrm>
        <a:prstGeom prst="line">
          <a:avLst/>
        </a:prstGeom>
        <a:noFill/>
        <a:ln w="9525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14102</xdr:colOff>
      <xdr:row>26</xdr:row>
      <xdr:rowOff>92555</xdr:rowOff>
    </xdr:from>
    <xdr:to>
      <xdr:col>33</xdr:col>
      <xdr:colOff>190499</xdr:colOff>
      <xdr:row>27</xdr:row>
      <xdr:rowOff>266406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138552" y="4569305"/>
          <a:ext cx="2424297" cy="33577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/>
        <a:p>
          <a:r>
            <a:rPr lang="en-US" sz="1200" b="1">
              <a:latin typeface="Arial"/>
              <a:cs typeface="Arial"/>
            </a:rPr>
            <a:t>Total A&amp;P</a:t>
          </a:r>
          <a:r>
            <a:rPr lang="en-US" sz="1200" b="1" baseline="0">
              <a:latin typeface="Arial"/>
              <a:cs typeface="Arial"/>
            </a:rPr>
            <a:t> Spending By Media</a:t>
          </a:r>
          <a:endParaRPr lang="en-US" sz="1200" b="1">
            <a:latin typeface="Arial"/>
            <a:cs typeface="Arial"/>
          </a:endParaRPr>
        </a:p>
      </xdr:txBody>
    </xdr:sp>
    <xdr:clientData/>
  </xdr:twoCellAnchor>
  <xdr:twoCellAnchor>
    <xdr:from>
      <xdr:col>29</xdr:col>
      <xdr:colOff>15866</xdr:colOff>
      <xdr:row>9</xdr:row>
      <xdr:rowOff>13758</xdr:rowOff>
    </xdr:from>
    <xdr:to>
      <xdr:col>33</xdr:col>
      <xdr:colOff>11302</xdr:colOff>
      <xdr:row>11</xdr:row>
      <xdr:rowOff>0</xdr:rowOff>
    </xdr:to>
    <xdr:sp macro="" textlink="">
      <xdr:nvSpPr>
        <xdr:cNvPr id="15" name="TextBox 1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140316" y="1432983"/>
          <a:ext cx="2243336" cy="357717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Arial"/>
              <a:cs typeface="Arial"/>
            </a:rPr>
            <a:t>A&amp;P Analysis</a:t>
          </a:r>
        </a:p>
      </xdr:txBody>
    </xdr:sp>
    <xdr:clientData/>
  </xdr:twoCellAnchor>
  <xdr:twoCellAnchor>
    <xdr:from>
      <xdr:col>6</xdr:col>
      <xdr:colOff>58208</xdr:colOff>
      <xdr:row>26</xdr:row>
      <xdr:rowOff>90840</xdr:rowOff>
    </xdr:from>
    <xdr:to>
      <xdr:col>27</xdr:col>
      <xdr:colOff>119262</xdr:colOff>
      <xdr:row>27</xdr:row>
      <xdr:rowOff>268121</xdr:rowOff>
    </xdr:to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487083" y="4567590"/>
          <a:ext cx="2204179" cy="33920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Arial"/>
              <a:cs typeface="Arial"/>
            </a:rPr>
            <a:t>Cost</a:t>
          </a:r>
          <a:r>
            <a:rPr lang="en-US" sz="1200" b="1" baseline="0">
              <a:latin typeface="Arial"/>
              <a:cs typeface="Arial"/>
            </a:rPr>
            <a:t> / RN Trend </a:t>
          </a:r>
          <a:endParaRPr lang="en-US" sz="1200" b="1"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76200</xdr:colOff>
      <xdr:row>27</xdr:row>
      <xdr:rowOff>276576</xdr:rowOff>
    </xdr:from>
    <xdr:to>
      <xdr:col>14</xdr:col>
      <xdr:colOff>61030</xdr:colOff>
      <xdr:row>29</xdr:row>
      <xdr:rowOff>64910</xdr:rowOff>
    </xdr:to>
    <xdr:sp macro="" textlink="">
      <xdr:nvSpPr>
        <xdr:cNvPr id="17" name="TextBox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505075" y="4915251"/>
          <a:ext cx="1023055" cy="359834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Arial"/>
              <a:cs typeface="Arial"/>
            </a:rPr>
            <a:t>Select :</a:t>
          </a:r>
        </a:p>
      </xdr:txBody>
    </xdr:sp>
    <xdr:clientData/>
  </xdr:twoCellAnchor>
  <xdr:twoCellAnchor>
    <xdr:from>
      <xdr:col>6</xdr:col>
      <xdr:colOff>69497</xdr:colOff>
      <xdr:row>18</xdr:row>
      <xdr:rowOff>102658</xdr:rowOff>
    </xdr:from>
    <xdr:to>
      <xdr:col>27</xdr:col>
      <xdr:colOff>304800</xdr:colOff>
      <xdr:row>20</xdr:row>
      <xdr:rowOff>144991</xdr:rowOff>
    </xdr:to>
    <xdr:sp macro="" textlink="">
      <xdr:nvSpPr>
        <xdr:cNvPr id="18" name="TextBox 1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498372" y="3188758"/>
          <a:ext cx="2378428" cy="366183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Arial"/>
              <a:cs typeface="Arial"/>
            </a:rPr>
            <a:t>Momentum</a:t>
          </a:r>
          <a:r>
            <a:rPr lang="en-US" sz="1200" b="1" baseline="0">
              <a:latin typeface="Arial"/>
              <a:cs typeface="Arial"/>
            </a:rPr>
            <a:t> for Past 3 Months</a:t>
          </a:r>
          <a:endParaRPr lang="en-US" sz="1200" b="1">
            <a:latin typeface="Arial"/>
            <a:cs typeface="Arial"/>
          </a:endParaRPr>
        </a:p>
      </xdr:txBody>
    </xdr:sp>
    <xdr:clientData/>
  </xdr:twoCellAnchor>
  <xdr:twoCellAnchor>
    <xdr:from>
      <xdr:col>33</xdr:col>
      <xdr:colOff>191550</xdr:colOff>
      <xdr:row>9</xdr:row>
      <xdr:rowOff>13758</xdr:rowOff>
    </xdr:from>
    <xdr:to>
      <xdr:col>39</xdr:col>
      <xdr:colOff>66674</xdr:colOff>
      <xdr:row>11</xdr:row>
      <xdr:rowOff>0</xdr:rowOff>
    </xdr:to>
    <xdr:sp macro="" textlink="">
      <xdr:nvSpPr>
        <xdr:cNvPr id="19" name="TextBox 1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563900" y="1432983"/>
          <a:ext cx="3827999" cy="357717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Arial"/>
              <a:cs typeface="Arial"/>
            </a:rPr>
            <a:t>Room</a:t>
          </a:r>
          <a:r>
            <a:rPr lang="en-US" sz="1200" b="1" baseline="0">
              <a:latin typeface="Arial"/>
              <a:cs typeface="Arial"/>
            </a:rPr>
            <a:t> Nights VS A&amp;P% of GOR</a:t>
          </a:r>
          <a:endParaRPr lang="en-US" sz="1200" b="1">
            <a:latin typeface="Arial"/>
            <a:cs typeface="Arial"/>
          </a:endParaRPr>
        </a:p>
      </xdr:txBody>
    </xdr:sp>
    <xdr:clientData/>
  </xdr:twoCellAnchor>
  <xdr:twoCellAnchor>
    <xdr:from>
      <xdr:col>33</xdr:col>
      <xdr:colOff>263870</xdr:colOff>
      <xdr:row>26</xdr:row>
      <xdr:rowOff>87758</xdr:rowOff>
    </xdr:from>
    <xdr:to>
      <xdr:col>37</xdr:col>
      <xdr:colOff>24316</xdr:colOff>
      <xdr:row>27</xdr:row>
      <xdr:rowOff>271203</xdr:rowOff>
    </xdr:to>
    <xdr:sp macro="" textlink="">
      <xdr:nvSpPr>
        <xdr:cNvPr id="20" name="TextBox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636220" y="4564508"/>
          <a:ext cx="2236946" cy="345370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Arial"/>
              <a:cs typeface="Arial"/>
            </a:rPr>
            <a:t>Cost Per Room Night Trend</a:t>
          </a:r>
        </a:p>
      </xdr:txBody>
    </xdr:sp>
    <xdr:clientData/>
  </xdr:twoCellAnchor>
  <xdr:twoCellAnchor>
    <xdr:from>
      <xdr:col>1</xdr:col>
      <xdr:colOff>0</xdr:colOff>
      <xdr:row>9</xdr:row>
      <xdr:rowOff>13758</xdr:rowOff>
    </xdr:from>
    <xdr:to>
      <xdr:col>5</xdr:col>
      <xdr:colOff>262136</xdr:colOff>
      <xdr:row>11</xdr:row>
      <xdr:rowOff>0</xdr:rowOff>
    </xdr:to>
    <xdr:sp macro="" textlink="">
      <xdr:nvSpPr>
        <xdr:cNvPr id="21" name="TextBox 1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5250" y="1432983"/>
          <a:ext cx="2243336" cy="357717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Arial"/>
              <a:cs typeface="Arial"/>
            </a:rPr>
            <a:t>Performance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85725</xdr:colOff>
          <xdr:row>2</xdr:row>
          <xdr:rowOff>47625</xdr:rowOff>
        </xdr:from>
        <xdr:to>
          <xdr:col>38</xdr:col>
          <xdr:colOff>809625</xdr:colOff>
          <xdr:row>4</xdr:row>
          <xdr:rowOff>28575</xdr:rowOff>
        </xdr:to>
        <xdr:sp macro="" textlink="">
          <xdr:nvSpPr>
            <xdr:cNvPr id="64513" name="Drop Down 1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0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24</xdr:row>
          <xdr:rowOff>285750</xdr:rowOff>
        </xdr:from>
        <xdr:to>
          <xdr:col>2</xdr:col>
          <xdr:colOff>381000</xdr:colOff>
          <xdr:row>26</xdr:row>
          <xdr:rowOff>66675</xdr:rowOff>
        </xdr:to>
        <xdr:sp macro="" textlink="">
          <xdr:nvSpPr>
            <xdr:cNvPr id="64532" name="Option Button 20" hidden="1">
              <a:extLst>
                <a:ext uri="{63B3BB69-23CF-44E3-9099-C40C66FF867C}">
                  <a14:compatExt spid="_x0000_s64532"/>
                </a:ext>
                <a:ext uri="{FF2B5EF4-FFF2-40B4-BE49-F238E27FC236}">
                  <a16:creationId xmlns:a16="http://schemas.microsoft.com/office/drawing/2014/main" id="{00000000-0008-0000-0000-00001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24</xdr:row>
          <xdr:rowOff>285750</xdr:rowOff>
        </xdr:from>
        <xdr:to>
          <xdr:col>4</xdr:col>
          <xdr:colOff>38100</xdr:colOff>
          <xdr:row>26</xdr:row>
          <xdr:rowOff>66675</xdr:rowOff>
        </xdr:to>
        <xdr:sp macro="" textlink="">
          <xdr:nvSpPr>
            <xdr:cNvPr id="64533" name="Option Button 21" hidden="1">
              <a:extLst>
                <a:ext uri="{63B3BB69-23CF-44E3-9099-C40C66FF867C}">
                  <a14:compatExt spid="_x0000_s64533"/>
                </a:ext>
                <a:ext uri="{FF2B5EF4-FFF2-40B4-BE49-F238E27FC236}">
                  <a16:creationId xmlns:a16="http://schemas.microsoft.com/office/drawing/2014/main" id="{00000000-0008-0000-0000-00001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24</xdr:row>
          <xdr:rowOff>285750</xdr:rowOff>
        </xdr:from>
        <xdr:to>
          <xdr:col>5</xdr:col>
          <xdr:colOff>57150</xdr:colOff>
          <xdr:row>26</xdr:row>
          <xdr:rowOff>66675</xdr:rowOff>
        </xdr:to>
        <xdr:sp macro="" textlink="">
          <xdr:nvSpPr>
            <xdr:cNvPr id="64534" name="Option Button 22" hidden="1">
              <a:extLst>
                <a:ext uri="{63B3BB69-23CF-44E3-9099-C40C66FF867C}">
                  <a14:compatExt spid="_x0000_s64534"/>
                </a:ext>
                <a:ext uri="{FF2B5EF4-FFF2-40B4-BE49-F238E27FC236}">
                  <a16:creationId xmlns:a16="http://schemas.microsoft.com/office/drawing/2014/main" id="{00000000-0008-0000-0000-00001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24</xdr:row>
          <xdr:rowOff>285750</xdr:rowOff>
        </xdr:from>
        <xdr:to>
          <xdr:col>6</xdr:col>
          <xdr:colOff>28575</xdr:colOff>
          <xdr:row>26</xdr:row>
          <xdr:rowOff>66675</xdr:rowOff>
        </xdr:to>
        <xdr:sp macro="" textlink="">
          <xdr:nvSpPr>
            <xdr:cNvPr id="64535" name="Option Button 23" hidden="1">
              <a:extLst>
                <a:ext uri="{63B3BB69-23CF-44E3-9099-C40C66FF867C}">
                  <a14:compatExt spid="_x0000_s64535"/>
                </a:ext>
                <a:ext uri="{FF2B5EF4-FFF2-40B4-BE49-F238E27FC236}">
                  <a16:creationId xmlns:a16="http://schemas.microsoft.com/office/drawing/2014/main" id="{00000000-0008-0000-0000-00001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676275</xdr:colOff>
          <xdr:row>25</xdr:row>
          <xdr:rowOff>152400</xdr:rowOff>
        </xdr:from>
        <xdr:to>
          <xdr:col>1</xdr:col>
          <xdr:colOff>885825</xdr:colOff>
          <xdr:row>27</xdr:row>
          <xdr:rowOff>0</xdr:rowOff>
        </xdr:to>
        <xdr:sp macro="" textlink="">
          <xdr:nvSpPr>
            <xdr:cNvPr id="64536" name="Spinner 24" hidden="1">
              <a:extLst>
                <a:ext uri="{63B3BB69-23CF-44E3-9099-C40C66FF867C}">
                  <a14:compatExt spid="_x0000_s64536"/>
                </a:ext>
                <a:ext uri="{FF2B5EF4-FFF2-40B4-BE49-F238E27FC236}">
                  <a16:creationId xmlns:a16="http://schemas.microsoft.com/office/drawing/2014/main" id="{00000000-0008-0000-0000-000018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28</xdr:row>
          <xdr:rowOff>47625</xdr:rowOff>
        </xdr:from>
        <xdr:to>
          <xdr:col>26</xdr:col>
          <xdr:colOff>47625</xdr:colOff>
          <xdr:row>28</xdr:row>
          <xdr:rowOff>257175</xdr:rowOff>
        </xdr:to>
        <xdr:sp macro="" textlink="">
          <xdr:nvSpPr>
            <xdr:cNvPr id="64540" name="Drop Down 28" hidden="1">
              <a:extLst>
                <a:ext uri="{63B3BB69-23CF-44E3-9099-C40C66FF867C}">
                  <a14:compatExt spid="_x0000_s64540"/>
                </a:ext>
                <a:ext uri="{FF2B5EF4-FFF2-40B4-BE49-F238E27FC236}">
                  <a16:creationId xmlns:a16="http://schemas.microsoft.com/office/drawing/2014/main" id="{00000000-0008-0000-0000-00001C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B166"/>
  <sheetViews>
    <sheetView showGridLines="0" tabSelected="1" workbookViewId="0">
      <selection activeCell="B2" sqref="B2:AM2"/>
    </sheetView>
  </sheetViews>
  <sheetFormatPr defaultColWidth="8.85546875" defaultRowHeight="12.75" x14ac:dyDescent="0.2"/>
  <cols>
    <col min="1" max="1" width="1.28515625" customWidth="1"/>
    <col min="2" max="2" width="12.42578125" customWidth="1"/>
    <col min="3" max="3" width="6.42578125" customWidth="1"/>
    <col min="4" max="4" width="6" customWidth="1"/>
    <col min="5" max="5" width="4.85546875" customWidth="1"/>
    <col min="6" max="6" width="5.28515625" customWidth="1"/>
    <col min="7" max="7" width="5.42578125" customWidth="1"/>
    <col min="8" max="8" width="2.42578125" customWidth="1"/>
    <col min="9" max="19" width="1.28515625" customWidth="1"/>
    <col min="20" max="20" width="1.140625" customWidth="1"/>
    <col min="21" max="27" width="1.28515625" customWidth="1"/>
    <col min="28" max="28" width="5.42578125" customWidth="1"/>
    <col min="29" max="29" width="1.42578125" customWidth="1"/>
    <col min="30" max="30" width="10.28515625" bestFit="1" customWidth="1"/>
    <col min="31" max="31" width="9.28515625" bestFit="1" customWidth="1"/>
    <col min="32" max="32" width="4.85546875" customWidth="1"/>
    <col min="33" max="38" width="9.28515625" customWidth="1"/>
    <col min="39" max="39" width="12.85546875" customWidth="1"/>
    <col min="40" max="40" width="4.140625" customWidth="1"/>
    <col min="41" max="43" width="51.42578125" customWidth="1"/>
    <col min="44" max="45" width="4.140625" customWidth="1"/>
    <col min="46" max="46" width="13" customWidth="1"/>
    <col min="47" max="47" width="10.42578125" bestFit="1" customWidth="1"/>
    <col min="48" max="48" width="11" bestFit="1" customWidth="1"/>
    <col min="49" max="49" width="10" customWidth="1"/>
    <col min="50" max="51" width="9.42578125" bestFit="1" customWidth="1"/>
    <col min="52" max="52" width="14.140625" customWidth="1"/>
    <col min="53" max="53" width="9.28515625" bestFit="1" customWidth="1"/>
    <col min="54" max="54" width="6.7109375" customWidth="1"/>
    <col min="55" max="55" width="7.85546875" customWidth="1"/>
    <col min="56" max="56" width="9.42578125" customWidth="1"/>
    <col min="57" max="57" width="8.42578125" customWidth="1"/>
    <col min="58" max="61" width="10.140625" customWidth="1"/>
    <col min="62" max="63" width="7.42578125" customWidth="1"/>
    <col min="64" max="76" width="2.140625" customWidth="1"/>
  </cols>
  <sheetData>
    <row r="1" spans="2:80" ht="9" customHeight="1" x14ac:dyDescent="0.2"/>
    <row r="2" spans="2:80" ht="20.25" x14ac:dyDescent="0.3">
      <c r="B2" s="80" t="str">
        <f>CONCATENATE(parameters!C2," Dashboard",parameters!C3)</f>
        <v>Sample Travel Site Dashboard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Y2" t="s">
        <v>42</v>
      </c>
      <c r="BA2" s="1" t="s">
        <v>37</v>
      </c>
      <c r="BF2" s="23">
        <v>1</v>
      </c>
      <c r="BG2" s="23"/>
      <c r="BH2" s="23"/>
      <c r="BI2" s="23"/>
      <c r="BJ2" s="23">
        <v>2</v>
      </c>
      <c r="BK2" s="23">
        <v>3</v>
      </c>
      <c r="BL2" s="23">
        <v>4</v>
      </c>
      <c r="BM2" s="23">
        <v>5</v>
      </c>
      <c r="BN2" s="23">
        <v>6</v>
      </c>
      <c r="BO2" s="23">
        <v>7</v>
      </c>
      <c r="BP2" s="23">
        <v>8</v>
      </c>
      <c r="BQ2" s="23">
        <v>9</v>
      </c>
      <c r="BR2" s="23">
        <v>10</v>
      </c>
      <c r="BS2" s="23">
        <v>11</v>
      </c>
      <c r="BT2" s="23">
        <v>12</v>
      </c>
      <c r="BU2" s="23">
        <v>13</v>
      </c>
      <c r="BV2" s="23">
        <v>14</v>
      </c>
      <c r="BW2" s="23">
        <v>15</v>
      </c>
      <c r="BX2" s="23">
        <v>16</v>
      </c>
      <c r="BY2" s="23">
        <v>17</v>
      </c>
      <c r="BZ2" s="23">
        <v>18</v>
      </c>
      <c r="CA2" s="23">
        <v>19</v>
      </c>
      <c r="CB2" s="23">
        <v>20</v>
      </c>
    </row>
    <row r="3" spans="2:80" ht="5.25" customHeight="1" x14ac:dyDescent="0.2">
      <c r="AT3" t="s">
        <v>21</v>
      </c>
      <c r="AU3" t="s">
        <v>8</v>
      </c>
      <c r="AV3" t="s">
        <v>29</v>
      </c>
      <c r="AW3" t="s">
        <v>30</v>
      </c>
      <c r="AX3" t="s">
        <v>31</v>
      </c>
      <c r="AY3" t="s">
        <v>40</v>
      </c>
      <c r="AZ3" t="s">
        <v>41</v>
      </c>
      <c r="BA3" t="s">
        <v>30</v>
      </c>
      <c r="BB3" t="s">
        <v>21</v>
      </c>
      <c r="BC3" t="s">
        <v>20</v>
      </c>
      <c r="BD3" t="s">
        <v>40</v>
      </c>
      <c r="BE3" t="s">
        <v>41</v>
      </c>
    </row>
    <row r="4" spans="2:80" x14ac:dyDescent="0.2">
      <c r="AK4" s="81" t="s">
        <v>59</v>
      </c>
      <c r="AL4" s="82"/>
      <c r="AT4" s="21">
        <v>44652</v>
      </c>
      <c r="AU4" s="14">
        <v>25</v>
      </c>
      <c r="AV4" s="7">
        <v>50</v>
      </c>
      <c r="AW4">
        <v>31</v>
      </c>
      <c r="AX4" s="14">
        <f>AU4</f>
        <v>25</v>
      </c>
      <c r="AY4" s="14">
        <f>ROUND(AV4*parameters!$C$6,0)</f>
        <v>25</v>
      </c>
      <c r="AZ4" s="14">
        <f>ROUND(AV4*parameters!$C$7,0)</f>
        <v>40</v>
      </c>
      <c r="BA4" s="22">
        <f>ROUND((AW4/AV4)*20,0)</f>
        <v>12</v>
      </c>
      <c r="BB4" s="22">
        <f>ROUND((AU4/AV4)*20,0)</f>
        <v>10</v>
      </c>
      <c r="BC4" s="22">
        <v>20</v>
      </c>
      <c r="BD4">
        <f>ROUND((AY4/AV4)*20,0)</f>
        <v>10</v>
      </c>
      <c r="BE4">
        <f>ROUND((AZ4/AV4)*20,0)</f>
        <v>16</v>
      </c>
      <c r="BF4" s="1" t="str">
        <f>IF(BF$2=$BA4,IF(BF$2&lt;=$BB4,parameters!$H$7,parameters!$I$7),IF(BF$2&lt;=$BB4,parameters!$G$7,""))</f>
        <v>─</v>
      </c>
      <c r="BG4" s="1"/>
      <c r="BH4" s="1"/>
      <c r="BI4" s="1"/>
      <c r="BJ4" s="1" t="str">
        <f>IF(BJ$2=$BA4,IF(BJ$2&lt;=$BB4,parameters!$H$7,parameters!$I$7),IF(BJ$2&lt;=$BB4,parameters!$G$7,""))</f>
        <v>─</v>
      </c>
      <c r="BK4" s="1" t="str">
        <f>IF(BK$2=$BA4,IF(BK$2&lt;=$BB4,parameters!$H$7,parameters!$I$7),IF(BK$2&lt;=$BB4,parameters!$G$7,""))</f>
        <v>─</v>
      </c>
      <c r="BL4" s="1" t="str">
        <f>IF(BL$2=$BA4,IF(BL$2&lt;=$BB4,parameters!$H$7,parameters!$I$7),IF(BL$2&lt;=$BB4,parameters!$G$7,""))</f>
        <v>─</v>
      </c>
      <c r="BM4" s="1" t="str">
        <f>IF(BM$2=$BA4,IF(BM$2&lt;=$BB4,parameters!$H$7,parameters!$I$7),IF(BM$2&lt;=$BB4,parameters!$G$7,""))</f>
        <v>─</v>
      </c>
      <c r="BN4" s="1" t="str">
        <f>IF(BN$2=$BA4,IF(BN$2&lt;=$BB4,parameters!$H$7,parameters!$I$7),IF(BN$2&lt;=$BB4,parameters!$G$7,""))</f>
        <v>─</v>
      </c>
      <c r="BO4" s="1" t="str">
        <f>IF(BO$2=$BA4,IF(BO$2&lt;=$BB4,parameters!$H$7,parameters!$I$7),IF(BO$2&lt;=$BB4,parameters!$G$7,""))</f>
        <v>─</v>
      </c>
      <c r="BP4" s="1" t="str">
        <f>IF(BP$2=$BA4,IF(BP$2&lt;=$BB4,parameters!$H$7,parameters!$I$7),IF(BP$2&lt;=$BB4,parameters!$G$7,""))</f>
        <v>─</v>
      </c>
      <c r="BQ4" s="1" t="str">
        <f>IF(BQ$2=$BA4,IF(BQ$2&lt;=$BB4,parameters!$H$7,parameters!$I$7),IF(BQ$2&lt;=$BB4,parameters!$G$7,""))</f>
        <v>─</v>
      </c>
      <c r="BR4" s="1" t="str">
        <f>IF(BR$2=$BA4,IF(BR$2&lt;=$BB4,parameters!$H$7,parameters!$I$7),IF(BR$2&lt;=$BB4,parameters!$G$7,""))</f>
        <v>─</v>
      </c>
      <c r="BS4" s="1" t="str">
        <f>IF(BS$2=$BA4,IF(BS$2&lt;=$BB4,parameters!$H$7,parameters!$I$7),IF(BS$2&lt;=$BB4,parameters!$G$7,""))</f>
        <v/>
      </c>
      <c r="BT4" s="1" t="str">
        <f>IF(BT$2=$BA4,IF(BT$2&lt;=$BB4,parameters!$H$7,parameters!$I$7),IF(BT$2&lt;=$BB4,parameters!$G$7,""))</f>
        <v>▐</v>
      </c>
      <c r="BU4" s="1" t="str">
        <f>IF(BU$2=$BA4,IF(BU$2&lt;=$BB4,parameters!$H$7,parameters!$I$7),IF(BU$2&lt;=$BB4,parameters!$G$7,""))</f>
        <v/>
      </c>
      <c r="BV4" s="1" t="str">
        <f>IF(BV$2=$BA4,IF(BV$2&lt;=$BB4,parameters!$H$7,parameters!$I$7),IF(BV$2&lt;=$BB4,parameters!$G$7,""))</f>
        <v/>
      </c>
      <c r="BW4" s="1" t="str">
        <f>IF(BW$2=$BA4,IF(BW$2&lt;=$BB4,parameters!$H$7,parameters!$I$7),IF(BW$2&lt;=$BB4,parameters!$G$7,""))</f>
        <v/>
      </c>
      <c r="BX4" s="1" t="str">
        <f>IF(BX$2=$BA4,IF(BX$2&lt;=$BB4,parameters!$H$7,parameters!$I$7),IF(BX$2&lt;=$BB4,parameters!$G$7,""))</f>
        <v/>
      </c>
      <c r="BY4" s="1" t="str">
        <f>IF(BY$2=$BA4,IF(BY$2&lt;=$BB4,parameters!$H$7,parameters!$I$7),IF(BY$2&lt;=$BB4,parameters!$G$7,""))</f>
        <v/>
      </c>
      <c r="BZ4" s="1" t="str">
        <f>IF(BZ$2=$BA4,IF(BZ$2&lt;=$BB4,parameters!$H$7,parameters!$I$7),IF(BZ$2&lt;=$BB4,parameters!$G$7,""))</f>
        <v/>
      </c>
      <c r="CA4" s="1" t="str">
        <f>IF(CA$2=$BA4,IF(CA$2&lt;=$BB4,parameters!$H$7,parameters!$I$7),IF(CA$2&lt;=$BB4,parameters!$G$7,""))</f>
        <v/>
      </c>
      <c r="CB4" s="1" t="str">
        <f>IF(CB$2=$BA4,IF(CB$2&lt;=$BB4,parameters!$H$7,parameters!$I$7),IF(CB$2&lt;=$BB4,parameters!$G$7,""))</f>
        <v/>
      </c>
    </row>
    <row r="5" spans="2:80" ht="8.25" customHeight="1" thickBot="1" x14ac:dyDescent="0.25">
      <c r="AD5" s="16"/>
      <c r="AE5" s="16"/>
      <c r="AF5" s="16"/>
      <c r="AG5" s="16"/>
      <c r="AH5" s="16"/>
      <c r="AI5" s="16"/>
      <c r="AJ5" s="16"/>
      <c r="AK5" s="16"/>
      <c r="AL5" s="16"/>
      <c r="AM5" s="16"/>
      <c r="AT5" s="21">
        <v>44682</v>
      </c>
      <c r="AU5" s="14">
        <v>37</v>
      </c>
      <c r="AV5" s="7">
        <v>50</v>
      </c>
      <c r="AW5">
        <v>29</v>
      </c>
      <c r="AX5" s="14">
        <f>IF(AU5=0,0,AX4+AU5)</f>
        <v>62</v>
      </c>
      <c r="AY5" s="14">
        <f>ROUND(AV5*parameters!$C$6,0)</f>
        <v>25</v>
      </c>
      <c r="AZ5" s="14">
        <f>ROUND(AV5*parameters!$C$7,0)</f>
        <v>40</v>
      </c>
      <c r="BA5" s="22">
        <f t="shared" ref="BA5:BA15" si="0">ROUND((AW5/AV5)*20,0)</f>
        <v>12</v>
      </c>
      <c r="BB5" s="22">
        <f>ROUND((AU5/AV5)*20,0)</f>
        <v>15</v>
      </c>
      <c r="BC5" s="22">
        <v>20</v>
      </c>
      <c r="BD5">
        <f t="shared" ref="BD5:BD15" si="1">ROUND((AY5/AV5)*20,0)</f>
        <v>10</v>
      </c>
      <c r="BE5">
        <f t="shared" ref="BE5:BE15" si="2">ROUND((AZ5/AV5)*20,0)</f>
        <v>16</v>
      </c>
      <c r="BF5" s="1" t="str">
        <f>IF(BF$2=$BA5,IF(BF$2&lt;=$BB5,parameters!$H$7,parameters!$I$7),IF(BF$2&lt;=$BB5,parameters!$G$7,""))</f>
        <v>─</v>
      </c>
      <c r="BG5" s="1"/>
      <c r="BH5" s="1"/>
      <c r="BI5" s="1"/>
      <c r="BJ5" s="1" t="str">
        <f>IF(BJ$2=$BA5,IF(BJ$2&lt;=$BB5,parameters!$H$7,parameters!$I$7),IF(BJ$2&lt;=$BB5,parameters!$G$7,""))</f>
        <v>─</v>
      </c>
      <c r="BK5" s="1" t="str">
        <f>IF(BK$2=$BA5,IF(BK$2&lt;=$BB5,parameters!$H$7,parameters!$I$7),IF(BK$2&lt;=$BB5,parameters!$G$7,""))</f>
        <v>─</v>
      </c>
      <c r="BL5" s="1" t="str">
        <f>IF(BL$2=$BA5,IF(BL$2&lt;=$BB5,parameters!$H$7,parameters!$I$7),IF(BL$2&lt;=$BB5,parameters!$G$7,""))</f>
        <v>─</v>
      </c>
      <c r="BM5" s="1" t="str">
        <f>IF(BM$2=$BA5,IF(BM$2&lt;=$BB5,parameters!$H$7,parameters!$I$7),IF(BM$2&lt;=$BB5,parameters!$G$7,""))</f>
        <v>─</v>
      </c>
      <c r="BN5" s="1" t="str">
        <f>IF(BN$2=$BA5,IF(BN$2&lt;=$BB5,parameters!$H$7,parameters!$I$7),IF(BN$2&lt;=$BB5,parameters!$G$7,""))</f>
        <v>─</v>
      </c>
      <c r="BO5" s="1" t="str">
        <f>IF(BO$2=$BA5,IF(BO$2&lt;=$BB5,parameters!$H$7,parameters!$I$7),IF(BO$2&lt;=$BB5,parameters!$G$7,""))</f>
        <v>─</v>
      </c>
      <c r="BP5" s="1" t="str">
        <f>IF(BP$2=$BA5,IF(BP$2&lt;=$BB5,parameters!$H$7,parameters!$I$7),IF(BP$2&lt;=$BB5,parameters!$G$7,""))</f>
        <v>─</v>
      </c>
      <c r="BQ5" s="1" t="str">
        <f>IF(BQ$2=$BA5,IF(BQ$2&lt;=$BB5,parameters!$H$7,parameters!$I$7),IF(BQ$2&lt;=$BB5,parameters!$G$7,""))</f>
        <v>─</v>
      </c>
      <c r="BR5" s="1" t="str">
        <f>IF(BR$2=$BA5,IF(BR$2&lt;=$BB5,parameters!$H$7,parameters!$I$7),IF(BR$2&lt;=$BB5,parameters!$G$7,""))</f>
        <v>─</v>
      </c>
      <c r="BS5" s="1" t="str">
        <f>IF(BS$2=$BA5,IF(BS$2&lt;=$BB5,parameters!$H$7,parameters!$I$7),IF(BS$2&lt;=$BB5,parameters!$G$7,""))</f>
        <v>─</v>
      </c>
      <c r="BT5" s="1" t="str">
        <f>IF(BT$2=$BA5,IF(BT$2&lt;=$BB5,parameters!$H$7,parameters!$I$7),IF(BT$2&lt;=$BB5,parameters!$G$7,""))</f>
        <v>┼</v>
      </c>
      <c r="BU5" s="1" t="str">
        <f>IF(BU$2=$BA5,IF(BU$2&lt;=$BB5,parameters!$H$7,parameters!$I$7),IF(BU$2&lt;=$BB5,parameters!$G$7,""))</f>
        <v>─</v>
      </c>
      <c r="BV5" s="1" t="str">
        <f>IF(BV$2=$BA5,IF(BV$2&lt;=$BB5,parameters!$H$7,parameters!$I$7),IF(BV$2&lt;=$BB5,parameters!$G$7,""))</f>
        <v>─</v>
      </c>
      <c r="BW5" s="1" t="str">
        <f>IF(BW$2=$BA5,IF(BW$2&lt;=$BB5,parameters!$H$7,parameters!$I$7),IF(BW$2&lt;=$BB5,parameters!$G$7,""))</f>
        <v>─</v>
      </c>
      <c r="BX5" s="1" t="str">
        <f>IF(BX$2=$BA5,IF(BX$2&lt;=$BB5,parameters!$H$7,parameters!$I$7),IF(BX$2&lt;=$BB5,parameters!$G$7,""))</f>
        <v/>
      </c>
      <c r="BY5" s="1" t="str">
        <f>IF(BY$2=$BA5,IF(BY$2&lt;=$BB5,parameters!$H$7,parameters!$I$7),IF(BY$2&lt;=$BB5,parameters!$G$7,""))</f>
        <v/>
      </c>
      <c r="BZ5" s="1" t="str">
        <f>IF(BZ$2=$BA5,IF(BZ$2&lt;=$BB5,parameters!$H$7,parameters!$I$7),IF(BZ$2&lt;=$BB5,parameters!$G$7,""))</f>
        <v/>
      </c>
      <c r="CA5" s="1" t="str">
        <f>IF(CA$2=$BA5,IF(CA$2&lt;=$BB5,parameters!$H$7,parameters!$I$7),IF(CA$2&lt;=$BB5,parameters!$G$7,""))</f>
        <v/>
      </c>
      <c r="CB5" s="1" t="str">
        <f>IF(CB$2=$BA5,IF(CB$2&lt;=$BB5,parameters!$H$7,parameters!$I$7),IF(CB$2&lt;=$BB5,parameters!$G$7,""))</f>
        <v/>
      </c>
    </row>
    <row r="6" spans="2:80" s="67" customFormat="1" ht="24" customHeight="1" x14ac:dyDescent="0.2">
      <c r="B6" s="66" t="s">
        <v>60</v>
      </c>
      <c r="C6" s="84" t="s">
        <v>61</v>
      </c>
      <c r="D6" s="86"/>
      <c r="F6" s="84" t="s">
        <v>27</v>
      </c>
      <c r="G6" s="85"/>
      <c r="H6" s="85"/>
      <c r="I6" s="85"/>
      <c r="J6" s="86"/>
      <c r="L6" s="84" t="s">
        <v>28</v>
      </c>
      <c r="M6" s="85"/>
      <c r="N6" s="85"/>
      <c r="O6" s="85"/>
      <c r="P6" s="85"/>
      <c r="Q6" s="85"/>
      <c r="R6" s="85"/>
      <c r="S6" s="85"/>
      <c r="T6" s="85"/>
      <c r="U6" s="85"/>
      <c r="V6" s="86"/>
      <c r="X6" s="84" t="s">
        <v>62</v>
      </c>
      <c r="Y6" s="85"/>
      <c r="Z6" s="85"/>
      <c r="AA6" s="85"/>
      <c r="AB6" s="86"/>
      <c r="AC6" s="68"/>
      <c r="AD6" s="93" t="str">
        <f ca="1">CONCATENATE("We need ",ROUND((D12-C12)/(30-DAY(TODAY())),0)," RN per day to hit Target")</f>
        <v>We need 1 RN per day to hit Target</v>
      </c>
      <c r="AE6" s="94"/>
      <c r="AF6" s="94"/>
      <c r="AG6" s="94"/>
      <c r="AH6" s="94"/>
      <c r="AI6" s="94"/>
      <c r="AJ6" s="94"/>
      <c r="AK6" s="94"/>
      <c r="AL6" s="94"/>
      <c r="AM6" s="95"/>
      <c r="AT6" s="21">
        <v>44713</v>
      </c>
      <c r="AU6" s="69">
        <v>68</v>
      </c>
      <c r="AV6" s="70">
        <v>48</v>
      </c>
      <c r="AW6" s="67">
        <v>2</v>
      </c>
      <c r="AX6" s="69">
        <f>IF(AU6=0,0,AX5+AU6)</f>
        <v>130</v>
      </c>
      <c r="AY6" s="69">
        <f>ROUND(AV6*parameters!$C$6,0)</f>
        <v>24</v>
      </c>
      <c r="AZ6" s="69">
        <f>ROUND(AV6*parameters!$C$7,0)</f>
        <v>38</v>
      </c>
      <c r="BA6" s="71">
        <f t="shared" si="0"/>
        <v>1</v>
      </c>
      <c r="BB6" s="71">
        <f>ROUND((AU6/AV6)*20,0)</f>
        <v>28</v>
      </c>
      <c r="BC6" s="71">
        <v>20</v>
      </c>
      <c r="BD6" s="67">
        <f t="shared" si="1"/>
        <v>10</v>
      </c>
      <c r="BE6" s="67">
        <f t="shared" si="2"/>
        <v>16</v>
      </c>
      <c r="BF6" s="72" t="str">
        <f>IF(BF$2=$BA6,IF(BF$2&lt;=$BB6,parameters!$H$7,parameters!$I$7),IF(BF$2&lt;=$BB6,parameters!$G$7,""))</f>
        <v>┼</v>
      </c>
      <c r="BG6" s="72"/>
      <c r="BH6" s="72"/>
      <c r="BI6" s="72"/>
      <c r="BJ6" s="72" t="str">
        <f>IF(BJ$2=$BA6,IF(BJ$2&lt;=$BB6,parameters!$H$7,parameters!$I$7),IF(BJ$2&lt;=$BB6,parameters!$G$7,""))</f>
        <v>─</v>
      </c>
      <c r="BK6" s="72" t="str">
        <f>IF(BK$2=$BA6,IF(BK$2&lt;=$BB6,parameters!$H$7,parameters!$I$7),IF(BK$2&lt;=$BB6,parameters!$G$7,""))</f>
        <v>─</v>
      </c>
      <c r="BL6" s="72" t="str">
        <f>IF(BL$2=$BA6,IF(BL$2&lt;=$BB6,parameters!$H$7,parameters!$I$7),IF(BL$2&lt;=$BB6,parameters!$G$7,""))</f>
        <v>─</v>
      </c>
      <c r="BM6" s="72" t="str">
        <f>IF(BM$2=$BA6,IF(BM$2&lt;=$BB6,parameters!$H$7,parameters!$I$7),IF(BM$2&lt;=$BB6,parameters!$G$7,""))</f>
        <v>─</v>
      </c>
      <c r="BN6" s="72" t="str">
        <f>IF(BN$2=$BA6,IF(BN$2&lt;=$BB6,parameters!$H$7,parameters!$I$7),IF(BN$2&lt;=$BB6,parameters!$G$7,""))</f>
        <v>─</v>
      </c>
      <c r="BO6" s="72" t="str">
        <f>IF(BO$2=$BA6,IF(BO$2&lt;=$BB6,parameters!$H$7,parameters!$I$7),IF(BO$2&lt;=$BB6,parameters!$G$7,""))</f>
        <v>─</v>
      </c>
      <c r="BP6" s="72" t="str">
        <f>IF(BP$2=$BA6,IF(BP$2&lt;=$BB6,parameters!$H$7,parameters!$I$7),IF(BP$2&lt;=$BB6,parameters!$G$7,""))</f>
        <v>─</v>
      </c>
      <c r="BQ6" s="72" t="str">
        <f>IF(BQ$2=$BA6,IF(BQ$2&lt;=$BB6,parameters!$H$7,parameters!$I$7),IF(BQ$2&lt;=$BB6,parameters!$G$7,""))</f>
        <v>─</v>
      </c>
      <c r="BR6" s="72" t="str">
        <f>IF(BR$2=$BA6,IF(BR$2&lt;=$BB6,parameters!$H$7,parameters!$I$7),IF(BR$2&lt;=$BB6,parameters!$G$7,""))</f>
        <v>─</v>
      </c>
      <c r="BS6" s="72" t="str">
        <f>IF(BS$2=$BA6,IF(BS$2&lt;=$BB6,parameters!$H$7,parameters!$I$7),IF(BS$2&lt;=$BB6,parameters!$G$7,""))</f>
        <v>─</v>
      </c>
      <c r="BT6" s="72" t="str">
        <f>IF(BT$2=$BA6,IF(BT$2&lt;=$BB6,parameters!$H$7,parameters!$I$7),IF(BT$2&lt;=$BB6,parameters!$G$7,""))</f>
        <v>─</v>
      </c>
      <c r="BU6" s="72" t="str">
        <f>IF(BU$2=$BA6,IF(BU$2&lt;=$BB6,parameters!$H$7,parameters!$I$7),IF(BU$2&lt;=$BB6,parameters!$G$7,""))</f>
        <v>─</v>
      </c>
      <c r="BV6" s="72" t="str">
        <f>IF(BV$2=$BA6,IF(BV$2&lt;=$BB6,parameters!$H$7,parameters!$I$7),IF(BV$2&lt;=$BB6,parameters!$G$7,""))</f>
        <v>─</v>
      </c>
      <c r="BW6" s="72" t="str">
        <f>IF(BW$2=$BA6,IF(BW$2&lt;=$BB6,parameters!$H$7,parameters!$I$7),IF(BW$2&lt;=$BB6,parameters!$G$7,""))</f>
        <v>─</v>
      </c>
      <c r="BX6" s="72" t="str">
        <f>IF(BX$2=$BA6,IF(BX$2&lt;=$BB6,parameters!$H$7,parameters!$I$7),IF(BX$2&lt;=$BB6,parameters!$G$7,""))</f>
        <v>─</v>
      </c>
      <c r="BY6" s="72" t="str">
        <f>IF(BY$2=$BA6,IF(BY$2&lt;=$BB6,parameters!$H$7,parameters!$I$7),IF(BY$2&lt;=$BB6,parameters!$G$7,""))</f>
        <v>─</v>
      </c>
      <c r="BZ6" s="72" t="str">
        <f>IF(BZ$2=$BA6,IF(BZ$2&lt;=$BB6,parameters!$H$7,parameters!$I$7),IF(BZ$2&lt;=$BB6,parameters!$G$7,""))</f>
        <v>─</v>
      </c>
      <c r="CA6" s="72" t="str">
        <f>IF(CA$2=$BA6,IF(CA$2&lt;=$BB6,parameters!$H$7,parameters!$I$7),IF(CA$2&lt;=$BB6,parameters!$G$7,""))</f>
        <v>─</v>
      </c>
      <c r="CB6" s="72" t="str">
        <f>IF(CB$2=$BA6,IF(CB$2&lt;=$BB6,parameters!$H$7,parameters!$I$7),IF(CB$2&lt;=$BB6,parameters!$G$7,""))</f>
        <v>─</v>
      </c>
    </row>
    <row r="7" spans="2:80" s="67" customFormat="1" ht="16.5" customHeight="1" x14ac:dyDescent="0.2">
      <c r="C7" s="101">
        <f>C12</f>
        <v>37</v>
      </c>
      <c r="D7" s="102"/>
      <c r="E7" s="75"/>
      <c r="F7" s="105">
        <f>C12*parameters!C4</f>
        <v>9620</v>
      </c>
      <c r="G7" s="106"/>
      <c r="H7" s="106"/>
      <c r="I7" s="106"/>
      <c r="J7" s="107"/>
      <c r="K7" s="75"/>
      <c r="L7" s="87">
        <f>INDEX(AP,AT17+1,6)</f>
        <v>5248</v>
      </c>
      <c r="M7" s="88"/>
      <c r="N7" s="88"/>
      <c r="O7" s="88"/>
      <c r="P7" s="88"/>
      <c r="Q7" s="88"/>
      <c r="R7" s="88"/>
      <c r="S7" s="88"/>
      <c r="T7" s="88"/>
      <c r="U7" s="88"/>
      <c r="V7" s="89"/>
      <c r="W7" s="75"/>
      <c r="X7" s="114">
        <f>L7/F7</f>
        <v>0.54553014553014556</v>
      </c>
      <c r="Y7" s="115"/>
      <c r="Z7" s="115"/>
      <c r="AA7" s="115"/>
      <c r="AB7" s="116"/>
      <c r="AC7" s="68"/>
      <c r="AD7" s="112" t="str">
        <f>"Sales " &amp; TEXT(AU63,"0%;0%;0%;") &amp; " "&amp;IF(AU63&gt;0,"Up from previous month", "Down from previous month")</f>
        <v>Sales 48% Up from previous month</v>
      </c>
      <c r="AE7" s="97"/>
      <c r="AF7" s="97"/>
      <c r="AG7" s="97"/>
      <c r="AH7" s="97"/>
      <c r="AI7" s="97"/>
      <c r="AJ7" s="97" t="str">
        <f>IF(AU63&gt;0,"Let's Celebrate !!!","Work Harder!")</f>
        <v>Let's Celebrate !!!</v>
      </c>
      <c r="AK7" s="97"/>
      <c r="AL7" s="97"/>
      <c r="AM7" s="98"/>
      <c r="AT7" s="21">
        <v>44743</v>
      </c>
      <c r="AU7" s="69">
        <v>32</v>
      </c>
      <c r="AV7" s="70">
        <v>99</v>
      </c>
      <c r="AW7" s="67">
        <v>4</v>
      </c>
      <c r="AX7" s="69">
        <f>IF(AU7=0,0,AX6+AU7)</f>
        <v>162</v>
      </c>
      <c r="AY7" s="69">
        <f>ROUND(AV7*parameters!$C$6,0)</f>
        <v>50</v>
      </c>
      <c r="AZ7" s="69">
        <f>ROUND(AV7*parameters!$C$7,0)</f>
        <v>79</v>
      </c>
      <c r="BA7" s="71">
        <f t="shared" si="0"/>
        <v>1</v>
      </c>
      <c r="BB7" s="71">
        <f>ROUND((AU7/AV7)*20,0)</f>
        <v>6</v>
      </c>
      <c r="BC7" s="71">
        <v>20</v>
      </c>
      <c r="BD7" s="67">
        <f t="shared" si="1"/>
        <v>10</v>
      </c>
      <c r="BE7" s="67">
        <f t="shared" si="2"/>
        <v>16</v>
      </c>
      <c r="BF7" s="72" t="str">
        <f>IF(BF$2=$BA7,IF(BF$2&lt;=$BB7,parameters!$H$7,parameters!$I$7),IF(BF$2&lt;=$BB7,parameters!$G$7,""))</f>
        <v>┼</v>
      </c>
      <c r="BG7" s="72"/>
      <c r="BH7" s="72"/>
      <c r="BI7" s="72"/>
      <c r="BJ7" s="72" t="str">
        <f>IF(BJ$2=$BA7,IF(BJ$2&lt;=$BB7,parameters!$H$7,parameters!$I$7),IF(BJ$2&lt;=$BB7,parameters!$G$7,""))</f>
        <v>─</v>
      </c>
      <c r="BK7" s="72" t="str">
        <f>IF(BK$2=$BA7,IF(BK$2&lt;=$BB7,parameters!$H$7,parameters!$I$7),IF(BK$2&lt;=$BB7,parameters!$G$7,""))</f>
        <v>─</v>
      </c>
      <c r="BL7" s="72" t="str">
        <f>IF(BL$2=$BA7,IF(BL$2&lt;=$BB7,parameters!$H$7,parameters!$I$7),IF(BL$2&lt;=$BB7,parameters!$G$7,""))</f>
        <v>─</v>
      </c>
      <c r="BM7" s="72" t="str">
        <f>IF(BM$2=$BA7,IF(BM$2&lt;=$BB7,parameters!$H$7,parameters!$I$7),IF(BM$2&lt;=$BB7,parameters!$G$7,""))</f>
        <v>─</v>
      </c>
      <c r="BN7" s="72" t="str">
        <f>IF(BN$2=$BA7,IF(BN$2&lt;=$BB7,parameters!$H$7,parameters!$I$7),IF(BN$2&lt;=$BB7,parameters!$G$7,""))</f>
        <v>─</v>
      </c>
      <c r="BO7" s="72" t="str">
        <f>IF(BO$2=$BA7,IF(BO$2&lt;=$BB7,parameters!$H$7,parameters!$I$7),IF(BO$2&lt;=$BB7,parameters!$G$7,""))</f>
        <v/>
      </c>
      <c r="BP7" s="72" t="str">
        <f>IF(BP$2=$BA7,IF(BP$2&lt;=$BB7,parameters!$H$7,parameters!$I$7),IF(BP$2&lt;=$BB7,parameters!$G$7,""))</f>
        <v/>
      </c>
      <c r="BQ7" s="72" t="str">
        <f>IF(BQ$2=$BA7,IF(BQ$2&lt;=$BB7,parameters!$H$7,parameters!$I$7),IF(BQ$2&lt;=$BB7,parameters!$G$7,""))</f>
        <v/>
      </c>
      <c r="BR7" s="72" t="str">
        <f>IF(BR$2=$BA7,IF(BR$2&lt;=$BB7,parameters!$H$7,parameters!$I$7),IF(BR$2&lt;=$BB7,parameters!$G$7,""))</f>
        <v/>
      </c>
      <c r="BS7" s="72" t="str">
        <f>IF(BS$2=$BA7,IF(BS$2&lt;=$BB7,parameters!$H$7,parameters!$I$7),IF(BS$2&lt;=$BB7,parameters!$G$7,""))</f>
        <v/>
      </c>
      <c r="BT7" s="72" t="str">
        <f>IF(BT$2=$BA7,IF(BT$2&lt;=$BB7,parameters!$H$7,parameters!$I$7),IF(BT$2&lt;=$BB7,parameters!$G$7,""))</f>
        <v/>
      </c>
      <c r="BU7" s="72" t="str">
        <f>IF(BU$2=$BA7,IF(BU$2&lt;=$BB7,parameters!$H$7,parameters!$I$7),IF(BU$2&lt;=$BB7,parameters!$G$7,""))</f>
        <v/>
      </c>
      <c r="BV7" s="72" t="str">
        <f>IF(BV$2=$BA7,IF(BV$2&lt;=$BB7,parameters!$H$7,parameters!$I$7),IF(BV$2&lt;=$BB7,parameters!$G$7,""))</f>
        <v/>
      </c>
      <c r="BW7" s="72" t="str">
        <f>IF(BW$2=$BA7,IF(BW$2&lt;=$BB7,parameters!$H$7,parameters!$I$7),IF(BW$2&lt;=$BB7,parameters!$G$7,""))</f>
        <v/>
      </c>
      <c r="BX7" s="72" t="str">
        <f>IF(BX$2=$BA7,IF(BX$2&lt;=$BB7,parameters!$H$7,parameters!$I$7),IF(BX$2&lt;=$BB7,parameters!$G$7,""))</f>
        <v/>
      </c>
      <c r="BY7" s="72" t="str">
        <f>IF(BY$2=$BA7,IF(BY$2&lt;=$BB7,parameters!$H$7,parameters!$I$7),IF(BY$2&lt;=$BB7,parameters!$G$7,""))</f>
        <v/>
      </c>
      <c r="BZ7" s="72" t="str">
        <f>IF(BZ$2=$BA7,IF(BZ$2&lt;=$BB7,parameters!$H$7,parameters!$I$7),IF(BZ$2&lt;=$BB7,parameters!$G$7,""))</f>
        <v/>
      </c>
      <c r="CA7" s="72" t="str">
        <f>IF(CA$2=$BA7,IF(CA$2&lt;=$BB7,parameters!$H$7,parameters!$I$7),IF(CA$2&lt;=$BB7,parameters!$G$7,""))</f>
        <v/>
      </c>
      <c r="CB7" s="72" t="str">
        <f>IF(CB$2=$BA7,IF(CB$2&lt;=$BB7,parameters!$H$7,parameters!$I$7),IF(CB$2&lt;=$BB7,parameters!$G$7,""))</f>
        <v/>
      </c>
    </row>
    <row r="8" spans="2:80" s="67" customFormat="1" ht="10.5" customHeight="1" thickBot="1" x14ac:dyDescent="0.25">
      <c r="C8" s="103"/>
      <c r="D8" s="104"/>
      <c r="E8" s="75"/>
      <c r="F8" s="108"/>
      <c r="G8" s="109"/>
      <c r="H8" s="109"/>
      <c r="I8" s="109"/>
      <c r="J8" s="110"/>
      <c r="K8" s="75"/>
      <c r="L8" s="90"/>
      <c r="M8" s="91"/>
      <c r="N8" s="91"/>
      <c r="O8" s="91"/>
      <c r="P8" s="91"/>
      <c r="Q8" s="91"/>
      <c r="R8" s="91"/>
      <c r="S8" s="91"/>
      <c r="T8" s="91"/>
      <c r="U8" s="91"/>
      <c r="V8" s="92"/>
      <c r="W8" s="75"/>
      <c r="X8" s="117"/>
      <c r="Y8" s="118"/>
      <c r="Z8" s="118"/>
      <c r="AA8" s="118"/>
      <c r="AB8" s="119"/>
      <c r="AC8" s="68"/>
      <c r="AD8" s="113"/>
      <c r="AE8" s="99"/>
      <c r="AF8" s="99"/>
      <c r="AG8" s="99"/>
      <c r="AH8" s="99"/>
      <c r="AI8" s="99"/>
      <c r="AJ8" s="99"/>
      <c r="AK8" s="99"/>
      <c r="AL8" s="99"/>
      <c r="AM8" s="100"/>
      <c r="AT8" s="21">
        <v>44774</v>
      </c>
      <c r="AU8" s="67">
        <v>60</v>
      </c>
      <c r="AV8" s="70">
        <v>139</v>
      </c>
      <c r="AW8" s="67">
        <v>20</v>
      </c>
      <c r="AX8" s="69">
        <f>IF(AU8=0,0,AX7+AU8)</f>
        <v>222</v>
      </c>
      <c r="AY8" s="69">
        <f>ROUND(AV8*parameters!$C$6,0)</f>
        <v>70</v>
      </c>
      <c r="AZ8" s="69">
        <f>ROUND(AV8*parameters!$C$7,0)</f>
        <v>111</v>
      </c>
      <c r="BA8" s="71">
        <f t="shared" si="0"/>
        <v>3</v>
      </c>
      <c r="BB8" s="71">
        <f t="shared" ref="BB8:BB15" si="3">ROUND((AV8/AX8)*20,0)</f>
        <v>13</v>
      </c>
      <c r="BC8" s="71">
        <v>20</v>
      </c>
      <c r="BD8" s="67">
        <f t="shared" si="1"/>
        <v>10</v>
      </c>
      <c r="BE8" s="67">
        <f t="shared" si="2"/>
        <v>16</v>
      </c>
      <c r="BF8" s="72" t="str">
        <f>IF(BF$2=$BA8,IF(BF$2&lt;=$BB8,parameters!$H$7,parameters!$I$7),IF(BF$2&lt;=$BB8,parameters!$G$7,""))</f>
        <v>─</v>
      </c>
      <c r="BG8" s="72"/>
      <c r="BH8" s="72"/>
      <c r="BI8" s="72"/>
      <c r="BJ8" s="72" t="str">
        <f>IF(BJ$2=$BA8,IF(BJ$2&lt;=$BB8,parameters!$H$7,parameters!$I$7),IF(BJ$2&lt;=$BB8,parameters!$G$7,""))</f>
        <v>─</v>
      </c>
      <c r="BK8" s="72" t="str">
        <f>IF(BK$2=$BA8,IF(BK$2&lt;=$BB8,parameters!$H$7,parameters!$I$7),IF(BK$2&lt;=$BB8,parameters!$G$7,""))</f>
        <v>┼</v>
      </c>
      <c r="BL8" s="72" t="str">
        <f>IF(BL$2=$BA8,IF(BL$2&lt;=$BB8,parameters!$H$7,parameters!$I$7),IF(BL$2&lt;=$BB8,parameters!$G$7,""))</f>
        <v>─</v>
      </c>
      <c r="BM8" s="72" t="str">
        <f>IF(BM$2=$BA8,IF(BM$2&lt;=$BB8,parameters!$H$7,parameters!$I$7),IF(BM$2&lt;=$BB8,parameters!$G$7,""))</f>
        <v>─</v>
      </c>
      <c r="BN8" s="72" t="str">
        <f>IF(BN$2=$BA8,IF(BN$2&lt;=$BB8,parameters!$H$7,parameters!$I$7),IF(BN$2&lt;=$BB8,parameters!$G$7,""))</f>
        <v>─</v>
      </c>
      <c r="BO8" s="72" t="str">
        <f>IF(BO$2=$BA8,IF(BO$2&lt;=$BB8,parameters!$H$7,parameters!$I$7),IF(BO$2&lt;=$BB8,parameters!$G$7,""))</f>
        <v>─</v>
      </c>
      <c r="BP8" s="72" t="str">
        <f>IF(BP$2=$BA8,IF(BP$2&lt;=$BB8,parameters!$H$7,parameters!$I$7),IF(BP$2&lt;=$BB8,parameters!$G$7,""))</f>
        <v>─</v>
      </c>
      <c r="BQ8" s="72" t="str">
        <f>IF(BQ$2=$BA8,IF(BQ$2&lt;=$BB8,parameters!$H$7,parameters!$I$7),IF(BQ$2&lt;=$BB8,parameters!$G$7,""))</f>
        <v>─</v>
      </c>
      <c r="BR8" s="72" t="str">
        <f>IF(BR$2=$BA8,IF(BR$2&lt;=$BB8,parameters!$H$7,parameters!$I$7),IF(BR$2&lt;=$BB8,parameters!$G$7,""))</f>
        <v>─</v>
      </c>
      <c r="BS8" s="72" t="str">
        <f>IF(BS$2=$BA8,IF(BS$2&lt;=$BB8,parameters!$H$7,parameters!$I$7),IF(BS$2&lt;=$BB8,parameters!$G$7,""))</f>
        <v>─</v>
      </c>
      <c r="BT8" s="72" t="str">
        <f>IF(BT$2=$BA8,IF(BT$2&lt;=$BB8,parameters!$H$7,parameters!$I$7),IF(BT$2&lt;=$BB8,parameters!$G$7,""))</f>
        <v>─</v>
      </c>
      <c r="BU8" s="72" t="str">
        <f>IF(BU$2=$BA8,IF(BU$2&lt;=$BB8,parameters!$H$7,parameters!$I$7),IF(BU$2&lt;=$BB8,parameters!$G$7,""))</f>
        <v>─</v>
      </c>
      <c r="BV8" s="72" t="str">
        <f>IF(BV$2=$BA8,IF(BV$2&lt;=$BB8,parameters!$H$7,parameters!$I$7),IF(BV$2&lt;=$BB8,parameters!$G$7,""))</f>
        <v/>
      </c>
      <c r="BW8" s="72" t="str">
        <f>IF(BW$2=$BA8,IF(BW$2&lt;=$BB8,parameters!$H$7,parameters!$I$7),IF(BW$2&lt;=$BB8,parameters!$G$7,""))</f>
        <v/>
      </c>
      <c r="BX8" s="72" t="str">
        <f>IF(BX$2=$BA8,IF(BX$2&lt;=$BB8,parameters!$H$7,parameters!$I$7),IF(BX$2&lt;=$BB8,parameters!$G$7,""))</f>
        <v/>
      </c>
      <c r="BY8" s="72" t="str">
        <f>IF(BY$2=$BA8,IF(BY$2&lt;=$BB8,parameters!$H$7,parameters!$I$7),IF(BY$2&lt;=$BB8,parameters!$G$7,""))</f>
        <v/>
      </c>
      <c r="BZ8" s="72" t="str">
        <f>IF(BZ$2=$BA8,IF(BZ$2&lt;=$BB8,parameters!$H$7,parameters!$I$7),IF(BZ$2&lt;=$BB8,parameters!$G$7,""))</f>
        <v/>
      </c>
      <c r="CA8" s="72" t="str">
        <f>IF(CA$2=$BA8,IF(CA$2&lt;=$BB8,parameters!$H$7,parameters!$I$7),IF(CA$2&lt;=$BB8,parameters!$G$7,""))</f>
        <v/>
      </c>
      <c r="CB8" s="72" t="str">
        <f>IF(CB$2=$BA8,IF(CB$2&lt;=$BB8,parameters!$H$7,parameters!$I$7),IF(CB$2&lt;=$BB8,parameters!$G$7,""))</f>
        <v/>
      </c>
    </row>
    <row r="9" spans="2:80" ht="15.75" customHeight="1" x14ac:dyDescent="0.2">
      <c r="AT9" s="21">
        <v>44805</v>
      </c>
      <c r="AU9" s="14">
        <v>86</v>
      </c>
      <c r="AV9" s="7">
        <v>194</v>
      </c>
      <c r="AW9">
        <v>5</v>
      </c>
      <c r="AX9" s="14">
        <f t="shared" ref="AX9:AX15" si="4">IF(AU9=0,0,AX8+AU9)</f>
        <v>308</v>
      </c>
      <c r="AY9" s="14">
        <f>ROUND(AV9*parameters!$C$6,0)</f>
        <v>97</v>
      </c>
      <c r="AZ9" s="14">
        <f>ROUND(AV9*parameters!$C$7,0)</f>
        <v>155</v>
      </c>
      <c r="BA9" s="22">
        <f t="shared" si="0"/>
        <v>1</v>
      </c>
      <c r="BB9" s="22">
        <f t="shared" si="3"/>
        <v>13</v>
      </c>
      <c r="BC9" s="22">
        <v>20</v>
      </c>
      <c r="BD9">
        <f t="shared" si="1"/>
        <v>10</v>
      </c>
      <c r="BE9">
        <f t="shared" si="2"/>
        <v>16</v>
      </c>
      <c r="BF9" s="1" t="str">
        <f>IF(BF$2=$BA9,IF(BF$2&lt;=$BB9,parameters!$H$7,parameters!$I$7),IF(BF$2&lt;=$BB9,parameters!$G$7,""))</f>
        <v>┼</v>
      </c>
      <c r="BG9" s="1"/>
      <c r="BH9" s="1"/>
      <c r="BI9" s="1"/>
      <c r="BJ9" s="1" t="str">
        <f>IF(BJ$2=$BA9,IF(BJ$2&lt;=$BB9,parameters!$H$7,parameters!$I$7),IF(BJ$2&lt;=$BB9,parameters!$G$7,""))</f>
        <v>─</v>
      </c>
      <c r="BK9" s="1" t="str">
        <f>IF(BK$2=$BA9,IF(BK$2&lt;=$BB9,parameters!$H$7,parameters!$I$7),IF(BK$2&lt;=$BB9,parameters!$G$7,""))</f>
        <v>─</v>
      </c>
      <c r="BL9" s="1" t="str">
        <f>IF(BL$2=$BA9,IF(BL$2&lt;=$BB9,parameters!$H$7,parameters!$I$7),IF(BL$2&lt;=$BB9,parameters!$G$7,""))</f>
        <v>─</v>
      </c>
      <c r="BM9" s="1" t="str">
        <f>IF(BM$2=$BA9,IF(BM$2&lt;=$BB9,parameters!$H$7,parameters!$I$7),IF(BM$2&lt;=$BB9,parameters!$G$7,""))</f>
        <v>─</v>
      </c>
      <c r="BN9" s="1" t="str">
        <f>IF(BN$2=$BA9,IF(BN$2&lt;=$BB9,parameters!$H$7,parameters!$I$7),IF(BN$2&lt;=$BB9,parameters!$G$7,""))</f>
        <v>─</v>
      </c>
      <c r="BO9" s="1" t="str">
        <f>IF(BO$2=$BA9,IF(BO$2&lt;=$BB9,parameters!$H$7,parameters!$I$7),IF(BO$2&lt;=$BB9,parameters!$G$7,""))</f>
        <v>─</v>
      </c>
      <c r="BP9" s="1" t="str">
        <f>IF(BP$2=$BA9,IF(BP$2&lt;=$BB9,parameters!$H$7,parameters!$I$7),IF(BP$2&lt;=$BB9,parameters!$G$7,""))</f>
        <v>─</v>
      </c>
      <c r="BQ9" s="1" t="str">
        <f>IF(BQ$2=$BA9,IF(BQ$2&lt;=$BB9,parameters!$H$7,parameters!$I$7),IF(BQ$2&lt;=$BB9,parameters!$G$7,""))</f>
        <v>─</v>
      </c>
      <c r="BR9" s="1" t="str">
        <f>IF(BR$2=$BA9,IF(BR$2&lt;=$BB9,parameters!$H$7,parameters!$I$7),IF(BR$2&lt;=$BB9,parameters!$G$7,""))</f>
        <v>─</v>
      </c>
      <c r="BS9" s="1" t="str">
        <f>IF(BS$2=$BA9,IF(BS$2&lt;=$BB9,parameters!$H$7,parameters!$I$7),IF(BS$2&lt;=$BB9,parameters!$G$7,""))</f>
        <v>─</v>
      </c>
      <c r="BT9" s="1" t="str">
        <f>IF(BT$2=$BA9,IF(BT$2&lt;=$BB9,parameters!$H$7,parameters!$I$7),IF(BT$2&lt;=$BB9,parameters!$G$7,""))</f>
        <v>─</v>
      </c>
      <c r="BU9" s="1" t="str">
        <f>IF(BU$2=$BA9,IF(BU$2&lt;=$BB9,parameters!$H$7,parameters!$I$7),IF(BU$2&lt;=$BB9,parameters!$G$7,""))</f>
        <v>─</v>
      </c>
      <c r="BV9" s="1" t="str">
        <f>IF(BV$2=$BA9,IF(BV$2&lt;=$BB9,parameters!$H$7,parameters!$I$7),IF(BV$2&lt;=$BB9,parameters!$G$7,""))</f>
        <v/>
      </c>
      <c r="BW9" s="1" t="str">
        <f>IF(BW$2=$BA9,IF(BW$2&lt;=$BB9,parameters!$H$7,parameters!$I$7),IF(BW$2&lt;=$BB9,parameters!$G$7,""))</f>
        <v/>
      </c>
      <c r="BX9" s="1" t="str">
        <f>IF(BX$2=$BA9,IF(BX$2&lt;=$BB9,parameters!$H$7,parameters!$I$7),IF(BX$2&lt;=$BB9,parameters!$G$7,""))</f>
        <v/>
      </c>
      <c r="BY9" s="1" t="str">
        <f>IF(BY$2=$BA9,IF(BY$2&lt;=$BB9,parameters!$H$7,parameters!$I$7),IF(BY$2&lt;=$BB9,parameters!$G$7,""))</f>
        <v/>
      </c>
      <c r="BZ9" s="1" t="str">
        <f>IF(BZ$2=$BA9,IF(BZ$2&lt;=$BB9,parameters!$H$7,parameters!$I$7),IF(BZ$2&lt;=$BB9,parameters!$G$7,""))</f>
        <v/>
      </c>
      <c r="CA9" s="1" t="str">
        <f>IF(CA$2=$BA9,IF(CA$2&lt;=$BB9,parameters!$H$7,parameters!$I$7),IF(CA$2&lt;=$BB9,parameters!$G$7,""))</f>
        <v/>
      </c>
      <c r="CB9" s="1" t="str">
        <f>IF(CB$2=$BA9,IF(CB$2&lt;=$BB9,parameters!$H$7,parameters!$I$7),IF(CB$2&lt;=$BB9,parameters!$G$7,""))</f>
        <v/>
      </c>
    </row>
    <row r="10" spans="2:80" ht="27.75" customHeight="1" x14ac:dyDescent="0.25">
      <c r="B10" s="39"/>
      <c r="C10" s="40"/>
      <c r="D10" s="40"/>
      <c r="E10" s="40"/>
      <c r="F10" s="40"/>
      <c r="G10" s="40"/>
      <c r="H10" s="40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2"/>
      <c r="V10" s="42"/>
      <c r="W10" s="42"/>
      <c r="X10" s="42"/>
      <c r="Y10" s="42"/>
      <c r="Z10" s="42"/>
      <c r="AA10" s="42"/>
      <c r="AB10" s="42"/>
      <c r="AC10" s="39"/>
      <c r="AD10" s="5"/>
      <c r="AE10" s="5"/>
      <c r="AF10" s="5"/>
      <c r="AG10" s="39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21">
        <v>44835</v>
      </c>
      <c r="AU10" s="14">
        <v>120</v>
      </c>
      <c r="AV10" s="7">
        <v>272</v>
      </c>
      <c r="AW10">
        <v>26</v>
      </c>
      <c r="AX10" s="14">
        <f t="shared" si="4"/>
        <v>428</v>
      </c>
      <c r="AY10" s="14">
        <f>ROUND(AV10*parameters!$C$6,0)</f>
        <v>136</v>
      </c>
      <c r="AZ10" s="14">
        <f>ROUND(AV10*parameters!$C$7,0)</f>
        <v>218</v>
      </c>
      <c r="BA10" s="22">
        <f t="shared" si="0"/>
        <v>2</v>
      </c>
      <c r="BB10" s="22">
        <f t="shared" si="3"/>
        <v>13</v>
      </c>
      <c r="BC10" s="22">
        <v>20</v>
      </c>
      <c r="BD10">
        <f t="shared" si="1"/>
        <v>10</v>
      </c>
      <c r="BE10">
        <f t="shared" si="2"/>
        <v>16</v>
      </c>
      <c r="BF10" s="1" t="str">
        <f>IF(BF$2=$BA10,IF(BF$2&lt;=$BB10,parameters!$H$7,parameters!$I$7),IF(BF$2&lt;=$BB10,parameters!$G$7,""))</f>
        <v>─</v>
      </c>
      <c r="BG10" s="1"/>
      <c r="BH10" s="1"/>
      <c r="BI10" s="1"/>
      <c r="BJ10" s="1" t="str">
        <f>IF(BJ$2=$BA10,IF(BJ$2&lt;=$BB10,parameters!$H$7,parameters!$I$7),IF(BJ$2&lt;=$BB10,parameters!$G$7,""))</f>
        <v>┼</v>
      </c>
      <c r="BK10" s="1" t="str">
        <f>IF(BK$2=$BA10,IF(BK$2&lt;=$BB10,parameters!$H$7,parameters!$I$7),IF(BK$2&lt;=$BB10,parameters!$G$7,""))</f>
        <v>─</v>
      </c>
      <c r="BL10" s="1" t="str">
        <f>IF(BL$2=$BA10,IF(BL$2&lt;=$BB10,parameters!$H$7,parameters!$I$7),IF(BL$2&lt;=$BB10,parameters!$G$7,""))</f>
        <v>─</v>
      </c>
      <c r="BM10" s="1" t="str">
        <f>IF(BM$2=$BA10,IF(BM$2&lt;=$BB10,parameters!$H$7,parameters!$I$7),IF(BM$2&lt;=$BB10,parameters!$G$7,""))</f>
        <v>─</v>
      </c>
      <c r="BN10" s="1" t="str">
        <f>IF(BN$2=$BA10,IF(BN$2&lt;=$BB10,parameters!$H$7,parameters!$I$7),IF(BN$2&lt;=$BB10,parameters!$G$7,""))</f>
        <v>─</v>
      </c>
      <c r="BO10" s="1" t="str">
        <f>IF(BO$2=$BA10,IF(BO$2&lt;=$BB10,parameters!$H$7,parameters!$I$7),IF(BO$2&lt;=$BB10,parameters!$G$7,""))</f>
        <v>─</v>
      </c>
      <c r="BP10" s="1" t="str">
        <f>IF(BP$2=$BA10,IF(BP$2&lt;=$BB10,parameters!$H$7,parameters!$I$7),IF(BP$2&lt;=$BB10,parameters!$G$7,""))</f>
        <v>─</v>
      </c>
      <c r="BQ10" s="1" t="str">
        <f>IF(BQ$2=$BA10,IF(BQ$2&lt;=$BB10,parameters!$H$7,parameters!$I$7),IF(BQ$2&lt;=$BB10,parameters!$G$7,""))</f>
        <v>─</v>
      </c>
      <c r="BR10" s="1" t="str">
        <f>IF(BR$2=$BA10,IF(BR$2&lt;=$BB10,parameters!$H$7,parameters!$I$7),IF(BR$2&lt;=$BB10,parameters!$G$7,""))</f>
        <v>─</v>
      </c>
      <c r="BS10" s="1" t="str">
        <f>IF(BS$2=$BA10,IF(BS$2&lt;=$BB10,parameters!$H$7,parameters!$I$7),IF(BS$2&lt;=$BB10,parameters!$G$7,""))</f>
        <v>─</v>
      </c>
      <c r="BT10" s="1" t="str">
        <f>IF(BT$2=$BA10,IF(BT$2&lt;=$BB10,parameters!$H$7,parameters!$I$7),IF(BT$2&lt;=$BB10,parameters!$G$7,""))</f>
        <v>─</v>
      </c>
      <c r="BU10" s="1" t="str">
        <f>IF(BU$2=$BA10,IF(BU$2&lt;=$BB10,parameters!$H$7,parameters!$I$7),IF(BU$2&lt;=$BB10,parameters!$G$7,""))</f>
        <v>─</v>
      </c>
      <c r="BV10" s="1" t="str">
        <f>IF(BV$2=$BA10,IF(BV$2&lt;=$BB10,parameters!$H$7,parameters!$I$7),IF(BV$2&lt;=$BB10,parameters!$G$7,""))</f>
        <v/>
      </c>
      <c r="BW10" s="1" t="str">
        <f>IF(BW$2=$BA10,IF(BW$2&lt;=$BB10,parameters!$H$7,parameters!$I$7),IF(BW$2&lt;=$BB10,parameters!$G$7,""))</f>
        <v/>
      </c>
      <c r="BX10" s="1" t="str">
        <f>IF(BX$2=$BA10,IF(BX$2&lt;=$BB10,parameters!$H$7,parameters!$I$7),IF(BX$2&lt;=$BB10,parameters!$G$7,""))</f>
        <v/>
      </c>
      <c r="BY10" s="1" t="str">
        <f>IF(BY$2=$BA10,IF(BY$2&lt;=$BB10,parameters!$H$7,parameters!$I$7),IF(BY$2&lt;=$BB10,parameters!$G$7,""))</f>
        <v/>
      </c>
      <c r="BZ10" s="1" t="str">
        <f>IF(BZ$2=$BA10,IF(BZ$2&lt;=$BB10,parameters!$H$7,parameters!$I$7),IF(BZ$2&lt;=$BB10,parameters!$G$7,""))</f>
        <v/>
      </c>
      <c r="CA10" s="1" t="str">
        <f>IF(CA$2=$BA10,IF(CA$2&lt;=$BB10,parameters!$H$7,parameters!$I$7),IF(CA$2&lt;=$BB10,parameters!$G$7,""))</f>
        <v/>
      </c>
      <c r="CB10" s="1" t="str">
        <f>IF(CB$2=$BA10,IF(CB$2&lt;=$BB10,parameters!$H$7,parameters!$I$7),IF(CB$2&lt;=$BB10,parameters!$G$7,""))</f>
        <v/>
      </c>
    </row>
    <row r="11" spans="2:80" ht="13.5" thickBot="1" x14ac:dyDescent="0.25">
      <c r="C11" s="76" t="s">
        <v>45</v>
      </c>
      <c r="D11" s="76" t="s">
        <v>46</v>
      </c>
      <c r="E11" s="76" t="s">
        <v>47</v>
      </c>
      <c r="F11" s="76" t="s">
        <v>31</v>
      </c>
      <c r="G11" s="76" t="s">
        <v>48</v>
      </c>
      <c r="H11" s="26"/>
      <c r="J11" s="34"/>
      <c r="K11" s="34"/>
      <c r="L11" s="73" t="s">
        <v>40</v>
      </c>
      <c r="M11" s="73"/>
      <c r="N11" s="73"/>
      <c r="O11" s="73"/>
      <c r="P11" s="73"/>
      <c r="Q11" s="73"/>
      <c r="R11" s="73"/>
      <c r="S11" s="73"/>
      <c r="T11" s="73" t="s">
        <v>72</v>
      </c>
      <c r="U11" s="73"/>
      <c r="V11" s="73"/>
      <c r="W11" s="73"/>
      <c r="X11" s="73"/>
      <c r="Y11" s="73"/>
      <c r="Z11" s="73" t="s">
        <v>73</v>
      </c>
      <c r="AA11" s="73"/>
      <c r="AB11" s="74"/>
      <c r="AT11" s="21">
        <v>44866</v>
      </c>
      <c r="AU11" s="14">
        <v>350</v>
      </c>
      <c r="AV11" s="7">
        <v>658</v>
      </c>
      <c r="AW11">
        <v>53</v>
      </c>
      <c r="AX11" s="14">
        <f t="shared" si="4"/>
        <v>778</v>
      </c>
      <c r="AY11" s="14">
        <f>ROUND(AV11*parameters!$C$6,0)</f>
        <v>329</v>
      </c>
      <c r="AZ11" s="14">
        <f>ROUND(AV11*parameters!$C$7,0)</f>
        <v>526</v>
      </c>
      <c r="BA11" s="22">
        <f t="shared" si="0"/>
        <v>2</v>
      </c>
      <c r="BB11" s="22">
        <f t="shared" si="3"/>
        <v>17</v>
      </c>
      <c r="BC11" s="22">
        <v>20</v>
      </c>
      <c r="BD11">
        <f t="shared" si="1"/>
        <v>10</v>
      </c>
      <c r="BE11">
        <f t="shared" si="2"/>
        <v>16</v>
      </c>
      <c r="BF11" s="1" t="str">
        <f>IF(BF$2=$BA11,IF(BF$2&lt;=$BB11,parameters!$H$7,parameters!$I$7),IF(BF$2&lt;=$BB11,parameters!$G$7,""))</f>
        <v>─</v>
      </c>
      <c r="BG11" s="1"/>
      <c r="BH11" s="1"/>
      <c r="BI11" s="1"/>
      <c r="BJ11" s="1" t="str">
        <f>IF(BJ$2=$BA11,IF(BJ$2&lt;=$BB11,parameters!$H$7,parameters!$I$7),IF(BJ$2&lt;=$BB11,parameters!$G$7,""))</f>
        <v>┼</v>
      </c>
      <c r="BK11" s="1" t="str">
        <f>IF(BK$2=$BA11,IF(BK$2&lt;=$BB11,parameters!$H$7,parameters!$I$7),IF(BK$2&lt;=$BB11,parameters!$G$7,""))</f>
        <v>─</v>
      </c>
      <c r="BL11" s="1" t="str">
        <f>IF(BL$2=$BA11,IF(BL$2&lt;=$BB11,parameters!$H$7,parameters!$I$7),IF(BL$2&lt;=$BB11,parameters!$G$7,""))</f>
        <v>─</v>
      </c>
      <c r="BM11" s="1" t="str">
        <f>IF(BM$2=$BA11,IF(BM$2&lt;=$BB11,parameters!$H$7,parameters!$I$7),IF(BM$2&lt;=$BB11,parameters!$G$7,""))</f>
        <v>─</v>
      </c>
      <c r="BN11" s="1" t="str">
        <f>IF(BN$2=$BA11,IF(BN$2&lt;=$BB11,parameters!$H$7,parameters!$I$7),IF(BN$2&lt;=$BB11,parameters!$G$7,""))</f>
        <v>─</v>
      </c>
      <c r="BO11" s="1" t="str">
        <f>IF(BO$2=$BA11,IF(BO$2&lt;=$BB11,parameters!$H$7,parameters!$I$7),IF(BO$2&lt;=$BB11,parameters!$G$7,""))</f>
        <v>─</v>
      </c>
      <c r="BP11" s="1" t="str">
        <f>IF(BP$2=$BA11,IF(BP$2&lt;=$BB11,parameters!$H$7,parameters!$I$7),IF(BP$2&lt;=$BB11,parameters!$G$7,""))</f>
        <v>─</v>
      </c>
      <c r="BQ11" s="1" t="str">
        <f>IF(BQ$2=$BA11,IF(BQ$2&lt;=$BB11,parameters!$H$7,parameters!$I$7),IF(BQ$2&lt;=$BB11,parameters!$G$7,""))</f>
        <v>─</v>
      </c>
      <c r="BR11" s="1" t="str">
        <f>IF(BR$2=$BA11,IF(BR$2&lt;=$BB11,parameters!$H$7,parameters!$I$7),IF(BR$2&lt;=$BB11,parameters!$G$7,""))</f>
        <v>─</v>
      </c>
      <c r="BS11" s="1" t="str">
        <f>IF(BS$2=$BA11,IF(BS$2&lt;=$BB11,parameters!$H$7,parameters!$I$7),IF(BS$2&lt;=$BB11,parameters!$G$7,""))</f>
        <v>─</v>
      </c>
      <c r="BT11" s="1" t="str">
        <f>IF(BT$2=$BA11,IF(BT$2&lt;=$BB11,parameters!$H$7,parameters!$I$7),IF(BT$2&lt;=$BB11,parameters!$G$7,""))</f>
        <v>─</v>
      </c>
      <c r="BU11" s="1" t="str">
        <f>IF(BU$2=$BA11,IF(BU$2&lt;=$BB11,parameters!$H$7,parameters!$I$7),IF(BU$2&lt;=$BB11,parameters!$G$7,""))</f>
        <v>─</v>
      </c>
      <c r="BV11" s="1" t="str">
        <f>IF(BV$2=$BA11,IF(BV$2&lt;=$BB11,parameters!$H$7,parameters!$I$7),IF(BV$2&lt;=$BB11,parameters!$G$7,""))</f>
        <v>─</v>
      </c>
      <c r="BW11" s="1" t="str">
        <f>IF(BW$2=$BA11,IF(BW$2&lt;=$BB11,parameters!$H$7,parameters!$I$7),IF(BW$2&lt;=$BB11,parameters!$G$7,""))</f>
        <v>─</v>
      </c>
      <c r="BX11" s="1" t="str">
        <f>IF(BX$2=$BA11,IF(BX$2&lt;=$BB11,parameters!$H$7,parameters!$I$7),IF(BX$2&lt;=$BB11,parameters!$G$7,""))</f>
        <v>─</v>
      </c>
      <c r="BY11" s="1" t="str">
        <f>IF(BY$2=$BA11,IF(BY$2&lt;=$BB11,parameters!$H$7,parameters!$I$7),IF(BY$2&lt;=$BB11,parameters!$G$7,""))</f>
        <v>─</v>
      </c>
      <c r="BZ11" s="1" t="str">
        <f>IF(BZ$2=$BA11,IF(BZ$2&lt;=$BB11,parameters!$H$7,parameters!$I$7),IF(BZ$2&lt;=$BB11,parameters!$G$7,""))</f>
        <v/>
      </c>
      <c r="CA11" s="1" t="str">
        <f>IF(CA$2=$BA11,IF(CA$2&lt;=$BB11,parameters!$H$7,parameters!$I$7),IF(CA$2&lt;=$BB11,parameters!$G$7,""))</f>
        <v/>
      </c>
      <c r="CB11" s="1" t="str">
        <f>IF(CB$2=$BA11,IF(CB$2&lt;=$BB11,parameters!$H$7,parameters!$I$7),IF(CB$2&lt;=$BB11,parameters!$G$7,""))</f>
        <v/>
      </c>
    </row>
    <row r="12" spans="2:80" ht="13.5" thickBot="1" x14ac:dyDescent="0.25">
      <c r="B12" s="1" t="s">
        <v>21</v>
      </c>
      <c r="C12" s="77">
        <f>AU18</f>
        <v>37</v>
      </c>
      <c r="D12" s="77">
        <f>AV18</f>
        <v>50</v>
      </c>
      <c r="E12" s="77">
        <f>AW18</f>
        <v>29</v>
      </c>
      <c r="F12" s="77">
        <f>AX18</f>
        <v>62</v>
      </c>
      <c r="G12" s="58">
        <f>(C12-D12)/D12</f>
        <v>-0.26</v>
      </c>
      <c r="H12" s="26"/>
      <c r="I12" s="30" t="str">
        <f>IF(BF$2=$BA18,IF(BF$2&lt;=$BB18,parameters!$H$7,parameters!$I$7),IF(BF$2&lt;=$BB18,parameters!$G$7,""))</f>
        <v>─</v>
      </c>
      <c r="J12" s="31" t="str">
        <f>IF(BJ$2=$BA18,IF(BJ$2&lt;=$BB18,parameters!$H$7,parameters!$I$7),IF(BJ$2&lt;=$BB18,parameters!$G$7,""))</f>
        <v>─</v>
      </c>
      <c r="K12" s="31" t="str">
        <f>IF(BK$2=$BA18,IF(BK$2&lt;=$BB18,parameters!$H$7,parameters!$I$7),IF(BK$2&lt;=$BB18,parameters!$G$7,""))</f>
        <v>─</v>
      </c>
      <c r="L12" s="31" t="str">
        <f>IF(BL$2=$BA18,IF(BL$2&lt;=$BB18,parameters!$H$7,parameters!$I$7),IF(BL$2&lt;=$BB18,parameters!$G$7,""))</f>
        <v>─</v>
      </c>
      <c r="M12" s="31" t="str">
        <f>IF(BM$2=$BA18,IF(BM$2&lt;=$BB18,parameters!$H$7,parameters!$I$7),IF(BM$2&lt;=$BB18,parameters!$G$7,""))</f>
        <v>─</v>
      </c>
      <c r="N12" s="31" t="str">
        <f>IF(BN$2=$BA18,IF(BN$2&lt;=$BB18,parameters!$H$7,parameters!$I$7),IF(BN$2&lt;=$BB18,parameters!$G$7,""))</f>
        <v>─</v>
      </c>
      <c r="O12" s="31" t="str">
        <f>IF(BO$2=$BA18,IF(BO$2&lt;=$BB18,parameters!$H$7,parameters!$I$7),IF(BO$2&lt;=$BB18,parameters!$G$7,""))</f>
        <v>─</v>
      </c>
      <c r="P12" s="31" t="str">
        <f>IF(BP$2=$BA18,IF(BP$2&lt;=$BB18,parameters!$H$7,parameters!$I$7),IF(BP$2&lt;=$BB18,parameters!$G$7,""))</f>
        <v>─</v>
      </c>
      <c r="Q12" s="31" t="str">
        <f>IF(BQ$2=$BA18,IF(BQ$2&lt;=$BB18,parameters!$H$7,parameters!$I$7),IF(BQ$2&lt;=$BB18,parameters!$G$7,""))</f>
        <v>─</v>
      </c>
      <c r="R12" s="31" t="str">
        <f>IF(BR$2=$BA18,IF(BR$2&lt;=$BB18,parameters!$H$7,parameters!$I$7),IF(BR$2&lt;=$BB18,parameters!$G$7,""))</f>
        <v>─</v>
      </c>
      <c r="S12" s="31" t="str">
        <f>IF(BS$2=$BA18,IF(BS$2&lt;=$BB18,parameters!$H$7,parameters!$I$7),IF(BS$2&lt;=$BB18,parameters!$G$7,""))</f>
        <v>─</v>
      </c>
      <c r="T12" s="31" t="str">
        <f>IF(BT$2=$BA18,IF(BT$2&lt;=$BB18,parameters!$H$7,parameters!$I$7),IF(BT$2&lt;=$BB18,parameters!$G$7,""))</f>
        <v>┼</v>
      </c>
      <c r="U12" s="31" t="str">
        <f>IF(BU$2=$BA18,IF(BU$2&lt;=$BB18,parameters!$H$7,parameters!$I$7),IF(BU$2&lt;=$BB18,parameters!$G$7,""))</f>
        <v>─</v>
      </c>
      <c r="V12" s="31" t="str">
        <f>IF(BV$2=$BA18,IF(BV$2&lt;=$BB18,parameters!$H$7,parameters!$I$7),IF(BV$2&lt;=$BB18,parameters!$G$7,""))</f>
        <v>─</v>
      </c>
      <c r="W12" s="31" t="str">
        <f>IF(BW$2=$BA18,IF(BW$2&lt;=$BB18,parameters!$H$7,parameters!$I$7),IF(BW$2&lt;=$BB18,parameters!$G$7,""))</f>
        <v>─</v>
      </c>
      <c r="X12" s="31" t="str">
        <f>IF(BX$2=$BA18,IF(BX$2&lt;=$BB18,parameters!$H$7,parameters!$I$7),IF(BX$2&lt;=$BB18,parameters!$G$7,""))</f>
        <v/>
      </c>
      <c r="Y12" s="31" t="str">
        <f>IF(BY$2=$BA18,IF(BY$2&lt;=$BB18,parameters!$H$7,parameters!$I$7),IF(BY$2&lt;=$BB18,parameters!$G$7,""))</f>
        <v/>
      </c>
      <c r="Z12" s="31" t="str">
        <f>IF(BZ$2=$BA18,IF(BZ$2&lt;=$BB18,parameters!$H$7,parameters!$I$7),IF(BZ$2&lt;=$BB18,parameters!$G$7,""))</f>
        <v/>
      </c>
      <c r="AA12" s="32" t="str">
        <f>IF(CA$2=$BA18,IF(CA$2&lt;=$BB18,parameters!$H$7,parameters!$I$7),IF(CA$2&lt;=$BB18,parameters!$G$7,""))</f>
        <v/>
      </c>
      <c r="AT12" s="21">
        <v>44896</v>
      </c>
      <c r="AU12" s="14">
        <v>900</v>
      </c>
      <c r="AV12" s="7">
        <v>704</v>
      </c>
      <c r="AW12">
        <v>26</v>
      </c>
      <c r="AX12" s="14">
        <f t="shared" si="4"/>
        <v>1678</v>
      </c>
      <c r="AY12" s="14">
        <f>ROUND(AV12*parameters!$C$6,0)</f>
        <v>352</v>
      </c>
      <c r="AZ12" s="14">
        <f>ROUND(AV12*parameters!$C$7,0)</f>
        <v>563</v>
      </c>
      <c r="BA12" s="22">
        <f t="shared" si="0"/>
        <v>1</v>
      </c>
      <c r="BB12" s="22">
        <f t="shared" si="3"/>
        <v>8</v>
      </c>
      <c r="BC12" s="22">
        <v>20</v>
      </c>
      <c r="BD12">
        <f t="shared" si="1"/>
        <v>10</v>
      </c>
      <c r="BE12">
        <f t="shared" si="2"/>
        <v>16</v>
      </c>
      <c r="BF12" s="1" t="str">
        <f>IF(BF$2=$BA12,IF(BF$2&lt;=$BB12,parameters!$H$7,parameters!$I$7),IF(BF$2&lt;=$BB12,parameters!$G$7,""))</f>
        <v>┼</v>
      </c>
      <c r="BG12" s="1"/>
      <c r="BH12" s="1"/>
      <c r="BI12" s="1"/>
      <c r="BJ12" s="1" t="str">
        <f>IF(BJ$2=$BA12,IF(BJ$2&lt;=$BB12,parameters!$H$7,parameters!$I$7),IF(BJ$2&lt;=$BB12,parameters!$G$7,""))</f>
        <v>─</v>
      </c>
      <c r="BK12" s="1" t="str">
        <f>IF(BK$2=$BA12,IF(BK$2&lt;=$BB12,parameters!$H$7,parameters!$I$7),IF(BK$2&lt;=$BB12,parameters!$G$7,""))</f>
        <v>─</v>
      </c>
      <c r="BL12" s="1" t="str">
        <f>IF(BL$2=$BA12,IF(BL$2&lt;=$BB12,parameters!$H$7,parameters!$I$7),IF(BL$2&lt;=$BB12,parameters!$G$7,""))</f>
        <v>─</v>
      </c>
      <c r="BM12" s="1" t="str">
        <f>IF(BM$2=$BA12,IF(BM$2&lt;=$BB12,parameters!$H$7,parameters!$I$7),IF(BM$2&lt;=$BB12,parameters!$G$7,""))</f>
        <v>─</v>
      </c>
      <c r="BN12" s="1" t="str">
        <f>IF(BN$2=$BA12,IF(BN$2&lt;=$BB12,parameters!$H$7,parameters!$I$7),IF(BN$2&lt;=$BB12,parameters!$G$7,""))</f>
        <v>─</v>
      </c>
      <c r="BO12" s="1" t="str">
        <f>IF(BO$2=$BA12,IF(BO$2&lt;=$BB12,parameters!$H$7,parameters!$I$7),IF(BO$2&lt;=$BB12,parameters!$G$7,""))</f>
        <v>─</v>
      </c>
      <c r="BP12" s="1" t="str">
        <f>IF(BP$2=$BA12,IF(BP$2&lt;=$BB12,parameters!$H$7,parameters!$I$7),IF(BP$2&lt;=$BB12,parameters!$G$7,""))</f>
        <v>─</v>
      </c>
      <c r="BQ12" s="1" t="str">
        <f>IF(BQ$2=$BA12,IF(BQ$2&lt;=$BB12,parameters!$H$7,parameters!$I$7),IF(BQ$2&lt;=$BB12,parameters!$G$7,""))</f>
        <v/>
      </c>
      <c r="BR12" s="1" t="str">
        <f>IF(BR$2=$BA12,IF(BR$2&lt;=$BB12,parameters!$H$7,parameters!$I$7),IF(BR$2&lt;=$BB12,parameters!$G$7,""))</f>
        <v/>
      </c>
      <c r="BS12" s="1" t="str">
        <f>IF(BS$2=$BA12,IF(BS$2&lt;=$BB12,parameters!$H$7,parameters!$I$7),IF(BS$2&lt;=$BB12,parameters!$G$7,""))</f>
        <v/>
      </c>
      <c r="BT12" s="1" t="str">
        <f>IF(BT$2=$BA12,IF(BT$2&lt;=$BB12,parameters!$H$7,parameters!$I$7),IF(BT$2&lt;=$BB12,parameters!$G$7,""))</f>
        <v/>
      </c>
      <c r="BU12" s="1" t="str">
        <f>IF(BU$2=$BA12,IF(BU$2&lt;=$BB12,parameters!$H$7,parameters!$I$7),IF(BU$2&lt;=$BB12,parameters!$G$7,""))</f>
        <v/>
      </c>
      <c r="BV12" s="1" t="str">
        <f>IF(BV$2=$BA12,IF(BV$2&lt;=$BB12,parameters!$H$7,parameters!$I$7),IF(BV$2&lt;=$BB12,parameters!$G$7,""))</f>
        <v/>
      </c>
      <c r="BW12" s="1" t="str">
        <f>IF(BW$2=$BA12,IF(BW$2&lt;=$BB12,parameters!$H$7,parameters!$I$7),IF(BW$2&lt;=$BB12,parameters!$G$7,""))</f>
        <v/>
      </c>
      <c r="BX12" s="1" t="str">
        <f>IF(BX$2=$BA12,IF(BX$2&lt;=$BB12,parameters!$H$7,parameters!$I$7),IF(BX$2&lt;=$BB12,parameters!$G$7,""))</f>
        <v/>
      </c>
      <c r="BY12" s="1" t="str">
        <f>IF(BY$2=$BA12,IF(BY$2&lt;=$BB12,parameters!$H$7,parameters!$I$7),IF(BY$2&lt;=$BB12,parameters!$G$7,""))</f>
        <v/>
      </c>
      <c r="BZ12" s="1" t="str">
        <f>IF(BZ$2=$BA12,IF(BZ$2&lt;=$BB12,parameters!$H$7,parameters!$I$7),IF(BZ$2&lt;=$BB12,parameters!$G$7,""))</f>
        <v/>
      </c>
      <c r="CA12" s="1" t="str">
        <f>IF(CA$2=$BA12,IF(CA$2&lt;=$BB12,parameters!$H$7,parameters!$I$7),IF(CA$2&lt;=$BB12,parameters!$G$7,""))</f>
        <v/>
      </c>
      <c r="CB12" s="1" t="str">
        <f>IF(CB$2=$BA12,IF(CB$2&lt;=$BB12,parameters!$H$7,parameters!$I$7),IF(CB$2&lt;=$BB12,parameters!$G$7,""))</f>
        <v/>
      </c>
    </row>
    <row r="13" spans="2:80" x14ac:dyDescent="0.2">
      <c r="B13" s="1"/>
      <c r="AT13" s="21">
        <v>44927</v>
      </c>
      <c r="AU13" s="14">
        <v>790</v>
      </c>
      <c r="AV13" s="7">
        <v>684</v>
      </c>
      <c r="AW13">
        <v>27</v>
      </c>
      <c r="AX13" s="14">
        <f t="shared" si="4"/>
        <v>2468</v>
      </c>
      <c r="AY13" s="14">
        <f>ROUND(AV13*parameters!$C$6,0)</f>
        <v>342</v>
      </c>
      <c r="AZ13" s="14">
        <f>ROUND(AV13*parameters!$C$7,0)</f>
        <v>547</v>
      </c>
      <c r="BA13" s="22">
        <f t="shared" si="0"/>
        <v>1</v>
      </c>
      <c r="BB13" s="22">
        <f t="shared" si="3"/>
        <v>6</v>
      </c>
      <c r="BC13" s="22">
        <v>20</v>
      </c>
      <c r="BD13">
        <f t="shared" si="1"/>
        <v>10</v>
      </c>
      <c r="BE13">
        <f t="shared" si="2"/>
        <v>16</v>
      </c>
      <c r="BF13" s="1" t="str">
        <f>IF(BF$2=$BA13,IF(BF$2&lt;=$BB13,parameters!$H$7,parameters!$I$7),IF(BF$2&lt;=$BB13,parameters!$G$7,""))</f>
        <v>┼</v>
      </c>
      <c r="BG13" s="1"/>
      <c r="BH13" s="1"/>
      <c r="BI13" s="1"/>
      <c r="BJ13" s="1" t="str">
        <f>IF(BJ$2=$BA13,IF(BJ$2&lt;=$BB13,parameters!$H$7,parameters!$I$7),IF(BJ$2&lt;=$BB13,parameters!$G$7,""))</f>
        <v>─</v>
      </c>
      <c r="BK13" s="1" t="str">
        <f>IF(BK$2=$BA13,IF(BK$2&lt;=$BB13,parameters!$H$7,parameters!$I$7),IF(BK$2&lt;=$BB13,parameters!$G$7,""))</f>
        <v>─</v>
      </c>
      <c r="BL13" s="1" t="str">
        <f>IF(BL$2=$BA13,IF(BL$2&lt;=$BB13,parameters!$H$7,parameters!$I$7),IF(BL$2&lt;=$BB13,parameters!$G$7,""))</f>
        <v>─</v>
      </c>
      <c r="BM13" s="1" t="str">
        <f>IF(BM$2=$BA13,IF(BM$2&lt;=$BB13,parameters!$H$7,parameters!$I$7),IF(BM$2&lt;=$BB13,parameters!$G$7,""))</f>
        <v>─</v>
      </c>
      <c r="BN13" s="1" t="str">
        <f>IF(BN$2=$BA13,IF(BN$2&lt;=$BB13,parameters!$H$7,parameters!$I$7),IF(BN$2&lt;=$BB13,parameters!$G$7,""))</f>
        <v>─</v>
      </c>
      <c r="BO13" s="1" t="str">
        <f>IF(BO$2=$BA13,IF(BO$2&lt;=$BB13,parameters!$H$7,parameters!$I$7),IF(BO$2&lt;=$BB13,parameters!$G$7,""))</f>
        <v/>
      </c>
      <c r="BP13" s="1" t="str">
        <f>IF(BP$2=$BA13,IF(BP$2&lt;=$BB13,parameters!$H$7,parameters!$I$7),IF(BP$2&lt;=$BB13,parameters!$G$7,""))</f>
        <v/>
      </c>
      <c r="BQ13" s="1" t="str">
        <f>IF(BQ$2=$BA13,IF(BQ$2&lt;=$BB13,parameters!$H$7,parameters!$I$7),IF(BQ$2&lt;=$BB13,parameters!$G$7,""))</f>
        <v/>
      </c>
      <c r="BR13" s="1" t="str">
        <f>IF(BR$2=$BA13,IF(BR$2&lt;=$BB13,parameters!$H$7,parameters!$I$7),IF(BR$2&lt;=$BB13,parameters!$G$7,""))</f>
        <v/>
      </c>
      <c r="BS13" s="1" t="str">
        <f>IF(BS$2=$BA13,IF(BS$2&lt;=$BB13,parameters!$H$7,parameters!$I$7),IF(BS$2&lt;=$BB13,parameters!$G$7,""))</f>
        <v/>
      </c>
      <c r="BT13" s="1" t="str">
        <f>IF(BT$2=$BA13,IF(BT$2&lt;=$BB13,parameters!$H$7,parameters!$I$7),IF(BT$2&lt;=$BB13,parameters!$G$7,""))</f>
        <v/>
      </c>
      <c r="BU13" s="1" t="str">
        <f>IF(BU$2=$BA13,IF(BU$2&lt;=$BB13,parameters!$H$7,parameters!$I$7),IF(BU$2&lt;=$BB13,parameters!$G$7,""))</f>
        <v/>
      </c>
      <c r="BV13" s="1" t="str">
        <f>IF(BV$2=$BA13,IF(BV$2&lt;=$BB13,parameters!$H$7,parameters!$I$7),IF(BV$2&lt;=$BB13,parameters!$G$7,""))</f>
        <v/>
      </c>
      <c r="BW13" s="1" t="str">
        <f>IF(BW$2=$BA13,IF(BW$2&lt;=$BB13,parameters!$H$7,parameters!$I$7),IF(BW$2&lt;=$BB13,parameters!$G$7,""))</f>
        <v/>
      </c>
      <c r="BX13" s="1" t="str">
        <f>IF(BX$2=$BA13,IF(BX$2&lt;=$BB13,parameters!$H$7,parameters!$I$7),IF(BX$2&lt;=$BB13,parameters!$G$7,""))</f>
        <v/>
      </c>
      <c r="BY13" s="1" t="str">
        <f>IF(BY$2=$BA13,IF(BY$2&lt;=$BB13,parameters!$H$7,parameters!$I$7),IF(BY$2&lt;=$BB13,parameters!$G$7,""))</f>
        <v/>
      </c>
      <c r="BZ13" s="1" t="str">
        <f>IF(BZ$2=$BA13,IF(BZ$2&lt;=$BB13,parameters!$H$7,parameters!$I$7),IF(BZ$2&lt;=$BB13,parameters!$G$7,""))</f>
        <v/>
      </c>
      <c r="CA13" s="1" t="str">
        <f>IF(CA$2=$BA13,IF(CA$2&lt;=$BB13,parameters!$H$7,parameters!$I$7),IF(CA$2&lt;=$BB13,parameters!$G$7,""))</f>
        <v/>
      </c>
      <c r="CB13" s="1" t="str">
        <f>IF(CB$2=$BA13,IF(CB$2&lt;=$BB13,parameters!$H$7,parameters!$I$7),IF(CB$2&lt;=$BB13,parameters!$G$7,""))</f>
        <v/>
      </c>
    </row>
    <row r="14" spans="2:80" x14ac:dyDescent="0.2">
      <c r="B14" s="1" t="s">
        <v>51</v>
      </c>
      <c r="AT14" s="21">
        <v>44958</v>
      </c>
      <c r="AU14" s="14">
        <v>678</v>
      </c>
      <c r="AV14" s="7">
        <v>931</v>
      </c>
      <c r="AW14">
        <v>19</v>
      </c>
      <c r="AX14" s="14">
        <f t="shared" si="4"/>
        <v>3146</v>
      </c>
      <c r="AY14" s="14">
        <f>ROUND(AV14*parameters!$C$6,0)</f>
        <v>466</v>
      </c>
      <c r="AZ14" s="14">
        <f>ROUND(AV14*parameters!$C$7,0)</f>
        <v>745</v>
      </c>
      <c r="BA14" s="22">
        <f t="shared" si="0"/>
        <v>0</v>
      </c>
      <c r="BB14" s="22">
        <f t="shared" si="3"/>
        <v>6</v>
      </c>
      <c r="BC14" s="22">
        <v>20</v>
      </c>
      <c r="BD14">
        <f t="shared" si="1"/>
        <v>10</v>
      </c>
      <c r="BE14">
        <f t="shared" si="2"/>
        <v>16</v>
      </c>
      <c r="BF14" s="1" t="str">
        <f>IF(BF$2=$BA14,IF(BF$2&lt;=$BB14,parameters!$H$7,parameters!$I$7),IF(BF$2&lt;=$BB14,parameters!$G$7,""))</f>
        <v>─</v>
      </c>
      <c r="BG14" s="1"/>
      <c r="BH14" s="1"/>
      <c r="BI14" s="1"/>
      <c r="BJ14" s="1" t="str">
        <f>IF(BJ$2=$BA14,IF(BJ$2&lt;=$BB14,parameters!$H$7,parameters!$I$7),IF(BJ$2&lt;=$BB14,parameters!$G$7,""))</f>
        <v>─</v>
      </c>
      <c r="BK14" s="1" t="str">
        <f>IF(BK$2=$BA14,IF(BK$2&lt;=$BB14,parameters!$H$7,parameters!$I$7),IF(BK$2&lt;=$BB14,parameters!$G$7,""))</f>
        <v>─</v>
      </c>
      <c r="BL14" s="1" t="str">
        <f>IF(BL$2=$BA14,IF(BL$2&lt;=$BB14,parameters!$H$7,parameters!$I$7),IF(BL$2&lt;=$BB14,parameters!$G$7,""))</f>
        <v>─</v>
      </c>
      <c r="BM14" s="1" t="str">
        <f>IF(BM$2=$BA14,IF(BM$2&lt;=$BB14,parameters!$H$7,parameters!$I$7),IF(BM$2&lt;=$BB14,parameters!$G$7,""))</f>
        <v>─</v>
      </c>
      <c r="BN14" s="1" t="str">
        <f>IF(BN$2=$BA14,IF(BN$2&lt;=$BB14,parameters!$H$7,parameters!$I$7),IF(BN$2&lt;=$BB14,parameters!$G$7,""))</f>
        <v>─</v>
      </c>
      <c r="BO14" s="1" t="str">
        <f>IF(BO$2=$BA14,IF(BO$2&lt;=$BB14,parameters!$H$7,parameters!$I$7),IF(BO$2&lt;=$BB14,parameters!$G$7,""))</f>
        <v/>
      </c>
      <c r="BP14" s="1" t="str">
        <f>IF(BP$2=$BA14,IF(BP$2&lt;=$BB14,parameters!$H$7,parameters!$I$7),IF(BP$2&lt;=$BB14,parameters!$G$7,""))</f>
        <v/>
      </c>
      <c r="BQ14" s="1" t="str">
        <f>IF(BQ$2=$BA14,IF(BQ$2&lt;=$BB14,parameters!$H$7,parameters!$I$7),IF(BQ$2&lt;=$BB14,parameters!$G$7,""))</f>
        <v/>
      </c>
      <c r="BR14" s="1" t="str">
        <f>IF(BR$2=$BA14,IF(BR$2&lt;=$BB14,parameters!$H$7,parameters!$I$7),IF(BR$2&lt;=$BB14,parameters!$G$7,""))</f>
        <v/>
      </c>
      <c r="BS14" s="1" t="str">
        <f>IF(BS$2=$BA14,IF(BS$2&lt;=$BB14,parameters!$H$7,parameters!$I$7),IF(BS$2&lt;=$BB14,parameters!$G$7,""))</f>
        <v/>
      </c>
      <c r="BT14" s="1" t="str">
        <f>IF(BT$2=$BA14,IF(BT$2&lt;=$BB14,parameters!$H$7,parameters!$I$7),IF(BT$2&lt;=$BB14,parameters!$G$7,""))</f>
        <v/>
      </c>
      <c r="BU14" s="1" t="str">
        <f>IF(BU$2=$BA14,IF(BU$2&lt;=$BB14,parameters!$H$7,parameters!$I$7),IF(BU$2&lt;=$BB14,parameters!$G$7,""))</f>
        <v/>
      </c>
      <c r="BV14" s="1" t="str">
        <f>IF(BV$2=$BA14,IF(BV$2&lt;=$BB14,parameters!$H$7,parameters!$I$7),IF(BV$2&lt;=$BB14,parameters!$G$7,""))</f>
        <v/>
      </c>
      <c r="BW14" s="1" t="str">
        <f>IF(BW$2=$BA14,IF(BW$2&lt;=$BB14,parameters!$H$7,parameters!$I$7),IF(BW$2&lt;=$BB14,parameters!$G$7,""))</f>
        <v/>
      </c>
      <c r="BX14" s="1" t="str">
        <f>IF(BX$2=$BA14,IF(BX$2&lt;=$BB14,parameters!$H$7,parameters!$I$7),IF(BX$2&lt;=$BB14,parameters!$G$7,""))</f>
        <v/>
      </c>
      <c r="BY14" s="1" t="str">
        <f>IF(BY$2=$BA14,IF(BY$2&lt;=$BB14,parameters!$H$7,parameters!$I$7),IF(BY$2&lt;=$BB14,parameters!$G$7,""))</f>
        <v/>
      </c>
      <c r="BZ14" s="1" t="str">
        <f>IF(BZ$2=$BA14,IF(BZ$2&lt;=$BB14,parameters!$H$7,parameters!$I$7),IF(BZ$2&lt;=$BB14,parameters!$G$7,""))</f>
        <v/>
      </c>
      <c r="CA14" s="1" t="str">
        <f>IF(CA$2=$BA14,IF(CA$2&lt;=$BB14,parameters!$H$7,parameters!$I$7),IF(CA$2&lt;=$BB14,parameters!$G$7,""))</f>
        <v/>
      </c>
      <c r="CB14" s="1" t="str">
        <f>IF(CB$2=$BA14,IF(CB$2&lt;=$BB14,parameters!$H$7,parameters!$I$7),IF(CB$2&lt;=$BB14,parameters!$G$7,""))</f>
        <v/>
      </c>
    </row>
    <row r="15" spans="2:80" x14ac:dyDescent="0.2">
      <c r="B15" s="1"/>
      <c r="AT15" s="21">
        <v>44986</v>
      </c>
      <c r="AU15" s="14">
        <v>900</v>
      </c>
      <c r="AV15" s="7">
        <v>1081</v>
      </c>
      <c r="AW15">
        <v>30</v>
      </c>
      <c r="AX15" s="14">
        <f t="shared" si="4"/>
        <v>4046</v>
      </c>
      <c r="AY15" s="14">
        <f>ROUND(AV15*parameters!$C$6,0)</f>
        <v>541</v>
      </c>
      <c r="AZ15" s="14">
        <f>ROUND(AV15*parameters!$C$7,0)</f>
        <v>865</v>
      </c>
      <c r="BA15" s="22">
        <f t="shared" si="0"/>
        <v>1</v>
      </c>
      <c r="BB15" s="22">
        <f t="shared" si="3"/>
        <v>5</v>
      </c>
      <c r="BC15" s="22">
        <v>20</v>
      </c>
      <c r="BD15">
        <f t="shared" si="1"/>
        <v>10</v>
      </c>
      <c r="BE15">
        <f t="shared" si="2"/>
        <v>16</v>
      </c>
      <c r="BF15" s="1" t="str">
        <f>IF(BF$2=$BA15,IF(BF$2&lt;=$BB15,parameters!$H$7,parameters!$I$7),IF(BF$2&lt;=$BB15,parameters!$G$7,""))</f>
        <v>┼</v>
      </c>
      <c r="BG15" s="1"/>
      <c r="BH15" s="1"/>
      <c r="BI15" s="1"/>
      <c r="BJ15" s="1" t="str">
        <f>IF(BJ$2=$BA15,IF(BJ$2&lt;=$BB15,parameters!$H$7,parameters!$I$7),IF(BJ$2&lt;=$BB15,parameters!$G$7,""))</f>
        <v>─</v>
      </c>
      <c r="BK15" s="1" t="str">
        <f>IF(BK$2=$BA15,IF(BK$2&lt;=$BB15,parameters!$H$7,parameters!$I$7),IF(BK$2&lt;=$BB15,parameters!$G$7,""))</f>
        <v>─</v>
      </c>
      <c r="BL15" s="1" t="str">
        <f>IF(BL$2=$BA15,IF(BL$2&lt;=$BB15,parameters!$H$7,parameters!$I$7),IF(BL$2&lt;=$BB15,parameters!$G$7,""))</f>
        <v>─</v>
      </c>
      <c r="BM15" s="1" t="str">
        <f>IF(BM$2=$BA15,IF(BM$2&lt;=$BB15,parameters!$H$7,parameters!$I$7),IF(BM$2&lt;=$BB15,parameters!$G$7,""))</f>
        <v>─</v>
      </c>
      <c r="BN15" s="1" t="str">
        <f>IF(BN$2=$BA15,IF(BN$2&lt;=$BB15,parameters!$H$7,parameters!$I$7),IF(BN$2&lt;=$BB15,parameters!$G$7,""))</f>
        <v/>
      </c>
      <c r="BO15" s="1" t="str">
        <f>IF(BO$2=$BA15,IF(BO$2&lt;=$BB15,parameters!$H$7,parameters!$I$7),IF(BO$2&lt;=$BB15,parameters!$G$7,""))</f>
        <v/>
      </c>
      <c r="BP15" s="1" t="str">
        <f>IF(BP$2=$BA15,IF(BP$2&lt;=$BB15,parameters!$H$7,parameters!$I$7),IF(BP$2&lt;=$BB15,parameters!$G$7,""))</f>
        <v/>
      </c>
      <c r="BQ15" s="1" t="str">
        <f>IF(BQ$2=$BA15,IF(BQ$2&lt;=$BB15,parameters!$H$7,parameters!$I$7),IF(BQ$2&lt;=$BB15,parameters!$G$7,""))</f>
        <v/>
      </c>
      <c r="BR15" s="1" t="str">
        <f>IF(BR$2=$BA15,IF(BR$2&lt;=$BB15,parameters!$H$7,parameters!$I$7),IF(BR$2&lt;=$BB15,parameters!$G$7,""))</f>
        <v/>
      </c>
      <c r="BS15" s="1" t="str">
        <f>IF(BS$2=$BA15,IF(BS$2&lt;=$BB15,parameters!$H$7,parameters!$I$7),IF(BS$2&lt;=$BB15,parameters!$G$7,""))</f>
        <v/>
      </c>
      <c r="BT15" s="1" t="str">
        <f>IF(BT$2=$BA15,IF(BT$2&lt;=$BB15,parameters!$H$7,parameters!$I$7),IF(BT$2&lt;=$BB15,parameters!$G$7,""))</f>
        <v/>
      </c>
      <c r="BU15" s="1" t="str">
        <f>IF(BU$2=$BA15,IF(BU$2&lt;=$BB15,parameters!$H$7,parameters!$I$7),IF(BU$2&lt;=$BB15,parameters!$G$7,""))</f>
        <v/>
      </c>
      <c r="BV15" s="1" t="str">
        <f>IF(BV$2=$BA15,IF(BV$2&lt;=$BB15,parameters!$H$7,parameters!$I$7),IF(BV$2&lt;=$BB15,parameters!$G$7,""))</f>
        <v/>
      </c>
      <c r="BW15" s="1" t="str">
        <f>IF(BW$2=$BA15,IF(BW$2&lt;=$BB15,parameters!$H$7,parameters!$I$7),IF(BW$2&lt;=$BB15,parameters!$G$7,""))</f>
        <v/>
      </c>
      <c r="BX15" s="1" t="str">
        <f>IF(BX$2=$BA15,IF(BX$2&lt;=$BB15,parameters!$H$7,parameters!$I$7),IF(BX$2&lt;=$BB15,parameters!$G$7,""))</f>
        <v/>
      </c>
      <c r="BY15" s="1" t="str">
        <f>IF(BY$2=$BA15,IF(BY$2&lt;=$BB15,parameters!$H$7,parameters!$I$7),IF(BY$2&lt;=$BB15,parameters!$G$7,""))</f>
        <v/>
      </c>
      <c r="BZ15" s="1" t="str">
        <f>IF(BZ$2=$BA15,IF(BZ$2&lt;=$BB15,parameters!$H$7,parameters!$I$7),IF(BZ$2&lt;=$BB15,parameters!$G$7,""))</f>
        <v/>
      </c>
      <c r="CA15" s="1" t="str">
        <f>IF(CA$2=$BA15,IF(CA$2&lt;=$BB15,parameters!$H$7,parameters!$I$7),IF(CA$2&lt;=$BB15,parameters!$G$7,""))</f>
        <v/>
      </c>
      <c r="CB15" s="1" t="str">
        <f>IF(CB$2=$BA15,IF(CB$2&lt;=$BB15,parameters!$H$7,parameters!$I$7),IF(CB$2&lt;=$BB15,parameters!$G$7,""))</f>
        <v/>
      </c>
    </row>
    <row r="16" spans="2:80" x14ac:dyDescent="0.2">
      <c r="B16" s="1"/>
      <c r="AU16" s="14">
        <f>SUM(AU4:AU15)</f>
        <v>4046</v>
      </c>
    </row>
    <row r="17" spans="2:57" x14ac:dyDescent="0.2">
      <c r="B17" s="1"/>
      <c r="AT17">
        <v>2</v>
      </c>
      <c r="AU17" t="s">
        <v>8</v>
      </c>
      <c r="AV17" t="s">
        <v>29</v>
      </c>
      <c r="AW17" t="s">
        <v>30</v>
      </c>
      <c r="AX17" t="s">
        <v>31</v>
      </c>
      <c r="AY17" t="s">
        <v>40</v>
      </c>
      <c r="AZ17" t="s">
        <v>41</v>
      </c>
      <c r="BA17" t="s">
        <v>30</v>
      </c>
      <c r="BB17" t="s">
        <v>21</v>
      </c>
      <c r="BC17" t="s">
        <v>20</v>
      </c>
      <c r="BD17" t="s">
        <v>40</v>
      </c>
      <c r="BE17" t="s">
        <v>41</v>
      </c>
    </row>
    <row r="18" spans="2:57" x14ac:dyDescent="0.2">
      <c r="B18" s="1"/>
      <c r="AT18" s="21">
        <f>INDEX(RN,$AT$17+1,1)</f>
        <v>44682</v>
      </c>
      <c r="AU18" s="22">
        <f>INDEX(RN,$AT$17+1,2)</f>
        <v>37</v>
      </c>
      <c r="AV18" s="22">
        <f>INDEX(RN,$AT$17+1,3)</f>
        <v>50</v>
      </c>
      <c r="AW18" s="22">
        <f>INDEX(RN,$AT$17+1,4)</f>
        <v>29</v>
      </c>
      <c r="AX18" s="22">
        <f>INDEX(RN,$AT$17+1,5)</f>
        <v>62</v>
      </c>
      <c r="AY18" s="22">
        <f>INDEX(RN,$AT$17+1,6)</f>
        <v>25</v>
      </c>
      <c r="AZ18" s="22">
        <f>INDEX(RN,$AT$17+1,7)</f>
        <v>40</v>
      </c>
      <c r="BA18" s="22">
        <f>INDEX(RN,$AT$17+1,8)</f>
        <v>12</v>
      </c>
      <c r="BB18" s="22">
        <f>INDEX(RN,$AT$17+1,9)</f>
        <v>15</v>
      </c>
      <c r="BC18" s="22">
        <f>INDEX(RN,$AT$17+1,10)</f>
        <v>20</v>
      </c>
      <c r="BD18" s="22">
        <f>INDEX(RN,$AT$17+1,11)</f>
        <v>10</v>
      </c>
      <c r="BE18" s="22">
        <f>INDEX(RN,$AT$17+1,12)</f>
        <v>16</v>
      </c>
    </row>
    <row r="19" spans="2:57" x14ac:dyDescent="0.2">
      <c r="B19" s="1"/>
    </row>
    <row r="20" spans="2:57" x14ac:dyDescent="0.2">
      <c r="B20" s="1" t="s">
        <v>36</v>
      </c>
      <c r="C20" s="29">
        <f ca="1">C12/DAY(TODAY())</f>
        <v>1.85</v>
      </c>
      <c r="D20" s="2" t="s">
        <v>49</v>
      </c>
      <c r="AT20" t="s">
        <v>22</v>
      </c>
      <c r="BB20" t="s">
        <v>43</v>
      </c>
    </row>
    <row r="21" spans="2:57" x14ac:dyDescent="0.2">
      <c r="B21" s="1"/>
      <c r="C21" s="78" t="str">
        <f>INDEX(RN,$AT$17-1,1)</f>
        <v>RN</v>
      </c>
      <c r="D21" s="78">
        <f>INDEX(RN,$AT$17,1)</f>
        <v>44652</v>
      </c>
      <c r="E21" s="78">
        <f>INDEX(RN,$AT$17+1,1)</f>
        <v>44682</v>
      </c>
      <c r="AU21" t="s">
        <v>20</v>
      </c>
      <c r="AZ21" s="37"/>
      <c r="BA21" s="37"/>
    </row>
    <row r="22" spans="2:57" x14ac:dyDescent="0.2">
      <c r="B22" s="1"/>
      <c r="C22" s="79" t="e">
        <f>INDEX(RN,$AT$17-1,2)/30</f>
        <v>#VALUE!</v>
      </c>
      <c r="D22" s="79">
        <f>INDEX(RN,$AT$17,2)/30</f>
        <v>0.83333333333333337</v>
      </c>
      <c r="E22" s="79">
        <f>INDEX(RN,$AT$17+1,2)/30</f>
        <v>1.2333333333333334</v>
      </c>
      <c r="AU22" s="111" t="s">
        <v>54</v>
      </c>
      <c r="AV22" s="111"/>
      <c r="AW22" s="111"/>
      <c r="AZ22" s="83" t="s">
        <v>55</v>
      </c>
      <c r="BA22" s="83"/>
      <c r="BB22" s="83"/>
    </row>
    <row r="23" spans="2:57" x14ac:dyDescent="0.2">
      <c r="B23" s="1"/>
      <c r="AT23" s="3"/>
      <c r="AU23" s="3" t="s">
        <v>52</v>
      </c>
      <c r="AV23" s="3" t="s">
        <v>53</v>
      </c>
      <c r="AW23" s="3" t="s">
        <v>56</v>
      </c>
      <c r="AX23" s="8" t="s">
        <v>6</v>
      </c>
      <c r="AY23" s="3" t="s">
        <v>20</v>
      </c>
      <c r="AZ23" s="8" t="s">
        <v>57</v>
      </c>
      <c r="BA23" s="3" t="s">
        <v>58</v>
      </c>
      <c r="BB23" s="3" t="s">
        <v>6</v>
      </c>
      <c r="BC23" s="3" t="s">
        <v>20</v>
      </c>
      <c r="BD23" s="4" t="s">
        <v>5</v>
      </c>
    </row>
    <row r="24" spans="2:57" ht="20.25" x14ac:dyDescent="0.3">
      <c r="B24" s="1" t="s">
        <v>69</v>
      </c>
      <c r="G24" s="33"/>
      <c r="AT24" s="35">
        <v>40269</v>
      </c>
      <c r="AU24" s="3">
        <v>3661</v>
      </c>
      <c r="AV24" s="3">
        <v>200</v>
      </c>
      <c r="AW24" s="3"/>
      <c r="AX24" s="3">
        <v>200</v>
      </c>
      <c r="AY24" s="36">
        <f>SUM(AU24:AX24)</f>
        <v>4061</v>
      </c>
      <c r="AZ24" s="3"/>
      <c r="BA24" s="3"/>
      <c r="BB24" s="3"/>
      <c r="BC24" s="36">
        <f>SUM(AZ24:BB24)</f>
        <v>0</v>
      </c>
      <c r="BD24" s="27">
        <f>BC24+AY24</f>
        <v>4061</v>
      </c>
    </row>
    <row r="25" spans="2:57" x14ac:dyDescent="0.2">
      <c r="C25" s="2" t="s">
        <v>7</v>
      </c>
      <c r="D25" s="26" t="s">
        <v>21</v>
      </c>
      <c r="E25" s="2" t="s">
        <v>23</v>
      </c>
      <c r="F25" s="26" t="s">
        <v>24</v>
      </c>
      <c r="AT25" s="35">
        <v>40299</v>
      </c>
      <c r="AU25" s="15">
        <v>4928</v>
      </c>
      <c r="AV25" s="3">
        <v>120</v>
      </c>
      <c r="AW25" s="3"/>
      <c r="AX25" s="3">
        <v>200</v>
      </c>
      <c r="AY25" s="36">
        <f t="shared" ref="AY25:AY35" si="5">SUM(AU25:AX25)</f>
        <v>5248</v>
      </c>
      <c r="AZ25" s="3"/>
      <c r="BA25" s="3"/>
      <c r="BB25" s="3"/>
      <c r="BC25" s="36">
        <f t="shared" ref="BC25:BC35" si="6">SUM(AZ25:BB25)</f>
        <v>0</v>
      </c>
      <c r="BD25" s="27">
        <f t="shared" ref="BD25:BD36" si="7">BC25+AY25</f>
        <v>5248</v>
      </c>
    </row>
    <row r="26" spans="2:57" x14ac:dyDescent="0.2">
      <c r="B26" s="60" t="s">
        <v>78</v>
      </c>
      <c r="C26" s="61">
        <v>1</v>
      </c>
      <c r="D26" s="61">
        <v>2</v>
      </c>
      <c r="E26" s="61">
        <v>3</v>
      </c>
      <c r="F26" s="62">
        <v>4</v>
      </c>
      <c r="AT26" s="35">
        <v>40330</v>
      </c>
      <c r="AU26" s="15">
        <v>2636</v>
      </c>
      <c r="AV26" s="3">
        <v>300</v>
      </c>
      <c r="AW26" s="36">
        <v>372</v>
      </c>
      <c r="AX26" s="3">
        <v>200</v>
      </c>
      <c r="AY26" s="36">
        <f t="shared" si="5"/>
        <v>3508</v>
      </c>
      <c r="AZ26" s="3">
        <v>1000</v>
      </c>
      <c r="BA26" s="3"/>
      <c r="BB26" s="3"/>
      <c r="BC26" s="36">
        <f t="shared" si="6"/>
        <v>1000</v>
      </c>
      <c r="BD26" s="27">
        <f t="shared" si="7"/>
        <v>4508</v>
      </c>
    </row>
    <row r="27" spans="2:57" x14ac:dyDescent="0.2">
      <c r="B27" s="63" t="s">
        <v>82</v>
      </c>
      <c r="C27" s="59" t="str">
        <f>IF(mySortCriteria=C26,CHOOSE($AU$118,"▼","▲"),"")</f>
        <v/>
      </c>
      <c r="D27" s="59" t="str">
        <f>IF(mySortCriteria=D26,CHOOSE($AU$118,"▼","▲"),"")</f>
        <v>▲</v>
      </c>
      <c r="E27" s="59" t="str">
        <f>IF(mySortCriteria=E26,CHOOSE($AU$118,"▼","▲"),"")</f>
        <v/>
      </c>
      <c r="F27" s="64" t="str">
        <f>IF(mySortCriteria=F26,CHOOSE($AU$118,"▼","▲"),"")</f>
        <v/>
      </c>
      <c r="AT27" s="35">
        <v>40360</v>
      </c>
      <c r="AU27" s="15">
        <v>1809</v>
      </c>
      <c r="AV27" s="3">
        <v>200</v>
      </c>
      <c r="AW27" s="36">
        <v>234</v>
      </c>
      <c r="AX27" s="3">
        <v>240</v>
      </c>
      <c r="AY27" s="36">
        <f t="shared" si="5"/>
        <v>2483</v>
      </c>
      <c r="AZ27" s="3">
        <v>1000</v>
      </c>
      <c r="BA27" s="3"/>
      <c r="BB27" s="3"/>
      <c r="BC27" s="36">
        <f t="shared" si="6"/>
        <v>1000</v>
      </c>
      <c r="BD27" s="27">
        <f t="shared" si="7"/>
        <v>3483</v>
      </c>
    </row>
    <row r="28" spans="2:57" ht="22.5" customHeight="1" x14ac:dyDescent="0.25">
      <c r="B28" s="56" t="str">
        <f t="shared" ref="B28:B41" ca="1" si="8">OFFSET($AZ119,1,0)</f>
        <v>AUSTRALIA</v>
      </c>
      <c r="C28" s="57">
        <f t="shared" ref="C28:C41" ca="1" si="9">OFFSET($AZ119,1,1)</f>
        <v>0</v>
      </c>
      <c r="D28" s="56">
        <f t="shared" ref="D28:D41" ca="1" si="10">OFFSET($AZ119,1,2)</f>
        <v>0</v>
      </c>
      <c r="E28" s="57">
        <f t="shared" ref="E28:E41" ca="1" si="11">OFFSET($AZ119,1,3)</f>
        <v>0</v>
      </c>
      <c r="F28" s="58">
        <f t="shared" ref="F28:F41" ca="1" si="12">OFFSET($AZ119,1,4)</f>
        <v>0</v>
      </c>
      <c r="AG28" s="10"/>
      <c r="AT28" s="35">
        <v>40391</v>
      </c>
      <c r="AU28" s="15">
        <v>2500</v>
      </c>
      <c r="AV28" s="3">
        <v>300</v>
      </c>
      <c r="AW28" s="3">
        <v>1300</v>
      </c>
      <c r="AX28" s="3">
        <v>300</v>
      </c>
      <c r="AY28" s="36">
        <f t="shared" si="5"/>
        <v>4400</v>
      </c>
      <c r="AZ28" s="3"/>
      <c r="BA28" s="3"/>
      <c r="BB28" s="3"/>
      <c r="BC28" s="36">
        <f t="shared" si="6"/>
        <v>0</v>
      </c>
      <c r="BD28" s="27">
        <f t="shared" si="7"/>
        <v>4400</v>
      </c>
    </row>
    <row r="29" spans="2:57" ht="22.5" customHeight="1" x14ac:dyDescent="0.25">
      <c r="B29" s="56" t="str">
        <f t="shared" ca="1" si="8"/>
        <v>JAPAN</v>
      </c>
      <c r="C29" s="57">
        <f t="shared" ca="1" si="9"/>
        <v>194.59199999999998</v>
      </c>
      <c r="D29" s="56">
        <f t="shared" ca="1" si="10"/>
        <v>0</v>
      </c>
      <c r="E29" s="57">
        <f t="shared" ca="1" si="11"/>
        <v>0</v>
      </c>
      <c r="F29" s="58">
        <f t="shared" ca="1" si="12"/>
        <v>0</v>
      </c>
      <c r="AG29" s="10"/>
      <c r="AT29" s="35">
        <v>40422</v>
      </c>
      <c r="AU29" s="15">
        <v>2700</v>
      </c>
      <c r="AV29" s="3">
        <v>500</v>
      </c>
      <c r="AW29" s="3">
        <v>1500</v>
      </c>
      <c r="AX29" s="3">
        <v>300</v>
      </c>
      <c r="AY29" s="36">
        <f t="shared" si="5"/>
        <v>5000</v>
      </c>
      <c r="AZ29" s="3"/>
      <c r="BA29" s="3"/>
      <c r="BB29" s="3"/>
      <c r="BC29" s="36">
        <f t="shared" si="6"/>
        <v>0</v>
      </c>
      <c r="BD29" s="27">
        <f t="shared" si="7"/>
        <v>5000</v>
      </c>
    </row>
    <row r="30" spans="2:57" ht="17.25" customHeight="1" x14ac:dyDescent="0.25">
      <c r="B30" s="56" t="str">
        <f t="shared" ca="1" si="8"/>
        <v>PHILLIPINES</v>
      </c>
      <c r="C30" s="57">
        <f t="shared" ca="1" si="9"/>
        <v>0</v>
      </c>
      <c r="D30" s="56">
        <f t="shared" ca="1" si="10"/>
        <v>0</v>
      </c>
      <c r="E30" s="57">
        <f t="shared" ca="1" si="11"/>
        <v>0</v>
      </c>
      <c r="F30" s="58">
        <f t="shared" ca="1" si="12"/>
        <v>0</v>
      </c>
      <c r="AG30" s="10"/>
      <c r="AT30" s="35">
        <v>40452</v>
      </c>
      <c r="AU30" s="15">
        <v>3000</v>
      </c>
      <c r="AV30" s="3">
        <v>450</v>
      </c>
      <c r="AW30" s="3">
        <v>1600</v>
      </c>
      <c r="AX30" s="3">
        <v>300</v>
      </c>
      <c r="AY30" s="36">
        <f t="shared" si="5"/>
        <v>5350</v>
      </c>
      <c r="AZ30" s="3"/>
      <c r="BA30" s="3"/>
      <c r="BB30" s="3"/>
      <c r="BC30" s="36">
        <f t="shared" si="6"/>
        <v>0</v>
      </c>
      <c r="BD30" s="27">
        <f t="shared" si="7"/>
        <v>5350</v>
      </c>
    </row>
    <row r="31" spans="2:57" ht="22.5" customHeight="1" x14ac:dyDescent="0.2">
      <c r="B31" s="56" t="str">
        <f t="shared" ca="1" si="8"/>
        <v>TAIWAN</v>
      </c>
      <c r="C31" s="57">
        <f t="shared" ca="1" si="9"/>
        <v>24.704000000000004</v>
      </c>
      <c r="D31" s="56">
        <f t="shared" ca="1" si="10"/>
        <v>0</v>
      </c>
      <c r="E31" s="57">
        <f t="shared" ca="1" si="11"/>
        <v>0</v>
      </c>
      <c r="F31" s="58">
        <f t="shared" ca="1" si="12"/>
        <v>0</v>
      </c>
      <c r="AT31" s="35">
        <v>40483</v>
      </c>
      <c r="AU31" s="15">
        <v>3400</v>
      </c>
      <c r="AV31" s="3">
        <v>500</v>
      </c>
      <c r="AW31" s="3">
        <v>1650</v>
      </c>
      <c r="AX31" s="3">
        <v>300</v>
      </c>
      <c r="AY31" s="36">
        <f t="shared" si="5"/>
        <v>5850</v>
      </c>
      <c r="AZ31" s="3">
        <v>3000</v>
      </c>
      <c r="BA31" s="3"/>
      <c r="BB31" s="3"/>
      <c r="BC31" s="36">
        <f t="shared" si="6"/>
        <v>3000</v>
      </c>
      <c r="BD31" s="27">
        <f t="shared" si="7"/>
        <v>8850</v>
      </c>
    </row>
    <row r="32" spans="2:57" x14ac:dyDescent="0.2">
      <c r="B32" s="56" t="str">
        <f t="shared" ca="1" si="8"/>
        <v>THAILAND</v>
      </c>
      <c r="C32" s="57">
        <f t="shared" ca="1" si="9"/>
        <v>413.79200000000014</v>
      </c>
      <c r="D32" s="56">
        <f t="shared" ca="1" si="10"/>
        <v>0</v>
      </c>
      <c r="E32" s="57">
        <f t="shared" ca="1" si="11"/>
        <v>0</v>
      </c>
      <c r="F32" s="58">
        <f t="shared" ca="1" si="12"/>
        <v>0</v>
      </c>
      <c r="AT32" s="35">
        <v>40513</v>
      </c>
      <c r="AU32" s="15">
        <v>3000</v>
      </c>
      <c r="AV32" s="3">
        <v>600</v>
      </c>
      <c r="AW32" s="3">
        <v>1700</v>
      </c>
      <c r="AX32" s="3">
        <v>300</v>
      </c>
      <c r="AY32" s="36">
        <f t="shared" si="5"/>
        <v>5600</v>
      </c>
      <c r="AZ32" s="3"/>
      <c r="BA32" s="3">
        <v>15000</v>
      </c>
      <c r="BB32" s="3"/>
      <c r="BC32" s="36">
        <f t="shared" si="6"/>
        <v>15000</v>
      </c>
      <c r="BD32" s="27">
        <f t="shared" si="7"/>
        <v>20600</v>
      </c>
    </row>
    <row r="33" spans="2:56" x14ac:dyDescent="0.2">
      <c r="B33" s="56" t="str">
        <f t="shared" ca="1" si="8"/>
        <v>VIETNAM</v>
      </c>
      <c r="C33" s="57">
        <f t="shared" ca="1" si="9"/>
        <v>672.31999999999994</v>
      </c>
      <c r="D33" s="57">
        <f t="shared" ca="1" si="10"/>
        <v>0</v>
      </c>
      <c r="E33" s="57">
        <f t="shared" ca="1" si="11"/>
        <v>0</v>
      </c>
      <c r="F33" s="58">
        <f t="shared" ca="1" si="12"/>
        <v>0</v>
      </c>
      <c r="AT33" s="35">
        <v>40544</v>
      </c>
      <c r="AU33" s="15">
        <v>3500</v>
      </c>
      <c r="AV33" s="3">
        <v>470</v>
      </c>
      <c r="AW33" s="3">
        <v>1750</v>
      </c>
      <c r="AX33" s="3">
        <v>300</v>
      </c>
      <c r="AY33" s="36">
        <f t="shared" si="5"/>
        <v>6020</v>
      </c>
      <c r="AZ33" s="3"/>
      <c r="BA33" s="3"/>
      <c r="BB33" s="3"/>
      <c r="BC33" s="36">
        <f t="shared" si="6"/>
        <v>0</v>
      </c>
      <c r="BD33" s="27">
        <f t="shared" si="7"/>
        <v>6020</v>
      </c>
    </row>
    <row r="34" spans="2:56" x14ac:dyDescent="0.2">
      <c r="B34" s="56" t="str">
        <f t="shared" ca="1" si="8"/>
        <v>MALAYSIA_FB</v>
      </c>
      <c r="C34" s="57">
        <f t="shared" ca="1" si="9"/>
        <v>0</v>
      </c>
      <c r="D34" s="57">
        <f t="shared" ca="1" si="10"/>
        <v>0</v>
      </c>
      <c r="E34" s="57">
        <f t="shared" ca="1" si="11"/>
        <v>0</v>
      </c>
      <c r="F34" s="58">
        <f t="shared" ca="1" si="12"/>
        <v>0</v>
      </c>
      <c r="AT34" s="35">
        <v>40575</v>
      </c>
      <c r="AU34" s="15">
        <v>4000</v>
      </c>
      <c r="AV34" s="3">
        <v>560</v>
      </c>
      <c r="AW34" s="3">
        <v>1800</v>
      </c>
      <c r="AX34" s="3">
        <v>300</v>
      </c>
      <c r="AY34" s="36">
        <f t="shared" si="5"/>
        <v>6660</v>
      </c>
      <c r="AZ34" s="3"/>
      <c r="BA34" s="3"/>
      <c r="BB34" s="3"/>
      <c r="BC34" s="36">
        <f t="shared" si="6"/>
        <v>0</v>
      </c>
      <c r="BD34" s="27">
        <f t="shared" si="7"/>
        <v>6660</v>
      </c>
    </row>
    <row r="35" spans="2:56" x14ac:dyDescent="0.2">
      <c r="B35" s="56" t="str">
        <f t="shared" ca="1" si="8"/>
        <v>SINGAPORE_FB</v>
      </c>
      <c r="C35" s="57">
        <f t="shared" ca="1" si="9"/>
        <v>0</v>
      </c>
      <c r="D35" s="57">
        <f t="shared" ca="1" si="10"/>
        <v>0</v>
      </c>
      <c r="E35" s="57">
        <f t="shared" ca="1" si="11"/>
        <v>0</v>
      </c>
      <c r="F35" s="58">
        <f t="shared" ca="1" si="12"/>
        <v>0</v>
      </c>
      <c r="AT35" s="35">
        <v>40603</v>
      </c>
      <c r="AU35" s="15">
        <v>4300</v>
      </c>
      <c r="AV35" s="3">
        <v>600</v>
      </c>
      <c r="AW35" s="3">
        <v>1900</v>
      </c>
      <c r="AX35" s="3">
        <v>300</v>
      </c>
      <c r="AY35" s="36">
        <f t="shared" si="5"/>
        <v>7100</v>
      </c>
      <c r="AZ35" s="3"/>
      <c r="BA35" s="3"/>
      <c r="BB35" s="3"/>
      <c r="BC35" s="36">
        <f t="shared" si="6"/>
        <v>0</v>
      </c>
      <c r="BD35" s="27">
        <f t="shared" si="7"/>
        <v>7100</v>
      </c>
    </row>
    <row r="36" spans="2:56" x14ac:dyDescent="0.2">
      <c r="B36" s="56" t="str">
        <f t="shared" ca="1" si="8"/>
        <v>MACAU</v>
      </c>
      <c r="C36" s="57">
        <f t="shared" ca="1" si="9"/>
        <v>206.52799999999999</v>
      </c>
      <c r="D36" s="57">
        <f t="shared" ca="1" si="10"/>
        <v>2</v>
      </c>
      <c r="E36" s="57">
        <f t="shared" ca="1" si="11"/>
        <v>103.264</v>
      </c>
      <c r="F36" s="58">
        <f t="shared" ca="1" si="12"/>
        <v>0.39716923076923077</v>
      </c>
      <c r="AT36" s="3"/>
      <c r="AU36" s="36">
        <f>SUM(AU24:AU35)</f>
        <v>39434</v>
      </c>
      <c r="AV36" s="36">
        <f t="shared" ref="AV36:BC36" si="13">SUM(AV24:AV35)</f>
        <v>4800</v>
      </c>
      <c r="AW36" s="36">
        <f t="shared" si="13"/>
        <v>13806</v>
      </c>
      <c r="AX36" s="36">
        <f t="shared" si="13"/>
        <v>3240</v>
      </c>
      <c r="AY36" s="36">
        <f t="shared" si="13"/>
        <v>61280</v>
      </c>
      <c r="AZ36" s="36">
        <f t="shared" si="13"/>
        <v>5000</v>
      </c>
      <c r="BA36" s="36">
        <f t="shared" si="13"/>
        <v>15000</v>
      </c>
      <c r="BB36" s="36">
        <f t="shared" si="13"/>
        <v>0</v>
      </c>
      <c r="BC36" s="36">
        <f t="shared" si="13"/>
        <v>20000</v>
      </c>
      <c r="BD36" s="27">
        <f t="shared" si="7"/>
        <v>81280</v>
      </c>
    </row>
    <row r="37" spans="2:56" x14ac:dyDescent="0.2">
      <c r="B37" s="56" t="str">
        <f t="shared" ca="1" si="8"/>
        <v>CHINA</v>
      </c>
      <c r="C37" s="57">
        <f t="shared" ca="1" si="9"/>
        <v>195.00800000000001</v>
      </c>
      <c r="D37" s="57">
        <f t="shared" ca="1" si="10"/>
        <v>3</v>
      </c>
      <c r="E37" s="57">
        <f t="shared" ca="1" si="11"/>
        <v>65.00266666666667</v>
      </c>
      <c r="F37" s="58">
        <f t="shared" ca="1" si="12"/>
        <v>0.25001025641025643</v>
      </c>
    </row>
    <row r="38" spans="2:56" x14ac:dyDescent="0.2">
      <c r="B38" s="56" t="str">
        <f t="shared" ca="1" si="8"/>
        <v>INDONESIA</v>
      </c>
      <c r="C38" s="57">
        <f t="shared" ca="1" si="9"/>
        <v>740.6400000000001</v>
      </c>
      <c r="D38" s="57">
        <f t="shared" ca="1" si="10"/>
        <v>4</v>
      </c>
      <c r="E38" s="57">
        <f t="shared" ca="1" si="11"/>
        <v>185.16000000000003</v>
      </c>
      <c r="F38" s="58">
        <f t="shared" ca="1" si="12"/>
        <v>0.71215384615384625</v>
      </c>
      <c r="AT38" t="s">
        <v>63</v>
      </c>
    </row>
    <row r="39" spans="2:56" x14ac:dyDescent="0.2">
      <c r="B39" s="56" t="str">
        <f t="shared" ca="1" si="8"/>
        <v>HONG KONG</v>
      </c>
      <c r="C39" s="57">
        <f t="shared" ca="1" si="9"/>
        <v>211.072</v>
      </c>
      <c r="D39" s="57">
        <f t="shared" ca="1" si="10"/>
        <v>6</v>
      </c>
      <c r="E39" s="57">
        <f t="shared" ca="1" si="11"/>
        <v>35.178666666666665</v>
      </c>
      <c r="F39" s="58">
        <f t="shared" ca="1" si="12"/>
        <v>0.13530256410256411</v>
      </c>
      <c r="AT39" s="3"/>
      <c r="AU39" s="3" t="s">
        <v>52</v>
      </c>
      <c r="AV39" s="3" t="s">
        <v>53</v>
      </c>
      <c r="AW39" s="3" t="s">
        <v>56</v>
      </c>
      <c r="AX39" s="8" t="s">
        <v>64</v>
      </c>
      <c r="AY39" s="8" t="s">
        <v>57</v>
      </c>
      <c r="AZ39" s="3" t="s">
        <v>58</v>
      </c>
      <c r="BA39" s="3" t="s">
        <v>65</v>
      </c>
      <c r="BB39" s="3"/>
    </row>
    <row r="40" spans="2:56" x14ac:dyDescent="0.2">
      <c r="B40" s="56" t="str">
        <f t="shared" ca="1" si="8"/>
        <v>MALAYSIA</v>
      </c>
      <c r="C40" s="57">
        <f t="shared" ca="1" si="9"/>
        <v>597.82400000000007</v>
      </c>
      <c r="D40" s="56">
        <f t="shared" ca="1" si="10"/>
        <v>11</v>
      </c>
      <c r="E40" s="57">
        <f t="shared" ca="1" si="11"/>
        <v>54.347636363636369</v>
      </c>
      <c r="F40" s="58">
        <f t="shared" ca="1" si="12"/>
        <v>0.20902937062937066</v>
      </c>
      <c r="AT40" s="35">
        <f>INDEX(AP,$AT$17+1,1)</f>
        <v>40299</v>
      </c>
      <c r="AU40" s="36">
        <f>INDEX(AP,$AT$17+1,2)</f>
        <v>4928</v>
      </c>
      <c r="AV40" s="36">
        <f>INDEX(AP,$AT$17+1,3)</f>
        <v>120</v>
      </c>
      <c r="AW40" s="36">
        <f>INDEX(AP,$AT$17+1,4)</f>
        <v>0</v>
      </c>
      <c r="AX40" s="36">
        <f>INDEX(AP,$AT$17+1,5)</f>
        <v>200</v>
      </c>
      <c r="AY40" s="36">
        <f>INDEX(AP,$AT$17+1,7)</f>
        <v>0</v>
      </c>
      <c r="AZ40" s="36">
        <f>INDEX(AP,$AT$17+1,8)</f>
        <v>0</v>
      </c>
      <c r="BA40" s="36">
        <f>INDEX(AP,$AT$17+1,9)</f>
        <v>0</v>
      </c>
      <c r="BB40" s="36"/>
    </row>
    <row r="41" spans="2:56" x14ac:dyDescent="0.2">
      <c r="B41" s="56" t="str">
        <f t="shared" ca="1" si="8"/>
        <v>SINGAPORE</v>
      </c>
      <c r="C41" s="57">
        <f t="shared" ca="1" si="9"/>
        <v>1671.36</v>
      </c>
      <c r="D41" s="56">
        <f t="shared" ca="1" si="10"/>
        <v>11</v>
      </c>
      <c r="E41" s="57">
        <f t="shared" ca="1" si="11"/>
        <v>151.94181818181818</v>
      </c>
      <c r="F41" s="58">
        <f t="shared" ca="1" si="12"/>
        <v>0.58439160839160831</v>
      </c>
      <c r="AT41" s="54"/>
      <c r="AU41" s="55"/>
      <c r="AV41" s="55"/>
      <c r="AW41" s="55"/>
      <c r="AX41" s="55"/>
      <c r="AY41" s="55"/>
      <c r="AZ41" s="55"/>
      <c r="BA41" s="55"/>
      <c r="BB41" s="55"/>
    </row>
    <row r="42" spans="2:56" x14ac:dyDescent="0.2">
      <c r="B42" s="50" t="s">
        <v>86</v>
      </c>
    </row>
    <row r="43" spans="2:56" x14ac:dyDescent="0.2">
      <c r="B43" s="2" t="str">
        <f>CONCATENATE("The Cost/RN benchmark is ",AV135)</f>
        <v>The Cost/RN benchmark is 10</v>
      </c>
      <c r="AL43" s="65" t="s">
        <v>90</v>
      </c>
      <c r="AM43" s="53">
        <f ca="1">NOW()</f>
        <v>44854.703496412039</v>
      </c>
      <c r="AT43" t="s">
        <v>66</v>
      </c>
    </row>
    <row r="44" spans="2:56" x14ac:dyDescent="0.2">
      <c r="AU44" s="3" t="s">
        <v>52</v>
      </c>
      <c r="AV44" s="3" t="s">
        <v>53</v>
      </c>
      <c r="AW44" s="3" t="s">
        <v>56</v>
      </c>
      <c r="AX44" s="8" t="s">
        <v>64</v>
      </c>
      <c r="AY44" s="8" t="s">
        <v>57</v>
      </c>
      <c r="AZ44" s="3" t="s">
        <v>58</v>
      </c>
      <c r="BA44" s="3" t="s">
        <v>65</v>
      </c>
    </row>
    <row r="45" spans="2:56" x14ac:dyDescent="0.2">
      <c r="AT45" s="35" t="s">
        <v>20</v>
      </c>
      <c r="AU45" s="38">
        <f>AU36</f>
        <v>39434</v>
      </c>
      <c r="AV45" s="38">
        <f>AV36</f>
        <v>4800</v>
      </c>
      <c r="AW45" s="38">
        <f>AW36</f>
        <v>13806</v>
      </c>
      <c r="AX45" s="38">
        <f>AX36</f>
        <v>3240</v>
      </c>
      <c r="AY45" s="27">
        <f>AZ36</f>
        <v>5000</v>
      </c>
      <c r="AZ45" s="27">
        <f>BA36</f>
        <v>15000</v>
      </c>
      <c r="BA45" s="27">
        <f>BB36</f>
        <v>0</v>
      </c>
    </row>
    <row r="47" spans="2:56" x14ac:dyDescent="0.2">
      <c r="AT47" t="s">
        <v>67</v>
      </c>
    </row>
    <row r="48" spans="2:56" x14ac:dyDescent="0.2">
      <c r="AU48" t="s">
        <v>21</v>
      </c>
      <c r="AV48" t="s">
        <v>27</v>
      </c>
      <c r="AW48" t="s">
        <v>9</v>
      </c>
      <c r="AX48" t="s">
        <v>68</v>
      </c>
      <c r="AY48" t="s">
        <v>23</v>
      </c>
      <c r="AZ48" t="s">
        <v>70</v>
      </c>
    </row>
    <row r="49" spans="46:52" x14ac:dyDescent="0.2">
      <c r="AT49" s="35">
        <v>40269</v>
      </c>
      <c r="AU49" s="14">
        <f>AU4</f>
        <v>25</v>
      </c>
      <c r="AV49">
        <f>AU4*parameters!$C$4</f>
        <v>6500</v>
      </c>
      <c r="AW49" s="27">
        <f t="shared" ref="AW49:AW60" si="14">BD24</f>
        <v>4061</v>
      </c>
      <c r="AX49" s="17">
        <f>AW49/AV49</f>
        <v>0.62476923076923074</v>
      </c>
      <c r="AY49" s="28">
        <f>AW49/AU49</f>
        <v>162.44</v>
      </c>
    </row>
    <row r="50" spans="46:52" x14ac:dyDescent="0.2">
      <c r="AT50" s="35">
        <v>40299</v>
      </c>
      <c r="AU50" s="14">
        <f t="shared" ref="AU50:AU60" si="15">AU5</f>
        <v>37</v>
      </c>
      <c r="AV50">
        <f>AU5*parameters!$C$4</f>
        <v>9620</v>
      </c>
      <c r="AW50" s="27">
        <f t="shared" si="14"/>
        <v>5248</v>
      </c>
      <c r="AX50" s="17">
        <f t="shared" ref="AX50:AX60" si="16">AW50/AV50</f>
        <v>0.54553014553014556</v>
      </c>
      <c r="AY50" s="28">
        <f t="shared" ref="AY50:AY60" si="17">AW50/AU50</f>
        <v>141.83783783783784</v>
      </c>
      <c r="AZ50" s="17">
        <f>(AV50-AV49)/AV49</f>
        <v>0.48</v>
      </c>
    </row>
    <row r="51" spans="46:52" x14ac:dyDescent="0.2">
      <c r="AT51" s="35">
        <v>40330</v>
      </c>
      <c r="AU51" s="14">
        <f t="shared" si="15"/>
        <v>68</v>
      </c>
      <c r="AV51">
        <f>AU6*parameters!$C$4</f>
        <v>17680</v>
      </c>
      <c r="AW51" s="27">
        <f t="shared" si="14"/>
        <v>4508</v>
      </c>
      <c r="AX51" s="17">
        <f t="shared" si="16"/>
        <v>0.25497737556561084</v>
      </c>
      <c r="AY51" s="28">
        <f t="shared" si="17"/>
        <v>66.294117647058826</v>
      </c>
      <c r="AZ51" s="17">
        <f t="shared" ref="AZ51:AZ60" si="18">(AV51-AV50)/AV50</f>
        <v>0.83783783783783783</v>
      </c>
    </row>
    <row r="52" spans="46:52" x14ac:dyDescent="0.2">
      <c r="AT52" s="35">
        <v>40360</v>
      </c>
      <c r="AU52" s="14">
        <f t="shared" si="15"/>
        <v>32</v>
      </c>
      <c r="AV52">
        <f>AU7*parameters!$C$4</f>
        <v>8320</v>
      </c>
      <c r="AW52" s="27">
        <f t="shared" si="14"/>
        <v>3483</v>
      </c>
      <c r="AX52" s="17">
        <f t="shared" si="16"/>
        <v>0.41862980769230768</v>
      </c>
      <c r="AY52" s="28">
        <f t="shared" si="17"/>
        <v>108.84375</v>
      </c>
      <c r="AZ52" s="17">
        <f t="shared" si="18"/>
        <v>-0.52941176470588236</v>
      </c>
    </row>
    <row r="53" spans="46:52" x14ac:dyDescent="0.2">
      <c r="AT53" s="35">
        <v>40391</v>
      </c>
      <c r="AU53" s="14">
        <f t="shared" si="15"/>
        <v>60</v>
      </c>
      <c r="AV53">
        <f>AU8*parameters!$C$4</f>
        <v>15600</v>
      </c>
      <c r="AW53" s="27">
        <f t="shared" si="14"/>
        <v>4400</v>
      </c>
      <c r="AX53" s="17">
        <f t="shared" si="16"/>
        <v>0.28205128205128205</v>
      </c>
      <c r="AY53" s="28">
        <f t="shared" si="17"/>
        <v>73.333333333333329</v>
      </c>
      <c r="AZ53" s="17">
        <f t="shared" si="18"/>
        <v>0.875</v>
      </c>
    </row>
    <row r="54" spans="46:52" x14ac:dyDescent="0.2">
      <c r="AT54" s="35">
        <v>40422</v>
      </c>
      <c r="AU54" s="14">
        <f t="shared" si="15"/>
        <v>86</v>
      </c>
      <c r="AV54">
        <f>AU9*parameters!$C$4</f>
        <v>22360</v>
      </c>
      <c r="AW54" s="27">
        <f t="shared" si="14"/>
        <v>5000</v>
      </c>
      <c r="AX54" s="17">
        <f t="shared" si="16"/>
        <v>0.22361359570661896</v>
      </c>
      <c r="AY54" s="28">
        <f t="shared" si="17"/>
        <v>58.139534883720927</v>
      </c>
      <c r="AZ54" s="17">
        <f t="shared" si="18"/>
        <v>0.43333333333333335</v>
      </c>
    </row>
    <row r="55" spans="46:52" x14ac:dyDescent="0.2">
      <c r="AT55" s="35">
        <v>40452</v>
      </c>
      <c r="AU55" s="14">
        <f t="shared" si="15"/>
        <v>120</v>
      </c>
      <c r="AV55">
        <f>AU10*parameters!$C$4</f>
        <v>31200</v>
      </c>
      <c r="AW55" s="27">
        <f t="shared" si="14"/>
        <v>5350</v>
      </c>
      <c r="AX55" s="17">
        <f t="shared" si="16"/>
        <v>0.17147435897435898</v>
      </c>
      <c r="AY55" s="28">
        <f t="shared" si="17"/>
        <v>44.583333333333336</v>
      </c>
      <c r="AZ55" s="17">
        <f t="shared" si="18"/>
        <v>0.39534883720930231</v>
      </c>
    </row>
    <row r="56" spans="46:52" x14ac:dyDescent="0.2">
      <c r="AT56" s="35">
        <v>40483</v>
      </c>
      <c r="AU56" s="14">
        <f t="shared" si="15"/>
        <v>350</v>
      </c>
      <c r="AV56">
        <f>AU11*parameters!$C$4</f>
        <v>91000</v>
      </c>
      <c r="AW56" s="27">
        <f t="shared" si="14"/>
        <v>8850</v>
      </c>
      <c r="AX56" s="17">
        <f t="shared" si="16"/>
        <v>9.7252747252747254E-2</v>
      </c>
      <c r="AY56" s="28">
        <f t="shared" si="17"/>
        <v>25.285714285714285</v>
      </c>
      <c r="AZ56" s="17">
        <f t="shared" si="18"/>
        <v>1.9166666666666667</v>
      </c>
    </row>
    <row r="57" spans="46:52" x14ac:dyDescent="0.2">
      <c r="AT57" s="35">
        <v>40513</v>
      </c>
      <c r="AU57" s="14">
        <f t="shared" si="15"/>
        <v>900</v>
      </c>
      <c r="AV57">
        <f>AU12*parameters!$C$4</f>
        <v>234000</v>
      </c>
      <c r="AW57" s="27">
        <f t="shared" si="14"/>
        <v>20600</v>
      </c>
      <c r="AX57" s="17">
        <f t="shared" si="16"/>
        <v>8.8034188034188041E-2</v>
      </c>
      <c r="AY57" s="28">
        <f t="shared" si="17"/>
        <v>22.888888888888889</v>
      </c>
      <c r="AZ57" s="17">
        <f t="shared" si="18"/>
        <v>1.5714285714285714</v>
      </c>
    </row>
    <row r="58" spans="46:52" x14ac:dyDescent="0.2">
      <c r="AT58" s="35">
        <v>40544</v>
      </c>
      <c r="AU58" s="14">
        <f t="shared" si="15"/>
        <v>790</v>
      </c>
      <c r="AV58">
        <f>AU13*parameters!$C$4</f>
        <v>205400</v>
      </c>
      <c r="AW58" s="27">
        <f t="shared" si="14"/>
        <v>6020</v>
      </c>
      <c r="AX58" s="17">
        <f t="shared" si="16"/>
        <v>2.9308666017526776E-2</v>
      </c>
      <c r="AY58" s="28">
        <f t="shared" si="17"/>
        <v>7.6202531645569618</v>
      </c>
      <c r="AZ58" s="17">
        <f t="shared" si="18"/>
        <v>-0.12222222222222222</v>
      </c>
    </row>
    <row r="59" spans="46:52" x14ac:dyDescent="0.2">
      <c r="AT59" s="35">
        <v>40575</v>
      </c>
      <c r="AU59" s="14">
        <f t="shared" si="15"/>
        <v>678</v>
      </c>
      <c r="AV59">
        <f>AU14*parameters!$C$4</f>
        <v>176280</v>
      </c>
      <c r="AW59" s="27">
        <f t="shared" si="14"/>
        <v>6660</v>
      </c>
      <c r="AX59" s="17">
        <f t="shared" si="16"/>
        <v>3.7780803267528931E-2</v>
      </c>
      <c r="AY59" s="28">
        <f t="shared" si="17"/>
        <v>9.8230088495575227</v>
      </c>
      <c r="AZ59" s="17">
        <f t="shared" si="18"/>
        <v>-0.14177215189873418</v>
      </c>
    </row>
    <row r="60" spans="46:52" x14ac:dyDescent="0.2">
      <c r="AT60" s="35">
        <v>40603</v>
      </c>
      <c r="AU60" s="14">
        <f t="shared" si="15"/>
        <v>900</v>
      </c>
      <c r="AV60">
        <f>AU15*parameters!$C$4</f>
        <v>234000</v>
      </c>
      <c r="AW60" s="27">
        <f t="shared" si="14"/>
        <v>7100</v>
      </c>
      <c r="AX60" s="17">
        <f t="shared" si="16"/>
        <v>3.0341880341880342E-2</v>
      </c>
      <c r="AY60" s="28">
        <f t="shared" si="17"/>
        <v>7.8888888888888893</v>
      </c>
      <c r="AZ60" s="17">
        <f t="shared" si="18"/>
        <v>0.32743362831858408</v>
      </c>
    </row>
    <row r="62" spans="46:52" x14ac:dyDescent="0.2">
      <c r="AT62" t="s">
        <v>71</v>
      </c>
    </row>
    <row r="63" spans="46:52" x14ac:dyDescent="0.2">
      <c r="AT63" s="35">
        <f>INDEX(APpercent,$AT$17+1,1)</f>
        <v>40299</v>
      </c>
      <c r="AU63" s="19">
        <f>INDEX(APpercent,$AT$17+1,7)</f>
        <v>0.48</v>
      </c>
    </row>
    <row r="65" spans="46:62" x14ac:dyDescent="0.2">
      <c r="AT65" t="s">
        <v>74</v>
      </c>
    </row>
    <row r="66" spans="46:62" x14ac:dyDescent="0.2">
      <c r="AU66" s="16" t="s">
        <v>3</v>
      </c>
      <c r="AV66" s="43" t="s">
        <v>11</v>
      </c>
      <c r="AW66" s="43" t="s">
        <v>12</v>
      </c>
      <c r="AX66" s="11" t="s">
        <v>10</v>
      </c>
      <c r="AY66" s="43" t="s">
        <v>13</v>
      </c>
      <c r="AZ66" s="11" t="s">
        <v>14</v>
      </c>
      <c r="BA66" s="11" t="s">
        <v>15</v>
      </c>
      <c r="BB66" s="11" t="s">
        <v>4</v>
      </c>
      <c r="BC66" s="11" t="s">
        <v>16</v>
      </c>
      <c r="BD66" s="11" t="s">
        <v>17</v>
      </c>
      <c r="BE66" s="11" t="s">
        <v>18</v>
      </c>
      <c r="BF66" s="11" t="s">
        <v>19</v>
      </c>
      <c r="BG66" s="44" t="s">
        <v>91</v>
      </c>
      <c r="BH66" s="44" t="s">
        <v>92</v>
      </c>
      <c r="BI66" s="11"/>
      <c r="BJ66" s="44" t="s">
        <v>20</v>
      </c>
    </row>
    <row r="67" spans="46:62" x14ac:dyDescent="0.2">
      <c r="AT67" s="21">
        <v>40269</v>
      </c>
      <c r="AU67" s="22">
        <v>0</v>
      </c>
      <c r="AV67" s="22">
        <v>112</v>
      </c>
      <c r="AW67" s="22">
        <v>211.2</v>
      </c>
      <c r="AX67" s="22">
        <v>0</v>
      </c>
      <c r="AY67" s="22">
        <v>20</v>
      </c>
      <c r="AZ67" s="22">
        <v>166.4</v>
      </c>
      <c r="BA67" s="22">
        <v>553.6</v>
      </c>
      <c r="BB67" s="22">
        <v>0</v>
      </c>
      <c r="BC67" s="22">
        <v>1024</v>
      </c>
      <c r="BD67" s="22">
        <v>1</v>
      </c>
      <c r="BE67" s="22">
        <v>492.8</v>
      </c>
      <c r="BF67" s="22">
        <v>720</v>
      </c>
      <c r="BG67" s="22"/>
      <c r="BH67" s="22"/>
      <c r="BI67" s="22"/>
      <c r="BJ67" s="22">
        <f>SUM(AU67:BH67)</f>
        <v>3301</v>
      </c>
    </row>
    <row r="68" spans="46:62" x14ac:dyDescent="0.2">
      <c r="AT68" s="21">
        <v>40299</v>
      </c>
      <c r="AU68" s="22">
        <v>0</v>
      </c>
      <c r="AV68" s="22">
        <v>195.00800000000001</v>
      </c>
      <c r="AW68" s="22">
        <v>211.072</v>
      </c>
      <c r="AX68" s="22">
        <v>740.6400000000001</v>
      </c>
      <c r="AY68" s="22">
        <v>194.59199999999998</v>
      </c>
      <c r="AZ68" s="22">
        <v>206.52799999999999</v>
      </c>
      <c r="BA68" s="22">
        <v>597.82400000000007</v>
      </c>
      <c r="BB68" s="22">
        <v>0</v>
      </c>
      <c r="BC68" s="22">
        <v>1671.36</v>
      </c>
      <c r="BD68" s="22">
        <v>24.704000000000004</v>
      </c>
      <c r="BE68" s="22">
        <v>413.79200000000014</v>
      </c>
      <c r="BF68" s="22">
        <v>672.31999999999994</v>
      </c>
      <c r="BG68" s="22"/>
      <c r="BH68" s="22"/>
      <c r="BI68" s="22"/>
      <c r="BJ68" s="22">
        <f>SUM(AU68:BH68)</f>
        <v>4927.84</v>
      </c>
    </row>
    <row r="69" spans="46:62" x14ac:dyDescent="0.2">
      <c r="AT69" s="21">
        <v>40330</v>
      </c>
      <c r="AU69" s="22">
        <v>0</v>
      </c>
      <c r="AV69" s="22">
        <v>26.944000000000003</v>
      </c>
      <c r="AW69" s="22">
        <v>49.408000000000001</v>
      </c>
      <c r="AX69" s="22">
        <v>8.863999999999999</v>
      </c>
      <c r="AY69" s="22">
        <v>7.2959999999999994</v>
      </c>
      <c r="AZ69" s="22">
        <v>169.56799999999998</v>
      </c>
      <c r="BA69" s="22">
        <v>593.91999999999996</v>
      </c>
      <c r="BB69" s="22">
        <v>0</v>
      </c>
      <c r="BC69" s="22">
        <v>1249.76</v>
      </c>
      <c r="BD69" s="22">
        <v>4.0960000000000001</v>
      </c>
      <c r="BE69" s="22">
        <v>475.13600000000019</v>
      </c>
      <c r="BF69" s="22">
        <v>51.231999999999999</v>
      </c>
      <c r="BG69" s="22"/>
      <c r="BH69" s="22"/>
      <c r="BI69" s="22"/>
      <c r="BJ69" s="22">
        <f>SUM(AU69:BH69)</f>
        <v>2636.2240000000002</v>
      </c>
    </row>
    <row r="70" spans="46:62" x14ac:dyDescent="0.2">
      <c r="AT70" s="21">
        <v>40360</v>
      </c>
      <c r="AU70" s="22">
        <v>0</v>
      </c>
      <c r="AV70" s="22">
        <v>0.192</v>
      </c>
      <c r="AW70" s="22">
        <v>29.856000000000002</v>
      </c>
      <c r="AX70" s="22">
        <v>2.3359999999999999</v>
      </c>
      <c r="AY70" s="22">
        <v>10.560000000000002</v>
      </c>
      <c r="AZ70" s="22">
        <v>42.336000000000006</v>
      </c>
      <c r="BA70" s="22">
        <v>540.86399999999992</v>
      </c>
      <c r="BB70" s="22">
        <v>0</v>
      </c>
      <c r="BC70" s="22">
        <v>874.72000000000014</v>
      </c>
      <c r="BD70" s="22">
        <v>1.0880000000000001</v>
      </c>
      <c r="BE70" s="22">
        <v>307.52</v>
      </c>
      <c r="BF70" s="22">
        <v>0</v>
      </c>
      <c r="BG70" s="22">
        <v>441.28000000000014</v>
      </c>
      <c r="BH70" s="22">
        <v>786.048</v>
      </c>
      <c r="BI70" s="22"/>
      <c r="BJ70" s="22">
        <f>SUM(AU70:BH70)</f>
        <v>3036.8</v>
      </c>
    </row>
    <row r="71" spans="46:62" x14ac:dyDescent="0.2">
      <c r="AT71" s="21">
        <v>40391</v>
      </c>
      <c r="AU71" s="22">
        <f t="shared" ref="AU71:AU76" si="19">AU$82*$BD28</f>
        <v>26.400000000000002</v>
      </c>
      <c r="AV71" s="22">
        <f t="shared" ref="AV71:BF71" si="20">AV$82*$BD28</f>
        <v>26.400000000000002</v>
      </c>
      <c r="AW71" s="22">
        <f t="shared" si="20"/>
        <v>528</v>
      </c>
      <c r="AX71" s="22">
        <f t="shared" si="20"/>
        <v>1320</v>
      </c>
      <c r="AY71" s="22">
        <f t="shared" si="20"/>
        <v>26.400000000000002</v>
      </c>
      <c r="AZ71" s="22">
        <f t="shared" si="20"/>
        <v>455.17241379310343</v>
      </c>
      <c r="BA71" s="22">
        <f t="shared" si="20"/>
        <v>528</v>
      </c>
      <c r="BB71" s="22">
        <f t="shared" si="20"/>
        <v>26.400000000000002</v>
      </c>
      <c r="BC71" s="22">
        <f t="shared" si="20"/>
        <v>880</v>
      </c>
      <c r="BD71" s="22">
        <f t="shared" si="20"/>
        <v>26.400000000000002</v>
      </c>
      <c r="BE71" s="22">
        <f t="shared" si="20"/>
        <v>660</v>
      </c>
      <c r="BF71" s="22">
        <f t="shared" si="20"/>
        <v>26.400000000000002</v>
      </c>
      <c r="BG71" s="22"/>
      <c r="BH71" s="22"/>
      <c r="BI71" s="22"/>
      <c r="BJ71" s="22">
        <f t="shared" ref="BJ71:BJ78" si="21">SUM(AU71:BH71)</f>
        <v>4529.5724137931029</v>
      </c>
    </row>
    <row r="72" spans="46:62" x14ac:dyDescent="0.2">
      <c r="AT72" s="21">
        <v>40422</v>
      </c>
      <c r="AU72" s="22">
        <f t="shared" si="19"/>
        <v>30</v>
      </c>
      <c r="AV72" s="22">
        <f t="shared" ref="AV72:BF72" si="22">AV$82*$BD29</f>
        <v>30</v>
      </c>
      <c r="AW72" s="22">
        <f t="shared" si="22"/>
        <v>600</v>
      </c>
      <c r="AX72" s="22">
        <f t="shared" si="22"/>
        <v>1500</v>
      </c>
      <c r="AY72" s="22">
        <f t="shared" si="22"/>
        <v>30</v>
      </c>
      <c r="AZ72" s="22">
        <f t="shared" si="22"/>
        <v>517.24137931034477</v>
      </c>
      <c r="BA72" s="22">
        <f t="shared" si="22"/>
        <v>600</v>
      </c>
      <c r="BB72" s="22">
        <f t="shared" si="22"/>
        <v>30</v>
      </c>
      <c r="BC72" s="22">
        <f t="shared" si="22"/>
        <v>1000</v>
      </c>
      <c r="BD72" s="22">
        <f t="shared" si="22"/>
        <v>30</v>
      </c>
      <c r="BE72" s="22">
        <f t="shared" si="22"/>
        <v>750</v>
      </c>
      <c r="BF72" s="22">
        <f t="shared" si="22"/>
        <v>30</v>
      </c>
      <c r="BG72" s="22"/>
      <c r="BH72" s="22"/>
      <c r="BI72" s="22"/>
      <c r="BJ72" s="22">
        <f t="shared" si="21"/>
        <v>5147.2413793103442</v>
      </c>
    </row>
    <row r="73" spans="46:62" x14ac:dyDescent="0.2">
      <c r="AT73" s="21">
        <v>40452</v>
      </c>
      <c r="AU73" s="22">
        <f t="shared" si="19"/>
        <v>32.1</v>
      </c>
      <c r="AV73" s="22">
        <f t="shared" ref="AV73:BF73" si="23">AV$82*$BD30</f>
        <v>32.1</v>
      </c>
      <c r="AW73" s="22">
        <f t="shared" si="23"/>
        <v>642</v>
      </c>
      <c r="AX73" s="22">
        <f t="shared" si="23"/>
        <v>1605</v>
      </c>
      <c r="AY73" s="22">
        <f t="shared" si="23"/>
        <v>32.1</v>
      </c>
      <c r="AZ73" s="22">
        <f t="shared" si="23"/>
        <v>553.44827586206895</v>
      </c>
      <c r="BA73" s="22">
        <f t="shared" si="23"/>
        <v>642</v>
      </c>
      <c r="BB73" s="22">
        <f t="shared" si="23"/>
        <v>32.1</v>
      </c>
      <c r="BC73" s="22">
        <f t="shared" si="23"/>
        <v>1070</v>
      </c>
      <c r="BD73" s="22">
        <f t="shared" si="23"/>
        <v>32.1</v>
      </c>
      <c r="BE73" s="22">
        <f t="shared" si="23"/>
        <v>802.5</v>
      </c>
      <c r="BF73" s="22">
        <f t="shared" si="23"/>
        <v>32.1</v>
      </c>
      <c r="BG73" s="22"/>
      <c r="BH73" s="22"/>
      <c r="BI73" s="22"/>
      <c r="BJ73" s="22">
        <f t="shared" si="21"/>
        <v>5507.5482758620692</v>
      </c>
    </row>
    <row r="74" spans="46:62" x14ac:dyDescent="0.2">
      <c r="AT74" s="21">
        <v>40483</v>
      </c>
      <c r="AU74" s="22">
        <f t="shared" si="19"/>
        <v>53.1</v>
      </c>
      <c r="AV74" s="22">
        <f t="shared" ref="AV74:BF74" si="24">AV$82*$BD31</f>
        <v>53.1</v>
      </c>
      <c r="AW74" s="22">
        <f t="shared" si="24"/>
        <v>1062</v>
      </c>
      <c r="AX74" s="22">
        <f t="shared" si="24"/>
        <v>2655</v>
      </c>
      <c r="AY74" s="22">
        <f t="shared" si="24"/>
        <v>53.1</v>
      </c>
      <c r="AZ74" s="22">
        <f t="shared" si="24"/>
        <v>915.51724137931035</v>
      </c>
      <c r="BA74" s="22">
        <f t="shared" si="24"/>
        <v>1062</v>
      </c>
      <c r="BB74" s="22">
        <f t="shared" si="24"/>
        <v>53.1</v>
      </c>
      <c r="BC74" s="22">
        <f t="shared" si="24"/>
        <v>1770</v>
      </c>
      <c r="BD74" s="22">
        <f t="shared" si="24"/>
        <v>53.1</v>
      </c>
      <c r="BE74" s="22">
        <f t="shared" si="24"/>
        <v>1327.5</v>
      </c>
      <c r="BF74" s="22">
        <f t="shared" si="24"/>
        <v>53.1</v>
      </c>
      <c r="BG74" s="22"/>
      <c r="BH74" s="22"/>
      <c r="BI74" s="22"/>
      <c r="BJ74" s="22">
        <f t="shared" si="21"/>
        <v>9110.617241379312</v>
      </c>
    </row>
    <row r="75" spans="46:62" x14ac:dyDescent="0.2">
      <c r="AT75" s="21">
        <v>40513</v>
      </c>
      <c r="AU75" s="22">
        <f t="shared" si="19"/>
        <v>123.60000000000001</v>
      </c>
      <c r="AV75" s="22">
        <f t="shared" ref="AV75:BF75" si="25">AV$82*$BD32</f>
        <v>123.60000000000001</v>
      </c>
      <c r="AW75" s="22">
        <f t="shared" si="25"/>
        <v>2472</v>
      </c>
      <c r="AX75" s="22">
        <f t="shared" si="25"/>
        <v>6180</v>
      </c>
      <c r="AY75" s="22">
        <f t="shared" si="25"/>
        <v>123.60000000000001</v>
      </c>
      <c r="AZ75" s="22">
        <f t="shared" si="25"/>
        <v>2131.0344827586205</v>
      </c>
      <c r="BA75" s="22">
        <f t="shared" si="25"/>
        <v>2472</v>
      </c>
      <c r="BB75" s="22">
        <f t="shared" si="25"/>
        <v>123.60000000000001</v>
      </c>
      <c r="BC75" s="22">
        <f t="shared" si="25"/>
        <v>4120</v>
      </c>
      <c r="BD75" s="22">
        <f t="shared" si="25"/>
        <v>123.60000000000001</v>
      </c>
      <c r="BE75" s="22">
        <f t="shared" si="25"/>
        <v>3090</v>
      </c>
      <c r="BF75" s="22">
        <f t="shared" si="25"/>
        <v>123.60000000000001</v>
      </c>
      <c r="BG75" s="22"/>
      <c r="BH75" s="22"/>
      <c r="BI75" s="22"/>
      <c r="BJ75" s="22">
        <f t="shared" si="21"/>
        <v>21206.634482758622</v>
      </c>
    </row>
    <row r="76" spans="46:62" x14ac:dyDescent="0.2">
      <c r="AT76" s="21">
        <v>40544</v>
      </c>
      <c r="AU76" s="22">
        <f t="shared" si="19"/>
        <v>36.119999999999997</v>
      </c>
      <c r="AV76" s="22">
        <f t="shared" ref="AV76:BF76" si="26">AV$82*$BD33</f>
        <v>36.119999999999997</v>
      </c>
      <c r="AW76" s="22">
        <f t="shared" si="26"/>
        <v>722.4</v>
      </c>
      <c r="AX76" s="22">
        <f t="shared" si="26"/>
        <v>1806</v>
      </c>
      <c r="AY76" s="22">
        <f t="shared" si="26"/>
        <v>36.119999999999997</v>
      </c>
      <c r="AZ76" s="22">
        <f t="shared" si="26"/>
        <v>622.75862068965512</v>
      </c>
      <c r="BA76" s="22">
        <f t="shared" si="26"/>
        <v>722.4</v>
      </c>
      <c r="BB76" s="22">
        <f t="shared" si="26"/>
        <v>36.119999999999997</v>
      </c>
      <c r="BC76" s="22">
        <f t="shared" si="26"/>
        <v>1204</v>
      </c>
      <c r="BD76" s="22">
        <f t="shared" si="26"/>
        <v>36.119999999999997</v>
      </c>
      <c r="BE76" s="22">
        <f t="shared" si="26"/>
        <v>903</v>
      </c>
      <c r="BF76" s="22">
        <f t="shared" si="26"/>
        <v>36.119999999999997</v>
      </c>
      <c r="BG76" s="22"/>
      <c r="BH76" s="22"/>
      <c r="BI76" s="22"/>
      <c r="BJ76" s="22">
        <f t="shared" si="21"/>
        <v>6197.2786206896544</v>
      </c>
    </row>
    <row r="77" spans="46:62" x14ac:dyDescent="0.2">
      <c r="AT77" s="21">
        <v>40575</v>
      </c>
      <c r="AU77" s="22">
        <f t="shared" ref="AU77:BF77" si="27">AU$82*$BD34</f>
        <v>39.96</v>
      </c>
      <c r="AV77" s="22">
        <f t="shared" si="27"/>
        <v>39.96</v>
      </c>
      <c r="AW77" s="22">
        <f t="shared" si="27"/>
        <v>799.19999999999993</v>
      </c>
      <c r="AX77" s="22">
        <f t="shared" si="27"/>
        <v>1998</v>
      </c>
      <c r="AY77" s="22">
        <f t="shared" si="27"/>
        <v>39.96</v>
      </c>
      <c r="AZ77" s="22">
        <f t="shared" si="27"/>
        <v>688.9655172413793</v>
      </c>
      <c r="BA77" s="22">
        <f t="shared" si="27"/>
        <v>799.19999999999993</v>
      </c>
      <c r="BB77" s="22">
        <f t="shared" si="27"/>
        <v>39.96</v>
      </c>
      <c r="BC77" s="22">
        <f t="shared" si="27"/>
        <v>1332</v>
      </c>
      <c r="BD77" s="22">
        <f t="shared" si="27"/>
        <v>39.96</v>
      </c>
      <c r="BE77" s="22">
        <f t="shared" si="27"/>
        <v>999</v>
      </c>
      <c r="BF77" s="22">
        <f t="shared" si="27"/>
        <v>39.96</v>
      </c>
      <c r="BG77" s="22"/>
      <c r="BH77" s="22"/>
      <c r="BI77" s="22"/>
      <c r="BJ77" s="22">
        <f t="shared" si="21"/>
        <v>6856.1255172413794</v>
      </c>
    </row>
    <row r="78" spans="46:62" x14ac:dyDescent="0.2">
      <c r="AT78" s="21">
        <v>40603</v>
      </c>
      <c r="AU78" s="22">
        <f t="shared" ref="AU78:BF78" si="28">AU$82*$BD35</f>
        <v>42.6</v>
      </c>
      <c r="AV78" s="22">
        <f t="shared" si="28"/>
        <v>42.6</v>
      </c>
      <c r="AW78" s="22">
        <f t="shared" si="28"/>
        <v>852</v>
      </c>
      <c r="AX78" s="22">
        <f t="shared" si="28"/>
        <v>2130</v>
      </c>
      <c r="AY78" s="22">
        <f t="shared" si="28"/>
        <v>42.6</v>
      </c>
      <c r="AZ78" s="22">
        <f t="shared" si="28"/>
        <v>734.48275862068965</v>
      </c>
      <c r="BA78" s="22">
        <f t="shared" si="28"/>
        <v>852</v>
      </c>
      <c r="BB78" s="22">
        <f t="shared" si="28"/>
        <v>42.6</v>
      </c>
      <c r="BC78" s="22">
        <f t="shared" si="28"/>
        <v>1420</v>
      </c>
      <c r="BD78" s="22">
        <f t="shared" si="28"/>
        <v>42.6</v>
      </c>
      <c r="BE78" s="22">
        <f t="shared" si="28"/>
        <v>1065</v>
      </c>
      <c r="BF78" s="22">
        <f t="shared" si="28"/>
        <v>42.6</v>
      </c>
      <c r="BG78" s="22"/>
      <c r="BH78" s="22"/>
      <c r="BI78" s="22"/>
      <c r="BJ78" s="22">
        <f t="shared" si="21"/>
        <v>7309.0827586206906</v>
      </c>
    </row>
    <row r="79" spans="46:62" x14ac:dyDescent="0.2">
      <c r="AT79" t="s">
        <v>20</v>
      </c>
      <c r="AU79" s="22">
        <f>SUM(AU67:AU78)</f>
        <v>383.88</v>
      </c>
      <c r="AV79" s="22">
        <f t="shared" ref="AV79:BJ79" si="29">SUM(AV67:AV78)</f>
        <v>718.02400000000011</v>
      </c>
      <c r="AW79" s="22">
        <f t="shared" si="29"/>
        <v>8179.1359999999995</v>
      </c>
      <c r="AX79" s="22">
        <f t="shared" si="29"/>
        <v>19945.84</v>
      </c>
      <c r="AY79" s="22">
        <f t="shared" si="29"/>
        <v>616.32800000000009</v>
      </c>
      <c r="AZ79" s="22">
        <f t="shared" si="29"/>
        <v>7203.4526896551715</v>
      </c>
      <c r="BA79" s="22">
        <f t="shared" si="29"/>
        <v>9963.8080000000009</v>
      </c>
      <c r="BB79" s="22">
        <f t="shared" si="29"/>
        <v>383.88</v>
      </c>
      <c r="BC79" s="22">
        <f t="shared" si="29"/>
        <v>17615.84</v>
      </c>
      <c r="BD79" s="22">
        <f t="shared" si="29"/>
        <v>414.76800000000003</v>
      </c>
      <c r="BE79" s="22">
        <f t="shared" si="29"/>
        <v>11286.248</v>
      </c>
      <c r="BF79" s="22">
        <f t="shared" si="29"/>
        <v>1827.4319999999996</v>
      </c>
      <c r="BG79" s="22"/>
      <c r="BH79" s="22"/>
      <c r="BI79" s="22"/>
      <c r="BJ79" s="22">
        <f t="shared" si="29"/>
        <v>79765.964689655171</v>
      </c>
    </row>
    <row r="81" spans="46:62" x14ac:dyDescent="0.2">
      <c r="AT81" t="s">
        <v>75</v>
      </c>
    </row>
    <row r="82" spans="46:62" x14ac:dyDescent="0.2">
      <c r="AU82" s="6">
        <v>6.0000000000000001E-3</v>
      </c>
      <c r="AV82" s="6">
        <v>6.0000000000000001E-3</v>
      </c>
      <c r="AW82" s="9">
        <v>0.12</v>
      </c>
      <c r="AX82" s="9">
        <v>0.3</v>
      </c>
      <c r="AY82" s="6">
        <v>6.0000000000000001E-3</v>
      </c>
      <c r="AZ82" s="9">
        <v>0.10344827586206896</v>
      </c>
      <c r="BA82" s="9">
        <v>0.12</v>
      </c>
      <c r="BB82" s="6">
        <v>6.0000000000000001E-3</v>
      </c>
      <c r="BC82" s="9">
        <v>0.2</v>
      </c>
      <c r="BD82" s="6">
        <v>6.0000000000000001E-3</v>
      </c>
      <c r="BE82" s="9">
        <v>0.15</v>
      </c>
      <c r="BF82" s="12">
        <v>6.0000000000000001E-3</v>
      </c>
      <c r="BG82" s="21"/>
      <c r="BH82" s="21"/>
      <c r="BI82" s="21"/>
    </row>
    <row r="83" spans="46:62" x14ac:dyDescent="0.2">
      <c r="AT83" s="16"/>
      <c r="AU83" s="16" t="s">
        <v>3</v>
      </c>
      <c r="AV83" s="43" t="s">
        <v>11</v>
      </c>
      <c r="AW83" s="43" t="s">
        <v>12</v>
      </c>
      <c r="AX83" s="11" t="s">
        <v>10</v>
      </c>
      <c r="AY83" s="43" t="s">
        <v>13</v>
      </c>
      <c r="AZ83" s="11" t="s">
        <v>14</v>
      </c>
      <c r="BA83" s="11" t="s">
        <v>15</v>
      </c>
      <c r="BB83" s="11" t="s">
        <v>4</v>
      </c>
      <c r="BC83" s="11" t="s">
        <v>16</v>
      </c>
      <c r="BD83" s="11" t="s">
        <v>17</v>
      </c>
      <c r="BE83" s="11" t="s">
        <v>18</v>
      </c>
      <c r="BF83" s="11" t="s">
        <v>19</v>
      </c>
      <c r="BG83" s="44" t="s">
        <v>91</v>
      </c>
      <c r="BH83" s="44" t="s">
        <v>92</v>
      </c>
      <c r="BI83" s="11"/>
      <c r="BJ83" s="44" t="s">
        <v>20</v>
      </c>
    </row>
    <row r="84" spans="46:62" x14ac:dyDescent="0.2">
      <c r="AT84" s="21">
        <v>40269</v>
      </c>
      <c r="AU84" s="28">
        <v>0</v>
      </c>
      <c r="AV84" s="28">
        <v>0</v>
      </c>
      <c r="AW84" s="28">
        <v>0</v>
      </c>
      <c r="AX84" s="28">
        <v>1</v>
      </c>
      <c r="AY84" s="28">
        <v>3</v>
      </c>
      <c r="AZ84" s="28">
        <v>2</v>
      </c>
      <c r="BA84" s="28">
        <v>13</v>
      </c>
      <c r="BB84" s="28">
        <v>0</v>
      </c>
      <c r="BC84" s="28">
        <v>6</v>
      </c>
      <c r="BD84" s="28">
        <v>0</v>
      </c>
      <c r="BE84" s="28">
        <v>0</v>
      </c>
      <c r="BF84" s="28">
        <v>0</v>
      </c>
      <c r="BG84" s="28"/>
      <c r="BH84" s="28"/>
      <c r="BI84" s="28"/>
      <c r="BJ84" s="45">
        <f>SUM(AU84:BI84)</f>
        <v>25</v>
      </c>
    </row>
    <row r="85" spans="46:62" x14ac:dyDescent="0.2">
      <c r="AT85" s="21">
        <v>40299</v>
      </c>
      <c r="AU85" s="28">
        <v>0</v>
      </c>
      <c r="AV85" s="28">
        <v>3</v>
      </c>
      <c r="AW85" s="28">
        <v>6</v>
      </c>
      <c r="AX85" s="28">
        <v>4</v>
      </c>
      <c r="AY85" s="28">
        <v>0</v>
      </c>
      <c r="AZ85" s="28">
        <v>2</v>
      </c>
      <c r="BA85" s="28">
        <v>11</v>
      </c>
      <c r="BB85" s="28">
        <v>0</v>
      </c>
      <c r="BC85" s="28">
        <v>11</v>
      </c>
      <c r="BD85" s="28">
        <v>0</v>
      </c>
      <c r="BE85" s="28">
        <v>0</v>
      </c>
      <c r="BF85" s="28">
        <v>0</v>
      </c>
      <c r="BG85" s="28"/>
      <c r="BH85" s="28"/>
      <c r="BI85" s="28"/>
      <c r="BJ85" s="45">
        <f t="shared" ref="BJ85:BJ95" si="30">SUM(AU85:BI85)</f>
        <v>37</v>
      </c>
    </row>
    <row r="86" spans="46:62" x14ac:dyDescent="0.2">
      <c r="AT86" s="21">
        <v>40330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1</v>
      </c>
      <c r="BA86" s="28">
        <v>21</v>
      </c>
      <c r="BB86" s="28">
        <v>0</v>
      </c>
      <c r="BC86" s="28">
        <v>17</v>
      </c>
      <c r="BD86" s="28">
        <v>0</v>
      </c>
      <c r="BE86" s="28">
        <v>17</v>
      </c>
      <c r="BF86" s="28">
        <v>12</v>
      </c>
      <c r="BG86" s="28"/>
      <c r="BH86" s="28"/>
      <c r="BI86" s="28"/>
      <c r="BJ86" s="45">
        <f t="shared" si="30"/>
        <v>68</v>
      </c>
    </row>
    <row r="87" spans="46:62" x14ac:dyDescent="0.2">
      <c r="AT87" s="21">
        <v>40360</v>
      </c>
      <c r="AU87" s="28">
        <v>0</v>
      </c>
      <c r="AV87" s="28">
        <v>0</v>
      </c>
      <c r="AW87" s="28">
        <v>0</v>
      </c>
      <c r="AX87" s="28">
        <v>0</v>
      </c>
      <c r="AY87" s="28">
        <v>3</v>
      </c>
      <c r="AZ87" s="28">
        <v>2</v>
      </c>
      <c r="BA87" s="28">
        <v>4</v>
      </c>
      <c r="BB87" s="28">
        <v>0</v>
      </c>
      <c r="BC87" s="28">
        <v>23</v>
      </c>
      <c r="BD87" s="28">
        <v>0</v>
      </c>
      <c r="BE87" s="28">
        <v>0</v>
      </c>
      <c r="BF87" s="28">
        <v>0</v>
      </c>
      <c r="BG87" s="28"/>
      <c r="BH87" s="28"/>
      <c r="BI87" s="28"/>
      <c r="BJ87" s="45">
        <f t="shared" si="30"/>
        <v>32</v>
      </c>
    </row>
    <row r="88" spans="46:62" x14ac:dyDescent="0.2">
      <c r="AT88" s="21">
        <v>40391</v>
      </c>
      <c r="AU88" s="28">
        <f>AU$82*$AU$8</f>
        <v>0.36</v>
      </c>
      <c r="AV88" s="28">
        <f>AV82*$AU$8</f>
        <v>0.36</v>
      </c>
      <c r="AW88" s="28">
        <f>AW82*$AU$8</f>
        <v>7.1999999999999993</v>
      </c>
      <c r="AX88" s="28">
        <f t="shared" ref="AX88:BF88" si="31">AX82*$AU$8</f>
        <v>18</v>
      </c>
      <c r="AY88" s="28">
        <f t="shared" si="31"/>
        <v>0.36</v>
      </c>
      <c r="AZ88" s="28">
        <f t="shared" si="31"/>
        <v>6.2068965517241379</v>
      </c>
      <c r="BA88" s="28">
        <f t="shared" si="31"/>
        <v>7.1999999999999993</v>
      </c>
      <c r="BB88" s="28">
        <f t="shared" si="31"/>
        <v>0.36</v>
      </c>
      <c r="BC88" s="28">
        <f t="shared" si="31"/>
        <v>12</v>
      </c>
      <c r="BD88" s="28">
        <f t="shared" si="31"/>
        <v>0.36</v>
      </c>
      <c r="BE88" s="28">
        <f t="shared" si="31"/>
        <v>9</v>
      </c>
      <c r="BF88" s="28">
        <f t="shared" si="31"/>
        <v>0.36</v>
      </c>
      <c r="BG88" s="28"/>
      <c r="BH88" s="28"/>
      <c r="BI88" s="28"/>
      <c r="BJ88" s="45">
        <f t="shared" si="30"/>
        <v>61.76689655172413</v>
      </c>
    </row>
    <row r="89" spans="46:62" x14ac:dyDescent="0.2">
      <c r="AT89" s="21">
        <v>40422</v>
      </c>
      <c r="AU89" s="28">
        <f>AU$82*$AU9</f>
        <v>0.51600000000000001</v>
      </c>
      <c r="AV89" s="28">
        <f t="shared" ref="AV89:BF89" si="32">AV$82*$AU9</f>
        <v>0.51600000000000001</v>
      </c>
      <c r="AW89" s="28">
        <f t="shared" si="32"/>
        <v>10.32</v>
      </c>
      <c r="AX89" s="28">
        <f t="shared" si="32"/>
        <v>25.8</v>
      </c>
      <c r="AY89" s="28">
        <f t="shared" si="32"/>
        <v>0.51600000000000001</v>
      </c>
      <c r="AZ89" s="28">
        <f t="shared" si="32"/>
        <v>8.8965517241379306</v>
      </c>
      <c r="BA89" s="28">
        <f t="shared" si="32"/>
        <v>10.32</v>
      </c>
      <c r="BB89" s="28">
        <f t="shared" si="32"/>
        <v>0.51600000000000001</v>
      </c>
      <c r="BC89" s="28">
        <f t="shared" si="32"/>
        <v>17.2</v>
      </c>
      <c r="BD89" s="28">
        <f t="shared" si="32"/>
        <v>0.51600000000000001</v>
      </c>
      <c r="BE89" s="28">
        <f t="shared" si="32"/>
        <v>12.9</v>
      </c>
      <c r="BF89" s="28">
        <f t="shared" si="32"/>
        <v>0.51600000000000001</v>
      </c>
      <c r="BG89" s="28"/>
      <c r="BH89" s="28"/>
      <c r="BI89" s="28"/>
      <c r="BJ89" s="45">
        <f t="shared" si="30"/>
        <v>88.532551724137946</v>
      </c>
    </row>
    <row r="90" spans="46:62" x14ac:dyDescent="0.2">
      <c r="AT90" s="21">
        <v>40452</v>
      </c>
      <c r="AU90" s="28">
        <f>AU$82*$AU10</f>
        <v>0.72</v>
      </c>
      <c r="AV90" s="28">
        <f t="shared" ref="AV90:BF90" si="33">AV$82*$AU10</f>
        <v>0.72</v>
      </c>
      <c r="AW90" s="28">
        <f t="shared" si="33"/>
        <v>14.399999999999999</v>
      </c>
      <c r="AX90" s="28">
        <f t="shared" si="33"/>
        <v>36</v>
      </c>
      <c r="AY90" s="28">
        <f t="shared" si="33"/>
        <v>0.72</v>
      </c>
      <c r="AZ90" s="28">
        <f t="shared" si="33"/>
        <v>12.413793103448276</v>
      </c>
      <c r="BA90" s="28">
        <f t="shared" si="33"/>
        <v>14.399999999999999</v>
      </c>
      <c r="BB90" s="28">
        <f t="shared" si="33"/>
        <v>0.72</v>
      </c>
      <c r="BC90" s="28">
        <f t="shared" si="33"/>
        <v>24</v>
      </c>
      <c r="BD90" s="28">
        <f t="shared" si="33"/>
        <v>0.72</v>
      </c>
      <c r="BE90" s="28">
        <f t="shared" si="33"/>
        <v>18</v>
      </c>
      <c r="BF90" s="28">
        <f t="shared" si="33"/>
        <v>0.72</v>
      </c>
      <c r="BG90" s="28"/>
      <c r="BH90" s="28"/>
      <c r="BI90" s="28"/>
      <c r="BJ90" s="45">
        <f t="shared" si="30"/>
        <v>123.53379310344826</v>
      </c>
    </row>
    <row r="91" spans="46:62" x14ac:dyDescent="0.2">
      <c r="AT91" s="21">
        <v>40483</v>
      </c>
      <c r="AU91" s="28">
        <f t="shared" ref="AU91:BF95" si="34">AU$82*$AU11</f>
        <v>2.1</v>
      </c>
      <c r="AV91" s="28">
        <f t="shared" si="34"/>
        <v>2.1</v>
      </c>
      <c r="AW91" s="28">
        <f t="shared" si="34"/>
        <v>42</v>
      </c>
      <c r="AX91" s="28">
        <f t="shared" si="34"/>
        <v>105</v>
      </c>
      <c r="AY91" s="28">
        <f t="shared" si="34"/>
        <v>2.1</v>
      </c>
      <c r="AZ91" s="28">
        <f t="shared" si="34"/>
        <v>36.206896551724135</v>
      </c>
      <c r="BA91" s="28">
        <f t="shared" si="34"/>
        <v>42</v>
      </c>
      <c r="BB91" s="28">
        <f t="shared" si="34"/>
        <v>2.1</v>
      </c>
      <c r="BC91" s="28">
        <f t="shared" si="34"/>
        <v>70</v>
      </c>
      <c r="BD91" s="28">
        <f t="shared" si="34"/>
        <v>2.1</v>
      </c>
      <c r="BE91" s="28">
        <f t="shared" si="34"/>
        <v>52.5</v>
      </c>
      <c r="BF91" s="28">
        <f t="shared" si="34"/>
        <v>2.1</v>
      </c>
      <c r="BG91" s="28"/>
      <c r="BH91" s="28"/>
      <c r="BI91" s="28"/>
      <c r="BJ91" s="45">
        <f t="shared" si="30"/>
        <v>360.30689655172415</v>
      </c>
    </row>
    <row r="92" spans="46:62" x14ac:dyDescent="0.2">
      <c r="AT92" s="21">
        <v>40513</v>
      </c>
      <c r="AU92" s="28">
        <f t="shared" si="34"/>
        <v>5.4</v>
      </c>
      <c r="AV92" s="28">
        <f t="shared" si="34"/>
        <v>5.4</v>
      </c>
      <c r="AW92" s="28">
        <f t="shared" si="34"/>
        <v>108</v>
      </c>
      <c r="AX92" s="28">
        <f t="shared" si="34"/>
        <v>270</v>
      </c>
      <c r="AY92" s="28">
        <f t="shared" si="34"/>
        <v>5.4</v>
      </c>
      <c r="AZ92" s="28">
        <f t="shared" si="34"/>
        <v>93.103448275862064</v>
      </c>
      <c r="BA92" s="28">
        <f t="shared" si="34"/>
        <v>108</v>
      </c>
      <c r="BB92" s="28">
        <f t="shared" si="34"/>
        <v>5.4</v>
      </c>
      <c r="BC92" s="28">
        <f t="shared" si="34"/>
        <v>180</v>
      </c>
      <c r="BD92" s="28">
        <f t="shared" si="34"/>
        <v>5.4</v>
      </c>
      <c r="BE92" s="28">
        <f t="shared" si="34"/>
        <v>135</v>
      </c>
      <c r="BF92" s="28">
        <f t="shared" si="34"/>
        <v>5.4</v>
      </c>
      <c r="BG92" s="28"/>
      <c r="BH92" s="28"/>
      <c r="BI92" s="28"/>
      <c r="BJ92" s="45">
        <f t="shared" si="30"/>
        <v>926.50344827586196</v>
      </c>
    </row>
    <row r="93" spans="46:62" x14ac:dyDescent="0.2">
      <c r="AT93" s="21">
        <v>40544</v>
      </c>
      <c r="AU93" s="28">
        <f t="shared" si="34"/>
        <v>4.74</v>
      </c>
      <c r="AV93" s="28">
        <f t="shared" si="34"/>
        <v>4.74</v>
      </c>
      <c r="AW93" s="28">
        <f t="shared" si="34"/>
        <v>94.8</v>
      </c>
      <c r="AX93" s="28">
        <f t="shared" si="34"/>
        <v>237</v>
      </c>
      <c r="AY93" s="28">
        <f t="shared" si="34"/>
        <v>4.74</v>
      </c>
      <c r="AZ93" s="28">
        <f t="shared" si="34"/>
        <v>81.724137931034477</v>
      </c>
      <c r="BA93" s="28">
        <f t="shared" si="34"/>
        <v>94.8</v>
      </c>
      <c r="BB93" s="28">
        <f t="shared" si="34"/>
        <v>4.74</v>
      </c>
      <c r="BC93" s="28">
        <f t="shared" si="34"/>
        <v>158</v>
      </c>
      <c r="BD93" s="28">
        <f t="shared" si="34"/>
        <v>4.74</v>
      </c>
      <c r="BE93" s="28">
        <f t="shared" si="34"/>
        <v>118.5</v>
      </c>
      <c r="BF93" s="28">
        <f t="shared" si="34"/>
        <v>4.74</v>
      </c>
      <c r="BG93" s="28"/>
      <c r="BH93" s="28"/>
      <c r="BI93" s="28"/>
      <c r="BJ93" s="45">
        <f t="shared" si="30"/>
        <v>813.2641379310345</v>
      </c>
    </row>
    <row r="94" spans="46:62" x14ac:dyDescent="0.2">
      <c r="AT94" s="21">
        <v>40575</v>
      </c>
      <c r="AU94" s="28">
        <f t="shared" si="34"/>
        <v>4.0680000000000005</v>
      </c>
      <c r="AV94" s="28">
        <f t="shared" si="34"/>
        <v>4.0680000000000005</v>
      </c>
      <c r="AW94" s="28">
        <f t="shared" si="34"/>
        <v>81.36</v>
      </c>
      <c r="AX94" s="28">
        <f t="shared" si="34"/>
        <v>203.4</v>
      </c>
      <c r="AY94" s="28">
        <f t="shared" si="34"/>
        <v>4.0680000000000005</v>
      </c>
      <c r="AZ94" s="28">
        <f t="shared" si="34"/>
        <v>70.137931034482762</v>
      </c>
      <c r="BA94" s="28">
        <f t="shared" si="34"/>
        <v>81.36</v>
      </c>
      <c r="BB94" s="28">
        <f t="shared" si="34"/>
        <v>4.0680000000000005</v>
      </c>
      <c r="BC94" s="28">
        <f t="shared" si="34"/>
        <v>135.6</v>
      </c>
      <c r="BD94" s="28">
        <f t="shared" si="34"/>
        <v>4.0680000000000005</v>
      </c>
      <c r="BE94" s="28">
        <f t="shared" si="34"/>
        <v>101.7</v>
      </c>
      <c r="BF94" s="28">
        <f t="shared" si="34"/>
        <v>4.0680000000000005</v>
      </c>
      <c r="BG94" s="28"/>
      <c r="BH94" s="28"/>
      <c r="BI94" s="28"/>
      <c r="BJ94" s="45">
        <f t="shared" si="30"/>
        <v>697.96593103448276</v>
      </c>
    </row>
    <row r="95" spans="46:62" x14ac:dyDescent="0.2">
      <c r="AT95" s="21">
        <v>40603</v>
      </c>
      <c r="AU95" s="28">
        <f t="shared" si="34"/>
        <v>5.4</v>
      </c>
      <c r="AV95" s="28">
        <f t="shared" si="34"/>
        <v>5.4</v>
      </c>
      <c r="AW95" s="28">
        <f t="shared" si="34"/>
        <v>108</v>
      </c>
      <c r="AX95" s="28">
        <f t="shared" si="34"/>
        <v>270</v>
      </c>
      <c r="AY95" s="28">
        <f t="shared" si="34"/>
        <v>5.4</v>
      </c>
      <c r="AZ95" s="28">
        <f t="shared" si="34"/>
        <v>93.103448275862064</v>
      </c>
      <c r="BA95" s="28">
        <f t="shared" si="34"/>
        <v>108</v>
      </c>
      <c r="BB95" s="28">
        <f t="shared" si="34"/>
        <v>5.4</v>
      </c>
      <c r="BC95" s="28">
        <f t="shared" si="34"/>
        <v>180</v>
      </c>
      <c r="BD95" s="28">
        <f t="shared" si="34"/>
        <v>5.4</v>
      </c>
      <c r="BE95" s="28">
        <f t="shared" si="34"/>
        <v>135</v>
      </c>
      <c r="BF95" s="28">
        <f t="shared" si="34"/>
        <v>5.4</v>
      </c>
      <c r="BG95" s="28"/>
      <c r="BH95" s="28"/>
      <c r="BI95" s="28"/>
      <c r="BJ95" s="45">
        <f t="shared" si="30"/>
        <v>926.50344827586196</v>
      </c>
    </row>
    <row r="96" spans="46:62" x14ac:dyDescent="0.2">
      <c r="AT96" t="s">
        <v>20</v>
      </c>
      <c r="AU96" s="45">
        <f t="shared" ref="AU96:BF96" si="35">SUM(AU84:AU95)</f>
        <v>23.304000000000002</v>
      </c>
      <c r="AV96" s="45">
        <f t="shared" si="35"/>
        <v>26.304000000000002</v>
      </c>
      <c r="AW96" s="45">
        <f t="shared" si="35"/>
        <v>472.08000000000004</v>
      </c>
      <c r="AX96" s="45">
        <f t="shared" si="35"/>
        <v>1170.1999999999998</v>
      </c>
      <c r="AY96" s="45">
        <f t="shared" si="35"/>
        <v>29.304000000000002</v>
      </c>
      <c r="AZ96" s="45">
        <f t="shared" si="35"/>
        <v>408.79310344827582</v>
      </c>
      <c r="BA96" s="45">
        <f t="shared" si="35"/>
        <v>515.08000000000004</v>
      </c>
      <c r="BB96" s="45">
        <f t="shared" si="35"/>
        <v>23.304000000000002</v>
      </c>
      <c r="BC96" s="45">
        <f t="shared" si="35"/>
        <v>833.80000000000007</v>
      </c>
      <c r="BD96" s="45">
        <f t="shared" si="35"/>
        <v>23.304000000000002</v>
      </c>
      <c r="BE96" s="45">
        <f t="shared" si="35"/>
        <v>599.59999999999991</v>
      </c>
      <c r="BF96" s="45">
        <f t="shared" si="35"/>
        <v>35.304000000000002</v>
      </c>
      <c r="BG96" s="45"/>
      <c r="BH96" s="45"/>
      <c r="BI96" s="45"/>
      <c r="BJ96" s="45">
        <f>SUM(AU96:BF96)</f>
        <v>4160.3771034482761</v>
      </c>
    </row>
    <row r="99" spans="45:50" x14ac:dyDescent="0.2">
      <c r="AT99" t="s">
        <v>76</v>
      </c>
    </row>
    <row r="100" spans="45:50" x14ac:dyDescent="0.2">
      <c r="AT100" s="35">
        <f>INDEX(APpercent,$AT$17+1,1)</f>
        <v>40299</v>
      </c>
      <c r="AU100" t="s">
        <v>7</v>
      </c>
      <c r="AV100" t="s">
        <v>21</v>
      </c>
      <c r="AW100" t="s">
        <v>23</v>
      </c>
      <c r="AX100" t="s">
        <v>24</v>
      </c>
    </row>
    <row r="101" spans="45:50" x14ac:dyDescent="0.2">
      <c r="AS101">
        <v>1</v>
      </c>
      <c r="AT101" s="16" t="s">
        <v>3</v>
      </c>
      <c r="AU101" s="22">
        <f>INDEX(DMC_AP,$AT$17+1,1)</f>
        <v>0</v>
      </c>
      <c r="AV101">
        <f>INDEX(DMC_RN,$AT$17+1,2)</f>
        <v>0</v>
      </c>
      <c r="AW101" s="28">
        <f>IF(ISERROR(AU101/AV101),0,AU101/AV101)</f>
        <v>0</v>
      </c>
      <c r="AX101" s="18">
        <f>IF(ISERROR(AU101/(AV101*parameters!$C$4)),0,AU101/(AV101*parameters!$C$4))</f>
        <v>0</v>
      </c>
    </row>
    <row r="102" spans="45:50" x14ac:dyDescent="0.2">
      <c r="AS102">
        <v>2</v>
      </c>
      <c r="AT102" s="43" t="s">
        <v>11</v>
      </c>
      <c r="AU102" s="22">
        <f>INDEX(DMC_AP,$AT$17+1,2)</f>
        <v>195.00800000000001</v>
      </c>
      <c r="AV102">
        <f>INDEX(DMC_RN,$AT$17+1,3)</f>
        <v>3</v>
      </c>
      <c r="AW102" s="28">
        <f t="shared" ref="AW102:AW115" si="36">IF(ISERROR(AU102/AV102),0,AU102/AV102)</f>
        <v>65.00266666666667</v>
      </c>
      <c r="AX102" s="18">
        <f>IF(ISERROR(AU102/(AV102*parameters!$C$4)),0,AU102/(AV102*parameters!$C$4))</f>
        <v>0.25001025641025643</v>
      </c>
    </row>
    <row r="103" spans="45:50" x14ac:dyDescent="0.2">
      <c r="AS103">
        <v>3</v>
      </c>
      <c r="AT103" s="43" t="s">
        <v>12</v>
      </c>
      <c r="AU103" s="22">
        <f>INDEX(DMC_AP,$AT$17+1,3)</f>
        <v>211.072</v>
      </c>
      <c r="AV103">
        <f>INDEX(DMC_RN,$AT$17+1,4)</f>
        <v>6</v>
      </c>
      <c r="AW103" s="28">
        <f t="shared" si="36"/>
        <v>35.178666666666665</v>
      </c>
      <c r="AX103" s="18">
        <f>IF(ISERROR(AU103/(AV103*parameters!$C$4)),0,AU103/(AV103*parameters!$C$4))</f>
        <v>0.13530256410256411</v>
      </c>
    </row>
    <row r="104" spans="45:50" x14ac:dyDescent="0.2">
      <c r="AS104">
        <v>4</v>
      </c>
      <c r="AT104" s="11" t="s">
        <v>10</v>
      </c>
      <c r="AU104" s="22">
        <f>INDEX(DMC_AP,$AT$17+1,4)</f>
        <v>740.6400000000001</v>
      </c>
      <c r="AV104">
        <f>INDEX(DMC_RN,$AT$17+1,5)</f>
        <v>4</v>
      </c>
      <c r="AW104" s="28">
        <f t="shared" si="36"/>
        <v>185.16000000000003</v>
      </c>
      <c r="AX104" s="18">
        <f>IF(ISERROR(AU104/(AV104*parameters!$C$4)),0,AU104/(AV104*parameters!$C$4))</f>
        <v>0.71215384615384625</v>
      </c>
    </row>
    <row r="105" spans="45:50" x14ac:dyDescent="0.2">
      <c r="AS105">
        <v>5</v>
      </c>
      <c r="AT105" s="43" t="s">
        <v>13</v>
      </c>
      <c r="AU105" s="22">
        <f>INDEX(DMC_AP,$AT$17+1,5)</f>
        <v>194.59199999999998</v>
      </c>
      <c r="AV105">
        <f>INDEX(DMC_RN,$AT$17+1,6)</f>
        <v>0</v>
      </c>
      <c r="AW105" s="28">
        <f t="shared" si="36"/>
        <v>0</v>
      </c>
      <c r="AX105" s="18">
        <f>IF(ISERROR(AU105/(AV105*parameters!$C$4)),0,AU105/(AV105*parameters!$C$4))</f>
        <v>0</v>
      </c>
    </row>
    <row r="106" spans="45:50" x14ac:dyDescent="0.2">
      <c r="AS106">
        <v>6</v>
      </c>
      <c r="AT106" s="11" t="s">
        <v>14</v>
      </c>
      <c r="AU106" s="22">
        <f>INDEX(DMC_AP,$AT$17+1,6)</f>
        <v>206.52799999999999</v>
      </c>
      <c r="AV106">
        <f>INDEX(DMC_RN,$AT$17+1,7)</f>
        <v>2</v>
      </c>
      <c r="AW106" s="28">
        <f t="shared" si="36"/>
        <v>103.264</v>
      </c>
      <c r="AX106" s="18">
        <f>IF(ISERROR(AU106/(AV106*parameters!$C$4)),0,AU106/(AV106*parameters!$C$4))</f>
        <v>0.39716923076923077</v>
      </c>
    </row>
    <row r="107" spans="45:50" x14ac:dyDescent="0.2">
      <c r="AS107">
        <v>7</v>
      </c>
      <c r="AT107" s="11" t="s">
        <v>15</v>
      </c>
      <c r="AU107" s="22">
        <f>INDEX(DMC_AP,$AT$17+1,7)</f>
        <v>597.82400000000007</v>
      </c>
      <c r="AV107">
        <f>INDEX(DMC_RN,$AT$17+1,8)</f>
        <v>11</v>
      </c>
      <c r="AW107" s="28">
        <f t="shared" si="36"/>
        <v>54.347636363636369</v>
      </c>
      <c r="AX107" s="18">
        <f>IF(ISERROR(AU107/(AV107*parameters!$C$4)),0,AU107/(AV107*parameters!$C$4))</f>
        <v>0.20902937062937066</v>
      </c>
    </row>
    <row r="108" spans="45:50" x14ac:dyDescent="0.2">
      <c r="AS108">
        <v>8</v>
      </c>
      <c r="AT108" s="11" t="s">
        <v>4</v>
      </c>
      <c r="AU108" s="22">
        <f>INDEX(DMC_AP,$AT$17+1,8)</f>
        <v>0</v>
      </c>
      <c r="AV108">
        <f>INDEX(DMC_RN,$AT$17+1,9)</f>
        <v>0</v>
      </c>
      <c r="AW108" s="28">
        <f t="shared" si="36"/>
        <v>0</v>
      </c>
      <c r="AX108" s="18">
        <f>IF(ISERROR(AU108/(AV108*parameters!$C$4)),0,AU108/(AV108*parameters!$C$4))</f>
        <v>0</v>
      </c>
    </row>
    <row r="109" spans="45:50" x14ac:dyDescent="0.2">
      <c r="AS109">
        <v>9</v>
      </c>
      <c r="AT109" s="11" t="s">
        <v>16</v>
      </c>
      <c r="AU109" s="22">
        <f>INDEX(DMC_AP,$AT$17+1,9)</f>
        <v>1671.36</v>
      </c>
      <c r="AV109">
        <f>INDEX(DMC_RN,$AT$17+1,10)</f>
        <v>11</v>
      </c>
      <c r="AW109" s="28">
        <f t="shared" si="36"/>
        <v>151.94181818181818</v>
      </c>
      <c r="AX109" s="18">
        <f>IF(ISERROR(AU109/(AV109*parameters!$C$4)),0,AU109/(AV109*parameters!$C$4))</f>
        <v>0.58439160839160831</v>
      </c>
    </row>
    <row r="110" spans="45:50" x14ac:dyDescent="0.2">
      <c r="AS110">
        <v>10</v>
      </c>
      <c r="AT110" s="11" t="s">
        <v>17</v>
      </c>
      <c r="AU110" s="22">
        <f>INDEX(DMC_AP,$AT$17+1,10)</f>
        <v>24.704000000000004</v>
      </c>
      <c r="AV110">
        <f>INDEX(DMC_RN,$AT$17+1,11)</f>
        <v>0</v>
      </c>
      <c r="AW110" s="28">
        <f t="shared" si="36"/>
        <v>0</v>
      </c>
      <c r="AX110" s="18">
        <f>IF(ISERROR(AU110/(AV110*parameters!$C$4)),0,AU110/(AV110*parameters!$C$4))</f>
        <v>0</v>
      </c>
    </row>
    <row r="111" spans="45:50" x14ac:dyDescent="0.2">
      <c r="AS111">
        <v>11</v>
      </c>
      <c r="AT111" s="11" t="s">
        <v>18</v>
      </c>
      <c r="AU111" s="22">
        <f>INDEX(DMC_AP,$AT$17+1,11)</f>
        <v>413.79200000000014</v>
      </c>
      <c r="AV111">
        <f>INDEX(DMC_RN,$AT$17+1,12)</f>
        <v>0</v>
      </c>
      <c r="AW111" s="28">
        <f t="shared" si="36"/>
        <v>0</v>
      </c>
      <c r="AX111" s="18">
        <f>IF(ISERROR(AU111/(AV111*parameters!$C$4)),0,AU111/(AV111*parameters!$C$4))</f>
        <v>0</v>
      </c>
    </row>
    <row r="112" spans="45:50" x14ac:dyDescent="0.2">
      <c r="AS112">
        <v>12</v>
      </c>
      <c r="AT112" s="11" t="s">
        <v>19</v>
      </c>
      <c r="AU112" s="22">
        <f>INDEX(DMC_AP,$AT$17+1,12)</f>
        <v>672.31999999999994</v>
      </c>
      <c r="AV112">
        <f>INDEX(DMC_RN,$AT$17+1,13)</f>
        <v>0</v>
      </c>
      <c r="AW112" s="28">
        <f t="shared" si="36"/>
        <v>0</v>
      </c>
      <c r="AX112" s="18">
        <f>IF(ISERROR(AU112/(AV112*parameters!$C$4)),0,AU112/(AV112*parameters!$C$4))</f>
        <v>0</v>
      </c>
    </row>
    <row r="113" spans="45:56" x14ac:dyDescent="0.2">
      <c r="AS113">
        <v>13</v>
      </c>
      <c r="AT113" s="44" t="s">
        <v>91</v>
      </c>
      <c r="AU113" s="22">
        <f>INDEX(DMC_AP,$AT$17+1,13)</f>
        <v>0</v>
      </c>
      <c r="AW113" s="28"/>
      <c r="AX113" s="18"/>
    </row>
    <row r="114" spans="45:56" x14ac:dyDescent="0.2">
      <c r="AS114">
        <v>14</v>
      </c>
      <c r="AT114" s="44" t="s">
        <v>92</v>
      </c>
      <c r="AU114" s="22">
        <f>INDEX(DMC_AP,$AT$17+1,14)</f>
        <v>0</v>
      </c>
      <c r="AW114" s="28"/>
      <c r="AX114" s="18"/>
    </row>
    <row r="115" spans="45:56" x14ac:dyDescent="0.2">
      <c r="AT115" s="44" t="s">
        <v>20</v>
      </c>
      <c r="AU115" s="27">
        <f>SUM(AU101:AU114)</f>
        <v>4927.84</v>
      </c>
      <c r="AV115" s="27">
        <f>SUM(AV101:AV112)</f>
        <v>37</v>
      </c>
      <c r="AW115" s="28">
        <f t="shared" si="36"/>
        <v>133.18486486486486</v>
      </c>
      <c r="AX115" s="18">
        <f>IF(ISERROR(AU115/(AV115*parameters!$C$4)),0,AU115/(AV115*parameters!$C$4))</f>
        <v>0.51224948024948025</v>
      </c>
    </row>
    <row r="117" spans="45:56" x14ac:dyDescent="0.2">
      <c r="AT117" t="s">
        <v>77</v>
      </c>
      <c r="AU117">
        <v>2</v>
      </c>
    </row>
    <row r="118" spans="45:56" x14ac:dyDescent="0.2">
      <c r="AT118" t="s">
        <v>82</v>
      </c>
      <c r="AU118">
        <v>2</v>
      </c>
      <c r="AZ118" t="s">
        <v>81</v>
      </c>
    </row>
    <row r="119" spans="45:56" ht="17.25" customHeight="1" x14ac:dyDescent="0.2">
      <c r="AT119" s="46" t="s">
        <v>0</v>
      </c>
      <c r="AU119" s="47" t="s">
        <v>79</v>
      </c>
      <c r="AV119" s="47" t="s">
        <v>80</v>
      </c>
      <c r="AW119" s="47" t="s">
        <v>81</v>
      </c>
      <c r="AX119" s="47" t="s">
        <v>1</v>
      </c>
      <c r="AZ119" s="48" t="s">
        <v>0</v>
      </c>
      <c r="BA119" t="s">
        <v>7</v>
      </c>
      <c r="BB119" t="s">
        <v>21</v>
      </c>
      <c r="BC119" t="s">
        <v>23</v>
      </c>
      <c r="BD119" t="s">
        <v>24</v>
      </c>
    </row>
    <row r="120" spans="45:56" x14ac:dyDescent="0.2">
      <c r="AS120">
        <v>1</v>
      </c>
      <c r="AT120" s="46" t="str">
        <f>AT101</f>
        <v>AUSTRALIA</v>
      </c>
      <c r="AU120" s="49">
        <f t="shared" ref="AU120:AU133" ca="1" si="37">OFFSET(AT101,0,mySortCriteria)</f>
        <v>0</v>
      </c>
      <c r="AV120" s="28">
        <f t="shared" ref="AV120:AV133" ca="1" si="38">AU120+AS120/100000000</f>
        <v>1E-8</v>
      </c>
      <c r="AW120" s="28">
        <f ca="1">CHOOSE($AU$118,LARGE($AV$120:$AV$133,$AS120),SMALL($AV$120:$AV$133,$AS120))</f>
        <v>1E-8</v>
      </c>
      <c r="AX120">
        <f ca="1">MATCH(AW120,$AV$120:$AV$133,0)</f>
        <v>1</v>
      </c>
      <c r="AZ120" t="str">
        <f ca="1">OFFSET($AT$100,$AX120,0)</f>
        <v>AUSTRALIA</v>
      </c>
      <c r="BA120" s="28">
        <f ca="1">OFFSET($AT$100,$AX120,1)</f>
        <v>0</v>
      </c>
      <c r="BB120" s="28">
        <f ca="1">OFFSET($AT$100,$AX120,2)</f>
        <v>0</v>
      </c>
      <c r="BC120" s="28">
        <f ca="1">OFFSET($AT$100,$AX120,3)</f>
        <v>0</v>
      </c>
      <c r="BD120" s="17">
        <f ca="1">OFFSET($AT$100,$AX120,4)</f>
        <v>0</v>
      </c>
    </row>
    <row r="121" spans="45:56" x14ac:dyDescent="0.2">
      <c r="AS121">
        <v>2</v>
      </c>
      <c r="AT121" s="46" t="str">
        <f t="shared" ref="AT121:AT133" si="39">AT102</f>
        <v>CHINA</v>
      </c>
      <c r="AU121" s="49">
        <f t="shared" ca="1" si="37"/>
        <v>3</v>
      </c>
      <c r="AV121" s="28">
        <f t="shared" ca="1" si="38"/>
        <v>3.0000000199999999</v>
      </c>
      <c r="AW121" s="28">
        <f ca="1">CHOOSE($AU$118,LARGE($AV$120:$AV$133,$AS121),SMALL($AV$120:$AV$133,$AS121))</f>
        <v>4.9999999999999998E-8</v>
      </c>
      <c r="AX121">
        <f t="shared" ref="AX121:AX133" ca="1" si="40">MATCH(AW121,$AV$120:$AV$133,0)</f>
        <v>5</v>
      </c>
      <c r="AZ121" t="str">
        <f t="shared" ref="AZ121:AZ133" ca="1" si="41">OFFSET($AT$100,$AX121,0)</f>
        <v>JAPAN</v>
      </c>
      <c r="BA121" s="28">
        <f t="shared" ref="BA121:BA133" ca="1" si="42">OFFSET($AT$100,$AX121,1)</f>
        <v>194.59199999999998</v>
      </c>
      <c r="BB121" s="28">
        <f t="shared" ref="BB121:BB133" ca="1" si="43">OFFSET($AT$100,$AX121,2)</f>
        <v>0</v>
      </c>
      <c r="BC121" s="28">
        <f t="shared" ref="BC121:BC133" ca="1" si="44">OFFSET($AT$100,$AX121,3)</f>
        <v>0</v>
      </c>
      <c r="BD121" s="17">
        <f t="shared" ref="BD121:BD133" ca="1" si="45">OFFSET($AT$100,$AX121,4)</f>
        <v>0</v>
      </c>
    </row>
    <row r="122" spans="45:56" x14ac:dyDescent="0.2">
      <c r="AS122">
        <v>3</v>
      </c>
      <c r="AT122" s="46" t="str">
        <f t="shared" si="39"/>
        <v>HONG KONG</v>
      </c>
      <c r="AU122" s="49">
        <f t="shared" ca="1" si="37"/>
        <v>6</v>
      </c>
      <c r="AV122" s="28">
        <f t="shared" ca="1" si="38"/>
        <v>6.0000000299999998</v>
      </c>
      <c r="AW122" s="28">
        <f ca="1">CHOOSE($AU$118,LARGE($AV$120:$AV$133,$AS122),SMALL($AV$120:$AV$133,$AS122))</f>
        <v>8.0000000000000002E-8</v>
      </c>
      <c r="AX122">
        <f t="shared" ca="1" si="40"/>
        <v>8</v>
      </c>
      <c r="AZ122" t="str">
        <f t="shared" ca="1" si="41"/>
        <v>PHILLIPINES</v>
      </c>
      <c r="BA122" s="28">
        <f t="shared" ca="1" si="42"/>
        <v>0</v>
      </c>
      <c r="BB122" s="28">
        <f t="shared" ca="1" si="43"/>
        <v>0</v>
      </c>
      <c r="BC122" s="28">
        <f t="shared" ca="1" si="44"/>
        <v>0</v>
      </c>
      <c r="BD122" s="17">
        <f t="shared" ca="1" si="45"/>
        <v>0</v>
      </c>
    </row>
    <row r="123" spans="45:56" x14ac:dyDescent="0.2">
      <c r="AS123">
        <v>4</v>
      </c>
      <c r="AT123" s="46" t="str">
        <f t="shared" si="39"/>
        <v>INDONESIA</v>
      </c>
      <c r="AU123" s="49">
        <f t="shared" ca="1" si="37"/>
        <v>4</v>
      </c>
      <c r="AV123" s="28">
        <f t="shared" ca="1" si="38"/>
        <v>4.0000000399999998</v>
      </c>
      <c r="AW123" s="28">
        <f t="shared" ref="AW123:AW133" ca="1" si="46">CHOOSE($AU$118,LARGE($AV$120:$AV$133,$AS123),SMALL($AV$120:$AV$133,$AS123))</f>
        <v>9.9999999999999995E-8</v>
      </c>
      <c r="AX123">
        <f t="shared" ca="1" si="40"/>
        <v>10</v>
      </c>
      <c r="AZ123" t="str">
        <f t="shared" ca="1" si="41"/>
        <v>TAIWAN</v>
      </c>
      <c r="BA123" s="28">
        <f t="shared" ca="1" si="42"/>
        <v>24.704000000000004</v>
      </c>
      <c r="BB123" s="28">
        <f t="shared" ca="1" si="43"/>
        <v>0</v>
      </c>
      <c r="BC123" s="28">
        <f t="shared" ca="1" si="44"/>
        <v>0</v>
      </c>
      <c r="BD123" s="17">
        <f t="shared" ca="1" si="45"/>
        <v>0</v>
      </c>
    </row>
    <row r="124" spans="45:56" x14ac:dyDescent="0.2">
      <c r="AS124">
        <v>5</v>
      </c>
      <c r="AT124" s="46" t="str">
        <f t="shared" si="39"/>
        <v>JAPAN</v>
      </c>
      <c r="AU124" s="49">
        <f t="shared" ca="1" si="37"/>
        <v>0</v>
      </c>
      <c r="AV124" s="28">
        <f t="shared" ca="1" si="38"/>
        <v>4.9999999999999998E-8</v>
      </c>
      <c r="AW124" s="28">
        <f t="shared" ca="1" si="46"/>
        <v>1.1000000000000001E-7</v>
      </c>
      <c r="AX124">
        <f t="shared" ca="1" si="40"/>
        <v>11</v>
      </c>
      <c r="AZ124" t="str">
        <f t="shared" ca="1" si="41"/>
        <v>THAILAND</v>
      </c>
      <c r="BA124" s="28">
        <f t="shared" ca="1" si="42"/>
        <v>413.79200000000014</v>
      </c>
      <c r="BB124" s="28">
        <f t="shared" ca="1" si="43"/>
        <v>0</v>
      </c>
      <c r="BC124" s="28">
        <f t="shared" ca="1" si="44"/>
        <v>0</v>
      </c>
      <c r="BD124" s="17">
        <f t="shared" ca="1" si="45"/>
        <v>0</v>
      </c>
    </row>
    <row r="125" spans="45:56" x14ac:dyDescent="0.2">
      <c r="AS125">
        <v>6</v>
      </c>
      <c r="AT125" s="46" t="str">
        <f t="shared" si="39"/>
        <v>MACAU</v>
      </c>
      <c r="AU125" s="49">
        <f t="shared" ca="1" si="37"/>
        <v>2</v>
      </c>
      <c r="AV125" s="28">
        <f t="shared" ca="1" si="38"/>
        <v>2.0000000600000001</v>
      </c>
      <c r="AW125" s="28">
        <f t="shared" ca="1" si="46"/>
        <v>1.1999999999999999E-7</v>
      </c>
      <c r="AX125">
        <f t="shared" ca="1" si="40"/>
        <v>12</v>
      </c>
      <c r="AZ125" t="str">
        <f t="shared" ca="1" si="41"/>
        <v>VIETNAM</v>
      </c>
      <c r="BA125" s="28">
        <f t="shared" ca="1" si="42"/>
        <v>672.31999999999994</v>
      </c>
      <c r="BB125" s="28">
        <f t="shared" ca="1" si="43"/>
        <v>0</v>
      </c>
      <c r="BC125" s="28">
        <f t="shared" ca="1" si="44"/>
        <v>0</v>
      </c>
      <c r="BD125" s="17">
        <f t="shared" ca="1" si="45"/>
        <v>0</v>
      </c>
    </row>
    <row r="126" spans="45:56" x14ac:dyDescent="0.2">
      <c r="AS126">
        <v>7</v>
      </c>
      <c r="AT126" s="46" t="str">
        <f t="shared" si="39"/>
        <v>MALAYSIA</v>
      </c>
      <c r="AU126" s="49">
        <f t="shared" ca="1" si="37"/>
        <v>11</v>
      </c>
      <c r="AV126" s="28">
        <f t="shared" ca="1" si="38"/>
        <v>11.00000007</v>
      </c>
      <c r="AW126" s="28">
        <f t="shared" ca="1" si="46"/>
        <v>1.3E-7</v>
      </c>
      <c r="AX126">
        <f t="shared" ca="1" si="40"/>
        <v>13</v>
      </c>
      <c r="AZ126" t="str">
        <f t="shared" ca="1" si="41"/>
        <v>MALAYSIA_FB</v>
      </c>
      <c r="BA126" s="28">
        <f t="shared" ca="1" si="42"/>
        <v>0</v>
      </c>
      <c r="BB126" s="28">
        <f t="shared" ca="1" si="43"/>
        <v>0</v>
      </c>
      <c r="BC126" s="28">
        <f t="shared" ca="1" si="44"/>
        <v>0</v>
      </c>
      <c r="BD126" s="17">
        <f t="shared" ca="1" si="45"/>
        <v>0</v>
      </c>
    </row>
    <row r="127" spans="45:56" x14ac:dyDescent="0.2">
      <c r="AS127">
        <v>8</v>
      </c>
      <c r="AT127" s="46" t="str">
        <f t="shared" si="39"/>
        <v>PHILLIPINES</v>
      </c>
      <c r="AU127" s="49">
        <f t="shared" ca="1" si="37"/>
        <v>0</v>
      </c>
      <c r="AV127" s="28">
        <f t="shared" ca="1" si="38"/>
        <v>8.0000000000000002E-8</v>
      </c>
      <c r="AW127" s="28">
        <f t="shared" ca="1" si="46"/>
        <v>1.4000000000000001E-7</v>
      </c>
      <c r="AX127">
        <f t="shared" ca="1" si="40"/>
        <v>14</v>
      </c>
      <c r="AZ127" t="str">
        <f t="shared" ca="1" si="41"/>
        <v>SINGAPORE_FB</v>
      </c>
      <c r="BA127" s="28">
        <f t="shared" ca="1" si="42"/>
        <v>0</v>
      </c>
      <c r="BB127" s="28">
        <f t="shared" ca="1" si="43"/>
        <v>0</v>
      </c>
      <c r="BC127" s="28">
        <f t="shared" ca="1" si="44"/>
        <v>0</v>
      </c>
      <c r="BD127" s="17">
        <f t="shared" ca="1" si="45"/>
        <v>0</v>
      </c>
    </row>
    <row r="128" spans="45:56" x14ac:dyDescent="0.2">
      <c r="AS128">
        <v>9</v>
      </c>
      <c r="AT128" s="46" t="str">
        <f t="shared" si="39"/>
        <v>SINGAPORE</v>
      </c>
      <c r="AU128" s="49">
        <f t="shared" ca="1" si="37"/>
        <v>11</v>
      </c>
      <c r="AV128" s="28">
        <f t="shared" ca="1" si="38"/>
        <v>11.00000009</v>
      </c>
      <c r="AW128" s="28">
        <f t="shared" ca="1" si="46"/>
        <v>2.0000000600000001</v>
      </c>
      <c r="AX128">
        <f t="shared" ca="1" si="40"/>
        <v>6</v>
      </c>
      <c r="AZ128" t="str">
        <f t="shared" ca="1" si="41"/>
        <v>MACAU</v>
      </c>
      <c r="BA128" s="28">
        <f t="shared" ca="1" si="42"/>
        <v>206.52799999999999</v>
      </c>
      <c r="BB128" s="28">
        <f t="shared" ca="1" si="43"/>
        <v>2</v>
      </c>
      <c r="BC128" s="28">
        <f t="shared" ca="1" si="44"/>
        <v>103.264</v>
      </c>
      <c r="BD128" s="17">
        <f t="shared" ca="1" si="45"/>
        <v>0.39716923076923077</v>
      </c>
    </row>
    <row r="129" spans="39:62" x14ac:dyDescent="0.2">
      <c r="AS129">
        <v>10</v>
      </c>
      <c r="AT129" s="46" t="str">
        <f t="shared" si="39"/>
        <v>TAIWAN</v>
      </c>
      <c r="AU129" s="49">
        <f t="shared" ca="1" si="37"/>
        <v>0</v>
      </c>
      <c r="AV129" s="28">
        <f t="shared" ca="1" si="38"/>
        <v>9.9999999999999995E-8</v>
      </c>
      <c r="AW129" s="28">
        <f t="shared" ca="1" si="46"/>
        <v>3.0000000199999999</v>
      </c>
      <c r="AX129">
        <f t="shared" ca="1" si="40"/>
        <v>2</v>
      </c>
      <c r="AZ129" t="str">
        <f t="shared" ca="1" si="41"/>
        <v>CHINA</v>
      </c>
      <c r="BA129" s="28">
        <f t="shared" ca="1" si="42"/>
        <v>195.00800000000001</v>
      </c>
      <c r="BB129" s="28">
        <f t="shared" ca="1" si="43"/>
        <v>3</v>
      </c>
      <c r="BC129" s="28">
        <f t="shared" ca="1" si="44"/>
        <v>65.00266666666667</v>
      </c>
      <c r="BD129" s="17">
        <f t="shared" ca="1" si="45"/>
        <v>0.25001025641025643</v>
      </c>
    </row>
    <row r="130" spans="39:62" x14ac:dyDescent="0.2">
      <c r="AS130">
        <v>11</v>
      </c>
      <c r="AT130" s="46" t="str">
        <f t="shared" si="39"/>
        <v>THAILAND</v>
      </c>
      <c r="AU130" s="49">
        <f t="shared" ca="1" si="37"/>
        <v>0</v>
      </c>
      <c r="AV130" s="28">
        <f t="shared" ca="1" si="38"/>
        <v>1.1000000000000001E-7</v>
      </c>
      <c r="AW130" s="28">
        <f t="shared" ca="1" si="46"/>
        <v>4.0000000399999998</v>
      </c>
      <c r="AX130">
        <f t="shared" ca="1" si="40"/>
        <v>4</v>
      </c>
      <c r="AZ130" t="str">
        <f t="shared" ca="1" si="41"/>
        <v>INDONESIA</v>
      </c>
      <c r="BA130" s="28">
        <f t="shared" ca="1" si="42"/>
        <v>740.6400000000001</v>
      </c>
      <c r="BB130" s="28">
        <f t="shared" ca="1" si="43"/>
        <v>4</v>
      </c>
      <c r="BC130" s="28">
        <f t="shared" ca="1" si="44"/>
        <v>185.16000000000003</v>
      </c>
      <c r="BD130" s="17">
        <f t="shared" ca="1" si="45"/>
        <v>0.71215384615384625</v>
      </c>
    </row>
    <row r="131" spans="39:62" x14ac:dyDescent="0.2">
      <c r="AS131">
        <v>12</v>
      </c>
      <c r="AT131" s="46" t="str">
        <f t="shared" si="39"/>
        <v>VIETNAM</v>
      </c>
      <c r="AU131" s="49">
        <f t="shared" ca="1" si="37"/>
        <v>0</v>
      </c>
      <c r="AV131" s="28">
        <f t="shared" ca="1" si="38"/>
        <v>1.1999999999999999E-7</v>
      </c>
      <c r="AW131" s="28">
        <f t="shared" ca="1" si="46"/>
        <v>6.0000000299999998</v>
      </c>
      <c r="AX131">
        <f t="shared" ca="1" si="40"/>
        <v>3</v>
      </c>
      <c r="AZ131" t="str">
        <f t="shared" ca="1" si="41"/>
        <v>HONG KONG</v>
      </c>
      <c r="BA131" s="28">
        <f t="shared" ca="1" si="42"/>
        <v>211.072</v>
      </c>
      <c r="BB131" s="28">
        <f t="shared" ca="1" si="43"/>
        <v>6</v>
      </c>
      <c r="BC131" s="28">
        <f t="shared" ca="1" si="44"/>
        <v>35.178666666666665</v>
      </c>
      <c r="BD131" s="17">
        <f t="shared" ca="1" si="45"/>
        <v>0.13530256410256411</v>
      </c>
    </row>
    <row r="132" spans="39:62" ht="25.5" x14ac:dyDescent="0.2">
      <c r="AS132">
        <v>13</v>
      </c>
      <c r="AT132" s="46" t="str">
        <f t="shared" si="39"/>
        <v>MALAYSIA_FB</v>
      </c>
      <c r="AU132" s="49">
        <f t="shared" ca="1" si="37"/>
        <v>0</v>
      </c>
      <c r="AV132" s="28">
        <f t="shared" ca="1" si="38"/>
        <v>1.3E-7</v>
      </c>
      <c r="AW132" s="28">
        <f t="shared" ca="1" si="46"/>
        <v>11.00000007</v>
      </c>
      <c r="AX132">
        <f t="shared" ca="1" si="40"/>
        <v>7</v>
      </c>
      <c r="AZ132" t="str">
        <f t="shared" ca="1" si="41"/>
        <v>MALAYSIA</v>
      </c>
      <c r="BA132" s="28">
        <f t="shared" ca="1" si="42"/>
        <v>597.82400000000007</v>
      </c>
      <c r="BB132" s="28">
        <f t="shared" ca="1" si="43"/>
        <v>11</v>
      </c>
      <c r="BC132" s="28">
        <f t="shared" ca="1" si="44"/>
        <v>54.347636363636369</v>
      </c>
      <c r="BD132" s="17">
        <f t="shared" ca="1" si="45"/>
        <v>0.20902937062937066</v>
      </c>
    </row>
    <row r="133" spans="39:62" ht="25.5" x14ac:dyDescent="0.2">
      <c r="AS133">
        <v>14</v>
      </c>
      <c r="AT133" s="46" t="str">
        <f t="shared" si="39"/>
        <v>SINGAPORE_FB</v>
      </c>
      <c r="AU133" s="49">
        <f t="shared" ca="1" si="37"/>
        <v>0</v>
      </c>
      <c r="AV133" s="28">
        <f t="shared" ca="1" si="38"/>
        <v>1.4000000000000001E-7</v>
      </c>
      <c r="AW133" s="28">
        <f t="shared" ca="1" si="46"/>
        <v>11.00000009</v>
      </c>
      <c r="AX133">
        <f t="shared" ca="1" si="40"/>
        <v>9</v>
      </c>
      <c r="AZ133" t="str">
        <f t="shared" ca="1" si="41"/>
        <v>SINGAPORE</v>
      </c>
      <c r="BA133" s="28">
        <f t="shared" ca="1" si="42"/>
        <v>1671.36</v>
      </c>
      <c r="BB133" s="28">
        <f t="shared" ca="1" si="43"/>
        <v>11</v>
      </c>
      <c r="BC133" s="28">
        <f t="shared" ca="1" si="44"/>
        <v>151.94181818181818</v>
      </c>
      <c r="BD133" s="17">
        <f t="shared" ca="1" si="45"/>
        <v>0.58439160839160831</v>
      </c>
    </row>
    <row r="134" spans="39:62" x14ac:dyDescent="0.2">
      <c r="AT134" s="46"/>
    </row>
    <row r="135" spans="39:62" ht="25.5" customHeight="1" x14ac:dyDescent="0.2">
      <c r="AT135" s="96" t="s">
        <v>85</v>
      </c>
      <c r="AU135" s="96"/>
      <c r="AV135" s="28">
        <f>parameters!C9</f>
        <v>10</v>
      </c>
    </row>
    <row r="137" spans="39:62" x14ac:dyDescent="0.2">
      <c r="AM137" t="s">
        <v>89</v>
      </c>
      <c r="AT137">
        <v>1</v>
      </c>
    </row>
    <row r="138" spans="39:62" x14ac:dyDescent="0.2">
      <c r="AT138" t="s">
        <v>87</v>
      </c>
    </row>
    <row r="139" spans="39:62" x14ac:dyDescent="0.2">
      <c r="AU139" s="16" t="s">
        <v>3</v>
      </c>
      <c r="AV139" s="43" t="s">
        <v>11</v>
      </c>
      <c r="AW139" s="43" t="s">
        <v>12</v>
      </c>
      <c r="AX139" s="11" t="s">
        <v>10</v>
      </c>
      <c r="AY139" s="43" t="s">
        <v>13</v>
      </c>
      <c r="AZ139" s="11" t="s">
        <v>14</v>
      </c>
      <c r="BA139" s="11" t="s">
        <v>15</v>
      </c>
      <c r="BB139" s="11" t="s">
        <v>4</v>
      </c>
      <c r="BC139" s="11" t="s">
        <v>16</v>
      </c>
      <c r="BD139" s="11" t="s">
        <v>17</v>
      </c>
      <c r="BE139" s="11" t="s">
        <v>18</v>
      </c>
      <c r="BF139" s="11" t="s">
        <v>19</v>
      </c>
      <c r="BG139" s="11"/>
      <c r="BH139" s="11"/>
      <c r="BI139" s="11"/>
      <c r="BJ139" s="44" t="s">
        <v>20</v>
      </c>
    </row>
    <row r="140" spans="39:62" x14ac:dyDescent="0.2">
      <c r="AT140" s="21">
        <v>40269</v>
      </c>
      <c r="AU140" s="28">
        <f t="shared" ref="AU140:AV149" si="47">IF(ISERROR(AU67/AU84),0,AU67/AU84)</f>
        <v>0</v>
      </c>
      <c r="AV140" s="28">
        <f t="shared" si="47"/>
        <v>0</v>
      </c>
      <c r="AW140" s="28">
        <f t="shared" ref="AW140:BF140" si="48">IF(ISERROR(AW67/AW84),0,AW67/AW84)</f>
        <v>0</v>
      </c>
      <c r="AX140" s="28">
        <f t="shared" si="48"/>
        <v>0</v>
      </c>
      <c r="AY140" s="28">
        <f t="shared" si="48"/>
        <v>6.666666666666667</v>
      </c>
      <c r="AZ140" s="28">
        <f t="shared" si="48"/>
        <v>83.2</v>
      </c>
      <c r="BA140" s="28">
        <f t="shared" si="48"/>
        <v>42.58461538461539</v>
      </c>
      <c r="BB140" s="28">
        <f t="shared" si="48"/>
        <v>0</v>
      </c>
      <c r="BC140" s="28">
        <f t="shared" si="48"/>
        <v>170.66666666666666</v>
      </c>
      <c r="BD140" s="28">
        <f t="shared" si="48"/>
        <v>0</v>
      </c>
      <c r="BE140" s="28">
        <f t="shared" si="48"/>
        <v>0</v>
      </c>
      <c r="BF140" s="28">
        <f t="shared" si="48"/>
        <v>0</v>
      </c>
      <c r="BG140" s="28"/>
      <c r="BH140" s="28"/>
      <c r="BI140" s="28"/>
    </row>
    <row r="141" spans="39:62" x14ac:dyDescent="0.2">
      <c r="AT141" s="21">
        <v>40299</v>
      </c>
      <c r="AU141" s="28">
        <f t="shared" si="47"/>
        <v>0</v>
      </c>
      <c r="AV141" s="28">
        <f t="shared" si="47"/>
        <v>65.00266666666667</v>
      </c>
      <c r="AW141" s="28">
        <f t="shared" ref="AW141:BF141" si="49">IF(ISERROR(AW68/AW85),0,AW68/AW85)</f>
        <v>35.178666666666665</v>
      </c>
      <c r="AX141" s="28">
        <f t="shared" si="49"/>
        <v>185.16000000000003</v>
      </c>
      <c r="AY141" s="28">
        <f t="shared" si="49"/>
        <v>0</v>
      </c>
      <c r="AZ141" s="28">
        <f t="shared" si="49"/>
        <v>103.264</v>
      </c>
      <c r="BA141" s="28">
        <f t="shared" si="49"/>
        <v>54.347636363636369</v>
      </c>
      <c r="BB141" s="28">
        <f t="shared" si="49"/>
        <v>0</v>
      </c>
      <c r="BC141" s="28">
        <f t="shared" si="49"/>
        <v>151.94181818181818</v>
      </c>
      <c r="BD141" s="28">
        <f t="shared" si="49"/>
        <v>0</v>
      </c>
      <c r="BE141" s="28">
        <f t="shared" si="49"/>
        <v>0</v>
      </c>
      <c r="BF141" s="28">
        <f t="shared" si="49"/>
        <v>0</v>
      </c>
      <c r="BG141" s="28"/>
      <c r="BH141" s="28"/>
      <c r="BI141" s="28"/>
    </row>
    <row r="142" spans="39:62" x14ac:dyDescent="0.2">
      <c r="AT142" s="21">
        <v>40330</v>
      </c>
      <c r="AU142" s="28">
        <f t="shared" si="47"/>
        <v>0</v>
      </c>
      <c r="AV142" s="28">
        <f t="shared" si="47"/>
        <v>0</v>
      </c>
      <c r="AW142" s="28">
        <f t="shared" ref="AW142:BF142" si="50">IF(ISERROR(AW69/AW86),0,AW69/AW86)</f>
        <v>0</v>
      </c>
      <c r="AX142" s="28">
        <f t="shared" si="50"/>
        <v>0</v>
      </c>
      <c r="AY142" s="28">
        <f t="shared" si="50"/>
        <v>0</v>
      </c>
      <c r="AZ142" s="28">
        <f t="shared" si="50"/>
        <v>169.56799999999998</v>
      </c>
      <c r="BA142" s="28">
        <f t="shared" si="50"/>
        <v>28.281904761904759</v>
      </c>
      <c r="BB142" s="28">
        <f t="shared" si="50"/>
        <v>0</v>
      </c>
      <c r="BC142" s="28">
        <f t="shared" si="50"/>
        <v>73.515294117647059</v>
      </c>
      <c r="BD142" s="28">
        <f t="shared" si="50"/>
        <v>0</v>
      </c>
      <c r="BE142" s="28">
        <f t="shared" si="50"/>
        <v>27.949176470588245</v>
      </c>
      <c r="BF142" s="28">
        <f t="shared" si="50"/>
        <v>4.269333333333333</v>
      </c>
      <c r="BG142" s="28"/>
      <c r="BH142" s="28"/>
      <c r="BI142" s="28"/>
    </row>
    <row r="143" spans="39:62" x14ac:dyDescent="0.2">
      <c r="AT143" s="21">
        <v>40360</v>
      </c>
      <c r="AU143" s="28">
        <f t="shared" si="47"/>
        <v>0</v>
      </c>
      <c r="AV143" s="28">
        <f t="shared" si="47"/>
        <v>0</v>
      </c>
      <c r="AW143" s="28">
        <f t="shared" ref="AW143:BF143" si="51">IF(ISERROR(AW70/AW87),0,AW70/AW87)</f>
        <v>0</v>
      </c>
      <c r="AX143" s="28">
        <f t="shared" si="51"/>
        <v>0</v>
      </c>
      <c r="AY143" s="28">
        <f t="shared" si="51"/>
        <v>3.5200000000000009</v>
      </c>
      <c r="AZ143" s="28">
        <f t="shared" si="51"/>
        <v>21.168000000000003</v>
      </c>
      <c r="BA143" s="28">
        <f t="shared" si="51"/>
        <v>135.21599999999998</v>
      </c>
      <c r="BB143" s="28">
        <f t="shared" si="51"/>
        <v>0</v>
      </c>
      <c r="BC143" s="28">
        <f t="shared" si="51"/>
        <v>38.031304347826094</v>
      </c>
      <c r="BD143" s="28">
        <f t="shared" si="51"/>
        <v>0</v>
      </c>
      <c r="BE143" s="28">
        <f t="shared" si="51"/>
        <v>0</v>
      </c>
      <c r="BF143" s="28">
        <f t="shared" si="51"/>
        <v>0</v>
      </c>
      <c r="BG143" s="28"/>
      <c r="BH143" s="28"/>
      <c r="BI143" s="28"/>
    </row>
    <row r="144" spans="39:62" x14ac:dyDescent="0.2">
      <c r="AT144" s="21">
        <v>40391</v>
      </c>
      <c r="AU144" s="28">
        <f t="shared" si="47"/>
        <v>73.333333333333343</v>
      </c>
      <c r="AV144" s="28">
        <f t="shared" si="47"/>
        <v>73.333333333333343</v>
      </c>
      <c r="AW144" s="28">
        <f t="shared" ref="AW144:BF144" si="52">IF(ISERROR(AW71/AW88),0,AW71/AW88)</f>
        <v>73.333333333333343</v>
      </c>
      <c r="AX144" s="28">
        <f t="shared" si="52"/>
        <v>73.333333333333329</v>
      </c>
      <c r="AY144" s="28">
        <f t="shared" si="52"/>
        <v>73.333333333333343</v>
      </c>
      <c r="AZ144" s="28">
        <f t="shared" si="52"/>
        <v>73.333333333333329</v>
      </c>
      <c r="BA144" s="28">
        <f t="shared" si="52"/>
        <v>73.333333333333343</v>
      </c>
      <c r="BB144" s="28">
        <f t="shared" si="52"/>
        <v>73.333333333333343</v>
      </c>
      <c r="BC144" s="28">
        <f t="shared" si="52"/>
        <v>73.333333333333329</v>
      </c>
      <c r="BD144" s="28">
        <f t="shared" si="52"/>
        <v>73.333333333333343</v>
      </c>
      <c r="BE144" s="28">
        <f t="shared" si="52"/>
        <v>73.333333333333329</v>
      </c>
      <c r="BF144" s="28">
        <f t="shared" si="52"/>
        <v>73.333333333333343</v>
      </c>
      <c r="BG144" s="28"/>
      <c r="BH144" s="28"/>
      <c r="BI144" s="28"/>
    </row>
    <row r="145" spans="46:61" x14ac:dyDescent="0.2">
      <c r="AT145" s="21">
        <v>40422</v>
      </c>
      <c r="AU145" s="28">
        <f t="shared" si="47"/>
        <v>58.139534883720927</v>
      </c>
      <c r="AV145" s="28">
        <f t="shared" si="47"/>
        <v>58.139534883720927</v>
      </c>
      <c r="AW145" s="28">
        <f t="shared" ref="AW145:BF145" si="53">IF(ISERROR(AW72/AW89),0,AW72/AW89)</f>
        <v>58.139534883720927</v>
      </c>
      <c r="AX145" s="28">
        <f t="shared" si="53"/>
        <v>58.139534883720927</v>
      </c>
      <c r="AY145" s="28">
        <f t="shared" si="53"/>
        <v>58.139534883720927</v>
      </c>
      <c r="AZ145" s="28">
        <f t="shared" si="53"/>
        <v>58.139534883720927</v>
      </c>
      <c r="BA145" s="28">
        <f t="shared" si="53"/>
        <v>58.139534883720927</v>
      </c>
      <c r="BB145" s="28">
        <f t="shared" si="53"/>
        <v>58.139534883720927</v>
      </c>
      <c r="BC145" s="28">
        <f t="shared" si="53"/>
        <v>58.139534883720934</v>
      </c>
      <c r="BD145" s="28">
        <f t="shared" si="53"/>
        <v>58.139534883720927</v>
      </c>
      <c r="BE145" s="28">
        <f t="shared" si="53"/>
        <v>58.139534883720927</v>
      </c>
      <c r="BF145" s="28">
        <f t="shared" si="53"/>
        <v>58.139534883720927</v>
      </c>
      <c r="BG145" s="28"/>
      <c r="BH145" s="28"/>
      <c r="BI145" s="28"/>
    </row>
    <row r="146" spans="46:61" x14ac:dyDescent="0.2">
      <c r="AT146" s="21">
        <v>40452</v>
      </c>
      <c r="AU146" s="28">
        <f t="shared" si="47"/>
        <v>44.583333333333336</v>
      </c>
      <c r="AV146" s="28">
        <f t="shared" si="47"/>
        <v>44.583333333333336</v>
      </c>
      <c r="AW146" s="28">
        <f t="shared" ref="AW146:BF146" si="54">IF(ISERROR(AW73/AW90),0,AW73/AW90)</f>
        <v>44.583333333333336</v>
      </c>
      <c r="AX146" s="28">
        <f t="shared" si="54"/>
        <v>44.583333333333336</v>
      </c>
      <c r="AY146" s="28">
        <f t="shared" si="54"/>
        <v>44.583333333333336</v>
      </c>
      <c r="AZ146" s="28">
        <f t="shared" si="54"/>
        <v>44.583333333333336</v>
      </c>
      <c r="BA146" s="28">
        <f t="shared" si="54"/>
        <v>44.583333333333336</v>
      </c>
      <c r="BB146" s="28">
        <f t="shared" si="54"/>
        <v>44.583333333333336</v>
      </c>
      <c r="BC146" s="28">
        <f t="shared" si="54"/>
        <v>44.583333333333336</v>
      </c>
      <c r="BD146" s="28">
        <f t="shared" si="54"/>
        <v>44.583333333333336</v>
      </c>
      <c r="BE146" s="28">
        <f t="shared" si="54"/>
        <v>44.583333333333336</v>
      </c>
      <c r="BF146" s="28">
        <f t="shared" si="54"/>
        <v>44.583333333333336</v>
      </c>
      <c r="BG146" s="28"/>
      <c r="BH146" s="28"/>
      <c r="BI146" s="28"/>
    </row>
    <row r="147" spans="46:61" x14ac:dyDescent="0.2">
      <c r="AT147" s="21">
        <v>40483</v>
      </c>
      <c r="AU147" s="28">
        <f t="shared" si="47"/>
        <v>25.285714285714285</v>
      </c>
      <c r="AV147" s="28">
        <f t="shared" si="47"/>
        <v>25.285714285714285</v>
      </c>
      <c r="AW147" s="28">
        <f t="shared" ref="AW147:BF147" si="55">IF(ISERROR(AW74/AW91),0,AW74/AW91)</f>
        <v>25.285714285714285</v>
      </c>
      <c r="AX147" s="28">
        <f t="shared" si="55"/>
        <v>25.285714285714285</v>
      </c>
      <c r="AY147" s="28">
        <f t="shared" si="55"/>
        <v>25.285714285714285</v>
      </c>
      <c r="AZ147" s="28">
        <f t="shared" si="55"/>
        <v>25.285714285714288</v>
      </c>
      <c r="BA147" s="28">
        <f t="shared" si="55"/>
        <v>25.285714285714285</v>
      </c>
      <c r="BB147" s="28">
        <f t="shared" si="55"/>
        <v>25.285714285714285</v>
      </c>
      <c r="BC147" s="28">
        <f t="shared" si="55"/>
        <v>25.285714285714285</v>
      </c>
      <c r="BD147" s="28">
        <f t="shared" si="55"/>
        <v>25.285714285714285</v>
      </c>
      <c r="BE147" s="28">
        <f t="shared" si="55"/>
        <v>25.285714285714285</v>
      </c>
      <c r="BF147" s="28">
        <f t="shared" si="55"/>
        <v>25.285714285714285</v>
      </c>
      <c r="BG147" s="28"/>
      <c r="BH147" s="28"/>
      <c r="BI147" s="28"/>
    </row>
    <row r="148" spans="46:61" x14ac:dyDescent="0.2">
      <c r="AT148" s="21">
        <v>40513</v>
      </c>
      <c r="AU148" s="28">
        <f t="shared" si="47"/>
        <v>22.888888888888889</v>
      </c>
      <c r="AV148" s="28">
        <f t="shared" si="47"/>
        <v>22.888888888888889</v>
      </c>
      <c r="AW148" s="28">
        <f t="shared" ref="AW148:BF148" si="56">IF(ISERROR(AW75/AW92),0,AW75/AW92)</f>
        <v>22.888888888888889</v>
      </c>
      <c r="AX148" s="28">
        <f t="shared" si="56"/>
        <v>22.888888888888889</v>
      </c>
      <c r="AY148" s="28">
        <f t="shared" si="56"/>
        <v>22.888888888888889</v>
      </c>
      <c r="AZ148" s="28">
        <f t="shared" si="56"/>
        <v>22.888888888888889</v>
      </c>
      <c r="BA148" s="28">
        <f t="shared" si="56"/>
        <v>22.888888888888889</v>
      </c>
      <c r="BB148" s="28">
        <f t="shared" si="56"/>
        <v>22.888888888888889</v>
      </c>
      <c r="BC148" s="28">
        <f t="shared" si="56"/>
        <v>22.888888888888889</v>
      </c>
      <c r="BD148" s="28">
        <f t="shared" si="56"/>
        <v>22.888888888888889</v>
      </c>
      <c r="BE148" s="28">
        <f t="shared" si="56"/>
        <v>22.888888888888889</v>
      </c>
      <c r="BF148" s="28">
        <f t="shared" si="56"/>
        <v>22.888888888888889</v>
      </c>
      <c r="BG148" s="28"/>
      <c r="BH148" s="28"/>
      <c r="BI148" s="28"/>
    </row>
    <row r="149" spans="46:61" x14ac:dyDescent="0.2">
      <c r="AT149" s="21">
        <v>40544</v>
      </c>
      <c r="AU149" s="28">
        <f t="shared" si="47"/>
        <v>7.6202531645569609</v>
      </c>
      <c r="AV149" s="28">
        <f t="shared" si="47"/>
        <v>7.6202531645569609</v>
      </c>
      <c r="AW149" s="28">
        <f t="shared" ref="AW149:BF149" si="57">IF(ISERROR(AW76/AW93),0,AW76/AW93)</f>
        <v>7.6202531645569618</v>
      </c>
      <c r="AX149" s="28">
        <f t="shared" si="57"/>
        <v>7.6202531645569618</v>
      </c>
      <c r="AY149" s="28">
        <f t="shared" si="57"/>
        <v>7.6202531645569609</v>
      </c>
      <c r="AZ149" s="28">
        <f t="shared" si="57"/>
        <v>7.6202531645569618</v>
      </c>
      <c r="BA149" s="28">
        <f t="shared" si="57"/>
        <v>7.6202531645569618</v>
      </c>
      <c r="BB149" s="28">
        <f t="shared" si="57"/>
        <v>7.6202531645569609</v>
      </c>
      <c r="BC149" s="28">
        <f t="shared" si="57"/>
        <v>7.6202531645569618</v>
      </c>
      <c r="BD149" s="28">
        <f t="shared" si="57"/>
        <v>7.6202531645569609</v>
      </c>
      <c r="BE149" s="28">
        <f t="shared" si="57"/>
        <v>7.6202531645569618</v>
      </c>
      <c r="BF149" s="28">
        <f t="shared" si="57"/>
        <v>7.6202531645569609</v>
      </c>
      <c r="BG149" s="28"/>
      <c r="BH149" s="28"/>
      <c r="BI149" s="28"/>
    </row>
    <row r="150" spans="46:61" x14ac:dyDescent="0.2">
      <c r="AT150" s="21">
        <v>40575</v>
      </c>
      <c r="AU150" s="28">
        <f t="shared" ref="AU150:BF150" si="58">IF(ISERROR(AU77/AU94),0,AU77/AU94)</f>
        <v>9.823008849557521</v>
      </c>
      <c r="AV150" s="28">
        <f t="shared" si="58"/>
        <v>9.823008849557521</v>
      </c>
      <c r="AW150" s="28">
        <f t="shared" si="58"/>
        <v>9.823008849557521</v>
      </c>
      <c r="AX150" s="28">
        <f t="shared" si="58"/>
        <v>9.8230088495575227</v>
      </c>
      <c r="AY150" s="28">
        <f t="shared" si="58"/>
        <v>9.823008849557521</v>
      </c>
      <c r="AZ150" s="28">
        <f t="shared" si="58"/>
        <v>9.823008849557521</v>
      </c>
      <c r="BA150" s="28">
        <f t="shared" si="58"/>
        <v>9.823008849557521</v>
      </c>
      <c r="BB150" s="28">
        <f t="shared" si="58"/>
        <v>9.823008849557521</v>
      </c>
      <c r="BC150" s="28">
        <f t="shared" si="58"/>
        <v>9.8230088495575227</v>
      </c>
      <c r="BD150" s="28">
        <f t="shared" si="58"/>
        <v>9.823008849557521</v>
      </c>
      <c r="BE150" s="28">
        <f t="shared" si="58"/>
        <v>9.8230088495575227</v>
      </c>
      <c r="BF150" s="28">
        <f t="shared" si="58"/>
        <v>9.823008849557521</v>
      </c>
      <c r="BG150" s="28"/>
      <c r="BH150" s="28"/>
      <c r="BI150" s="28"/>
    </row>
    <row r="151" spans="46:61" x14ac:dyDescent="0.2">
      <c r="AT151" s="21">
        <v>40603</v>
      </c>
      <c r="AU151" s="28">
        <f t="shared" ref="AU151:BF151" si="59">IF(ISERROR(AU78/AU95),0,AU78/AU95)</f>
        <v>7.8888888888888884</v>
      </c>
      <c r="AV151" s="28">
        <f t="shared" si="59"/>
        <v>7.8888888888888884</v>
      </c>
      <c r="AW151" s="28">
        <f t="shared" si="59"/>
        <v>7.8888888888888893</v>
      </c>
      <c r="AX151" s="28">
        <f t="shared" si="59"/>
        <v>7.8888888888888893</v>
      </c>
      <c r="AY151" s="28">
        <f t="shared" si="59"/>
        <v>7.8888888888888884</v>
      </c>
      <c r="AZ151" s="28">
        <f t="shared" si="59"/>
        <v>7.8888888888888893</v>
      </c>
      <c r="BA151" s="28">
        <f t="shared" si="59"/>
        <v>7.8888888888888893</v>
      </c>
      <c r="BB151" s="28">
        <f t="shared" si="59"/>
        <v>7.8888888888888884</v>
      </c>
      <c r="BC151" s="28">
        <f t="shared" si="59"/>
        <v>7.8888888888888893</v>
      </c>
      <c r="BD151" s="28">
        <f t="shared" si="59"/>
        <v>7.8888888888888884</v>
      </c>
      <c r="BE151" s="28">
        <f t="shared" si="59"/>
        <v>7.8888888888888893</v>
      </c>
      <c r="BF151" s="28">
        <f t="shared" si="59"/>
        <v>7.8888888888888884</v>
      </c>
      <c r="BG151" s="28"/>
      <c r="BH151" s="28"/>
      <c r="BI151" s="28"/>
    </row>
    <row r="153" spans="46:61" x14ac:dyDescent="0.2">
      <c r="AT153" t="s">
        <v>88</v>
      </c>
    </row>
    <row r="154" spans="46:61" x14ac:dyDescent="0.2">
      <c r="AU154" s="52" t="str">
        <f>INDEX($AU$139:$BJ$151,1,$AT$137)</f>
        <v>AUSTRALIA</v>
      </c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</row>
    <row r="155" spans="46:61" x14ac:dyDescent="0.2">
      <c r="AT155" s="21">
        <v>40269</v>
      </c>
      <c r="AU155" s="52">
        <f>INDEX($AU$139:$BJ$151,2,$AT$137)</f>
        <v>0</v>
      </c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</row>
    <row r="156" spans="46:61" x14ac:dyDescent="0.2">
      <c r="AT156" s="21">
        <v>40299</v>
      </c>
      <c r="AU156" s="52">
        <f>INDEX($AU$139:$BJ$151,3,$AT$137)</f>
        <v>0</v>
      </c>
    </row>
    <row r="157" spans="46:61" x14ac:dyDescent="0.2">
      <c r="AT157" s="21">
        <v>40330</v>
      </c>
      <c r="AU157" s="52">
        <f>INDEX($AU$139:$BJ$151,4,$AT$137)</f>
        <v>0</v>
      </c>
    </row>
    <row r="158" spans="46:61" x14ac:dyDescent="0.2">
      <c r="AT158" s="21">
        <v>40360</v>
      </c>
      <c r="AU158" s="52">
        <f>INDEX($AU$139:$BJ$151,5,$AT$137)</f>
        <v>0</v>
      </c>
    </row>
    <row r="159" spans="46:61" x14ac:dyDescent="0.2">
      <c r="AT159" s="21">
        <v>40391</v>
      </c>
      <c r="AU159" s="52">
        <f>INDEX($AU$139:$BJ$151,6,$AT$137)</f>
        <v>73.333333333333343</v>
      </c>
    </row>
    <row r="160" spans="46:61" x14ac:dyDescent="0.2">
      <c r="AT160" s="21">
        <v>40422</v>
      </c>
      <c r="AU160" s="52">
        <f>INDEX($AU$139:$BJ$151,7,$AT$137)</f>
        <v>58.139534883720927</v>
      </c>
    </row>
    <row r="161" spans="46:47" x14ac:dyDescent="0.2">
      <c r="AT161" s="21">
        <v>40452</v>
      </c>
      <c r="AU161" s="52">
        <f>INDEX($AU$139:$BJ$151,8,$AT$137)</f>
        <v>44.583333333333336</v>
      </c>
    </row>
    <row r="162" spans="46:47" x14ac:dyDescent="0.2">
      <c r="AT162" s="21">
        <v>40483</v>
      </c>
      <c r="AU162" s="52">
        <f>INDEX($AU$139:$BJ$151,9,$AT$137)</f>
        <v>25.285714285714285</v>
      </c>
    </row>
    <row r="163" spans="46:47" x14ac:dyDescent="0.2">
      <c r="AT163" s="21">
        <v>40513</v>
      </c>
      <c r="AU163" s="52">
        <f>INDEX($AU$139:$BJ$151,10,$AT$137)</f>
        <v>22.888888888888889</v>
      </c>
    </row>
    <row r="164" spans="46:47" x14ac:dyDescent="0.2">
      <c r="AT164" s="21">
        <v>40544</v>
      </c>
      <c r="AU164" s="52">
        <f>INDEX($AU$139:$BJ$151,11,$AT$137)</f>
        <v>7.6202531645569609</v>
      </c>
    </row>
    <row r="165" spans="46:47" x14ac:dyDescent="0.2">
      <c r="AT165" s="21">
        <v>40575</v>
      </c>
      <c r="AU165" s="52">
        <f>INDEX($AU$139:$BJ$151,12,$AT$137)</f>
        <v>9.823008849557521</v>
      </c>
    </row>
    <row r="166" spans="46:47" x14ac:dyDescent="0.2">
      <c r="AT166" s="21">
        <v>40603</v>
      </c>
      <c r="AU166" s="52">
        <f>INDEX($AU$139:$BJ$151,13,$AT$137)</f>
        <v>7.8888888888888884</v>
      </c>
    </row>
  </sheetData>
  <mergeCells count="16">
    <mergeCell ref="AT135:AU135"/>
    <mergeCell ref="AJ7:AM8"/>
    <mergeCell ref="C7:D8"/>
    <mergeCell ref="F7:J8"/>
    <mergeCell ref="AU22:AW22"/>
    <mergeCell ref="AD7:AI8"/>
    <mergeCell ref="X7:AB8"/>
    <mergeCell ref="B2:AM2"/>
    <mergeCell ref="AK4:AL4"/>
    <mergeCell ref="AZ22:BB22"/>
    <mergeCell ref="L6:V6"/>
    <mergeCell ref="L7:V8"/>
    <mergeCell ref="F6:J6"/>
    <mergeCell ref="X6:AB6"/>
    <mergeCell ref="AD6:AM6"/>
    <mergeCell ref="C6:D6"/>
  </mergeCells>
  <phoneticPr fontId="3" type="noConversion"/>
  <conditionalFormatting sqref="BF4:CB15">
    <cfRule type="expression" dxfId="18" priority="1" stopIfTrue="1">
      <formula>BF$2&lt;=$BD$4</formula>
    </cfRule>
    <cfRule type="expression" dxfId="17" priority="2" stopIfTrue="1">
      <formula>BF$2&lt;=$BE$4</formula>
    </cfRule>
    <cfRule type="expression" dxfId="16" priority="3" stopIfTrue="1">
      <formula>BF$2&lt;=$BC$4</formula>
    </cfRule>
  </conditionalFormatting>
  <conditionalFormatting sqref="I12">
    <cfRule type="expression" dxfId="15" priority="4" stopIfTrue="1">
      <formula>BF$2&lt;=$BD$4</formula>
    </cfRule>
    <cfRule type="expression" dxfId="14" priority="5" stopIfTrue="1">
      <formula>BF$2&lt;=$BE$4</formula>
    </cfRule>
    <cfRule type="expression" dxfId="13" priority="6" stopIfTrue="1">
      <formula>BF$2&lt;=$BC$4</formula>
    </cfRule>
  </conditionalFormatting>
  <conditionalFormatting sqref="J12:AA12">
    <cfRule type="expression" dxfId="12" priority="7" stopIfTrue="1">
      <formula>BJ$2&lt;=$BD$4</formula>
    </cfRule>
    <cfRule type="expression" dxfId="11" priority="8" stopIfTrue="1">
      <formula>BJ$2&lt;=$BE$4</formula>
    </cfRule>
    <cfRule type="expression" dxfId="10" priority="9" stopIfTrue="1">
      <formula>BJ$2&lt;=$BC$4</formula>
    </cfRule>
  </conditionalFormatting>
  <conditionalFormatting sqref="B28:B41 E28:E41">
    <cfRule type="expression" dxfId="9" priority="10" stopIfTrue="1">
      <formula>$E28&gt;=$AV$135</formula>
    </cfRule>
    <cfRule type="expression" dxfId="8" priority="11" stopIfTrue="1">
      <formula>IF(AND($E28&lt;$AV$135),($E28&gt;0))</formula>
    </cfRule>
    <cfRule type="expression" priority="12" stopIfTrue="1">
      <formula>$E28&lt;0</formula>
    </cfRule>
  </conditionalFormatting>
  <conditionalFormatting sqref="C26">
    <cfRule type="cellIs" dxfId="7" priority="13" stopIfTrue="1" operator="equal">
      <formula>1</formula>
    </cfRule>
  </conditionalFormatting>
  <conditionalFormatting sqref="D26">
    <cfRule type="cellIs" dxfId="6" priority="14" stopIfTrue="1" operator="equal">
      <formula>2</formula>
    </cfRule>
  </conditionalFormatting>
  <conditionalFormatting sqref="E26">
    <cfRule type="cellIs" dxfId="5" priority="15" stopIfTrue="1" operator="equal">
      <formula>3</formula>
    </cfRule>
  </conditionalFormatting>
  <conditionalFormatting sqref="F26">
    <cfRule type="cellIs" dxfId="4" priority="16" stopIfTrue="1" operator="equal">
      <formula>4</formula>
    </cfRule>
  </conditionalFormatting>
  <conditionalFormatting sqref="G12">
    <cfRule type="expression" dxfId="3" priority="17" stopIfTrue="1">
      <formula>$G$12&lt;0</formula>
    </cfRule>
    <cfRule type="expression" dxfId="2" priority="18" stopIfTrue="1">
      <formula>$G$12=0</formula>
    </cfRule>
    <cfRule type="expression" dxfId="1" priority="19" stopIfTrue="1">
      <formula>$G$12&gt;0</formula>
    </cfRule>
  </conditionalFormatting>
  <conditionalFormatting sqref="AW101:AW115">
    <cfRule type="expression" dxfId="0" priority="20" stopIfTrue="1">
      <formula>iserror</formula>
    </cfRule>
  </conditionalFormatting>
  <pageMargins left="0.75" right="0.75" top="1" bottom="1" header="0.5" footer="0.5"/>
  <pageSetup paperSize="9" scale="72" orientation="landscape" verticalDpi="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4513" r:id="rId3" name="Drop Down 1">
              <controlPr defaultSize="0" autoLine="0" autoPict="0">
                <anchor moveWithCells="1">
                  <from>
                    <xdr:col>38</xdr:col>
                    <xdr:colOff>85725</xdr:colOff>
                    <xdr:row>2</xdr:row>
                    <xdr:rowOff>47625</xdr:rowOff>
                  </from>
                  <to>
                    <xdr:col>38</xdr:col>
                    <xdr:colOff>809625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2" r:id="rId4" name="Option Button 20">
              <controlPr defaultSize="0" autoFill="0" autoLine="0" autoPict="0">
                <anchor moveWithCells="1">
                  <from>
                    <xdr:col>2</xdr:col>
                    <xdr:colOff>76200</xdr:colOff>
                    <xdr:row>24</xdr:row>
                    <xdr:rowOff>285750</xdr:rowOff>
                  </from>
                  <to>
                    <xdr:col>2</xdr:col>
                    <xdr:colOff>381000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3" r:id="rId5" name="Option Button 21">
              <controlPr defaultSize="0" autoFill="0" autoLine="0" autoPict="0">
                <anchor moveWithCells="1">
                  <from>
                    <xdr:col>3</xdr:col>
                    <xdr:colOff>123825</xdr:colOff>
                    <xdr:row>24</xdr:row>
                    <xdr:rowOff>285750</xdr:rowOff>
                  </from>
                  <to>
                    <xdr:col>4</xdr:col>
                    <xdr:colOff>38100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4" r:id="rId6" name="Option Button 22">
              <controlPr defaultSize="0" autoFill="0" autoLine="0" autoPict="0">
                <anchor moveWithCells="1">
                  <from>
                    <xdr:col>4</xdr:col>
                    <xdr:colOff>76200</xdr:colOff>
                    <xdr:row>24</xdr:row>
                    <xdr:rowOff>285750</xdr:rowOff>
                  </from>
                  <to>
                    <xdr:col>5</xdr:col>
                    <xdr:colOff>57150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5" r:id="rId7" name="Option Button 23">
              <controlPr defaultSize="0" autoFill="0" autoLine="0" autoPict="0">
                <anchor moveWithCells="1">
                  <from>
                    <xdr:col>5</xdr:col>
                    <xdr:colOff>76200</xdr:colOff>
                    <xdr:row>24</xdr:row>
                    <xdr:rowOff>285750</xdr:rowOff>
                  </from>
                  <to>
                    <xdr:col>6</xdr:col>
                    <xdr:colOff>28575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6" r:id="rId8" name="Spinner 24">
              <controlPr defaultSize="0" autoPict="0">
                <anchor moveWithCells="1" sizeWithCells="1">
                  <from>
                    <xdr:col>1</xdr:col>
                    <xdr:colOff>676275</xdr:colOff>
                    <xdr:row>25</xdr:row>
                    <xdr:rowOff>152400</xdr:rowOff>
                  </from>
                  <to>
                    <xdr:col>1</xdr:col>
                    <xdr:colOff>885825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40" r:id="rId9" name="Drop Down 28">
              <controlPr defaultSize="0" autoLine="0" autoPict="0">
                <anchor moveWithCells="1">
                  <from>
                    <xdr:col>14</xdr:col>
                    <xdr:colOff>47625</xdr:colOff>
                    <xdr:row>28</xdr:row>
                    <xdr:rowOff>47625</xdr:rowOff>
                  </from>
                  <to>
                    <xdr:col>26</xdr:col>
                    <xdr:colOff>47625</xdr:colOff>
                    <xdr:row>28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2"/>
  <sheetViews>
    <sheetView workbookViewId="0">
      <selection activeCell="C2" sqref="C2"/>
    </sheetView>
  </sheetViews>
  <sheetFormatPr defaultColWidth="8.85546875" defaultRowHeight="12.75" x14ac:dyDescent="0.2"/>
  <cols>
    <col min="2" max="2" width="21" customWidth="1"/>
  </cols>
  <sheetData>
    <row r="2" spans="2:10" x14ac:dyDescent="0.2">
      <c r="B2" t="s">
        <v>26</v>
      </c>
      <c r="C2" s="20" t="s">
        <v>2</v>
      </c>
      <c r="G2" t="s">
        <v>32</v>
      </c>
    </row>
    <row r="3" spans="2:10" x14ac:dyDescent="0.2">
      <c r="B3" t="s">
        <v>25</v>
      </c>
      <c r="C3" s="20"/>
      <c r="G3" t="s">
        <v>34</v>
      </c>
    </row>
    <row r="4" spans="2:10" x14ac:dyDescent="0.2">
      <c r="B4" t="s">
        <v>50</v>
      </c>
      <c r="C4">
        <v>260</v>
      </c>
      <c r="G4" t="s">
        <v>33</v>
      </c>
    </row>
    <row r="5" spans="2:10" x14ac:dyDescent="0.2">
      <c r="G5" t="s">
        <v>35</v>
      </c>
    </row>
    <row r="6" spans="2:10" x14ac:dyDescent="0.2">
      <c r="B6" t="s">
        <v>40</v>
      </c>
      <c r="C6" s="13">
        <v>0.5</v>
      </c>
    </row>
    <row r="7" spans="2:10" x14ac:dyDescent="0.2">
      <c r="B7" t="s">
        <v>41</v>
      </c>
      <c r="C7" s="17">
        <v>0.8</v>
      </c>
      <c r="G7" s="24" t="s">
        <v>38</v>
      </c>
      <c r="H7" s="25" t="s">
        <v>39</v>
      </c>
      <c r="I7" s="25" t="s">
        <v>44</v>
      </c>
      <c r="J7" s="25" t="s">
        <v>44</v>
      </c>
    </row>
    <row r="9" spans="2:10" x14ac:dyDescent="0.2">
      <c r="B9" t="s">
        <v>83</v>
      </c>
      <c r="C9">
        <v>10</v>
      </c>
      <c r="D9" t="s">
        <v>84</v>
      </c>
    </row>
    <row r="10" spans="2:10" x14ac:dyDescent="0.2">
      <c r="B10" s="16"/>
    </row>
    <row r="11" spans="2:10" x14ac:dyDescent="0.2">
      <c r="B11" s="16" t="s">
        <v>3</v>
      </c>
    </row>
    <row r="12" spans="2:10" x14ac:dyDescent="0.2">
      <c r="B12" s="43" t="s">
        <v>11</v>
      </c>
    </row>
    <row r="13" spans="2:10" x14ac:dyDescent="0.2">
      <c r="B13" s="43" t="s">
        <v>12</v>
      </c>
    </row>
    <row r="14" spans="2:10" x14ac:dyDescent="0.2">
      <c r="B14" s="11" t="s">
        <v>10</v>
      </c>
    </row>
    <row r="15" spans="2:10" x14ac:dyDescent="0.2">
      <c r="B15" s="43" t="s">
        <v>13</v>
      </c>
    </row>
    <row r="16" spans="2:10" x14ac:dyDescent="0.2">
      <c r="B16" s="11" t="s">
        <v>14</v>
      </c>
    </row>
    <row r="17" spans="2:2" x14ac:dyDescent="0.2">
      <c r="B17" s="11" t="s">
        <v>15</v>
      </c>
    </row>
    <row r="18" spans="2:2" x14ac:dyDescent="0.2">
      <c r="B18" s="11" t="s">
        <v>4</v>
      </c>
    </row>
    <row r="19" spans="2:2" x14ac:dyDescent="0.2">
      <c r="B19" s="11" t="s">
        <v>16</v>
      </c>
    </row>
    <row r="20" spans="2:2" x14ac:dyDescent="0.2">
      <c r="B20" s="11" t="s">
        <v>17</v>
      </c>
    </row>
    <row r="21" spans="2:2" x14ac:dyDescent="0.2">
      <c r="B21" s="11" t="s">
        <v>18</v>
      </c>
    </row>
    <row r="22" spans="2:2" x14ac:dyDescent="0.2">
      <c r="B22" s="11" t="s">
        <v>19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DashBoard</vt:lpstr>
      <vt:lpstr>parameters</vt:lpstr>
      <vt:lpstr>AP</vt:lpstr>
      <vt:lpstr>APpercent</vt:lpstr>
      <vt:lpstr>DMC_AP</vt:lpstr>
      <vt:lpstr>DMC_RN</vt:lpstr>
      <vt:lpstr>mySortCriteria</vt:lpstr>
      <vt:lpstr>DashBoard!Print_Area</vt:lpstr>
      <vt:lpstr>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2010-07-26T11:47:20Z</cp:lastPrinted>
  <dcterms:created xsi:type="dcterms:W3CDTF">2010-05-11T03:58:35Z</dcterms:created>
  <dcterms:modified xsi:type="dcterms:W3CDTF">2022-10-20T08:53:02Z</dcterms:modified>
</cp:coreProperties>
</file>