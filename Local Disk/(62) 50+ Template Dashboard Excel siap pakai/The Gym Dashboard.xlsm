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8_{E5548666-2776-4D76-A865-A856F01019DF}" xr6:coauthVersionLast="47" xr6:coauthVersionMax="47" xr10:uidLastSave="{00000000-0000-0000-0000-000000000000}"/>
  <bookViews>
    <workbookView xWindow="-120" yWindow="-120" windowWidth="20730" windowHeight="11040" activeTab="4" xr2:uid="{00000000-000D-0000-FFFF-FFFF00000000}"/>
  </bookViews>
  <sheets>
    <sheet name="List" sheetId="5" r:id="rId1"/>
    <sheet name="Data" sheetId="2" r:id="rId2"/>
    <sheet name="Financial" sheetId="4" r:id="rId3"/>
    <sheet name="Calcs" sheetId="3" r:id="rId4"/>
    <sheet name="Summary" sheetId="1" r:id="rId5"/>
  </sheets>
  <definedNames>
    <definedName name="State">Summary!$AC$2:$AC$14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1" i="3" l="1"/>
  <c r="C11" i="3"/>
  <c r="D11" i="3"/>
  <c r="E11" i="3"/>
  <c r="F11" i="3"/>
  <c r="G11" i="3"/>
  <c r="O2" i="4"/>
  <c r="O7" i="4"/>
  <c r="O16" i="4"/>
  <c r="O15" i="4"/>
  <c r="O9" i="4"/>
  <c r="O11" i="4"/>
  <c r="O8" i="4"/>
  <c r="O5" i="4"/>
  <c r="O12" i="4"/>
  <c r="O13" i="4"/>
  <c r="O6" i="4"/>
  <c r="O4" i="4"/>
  <c r="O10" i="4"/>
  <c r="O14" i="4"/>
  <c r="O3" i="4"/>
  <c r="M2" i="4"/>
  <c r="M7" i="4"/>
  <c r="M16" i="4"/>
  <c r="M15" i="4"/>
  <c r="M9" i="4"/>
  <c r="M11" i="4"/>
  <c r="M8" i="4"/>
  <c r="M5" i="4"/>
  <c r="M12" i="4"/>
  <c r="M13" i="4"/>
  <c r="M6" i="4"/>
  <c r="M4" i="4"/>
  <c r="M10" i="4"/>
  <c r="M14" i="4"/>
  <c r="M3" i="4"/>
  <c r="K14" i="4"/>
  <c r="K10" i="4"/>
  <c r="K4" i="4"/>
  <c r="K6" i="4"/>
  <c r="K13" i="4"/>
  <c r="K12" i="4"/>
  <c r="K5" i="4"/>
  <c r="K8" i="4"/>
  <c r="K11" i="4"/>
  <c r="K9" i="4"/>
  <c r="K15" i="4"/>
  <c r="K16" i="4"/>
  <c r="K7" i="4"/>
  <c r="K2" i="4"/>
  <c r="K3" i="4"/>
  <c r="D7" i="3"/>
  <c r="E7" i="3"/>
  <c r="F7" i="3"/>
  <c r="G7" i="3"/>
  <c r="H7" i="3"/>
  <c r="I7" i="3"/>
  <c r="C7" i="3"/>
  <c r="A2" i="3" l="1"/>
  <c r="F2" i="3" s="1"/>
  <c r="I2" i="2"/>
  <c r="E5" i="2"/>
  <c r="E8" i="2"/>
  <c r="E11" i="2"/>
  <c r="E9" i="2"/>
  <c r="E15" i="2"/>
  <c r="E16" i="2"/>
  <c r="E7" i="2"/>
  <c r="E2" i="2"/>
  <c r="E6" i="2"/>
  <c r="E13" i="2"/>
  <c r="E12" i="2"/>
  <c r="E4" i="2"/>
  <c r="E14" i="2"/>
  <c r="E10" i="2"/>
  <c r="E3" i="2"/>
  <c r="E2" i="3" l="1"/>
  <c r="D2" i="3"/>
  <c r="C2" i="3"/>
  <c r="A8" i="3"/>
  <c r="B8" i="3" s="1"/>
  <c r="B2" i="3"/>
  <c r="H2" i="5" s="1"/>
  <c r="G2" i="3"/>
  <c r="H2" i="3"/>
  <c r="K2" i="3"/>
  <c r="J2" i="3"/>
  <c r="I2" i="3"/>
  <c r="E52" i="5" l="1"/>
  <c r="F49" i="5"/>
  <c r="D47" i="5"/>
  <c r="E44" i="5"/>
  <c r="F41" i="5"/>
  <c r="D39" i="5"/>
  <c r="E36" i="5"/>
  <c r="F33" i="5"/>
  <c r="D31" i="5"/>
  <c r="E28" i="5"/>
  <c r="F25" i="5"/>
  <c r="D23" i="5"/>
  <c r="E20" i="5"/>
  <c r="F17" i="5"/>
  <c r="D15" i="5"/>
  <c r="E12" i="5"/>
  <c r="F9" i="5"/>
  <c r="D7" i="5"/>
  <c r="E4" i="5"/>
  <c r="D2" i="5"/>
  <c r="D49" i="5"/>
  <c r="E46" i="5"/>
  <c r="D41" i="5"/>
  <c r="F35" i="5"/>
  <c r="D33" i="5"/>
  <c r="F27" i="5"/>
  <c r="E22" i="5"/>
  <c r="D17" i="5"/>
  <c r="F11" i="5"/>
  <c r="E6" i="5"/>
  <c r="F3" i="5"/>
  <c r="E19" i="5"/>
  <c r="E11" i="5"/>
  <c r="D51" i="5"/>
  <c r="F45" i="5"/>
  <c r="E40" i="5"/>
  <c r="D35" i="5"/>
  <c r="F29" i="5"/>
  <c r="E24" i="5"/>
  <c r="D19" i="5"/>
  <c r="D11" i="5"/>
  <c r="D3" i="5"/>
  <c r="E45" i="5"/>
  <c r="F42" i="5"/>
  <c r="E37" i="5"/>
  <c r="F34" i="5"/>
  <c r="F26" i="5"/>
  <c r="D24" i="5"/>
  <c r="D16" i="5"/>
  <c r="F10" i="5"/>
  <c r="E2" i="5"/>
  <c r="D52" i="5"/>
  <c r="E49" i="5"/>
  <c r="F46" i="5"/>
  <c r="D44" i="5"/>
  <c r="E41" i="5"/>
  <c r="F38" i="5"/>
  <c r="D36" i="5"/>
  <c r="E33" i="5"/>
  <c r="F30" i="5"/>
  <c r="D28" i="5"/>
  <c r="E25" i="5"/>
  <c r="F22" i="5"/>
  <c r="D20" i="5"/>
  <c r="E17" i="5"/>
  <c r="F14" i="5"/>
  <c r="D12" i="5"/>
  <c r="E9" i="5"/>
  <c r="F6" i="5"/>
  <c r="D4" i="5"/>
  <c r="F51" i="5"/>
  <c r="F43" i="5"/>
  <c r="E38" i="5"/>
  <c r="E30" i="5"/>
  <c r="D25" i="5"/>
  <c r="F19" i="5"/>
  <c r="E14" i="5"/>
  <c r="D9" i="5"/>
  <c r="F16" i="5"/>
  <c r="F8" i="5"/>
  <c r="E3" i="5"/>
  <c r="E48" i="5"/>
  <c r="D43" i="5"/>
  <c r="F37" i="5"/>
  <c r="E32" i="5"/>
  <c r="D27" i="5"/>
  <c r="F21" i="5"/>
  <c r="F13" i="5"/>
  <c r="E8" i="5"/>
  <c r="D48" i="5"/>
  <c r="D32" i="5"/>
  <c r="F18" i="5"/>
  <c r="D8" i="5"/>
  <c r="E51" i="5"/>
  <c r="F48" i="5"/>
  <c r="D46" i="5"/>
  <c r="E43" i="5"/>
  <c r="F40" i="5"/>
  <c r="D38" i="5"/>
  <c r="E35" i="5"/>
  <c r="F32" i="5"/>
  <c r="D30" i="5"/>
  <c r="E27" i="5"/>
  <c r="F24" i="5"/>
  <c r="D22" i="5"/>
  <c r="D14" i="5"/>
  <c r="D6" i="5"/>
  <c r="E16" i="5"/>
  <c r="F5" i="5"/>
  <c r="F50" i="5"/>
  <c r="D40" i="5"/>
  <c r="E29" i="5"/>
  <c r="E21" i="5"/>
  <c r="E13" i="5"/>
  <c r="E5" i="5"/>
  <c r="E50" i="5"/>
  <c r="F47" i="5"/>
  <c r="D45" i="5"/>
  <c r="E42" i="5"/>
  <c r="F39" i="5"/>
  <c r="D37" i="5"/>
  <c r="E34" i="5"/>
  <c r="F31" i="5"/>
  <c r="D29" i="5"/>
  <c r="E26" i="5"/>
  <c r="F23" i="5"/>
  <c r="D21" i="5"/>
  <c r="E18" i="5"/>
  <c r="F15" i="5"/>
  <c r="D13" i="5"/>
  <c r="E10" i="5"/>
  <c r="F7" i="5"/>
  <c r="D5" i="5"/>
  <c r="F2" i="5"/>
  <c r="F52" i="5"/>
  <c r="D50" i="5"/>
  <c r="E47" i="5"/>
  <c r="F44" i="5"/>
  <c r="D42" i="5"/>
  <c r="E39" i="5"/>
  <c r="F36" i="5"/>
  <c r="D34" i="5"/>
  <c r="E31" i="5"/>
  <c r="F28" i="5"/>
  <c r="D26" i="5"/>
  <c r="E23" i="5"/>
  <c r="F20" i="5"/>
  <c r="D18" i="5"/>
  <c r="E15" i="5"/>
  <c r="F12" i="5"/>
  <c r="D10" i="5"/>
  <c r="E7" i="5"/>
  <c r="F4" i="5"/>
  <c r="B12" i="3"/>
  <c r="D8" i="3"/>
  <c r="G8" i="3"/>
  <c r="C8" i="3"/>
  <c r="F8" i="3"/>
  <c r="H8" i="3"/>
  <c r="I8" i="3"/>
  <c r="E8" i="3"/>
  <c r="C12" i="3" l="1"/>
  <c r="C13" i="3" s="1"/>
  <c r="E12" i="3"/>
  <c r="E13" i="3" s="1"/>
  <c r="F12" i="3"/>
  <c r="G12" i="3"/>
  <c r="G13" i="3" s="1"/>
  <c r="D12" i="3"/>
  <c r="H12" i="3"/>
</calcChain>
</file>

<file path=xl/sharedStrings.xml><?xml version="1.0" encoding="utf-8"?>
<sst xmlns="http://schemas.openxmlformats.org/spreadsheetml/2006/main" count="163" uniqueCount="94">
  <si>
    <t>Followers</t>
  </si>
  <si>
    <t>Likes</t>
  </si>
  <si>
    <t>Member Visits</t>
  </si>
  <si>
    <t>Members</t>
  </si>
  <si>
    <t>Avg Time on Site</t>
  </si>
  <si>
    <t>Security</t>
  </si>
  <si>
    <t>Customer Satisfaction</t>
  </si>
  <si>
    <t>FTE</t>
  </si>
  <si>
    <t>EBIT 000s</t>
  </si>
  <si>
    <t>State</t>
  </si>
  <si>
    <t>Texas</t>
  </si>
  <si>
    <t>California</t>
  </si>
  <si>
    <t>New York</t>
  </si>
  <si>
    <t>Illinois</t>
  </si>
  <si>
    <t>Pennsylvania</t>
  </si>
  <si>
    <t>Ohio</t>
  </si>
  <si>
    <t>Georgia</t>
  </si>
  <si>
    <t>Michigan</t>
  </si>
  <si>
    <t>North Carolina</t>
  </si>
  <si>
    <t>New Jersey</t>
  </si>
  <si>
    <t>Virginia</t>
  </si>
  <si>
    <t>Washington</t>
  </si>
  <si>
    <t>Massachusetts</t>
  </si>
  <si>
    <t>Arizona</t>
  </si>
  <si>
    <t>ID</t>
  </si>
  <si>
    <t>Florida</t>
  </si>
  <si>
    <t>Number</t>
  </si>
  <si>
    <t>2013/14</t>
  </si>
  <si>
    <t>2014/15</t>
  </si>
  <si>
    <t>2015/16</t>
  </si>
  <si>
    <t>NPS</t>
  </si>
  <si>
    <t>CS</t>
  </si>
  <si>
    <t>EE</t>
  </si>
  <si>
    <t>EE-1</t>
  </si>
  <si>
    <t>NPS -1</t>
  </si>
  <si>
    <t>CS-1</t>
  </si>
  <si>
    <t>KS</t>
  </si>
  <si>
    <t>NE</t>
  </si>
  <si>
    <t>SD</t>
  </si>
  <si>
    <t>ND</t>
  </si>
  <si>
    <t>MN</t>
  </si>
  <si>
    <t>IA</t>
  </si>
  <si>
    <t>MO</t>
  </si>
  <si>
    <t>IN</t>
  </si>
  <si>
    <t>IL</t>
  </si>
  <si>
    <t>WI</t>
  </si>
  <si>
    <t>MI</t>
  </si>
  <si>
    <t>OH</t>
  </si>
  <si>
    <t>PA</t>
  </si>
  <si>
    <t>NY</t>
  </si>
  <si>
    <t>NH</t>
  </si>
  <si>
    <t>CT</t>
  </si>
  <si>
    <t>ME</t>
  </si>
  <si>
    <t>MA</t>
  </si>
  <si>
    <t>DE</t>
  </si>
  <si>
    <t>NJ</t>
  </si>
  <si>
    <t>MD</t>
  </si>
  <si>
    <t>VT</t>
  </si>
  <si>
    <t>RI</t>
  </si>
  <si>
    <t>AR</t>
  </si>
  <si>
    <t>TX</t>
  </si>
  <si>
    <t>OK</t>
  </si>
  <si>
    <t>LA</t>
  </si>
  <si>
    <t>MS</t>
  </si>
  <si>
    <t>AL</t>
  </si>
  <si>
    <t>TN</t>
  </si>
  <si>
    <t>KY</t>
  </si>
  <si>
    <t>VA</t>
  </si>
  <si>
    <t>NC</t>
  </si>
  <si>
    <t>SC</t>
  </si>
  <si>
    <t>GA</t>
  </si>
  <si>
    <t>FL</t>
  </si>
  <si>
    <t>WV</t>
  </si>
  <si>
    <t>WA</t>
  </si>
  <si>
    <t>OR</t>
  </si>
  <si>
    <t>CA</t>
  </si>
  <si>
    <t>NV</t>
  </si>
  <si>
    <t>AZ</t>
  </si>
  <si>
    <t>AK</t>
  </si>
  <si>
    <t>UT</t>
  </si>
  <si>
    <t>MT</t>
  </si>
  <si>
    <t>WY</t>
  </si>
  <si>
    <t>CO</t>
  </si>
  <si>
    <t>NM</t>
  </si>
  <si>
    <t>State Office</t>
  </si>
  <si>
    <t>Red</t>
  </si>
  <si>
    <t>Green</t>
  </si>
  <si>
    <t>Blue</t>
  </si>
  <si>
    <t>Choice</t>
  </si>
  <si>
    <t>% Change</t>
  </si>
  <si>
    <t>2016/17</t>
  </si>
  <si>
    <t>2017/18</t>
  </si>
  <si>
    <t>2018/19</t>
  </si>
  <si>
    <t>2019/20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</si>
</sst>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_-* #,##0_-;\-* #,##0_-;_-* &quot;-&quot;??_-;_-@_-"/>
    <numFmt numFmtId="167" formatCode="_-&quot;$&quot;* #,##0_-;\-&quot;$&quot;* #,##0_-;_-&quot;$&quot;* &quot;-&quot;??_-;_-@_-"/>
    <numFmt numFmtId="168" formatCode="#,##0&quot; k&quot;_ ;\-#,##0\ &quot;k&quot;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9">
    <xf numFmtId="0" fontId="0" fillId="0" borderId="0" xfId="0"/>
    <xf numFmtId="3" fontId="0" fillId="0" borderId="0" xfId="0" applyNumberFormat="1"/>
    <xf numFmtId="10" fontId="0" fillId="0" borderId="0" xfId="0" applyNumberFormat="1"/>
    <xf numFmtId="166" fontId="1" fillId="0" borderId="0" xfId="1" applyNumberFormat="1" applyFont="1"/>
    <xf numFmtId="167" fontId="1" fillId="0" borderId="0" xfId="2" applyNumberFormat="1" applyFont="1"/>
    <xf numFmtId="0" fontId="0" fillId="2" borderId="0" xfId="0" applyFill="1"/>
    <xf numFmtId="0" fontId="2" fillId="2" borderId="0" xfId="0" applyFont="1" applyFill="1"/>
    <xf numFmtId="0" fontId="3" fillId="0" borderId="0" xfId="0" applyFont="1" applyFill="1"/>
    <xf numFmtId="9" fontId="1" fillId="0" borderId="0" xfId="3" applyFont="1"/>
    <xf numFmtId="168" fontId="1" fillId="0" borderId="0" xfId="2" applyNumberFormat="1" applyFont="1"/>
    <xf numFmtId="166" fontId="0" fillId="0" borderId="0" xfId="1" applyNumberFormat="1" applyFont="1"/>
    <xf numFmtId="0" fontId="0" fillId="3" borderId="0" xfId="0" applyFill="1"/>
    <xf numFmtId="9" fontId="0" fillId="0" borderId="0" xfId="3" applyFont="1"/>
    <xf numFmtId="0" fontId="0" fillId="0" borderId="0" xfId="0" applyFill="1"/>
    <xf numFmtId="0" fontId="4" fillId="2" borderId="0" xfId="0" applyFont="1" applyFill="1"/>
    <xf numFmtId="0" fontId="6" fillId="4" borderId="0" xfId="0" applyFont="1" applyFill="1"/>
    <xf numFmtId="0" fontId="5" fillId="4" borderId="0" xfId="0" applyFont="1" applyFill="1" applyAlignment="1">
      <alignment horizontal="right"/>
    </xf>
    <xf numFmtId="0" fontId="5" fillId="4" borderId="0" xfId="0" applyFont="1" applyFill="1" applyAlignment="1">
      <alignment horizontal="left"/>
    </xf>
    <xf numFmtId="0" fontId="5" fillId="4" borderId="0" xfId="0" applyFont="1" applyFill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cat>
            <c:strRef>
              <c:f>Calcs!$C$7:$I$7</c:f>
              <c:strCache>
                <c:ptCount val="7"/>
                <c:pt idx="0">
                  <c:v>2013/14</c:v>
                </c:pt>
                <c:pt idx="1">
                  <c:v>2014/15</c:v>
                </c:pt>
                <c:pt idx="2">
                  <c:v>2015/16</c:v>
                </c:pt>
                <c:pt idx="3">
                  <c:v>2016/17</c:v>
                </c:pt>
                <c:pt idx="4">
                  <c:v>2017/18</c:v>
                </c:pt>
                <c:pt idx="5">
                  <c:v>2018/19</c:v>
                </c:pt>
                <c:pt idx="6">
                  <c:v>2019/20</c:v>
                </c:pt>
              </c:strCache>
            </c:strRef>
          </c:cat>
          <c:val>
            <c:numRef>
              <c:f>Calcs!$C$8:$I$8</c:f>
              <c:numCache>
                <c:formatCode>_-* #,##0_-;\-* #,##0_-;_-* "-"??_-;_-@_-</c:formatCode>
                <c:ptCount val="7"/>
                <c:pt idx="0">
                  <c:v>89</c:v>
                </c:pt>
                <c:pt idx="1">
                  <c:v>75</c:v>
                </c:pt>
                <c:pt idx="2">
                  <c:v>92</c:v>
                </c:pt>
                <c:pt idx="3">
                  <c:v>85</c:v>
                </c:pt>
                <c:pt idx="4">
                  <c:v>101</c:v>
                </c:pt>
                <c:pt idx="5">
                  <c:v>95</c:v>
                </c:pt>
                <c:pt idx="6">
                  <c:v>58.941209999999998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68-4067-BEE9-E5ABBB011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"/>
        <c:overlap val="-27"/>
        <c:axId val="628435288"/>
        <c:axId val="628436272"/>
      </c:barChart>
      <c:catAx>
        <c:axId val="628435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436272"/>
        <c:crosses val="autoZero"/>
        <c:auto val="1"/>
        <c:lblAlgn val="ctr"/>
        <c:lblOffset val="100"/>
        <c:noMultiLvlLbl val="0"/>
      </c:catAx>
      <c:valAx>
        <c:axId val="628436272"/>
        <c:scaling>
          <c:orientation val="minMax"/>
        </c:scaling>
        <c:delete val="0"/>
        <c:axPos val="l"/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435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bg1"/>
            </a:solidFill>
            <a:ln w="69850">
              <a:solidFill>
                <a:schemeClr val="accent2">
                  <a:lumMod val="75000"/>
                </a:schemeClr>
              </a:solidFill>
            </a:ln>
          </c:spPr>
          <c:dPt>
            <c:idx val="0"/>
            <c:bubble3D val="0"/>
            <c:spPr>
              <a:solidFill>
                <a:schemeClr val="accent2">
                  <a:lumMod val="75000"/>
                </a:schemeClr>
              </a:solidFill>
              <a:ln w="6985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DFB-4CE4-A993-34A84C1FEE00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698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DFB-4CE4-A993-34A84C1FEE00}"/>
              </c:ext>
            </c:extLst>
          </c:dPt>
          <c:val>
            <c:numRef>
              <c:f>Calcs!$C$12:$D$12</c:f>
              <c:numCache>
                <c:formatCode>_-* #,##0_-;\-* #,##0_-;_-* "-"??_-;_-@_-</c:formatCode>
                <c:ptCount val="2"/>
                <c:pt idx="0">
                  <c:v>25</c:v>
                </c:pt>
                <c:pt idx="1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DFB-4CE4-A993-34A84C1FE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bg1"/>
            </a:solidFill>
            <a:ln w="69850">
              <a:solidFill>
                <a:schemeClr val="accent2">
                  <a:lumMod val="75000"/>
                </a:schemeClr>
              </a:solidFill>
            </a:ln>
          </c:spPr>
          <c:dPt>
            <c:idx val="0"/>
            <c:bubble3D val="0"/>
            <c:spPr>
              <a:solidFill>
                <a:schemeClr val="accent2">
                  <a:lumMod val="75000"/>
                </a:schemeClr>
              </a:solidFill>
              <a:ln w="6985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73E-4527-8510-8B54464D15E8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698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73E-4527-8510-8B54464D15E8}"/>
              </c:ext>
            </c:extLst>
          </c:dPt>
          <c:val>
            <c:numRef>
              <c:f>Calcs!$E$12:$F$12</c:f>
              <c:numCache>
                <c:formatCode>_-* #,##0_-;\-* #,##0_-;_-* "-"??_-;_-@_-</c:formatCode>
                <c:ptCount val="2"/>
                <c:pt idx="0">
                  <c:v>89</c:v>
                </c:pt>
                <c:pt idx="1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3E-4527-8510-8B54464D1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bg1"/>
            </a:solidFill>
            <a:ln w="69850">
              <a:solidFill>
                <a:schemeClr val="accent2">
                  <a:lumMod val="75000"/>
                </a:schemeClr>
              </a:solidFill>
            </a:ln>
          </c:spPr>
          <c:dPt>
            <c:idx val="0"/>
            <c:bubble3D val="0"/>
            <c:spPr>
              <a:solidFill>
                <a:schemeClr val="accent2">
                  <a:lumMod val="75000"/>
                </a:schemeClr>
              </a:solidFill>
              <a:ln w="69850">
                <a:solidFill>
                  <a:schemeClr val="accent2">
                    <a:lumMod val="7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BFF-4B3D-AF8C-1A001AD0AD78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698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BFF-4B3D-AF8C-1A001AD0AD78}"/>
              </c:ext>
            </c:extLst>
          </c:dPt>
          <c:val>
            <c:numRef>
              <c:f>Calcs!$G$12:$H$12</c:f>
              <c:numCache>
                <c:formatCode>_-* #,##0_-;\-* #,##0_-;_-* "-"??_-;_-@_-</c:formatCode>
                <c:ptCount val="2"/>
                <c:pt idx="0">
                  <c:v>74</c:v>
                </c:pt>
                <c:pt idx="1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BFF-4B3D-AF8C-1A001AD0AD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$AB$1" fmlaRange="$AC$2:$AC$16" noThreeD="1" sel="15" val="7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chart" Target="../charts/chart4.xml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chart" Target="../charts/chart3.xml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chart" Target="../charts/chart2.xml"/><Relationship Id="rId5" Type="http://schemas.openxmlformats.org/officeDocument/2006/relationships/image" Target="../media/image5.jpeg"/><Relationship Id="rId10" Type="http://schemas.openxmlformats.org/officeDocument/2006/relationships/chart" Target="../charts/chart1.xml"/><Relationship Id="rId4" Type="http://schemas.openxmlformats.org/officeDocument/2006/relationships/image" Target="../media/image4.jpe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133351</xdr:rowOff>
    </xdr:from>
    <xdr:to>
      <xdr:col>4</xdr:col>
      <xdr:colOff>246597</xdr:colOff>
      <xdr:row>19</xdr:row>
      <xdr:rowOff>23740</xdr:rowOff>
    </xdr:to>
    <xdr:sp macro="" textlink="">
      <xdr:nvSpPr>
        <xdr:cNvPr id="2" name="Round Diagonal Corner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76250" y="1302328"/>
          <a:ext cx="2768557" cy="2423173"/>
        </a:xfrm>
        <a:prstGeom prst="round2Diag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AU"/>
        </a:p>
      </xdr:txBody>
    </xdr:sp>
    <xdr:clientData/>
  </xdr:twoCellAnchor>
  <xdr:twoCellAnchor>
    <xdr:from>
      <xdr:col>5</xdr:col>
      <xdr:colOff>227358</xdr:colOff>
      <xdr:row>6</xdr:row>
      <xdr:rowOff>133351</xdr:rowOff>
    </xdr:from>
    <xdr:to>
      <xdr:col>9</xdr:col>
      <xdr:colOff>395348</xdr:colOff>
      <xdr:row>19</xdr:row>
      <xdr:rowOff>19094</xdr:rowOff>
    </xdr:to>
    <xdr:sp macro="" textlink="">
      <xdr:nvSpPr>
        <xdr:cNvPr id="3" name="Round Diagonal Corner 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857441" y="1657351"/>
          <a:ext cx="2623324" cy="2362243"/>
        </a:xfrm>
        <a:prstGeom prst="round2Diag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AU"/>
        </a:p>
      </xdr:txBody>
    </xdr:sp>
    <xdr:clientData/>
  </xdr:twoCellAnchor>
  <xdr:twoCellAnchor>
    <xdr:from>
      <xdr:col>10</xdr:col>
      <xdr:colOff>465433</xdr:colOff>
      <xdr:row>6</xdr:row>
      <xdr:rowOff>133351</xdr:rowOff>
    </xdr:from>
    <xdr:to>
      <xdr:col>15</xdr:col>
      <xdr:colOff>282224</xdr:colOff>
      <xdr:row>19</xdr:row>
      <xdr:rowOff>16851</xdr:rowOff>
    </xdr:to>
    <xdr:sp macro="" textlink="">
      <xdr:nvSpPr>
        <xdr:cNvPr id="4" name="Round Diagonal Corner 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7164683" y="1657351"/>
          <a:ext cx="2885958" cy="2360000"/>
        </a:xfrm>
        <a:prstGeom prst="round2Diag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AU"/>
        </a:p>
      </xdr:txBody>
    </xdr:sp>
    <xdr:clientData/>
  </xdr:twoCellAnchor>
  <xdr:twoCellAnchor>
    <xdr:from>
      <xdr:col>0</xdr:col>
      <xdr:colOff>476250</xdr:colOff>
      <xdr:row>20</xdr:row>
      <xdr:rowOff>47626</xdr:rowOff>
    </xdr:from>
    <xdr:to>
      <xdr:col>4</xdr:col>
      <xdr:colOff>194595</xdr:colOff>
      <xdr:row>32</xdr:row>
      <xdr:rowOff>119776</xdr:rowOff>
    </xdr:to>
    <xdr:sp macro="" textlink="">
      <xdr:nvSpPr>
        <xdr:cNvPr id="5" name="Round Diagonal Corner 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476250" y="4186885"/>
          <a:ext cx="2740475" cy="2329928"/>
        </a:xfrm>
        <a:prstGeom prst="round2Diag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AU"/>
        </a:p>
      </xdr:txBody>
    </xdr:sp>
    <xdr:clientData/>
  </xdr:twoCellAnchor>
  <xdr:twoCellAnchor>
    <xdr:from>
      <xdr:col>5</xdr:col>
      <xdr:colOff>199162</xdr:colOff>
      <xdr:row>20</xdr:row>
      <xdr:rowOff>47626</xdr:rowOff>
    </xdr:from>
    <xdr:to>
      <xdr:col>9</xdr:col>
      <xdr:colOff>374725</xdr:colOff>
      <xdr:row>32</xdr:row>
      <xdr:rowOff>152401</xdr:rowOff>
    </xdr:to>
    <xdr:sp macro="" textlink="">
      <xdr:nvSpPr>
        <xdr:cNvPr id="6" name="Round Diagonal Corner 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3832773" y="4186885"/>
          <a:ext cx="2621489" cy="2362553"/>
        </a:xfrm>
        <a:prstGeom prst="round2Diag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AU"/>
        </a:p>
      </xdr:txBody>
    </xdr:sp>
    <xdr:clientData/>
  </xdr:twoCellAnchor>
  <xdr:twoCellAnchor>
    <xdr:from>
      <xdr:col>10</xdr:col>
      <xdr:colOff>415187</xdr:colOff>
      <xdr:row>20</xdr:row>
      <xdr:rowOff>47626</xdr:rowOff>
    </xdr:from>
    <xdr:to>
      <xdr:col>15</xdr:col>
      <xdr:colOff>233639</xdr:colOff>
      <xdr:row>32</xdr:row>
      <xdr:rowOff>122013</xdr:rowOff>
    </xdr:to>
    <xdr:sp macro="" textlink="">
      <xdr:nvSpPr>
        <xdr:cNvPr id="7" name="Round Diagonal Corner 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7106206" y="4186885"/>
          <a:ext cx="2875859" cy="2332165"/>
        </a:xfrm>
        <a:prstGeom prst="round2Diag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AU"/>
        </a:p>
      </xdr:txBody>
    </xdr:sp>
    <xdr:clientData/>
  </xdr:twoCellAnchor>
  <xdr:twoCellAnchor editAs="oneCell">
    <xdr:from>
      <xdr:col>5</xdr:col>
      <xdr:colOff>401350</xdr:colOff>
      <xdr:row>8</xdr:row>
      <xdr:rowOff>85896</xdr:rowOff>
    </xdr:from>
    <xdr:to>
      <xdr:col>7</xdr:col>
      <xdr:colOff>472012</xdr:colOff>
      <xdr:row>14</xdr:row>
      <xdr:rowOff>35224</xdr:rowOff>
    </xdr:to>
    <xdr:pic>
      <xdr:nvPicPr>
        <xdr:cNvPr id="1334" name="Picture 9">
          <a:extLst>
            <a:ext uri="{FF2B5EF4-FFF2-40B4-BE49-F238E27FC236}">
              <a16:creationId xmlns:a16="http://schemas.microsoft.com/office/drawing/2014/main" id="{00000000-0008-0000-0400-000036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34961" y="1967377"/>
          <a:ext cx="1293625" cy="107821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20117</xdr:colOff>
      <xdr:row>11</xdr:row>
      <xdr:rowOff>126310</xdr:rowOff>
    </xdr:from>
    <xdr:to>
      <xdr:col>4</xdr:col>
      <xdr:colOff>504265</xdr:colOff>
      <xdr:row>16</xdr:row>
      <xdr:rowOff>19972</xdr:rowOff>
    </xdr:to>
    <xdr:sp macro="" textlink="Calcs!C2">
      <xdr:nvSpPr>
        <xdr:cNvPr id="11" name="TextBox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1813058" y="2221810"/>
          <a:ext cx="1694383" cy="846162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E81A203-1A4C-431F-B2F0-51FA6A46FBE7}" type="TxLink">
            <a:rPr lang="en-US" sz="4000" b="0" i="0" u="none" strike="noStrike">
              <a:solidFill>
                <a:schemeClr val="tx2">
                  <a:lumMod val="60000"/>
                  <a:lumOff val="40000"/>
                </a:schemeClr>
              </a:solidFill>
              <a:latin typeface="Adobe Fan Heiti Std B" pitchFamily="34" charset="-128"/>
              <a:ea typeface="Adobe Fan Heiti Std B" pitchFamily="34" charset="-128"/>
              <a:cs typeface="Calibri"/>
            </a:rPr>
            <a:pPr/>
            <a:t> 888 </a:t>
          </a:fld>
          <a:endParaRPr lang="en-AU" sz="4000">
            <a:solidFill>
              <a:schemeClr val="tx2">
                <a:lumMod val="60000"/>
                <a:lumOff val="40000"/>
              </a:schemeClr>
            </a:solidFill>
            <a:latin typeface="Adobe Fan Heiti Std B" pitchFamily="34" charset="-128"/>
            <a:ea typeface="Adobe Fan Heiti Std B" pitchFamily="34" charset="-128"/>
            <a:cs typeface="Adobe Arabic" pitchFamily="18" charset="-78"/>
          </a:endParaRPr>
        </a:p>
      </xdr:txBody>
    </xdr:sp>
    <xdr:clientData/>
  </xdr:twoCellAnchor>
  <xdr:twoCellAnchor>
    <xdr:from>
      <xdr:col>1</xdr:col>
      <xdr:colOff>127202</xdr:colOff>
      <xdr:row>14</xdr:row>
      <xdr:rowOff>23517</xdr:rowOff>
    </xdr:from>
    <xdr:to>
      <xdr:col>3</xdr:col>
      <xdr:colOff>164631</xdr:colOff>
      <xdr:row>19</xdr:row>
      <xdr:rowOff>117591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609332" y="3033887"/>
          <a:ext cx="1965947" cy="10348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2800">
              <a:solidFill>
                <a:srgbClr val="D12F2F"/>
              </a:solidFill>
              <a:latin typeface="Adobe Fan Heiti Std B" pitchFamily="34" charset="-128"/>
              <a:ea typeface="Adobe Fan Heiti Std B" pitchFamily="34" charset="-128"/>
              <a:cs typeface="Times New Roman" panose="02020603050405020304" pitchFamily="18" charset="0"/>
            </a:rPr>
            <a:t>Followers</a:t>
          </a:r>
        </a:p>
        <a:p>
          <a:r>
            <a:rPr lang="en-AU" sz="2800">
              <a:solidFill>
                <a:srgbClr val="D12F2F"/>
              </a:solidFill>
              <a:latin typeface="Adobe Fan Heiti Std B" pitchFamily="34" charset="-128"/>
              <a:ea typeface="Adobe Fan Heiti Std B" pitchFamily="34" charset="-128"/>
              <a:cs typeface="Times New Roman" panose="02020603050405020304" pitchFamily="18" charset="0"/>
            </a:rPr>
            <a:t>on Twitter</a:t>
          </a:r>
        </a:p>
      </xdr:txBody>
    </xdr:sp>
    <xdr:clientData/>
  </xdr:twoCellAnchor>
  <xdr:twoCellAnchor>
    <xdr:from>
      <xdr:col>1</xdr:col>
      <xdr:colOff>11616</xdr:colOff>
      <xdr:row>34</xdr:row>
      <xdr:rowOff>124178</xdr:rowOff>
    </xdr:from>
    <xdr:to>
      <xdr:col>4</xdr:col>
      <xdr:colOff>208235</xdr:colOff>
      <xdr:row>46</xdr:row>
      <xdr:rowOff>146855</xdr:rowOff>
    </xdr:to>
    <xdr:sp macro="" textlink="">
      <xdr:nvSpPr>
        <xdr:cNvPr id="13" name="Round Diagonal Corner Rectangl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487866" y="6982178"/>
          <a:ext cx="2736619" cy="2308677"/>
        </a:xfrm>
        <a:prstGeom prst="round2Diag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AU"/>
        </a:p>
      </xdr:txBody>
    </xdr:sp>
    <xdr:clientData/>
  </xdr:twoCellAnchor>
  <xdr:twoCellAnchor>
    <xdr:from>
      <xdr:col>5</xdr:col>
      <xdr:colOff>208457</xdr:colOff>
      <xdr:row>34</xdr:row>
      <xdr:rowOff>124178</xdr:rowOff>
    </xdr:from>
    <xdr:to>
      <xdr:col>9</xdr:col>
      <xdr:colOff>343183</xdr:colOff>
      <xdr:row>46</xdr:row>
      <xdr:rowOff>170895</xdr:rowOff>
    </xdr:to>
    <xdr:sp macro="" textlink="">
      <xdr:nvSpPr>
        <xdr:cNvPr id="14" name="Round Diagonal Corner Rectangl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3838540" y="6982178"/>
          <a:ext cx="2590060" cy="2332717"/>
        </a:xfrm>
        <a:prstGeom prst="round2Diag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AU"/>
        </a:p>
      </xdr:txBody>
    </xdr:sp>
    <xdr:clientData/>
  </xdr:twoCellAnchor>
  <xdr:twoCellAnchor>
    <xdr:from>
      <xdr:col>10</xdr:col>
      <xdr:colOff>392508</xdr:colOff>
      <xdr:row>34</xdr:row>
      <xdr:rowOff>124178</xdr:rowOff>
    </xdr:from>
    <xdr:to>
      <xdr:col>15</xdr:col>
      <xdr:colOff>210960</xdr:colOff>
      <xdr:row>47</xdr:row>
      <xdr:rowOff>31169</xdr:rowOff>
    </xdr:to>
    <xdr:sp macro="" textlink="">
      <xdr:nvSpPr>
        <xdr:cNvPr id="15" name="Round Diagonal Corner Rectangl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7091758" y="6982178"/>
          <a:ext cx="2887619" cy="2383491"/>
        </a:xfrm>
        <a:prstGeom prst="round2Diag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n-AU"/>
        </a:p>
      </xdr:txBody>
    </xdr:sp>
    <xdr:clientData/>
  </xdr:twoCellAnchor>
  <xdr:twoCellAnchor>
    <xdr:from>
      <xdr:col>5</xdr:col>
      <xdr:colOff>285910</xdr:colOff>
      <xdr:row>16</xdr:row>
      <xdr:rowOff>81039</xdr:rowOff>
    </xdr:from>
    <xdr:to>
      <xdr:col>9</xdr:col>
      <xdr:colOff>141111</xdr:colOff>
      <xdr:row>19</xdr:row>
      <xdr:rowOff>15377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 txBox="1"/>
      </xdr:nvSpPr>
      <xdr:spPr>
        <a:xfrm>
          <a:off x="3919521" y="3467706"/>
          <a:ext cx="2301127" cy="4987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2800">
              <a:solidFill>
                <a:srgbClr val="D12F2F"/>
              </a:solidFill>
              <a:latin typeface="Adobe Fan Heiti Std B" pitchFamily="34" charset="-128"/>
              <a:ea typeface="Adobe Fan Heiti Std B" pitchFamily="34" charset="-128"/>
              <a:cs typeface="Times New Roman" panose="02020603050405020304" pitchFamily="18" charset="0"/>
            </a:rPr>
            <a:t>Likes on</a:t>
          </a:r>
          <a:r>
            <a:rPr lang="en-AU" sz="2800" baseline="0">
              <a:solidFill>
                <a:srgbClr val="D12F2F"/>
              </a:solidFill>
              <a:latin typeface="Adobe Fan Heiti Std B" pitchFamily="34" charset="-128"/>
              <a:ea typeface="Adobe Fan Heiti Std B" pitchFamily="34" charset="-128"/>
              <a:cs typeface="Times New Roman" panose="02020603050405020304" pitchFamily="18" charset="0"/>
            </a:rPr>
            <a:t> FB</a:t>
          </a:r>
          <a:endParaRPr lang="en-AU" sz="2800">
            <a:solidFill>
              <a:srgbClr val="D12F2F"/>
            </a:solidFill>
            <a:latin typeface="Adobe Fan Heiti Std B" pitchFamily="34" charset="-128"/>
            <a:ea typeface="Adobe Fan Heiti Std B" pitchFamily="34" charset="-128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44825</xdr:colOff>
      <xdr:row>13</xdr:row>
      <xdr:rowOff>64440</xdr:rowOff>
    </xdr:from>
    <xdr:to>
      <xdr:col>9</xdr:col>
      <xdr:colOff>472059</xdr:colOff>
      <xdr:row>17</xdr:row>
      <xdr:rowOff>153221</xdr:rowOff>
    </xdr:to>
    <xdr:sp macro="" textlink="Calcs!D2">
      <xdr:nvSpPr>
        <xdr:cNvPr id="17" name="TextBox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4863354" y="2540940"/>
          <a:ext cx="1637470" cy="850781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D6F8378-5FA1-4534-B22A-17CC79E2ED55}" type="TxLink">
            <a:rPr lang="en-US" sz="4000" b="0" i="0" u="none" strike="noStrike">
              <a:solidFill>
                <a:schemeClr val="tx2">
                  <a:lumMod val="60000"/>
                  <a:lumOff val="40000"/>
                </a:schemeClr>
              </a:solidFill>
              <a:latin typeface="Adobe Fan Heiti Std B" pitchFamily="34" charset="-128"/>
              <a:ea typeface="Adobe Fan Heiti Std B" pitchFamily="34" charset="-128"/>
              <a:cs typeface="Calibri"/>
            </a:rPr>
            <a:pPr/>
            <a:t> 1,242 </a:t>
          </a:fld>
          <a:endParaRPr lang="en-AU" sz="4000">
            <a:solidFill>
              <a:schemeClr val="tx2">
                <a:lumMod val="60000"/>
                <a:lumOff val="40000"/>
              </a:schemeClr>
            </a:solidFill>
            <a:latin typeface="Adobe Fan Heiti Std B" pitchFamily="34" charset="-128"/>
            <a:ea typeface="Adobe Fan Heiti Std B" pitchFamily="34" charset="-128"/>
            <a:cs typeface="Adobe Arabic" pitchFamily="18" charset="-78"/>
          </a:endParaRPr>
        </a:p>
      </xdr:txBody>
    </xdr:sp>
    <xdr:clientData/>
  </xdr:twoCellAnchor>
  <xdr:twoCellAnchor>
    <xdr:from>
      <xdr:col>10</xdr:col>
      <xdr:colOff>499849</xdr:colOff>
      <xdr:row>16</xdr:row>
      <xdr:rowOff>11828</xdr:rowOff>
    </xdr:from>
    <xdr:to>
      <xdr:col>15</xdr:col>
      <xdr:colOff>544695</xdr:colOff>
      <xdr:row>18</xdr:row>
      <xdr:rowOff>134314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7190868" y="3398495"/>
          <a:ext cx="3102253" cy="4987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2800">
              <a:solidFill>
                <a:srgbClr val="D12F2F"/>
              </a:solidFill>
              <a:latin typeface="Adobe Fan Heiti Std B" pitchFamily="34" charset="-128"/>
              <a:ea typeface="Adobe Fan Heiti Std B" pitchFamily="34" charset="-128"/>
              <a:cs typeface="Times New Roman" panose="02020603050405020304" pitchFamily="18" charset="0"/>
            </a:rPr>
            <a:t>Member Visits</a:t>
          </a:r>
        </a:p>
      </xdr:txBody>
    </xdr:sp>
    <xdr:clientData/>
  </xdr:twoCellAnchor>
  <xdr:twoCellAnchor>
    <xdr:from>
      <xdr:col>13</xdr:col>
      <xdr:colOff>114585</xdr:colOff>
      <xdr:row>12</xdr:row>
      <xdr:rowOff>113712</xdr:rowOff>
    </xdr:from>
    <xdr:to>
      <xdr:col>16</xdr:col>
      <xdr:colOff>149429</xdr:colOff>
      <xdr:row>17</xdr:row>
      <xdr:rowOff>14345</xdr:rowOff>
    </xdr:to>
    <xdr:sp macro="" textlink="Calcs!E2">
      <xdr:nvSpPr>
        <xdr:cNvPr id="21" name="TextBox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8640048" y="2747786"/>
          <a:ext cx="1869288" cy="84137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CC5DCDF-27ED-49BC-AB77-9C2AFF035DB2}" type="TxLink">
            <a:rPr lang="en-US" sz="4000" b="0" i="0" u="none" strike="noStrike">
              <a:solidFill>
                <a:schemeClr val="tx2">
                  <a:lumMod val="60000"/>
                  <a:lumOff val="40000"/>
                </a:schemeClr>
              </a:solidFill>
              <a:latin typeface="Adobe Fan Heiti Std B" pitchFamily="34" charset="-128"/>
              <a:ea typeface="Adobe Fan Heiti Std B" pitchFamily="34" charset="-128"/>
              <a:cs typeface="Calibri"/>
            </a:rPr>
            <a:pPr/>
            <a:t> 765 </a:t>
          </a:fld>
          <a:endParaRPr lang="en-AU" sz="4000">
            <a:solidFill>
              <a:schemeClr val="tx2">
                <a:lumMod val="60000"/>
                <a:lumOff val="40000"/>
              </a:schemeClr>
            </a:solidFill>
            <a:latin typeface="Adobe Fan Heiti Std B" pitchFamily="34" charset="-128"/>
            <a:ea typeface="Adobe Fan Heiti Std B" pitchFamily="34" charset="-128"/>
            <a:cs typeface="Adobe Arabic" pitchFamily="18" charset="-78"/>
          </a:endParaRPr>
        </a:p>
      </xdr:txBody>
    </xdr:sp>
    <xdr:clientData/>
  </xdr:twoCellAnchor>
  <xdr:twoCellAnchor>
    <xdr:from>
      <xdr:col>13</xdr:col>
      <xdr:colOff>557763</xdr:colOff>
      <xdr:row>26</xdr:row>
      <xdr:rowOff>22460</xdr:rowOff>
    </xdr:from>
    <xdr:to>
      <xdr:col>15</xdr:col>
      <xdr:colOff>139502</xdr:colOff>
      <xdr:row>30</xdr:row>
      <xdr:rowOff>108568</xdr:rowOff>
    </xdr:to>
    <xdr:sp macro="" textlink="Calcs!H2">
      <xdr:nvSpPr>
        <xdr:cNvPr id="23" name="TextBox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9083226" y="5290608"/>
          <a:ext cx="804702" cy="838701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CAB5561-4557-4486-A873-DA182C458EBB}" type="TxLink">
            <a:rPr lang="en-US" sz="4000" b="0" i="0" u="none" strike="noStrike">
              <a:solidFill>
                <a:schemeClr val="tx2">
                  <a:lumMod val="60000"/>
                  <a:lumOff val="40000"/>
                </a:schemeClr>
              </a:solidFill>
              <a:latin typeface="Adobe Fan Heiti Std B" pitchFamily="34" charset="-128"/>
              <a:ea typeface="Adobe Fan Heiti Std B" pitchFamily="34" charset="-128"/>
              <a:cs typeface="Calibri"/>
            </a:rPr>
            <a:pPr/>
            <a:t>0</a:t>
          </a:fld>
          <a:endParaRPr lang="en-AU" sz="4000">
            <a:solidFill>
              <a:schemeClr val="tx2">
                <a:lumMod val="60000"/>
                <a:lumOff val="40000"/>
              </a:schemeClr>
            </a:solidFill>
            <a:latin typeface="Adobe Fan Heiti Std B" pitchFamily="34" charset="-128"/>
            <a:ea typeface="Adobe Fan Heiti Std B" pitchFamily="34" charset="-128"/>
            <a:cs typeface="Adobe Arabic" pitchFamily="18" charset="-78"/>
          </a:endParaRPr>
        </a:p>
      </xdr:txBody>
    </xdr:sp>
    <xdr:clientData/>
  </xdr:twoCellAnchor>
  <xdr:twoCellAnchor>
    <xdr:from>
      <xdr:col>10</xdr:col>
      <xdr:colOff>494562</xdr:colOff>
      <xdr:row>44</xdr:row>
      <xdr:rowOff>88274</xdr:rowOff>
    </xdr:from>
    <xdr:to>
      <xdr:col>12</xdr:col>
      <xdr:colOff>296333</xdr:colOff>
      <xdr:row>47</xdr:row>
      <xdr:rowOff>20261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7193812" y="8851274"/>
          <a:ext cx="1029438" cy="5034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2800">
              <a:solidFill>
                <a:srgbClr val="D12F2F"/>
              </a:solidFill>
              <a:latin typeface="Adobe Fan Heiti Std B" pitchFamily="34" charset="-128"/>
              <a:ea typeface="Adobe Fan Heiti Std B" pitchFamily="34" charset="-128"/>
              <a:cs typeface="Times New Roman" panose="02020603050405020304" pitchFamily="18" charset="0"/>
            </a:rPr>
            <a:t>Staff</a:t>
          </a:r>
        </a:p>
      </xdr:txBody>
    </xdr:sp>
    <xdr:clientData/>
  </xdr:twoCellAnchor>
  <xdr:twoCellAnchor>
    <xdr:from>
      <xdr:col>13</xdr:col>
      <xdr:colOff>178154</xdr:colOff>
      <xdr:row>43</xdr:row>
      <xdr:rowOff>29415</xdr:rowOff>
    </xdr:from>
    <xdr:to>
      <xdr:col>15</xdr:col>
      <xdr:colOff>301979</xdr:colOff>
      <xdr:row>47</xdr:row>
      <xdr:rowOff>118197</xdr:rowOff>
    </xdr:to>
    <xdr:sp macro="" textlink="Calcs!K2">
      <xdr:nvSpPr>
        <xdr:cNvPr id="25" name="TextBox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8703617" y="8496082"/>
          <a:ext cx="1346788" cy="84137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E4B32A4-34D2-44C0-BBDE-C31A6D0317A1}" type="TxLink">
            <a:rPr lang="en-US" sz="4000" b="0" i="0" u="none" strike="noStrike">
              <a:solidFill>
                <a:schemeClr val="tx2">
                  <a:lumMod val="60000"/>
                  <a:lumOff val="40000"/>
                </a:schemeClr>
              </a:solidFill>
              <a:latin typeface="Adobe Heiti Std R" pitchFamily="34" charset="-128"/>
              <a:ea typeface="Adobe Heiti Std R" pitchFamily="34" charset="-128"/>
              <a:cs typeface="Calibri"/>
            </a:rPr>
            <a:pPr/>
            <a:t>12</a:t>
          </a:fld>
          <a:endParaRPr lang="en-AU" sz="4000">
            <a:solidFill>
              <a:schemeClr val="tx2">
                <a:lumMod val="60000"/>
                <a:lumOff val="40000"/>
              </a:schemeClr>
            </a:solidFill>
            <a:latin typeface="Adobe Heiti Std R" pitchFamily="34" charset="-128"/>
            <a:ea typeface="Adobe Heiti Std R" pitchFamily="34" charset="-128"/>
            <a:cs typeface="Adobe Arabic" pitchFamily="18" charset="-78"/>
          </a:endParaRPr>
        </a:p>
      </xdr:txBody>
    </xdr:sp>
    <xdr:clientData/>
  </xdr:twoCellAnchor>
  <xdr:twoCellAnchor>
    <xdr:from>
      <xdr:col>5</xdr:col>
      <xdr:colOff>335550</xdr:colOff>
      <xdr:row>44</xdr:row>
      <xdr:rowOff>11729</xdr:rowOff>
    </xdr:from>
    <xdr:to>
      <xdr:col>8</xdr:col>
      <xdr:colOff>603249</xdr:colOff>
      <xdr:row>46</xdr:row>
      <xdr:rowOff>134216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3965633" y="8774729"/>
          <a:ext cx="2109199" cy="5034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2800">
              <a:solidFill>
                <a:srgbClr val="D12F2F"/>
              </a:solidFill>
              <a:latin typeface="Adobe Fan Heiti Std B" pitchFamily="34" charset="-128"/>
              <a:ea typeface="Adobe Fan Heiti Std B" pitchFamily="34" charset="-128"/>
              <a:cs typeface="Times New Roman" panose="02020603050405020304" pitchFamily="18" charset="0"/>
            </a:rPr>
            <a:t>Satisfaction</a:t>
          </a:r>
        </a:p>
      </xdr:txBody>
    </xdr:sp>
    <xdr:clientData/>
  </xdr:twoCellAnchor>
  <xdr:twoCellAnchor>
    <xdr:from>
      <xdr:col>1</xdr:col>
      <xdr:colOff>50342</xdr:colOff>
      <xdr:row>44</xdr:row>
      <xdr:rowOff>8359</xdr:rowOff>
    </xdr:from>
    <xdr:to>
      <xdr:col>3</xdr:col>
      <xdr:colOff>169338</xdr:colOff>
      <xdr:row>46</xdr:row>
      <xdr:rowOff>135145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 txBox="1"/>
      </xdr:nvSpPr>
      <xdr:spPr>
        <a:xfrm>
          <a:off x="526592" y="8771359"/>
          <a:ext cx="2045163" cy="507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2800">
              <a:solidFill>
                <a:srgbClr val="D12F2F"/>
              </a:solidFill>
              <a:latin typeface="Adobe Fan Heiti Std B" pitchFamily="34" charset="-128"/>
              <a:ea typeface="Adobe Fan Heiti Std B" pitchFamily="34" charset="-128"/>
              <a:cs typeface="Times New Roman" panose="02020603050405020304" pitchFamily="18" charset="0"/>
            </a:rPr>
            <a:t>EBIT YTD</a:t>
          </a:r>
        </a:p>
      </xdr:txBody>
    </xdr:sp>
    <xdr:clientData/>
  </xdr:twoCellAnchor>
  <xdr:twoCellAnchor>
    <xdr:from>
      <xdr:col>1</xdr:col>
      <xdr:colOff>1139639</xdr:colOff>
      <xdr:row>40</xdr:row>
      <xdr:rowOff>175107</xdr:rowOff>
    </xdr:from>
    <xdr:to>
      <xdr:col>4</xdr:col>
      <xdr:colOff>341711</xdr:colOff>
      <xdr:row>45</xdr:row>
      <xdr:rowOff>73388</xdr:rowOff>
    </xdr:to>
    <xdr:sp macro="" textlink="Calcs!I2">
      <xdr:nvSpPr>
        <xdr:cNvPr id="29" name="TextBox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1621492" y="7795107"/>
          <a:ext cx="1723395" cy="850781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82C6636-74DF-46E9-A92C-E83B23593D77}" type="TxLink">
            <a:rPr lang="en-US" sz="4000" b="0" i="0" u="none" strike="noStrike">
              <a:solidFill>
                <a:schemeClr val="tx2">
                  <a:lumMod val="60000"/>
                  <a:lumOff val="40000"/>
                </a:schemeClr>
              </a:solidFill>
              <a:latin typeface="Adobe Fan Heiti Std B" pitchFamily="34" charset="-128"/>
              <a:ea typeface="Adobe Fan Heiti Std B" pitchFamily="34" charset="-128"/>
              <a:cs typeface="Calibri"/>
            </a:rPr>
            <a:pPr/>
            <a:t>59 k </a:t>
          </a:fld>
          <a:endParaRPr lang="en-AU" sz="4000">
            <a:solidFill>
              <a:schemeClr val="tx2">
                <a:lumMod val="60000"/>
                <a:lumOff val="40000"/>
              </a:schemeClr>
            </a:solidFill>
            <a:latin typeface="Adobe Fan Heiti Std B" pitchFamily="34" charset="-128"/>
            <a:ea typeface="Adobe Fan Heiti Std B" pitchFamily="34" charset="-128"/>
            <a:cs typeface="Adobe Arabic" pitchFamily="18" charset="-78"/>
          </a:endParaRPr>
        </a:p>
      </xdr:txBody>
    </xdr:sp>
    <xdr:clientData/>
  </xdr:twoCellAnchor>
  <xdr:twoCellAnchor>
    <xdr:from>
      <xdr:col>5</xdr:col>
      <xdr:colOff>211956</xdr:colOff>
      <xdr:row>30</xdr:row>
      <xdr:rowOff>8638</xdr:rowOff>
    </xdr:from>
    <xdr:to>
      <xdr:col>9</xdr:col>
      <xdr:colOff>23518</xdr:colOff>
      <xdr:row>32</xdr:row>
      <xdr:rowOff>173205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3845567" y="6029379"/>
          <a:ext cx="2257488" cy="540863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2800">
              <a:solidFill>
                <a:srgbClr val="D12F2F"/>
              </a:solidFill>
              <a:latin typeface="Adobe Fan Heiti Std B" pitchFamily="34" charset="-128"/>
              <a:ea typeface="Adobe Fan Heiti Std B" pitchFamily="34" charset="-128"/>
              <a:cs typeface="Times New Roman" panose="02020603050405020304" pitchFamily="18" charset="0"/>
            </a:rPr>
            <a:t>Avg</a:t>
          </a:r>
          <a:r>
            <a:rPr lang="en-AU" sz="2800" baseline="0">
              <a:solidFill>
                <a:srgbClr val="D12F2F"/>
              </a:solidFill>
              <a:latin typeface="Adobe Fan Heiti Std B" pitchFamily="34" charset="-128"/>
              <a:ea typeface="Adobe Fan Heiti Std B" pitchFamily="34" charset="-128"/>
              <a:cs typeface="Times New Roman" panose="02020603050405020304" pitchFamily="18" charset="0"/>
            </a:rPr>
            <a:t> site mins</a:t>
          </a:r>
          <a:endParaRPr lang="en-AU" sz="2800">
            <a:solidFill>
              <a:srgbClr val="D12F2F"/>
            </a:solidFill>
            <a:latin typeface="Adobe Fan Heiti Std B" pitchFamily="34" charset="-128"/>
            <a:ea typeface="Adobe Fan Heiti Std B" pitchFamily="34" charset="-128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585490</xdr:colOff>
      <xdr:row>26</xdr:row>
      <xdr:rowOff>145021</xdr:rowOff>
    </xdr:from>
    <xdr:to>
      <xdr:col>9</xdr:col>
      <xdr:colOff>394334</xdr:colOff>
      <xdr:row>31</xdr:row>
      <xdr:rowOff>47948</xdr:rowOff>
    </xdr:to>
    <xdr:sp macro="" textlink="Calcs!G2">
      <xdr:nvSpPr>
        <xdr:cNvPr id="31" name="TextBox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404019" y="5098021"/>
          <a:ext cx="1019080" cy="855427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DC7BCBC-D020-413A-85C4-E225DC9CC036}" type="TxLink">
            <a:rPr lang="en-US" sz="4000" b="0" i="0" u="none" strike="noStrike">
              <a:solidFill>
                <a:schemeClr val="tx2">
                  <a:lumMod val="60000"/>
                  <a:lumOff val="40000"/>
                </a:schemeClr>
              </a:solidFill>
              <a:latin typeface="Adobe Fan Heiti Std B" pitchFamily="34" charset="-128"/>
              <a:ea typeface="Adobe Fan Heiti Std B" pitchFamily="34" charset="-128"/>
              <a:cs typeface="Calibri"/>
            </a:rPr>
            <a:pPr/>
            <a:t>61</a:t>
          </a:fld>
          <a:endParaRPr lang="en-AU" sz="4000">
            <a:solidFill>
              <a:schemeClr val="tx2">
                <a:lumMod val="60000"/>
                <a:lumOff val="40000"/>
              </a:schemeClr>
            </a:solidFill>
            <a:latin typeface="Adobe Fan Heiti Std B" pitchFamily="34" charset="-128"/>
            <a:ea typeface="Adobe Fan Heiti Std B" pitchFamily="34" charset="-128"/>
            <a:cs typeface="Adobe Arabic" pitchFamily="18" charset="-78"/>
          </a:endParaRPr>
        </a:p>
      </xdr:txBody>
    </xdr:sp>
    <xdr:clientData/>
  </xdr:twoCellAnchor>
  <xdr:twoCellAnchor>
    <xdr:from>
      <xdr:col>1</xdr:col>
      <xdr:colOff>32703</xdr:colOff>
      <xdr:row>30</xdr:row>
      <xdr:rowOff>53014</xdr:rowOff>
    </xdr:from>
    <xdr:to>
      <xdr:col>4</xdr:col>
      <xdr:colOff>382662</xdr:colOff>
      <xdr:row>32</xdr:row>
      <xdr:rowOff>173205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514833" y="6073755"/>
          <a:ext cx="2889959" cy="4964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2800">
              <a:solidFill>
                <a:srgbClr val="D12F2F"/>
              </a:solidFill>
              <a:latin typeface="Adobe Fan Heiti Std B" pitchFamily="34" charset="-128"/>
              <a:ea typeface="Adobe Fan Heiti Std B" pitchFamily="34" charset="-128"/>
              <a:cs typeface="Times New Roman" panose="02020603050405020304" pitchFamily="18" charset="0"/>
            </a:rPr>
            <a:t>Members</a:t>
          </a:r>
        </a:p>
      </xdr:txBody>
    </xdr:sp>
    <xdr:clientData/>
  </xdr:twoCellAnchor>
  <xdr:twoCellAnchor>
    <xdr:from>
      <xdr:col>1</xdr:col>
      <xdr:colOff>1040929</xdr:colOff>
      <xdr:row>26</xdr:row>
      <xdr:rowOff>12348</xdr:rowOff>
    </xdr:from>
    <xdr:to>
      <xdr:col>4</xdr:col>
      <xdr:colOff>545400</xdr:colOff>
      <xdr:row>30</xdr:row>
      <xdr:rowOff>101129</xdr:rowOff>
    </xdr:to>
    <xdr:sp macro="" textlink="Calcs!F2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523059" y="5280496"/>
          <a:ext cx="2044471" cy="841374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C6B222DD-CBA6-4B88-855F-68841123233F}" type="TxLink">
            <a:rPr lang="en-US" sz="4000" b="0" i="0" u="none" strike="noStrike">
              <a:solidFill>
                <a:schemeClr val="tx2">
                  <a:lumMod val="60000"/>
                  <a:lumOff val="40000"/>
                </a:schemeClr>
              </a:solidFill>
              <a:latin typeface="Adobe Heiti Std R" pitchFamily="34" charset="-128"/>
              <a:ea typeface="Adobe Heiti Std R" pitchFamily="34" charset="-128"/>
              <a:cs typeface="Calibri"/>
            </a:rPr>
            <a:pPr/>
            <a:t> 1,739 </a:t>
          </a:fld>
          <a:endParaRPr lang="en-AU" sz="4000">
            <a:solidFill>
              <a:schemeClr val="tx2">
                <a:lumMod val="60000"/>
                <a:lumOff val="40000"/>
              </a:schemeClr>
            </a:solidFill>
            <a:latin typeface="Adobe Heiti Std R" pitchFamily="34" charset="-128"/>
            <a:ea typeface="Adobe Heiti Std R" pitchFamily="34" charset="-128"/>
            <a:cs typeface="Adobe Arabic" pitchFamily="18" charset="-78"/>
          </a:endParaRPr>
        </a:p>
      </xdr:txBody>
    </xdr:sp>
    <xdr:clientData/>
  </xdr:twoCellAnchor>
  <xdr:twoCellAnchor editAs="oneCell">
    <xdr:from>
      <xdr:col>5</xdr:col>
      <xdr:colOff>426027</xdr:colOff>
      <xdr:row>22</xdr:row>
      <xdr:rowOff>36971</xdr:rowOff>
    </xdr:from>
    <xdr:to>
      <xdr:col>7</xdr:col>
      <xdr:colOff>418758</xdr:colOff>
      <xdr:row>27</xdr:row>
      <xdr:rowOff>148471</xdr:rowOff>
    </xdr:to>
    <xdr:pic>
      <xdr:nvPicPr>
        <xdr:cNvPr id="1355" name="Picture 33">
          <a:extLst>
            <a:ext uri="{FF2B5EF4-FFF2-40B4-BE49-F238E27FC236}">
              <a16:creationId xmlns:a16="http://schemas.microsoft.com/office/drawing/2014/main" id="{00000000-0008-0000-0400-00004B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59638" y="4552527"/>
          <a:ext cx="1215694" cy="1052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66323</xdr:colOff>
      <xdr:row>8</xdr:row>
      <xdr:rowOff>41510</xdr:rowOff>
    </xdr:from>
    <xdr:to>
      <xdr:col>13</xdr:col>
      <xdr:colOff>218723</xdr:colOff>
      <xdr:row>14</xdr:row>
      <xdr:rowOff>105833</xdr:rowOff>
    </xdr:to>
    <xdr:pic>
      <xdr:nvPicPr>
        <xdr:cNvPr id="1356" name="Picture 35">
          <a:extLst>
            <a:ext uri="{FF2B5EF4-FFF2-40B4-BE49-F238E27FC236}">
              <a16:creationId xmlns:a16="http://schemas.microsoft.com/office/drawing/2014/main" id="{00000000-0008-0000-0400-00004C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8823" y="1922991"/>
          <a:ext cx="1375363" cy="11932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152400</xdr:colOff>
      <xdr:row>21</xdr:row>
      <xdr:rowOff>0</xdr:rowOff>
    </xdr:from>
    <xdr:to>
      <xdr:col>1</xdr:col>
      <xdr:colOff>1266825</xdr:colOff>
      <xdr:row>29</xdr:row>
      <xdr:rowOff>19050</xdr:rowOff>
    </xdr:to>
    <xdr:pic>
      <xdr:nvPicPr>
        <xdr:cNvPr id="1357" name="Picture 36">
          <a:extLst>
            <a:ext uri="{FF2B5EF4-FFF2-40B4-BE49-F238E27FC236}">
              <a16:creationId xmlns:a16="http://schemas.microsoft.com/office/drawing/2014/main" id="{00000000-0008-0000-0400-00004D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4381500"/>
          <a:ext cx="1114425" cy="1543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123825</xdr:colOff>
      <xdr:row>35</xdr:row>
      <xdr:rowOff>76200</xdr:rowOff>
    </xdr:from>
    <xdr:to>
      <xdr:col>2</xdr:col>
      <xdr:colOff>104775</xdr:colOff>
      <xdr:row>42</xdr:row>
      <xdr:rowOff>161925</xdr:rowOff>
    </xdr:to>
    <xdr:pic>
      <xdr:nvPicPr>
        <xdr:cNvPr id="1358" name="Picture 37">
          <a:extLst>
            <a:ext uri="{FF2B5EF4-FFF2-40B4-BE49-F238E27FC236}">
              <a16:creationId xmlns:a16="http://schemas.microsoft.com/office/drawing/2014/main" id="{00000000-0008-0000-0400-00004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0075" y="7124700"/>
          <a:ext cx="1295400" cy="1419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10</xdr:col>
      <xdr:colOff>367057</xdr:colOff>
      <xdr:row>30</xdr:row>
      <xdr:rowOff>10820</xdr:rowOff>
    </xdr:from>
    <xdr:to>
      <xdr:col>15</xdr:col>
      <xdr:colOff>270463</xdr:colOff>
      <xdr:row>32</xdr:row>
      <xdr:rowOff>137927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 txBox="1"/>
      </xdr:nvSpPr>
      <xdr:spPr>
        <a:xfrm>
          <a:off x="7058076" y="6031561"/>
          <a:ext cx="2960813" cy="5034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2800">
              <a:solidFill>
                <a:srgbClr val="D12F2F"/>
              </a:solidFill>
              <a:latin typeface="Adobe Fan Heiti Std B" pitchFamily="34" charset="-128"/>
              <a:ea typeface="Adobe Fan Heiti Std B" pitchFamily="34" charset="-128"/>
              <a:cs typeface="Times New Roman" panose="02020603050405020304" pitchFamily="18" charset="0"/>
            </a:rPr>
            <a:t>Security Incidents</a:t>
          </a:r>
        </a:p>
      </xdr:txBody>
    </xdr:sp>
    <xdr:clientData/>
  </xdr:twoCellAnchor>
  <xdr:twoCellAnchor>
    <xdr:from>
      <xdr:col>0</xdr:col>
      <xdr:colOff>459441</xdr:colOff>
      <xdr:row>1</xdr:row>
      <xdr:rowOff>139301</xdr:rowOff>
    </xdr:from>
    <xdr:to>
      <xdr:col>14</xdr:col>
      <xdr:colOff>203352</xdr:colOff>
      <xdr:row>5</xdr:row>
      <xdr:rowOff>53879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 txBox="1"/>
      </xdr:nvSpPr>
      <xdr:spPr>
        <a:xfrm>
          <a:off x="459441" y="329801"/>
          <a:ext cx="8798264" cy="6765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4000">
              <a:solidFill>
                <a:srgbClr val="D12F2F"/>
              </a:solidFill>
              <a:latin typeface="Adobe Fan Heiti Std B" pitchFamily="34" charset="-128"/>
              <a:ea typeface="Adobe Fan Heiti Std B" pitchFamily="34" charset="-128"/>
              <a:cs typeface="Times New Roman" panose="02020603050405020304" pitchFamily="18" charset="0"/>
            </a:rPr>
            <a:t>Phat Boy Gym's Key Measures</a:t>
          </a:r>
        </a:p>
      </xdr:txBody>
    </xdr:sp>
    <xdr:clientData/>
  </xdr:twoCellAnchor>
  <xdr:twoCellAnchor editAs="oneCell">
    <xdr:from>
      <xdr:col>5</xdr:col>
      <xdr:colOff>481532</xdr:colOff>
      <xdr:row>35</xdr:row>
      <xdr:rowOff>119778</xdr:rowOff>
    </xdr:from>
    <xdr:to>
      <xdr:col>8</xdr:col>
      <xdr:colOff>591854</xdr:colOff>
      <xdr:row>43</xdr:row>
      <xdr:rowOff>179964</xdr:rowOff>
    </xdr:to>
    <xdr:pic>
      <xdr:nvPicPr>
        <xdr:cNvPr id="1362" name="Picture 43">
          <a:extLst>
            <a:ext uri="{FF2B5EF4-FFF2-40B4-BE49-F238E27FC236}">
              <a16:creationId xmlns:a16="http://schemas.microsoft.com/office/drawing/2014/main" id="{00000000-0008-0000-0400-000052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5143" y="7081259"/>
          <a:ext cx="1944767" cy="15653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516467</xdr:colOff>
      <xdr:row>20</xdr:row>
      <xdr:rowOff>147932</xdr:rowOff>
    </xdr:from>
    <xdr:to>
      <xdr:col>13</xdr:col>
      <xdr:colOff>230718</xdr:colOff>
      <xdr:row>29</xdr:row>
      <xdr:rowOff>138407</xdr:rowOff>
    </xdr:to>
    <xdr:pic>
      <xdr:nvPicPr>
        <xdr:cNvPr id="1363" name="Picture 44">
          <a:extLst>
            <a:ext uri="{FF2B5EF4-FFF2-40B4-BE49-F238E27FC236}">
              <a16:creationId xmlns:a16="http://schemas.microsoft.com/office/drawing/2014/main" id="{00000000-0008-0000-0400-000053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07486" y="4287191"/>
          <a:ext cx="1548695" cy="16838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609600</xdr:colOff>
          <xdr:row>4</xdr:row>
          <xdr:rowOff>28575</xdr:rowOff>
        </xdr:from>
        <xdr:to>
          <xdr:col>25</xdr:col>
          <xdr:colOff>104775</xdr:colOff>
          <xdr:row>5</xdr:row>
          <xdr:rowOff>123825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132998</xdr:colOff>
      <xdr:row>36</xdr:row>
      <xdr:rowOff>3409</xdr:rowOff>
    </xdr:from>
    <xdr:to>
      <xdr:col>13</xdr:col>
      <xdr:colOff>218723</xdr:colOff>
      <xdr:row>42</xdr:row>
      <xdr:rowOff>115358</xdr:rowOff>
    </xdr:to>
    <xdr:pic>
      <xdr:nvPicPr>
        <xdr:cNvPr id="1364" name="Picture 48">
          <a:extLst>
            <a:ext uri="{FF2B5EF4-FFF2-40B4-BE49-F238E27FC236}">
              <a16:creationId xmlns:a16="http://schemas.microsoft.com/office/drawing/2014/main" id="{00000000-0008-0000-0400-000054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5498" y="7153039"/>
          <a:ext cx="1308688" cy="124083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304800</xdr:colOff>
      <xdr:row>7</xdr:row>
      <xdr:rowOff>114300</xdr:rowOff>
    </xdr:from>
    <xdr:to>
      <xdr:col>2</xdr:col>
      <xdr:colOff>523875</xdr:colOff>
      <xdr:row>14</xdr:row>
      <xdr:rowOff>9525</xdr:rowOff>
    </xdr:to>
    <xdr:pic>
      <xdr:nvPicPr>
        <xdr:cNvPr id="1365" name="Picture 49">
          <a:extLst>
            <a:ext uri="{FF2B5EF4-FFF2-40B4-BE49-F238E27FC236}">
              <a16:creationId xmlns:a16="http://schemas.microsoft.com/office/drawing/2014/main" id="{00000000-0008-0000-0400-000055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0" y="1828800"/>
          <a:ext cx="1533525" cy="1228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372353</xdr:colOff>
      <xdr:row>41</xdr:row>
      <xdr:rowOff>78722</xdr:rowOff>
    </xdr:from>
    <xdr:to>
      <xdr:col>9</xdr:col>
      <xdr:colOff>358092</xdr:colOff>
      <xdr:row>44</xdr:row>
      <xdr:rowOff>179918</xdr:rowOff>
    </xdr:to>
    <xdr:sp macro="" textlink="Calcs!J2">
      <xdr:nvSpPr>
        <xdr:cNvPr id="27" name="TextBox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5230103" y="8270222"/>
          <a:ext cx="1213406" cy="672696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F0AA13E-83CD-4F16-A5CC-B0A9AF509C00}" type="TxLink">
            <a:rPr lang="en-US" sz="4000" b="0" i="0" u="none" strike="noStrike">
              <a:solidFill>
                <a:schemeClr val="tx2">
                  <a:lumMod val="60000"/>
                  <a:lumOff val="40000"/>
                </a:schemeClr>
              </a:solidFill>
              <a:latin typeface="Adobe Gothic Std B" pitchFamily="34" charset="-128"/>
              <a:ea typeface="Adobe Gothic Std B" pitchFamily="34" charset="-128"/>
              <a:cs typeface="Calibri"/>
            </a:rPr>
            <a:pPr/>
            <a:t>81%</a:t>
          </a:fld>
          <a:endParaRPr lang="en-AU" sz="4000">
            <a:solidFill>
              <a:schemeClr val="tx2">
                <a:lumMod val="60000"/>
                <a:lumOff val="40000"/>
              </a:schemeClr>
            </a:solidFill>
            <a:latin typeface="Adobe Gothic Std B" pitchFamily="34" charset="-128"/>
            <a:ea typeface="Adobe Gothic Std B" pitchFamily="34" charset="-128"/>
            <a:cs typeface="Adobe Arabic" pitchFamily="18" charset="-78"/>
          </a:endParaRPr>
        </a:p>
      </xdr:txBody>
    </xdr:sp>
    <xdr:clientData/>
  </xdr:twoCellAnchor>
  <xdr:twoCellAnchor>
    <xdr:from>
      <xdr:col>17</xdr:col>
      <xdr:colOff>39760</xdr:colOff>
      <xdr:row>17</xdr:row>
      <xdr:rowOff>113840</xdr:rowOff>
    </xdr:from>
    <xdr:to>
      <xdr:col>18</xdr:col>
      <xdr:colOff>174809</xdr:colOff>
      <xdr:row>21</xdr:row>
      <xdr:rowOff>171729</xdr:rowOff>
    </xdr:to>
    <xdr:sp macro="" textlink="">
      <xdr:nvSpPr>
        <xdr:cNvPr id="42" name="S_AK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>
          <a:spLocks/>
        </xdr:cNvSpPr>
      </xdr:nvSpPr>
      <xdr:spPr bwMode="auto">
        <a:xfrm>
          <a:off x="411235" y="3542840"/>
          <a:ext cx="744649" cy="972289"/>
        </a:xfrm>
        <a:custGeom>
          <a:avLst/>
          <a:gdLst>
            <a:gd name="T0" fmla="*/ 5 w 494"/>
            <a:gd name="T1" fmla="*/ 5 h 559"/>
            <a:gd name="T2" fmla="*/ 5 w 494"/>
            <a:gd name="T3" fmla="*/ 5 h 559"/>
            <a:gd name="T4" fmla="*/ 5 w 494"/>
            <a:gd name="T5" fmla="*/ 4 h 559"/>
            <a:gd name="T6" fmla="*/ 4 w 494"/>
            <a:gd name="T7" fmla="*/ 5 h 559"/>
            <a:gd name="T8" fmla="*/ 4 w 494"/>
            <a:gd name="T9" fmla="*/ 4 h 559"/>
            <a:gd name="T10" fmla="*/ 4 w 494"/>
            <a:gd name="T11" fmla="*/ 1 h 559"/>
            <a:gd name="T12" fmla="*/ 3 w 494"/>
            <a:gd name="T13" fmla="*/ 1 h 559"/>
            <a:gd name="T14" fmla="*/ 3 w 494"/>
            <a:gd name="T15" fmla="*/ 1 h 559"/>
            <a:gd name="T16" fmla="*/ 2 w 494"/>
            <a:gd name="T17" fmla="*/ 0 h 559"/>
            <a:gd name="T18" fmla="*/ 2 w 494"/>
            <a:gd name="T19" fmla="*/ 0 h 559"/>
            <a:gd name="T20" fmla="*/ 2 w 494"/>
            <a:gd name="T21" fmla="*/ 0 h 559"/>
            <a:gd name="T22" fmla="*/ 1 w 494"/>
            <a:gd name="T23" fmla="*/ 0 h 559"/>
            <a:gd name="T24" fmla="*/ 1 w 494"/>
            <a:gd name="T25" fmla="*/ 1 h 559"/>
            <a:gd name="T26" fmla="*/ 0 w 494"/>
            <a:gd name="T27" fmla="*/ 1 h 559"/>
            <a:gd name="T28" fmla="*/ 0 w 494"/>
            <a:gd name="T29" fmla="*/ 2 h 559"/>
            <a:gd name="T30" fmla="*/ 1 w 494"/>
            <a:gd name="T31" fmla="*/ 2 h 559"/>
            <a:gd name="T32" fmla="*/ 0 w 494"/>
            <a:gd name="T33" fmla="*/ 2 h 559"/>
            <a:gd name="T34" fmla="*/ 0 w 494"/>
            <a:gd name="T35" fmla="*/ 2 h 559"/>
            <a:gd name="T36" fmla="*/ 0 w 494"/>
            <a:gd name="T37" fmla="*/ 2 h 559"/>
            <a:gd name="T38" fmla="*/ 0 w 494"/>
            <a:gd name="T39" fmla="*/ 3 h 559"/>
            <a:gd name="T40" fmla="*/ 1 w 494"/>
            <a:gd name="T41" fmla="*/ 3 h 559"/>
            <a:gd name="T42" fmla="*/ 1 w 494"/>
            <a:gd name="T43" fmla="*/ 3 h 559"/>
            <a:gd name="T44" fmla="*/ 1 w 494"/>
            <a:gd name="T45" fmla="*/ 3 h 559"/>
            <a:gd name="T46" fmla="*/ 0 w 494"/>
            <a:gd name="T47" fmla="*/ 3 h 559"/>
            <a:gd name="T48" fmla="*/ 0 w 494"/>
            <a:gd name="T49" fmla="*/ 4 h 559"/>
            <a:gd name="T50" fmla="*/ 1 w 494"/>
            <a:gd name="T51" fmla="*/ 4 h 559"/>
            <a:gd name="T52" fmla="*/ 1 w 494"/>
            <a:gd name="T53" fmla="*/ 5 h 559"/>
            <a:gd name="T54" fmla="*/ 1 w 494"/>
            <a:gd name="T55" fmla="*/ 5 h 559"/>
            <a:gd name="T56" fmla="*/ 1 w 494"/>
            <a:gd name="T57" fmla="*/ 5 h 559"/>
            <a:gd name="T58" fmla="*/ 1 w 494"/>
            <a:gd name="T59" fmla="*/ 5 h 559"/>
            <a:gd name="T60" fmla="*/ 0 w 494"/>
            <a:gd name="T61" fmla="*/ 6 h 559"/>
            <a:gd name="T62" fmla="*/ 1 w 494"/>
            <a:gd name="T63" fmla="*/ 5 h 559"/>
            <a:gd name="T64" fmla="*/ 2 w 494"/>
            <a:gd name="T65" fmla="*/ 5 h 559"/>
            <a:gd name="T66" fmla="*/ 2 w 494"/>
            <a:gd name="T67" fmla="*/ 5 h 559"/>
            <a:gd name="T68" fmla="*/ 2 w 494"/>
            <a:gd name="T69" fmla="*/ 4 h 559"/>
            <a:gd name="T70" fmla="*/ 2 w 494"/>
            <a:gd name="T71" fmla="*/ 4 h 559"/>
            <a:gd name="T72" fmla="*/ 2 w 494"/>
            <a:gd name="T73" fmla="*/ 4 h 559"/>
            <a:gd name="T74" fmla="*/ 2 w 494"/>
            <a:gd name="T75" fmla="*/ 5 h 559"/>
            <a:gd name="T76" fmla="*/ 3 w 494"/>
            <a:gd name="T77" fmla="*/ 4 h 559"/>
            <a:gd name="T78" fmla="*/ 3 w 494"/>
            <a:gd name="T79" fmla="*/ 4 h 559"/>
            <a:gd name="T80" fmla="*/ 3 w 494"/>
            <a:gd name="T81" fmla="*/ 4 h 559"/>
            <a:gd name="T82" fmla="*/ 4 w 494"/>
            <a:gd name="T83" fmla="*/ 4 h 559"/>
            <a:gd name="T84" fmla="*/ 4 w 494"/>
            <a:gd name="T85" fmla="*/ 4 h 559"/>
            <a:gd name="T86" fmla="*/ 5 w 494"/>
            <a:gd name="T87" fmla="*/ 5 h 559"/>
            <a:gd name="T88" fmla="*/ 5 w 494"/>
            <a:gd name="T89" fmla="*/ 5 h 559"/>
            <a:gd name="T90" fmla="*/ 5 w 494"/>
            <a:gd name="T91" fmla="*/ 5 h 559"/>
            <a:gd name="T92" fmla="*/ 5 w 494"/>
            <a:gd name="T93" fmla="*/ 5 h 559"/>
            <a:gd name="T94" fmla="*/ 5 w 494"/>
            <a:gd name="T95" fmla="*/ 5 h 559"/>
            <a:gd name="T96" fmla="*/ 5 w 494"/>
            <a:gd name="T97" fmla="*/ 5 h 559"/>
            <a:gd name="T98" fmla="*/ 5 w 494"/>
            <a:gd name="T99" fmla="*/ 6 h 559"/>
            <a:gd name="T100" fmla="*/ 5 w 494"/>
            <a:gd name="T101" fmla="*/ 5 h 559"/>
            <a:gd name="T102" fmla="*/ 5 w 494"/>
            <a:gd name="T103" fmla="*/ 5 h 559"/>
            <a:gd name="T104" fmla="*/ 5 w 494"/>
            <a:gd name="T105" fmla="*/ 6 h 559"/>
            <a:gd name="T106" fmla="*/ 5 w 494"/>
            <a:gd name="T107" fmla="*/ 6 h 559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w 494"/>
            <a:gd name="T163" fmla="*/ 0 h 559"/>
            <a:gd name="T164" fmla="*/ 494 w 494"/>
            <a:gd name="T165" fmla="*/ 559 h 559"/>
          </a:gdLst>
          <a:ahLst/>
          <a:cxnLst>
            <a:cxn ang="T108">
              <a:pos x="T0" y="T1"/>
            </a:cxn>
            <a:cxn ang="T109">
              <a:pos x="T2" y="T3"/>
            </a:cxn>
            <a:cxn ang="T110">
              <a:pos x="T4" y="T5"/>
            </a:cxn>
            <a:cxn ang="T111">
              <a:pos x="T6" y="T7"/>
            </a:cxn>
            <a:cxn ang="T112">
              <a:pos x="T8" y="T9"/>
            </a:cxn>
            <a:cxn ang="T113">
              <a:pos x="T10" y="T11"/>
            </a:cxn>
            <a:cxn ang="T114">
              <a:pos x="T12" y="T13"/>
            </a:cxn>
            <a:cxn ang="T115">
              <a:pos x="T14" y="T15"/>
            </a:cxn>
            <a:cxn ang="T116">
              <a:pos x="T16" y="T17"/>
            </a:cxn>
            <a:cxn ang="T117">
              <a:pos x="T18" y="T19"/>
            </a:cxn>
            <a:cxn ang="T118">
              <a:pos x="T20" y="T21"/>
            </a:cxn>
            <a:cxn ang="T119">
              <a:pos x="T22" y="T23"/>
            </a:cxn>
            <a:cxn ang="T120">
              <a:pos x="T24" y="T25"/>
            </a:cxn>
            <a:cxn ang="T121">
              <a:pos x="T26" y="T27"/>
            </a:cxn>
            <a:cxn ang="T122">
              <a:pos x="T28" y="T29"/>
            </a:cxn>
            <a:cxn ang="T123">
              <a:pos x="T30" y="T31"/>
            </a:cxn>
            <a:cxn ang="T124">
              <a:pos x="T32" y="T33"/>
            </a:cxn>
            <a:cxn ang="T125">
              <a:pos x="T34" y="T35"/>
            </a:cxn>
            <a:cxn ang="T126">
              <a:pos x="T36" y="T37"/>
            </a:cxn>
            <a:cxn ang="T127">
              <a:pos x="T38" y="T39"/>
            </a:cxn>
            <a:cxn ang="T128">
              <a:pos x="T40" y="T41"/>
            </a:cxn>
            <a:cxn ang="T129">
              <a:pos x="T42" y="T43"/>
            </a:cxn>
            <a:cxn ang="T130">
              <a:pos x="T44" y="T45"/>
            </a:cxn>
            <a:cxn ang="T131">
              <a:pos x="T46" y="T47"/>
            </a:cxn>
            <a:cxn ang="T132">
              <a:pos x="T48" y="T49"/>
            </a:cxn>
            <a:cxn ang="T133">
              <a:pos x="T50" y="T51"/>
            </a:cxn>
            <a:cxn ang="T134">
              <a:pos x="T52" y="T53"/>
            </a:cxn>
            <a:cxn ang="T135">
              <a:pos x="T54" y="T55"/>
            </a:cxn>
            <a:cxn ang="T136">
              <a:pos x="T56" y="T57"/>
            </a:cxn>
            <a:cxn ang="T137">
              <a:pos x="T58" y="T59"/>
            </a:cxn>
            <a:cxn ang="T138">
              <a:pos x="T60" y="T61"/>
            </a:cxn>
            <a:cxn ang="T139">
              <a:pos x="T62" y="T63"/>
            </a:cxn>
            <a:cxn ang="T140">
              <a:pos x="T64" y="T65"/>
            </a:cxn>
            <a:cxn ang="T141">
              <a:pos x="T66" y="T67"/>
            </a:cxn>
            <a:cxn ang="T142">
              <a:pos x="T68" y="T69"/>
            </a:cxn>
            <a:cxn ang="T143">
              <a:pos x="T70" y="T71"/>
            </a:cxn>
            <a:cxn ang="T144">
              <a:pos x="T72" y="T73"/>
            </a:cxn>
            <a:cxn ang="T145">
              <a:pos x="T74" y="T75"/>
            </a:cxn>
            <a:cxn ang="T146">
              <a:pos x="T76" y="T77"/>
            </a:cxn>
            <a:cxn ang="T147">
              <a:pos x="T78" y="T79"/>
            </a:cxn>
            <a:cxn ang="T148">
              <a:pos x="T80" y="T81"/>
            </a:cxn>
            <a:cxn ang="T149">
              <a:pos x="T82" y="T83"/>
            </a:cxn>
            <a:cxn ang="T150">
              <a:pos x="T84" y="T85"/>
            </a:cxn>
            <a:cxn ang="T151">
              <a:pos x="T86" y="T87"/>
            </a:cxn>
            <a:cxn ang="T152">
              <a:pos x="T88" y="T89"/>
            </a:cxn>
            <a:cxn ang="T153">
              <a:pos x="T90" y="T91"/>
            </a:cxn>
            <a:cxn ang="T154">
              <a:pos x="T92" y="T93"/>
            </a:cxn>
            <a:cxn ang="T155">
              <a:pos x="T94" y="T95"/>
            </a:cxn>
            <a:cxn ang="T156">
              <a:pos x="T96" y="T97"/>
            </a:cxn>
            <a:cxn ang="T157">
              <a:pos x="T98" y="T99"/>
            </a:cxn>
            <a:cxn ang="T158">
              <a:pos x="T100" y="T101"/>
            </a:cxn>
            <a:cxn ang="T159">
              <a:pos x="T102" y="T103"/>
            </a:cxn>
            <a:cxn ang="T160">
              <a:pos x="T104" y="T105"/>
            </a:cxn>
            <a:cxn ang="T161">
              <a:pos x="T106" y="T107"/>
            </a:cxn>
          </a:cxnLst>
          <a:rect l="T162" t="T163" r="T164" b="T165"/>
          <a:pathLst>
            <a:path w="494" h="559">
              <a:moveTo>
                <a:pt x="494" y="546"/>
              </a:moveTo>
              <a:lnTo>
                <a:pt x="494" y="516"/>
              </a:lnTo>
              <a:lnTo>
                <a:pt x="474" y="494"/>
              </a:lnTo>
              <a:lnTo>
                <a:pt x="446" y="440"/>
              </a:lnTo>
              <a:lnTo>
                <a:pt x="439" y="440"/>
              </a:lnTo>
              <a:lnTo>
                <a:pt x="431" y="411"/>
              </a:lnTo>
              <a:lnTo>
                <a:pt x="419" y="428"/>
              </a:lnTo>
              <a:lnTo>
                <a:pt x="402" y="435"/>
              </a:lnTo>
              <a:lnTo>
                <a:pt x="382" y="405"/>
              </a:lnTo>
              <a:lnTo>
                <a:pt x="382" y="395"/>
              </a:lnTo>
              <a:lnTo>
                <a:pt x="353" y="405"/>
              </a:lnTo>
              <a:lnTo>
                <a:pt x="353" y="74"/>
              </a:lnTo>
              <a:lnTo>
                <a:pt x="332" y="53"/>
              </a:lnTo>
              <a:lnTo>
                <a:pt x="302" y="65"/>
              </a:lnTo>
              <a:lnTo>
                <a:pt x="291" y="53"/>
              </a:lnTo>
              <a:lnTo>
                <a:pt x="270" y="53"/>
              </a:lnTo>
              <a:lnTo>
                <a:pt x="248" y="38"/>
              </a:lnTo>
              <a:lnTo>
                <a:pt x="213" y="38"/>
              </a:lnTo>
              <a:lnTo>
                <a:pt x="206" y="21"/>
              </a:lnTo>
              <a:lnTo>
                <a:pt x="176" y="21"/>
              </a:lnTo>
              <a:lnTo>
                <a:pt x="168" y="8"/>
              </a:lnTo>
              <a:lnTo>
                <a:pt x="149" y="0"/>
              </a:lnTo>
              <a:lnTo>
                <a:pt x="132" y="21"/>
              </a:lnTo>
              <a:lnTo>
                <a:pt x="90" y="45"/>
              </a:lnTo>
              <a:lnTo>
                <a:pt x="84" y="45"/>
              </a:lnTo>
              <a:lnTo>
                <a:pt x="62" y="65"/>
              </a:lnTo>
              <a:lnTo>
                <a:pt x="57" y="104"/>
              </a:lnTo>
              <a:lnTo>
                <a:pt x="20" y="111"/>
              </a:lnTo>
              <a:lnTo>
                <a:pt x="13" y="127"/>
              </a:lnTo>
              <a:lnTo>
                <a:pt x="49" y="156"/>
              </a:lnTo>
              <a:lnTo>
                <a:pt x="77" y="201"/>
              </a:lnTo>
              <a:lnTo>
                <a:pt x="77" y="210"/>
              </a:lnTo>
              <a:lnTo>
                <a:pt x="49" y="210"/>
              </a:lnTo>
              <a:lnTo>
                <a:pt x="49" y="195"/>
              </a:lnTo>
              <a:lnTo>
                <a:pt x="42" y="195"/>
              </a:lnTo>
              <a:lnTo>
                <a:pt x="5" y="210"/>
              </a:lnTo>
              <a:lnTo>
                <a:pt x="0" y="232"/>
              </a:lnTo>
              <a:lnTo>
                <a:pt x="13" y="240"/>
              </a:lnTo>
              <a:lnTo>
                <a:pt x="13" y="253"/>
              </a:lnTo>
              <a:lnTo>
                <a:pt x="35" y="270"/>
              </a:lnTo>
              <a:lnTo>
                <a:pt x="62" y="270"/>
              </a:lnTo>
              <a:lnTo>
                <a:pt x="84" y="253"/>
              </a:lnTo>
              <a:lnTo>
                <a:pt x="84" y="270"/>
              </a:lnTo>
              <a:lnTo>
                <a:pt x="90" y="285"/>
              </a:lnTo>
              <a:lnTo>
                <a:pt x="84" y="306"/>
              </a:lnTo>
              <a:lnTo>
                <a:pt x="62" y="306"/>
              </a:lnTo>
              <a:lnTo>
                <a:pt x="57" y="314"/>
              </a:lnTo>
              <a:lnTo>
                <a:pt x="42" y="314"/>
              </a:lnTo>
              <a:lnTo>
                <a:pt x="20" y="359"/>
              </a:lnTo>
              <a:lnTo>
                <a:pt x="49" y="411"/>
              </a:lnTo>
              <a:lnTo>
                <a:pt x="57" y="411"/>
              </a:lnTo>
              <a:lnTo>
                <a:pt x="77" y="405"/>
              </a:lnTo>
              <a:lnTo>
                <a:pt x="77" y="435"/>
              </a:lnTo>
              <a:lnTo>
                <a:pt x="84" y="440"/>
              </a:lnTo>
              <a:lnTo>
                <a:pt x="106" y="440"/>
              </a:lnTo>
              <a:lnTo>
                <a:pt x="119" y="448"/>
              </a:lnTo>
              <a:lnTo>
                <a:pt x="119" y="440"/>
              </a:lnTo>
              <a:lnTo>
                <a:pt x="132" y="440"/>
              </a:lnTo>
              <a:lnTo>
                <a:pt x="132" y="479"/>
              </a:lnTo>
              <a:lnTo>
                <a:pt x="90" y="516"/>
              </a:lnTo>
              <a:lnTo>
                <a:pt x="62" y="526"/>
              </a:lnTo>
              <a:lnTo>
                <a:pt x="35" y="554"/>
              </a:lnTo>
              <a:lnTo>
                <a:pt x="42" y="559"/>
              </a:lnTo>
              <a:lnTo>
                <a:pt x="119" y="516"/>
              </a:lnTo>
              <a:lnTo>
                <a:pt x="142" y="485"/>
              </a:lnTo>
              <a:lnTo>
                <a:pt x="184" y="448"/>
              </a:lnTo>
              <a:lnTo>
                <a:pt x="189" y="440"/>
              </a:lnTo>
              <a:lnTo>
                <a:pt x="176" y="435"/>
              </a:lnTo>
              <a:lnTo>
                <a:pt x="206" y="405"/>
              </a:lnTo>
              <a:lnTo>
                <a:pt x="206" y="388"/>
              </a:lnTo>
              <a:lnTo>
                <a:pt x="226" y="368"/>
              </a:lnTo>
              <a:lnTo>
                <a:pt x="233" y="368"/>
              </a:lnTo>
              <a:lnTo>
                <a:pt x="218" y="388"/>
              </a:lnTo>
              <a:lnTo>
                <a:pt x="213" y="411"/>
              </a:lnTo>
              <a:lnTo>
                <a:pt x="218" y="428"/>
              </a:lnTo>
              <a:lnTo>
                <a:pt x="213" y="435"/>
              </a:lnTo>
              <a:lnTo>
                <a:pt x="218" y="435"/>
              </a:lnTo>
              <a:lnTo>
                <a:pt x="248" y="411"/>
              </a:lnTo>
              <a:lnTo>
                <a:pt x="255" y="411"/>
              </a:lnTo>
              <a:lnTo>
                <a:pt x="261" y="395"/>
              </a:lnTo>
              <a:lnTo>
                <a:pt x="255" y="374"/>
              </a:lnTo>
              <a:lnTo>
                <a:pt x="310" y="405"/>
              </a:lnTo>
              <a:lnTo>
                <a:pt x="338" y="405"/>
              </a:lnTo>
              <a:lnTo>
                <a:pt x="360" y="411"/>
              </a:lnTo>
              <a:lnTo>
                <a:pt x="374" y="411"/>
              </a:lnTo>
              <a:lnTo>
                <a:pt x="374" y="428"/>
              </a:lnTo>
              <a:lnTo>
                <a:pt x="419" y="462"/>
              </a:lnTo>
              <a:lnTo>
                <a:pt x="439" y="516"/>
              </a:lnTo>
              <a:lnTo>
                <a:pt x="431" y="472"/>
              </a:lnTo>
              <a:lnTo>
                <a:pt x="426" y="462"/>
              </a:lnTo>
              <a:lnTo>
                <a:pt x="431" y="462"/>
              </a:lnTo>
              <a:lnTo>
                <a:pt x="431" y="440"/>
              </a:lnTo>
              <a:lnTo>
                <a:pt x="439" y="485"/>
              </a:lnTo>
              <a:lnTo>
                <a:pt x="446" y="479"/>
              </a:lnTo>
              <a:lnTo>
                <a:pt x="467" y="494"/>
              </a:lnTo>
              <a:lnTo>
                <a:pt x="446" y="485"/>
              </a:lnTo>
              <a:lnTo>
                <a:pt x="446" y="516"/>
              </a:lnTo>
              <a:lnTo>
                <a:pt x="461" y="509"/>
              </a:lnTo>
              <a:lnTo>
                <a:pt x="461" y="526"/>
              </a:lnTo>
              <a:lnTo>
                <a:pt x="474" y="554"/>
              </a:lnTo>
              <a:lnTo>
                <a:pt x="474" y="531"/>
              </a:lnTo>
              <a:lnTo>
                <a:pt x="467" y="516"/>
              </a:lnTo>
              <a:lnTo>
                <a:pt x="474" y="516"/>
              </a:lnTo>
              <a:lnTo>
                <a:pt x="474" y="526"/>
              </a:lnTo>
              <a:lnTo>
                <a:pt x="488" y="554"/>
              </a:lnTo>
              <a:lnTo>
                <a:pt x="494" y="546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36576" tIns="32004" rIns="0" bIns="0" anchor="t"/>
        <a:lstStyle/>
        <a:p>
          <a:pPr algn="ctr" rtl="0">
            <a:defRPr sz="1000"/>
          </a:pPr>
          <a:endParaRPr lang="en-US" sz="800" b="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19</xdr:col>
      <xdr:colOff>95965</xdr:colOff>
      <xdr:row>10</xdr:row>
      <xdr:rowOff>58107</xdr:rowOff>
    </xdr:from>
    <xdr:to>
      <xdr:col>20</xdr:col>
      <xdr:colOff>119761</xdr:colOff>
      <xdr:row>13</xdr:row>
      <xdr:rowOff>20084</xdr:rowOff>
    </xdr:to>
    <xdr:sp macro="" textlink="">
      <xdr:nvSpPr>
        <xdr:cNvPr id="44" name="S_WY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>
          <a:spLocks/>
        </xdr:cNvSpPr>
      </xdr:nvSpPr>
      <xdr:spPr bwMode="auto">
        <a:xfrm>
          <a:off x="1686640" y="2039307"/>
          <a:ext cx="633396" cy="647777"/>
        </a:xfrm>
        <a:custGeom>
          <a:avLst/>
          <a:gdLst>
            <a:gd name="T0" fmla="*/ 2147483647 w 1310"/>
            <a:gd name="T1" fmla="*/ 2147483647 h 947"/>
            <a:gd name="T2" fmla="*/ 2147483647 w 1310"/>
            <a:gd name="T3" fmla="*/ 2147483647 h 947"/>
            <a:gd name="T4" fmla="*/ 2147483647 w 1310"/>
            <a:gd name="T5" fmla="*/ 2147483647 h 947"/>
            <a:gd name="T6" fmla="*/ 2147483647 w 1310"/>
            <a:gd name="T7" fmla="*/ 2147483647 h 947"/>
            <a:gd name="T8" fmla="*/ 2147483647 w 1310"/>
            <a:gd name="T9" fmla="*/ 2147483647 h 947"/>
            <a:gd name="T10" fmla="*/ 2147483647 w 1310"/>
            <a:gd name="T11" fmla="*/ 2147483647 h 947"/>
            <a:gd name="T12" fmla="*/ 2147483647 w 1310"/>
            <a:gd name="T13" fmla="*/ 2147483647 h 947"/>
            <a:gd name="T14" fmla="*/ 2147483647 w 1310"/>
            <a:gd name="T15" fmla="*/ 2147483647 h 947"/>
            <a:gd name="T16" fmla="*/ 2147483647 w 1310"/>
            <a:gd name="T17" fmla="*/ 2147483647 h 947"/>
            <a:gd name="T18" fmla="*/ 2147483647 w 1310"/>
            <a:gd name="T19" fmla="*/ 2147483647 h 947"/>
            <a:gd name="T20" fmla="*/ 2147483647 w 1310"/>
            <a:gd name="T21" fmla="*/ 2147483647 h 947"/>
            <a:gd name="T22" fmla="*/ 2147483647 w 1310"/>
            <a:gd name="T23" fmla="*/ 2147483647 h 947"/>
            <a:gd name="T24" fmla="*/ 2147483647 w 1310"/>
            <a:gd name="T25" fmla="*/ 2147483647 h 947"/>
            <a:gd name="T26" fmla="*/ 2147483647 w 1310"/>
            <a:gd name="T27" fmla="*/ 2147483647 h 947"/>
            <a:gd name="T28" fmla="*/ 2147483647 w 1310"/>
            <a:gd name="T29" fmla="*/ 2147483647 h 947"/>
            <a:gd name="T30" fmla="*/ 2147483647 w 1310"/>
            <a:gd name="T31" fmla="*/ 2147483647 h 947"/>
            <a:gd name="T32" fmla="*/ 2147483647 w 1310"/>
            <a:gd name="T33" fmla="*/ 2147483647 h 947"/>
            <a:gd name="T34" fmla="*/ 2147483647 w 1310"/>
            <a:gd name="T35" fmla="*/ 2147483647 h 947"/>
            <a:gd name="T36" fmla="*/ 2147483647 w 1310"/>
            <a:gd name="T37" fmla="*/ 2147483647 h 947"/>
            <a:gd name="T38" fmla="*/ 2147483647 w 1310"/>
            <a:gd name="T39" fmla="*/ 2147483647 h 947"/>
            <a:gd name="T40" fmla="*/ 2147483647 w 1310"/>
            <a:gd name="T41" fmla="*/ 2147483647 h 947"/>
            <a:gd name="T42" fmla="*/ 2147483647 w 1310"/>
            <a:gd name="T43" fmla="*/ 2147483647 h 947"/>
            <a:gd name="T44" fmla="*/ 2147483647 w 1310"/>
            <a:gd name="T45" fmla="*/ 0 h 947"/>
            <a:gd name="T46" fmla="*/ 2147483647 w 1310"/>
            <a:gd name="T47" fmla="*/ 0 h 947"/>
            <a:gd name="T48" fmla="*/ 2147483647 w 1310"/>
            <a:gd name="T49" fmla="*/ 0 h 947"/>
            <a:gd name="T50" fmla="*/ 2147483647 w 1310"/>
            <a:gd name="T51" fmla="*/ 0 h 947"/>
            <a:gd name="T52" fmla="*/ 2147483647 w 1310"/>
            <a:gd name="T53" fmla="*/ 0 h 947"/>
            <a:gd name="T54" fmla="*/ 2147483647 w 1310"/>
            <a:gd name="T55" fmla="*/ 0 h 947"/>
            <a:gd name="T56" fmla="*/ 2147483647 w 1310"/>
            <a:gd name="T57" fmla="*/ 0 h 947"/>
            <a:gd name="T58" fmla="*/ 2147483647 w 1310"/>
            <a:gd name="T59" fmla="*/ 0 h 947"/>
            <a:gd name="T60" fmla="*/ 2147483647 w 1310"/>
            <a:gd name="T61" fmla="*/ 0 h 947"/>
            <a:gd name="T62" fmla="*/ 2147483647 w 1310"/>
            <a:gd name="T63" fmla="*/ 0 h 947"/>
            <a:gd name="T64" fmla="*/ 2147483647 w 1310"/>
            <a:gd name="T65" fmla="*/ 0 h 947"/>
            <a:gd name="T66" fmla="*/ 2147483647 w 1310"/>
            <a:gd name="T67" fmla="*/ 0 h 947"/>
            <a:gd name="T68" fmla="*/ 2147483647 w 1310"/>
            <a:gd name="T69" fmla="*/ 0 h 947"/>
            <a:gd name="T70" fmla="*/ 2147483647 w 1310"/>
            <a:gd name="T71" fmla="*/ 2147483647 h 947"/>
            <a:gd name="T72" fmla="*/ 2147483647 w 1310"/>
            <a:gd name="T73" fmla="*/ 2147483647 h 947"/>
            <a:gd name="T74" fmla="*/ 2147483647 w 1310"/>
            <a:gd name="T75" fmla="*/ 2147483647 h 947"/>
            <a:gd name="T76" fmla="*/ 2147483647 w 1310"/>
            <a:gd name="T77" fmla="*/ 2147483647 h 947"/>
            <a:gd name="T78" fmla="*/ 2147483647 w 1310"/>
            <a:gd name="T79" fmla="*/ 2147483647 h 947"/>
            <a:gd name="T80" fmla="*/ 2147483647 w 1310"/>
            <a:gd name="T81" fmla="*/ 2147483647 h 947"/>
            <a:gd name="T82" fmla="*/ 2147483647 w 1310"/>
            <a:gd name="T83" fmla="*/ 2147483647 h 947"/>
            <a:gd name="T84" fmla="*/ 2147483647 w 1310"/>
            <a:gd name="T85" fmla="*/ 2147483647 h 947"/>
            <a:gd name="T86" fmla="*/ 2147483647 w 1310"/>
            <a:gd name="T87" fmla="*/ 2147483647 h 947"/>
            <a:gd name="T88" fmla="*/ 2147483647 w 1310"/>
            <a:gd name="T89" fmla="*/ 2147483647 h 947"/>
            <a:gd name="T90" fmla="*/ 2147483647 w 1310"/>
            <a:gd name="T91" fmla="*/ 2147483647 h 947"/>
            <a:gd name="T92" fmla="*/ 2147483647 w 1310"/>
            <a:gd name="T93" fmla="*/ 2147483647 h 947"/>
            <a:gd name="T94" fmla="*/ 2147483647 w 1310"/>
            <a:gd name="T95" fmla="*/ 2147483647 h 947"/>
            <a:gd name="T96" fmla="*/ 2147483647 w 1310"/>
            <a:gd name="T97" fmla="*/ 2147483647 h 947"/>
            <a:gd name="T98" fmla="*/ 2147483647 w 1310"/>
            <a:gd name="T99" fmla="*/ 2147483647 h 947"/>
            <a:gd name="T100" fmla="*/ 2147483647 w 1310"/>
            <a:gd name="T101" fmla="*/ 2147483647 h 947"/>
            <a:gd name="T102" fmla="*/ 2147483647 w 1310"/>
            <a:gd name="T103" fmla="*/ 2147483647 h 947"/>
            <a:gd name="T104" fmla="*/ 2147483647 w 1310"/>
            <a:gd name="T105" fmla="*/ 2147483647 h 947"/>
            <a:gd name="T106" fmla="*/ 2147483647 w 1310"/>
            <a:gd name="T107" fmla="*/ 2147483647 h 947"/>
            <a:gd name="T108" fmla="*/ 2147483647 w 1310"/>
            <a:gd name="T109" fmla="*/ 2147483647 h 947"/>
            <a:gd name="T110" fmla="*/ 2147483647 w 1310"/>
            <a:gd name="T111" fmla="*/ 2147483647 h 947"/>
            <a:gd name="T112" fmla="*/ 2147483647 w 1310"/>
            <a:gd name="T113" fmla="*/ 2147483647 h 947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w 1310"/>
            <a:gd name="T172" fmla="*/ 0 h 947"/>
            <a:gd name="T173" fmla="*/ 1310 w 1310"/>
            <a:gd name="T174" fmla="*/ 947 h 947"/>
          </a:gdLst>
          <a:ahLst/>
          <a:cxnLst>
            <a:cxn ang="T114">
              <a:pos x="T0" y="T1"/>
            </a:cxn>
            <a:cxn ang="T115">
              <a:pos x="T2" y="T3"/>
            </a:cxn>
            <a:cxn ang="T116">
              <a:pos x="T4" y="T5"/>
            </a:cxn>
            <a:cxn ang="T117">
              <a:pos x="T6" y="T7"/>
            </a:cxn>
            <a:cxn ang="T118">
              <a:pos x="T8" y="T9"/>
            </a:cxn>
            <a:cxn ang="T119">
              <a:pos x="T10" y="T11"/>
            </a:cxn>
            <a:cxn ang="T120">
              <a:pos x="T12" y="T13"/>
            </a:cxn>
            <a:cxn ang="T121">
              <a:pos x="T14" y="T15"/>
            </a:cxn>
            <a:cxn ang="T122">
              <a:pos x="T16" y="T17"/>
            </a:cxn>
            <a:cxn ang="T123">
              <a:pos x="T18" y="T19"/>
            </a:cxn>
            <a:cxn ang="T124">
              <a:pos x="T20" y="T21"/>
            </a:cxn>
            <a:cxn ang="T125">
              <a:pos x="T22" y="T23"/>
            </a:cxn>
            <a:cxn ang="T126">
              <a:pos x="T24" y="T25"/>
            </a:cxn>
            <a:cxn ang="T127">
              <a:pos x="T26" y="T27"/>
            </a:cxn>
            <a:cxn ang="T128">
              <a:pos x="T28" y="T29"/>
            </a:cxn>
            <a:cxn ang="T129">
              <a:pos x="T30" y="T31"/>
            </a:cxn>
            <a:cxn ang="T130">
              <a:pos x="T32" y="T33"/>
            </a:cxn>
            <a:cxn ang="T131">
              <a:pos x="T34" y="T35"/>
            </a:cxn>
            <a:cxn ang="T132">
              <a:pos x="T36" y="T37"/>
            </a:cxn>
            <a:cxn ang="T133">
              <a:pos x="T38" y="T39"/>
            </a:cxn>
            <a:cxn ang="T134">
              <a:pos x="T40" y="T41"/>
            </a:cxn>
            <a:cxn ang="T135">
              <a:pos x="T42" y="T43"/>
            </a:cxn>
            <a:cxn ang="T136">
              <a:pos x="T44" y="T45"/>
            </a:cxn>
            <a:cxn ang="T137">
              <a:pos x="T46" y="T47"/>
            </a:cxn>
            <a:cxn ang="T138">
              <a:pos x="T48" y="T49"/>
            </a:cxn>
            <a:cxn ang="T139">
              <a:pos x="T50" y="T51"/>
            </a:cxn>
            <a:cxn ang="T140">
              <a:pos x="T52" y="T53"/>
            </a:cxn>
            <a:cxn ang="T141">
              <a:pos x="T54" y="T55"/>
            </a:cxn>
            <a:cxn ang="T142">
              <a:pos x="T56" y="T57"/>
            </a:cxn>
            <a:cxn ang="T143">
              <a:pos x="T58" y="T59"/>
            </a:cxn>
            <a:cxn ang="T144">
              <a:pos x="T60" y="T61"/>
            </a:cxn>
            <a:cxn ang="T145">
              <a:pos x="T62" y="T63"/>
            </a:cxn>
            <a:cxn ang="T146">
              <a:pos x="T64" y="T65"/>
            </a:cxn>
            <a:cxn ang="T147">
              <a:pos x="T66" y="T67"/>
            </a:cxn>
            <a:cxn ang="T148">
              <a:pos x="T68" y="T69"/>
            </a:cxn>
            <a:cxn ang="T149">
              <a:pos x="T70" y="T71"/>
            </a:cxn>
            <a:cxn ang="T150">
              <a:pos x="T72" y="T73"/>
            </a:cxn>
            <a:cxn ang="T151">
              <a:pos x="T74" y="T75"/>
            </a:cxn>
            <a:cxn ang="T152">
              <a:pos x="T76" y="T77"/>
            </a:cxn>
            <a:cxn ang="T153">
              <a:pos x="T78" y="T79"/>
            </a:cxn>
            <a:cxn ang="T154">
              <a:pos x="T80" y="T81"/>
            </a:cxn>
            <a:cxn ang="T155">
              <a:pos x="T82" y="T83"/>
            </a:cxn>
            <a:cxn ang="T156">
              <a:pos x="T84" y="T85"/>
            </a:cxn>
            <a:cxn ang="T157">
              <a:pos x="T86" y="T87"/>
            </a:cxn>
            <a:cxn ang="T158">
              <a:pos x="T88" y="T89"/>
            </a:cxn>
            <a:cxn ang="T159">
              <a:pos x="T90" y="T91"/>
            </a:cxn>
            <a:cxn ang="T160">
              <a:pos x="T92" y="T93"/>
            </a:cxn>
            <a:cxn ang="T161">
              <a:pos x="T94" y="T95"/>
            </a:cxn>
            <a:cxn ang="T162">
              <a:pos x="T96" y="T97"/>
            </a:cxn>
            <a:cxn ang="T163">
              <a:pos x="T98" y="T99"/>
            </a:cxn>
            <a:cxn ang="T164">
              <a:pos x="T100" y="T101"/>
            </a:cxn>
            <a:cxn ang="T165">
              <a:pos x="T102" y="T103"/>
            </a:cxn>
            <a:cxn ang="T166">
              <a:pos x="T104" y="T105"/>
            </a:cxn>
            <a:cxn ang="T167">
              <a:pos x="T106" y="T107"/>
            </a:cxn>
            <a:cxn ang="T168">
              <a:pos x="T108" y="T109"/>
            </a:cxn>
            <a:cxn ang="T169">
              <a:pos x="T110" y="T111"/>
            </a:cxn>
            <a:cxn ang="T170">
              <a:pos x="T112" y="T113"/>
            </a:cxn>
          </a:cxnLst>
          <a:rect l="T171" t="T172" r="T173" b="T174"/>
          <a:pathLst>
            <a:path w="1310" h="947">
              <a:moveTo>
                <a:pt x="887" y="947"/>
              </a:moveTo>
              <a:lnTo>
                <a:pt x="876" y="946"/>
              </a:lnTo>
              <a:lnTo>
                <a:pt x="853" y="946"/>
              </a:lnTo>
              <a:lnTo>
                <a:pt x="786" y="946"/>
              </a:lnTo>
              <a:lnTo>
                <a:pt x="780" y="946"/>
              </a:lnTo>
              <a:lnTo>
                <a:pt x="700" y="946"/>
              </a:lnTo>
              <a:lnTo>
                <a:pt x="690" y="946"/>
              </a:lnTo>
              <a:lnTo>
                <a:pt x="642" y="946"/>
              </a:lnTo>
              <a:lnTo>
                <a:pt x="588" y="946"/>
              </a:lnTo>
              <a:lnTo>
                <a:pt x="539" y="946"/>
              </a:lnTo>
              <a:lnTo>
                <a:pt x="423" y="946"/>
              </a:lnTo>
              <a:lnTo>
                <a:pt x="376" y="946"/>
              </a:lnTo>
              <a:lnTo>
                <a:pt x="292" y="946"/>
              </a:lnTo>
              <a:lnTo>
                <a:pt x="285" y="947"/>
              </a:lnTo>
              <a:lnTo>
                <a:pt x="198" y="947"/>
              </a:lnTo>
              <a:lnTo>
                <a:pt x="189" y="947"/>
              </a:lnTo>
              <a:lnTo>
                <a:pt x="147" y="947"/>
              </a:lnTo>
              <a:lnTo>
                <a:pt x="3" y="946"/>
              </a:lnTo>
              <a:lnTo>
                <a:pt x="3" y="887"/>
              </a:lnTo>
              <a:lnTo>
                <a:pt x="3" y="841"/>
              </a:lnTo>
              <a:lnTo>
                <a:pt x="3" y="828"/>
              </a:lnTo>
              <a:lnTo>
                <a:pt x="3" y="809"/>
              </a:lnTo>
              <a:lnTo>
                <a:pt x="3" y="769"/>
              </a:lnTo>
              <a:lnTo>
                <a:pt x="3" y="749"/>
              </a:lnTo>
              <a:lnTo>
                <a:pt x="3" y="709"/>
              </a:lnTo>
              <a:lnTo>
                <a:pt x="3" y="680"/>
              </a:lnTo>
              <a:lnTo>
                <a:pt x="3" y="598"/>
              </a:lnTo>
              <a:lnTo>
                <a:pt x="3" y="590"/>
              </a:lnTo>
              <a:lnTo>
                <a:pt x="4" y="533"/>
              </a:lnTo>
              <a:lnTo>
                <a:pt x="3" y="474"/>
              </a:lnTo>
              <a:lnTo>
                <a:pt x="3" y="470"/>
              </a:lnTo>
              <a:lnTo>
                <a:pt x="3" y="459"/>
              </a:lnTo>
              <a:lnTo>
                <a:pt x="3" y="415"/>
              </a:lnTo>
              <a:lnTo>
                <a:pt x="3" y="399"/>
              </a:lnTo>
              <a:lnTo>
                <a:pt x="3" y="367"/>
              </a:lnTo>
              <a:lnTo>
                <a:pt x="3" y="356"/>
              </a:lnTo>
              <a:lnTo>
                <a:pt x="3" y="355"/>
              </a:lnTo>
              <a:lnTo>
                <a:pt x="3" y="296"/>
              </a:lnTo>
              <a:lnTo>
                <a:pt x="3" y="267"/>
              </a:lnTo>
              <a:lnTo>
                <a:pt x="3" y="242"/>
              </a:lnTo>
              <a:lnTo>
                <a:pt x="3" y="206"/>
              </a:lnTo>
              <a:lnTo>
                <a:pt x="3" y="179"/>
              </a:lnTo>
              <a:lnTo>
                <a:pt x="2" y="125"/>
              </a:lnTo>
              <a:lnTo>
                <a:pt x="2" y="120"/>
              </a:lnTo>
              <a:lnTo>
                <a:pt x="0" y="80"/>
              </a:lnTo>
              <a:lnTo>
                <a:pt x="2" y="1"/>
              </a:lnTo>
              <a:lnTo>
                <a:pt x="122" y="3"/>
              </a:lnTo>
              <a:lnTo>
                <a:pt x="198" y="1"/>
              </a:lnTo>
              <a:lnTo>
                <a:pt x="225" y="1"/>
              </a:lnTo>
              <a:lnTo>
                <a:pt x="236" y="1"/>
              </a:lnTo>
              <a:lnTo>
                <a:pt x="362" y="0"/>
              </a:lnTo>
              <a:lnTo>
                <a:pt x="386" y="1"/>
              </a:lnTo>
              <a:lnTo>
                <a:pt x="456" y="1"/>
              </a:lnTo>
              <a:lnTo>
                <a:pt x="479" y="1"/>
              </a:lnTo>
              <a:lnTo>
                <a:pt x="502" y="1"/>
              </a:lnTo>
              <a:lnTo>
                <a:pt x="526" y="1"/>
              </a:lnTo>
              <a:lnTo>
                <a:pt x="589" y="1"/>
              </a:lnTo>
              <a:lnTo>
                <a:pt x="736" y="1"/>
              </a:lnTo>
              <a:lnTo>
                <a:pt x="759" y="2"/>
              </a:lnTo>
              <a:lnTo>
                <a:pt x="897" y="3"/>
              </a:lnTo>
              <a:lnTo>
                <a:pt x="899" y="3"/>
              </a:lnTo>
              <a:lnTo>
                <a:pt x="923" y="3"/>
              </a:lnTo>
              <a:lnTo>
                <a:pt x="944" y="3"/>
              </a:lnTo>
              <a:lnTo>
                <a:pt x="947" y="3"/>
              </a:lnTo>
              <a:lnTo>
                <a:pt x="963" y="1"/>
              </a:lnTo>
              <a:lnTo>
                <a:pt x="1117" y="1"/>
              </a:lnTo>
              <a:lnTo>
                <a:pt x="1126" y="1"/>
              </a:lnTo>
              <a:lnTo>
                <a:pt x="1165" y="1"/>
              </a:lnTo>
              <a:lnTo>
                <a:pt x="1184" y="2"/>
              </a:lnTo>
              <a:lnTo>
                <a:pt x="1310" y="2"/>
              </a:lnTo>
              <a:lnTo>
                <a:pt x="1310" y="61"/>
              </a:lnTo>
              <a:lnTo>
                <a:pt x="1310" y="103"/>
              </a:lnTo>
              <a:lnTo>
                <a:pt x="1310" y="120"/>
              </a:lnTo>
              <a:lnTo>
                <a:pt x="1310" y="179"/>
              </a:lnTo>
              <a:lnTo>
                <a:pt x="1310" y="195"/>
              </a:lnTo>
              <a:lnTo>
                <a:pt x="1310" y="204"/>
              </a:lnTo>
              <a:lnTo>
                <a:pt x="1310" y="237"/>
              </a:lnTo>
              <a:lnTo>
                <a:pt x="1310" y="273"/>
              </a:lnTo>
              <a:lnTo>
                <a:pt x="1310" y="296"/>
              </a:lnTo>
              <a:lnTo>
                <a:pt x="1310" y="326"/>
              </a:lnTo>
              <a:lnTo>
                <a:pt x="1310" y="355"/>
              </a:lnTo>
              <a:lnTo>
                <a:pt x="1310" y="356"/>
              </a:lnTo>
              <a:lnTo>
                <a:pt x="1310" y="360"/>
              </a:lnTo>
              <a:lnTo>
                <a:pt x="1310" y="385"/>
              </a:lnTo>
              <a:lnTo>
                <a:pt x="1310" y="444"/>
              </a:lnTo>
              <a:lnTo>
                <a:pt x="1310" y="474"/>
              </a:lnTo>
              <a:lnTo>
                <a:pt x="1310" y="485"/>
              </a:lnTo>
              <a:lnTo>
                <a:pt x="1310" y="517"/>
              </a:lnTo>
              <a:lnTo>
                <a:pt x="1310" y="570"/>
              </a:lnTo>
              <a:lnTo>
                <a:pt x="1310" y="651"/>
              </a:lnTo>
              <a:lnTo>
                <a:pt x="1310" y="680"/>
              </a:lnTo>
              <a:lnTo>
                <a:pt x="1310" y="709"/>
              </a:lnTo>
              <a:lnTo>
                <a:pt x="1310" y="739"/>
              </a:lnTo>
              <a:lnTo>
                <a:pt x="1310" y="769"/>
              </a:lnTo>
              <a:lnTo>
                <a:pt x="1310" y="781"/>
              </a:lnTo>
              <a:lnTo>
                <a:pt x="1310" y="798"/>
              </a:lnTo>
              <a:lnTo>
                <a:pt x="1310" y="813"/>
              </a:lnTo>
              <a:lnTo>
                <a:pt x="1310" y="828"/>
              </a:lnTo>
              <a:lnTo>
                <a:pt x="1310" y="854"/>
              </a:lnTo>
              <a:lnTo>
                <a:pt x="1310" y="874"/>
              </a:lnTo>
              <a:lnTo>
                <a:pt x="1310" y="917"/>
              </a:lnTo>
              <a:lnTo>
                <a:pt x="1310" y="946"/>
              </a:lnTo>
              <a:lnTo>
                <a:pt x="1201" y="946"/>
              </a:lnTo>
              <a:lnTo>
                <a:pt x="1157" y="947"/>
              </a:lnTo>
              <a:lnTo>
                <a:pt x="1145" y="947"/>
              </a:lnTo>
              <a:lnTo>
                <a:pt x="1110" y="947"/>
              </a:lnTo>
              <a:lnTo>
                <a:pt x="1087" y="947"/>
              </a:lnTo>
              <a:lnTo>
                <a:pt x="1081" y="947"/>
              </a:lnTo>
              <a:lnTo>
                <a:pt x="1050" y="947"/>
              </a:lnTo>
              <a:lnTo>
                <a:pt x="934" y="947"/>
              </a:lnTo>
              <a:lnTo>
                <a:pt x="911" y="947"/>
              </a:lnTo>
              <a:lnTo>
                <a:pt x="908" y="947"/>
              </a:lnTo>
              <a:lnTo>
                <a:pt x="893" y="947"/>
              </a:lnTo>
              <a:lnTo>
                <a:pt x="887" y="947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pPr algn="ctr"/>
          <a:endParaRPr lang="en-US" sz="800" b="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23</xdr:col>
      <xdr:colOff>224425</xdr:colOff>
      <xdr:row>13</xdr:row>
      <xdr:rowOff>74288</xdr:rowOff>
    </xdr:from>
    <xdr:to>
      <xdr:col>24</xdr:col>
      <xdr:colOff>59273</xdr:colOff>
      <xdr:row>15</xdr:row>
      <xdr:rowOff>134288</xdr:rowOff>
    </xdr:to>
    <xdr:sp macro="" textlink="">
      <xdr:nvSpPr>
        <xdr:cNvPr id="45" name="S_WV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>
          <a:spLocks/>
        </xdr:cNvSpPr>
      </xdr:nvSpPr>
      <xdr:spPr bwMode="auto">
        <a:xfrm>
          <a:off x="4253500" y="2741288"/>
          <a:ext cx="444448" cy="441000"/>
        </a:xfrm>
        <a:custGeom>
          <a:avLst/>
          <a:gdLst>
            <a:gd name="T0" fmla="*/ 2147483647 w 917"/>
            <a:gd name="T1" fmla="*/ 2147483647 h 812"/>
            <a:gd name="T2" fmla="*/ 2147483647 w 917"/>
            <a:gd name="T3" fmla="*/ 2147483647 h 812"/>
            <a:gd name="T4" fmla="*/ 2147483647 w 917"/>
            <a:gd name="T5" fmla="*/ 2147483647 h 812"/>
            <a:gd name="T6" fmla="*/ 2147483647 w 917"/>
            <a:gd name="T7" fmla="*/ 2147483647 h 812"/>
            <a:gd name="T8" fmla="*/ 2147483647 w 917"/>
            <a:gd name="T9" fmla="*/ 2147483647 h 812"/>
            <a:gd name="T10" fmla="*/ 2147483647 w 917"/>
            <a:gd name="T11" fmla="*/ 2147483647 h 812"/>
            <a:gd name="T12" fmla="*/ 2147483647 w 917"/>
            <a:gd name="T13" fmla="*/ 2147483647 h 812"/>
            <a:gd name="T14" fmla="*/ 2147483647 w 917"/>
            <a:gd name="T15" fmla="*/ 2147483647 h 812"/>
            <a:gd name="T16" fmla="*/ 2147483647 w 917"/>
            <a:gd name="T17" fmla="*/ 2147483647 h 812"/>
            <a:gd name="T18" fmla="*/ 2147483647 w 917"/>
            <a:gd name="T19" fmla="*/ 2147483647 h 812"/>
            <a:gd name="T20" fmla="*/ 2147483647 w 917"/>
            <a:gd name="T21" fmla="*/ 2147483647 h 812"/>
            <a:gd name="T22" fmla="*/ 2147483647 w 917"/>
            <a:gd name="T23" fmla="*/ 2147483647 h 812"/>
            <a:gd name="T24" fmla="*/ 2147483647 w 917"/>
            <a:gd name="T25" fmla="*/ 2147483647 h 812"/>
            <a:gd name="T26" fmla="*/ 2147483647 w 917"/>
            <a:gd name="T27" fmla="*/ 2147483647 h 812"/>
            <a:gd name="T28" fmla="*/ 2147483647 w 917"/>
            <a:gd name="T29" fmla="*/ 2147483647 h 812"/>
            <a:gd name="T30" fmla="*/ 2147483647 w 917"/>
            <a:gd name="T31" fmla="*/ 2147483647 h 812"/>
            <a:gd name="T32" fmla="*/ 2147483647 w 917"/>
            <a:gd name="T33" fmla="*/ 2147483647 h 812"/>
            <a:gd name="T34" fmla="*/ 2147483647 w 917"/>
            <a:gd name="T35" fmla="*/ 2147483647 h 812"/>
            <a:gd name="T36" fmla="*/ 2147483647 w 917"/>
            <a:gd name="T37" fmla="*/ 2147483647 h 812"/>
            <a:gd name="T38" fmla="*/ 2147483647 w 917"/>
            <a:gd name="T39" fmla="*/ 2147483647 h 812"/>
            <a:gd name="T40" fmla="*/ 2147483647 w 917"/>
            <a:gd name="T41" fmla="*/ 2147483647 h 812"/>
            <a:gd name="T42" fmla="*/ 2147483647 w 917"/>
            <a:gd name="T43" fmla="*/ 2147483647 h 812"/>
            <a:gd name="T44" fmla="*/ 2147483647 w 917"/>
            <a:gd name="T45" fmla="*/ 2147483647 h 812"/>
            <a:gd name="T46" fmla="*/ 2147483647 w 917"/>
            <a:gd name="T47" fmla="*/ 2147483647 h 812"/>
            <a:gd name="T48" fmla="*/ 2147483647 w 917"/>
            <a:gd name="T49" fmla="*/ 2147483647 h 812"/>
            <a:gd name="T50" fmla="*/ 2147483647 w 917"/>
            <a:gd name="T51" fmla="*/ 2147483647 h 812"/>
            <a:gd name="T52" fmla="*/ 2147483647 w 917"/>
            <a:gd name="T53" fmla="*/ 2147483647 h 812"/>
            <a:gd name="T54" fmla="*/ 2147483647 w 917"/>
            <a:gd name="T55" fmla="*/ 2147483647 h 812"/>
            <a:gd name="T56" fmla="*/ 2147483647 w 917"/>
            <a:gd name="T57" fmla="*/ 2147483647 h 812"/>
            <a:gd name="T58" fmla="*/ 2147483647 w 917"/>
            <a:gd name="T59" fmla="*/ 2147483647 h 812"/>
            <a:gd name="T60" fmla="*/ 2147483647 w 917"/>
            <a:gd name="T61" fmla="*/ 2147483647 h 812"/>
            <a:gd name="T62" fmla="*/ 2147483647 w 917"/>
            <a:gd name="T63" fmla="*/ 2147483647 h 812"/>
            <a:gd name="T64" fmla="*/ 2147483647 w 917"/>
            <a:gd name="T65" fmla="*/ 2147483647 h 812"/>
            <a:gd name="T66" fmla="*/ 2147483647 w 917"/>
            <a:gd name="T67" fmla="*/ 2147483647 h 812"/>
            <a:gd name="T68" fmla="*/ 2147483647 w 917"/>
            <a:gd name="T69" fmla="*/ 2147483647 h 812"/>
            <a:gd name="T70" fmla="*/ 2147483647 w 917"/>
            <a:gd name="T71" fmla="*/ 2147483647 h 812"/>
            <a:gd name="T72" fmla="*/ 2147483647 w 917"/>
            <a:gd name="T73" fmla="*/ 2147483647 h 812"/>
            <a:gd name="T74" fmla="*/ 2147483647 w 917"/>
            <a:gd name="T75" fmla="*/ 2147483647 h 812"/>
            <a:gd name="T76" fmla="*/ 2147483647 w 917"/>
            <a:gd name="T77" fmla="*/ 2147483647 h 812"/>
            <a:gd name="T78" fmla="*/ 2147483647 w 917"/>
            <a:gd name="T79" fmla="*/ 2147483647 h 812"/>
            <a:gd name="T80" fmla="*/ 2147483647 w 917"/>
            <a:gd name="T81" fmla="*/ 2147483647 h 812"/>
            <a:gd name="T82" fmla="*/ 2147483647 w 917"/>
            <a:gd name="T83" fmla="*/ 2147483647 h 812"/>
            <a:gd name="T84" fmla="*/ 2147483647 w 917"/>
            <a:gd name="T85" fmla="*/ 2147483647 h 812"/>
            <a:gd name="T86" fmla="*/ 2147483647 w 917"/>
            <a:gd name="T87" fmla="*/ 2147483647 h 812"/>
            <a:gd name="T88" fmla="*/ 2147483647 w 917"/>
            <a:gd name="T89" fmla="*/ 2147483647 h 812"/>
            <a:gd name="T90" fmla="*/ 2147483647 w 917"/>
            <a:gd name="T91" fmla="*/ 2147483647 h 812"/>
            <a:gd name="T92" fmla="*/ 2147483647 w 917"/>
            <a:gd name="T93" fmla="*/ 2147483647 h 812"/>
            <a:gd name="T94" fmla="*/ 2147483647 w 917"/>
            <a:gd name="T95" fmla="*/ 2147483647 h 812"/>
            <a:gd name="T96" fmla="*/ 2147483647 w 917"/>
            <a:gd name="T97" fmla="*/ 2147483647 h 812"/>
            <a:gd name="T98" fmla="*/ 2147483647 w 917"/>
            <a:gd name="T99" fmla="*/ 2147483647 h 812"/>
            <a:gd name="T100" fmla="*/ 2147483647 w 917"/>
            <a:gd name="T101" fmla="*/ 2147483647 h 812"/>
            <a:gd name="T102" fmla="*/ 2147483647 w 917"/>
            <a:gd name="T103" fmla="*/ 2147483647 h 812"/>
            <a:gd name="T104" fmla="*/ 2147483647 w 917"/>
            <a:gd name="T105" fmla="*/ 2147483647 h 812"/>
            <a:gd name="T106" fmla="*/ 0 w 917"/>
            <a:gd name="T107" fmla="*/ 2147483647 h 812"/>
            <a:gd name="T108" fmla="*/ 0 w 917"/>
            <a:gd name="T109" fmla="*/ 2147483647 h 812"/>
            <a:gd name="T110" fmla="*/ 2147483647 w 917"/>
            <a:gd name="T111" fmla="*/ 2147483647 h 812"/>
            <a:gd name="T112" fmla="*/ 2147483647 w 917"/>
            <a:gd name="T113" fmla="*/ 2147483647 h 812"/>
            <a:gd name="T114" fmla="*/ 2147483647 w 917"/>
            <a:gd name="T115" fmla="*/ 2147483647 h 812"/>
            <a:gd name="T116" fmla="*/ 2147483647 w 917"/>
            <a:gd name="T117" fmla="*/ 2147483647 h 812"/>
            <a:gd name="T118" fmla="*/ 2147483647 w 917"/>
            <a:gd name="T119" fmla="*/ 2147483647 h 812"/>
            <a:gd name="T120" fmla="*/ 2147483647 w 917"/>
            <a:gd name="T121" fmla="*/ 2147483647 h 812"/>
            <a:gd name="T122" fmla="*/ 2147483647 w 917"/>
            <a:gd name="T123" fmla="*/ 2147483647 h 812"/>
            <a:gd name="T124" fmla="*/ 2147483647 w 917"/>
            <a:gd name="T125" fmla="*/ 2147483647 h 812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60000 65536"/>
            <a:gd name="T184" fmla="*/ 0 60000 65536"/>
            <a:gd name="T185" fmla="*/ 0 60000 65536"/>
            <a:gd name="T186" fmla="*/ 0 60000 65536"/>
            <a:gd name="T187" fmla="*/ 0 60000 65536"/>
            <a:gd name="T188" fmla="*/ 0 60000 65536"/>
            <a:gd name="T189" fmla="*/ 0 w 917"/>
            <a:gd name="T190" fmla="*/ 0 h 812"/>
            <a:gd name="T191" fmla="*/ 917 w 917"/>
            <a:gd name="T192" fmla="*/ 812 h 812"/>
          </a:gdLst>
          <a:ahLst/>
          <a:cxnLst>
            <a:cxn ang="T126">
              <a:pos x="T0" y="T1"/>
            </a:cxn>
            <a:cxn ang="T127">
              <a:pos x="T2" y="T3"/>
            </a:cxn>
            <a:cxn ang="T128">
              <a:pos x="T4" y="T5"/>
            </a:cxn>
            <a:cxn ang="T129">
              <a:pos x="T6" y="T7"/>
            </a:cxn>
            <a:cxn ang="T130">
              <a:pos x="T8" y="T9"/>
            </a:cxn>
            <a:cxn ang="T131">
              <a:pos x="T10" y="T11"/>
            </a:cxn>
            <a:cxn ang="T132">
              <a:pos x="T12" y="T13"/>
            </a:cxn>
            <a:cxn ang="T133">
              <a:pos x="T14" y="T15"/>
            </a:cxn>
            <a:cxn ang="T134">
              <a:pos x="T16" y="T17"/>
            </a:cxn>
            <a:cxn ang="T135">
              <a:pos x="T18" y="T19"/>
            </a:cxn>
            <a:cxn ang="T136">
              <a:pos x="T20" y="T21"/>
            </a:cxn>
            <a:cxn ang="T137">
              <a:pos x="T22" y="T23"/>
            </a:cxn>
            <a:cxn ang="T138">
              <a:pos x="T24" y="T25"/>
            </a:cxn>
            <a:cxn ang="T139">
              <a:pos x="T26" y="T27"/>
            </a:cxn>
            <a:cxn ang="T140">
              <a:pos x="T28" y="T29"/>
            </a:cxn>
            <a:cxn ang="T141">
              <a:pos x="T30" y="T31"/>
            </a:cxn>
            <a:cxn ang="T142">
              <a:pos x="T32" y="T33"/>
            </a:cxn>
            <a:cxn ang="T143">
              <a:pos x="T34" y="T35"/>
            </a:cxn>
            <a:cxn ang="T144">
              <a:pos x="T36" y="T37"/>
            </a:cxn>
            <a:cxn ang="T145">
              <a:pos x="T38" y="T39"/>
            </a:cxn>
            <a:cxn ang="T146">
              <a:pos x="T40" y="T41"/>
            </a:cxn>
            <a:cxn ang="T147">
              <a:pos x="T42" y="T43"/>
            </a:cxn>
            <a:cxn ang="T148">
              <a:pos x="T44" y="T45"/>
            </a:cxn>
            <a:cxn ang="T149">
              <a:pos x="T46" y="T47"/>
            </a:cxn>
            <a:cxn ang="T150">
              <a:pos x="T48" y="T49"/>
            </a:cxn>
            <a:cxn ang="T151">
              <a:pos x="T50" y="T51"/>
            </a:cxn>
            <a:cxn ang="T152">
              <a:pos x="T52" y="T53"/>
            </a:cxn>
            <a:cxn ang="T153">
              <a:pos x="T54" y="T55"/>
            </a:cxn>
            <a:cxn ang="T154">
              <a:pos x="T56" y="T57"/>
            </a:cxn>
            <a:cxn ang="T155">
              <a:pos x="T58" y="T59"/>
            </a:cxn>
            <a:cxn ang="T156">
              <a:pos x="T60" y="T61"/>
            </a:cxn>
            <a:cxn ang="T157">
              <a:pos x="T62" y="T63"/>
            </a:cxn>
            <a:cxn ang="T158">
              <a:pos x="T64" y="T65"/>
            </a:cxn>
            <a:cxn ang="T159">
              <a:pos x="T66" y="T67"/>
            </a:cxn>
            <a:cxn ang="T160">
              <a:pos x="T68" y="T69"/>
            </a:cxn>
            <a:cxn ang="T161">
              <a:pos x="T70" y="T71"/>
            </a:cxn>
            <a:cxn ang="T162">
              <a:pos x="T72" y="T73"/>
            </a:cxn>
            <a:cxn ang="T163">
              <a:pos x="T74" y="T75"/>
            </a:cxn>
            <a:cxn ang="T164">
              <a:pos x="T76" y="T77"/>
            </a:cxn>
            <a:cxn ang="T165">
              <a:pos x="T78" y="T79"/>
            </a:cxn>
            <a:cxn ang="T166">
              <a:pos x="T80" y="T81"/>
            </a:cxn>
            <a:cxn ang="T167">
              <a:pos x="T82" y="T83"/>
            </a:cxn>
            <a:cxn ang="T168">
              <a:pos x="T84" y="T85"/>
            </a:cxn>
            <a:cxn ang="T169">
              <a:pos x="T86" y="T87"/>
            </a:cxn>
            <a:cxn ang="T170">
              <a:pos x="T88" y="T89"/>
            </a:cxn>
            <a:cxn ang="T171">
              <a:pos x="T90" y="T91"/>
            </a:cxn>
            <a:cxn ang="T172">
              <a:pos x="T92" y="T93"/>
            </a:cxn>
            <a:cxn ang="T173">
              <a:pos x="T94" y="T95"/>
            </a:cxn>
            <a:cxn ang="T174">
              <a:pos x="T96" y="T97"/>
            </a:cxn>
            <a:cxn ang="T175">
              <a:pos x="T98" y="T99"/>
            </a:cxn>
            <a:cxn ang="T176">
              <a:pos x="T100" y="T101"/>
            </a:cxn>
            <a:cxn ang="T177">
              <a:pos x="T102" y="T103"/>
            </a:cxn>
            <a:cxn ang="T178">
              <a:pos x="T104" y="T105"/>
            </a:cxn>
            <a:cxn ang="T179">
              <a:pos x="T106" y="T107"/>
            </a:cxn>
            <a:cxn ang="T180">
              <a:pos x="T108" y="T109"/>
            </a:cxn>
            <a:cxn ang="T181">
              <a:pos x="T110" y="T111"/>
            </a:cxn>
            <a:cxn ang="T182">
              <a:pos x="T112" y="T113"/>
            </a:cxn>
            <a:cxn ang="T183">
              <a:pos x="T114" y="T115"/>
            </a:cxn>
            <a:cxn ang="T184">
              <a:pos x="T116" y="T117"/>
            </a:cxn>
            <a:cxn ang="T185">
              <a:pos x="T118" y="T119"/>
            </a:cxn>
            <a:cxn ang="T186">
              <a:pos x="T120" y="T121"/>
            </a:cxn>
            <a:cxn ang="T187">
              <a:pos x="T122" y="T123"/>
            </a:cxn>
            <a:cxn ang="T188">
              <a:pos x="T124" y="T125"/>
            </a:cxn>
          </a:cxnLst>
          <a:rect l="T189" t="T190" r="T191" b="T192"/>
          <a:pathLst>
            <a:path w="917" h="812">
              <a:moveTo>
                <a:pt x="234" y="306"/>
              </a:moveTo>
              <a:lnTo>
                <a:pt x="248" y="298"/>
              </a:lnTo>
              <a:lnTo>
                <a:pt x="256" y="295"/>
              </a:lnTo>
              <a:lnTo>
                <a:pt x="280" y="279"/>
              </a:lnTo>
              <a:lnTo>
                <a:pt x="286" y="269"/>
              </a:lnTo>
              <a:lnTo>
                <a:pt x="286" y="268"/>
              </a:lnTo>
              <a:lnTo>
                <a:pt x="296" y="260"/>
              </a:lnTo>
              <a:lnTo>
                <a:pt x="303" y="253"/>
              </a:lnTo>
              <a:lnTo>
                <a:pt x="313" y="244"/>
              </a:lnTo>
              <a:lnTo>
                <a:pt x="326" y="239"/>
              </a:lnTo>
              <a:lnTo>
                <a:pt x="326" y="238"/>
              </a:lnTo>
              <a:lnTo>
                <a:pt x="335" y="217"/>
              </a:lnTo>
              <a:lnTo>
                <a:pt x="329" y="209"/>
              </a:lnTo>
              <a:lnTo>
                <a:pt x="337" y="186"/>
              </a:lnTo>
              <a:lnTo>
                <a:pt x="341" y="170"/>
              </a:lnTo>
              <a:lnTo>
                <a:pt x="351" y="158"/>
              </a:lnTo>
              <a:lnTo>
                <a:pt x="353" y="143"/>
              </a:lnTo>
              <a:lnTo>
                <a:pt x="357" y="120"/>
              </a:lnTo>
              <a:lnTo>
                <a:pt x="359" y="113"/>
              </a:lnTo>
              <a:lnTo>
                <a:pt x="363" y="107"/>
              </a:lnTo>
              <a:lnTo>
                <a:pt x="373" y="88"/>
              </a:lnTo>
              <a:lnTo>
                <a:pt x="376" y="62"/>
              </a:lnTo>
              <a:lnTo>
                <a:pt x="372" y="57"/>
              </a:lnTo>
              <a:lnTo>
                <a:pt x="373" y="56"/>
              </a:lnTo>
              <a:lnTo>
                <a:pt x="375" y="33"/>
              </a:lnTo>
              <a:lnTo>
                <a:pt x="366" y="13"/>
              </a:lnTo>
              <a:lnTo>
                <a:pt x="373" y="4"/>
              </a:lnTo>
              <a:lnTo>
                <a:pt x="386" y="3"/>
              </a:lnTo>
              <a:lnTo>
                <a:pt x="393" y="0"/>
              </a:lnTo>
              <a:lnTo>
                <a:pt x="393" y="3"/>
              </a:lnTo>
              <a:lnTo>
                <a:pt x="393" y="10"/>
              </a:lnTo>
              <a:lnTo>
                <a:pt x="393" y="38"/>
              </a:lnTo>
              <a:lnTo>
                <a:pt x="393" y="42"/>
              </a:lnTo>
              <a:lnTo>
                <a:pt x="393" y="49"/>
              </a:lnTo>
              <a:lnTo>
                <a:pt x="393" y="56"/>
              </a:lnTo>
              <a:lnTo>
                <a:pt x="393" y="92"/>
              </a:lnTo>
              <a:lnTo>
                <a:pt x="393" y="96"/>
              </a:lnTo>
              <a:lnTo>
                <a:pt x="393" y="113"/>
              </a:lnTo>
              <a:lnTo>
                <a:pt x="393" y="117"/>
              </a:lnTo>
              <a:lnTo>
                <a:pt x="393" y="135"/>
              </a:lnTo>
              <a:lnTo>
                <a:pt x="393" y="146"/>
              </a:lnTo>
              <a:lnTo>
                <a:pt x="393" y="150"/>
              </a:lnTo>
              <a:lnTo>
                <a:pt x="393" y="159"/>
              </a:lnTo>
              <a:lnTo>
                <a:pt x="393" y="209"/>
              </a:lnTo>
              <a:lnTo>
                <a:pt x="393" y="212"/>
              </a:lnTo>
              <a:lnTo>
                <a:pt x="393" y="217"/>
              </a:lnTo>
              <a:lnTo>
                <a:pt x="397" y="217"/>
              </a:lnTo>
              <a:lnTo>
                <a:pt x="412" y="217"/>
              </a:lnTo>
              <a:lnTo>
                <a:pt x="418" y="217"/>
              </a:lnTo>
              <a:lnTo>
                <a:pt x="420" y="217"/>
              </a:lnTo>
              <a:lnTo>
                <a:pt x="506" y="217"/>
              </a:lnTo>
              <a:lnTo>
                <a:pt x="513" y="217"/>
              </a:lnTo>
              <a:lnTo>
                <a:pt x="525" y="217"/>
              </a:lnTo>
              <a:lnTo>
                <a:pt x="535" y="217"/>
              </a:lnTo>
              <a:lnTo>
                <a:pt x="568" y="217"/>
              </a:lnTo>
              <a:lnTo>
                <a:pt x="574" y="217"/>
              </a:lnTo>
              <a:lnTo>
                <a:pt x="588" y="217"/>
              </a:lnTo>
              <a:lnTo>
                <a:pt x="587" y="261"/>
              </a:lnTo>
              <a:lnTo>
                <a:pt x="586" y="338"/>
              </a:lnTo>
              <a:lnTo>
                <a:pt x="589" y="339"/>
              </a:lnTo>
              <a:lnTo>
                <a:pt x="606" y="323"/>
              </a:lnTo>
              <a:lnTo>
                <a:pt x="627" y="309"/>
              </a:lnTo>
              <a:lnTo>
                <a:pt x="630" y="302"/>
              </a:lnTo>
              <a:lnTo>
                <a:pt x="638" y="298"/>
              </a:lnTo>
              <a:lnTo>
                <a:pt x="664" y="273"/>
              </a:lnTo>
              <a:lnTo>
                <a:pt x="677" y="279"/>
              </a:lnTo>
              <a:lnTo>
                <a:pt x="714" y="238"/>
              </a:lnTo>
              <a:lnTo>
                <a:pt x="741" y="261"/>
              </a:lnTo>
              <a:lnTo>
                <a:pt x="748" y="260"/>
              </a:lnTo>
              <a:lnTo>
                <a:pt x="771" y="264"/>
              </a:lnTo>
              <a:lnTo>
                <a:pt x="777" y="265"/>
              </a:lnTo>
              <a:lnTo>
                <a:pt x="794" y="244"/>
              </a:lnTo>
              <a:lnTo>
                <a:pt x="794" y="238"/>
              </a:lnTo>
              <a:lnTo>
                <a:pt x="802" y="236"/>
              </a:lnTo>
              <a:lnTo>
                <a:pt x="815" y="239"/>
              </a:lnTo>
              <a:lnTo>
                <a:pt x="841" y="224"/>
              </a:lnTo>
              <a:lnTo>
                <a:pt x="860" y="240"/>
              </a:lnTo>
              <a:lnTo>
                <a:pt x="864" y="245"/>
              </a:lnTo>
              <a:lnTo>
                <a:pt x="888" y="241"/>
              </a:lnTo>
              <a:lnTo>
                <a:pt x="897" y="270"/>
              </a:lnTo>
              <a:lnTo>
                <a:pt x="911" y="288"/>
              </a:lnTo>
              <a:lnTo>
                <a:pt x="911" y="308"/>
              </a:lnTo>
              <a:lnTo>
                <a:pt x="917" y="311"/>
              </a:lnTo>
              <a:lnTo>
                <a:pt x="911" y="317"/>
              </a:lnTo>
              <a:lnTo>
                <a:pt x="907" y="328"/>
              </a:lnTo>
              <a:lnTo>
                <a:pt x="896" y="356"/>
              </a:lnTo>
              <a:lnTo>
                <a:pt x="864" y="329"/>
              </a:lnTo>
              <a:lnTo>
                <a:pt x="862" y="328"/>
              </a:lnTo>
              <a:lnTo>
                <a:pt x="858" y="324"/>
              </a:lnTo>
              <a:lnTo>
                <a:pt x="841" y="310"/>
              </a:lnTo>
              <a:lnTo>
                <a:pt x="834" y="306"/>
              </a:lnTo>
              <a:lnTo>
                <a:pt x="821" y="295"/>
              </a:lnTo>
              <a:lnTo>
                <a:pt x="815" y="288"/>
              </a:lnTo>
              <a:lnTo>
                <a:pt x="810" y="285"/>
              </a:lnTo>
              <a:lnTo>
                <a:pt x="799" y="277"/>
              </a:lnTo>
              <a:lnTo>
                <a:pt x="794" y="315"/>
              </a:lnTo>
              <a:lnTo>
                <a:pt x="781" y="357"/>
              </a:lnTo>
              <a:lnTo>
                <a:pt x="769" y="366"/>
              </a:lnTo>
              <a:lnTo>
                <a:pt x="763" y="373"/>
              </a:lnTo>
              <a:lnTo>
                <a:pt x="757" y="387"/>
              </a:lnTo>
              <a:lnTo>
                <a:pt x="724" y="406"/>
              </a:lnTo>
              <a:lnTo>
                <a:pt x="702" y="443"/>
              </a:lnTo>
              <a:lnTo>
                <a:pt x="678" y="422"/>
              </a:lnTo>
              <a:lnTo>
                <a:pt x="677" y="424"/>
              </a:lnTo>
              <a:lnTo>
                <a:pt x="666" y="443"/>
              </a:lnTo>
              <a:lnTo>
                <a:pt x="638" y="503"/>
              </a:lnTo>
              <a:lnTo>
                <a:pt x="638" y="505"/>
              </a:lnTo>
              <a:lnTo>
                <a:pt x="635" y="510"/>
              </a:lnTo>
              <a:lnTo>
                <a:pt x="631" y="515"/>
              </a:lnTo>
              <a:lnTo>
                <a:pt x="619" y="526"/>
              </a:lnTo>
              <a:lnTo>
                <a:pt x="588" y="515"/>
              </a:lnTo>
              <a:lnTo>
                <a:pt x="570" y="490"/>
              </a:lnTo>
              <a:lnTo>
                <a:pt x="556" y="483"/>
              </a:lnTo>
              <a:lnTo>
                <a:pt x="540" y="535"/>
              </a:lnTo>
              <a:lnTo>
                <a:pt x="537" y="539"/>
              </a:lnTo>
              <a:lnTo>
                <a:pt x="528" y="560"/>
              </a:lnTo>
              <a:lnTo>
                <a:pt x="513" y="573"/>
              </a:lnTo>
              <a:lnTo>
                <a:pt x="501" y="593"/>
              </a:lnTo>
              <a:lnTo>
                <a:pt x="497" y="607"/>
              </a:lnTo>
              <a:lnTo>
                <a:pt x="491" y="623"/>
              </a:lnTo>
              <a:lnTo>
                <a:pt x="490" y="625"/>
              </a:lnTo>
              <a:lnTo>
                <a:pt x="479" y="634"/>
              </a:lnTo>
              <a:lnTo>
                <a:pt x="460" y="652"/>
              </a:lnTo>
              <a:lnTo>
                <a:pt x="447" y="675"/>
              </a:lnTo>
              <a:lnTo>
                <a:pt x="433" y="696"/>
              </a:lnTo>
              <a:lnTo>
                <a:pt x="437" y="703"/>
              </a:lnTo>
              <a:lnTo>
                <a:pt x="444" y="707"/>
              </a:lnTo>
              <a:lnTo>
                <a:pt x="449" y="711"/>
              </a:lnTo>
              <a:lnTo>
                <a:pt x="444" y="717"/>
              </a:lnTo>
              <a:lnTo>
                <a:pt x="431" y="741"/>
              </a:lnTo>
              <a:lnTo>
                <a:pt x="402" y="759"/>
              </a:lnTo>
              <a:lnTo>
                <a:pt x="397" y="749"/>
              </a:lnTo>
              <a:lnTo>
                <a:pt x="346" y="771"/>
              </a:lnTo>
              <a:lnTo>
                <a:pt x="329" y="758"/>
              </a:lnTo>
              <a:lnTo>
                <a:pt x="325" y="769"/>
              </a:lnTo>
              <a:lnTo>
                <a:pt x="331" y="778"/>
              </a:lnTo>
              <a:lnTo>
                <a:pt x="307" y="790"/>
              </a:lnTo>
              <a:lnTo>
                <a:pt x="307" y="788"/>
              </a:lnTo>
              <a:lnTo>
                <a:pt x="280" y="795"/>
              </a:lnTo>
              <a:lnTo>
                <a:pt x="261" y="803"/>
              </a:lnTo>
              <a:lnTo>
                <a:pt x="256" y="800"/>
              </a:lnTo>
              <a:lnTo>
                <a:pt x="244" y="788"/>
              </a:lnTo>
              <a:lnTo>
                <a:pt x="235" y="780"/>
              </a:lnTo>
              <a:lnTo>
                <a:pt x="220" y="795"/>
              </a:lnTo>
              <a:lnTo>
                <a:pt x="176" y="812"/>
              </a:lnTo>
              <a:lnTo>
                <a:pt x="164" y="803"/>
              </a:lnTo>
              <a:lnTo>
                <a:pt x="129" y="770"/>
              </a:lnTo>
              <a:lnTo>
                <a:pt x="125" y="741"/>
              </a:lnTo>
              <a:lnTo>
                <a:pt x="130" y="738"/>
              </a:lnTo>
              <a:lnTo>
                <a:pt x="122" y="733"/>
              </a:lnTo>
              <a:lnTo>
                <a:pt x="93" y="729"/>
              </a:lnTo>
              <a:lnTo>
                <a:pt x="93" y="723"/>
              </a:lnTo>
              <a:lnTo>
                <a:pt x="54" y="684"/>
              </a:lnTo>
              <a:lnTo>
                <a:pt x="55" y="682"/>
              </a:lnTo>
              <a:lnTo>
                <a:pt x="46" y="669"/>
              </a:lnTo>
              <a:lnTo>
                <a:pt x="38" y="657"/>
              </a:lnTo>
              <a:lnTo>
                <a:pt x="38" y="652"/>
              </a:lnTo>
              <a:lnTo>
                <a:pt x="22" y="640"/>
              </a:lnTo>
              <a:lnTo>
                <a:pt x="23" y="636"/>
              </a:lnTo>
              <a:lnTo>
                <a:pt x="24" y="623"/>
              </a:lnTo>
              <a:lnTo>
                <a:pt x="0" y="591"/>
              </a:lnTo>
              <a:lnTo>
                <a:pt x="3" y="565"/>
              </a:lnTo>
              <a:lnTo>
                <a:pt x="7" y="564"/>
              </a:lnTo>
              <a:lnTo>
                <a:pt x="5" y="535"/>
              </a:lnTo>
              <a:lnTo>
                <a:pt x="5" y="523"/>
              </a:lnTo>
              <a:lnTo>
                <a:pt x="22" y="525"/>
              </a:lnTo>
              <a:lnTo>
                <a:pt x="46" y="520"/>
              </a:lnTo>
              <a:lnTo>
                <a:pt x="59" y="505"/>
              </a:lnTo>
              <a:lnTo>
                <a:pt x="63" y="485"/>
              </a:lnTo>
              <a:lnTo>
                <a:pt x="68" y="481"/>
              </a:lnTo>
              <a:lnTo>
                <a:pt x="69" y="481"/>
              </a:lnTo>
              <a:lnTo>
                <a:pt x="76" y="483"/>
              </a:lnTo>
              <a:lnTo>
                <a:pt x="84" y="476"/>
              </a:lnTo>
              <a:lnTo>
                <a:pt x="80" y="446"/>
              </a:lnTo>
              <a:lnTo>
                <a:pt x="98" y="397"/>
              </a:lnTo>
              <a:lnTo>
                <a:pt x="107" y="387"/>
              </a:lnTo>
              <a:lnTo>
                <a:pt x="116" y="381"/>
              </a:lnTo>
              <a:lnTo>
                <a:pt x="133" y="416"/>
              </a:lnTo>
              <a:lnTo>
                <a:pt x="140" y="415"/>
              </a:lnTo>
              <a:lnTo>
                <a:pt x="153" y="401"/>
              </a:lnTo>
              <a:lnTo>
                <a:pt x="163" y="364"/>
              </a:lnTo>
              <a:lnTo>
                <a:pt x="164" y="357"/>
              </a:lnTo>
              <a:lnTo>
                <a:pt x="163" y="348"/>
              </a:lnTo>
              <a:lnTo>
                <a:pt x="161" y="344"/>
              </a:lnTo>
              <a:lnTo>
                <a:pt x="163" y="343"/>
              </a:lnTo>
              <a:lnTo>
                <a:pt x="168" y="336"/>
              </a:lnTo>
              <a:lnTo>
                <a:pt x="173" y="328"/>
              </a:lnTo>
              <a:lnTo>
                <a:pt x="196" y="324"/>
              </a:lnTo>
              <a:lnTo>
                <a:pt x="209" y="298"/>
              </a:lnTo>
              <a:lnTo>
                <a:pt x="234" y="306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pPr algn="ctr"/>
          <a:endParaRPr lang="en-US" sz="800" b="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21</xdr:col>
      <xdr:colOff>507873</xdr:colOff>
      <xdr:row>9</xdr:row>
      <xdr:rowOff>588</xdr:rowOff>
    </xdr:from>
    <xdr:to>
      <xdr:col>22</xdr:col>
      <xdr:colOff>434055</xdr:colOff>
      <xdr:row>12</xdr:row>
      <xdr:rowOff>13205</xdr:rowOff>
    </xdr:to>
    <xdr:sp macro="" textlink="">
      <xdr:nvSpPr>
        <xdr:cNvPr id="46" name="S_WI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>
          <a:spLocks/>
        </xdr:cNvSpPr>
      </xdr:nvSpPr>
      <xdr:spPr bwMode="auto">
        <a:xfrm>
          <a:off x="3317748" y="1753188"/>
          <a:ext cx="535782" cy="698417"/>
        </a:xfrm>
        <a:custGeom>
          <a:avLst/>
          <a:gdLst>
            <a:gd name="T0" fmla="*/ 2147483647 w 1106"/>
            <a:gd name="T1" fmla="*/ 2147483647 h 1055"/>
            <a:gd name="T2" fmla="*/ 2147483647 w 1106"/>
            <a:gd name="T3" fmla="*/ 2147483647 h 1055"/>
            <a:gd name="T4" fmla="*/ 2147483647 w 1106"/>
            <a:gd name="T5" fmla="*/ 2147483647 h 1055"/>
            <a:gd name="T6" fmla="*/ 2147483647 w 1106"/>
            <a:gd name="T7" fmla="*/ 2147483647 h 1055"/>
            <a:gd name="T8" fmla="*/ 2147483647 w 1106"/>
            <a:gd name="T9" fmla="*/ 2147483647 h 1055"/>
            <a:gd name="T10" fmla="*/ 2147483647 w 1106"/>
            <a:gd name="T11" fmla="*/ 2147483647 h 1055"/>
            <a:gd name="T12" fmla="*/ 2147483647 w 1106"/>
            <a:gd name="T13" fmla="*/ 2147483647 h 1055"/>
            <a:gd name="T14" fmla="*/ 2147483647 w 1106"/>
            <a:gd name="T15" fmla="*/ 2147483647 h 1055"/>
            <a:gd name="T16" fmla="*/ 2147483647 w 1106"/>
            <a:gd name="T17" fmla="*/ 2147483647 h 1055"/>
            <a:gd name="T18" fmla="*/ 2147483647 w 1106"/>
            <a:gd name="T19" fmla="*/ 2147483647 h 1055"/>
            <a:gd name="T20" fmla="*/ 2147483647 w 1106"/>
            <a:gd name="T21" fmla="*/ 2147483647 h 1055"/>
            <a:gd name="T22" fmla="*/ 2147483647 w 1106"/>
            <a:gd name="T23" fmla="*/ 2147483647 h 1055"/>
            <a:gd name="T24" fmla="*/ 2147483647 w 1106"/>
            <a:gd name="T25" fmla="*/ 2147483647 h 1055"/>
            <a:gd name="T26" fmla="*/ 2147483647 w 1106"/>
            <a:gd name="T27" fmla="*/ 2147483647 h 1055"/>
            <a:gd name="T28" fmla="*/ 2147483647 w 1106"/>
            <a:gd name="T29" fmla="*/ 2147483647 h 1055"/>
            <a:gd name="T30" fmla="*/ 2147483647 w 1106"/>
            <a:gd name="T31" fmla="*/ 2147483647 h 1055"/>
            <a:gd name="T32" fmla="*/ 2147483647 w 1106"/>
            <a:gd name="T33" fmla="*/ 2147483647 h 1055"/>
            <a:gd name="T34" fmla="*/ 2147483647 w 1106"/>
            <a:gd name="T35" fmla="*/ 2147483647 h 1055"/>
            <a:gd name="T36" fmla="*/ 2147483647 w 1106"/>
            <a:gd name="T37" fmla="*/ 2147483647 h 1055"/>
            <a:gd name="T38" fmla="*/ 2147483647 w 1106"/>
            <a:gd name="T39" fmla="*/ 2147483647 h 1055"/>
            <a:gd name="T40" fmla="*/ 2147483647 w 1106"/>
            <a:gd name="T41" fmla="*/ 2147483647 h 1055"/>
            <a:gd name="T42" fmla="*/ 2147483647 w 1106"/>
            <a:gd name="T43" fmla="*/ 2147483647 h 1055"/>
            <a:gd name="T44" fmla="*/ 2147483647 w 1106"/>
            <a:gd name="T45" fmla="*/ 2147483647 h 1055"/>
            <a:gd name="T46" fmla="*/ 2147483647 w 1106"/>
            <a:gd name="T47" fmla="*/ 2147483647 h 1055"/>
            <a:gd name="T48" fmla="*/ 2147483647 w 1106"/>
            <a:gd name="T49" fmla="*/ 2147483647 h 1055"/>
            <a:gd name="T50" fmla="*/ 2147483647 w 1106"/>
            <a:gd name="T51" fmla="*/ 2147483647 h 1055"/>
            <a:gd name="T52" fmla="*/ 2147483647 w 1106"/>
            <a:gd name="T53" fmla="*/ 2147483647 h 1055"/>
            <a:gd name="T54" fmla="*/ 2147483647 w 1106"/>
            <a:gd name="T55" fmla="*/ 2147483647 h 1055"/>
            <a:gd name="T56" fmla="*/ 2147483647 w 1106"/>
            <a:gd name="T57" fmla="*/ 2147483647 h 1055"/>
            <a:gd name="T58" fmla="*/ 2147483647 w 1106"/>
            <a:gd name="T59" fmla="*/ 2147483647 h 1055"/>
            <a:gd name="T60" fmla="*/ 2147483647 w 1106"/>
            <a:gd name="T61" fmla="*/ 2147483647 h 1055"/>
            <a:gd name="T62" fmla="*/ 2147483647 w 1106"/>
            <a:gd name="T63" fmla="*/ 2147483647 h 1055"/>
            <a:gd name="T64" fmla="*/ 2147483647 w 1106"/>
            <a:gd name="T65" fmla="*/ 2147483647 h 1055"/>
            <a:gd name="T66" fmla="*/ 2147483647 w 1106"/>
            <a:gd name="T67" fmla="*/ 2147483647 h 1055"/>
            <a:gd name="T68" fmla="*/ 2147483647 w 1106"/>
            <a:gd name="T69" fmla="*/ 2147483647 h 1055"/>
            <a:gd name="T70" fmla="*/ 2147483647 w 1106"/>
            <a:gd name="T71" fmla="*/ 2147483647 h 1055"/>
            <a:gd name="T72" fmla="*/ 2147483647 w 1106"/>
            <a:gd name="T73" fmla="*/ 2147483647 h 1055"/>
            <a:gd name="T74" fmla="*/ 2147483647 w 1106"/>
            <a:gd name="T75" fmla="*/ 2147483647 h 1055"/>
            <a:gd name="T76" fmla="*/ 2147483647 w 1106"/>
            <a:gd name="T77" fmla="*/ 2147483647 h 1055"/>
            <a:gd name="T78" fmla="*/ 2147483647 w 1106"/>
            <a:gd name="T79" fmla="*/ 2147483647 h 1055"/>
            <a:gd name="T80" fmla="*/ 2147483647 w 1106"/>
            <a:gd name="T81" fmla="*/ 2147483647 h 1055"/>
            <a:gd name="T82" fmla="*/ 2147483647 w 1106"/>
            <a:gd name="T83" fmla="*/ 2147483647 h 1055"/>
            <a:gd name="T84" fmla="*/ 2147483647 w 1106"/>
            <a:gd name="T85" fmla="*/ 2147483647 h 1055"/>
            <a:gd name="T86" fmla="*/ 2147483647 w 1106"/>
            <a:gd name="T87" fmla="*/ 2147483647 h 1055"/>
            <a:gd name="T88" fmla="*/ 2147483647 w 1106"/>
            <a:gd name="T89" fmla="*/ 2147483647 h 1055"/>
            <a:gd name="T90" fmla="*/ 2147483647 w 1106"/>
            <a:gd name="T91" fmla="*/ 2147483647 h 1055"/>
            <a:gd name="T92" fmla="*/ 2147483647 w 1106"/>
            <a:gd name="T93" fmla="*/ 2147483647 h 1055"/>
            <a:gd name="T94" fmla="*/ 2147483647 w 1106"/>
            <a:gd name="T95" fmla="*/ 2147483647 h 1055"/>
            <a:gd name="T96" fmla="*/ 2147483647 w 1106"/>
            <a:gd name="T97" fmla="*/ 2147483647 h 1055"/>
            <a:gd name="T98" fmla="*/ 2147483647 w 1106"/>
            <a:gd name="T99" fmla="*/ 2147483647 h 1055"/>
            <a:gd name="T100" fmla="*/ 2147483647 w 1106"/>
            <a:gd name="T101" fmla="*/ 2147483647 h 1055"/>
            <a:gd name="T102" fmla="*/ 2147483647 w 1106"/>
            <a:gd name="T103" fmla="*/ 2147483647 h 1055"/>
            <a:gd name="T104" fmla="*/ 2147483647 w 1106"/>
            <a:gd name="T105" fmla="*/ 2147483647 h 1055"/>
            <a:gd name="T106" fmla="*/ 2147483647 w 1106"/>
            <a:gd name="T107" fmla="*/ 2147483647 h 1055"/>
            <a:gd name="T108" fmla="*/ 2147483647 w 1106"/>
            <a:gd name="T109" fmla="*/ 2147483647 h 1055"/>
            <a:gd name="T110" fmla="*/ 2147483647 w 1106"/>
            <a:gd name="T111" fmla="*/ 2147483647 h 1055"/>
            <a:gd name="T112" fmla="*/ 2147483647 w 1106"/>
            <a:gd name="T113" fmla="*/ 2147483647 h 1055"/>
            <a:gd name="T114" fmla="*/ 2147483647 w 1106"/>
            <a:gd name="T115" fmla="*/ 2147483647 h 1055"/>
            <a:gd name="T116" fmla="*/ 2147483647 w 1106"/>
            <a:gd name="T117" fmla="*/ 2147483647 h 1055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w 1106"/>
            <a:gd name="T178" fmla="*/ 0 h 1055"/>
            <a:gd name="T179" fmla="*/ 1106 w 1106"/>
            <a:gd name="T180" fmla="*/ 1055 h 1055"/>
          </a:gdLst>
          <a:ahLst/>
          <a:cxnLst>
            <a:cxn ang="T118">
              <a:pos x="T0" y="T1"/>
            </a:cxn>
            <a:cxn ang="T119">
              <a:pos x="T2" y="T3"/>
            </a:cxn>
            <a:cxn ang="T120">
              <a:pos x="T4" y="T5"/>
            </a:cxn>
            <a:cxn ang="T121">
              <a:pos x="T6" y="T7"/>
            </a:cxn>
            <a:cxn ang="T122">
              <a:pos x="T8" y="T9"/>
            </a:cxn>
            <a:cxn ang="T123">
              <a:pos x="T10" y="T11"/>
            </a:cxn>
            <a:cxn ang="T124">
              <a:pos x="T12" y="T13"/>
            </a:cxn>
            <a:cxn ang="T125">
              <a:pos x="T14" y="T15"/>
            </a:cxn>
            <a:cxn ang="T126">
              <a:pos x="T16" y="T17"/>
            </a:cxn>
            <a:cxn ang="T127">
              <a:pos x="T18" y="T19"/>
            </a:cxn>
            <a:cxn ang="T128">
              <a:pos x="T20" y="T21"/>
            </a:cxn>
            <a:cxn ang="T129">
              <a:pos x="T22" y="T23"/>
            </a:cxn>
            <a:cxn ang="T130">
              <a:pos x="T24" y="T25"/>
            </a:cxn>
            <a:cxn ang="T131">
              <a:pos x="T26" y="T27"/>
            </a:cxn>
            <a:cxn ang="T132">
              <a:pos x="T28" y="T29"/>
            </a:cxn>
            <a:cxn ang="T133">
              <a:pos x="T30" y="T31"/>
            </a:cxn>
            <a:cxn ang="T134">
              <a:pos x="T32" y="T33"/>
            </a:cxn>
            <a:cxn ang="T135">
              <a:pos x="T34" y="T35"/>
            </a:cxn>
            <a:cxn ang="T136">
              <a:pos x="T36" y="T37"/>
            </a:cxn>
            <a:cxn ang="T137">
              <a:pos x="T38" y="T39"/>
            </a:cxn>
            <a:cxn ang="T138">
              <a:pos x="T40" y="T41"/>
            </a:cxn>
            <a:cxn ang="T139">
              <a:pos x="T42" y="T43"/>
            </a:cxn>
            <a:cxn ang="T140">
              <a:pos x="T44" y="T45"/>
            </a:cxn>
            <a:cxn ang="T141">
              <a:pos x="T46" y="T47"/>
            </a:cxn>
            <a:cxn ang="T142">
              <a:pos x="T48" y="T49"/>
            </a:cxn>
            <a:cxn ang="T143">
              <a:pos x="T50" y="T51"/>
            </a:cxn>
            <a:cxn ang="T144">
              <a:pos x="T52" y="T53"/>
            </a:cxn>
            <a:cxn ang="T145">
              <a:pos x="T54" y="T55"/>
            </a:cxn>
            <a:cxn ang="T146">
              <a:pos x="T56" y="T57"/>
            </a:cxn>
            <a:cxn ang="T147">
              <a:pos x="T58" y="T59"/>
            </a:cxn>
            <a:cxn ang="T148">
              <a:pos x="T60" y="T61"/>
            </a:cxn>
            <a:cxn ang="T149">
              <a:pos x="T62" y="T63"/>
            </a:cxn>
            <a:cxn ang="T150">
              <a:pos x="T64" y="T65"/>
            </a:cxn>
            <a:cxn ang="T151">
              <a:pos x="T66" y="T67"/>
            </a:cxn>
            <a:cxn ang="T152">
              <a:pos x="T68" y="T69"/>
            </a:cxn>
            <a:cxn ang="T153">
              <a:pos x="T70" y="T71"/>
            </a:cxn>
            <a:cxn ang="T154">
              <a:pos x="T72" y="T73"/>
            </a:cxn>
            <a:cxn ang="T155">
              <a:pos x="T74" y="T75"/>
            </a:cxn>
            <a:cxn ang="T156">
              <a:pos x="T76" y="T77"/>
            </a:cxn>
            <a:cxn ang="T157">
              <a:pos x="T78" y="T79"/>
            </a:cxn>
            <a:cxn ang="T158">
              <a:pos x="T80" y="T81"/>
            </a:cxn>
            <a:cxn ang="T159">
              <a:pos x="T82" y="T83"/>
            </a:cxn>
            <a:cxn ang="T160">
              <a:pos x="T84" y="T85"/>
            </a:cxn>
            <a:cxn ang="T161">
              <a:pos x="T86" y="T87"/>
            </a:cxn>
            <a:cxn ang="T162">
              <a:pos x="T88" y="T89"/>
            </a:cxn>
            <a:cxn ang="T163">
              <a:pos x="T90" y="T91"/>
            </a:cxn>
            <a:cxn ang="T164">
              <a:pos x="T92" y="T93"/>
            </a:cxn>
            <a:cxn ang="T165">
              <a:pos x="T94" y="T95"/>
            </a:cxn>
            <a:cxn ang="T166">
              <a:pos x="T96" y="T97"/>
            </a:cxn>
            <a:cxn ang="T167">
              <a:pos x="T98" y="T99"/>
            </a:cxn>
            <a:cxn ang="T168">
              <a:pos x="T100" y="T101"/>
            </a:cxn>
            <a:cxn ang="T169">
              <a:pos x="T102" y="T103"/>
            </a:cxn>
            <a:cxn ang="T170">
              <a:pos x="T104" y="T105"/>
            </a:cxn>
            <a:cxn ang="T171">
              <a:pos x="T106" y="T107"/>
            </a:cxn>
            <a:cxn ang="T172">
              <a:pos x="T108" y="T109"/>
            </a:cxn>
            <a:cxn ang="T173">
              <a:pos x="T110" y="T111"/>
            </a:cxn>
            <a:cxn ang="T174">
              <a:pos x="T112" y="T113"/>
            </a:cxn>
            <a:cxn ang="T175">
              <a:pos x="T114" y="T115"/>
            </a:cxn>
            <a:cxn ang="T176">
              <a:pos x="T116" y="T117"/>
            </a:cxn>
          </a:cxnLst>
          <a:rect l="T177" t="T178" r="T179" b="T180"/>
          <a:pathLst>
            <a:path w="1106" h="1055">
              <a:moveTo>
                <a:pt x="768" y="1055"/>
              </a:moveTo>
              <a:lnTo>
                <a:pt x="764" y="1055"/>
              </a:lnTo>
              <a:lnTo>
                <a:pt x="750" y="1055"/>
              </a:lnTo>
              <a:lnTo>
                <a:pt x="738" y="1054"/>
              </a:lnTo>
              <a:lnTo>
                <a:pt x="719" y="1054"/>
              </a:lnTo>
              <a:lnTo>
                <a:pt x="680" y="1054"/>
              </a:lnTo>
              <a:lnTo>
                <a:pt x="658" y="1053"/>
              </a:lnTo>
              <a:lnTo>
                <a:pt x="657" y="1053"/>
              </a:lnTo>
              <a:lnTo>
                <a:pt x="652" y="1053"/>
              </a:lnTo>
              <a:lnTo>
                <a:pt x="651" y="1053"/>
              </a:lnTo>
              <a:lnTo>
                <a:pt x="633" y="1053"/>
              </a:lnTo>
              <a:lnTo>
                <a:pt x="610" y="1052"/>
              </a:lnTo>
              <a:lnTo>
                <a:pt x="570" y="1052"/>
              </a:lnTo>
              <a:lnTo>
                <a:pt x="562" y="1052"/>
              </a:lnTo>
              <a:lnTo>
                <a:pt x="553" y="1052"/>
              </a:lnTo>
              <a:lnTo>
                <a:pt x="530" y="1052"/>
              </a:lnTo>
              <a:lnTo>
                <a:pt x="514" y="1051"/>
              </a:lnTo>
              <a:lnTo>
                <a:pt x="460" y="1052"/>
              </a:lnTo>
              <a:lnTo>
                <a:pt x="450" y="1052"/>
              </a:lnTo>
              <a:lnTo>
                <a:pt x="430" y="1052"/>
              </a:lnTo>
              <a:lnTo>
                <a:pt x="420" y="1052"/>
              </a:lnTo>
              <a:lnTo>
                <a:pt x="408" y="1024"/>
              </a:lnTo>
              <a:lnTo>
                <a:pt x="399" y="1018"/>
              </a:lnTo>
              <a:lnTo>
                <a:pt x="372" y="1012"/>
              </a:lnTo>
              <a:lnTo>
                <a:pt x="341" y="994"/>
              </a:lnTo>
              <a:lnTo>
                <a:pt x="337" y="964"/>
              </a:lnTo>
              <a:lnTo>
                <a:pt x="323" y="938"/>
              </a:lnTo>
              <a:lnTo>
                <a:pt x="323" y="935"/>
              </a:lnTo>
              <a:lnTo>
                <a:pt x="320" y="917"/>
              </a:lnTo>
              <a:lnTo>
                <a:pt x="320" y="916"/>
              </a:lnTo>
              <a:lnTo>
                <a:pt x="342" y="876"/>
              </a:lnTo>
              <a:lnTo>
                <a:pt x="315" y="839"/>
              </a:lnTo>
              <a:lnTo>
                <a:pt x="314" y="835"/>
              </a:lnTo>
              <a:lnTo>
                <a:pt x="312" y="817"/>
              </a:lnTo>
              <a:lnTo>
                <a:pt x="312" y="816"/>
              </a:lnTo>
              <a:lnTo>
                <a:pt x="309" y="797"/>
              </a:lnTo>
              <a:lnTo>
                <a:pt x="302" y="789"/>
              </a:lnTo>
              <a:lnTo>
                <a:pt x="305" y="764"/>
              </a:lnTo>
              <a:lnTo>
                <a:pt x="306" y="755"/>
              </a:lnTo>
              <a:lnTo>
                <a:pt x="306" y="751"/>
              </a:lnTo>
              <a:lnTo>
                <a:pt x="299" y="735"/>
              </a:lnTo>
              <a:lnTo>
                <a:pt x="297" y="733"/>
              </a:lnTo>
              <a:lnTo>
                <a:pt x="282" y="711"/>
              </a:lnTo>
              <a:lnTo>
                <a:pt x="272" y="703"/>
              </a:lnTo>
              <a:lnTo>
                <a:pt x="270" y="698"/>
              </a:lnTo>
              <a:lnTo>
                <a:pt x="259" y="695"/>
              </a:lnTo>
              <a:lnTo>
                <a:pt x="248" y="693"/>
              </a:lnTo>
              <a:lnTo>
                <a:pt x="236" y="686"/>
              </a:lnTo>
              <a:lnTo>
                <a:pt x="219" y="670"/>
              </a:lnTo>
              <a:lnTo>
                <a:pt x="192" y="653"/>
              </a:lnTo>
              <a:lnTo>
                <a:pt x="187" y="640"/>
              </a:lnTo>
              <a:lnTo>
                <a:pt x="165" y="610"/>
              </a:lnTo>
              <a:lnTo>
                <a:pt x="149" y="602"/>
              </a:lnTo>
              <a:lnTo>
                <a:pt x="142" y="599"/>
              </a:lnTo>
              <a:lnTo>
                <a:pt x="124" y="595"/>
              </a:lnTo>
              <a:lnTo>
                <a:pt x="119" y="591"/>
              </a:lnTo>
              <a:lnTo>
                <a:pt x="109" y="581"/>
              </a:lnTo>
              <a:lnTo>
                <a:pt x="107" y="572"/>
              </a:lnTo>
              <a:lnTo>
                <a:pt x="107" y="571"/>
              </a:lnTo>
              <a:lnTo>
                <a:pt x="72" y="565"/>
              </a:lnTo>
              <a:lnTo>
                <a:pt x="35" y="536"/>
              </a:lnTo>
              <a:lnTo>
                <a:pt x="28" y="530"/>
              </a:lnTo>
              <a:lnTo>
                <a:pt x="16" y="522"/>
              </a:lnTo>
              <a:lnTo>
                <a:pt x="22" y="495"/>
              </a:lnTo>
              <a:lnTo>
                <a:pt x="21" y="462"/>
              </a:lnTo>
              <a:lnTo>
                <a:pt x="26" y="433"/>
              </a:lnTo>
              <a:lnTo>
                <a:pt x="24" y="413"/>
              </a:lnTo>
              <a:lnTo>
                <a:pt x="25" y="411"/>
              </a:lnTo>
              <a:lnTo>
                <a:pt x="23" y="403"/>
              </a:lnTo>
              <a:lnTo>
                <a:pt x="25" y="393"/>
              </a:lnTo>
              <a:lnTo>
                <a:pt x="33" y="344"/>
              </a:lnTo>
              <a:lnTo>
                <a:pt x="25" y="331"/>
              </a:lnTo>
              <a:lnTo>
                <a:pt x="0" y="310"/>
              </a:lnTo>
              <a:lnTo>
                <a:pt x="7" y="291"/>
              </a:lnTo>
              <a:lnTo>
                <a:pt x="8" y="290"/>
              </a:lnTo>
              <a:lnTo>
                <a:pt x="25" y="264"/>
              </a:lnTo>
              <a:lnTo>
                <a:pt x="111" y="208"/>
              </a:lnTo>
              <a:lnTo>
                <a:pt x="111" y="189"/>
              </a:lnTo>
              <a:lnTo>
                <a:pt x="111" y="128"/>
              </a:lnTo>
              <a:lnTo>
                <a:pt x="111" y="108"/>
              </a:lnTo>
              <a:lnTo>
                <a:pt x="111" y="79"/>
              </a:lnTo>
              <a:lnTo>
                <a:pt x="111" y="69"/>
              </a:lnTo>
              <a:lnTo>
                <a:pt x="118" y="71"/>
              </a:lnTo>
              <a:lnTo>
                <a:pt x="148" y="49"/>
              </a:lnTo>
              <a:lnTo>
                <a:pt x="164" y="58"/>
              </a:lnTo>
              <a:lnTo>
                <a:pt x="165" y="61"/>
              </a:lnTo>
              <a:lnTo>
                <a:pt x="203" y="63"/>
              </a:lnTo>
              <a:lnTo>
                <a:pt x="249" y="48"/>
              </a:lnTo>
              <a:lnTo>
                <a:pt x="282" y="39"/>
              </a:lnTo>
              <a:lnTo>
                <a:pt x="315" y="20"/>
              </a:lnTo>
              <a:lnTo>
                <a:pt x="329" y="24"/>
              </a:lnTo>
              <a:lnTo>
                <a:pt x="376" y="0"/>
              </a:lnTo>
              <a:lnTo>
                <a:pt x="396" y="20"/>
              </a:lnTo>
              <a:lnTo>
                <a:pt x="374" y="49"/>
              </a:lnTo>
              <a:lnTo>
                <a:pt x="376" y="66"/>
              </a:lnTo>
              <a:lnTo>
                <a:pt x="367" y="79"/>
              </a:lnTo>
              <a:lnTo>
                <a:pt x="367" y="87"/>
              </a:lnTo>
              <a:lnTo>
                <a:pt x="391" y="79"/>
              </a:lnTo>
              <a:lnTo>
                <a:pt x="399" y="61"/>
              </a:lnTo>
              <a:lnTo>
                <a:pt x="436" y="88"/>
              </a:lnTo>
              <a:lnTo>
                <a:pt x="446" y="87"/>
              </a:lnTo>
              <a:lnTo>
                <a:pt x="458" y="94"/>
              </a:lnTo>
              <a:lnTo>
                <a:pt x="462" y="93"/>
              </a:lnTo>
              <a:lnTo>
                <a:pt x="499" y="108"/>
              </a:lnTo>
              <a:lnTo>
                <a:pt x="516" y="140"/>
              </a:lnTo>
              <a:lnTo>
                <a:pt x="553" y="155"/>
              </a:lnTo>
              <a:lnTo>
                <a:pt x="567" y="158"/>
              </a:lnTo>
              <a:lnTo>
                <a:pt x="709" y="193"/>
              </a:lnTo>
              <a:lnTo>
                <a:pt x="728" y="203"/>
              </a:lnTo>
              <a:lnTo>
                <a:pt x="739" y="208"/>
              </a:lnTo>
              <a:lnTo>
                <a:pt x="756" y="218"/>
              </a:lnTo>
              <a:lnTo>
                <a:pt x="775" y="220"/>
              </a:lnTo>
              <a:lnTo>
                <a:pt x="786" y="223"/>
              </a:lnTo>
              <a:lnTo>
                <a:pt x="797" y="229"/>
              </a:lnTo>
              <a:lnTo>
                <a:pt x="820" y="228"/>
              </a:lnTo>
              <a:lnTo>
                <a:pt x="866" y="235"/>
              </a:lnTo>
              <a:lnTo>
                <a:pt x="892" y="245"/>
              </a:lnTo>
              <a:lnTo>
                <a:pt x="901" y="255"/>
              </a:lnTo>
              <a:lnTo>
                <a:pt x="890" y="271"/>
              </a:lnTo>
              <a:lnTo>
                <a:pt x="903" y="278"/>
              </a:lnTo>
              <a:lnTo>
                <a:pt x="916" y="275"/>
              </a:lnTo>
              <a:lnTo>
                <a:pt x="916" y="280"/>
              </a:lnTo>
              <a:lnTo>
                <a:pt x="938" y="285"/>
              </a:lnTo>
              <a:lnTo>
                <a:pt x="942" y="292"/>
              </a:lnTo>
              <a:lnTo>
                <a:pt x="975" y="433"/>
              </a:lnTo>
              <a:lnTo>
                <a:pt x="992" y="439"/>
              </a:lnTo>
              <a:lnTo>
                <a:pt x="984" y="457"/>
              </a:lnTo>
              <a:lnTo>
                <a:pt x="983" y="462"/>
              </a:lnTo>
              <a:lnTo>
                <a:pt x="958" y="470"/>
              </a:lnTo>
              <a:lnTo>
                <a:pt x="919" y="525"/>
              </a:lnTo>
              <a:lnTo>
                <a:pt x="916" y="539"/>
              </a:lnTo>
              <a:lnTo>
                <a:pt x="914" y="553"/>
              </a:lnTo>
              <a:lnTo>
                <a:pt x="936" y="556"/>
              </a:lnTo>
              <a:lnTo>
                <a:pt x="958" y="546"/>
              </a:lnTo>
              <a:lnTo>
                <a:pt x="961" y="543"/>
              </a:lnTo>
              <a:lnTo>
                <a:pt x="963" y="539"/>
              </a:lnTo>
              <a:lnTo>
                <a:pt x="970" y="522"/>
              </a:lnTo>
              <a:lnTo>
                <a:pt x="1007" y="494"/>
              </a:lnTo>
              <a:lnTo>
                <a:pt x="1048" y="447"/>
              </a:lnTo>
              <a:lnTo>
                <a:pt x="1054" y="431"/>
              </a:lnTo>
              <a:lnTo>
                <a:pt x="1078" y="412"/>
              </a:lnTo>
              <a:lnTo>
                <a:pt x="1080" y="403"/>
              </a:lnTo>
              <a:lnTo>
                <a:pt x="1102" y="392"/>
              </a:lnTo>
              <a:lnTo>
                <a:pt x="1106" y="405"/>
              </a:lnTo>
              <a:lnTo>
                <a:pt x="1030" y="539"/>
              </a:lnTo>
              <a:lnTo>
                <a:pt x="1030" y="540"/>
              </a:lnTo>
              <a:lnTo>
                <a:pt x="1010" y="581"/>
              </a:lnTo>
              <a:lnTo>
                <a:pt x="999" y="621"/>
              </a:lnTo>
              <a:lnTo>
                <a:pt x="1004" y="640"/>
              </a:lnTo>
              <a:lnTo>
                <a:pt x="971" y="698"/>
              </a:lnTo>
              <a:lnTo>
                <a:pt x="964" y="724"/>
              </a:lnTo>
              <a:lnTo>
                <a:pt x="969" y="758"/>
              </a:lnTo>
              <a:lnTo>
                <a:pt x="961" y="788"/>
              </a:lnTo>
              <a:lnTo>
                <a:pt x="952" y="806"/>
              </a:lnTo>
              <a:lnTo>
                <a:pt x="952" y="817"/>
              </a:lnTo>
              <a:lnTo>
                <a:pt x="937" y="846"/>
              </a:lnTo>
              <a:lnTo>
                <a:pt x="931" y="876"/>
              </a:lnTo>
              <a:lnTo>
                <a:pt x="934" y="890"/>
              </a:lnTo>
              <a:lnTo>
                <a:pt x="933" y="905"/>
              </a:lnTo>
              <a:lnTo>
                <a:pt x="936" y="935"/>
              </a:lnTo>
              <a:lnTo>
                <a:pt x="946" y="972"/>
              </a:lnTo>
              <a:lnTo>
                <a:pt x="954" y="994"/>
              </a:lnTo>
              <a:lnTo>
                <a:pt x="950" y="1013"/>
              </a:lnTo>
              <a:lnTo>
                <a:pt x="948" y="1024"/>
              </a:lnTo>
              <a:lnTo>
                <a:pt x="951" y="1055"/>
              </a:lnTo>
              <a:lnTo>
                <a:pt x="914" y="1054"/>
              </a:lnTo>
              <a:lnTo>
                <a:pt x="890" y="1054"/>
              </a:lnTo>
              <a:lnTo>
                <a:pt x="876" y="1054"/>
              </a:lnTo>
              <a:lnTo>
                <a:pt x="866" y="1054"/>
              </a:lnTo>
              <a:lnTo>
                <a:pt x="864" y="1054"/>
              </a:lnTo>
              <a:lnTo>
                <a:pt x="857" y="1054"/>
              </a:lnTo>
              <a:lnTo>
                <a:pt x="797" y="1054"/>
              </a:lnTo>
              <a:lnTo>
                <a:pt x="787" y="1055"/>
              </a:lnTo>
              <a:lnTo>
                <a:pt x="781" y="1055"/>
              </a:lnTo>
              <a:lnTo>
                <a:pt x="773" y="1055"/>
              </a:lnTo>
              <a:lnTo>
                <a:pt x="771" y="1055"/>
              </a:lnTo>
              <a:lnTo>
                <a:pt x="768" y="1055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pPr algn="ctr"/>
          <a:endParaRPr lang="en-US" sz="800" b="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17</xdr:col>
      <xdr:colOff>83344</xdr:colOff>
      <xdr:row>7</xdr:row>
      <xdr:rowOff>138744</xdr:rowOff>
    </xdr:from>
    <xdr:to>
      <xdr:col>18</xdr:col>
      <xdr:colOff>179291</xdr:colOff>
      <xdr:row>9</xdr:row>
      <xdr:rowOff>187381</xdr:rowOff>
    </xdr:to>
    <xdr:grpSp>
      <xdr:nvGrpSpPr>
        <xdr:cNvPr id="47" name="S_WA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GrpSpPr>
          <a:grpSpLocks/>
        </xdr:cNvGrpSpPr>
      </xdr:nvGrpSpPr>
      <xdr:grpSpPr bwMode="auto">
        <a:xfrm>
          <a:off x="10504815" y="1472244"/>
          <a:ext cx="701064" cy="429637"/>
          <a:chOff x="809617" y="1298572"/>
          <a:chExt cx="1162040" cy="647699"/>
        </a:xfrm>
      </xdr:grpSpPr>
      <xdr:sp macro="" textlink="">
        <xdr:nvSpPr>
          <xdr:cNvPr id="48" name="S_WA2">
            <a:extLst>
              <a:ext uri="{FF2B5EF4-FFF2-40B4-BE49-F238E27FC236}">
                <a16:creationId xmlns:a16="http://schemas.microsoft.com/office/drawing/2014/main" id="{00000000-0008-0000-0400-000030000000}"/>
              </a:ext>
            </a:extLst>
          </xdr:cNvPr>
          <xdr:cNvSpPr>
            <a:spLocks/>
          </xdr:cNvSpPr>
        </xdr:nvSpPr>
        <xdr:spPr bwMode="auto">
          <a:xfrm>
            <a:off x="809617" y="1298572"/>
            <a:ext cx="1162040" cy="647699"/>
          </a:xfrm>
          <a:custGeom>
            <a:avLst/>
            <a:gdLst>
              <a:gd name="T0" fmla="*/ 2147483647 w 1466"/>
              <a:gd name="T1" fmla="*/ 2147483647 h 815"/>
              <a:gd name="T2" fmla="*/ 2147483647 w 1466"/>
              <a:gd name="T3" fmla="*/ 2147483647 h 815"/>
              <a:gd name="T4" fmla="*/ 2147483647 w 1466"/>
              <a:gd name="T5" fmla="*/ 2147483647 h 815"/>
              <a:gd name="T6" fmla="*/ 2147483647 w 1466"/>
              <a:gd name="T7" fmla="*/ 2147483647 h 815"/>
              <a:gd name="T8" fmla="*/ 2147483647 w 1466"/>
              <a:gd name="T9" fmla="*/ 2147483647 h 815"/>
              <a:gd name="T10" fmla="*/ 2147483647 w 1466"/>
              <a:gd name="T11" fmla="*/ 2147483647 h 815"/>
              <a:gd name="T12" fmla="*/ 2147483647 w 1466"/>
              <a:gd name="T13" fmla="*/ 2147483647 h 815"/>
              <a:gd name="T14" fmla="*/ 2147483647 w 1466"/>
              <a:gd name="T15" fmla="*/ 2147483647 h 815"/>
              <a:gd name="T16" fmla="*/ 2147483647 w 1466"/>
              <a:gd name="T17" fmla="*/ 2147483647 h 815"/>
              <a:gd name="T18" fmla="*/ 2147483647 w 1466"/>
              <a:gd name="T19" fmla="*/ 2147483647 h 815"/>
              <a:gd name="T20" fmla="*/ 2147483647 w 1466"/>
              <a:gd name="T21" fmla="*/ 2147483647 h 815"/>
              <a:gd name="T22" fmla="*/ 2147483647 w 1466"/>
              <a:gd name="T23" fmla="*/ 2147483647 h 815"/>
              <a:gd name="T24" fmla="*/ 2147483647 w 1466"/>
              <a:gd name="T25" fmla="*/ 2147483647 h 815"/>
              <a:gd name="T26" fmla="*/ 2147483647 w 1466"/>
              <a:gd name="T27" fmla="*/ 2147483647 h 815"/>
              <a:gd name="T28" fmla="*/ 2147483647 w 1466"/>
              <a:gd name="T29" fmla="*/ 2147483647 h 815"/>
              <a:gd name="T30" fmla="*/ 2147483647 w 1466"/>
              <a:gd name="T31" fmla="*/ 2147483647 h 815"/>
              <a:gd name="T32" fmla="*/ 2147483647 w 1466"/>
              <a:gd name="T33" fmla="*/ 2147483647 h 815"/>
              <a:gd name="T34" fmla="*/ 2147483647 w 1466"/>
              <a:gd name="T35" fmla="*/ 2147483647 h 815"/>
              <a:gd name="T36" fmla="*/ 2147483647 w 1466"/>
              <a:gd name="T37" fmla="*/ 2147483647 h 815"/>
              <a:gd name="T38" fmla="*/ 2147483647 w 1466"/>
              <a:gd name="T39" fmla="*/ 2147483647 h 815"/>
              <a:gd name="T40" fmla="*/ 2147483647 w 1466"/>
              <a:gd name="T41" fmla="*/ 2147483647 h 815"/>
              <a:gd name="T42" fmla="*/ 2147483647 w 1466"/>
              <a:gd name="T43" fmla="*/ 2147483647 h 815"/>
              <a:gd name="T44" fmla="*/ 2147483647 w 1466"/>
              <a:gd name="T45" fmla="*/ 2147483647 h 815"/>
              <a:gd name="T46" fmla="*/ 2147483647 w 1466"/>
              <a:gd name="T47" fmla="*/ 2147483647 h 815"/>
              <a:gd name="T48" fmla="*/ 2147483647 w 1466"/>
              <a:gd name="T49" fmla="*/ 2147483647 h 815"/>
              <a:gd name="T50" fmla="*/ 2147483647 w 1466"/>
              <a:gd name="T51" fmla="*/ 2147483647 h 815"/>
              <a:gd name="T52" fmla="*/ 2147483647 w 1466"/>
              <a:gd name="T53" fmla="*/ 2147483647 h 815"/>
              <a:gd name="T54" fmla="*/ 2147483647 w 1466"/>
              <a:gd name="T55" fmla="*/ 2147483647 h 815"/>
              <a:gd name="T56" fmla="*/ 2147483647 w 1466"/>
              <a:gd name="T57" fmla="*/ 2147483647 h 815"/>
              <a:gd name="T58" fmla="*/ 2147483647 w 1466"/>
              <a:gd name="T59" fmla="*/ 2147483647 h 815"/>
              <a:gd name="T60" fmla="*/ 0 w 1466"/>
              <a:gd name="T61" fmla="*/ 2147483647 h 815"/>
              <a:gd name="T62" fmla="*/ 2147483647 w 1466"/>
              <a:gd name="T63" fmla="*/ 2147483647 h 815"/>
              <a:gd name="T64" fmla="*/ 2147483647 w 1466"/>
              <a:gd name="T65" fmla="*/ 2147483647 h 815"/>
              <a:gd name="T66" fmla="*/ 2147483647 w 1466"/>
              <a:gd name="T67" fmla="*/ 2147483647 h 815"/>
              <a:gd name="T68" fmla="*/ 2147483647 w 1466"/>
              <a:gd name="T69" fmla="*/ 2147483647 h 815"/>
              <a:gd name="T70" fmla="*/ 2147483647 w 1466"/>
              <a:gd name="T71" fmla="*/ 2147483647 h 815"/>
              <a:gd name="T72" fmla="*/ 2147483647 w 1466"/>
              <a:gd name="T73" fmla="*/ 2147483647 h 815"/>
              <a:gd name="T74" fmla="*/ 2147483647 w 1466"/>
              <a:gd name="T75" fmla="*/ 2147483647 h 815"/>
              <a:gd name="T76" fmla="*/ 2147483647 w 1466"/>
              <a:gd name="T77" fmla="*/ 2147483647 h 815"/>
              <a:gd name="T78" fmla="*/ 2147483647 w 1466"/>
              <a:gd name="T79" fmla="*/ 2147483647 h 815"/>
              <a:gd name="T80" fmla="*/ 2147483647 w 1466"/>
              <a:gd name="T81" fmla="*/ 2147483647 h 815"/>
              <a:gd name="T82" fmla="*/ 2147483647 w 1466"/>
              <a:gd name="T83" fmla="*/ 2147483647 h 815"/>
              <a:gd name="T84" fmla="*/ 2147483647 w 1466"/>
              <a:gd name="T85" fmla="*/ 2147483647 h 815"/>
              <a:gd name="T86" fmla="*/ 2147483647 w 1466"/>
              <a:gd name="T87" fmla="*/ 2147483647 h 815"/>
              <a:gd name="T88" fmla="*/ 2147483647 w 1466"/>
              <a:gd name="T89" fmla="*/ 2147483647 h 815"/>
              <a:gd name="T90" fmla="*/ 2147483647 w 1466"/>
              <a:gd name="T91" fmla="*/ 2147483647 h 815"/>
              <a:gd name="T92" fmla="*/ 2147483647 w 1466"/>
              <a:gd name="T93" fmla="*/ 2147483647 h 815"/>
              <a:gd name="T94" fmla="*/ 2147483647 w 1466"/>
              <a:gd name="T95" fmla="*/ 2147483647 h 815"/>
              <a:gd name="T96" fmla="*/ 2147483647 w 1466"/>
              <a:gd name="T97" fmla="*/ 2147483647 h 815"/>
              <a:gd name="T98" fmla="*/ 2147483647 w 1466"/>
              <a:gd name="T99" fmla="*/ 2147483647 h 815"/>
              <a:gd name="T100" fmla="*/ 2147483647 w 1466"/>
              <a:gd name="T101" fmla="*/ 2147483647 h 815"/>
              <a:gd name="T102" fmla="*/ 2147483647 w 1466"/>
              <a:gd name="T103" fmla="*/ 2147483647 h 815"/>
              <a:gd name="T104" fmla="*/ 2147483647 w 1466"/>
              <a:gd name="T105" fmla="*/ 2147483647 h 815"/>
              <a:gd name="T106" fmla="*/ 2147483647 w 1466"/>
              <a:gd name="T107" fmla="*/ 0 h 815"/>
              <a:gd name="T108" fmla="*/ 2147483647 w 1466"/>
              <a:gd name="T109" fmla="*/ 2147483647 h 815"/>
              <a:gd name="T110" fmla="*/ 2147483647 w 1466"/>
              <a:gd name="T111" fmla="*/ 2147483647 h 815"/>
              <a:gd name="T112" fmla="*/ 2147483647 w 1466"/>
              <a:gd name="T113" fmla="*/ 2147483647 h 815"/>
              <a:gd name="T114" fmla="*/ 2147483647 w 1466"/>
              <a:gd name="T115" fmla="*/ 2147483647 h 815"/>
              <a:gd name="T116" fmla="*/ 2147483647 w 1466"/>
              <a:gd name="T117" fmla="*/ 2147483647 h 815"/>
              <a:gd name="T118" fmla="*/ 2147483647 w 1466"/>
              <a:gd name="T119" fmla="*/ 2147483647 h 815"/>
              <a:gd name="T120" fmla="*/ 2147483647 w 1466"/>
              <a:gd name="T121" fmla="*/ 2147483647 h 815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w 1466"/>
              <a:gd name="T184" fmla="*/ 0 h 815"/>
              <a:gd name="T185" fmla="*/ 1466 w 1466"/>
              <a:gd name="T186" fmla="*/ 815 h 815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T183" t="T184" r="T185" b="T186"/>
            <a:pathLst>
              <a:path w="1466" h="815">
                <a:moveTo>
                  <a:pt x="1442" y="609"/>
                </a:moveTo>
                <a:lnTo>
                  <a:pt x="1440" y="621"/>
                </a:lnTo>
                <a:lnTo>
                  <a:pt x="1457" y="649"/>
                </a:lnTo>
                <a:lnTo>
                  <a:pt x="1466" y="711"/>
                </a:lnTo>
                <a:lnTo>
                  <a:pt x="1386" y="709"/>
                </a:lnTo>
                <a:lnTo>
                  <a:pt x="1384" y="709"/>
                </a:lnTo>
                <a:lnTo>
                  <a:pt x="1361" y="709"/>
                </a:lnTo>
                <a:lnTo>
                  <a:pt x="1359" y="709"/>
                </a:lnTo>
                <a:lnTo>
                  <a:pt x="1356" y="709"/>
                </a:lnTo>
                <a:lnTo>
                  <a:pt x="1337" y="709"/>
                </a:lnTo>
                <a:lnTo>
                  <a:pt x="1333" y="709"/>
                </a:lnTo>
                <a:lnTo>
                  <a:pt x="1317" y="709"/>
                </a:lnTo>
                <a:lnTo>
                  <a:pt x="1268" y="709"/>
                </a:lnTo>
                <a:lnTo>
                  <a:pt x="1263" y="709"/>
                </a:lnTo>
                <a:lnTo>
                  <a:pt x="1216" y="709"/>
                </a:lnTo>
                <a:lnTo>
                  <a:pt x="1117" y="708"/>
                </a:lnTo>
                <a:lnTo>
                  <a:pt x="1078" y="709"/>
                </a:lnTo>
                <a:lnTo>
                  <a:pt x="1052" y="724"/>
                </a:lnTo>
                <a:lnTo>
                  <a:pt x="1028" y="723"/>
                </a:lnTo>
                <a:lnTo>
                  <a:pt x="995" y="729"/>
                </a:lnTo>
                <a:lnTo>
                  <a:pt x="969" y="727"/>
                </a:lnTo>
                <a:lnTo>
                  <a:pt x="951" y="743"/>
                </a:lnTo>
                <a:lnTo>
                  <a:pt x="913" y="748"/>
                </a:lnTo>
                <a:lnTo>
                  <a:pt x="906" y="750"/>
                </a:lnTo>
                <a:lnTo>
                  <a:pt x="895" y="750"/>
                </a:lnTo>
                <a:lnTo>
                  <a:pt x="889" y="753"/>
                </a:lnTo>
                <a:lnTo>
                  <a:pt x="849" y="774"/>
                </a:lnTo>
                <a:lnTo>
                  <a:pt x="799" y="781"/>
                </a:lnTo>
                <a:lnTo>
                  <a:pt x="767" y="772"/>
                </a:lnTo>
                <a:lnTo>
                  <a:pt x="760" y="776"/>
                </a:lnTo>
                <a:lnTo>
                  <a:pt x="729" y="786"/>
                </a:lnTo>
                <a:lnTo>
                  <a:pt x="717" y="794"/>
                </a:lnTo>
                <a:lnTo>
                  <a:pt x="667" y="801"/>
                </a:lnTo>
                <a:lnTo>
                  <a:pt x="662" y="786"/>
                </a:lnTo>
                <a:lnTo>
                  <a:pt x="619" y="780"/>
                </a:lnTo>
                <a:lnTo>
                  <a:pt x="615" y="780"/>
                </a:lnTo>
                <a:lnTo>
                  <a:pt x="608" y="775"/>
                </a:lnTo>
                <a:lnTo>
                  <a:pt x="604" y="774"/>
                </a:lnTo>
                <a:lnTo>
                  <a:pt x="564" y="781"/>
                </a:lnTo>
                <a:lnTo>
                  <a:pt x="550" y="778"/>
                </a:lnTo>
                <a:lnTo>
                  <a:pt x="529" y="792"/>
                </a:lnTo>
                <a:lnTo>
                  <a:pt x="496" y="808"/>
                </a:lnTo>
                <a:lnTo>
                  <a:pt x="481" y="809"/>
                </a:lnTo>
                <a:lnTo>
                  <a:pt x="468" y="815"/>
                </a:lnTo>
                <a:lnTo>
                  <a:pt x="433" y="812"/>
                </a:lnTo>
                <a:lnTo>
                  <a:pt x="372" y="790"/>
                </a:lnTo>
                <a:lnTo>
                  <a:pt x="372" y="774"/>
                </a:lnTo>
                <a:lnTo>
                  <a:pt x="373" y="772"/>
                </a:lnTo>
                <a:lnTo>
                  <a:pt x="373" y="768"/>
                </a:lnTo>
                <a:lnTo>
                  <a:pt x="367" y="745"/>
                </a:lnTo>
                <a:lnTo>
                  <a:pt x="362" y="718"/>
                </a:lnTo>
                <a:lnTo>
                  <a:pt x="328" y="678"/>
                </a:lnTo>
                <a:lnTo>
                  <a:pt x="288" y="669"/>
                </a:lnTo>
                <a:lnTo>
                  <a:pt x="281" y="673"/>
                </a:lnTo>
                <a:lnTo>
                  <a:pt x="259" y="674"/>
                </a:lnTo>
                <a:lnTo>
                  <a:pt x="244" y="649"/>
                </a:lnTo>
                <a:lnTo>
                  <a:pt x="238" y="645"/>
                </a:lnTo>
                <a:lnTo>
                  <a:pt x="203" y="647"/>
                </a:lnTo>
                <a:lnTo>
                  <a:pt x="192" y="641"/>
                </a:lnTo>
                <a:lnTo>
                  <a:pt x="163" y="652"/>
                </a:lnTo>
                <a:lnTo>
                  <a:pt x="146" y="646"/>
                </a:lnTo>
                <a:lnTo>
                  <a:pt x="141" y="635"/>
                </a:lnTo>
                <a:lnTo>
                  <a:pt x="134" y="646"/>
                </a:lnTo>
                <a:lnTo>
                  <a:pt x="126" y="646"/>
                </a:lnTo>
                <a:lnTo>
                  <a:pt x="129" y="557"/>
                </a:lnTo>
                <a:lnTo>
                  <a:pt x="135" y="600"/>
                </a:lnTo>
                <a:lnTo>
                  <a:pt x="143" y="592"/>
                </a:lnTo>
                <a:lnTo>
                  <a:pt x="156" y="588"/>
                </a:lnTo>
                <a:lnTo>
                  <a:pt x="148" y="562"/>
                </a:lnTo>
                <a:lnTo>
                  <a:pt x="164" y="546"/>
                </a:lnTo>
                <a:lnTo>
                  <a:pt x="164" y="536"/>
                </a:lnTo>
                <a:lnTo>
                  <a:pt x="141" y="544"/>
                </a:lnTo>
                <a:lnTo>
                  <a:pt x="122" y="535"/>
                </a:lnTo>
                <a:lnTo>
                  <a:pt x="122" y="521"/>
                </a:lnTo>
                <a:lnTo>
                  <a:pt x="118" y="503"/>
                </a:lnTo>
                <a:lnTo>
                  <a:pt x="112" y="495"/>
                </a:lnTo>
                <a:lnTo>
                  <a:pt x="123" y="503"/>
                </a:lnTo>
                <a:lnTo>
                  <a:pt x="164" y="487"/>
                </a:lnTo>
                <a:lnTo>
                  <a:pt x="164" y="483"/>
                </a:lnTo>
                <a:lnTo>
                  <a:pt x="137" y="475"/>
                </a:lnTo>
                <a:lnTo>
                  <a:pt x="117" y="463"/>
                </a:lnTo>
                <a:lnTo>
                  <a:pt x="117" y="486"/>
                </a:lnTo>
                <a:lnTo>
                  <a:pt x="106" y="490"/>
                </a:lnTo>
                <a:lnTo>
                  <a:pt x="102" y="425"/>
                </a:lnTo>
                <a:lnTo>
                  <a:pt x="95" y="402"/>
                </a:lnTo>
                <a:lnTo>
                  <a:pt x="80" y="389"/>
                </a:lnTo>
                <a:lnTo>
                  <a:pt x="74" y="347"/>
                </a:lnTo>
                <a:lnTo>
                  <a:pt x="51" y="291"/>
                </a:lnTo>
                <a:lnTo>
                  <a:pt x="50" y="286"/>
                </a:lnTo>
                <a:lnTo>
                  <a:pt x="22" y="264"/>
                </a:lnTo>
                <a:lnTo>
                  <a:pt x="10" y="236"/>
                </a:lnTo>
                <a:lnTo>
                  <a:pt x="12" y="226"/>
                </a:lnTo>
                <a:lnTo>
                  <a:pt x="0" y="200"/>
                </a:lnTo>
                <a:lnTo>
                  <a:pt x="12" y="156"/>
                </a:lnTo>
                <a:lnTo>
                  <a:pt x="1" y="144"/>
                </a:lnTo>
                <a:lnTo>
                  <a:pt x="14" y="143"/>
                </a:lnTo>
                <a:lnTo>
                  <a:pt x="141" y="196"/>
                </a:lnTo>
                <a:lnTo>
                  <a:pt x="244" y="203"/>
                </a:lnTo>
                <a:lnTo>
                  <a:pt x="245" y="207"/>
                </a:lnTo>
                <a:lnTo>
                  <a:pt x="313" y="207"/>
                </a:lnTo>
                <a:lnTo>
                  <a:pt x="341" y="221"/>
                </a:lnTo>
                <a:lnTo>
                  <a:pt x="356" y="222"/>
                </a:lnTo>
                <a:lnTo>
                  <a:pt x="356" y="207"/>
                </a:lnTo>
                <a:lnTo>
                  <a:pt x="374" y="209"/>
                </a:lnTo>
                <a:lnTo>
                  <a:pt x="365" y="216"/>
                </a:lnTo>
                <a:lnTo>
                  <a:pt x="373" y="228"/>
                </a:lnTo>
                <a:lnTo>
                  <a:pt x="376" y="225"/>
                </a:lnTo>
                <a:lnTo>
                  <a:pt x="395" y="268"/>
                </a:lnTo>
                <a:lnTo>
                  <a:pt x="374" y="292"/>
                </a:lnTo>
                <a:lnTo>
                  <a:pt x="375" y="297"/>
                </a:lnTo>
                <a:lnTo>
                  <a:pt x="407" y="266"/>
                </a:lnTo>
                <a:lnTo>
                  <a:pt x="419" y="266"/>
                </a:lnTo>
                <a:lnTo>
                  <a:pt x="425" y="296"/>
                </a:lnTo>
                <a:lnTo>
                  <a:pt x="421" y="297"/>
                </a:lnTo>
                <a:lnTo>
                  <a:pt x="421" y="351"/>
                </a:lnTo>
                <a:lnTo>
                  <a:pt x="424" y="352"/>
                </a:lnTo>
                <a:lnTo>
                  <a:pt x="434" y="371"/>
                </a:lnTo>
                <a:lnTo>
                  <a:pt x="443" y="382"/>
                </a:lnTo>
                <a:lnTo>
                  <a:pt x="421" y="395"/>
                </a:lnTo>
                <a:lnTo>
                  <a:pt x="414" y="387"/>
                </a:lnTo>
                <a:lnTo>
                  <a:pt x="411" y="387"/>
                </a:lnTo>
                <a:lnTo>
                  <a:pt x="421" y="402"/>
                </a:lnTo>
                <a:lnTo>
                  <a:pt x="437" y="397"/>
                </a:lnTo>
                <a:lnTo>
                  <a:pt x="454" y="384"/>
                </a:lnTo>
                <a:lnTo>
                  <a:pt x="445" y="367"/>
                </a:lnTo>
                <a:lnTo>
                  <a:pt x="441" y="289"/>
                </a:lnTo>
                <a:lnTo>
                  <a:pt x="462" y="247"/>
                </a:lnTo>
                <a:lnTo>
                  <a:pt x="470" y="245"/>
                </a:lnTo>
                <a:lnTo>
                  <a:pt x="472" y="233"/>
                </a:lnTo>
                <a:lnTo>
                  <a:pt x="447" y="207"/>
                </a:lnTo>
                <a:lnTo>
                  <a:pt x="440" y="184"/>
                </a:lnTo>
                <a:lnTo>
                  <a:pt x="435" y="207"/>
                </a:lnTo>
                <a:lnTo>
                  <a:pt x="445" y="222"/>
                </a:lnTo>
                <a:lnTo>
                  <a:pt x="428" y="207"/>
                </a:lnTo>
                <a:lnTo>
                  <a:pt x="421" y="206"/>
                </a:lnTo>
                <a:lnTo>
                  <a:pt x="416" y="178"/>
                </a:lnTo>
                <a:lnTo>
                  <a:pt x="438" y="176"/>
                </a:lnTo>
                <a:lnTo>
                  <a:pt x="443" y="167"/>
                </a:lnTo>
                <a:lnTo>
                  <a:pt x="443" y="166"/>
                </a:lnTo>
                <a:lnTo>
                  <a:pt x="421" y="152"/>
                </a:lnTo>
                <a:lnTo>
                  <a:pt x="406" y="143"/>
                </a:lnTo>
                <a:lnTo>
                  <a:pt x="392" y="178"/>
                </a:lnTo>
                <a:lnTo>
                  <a:pt x="412" y="224"/>
                </a:lnTo>
                <a:lnTo>
                  <a:pt x="419" y="224"/>
                </a:lnTo>
                <a:lnTo>
                  <a:pt x="418" y="214"/>
                </a:lnTo>
                <a:lnTo>
                  <a:pt x="445" y="229"/>
                </a:lnTo>
                <a:lnTo>
                  <a:pt x="445" y="259"/>
                </a:lnTo>
                <a:lnTo>
                  <a:pt x="422" y="240"/>
                </a:lnTo>
                <a:lnTo>
                  <a:pt x="401" y="229"/>
                </a:lnTo>
                <a:lnTo>
                  <a:pt x="397" y="198"/>
                </a:lnTo>
                <a:lnTo>
                  <a:pt x="374" y="186"/>
                </a:lnTo>
                <a:lnTo>
                  <a:pt x="390" y="139"/>
                </a:lnTo>
                <a:lnTo>
                  <a:pt x="389" y="89"/>
                </a:lnTo>
                <a:lnTo>
                  <a:pt x="421" y="128"/>
                </a:lnTo>
                <a:lnTo>
                  <a:pt x="423" y="84"/>
                </a:lnTo>
                <a:lnTo>
                  <a:pt x="421" y="61"/>
                </a:lnTo>
                <a:lnTo>
                  <a:pt x="399" y="60"/>
                </a:lnTo>
                <a:lnTo>
                  <a:pt x="401" y="84"/>
                </a:lnTo>
                <a:lnTo>
                  <a:pt x="374" y="32"/>
                </a:lnTo>
                <a:lnTo>
                  <a:pt x="373" y="1"/>
                </a:lnTo>
                <a:lnTo>
                  <a:pt x="729" y="0"/>
                </a:lnTo>
                <a:lnTo>
                  <a:pt x="1106" y="0"/>
                </a:lnTo>
                <a:lnTo>
                  <a:pt x="1226" y="0"/>
                </a:lnTo>
                <a:lnTo>
                  <a:pt x="1369" y="0"/>
                </a:lnTo>
                <a:lnTo>
                  <a:pt x="1444" y="1"/>
                </a:lnTo>
                <a:lnTo>
                  <a:pt x="1444" y="10"/>
                </a:lnTo>
                <a:lnTo>
                  <a:pt x="1444" y="20"/>
                </a:lnTo>
                <a:lnTo>
                  <a:pt x="1444" y="36"/>
                </a:lnTo>
                <a:lnTo>
                  <a:pt x="1443" y="170"/>
                </a:lnTo>
                <a:lnTo>
                  <a:pt x="1442" y="207"/>
                </a:lnTo>
                <a:lnTo>
                  <a:pt x="1442" y="226"/>
                </a:lnTo>
                <a:lnTo>
                  <a:pt x="1442" y="233"/>
                </a:lnTo>
                <a:lnTo>
                  <a:pt x="1442" y="236"/>
                </a:lnTo>
                <a:lnTo>
                  <a:pt x="1442" y="242"/>
                </a:lnTo>
                <a:lnTo>
                  <a:pt x="1442" y="295"/>
                </a:lnTo>
                <a:lnTo>
                  <a:pt x="1442" y="325"/>
                </a:lnTo>
                <a:lnTo>
                  <a:pt x="1442" y="386"/>
                </a:lnTo>
                <a:lnTo>
                  <a:pt x="1443" y="412"/>
                </a:lnTo>
                <a:lnTo>
                  <a:pt x="1443" y="414"/>
                </a:lnTo>
                <a:lnTo>
                  <a:pt x="1443" y="443"/>
                </a:lnTo>
                <a:lnTo>
                  <a:pt x="1442" y="532"/>
                </a:lnTo>
                <a:lnTo>
                  <a:pt x="1443" y="544"/>
                </a:lnTo>
                <a:lnTo>
                  <a:pt x="1443" y="581"/>
                </a:lnTo>
                <a:lnTo>
                  <a:pt x="1443" y="591"/>
                </a:lnTo>
                <a:lnTo>
                  <a:pt x="1442" y="609"/>
                </a:lnTo>
                <a:close/>
              </a:path>
            </a:pathLst>
          </a:custGeom>
          <a:solidFill>
            <a:srgbClr val="FFFFFF"/>
          </a:solidFill>
          <a:ln>
            <a:solidFill>
              <a:schemeClr val="bg1">
                <a:lumMod val="85000"/>
              </a:schemeClr>
            </a:solidFill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</xdr:sp>
      <xdr:sp macro="" textlink="">
        <xdr:nvSpPr>
          <xdr:cNvPr id="49" name="S_WA1">
            <a:extLst>
              <a:ext uri="{FF2B5EF4-FFF2-40B4-BE49-F238E27FC236}">
                <a16:creationId xmlns:a16="http://schemas.microsoft.com/office/drawing/2014/main" id="{00000000-0008-0000-0400-000031000000}"/>
              </a:ext>
            </a:extLst>
          </xdr:cNvPr>
          <xdr:cNvSpPr>
            <a:spLocks/>
          </xdr:cNvSpPr>
        </xdr:nvSpPr>
        <xdr:spPr bwMode="auto">
          <a:xfrm>
            <a:off x="1046770" y="1361009"/>
            <a:ext cx="63240" cy="39018"/>
          </a:xfrm>
          <a:custGeom>
            <a:avLst/>
            <a:gdLst>
              <a:gd name="T0" fmla="*/ 0 w 74"/>
              <a:gd name="T1" fmla="*/ 0 h 49"/>
              <a:gd name="T2" fmla="*/ 2147483647 w 74"/>
              <a:gd name="T3" fmla="*/ 2147483647 h 49"/>
              <a:gd name="T4" fmla="*/ 2147483647 w 74"/>
              <a:gd name="T5" fmla="*/ 2147483647 h 49"/>
              <a:gd name="T6" fmla="*/ 2147483647 w 74"/>
              <a:gd name="T7" fmla="*/ 2147483647 h 49"/>
              <a:gd name="T8" fmla="*/ 2147483647 w 74"/>
              <a:gd name="T9" fmla="*/ 0 h 49"/>
              <a:gd name="T10" fmla="*/ 2147483647 w 74"/>
              <a:gd name="T11" fmla="*/ 2147483647 h 49"/>
              <a:gd name="T12" fmla="*/ 2147483647 w 74"/>
              <a:gd name="T13" fmla="*/ 2147483647 h 49"/>
              <a:gd name="T14" fmla="*/ 2147483647 w 74"/>
              <a:gd name="T15" fmla="*/ 2147483647 h 49"/>
              <a:gd name="T16" fmla="*/ 0 w 74"/>
              <a:gd name="T17" fmla="*/ 0 h 49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74"/>
              <a:gd name="T28" fmla="*/ 0 h 49"/>
              <a:gd name="T29" fmla="*/ 74 w 74"/>
              <a:gd name="T30" fmla="*/ 49 h 49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74" h="49">
                <a:moveTo>
                  <a:pt x="0" y="0"/>
                </a:moveTo>
                <a:lnTo>
                  <a:pt x="16" y="22"/>
                </a:lnTo>
                <a:lnTo>
                  <a:pt x="26" y="25"/>
                </a:lnTo>
                <a:lnTo>
                  <a:pt x="26" y="1"/>
                </a:lnTo>
                <a:lnTo>
                  <a:pt x="74" y="0"/>
                </a:lnTo>
                <a:lnTo>
                  <a:pt x="59" y="44"/>
                </a:lnTo>
                <a:lnTo>
                  <a:pt x="26" y="49"/>
                </a:lnTo>
                <a:lnTo>
                  <a:pt x="2" y="39"/>
                </a:lnTo>
                <a:lnTo>
                  <a:pt x="0" y="0"/>
                </a:lnTo>
                <a:close/>
              </a:path>
            </a:pathLst>
          </a:custGeom>
          <a:solidFill>
            <a:srgbClr val="FFFFFF"/>
          </a:solidFill>
          <a:ln>
            <a:solidFill>
              <a:schemeClr val="bg1">
                <a:lumMod val="85000"/>
              </a:schemeClr>
            </a:solidFill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</xdr:sp>
    </xdr:grpSp>
    <xdr:clientData/>
  </xdr:twoCellAnchor>
  <xdr:twoCellAnchor>
    <xdr:from>
      <xdr:col>24</xdr:col>
      <xdr:colOff>438527</xdr:colOff>
      <xdr:row>10</xdr:row>
      <xdr:rowOff>58107</xdr:rowOff>
    </xdr:from>
    <xdr:to>
      <xdr:col>25</xdr:col>
      <xdr:colOff>7184</xdr:colOff>
      <xdr:row>11</xdr:row>
      <xdr:rowOff>176072</xdr:rowOff>
    </xdr:to>
    <xdr:sp macro="" textlink="">
      <xdr:nvSpPr>
        <xdr:cNvPr id="50" name="S_VT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>
          <a:spLocks/>
        </xdr:cNvSpPr>
      </xdr:nvSpPr>
      <xdr:spPr bwMode="auto">
        <a:xfrm>
          <a:off x="5077202" y="2039307"/>
          <a:ext cx="178257" cy="346565"/>
        </a:xfrm>
        <a:custGeom>
          <a:avLst/>
          <a:gdLst>
            <a:gd name="T0" fmla="*/ 2147483647 w 363"/>
            <a:gd name="T1" fmla="*/ 2147483647 h 540"/>
            <a:gd name="T2" fmla="*/ 2147483647 w 363"/>
            <a:gd name="T3" fmla="*/ 2147483647 h 540"/>
            <a:gd name="T4" fmla="*/ 2147483647 w 363"/>
            <a:gd name="T5" fmla="*/ 2147483647 h 540"/>
            <a:gd name="T6" fmla="*/ 2147483647 w 363"/>
            <a:gd name="T7" fmla="*/ 2147483647 h 540"/>
            <a:gd name="T8" fmla="*/ 2147483647 w 363"/>
            <a:gd name="T9" fmla="*/ 2147483647 h 540"/>
            <a:gd name="T10" fmla="*/ 2147483647 w 363"/>
            <a:gd name="T11" fmla="*/ 2147483647 h 540"/>
            <a:gd name="T12" fmla="*/ 2147483647 w 363"/>
            <a:gd name="T13" fmla="*/ 2147483647 h 540"/>
            <a:gd name="T14" fmla="*/ 2147483647 w 363"/>
            <a:gd name="T15" fmla="*/ 2147483647 h 540"/>
            <a:gd name="T16" fmla="*/ 2147483647 w 363"/>
            <a:gd name="T17" fmla="*/ 2147483647 h 540"/>
            <a:gd name="T18" fmla="*/ 2147483647 w 363"/>
            <a:gd name="T19" fmla="*/ 2147483647 h 540"/>
            <a:gd name="T20" fmla="*/ 2147483647 w 363"/>
            <a:gd name="T21" fmla="*/ 2147483647 h 540"/>
            <a:gd name="T22" fmla="*/ 2147483647 w 363"/>
            <a:gd name="T23" fmla="*/ 2147483647 h 540"/>
            <a:gd name="T24" fmla="*/ 2147483647 w 363"/>
            <a:gd name="T25" fmla="*/ 2147483647 h 540"/>
            <a:gd name="T26" fmla="*/ 2147483647 w 363"/>
            <a:gd name="T27" fmla="*/ 2147483647 h 540"/>
            <a:gd name="T28" fmla="*/ 2147483647 w 363"/>
            <a:gd name="T29" fmla="*/ 2147483647 h 540"/>
            <a:gd name="T30" fmla="*/ 2147483647 w 363"/>
            <a:gd name="T31" fmla="*/ 2147483647 h 540"/>
            <a:gd name="T32" fmla="*/ 2147483647 w 363"/>
            <a:gd name="T33" fmla="*/ 2147483647 h 540"/>
            <a:gd name="T34" fmla="*/ 2147483647 w 363"/>
            <a:gd name="T35" fmla="*/ 2147483647 h 540"/>
            <a:gd name="T36" fmla="*/ 2147483647 w 363"/>
            <a:gd name="T37" fmla="*/ 2147483647 h 540"/>
            <a:gd name="T38" fmla="*/ 2147483647 w 363"/>
            <a:gd name="T39" fmla="*/ 2147483647 h 540"/>
            <a:gd name="T40" fmla="*/ 2147483647 w 363"/>
            <a:gd name="T41" fmla="*/ 2147483647 h 540"/>
            <a:gd name="T42" fmla="*/ 2147483647 w 363"/>
            <a:gd name="T43" fmla="*/ 2147483647 h 540"/>
            <a:gd name="T44" fmla="*/ 2147483647 w 363"/>
            <a:gd name="T45" fmla="*/ 2147483647 h 540"/>
            <a:gd name="T46" fmla="*/ 2147483647 w 363"/>
            <a:gd name="T47" fmla="*/ 2147483647 h 540"/>
            <a:gd name="T48" fmla="*/ 2147483647 w 363"/>
            <a:gd name="T49" fmla="*/ 2147483647 h 540"/>
            <a:gd name="T50" fmla="*/ 2147483647 w 363"/>
            <a:gd name="T51" fmla="*/ 2147483647 h 540"/>
            <a:gd name="T52" fmla="*/ 2147483647 w 363"/>
            <a:gd name="T53" fmla="*/ 2147483647 h 540"/>
            <a:gd name="T54" fmla="*/ 2147483647 w 363"/>
            <a:gd name="T55" fmla="*/ 2147483647 h 540"/>
            <a:gd name="T56" fmla="*/ 2147483647 w 363"/>
            <a:gd name="T57" fmla="*/ 2147483647 h 540"/>
            <a:gd name="T58" fmla="*/ 2147483647 w 363"/>
            <a:gd name="T59" fmla="*/ 2147483647 h 540"/>
            <a:gd name="T60" fmla="*/ 2147483647 w 363"/>
            <a:gd name="T61" fmla="*/ 2147483647 h 540"/>
            <a:gd name="T62" fmla="*/ 2147483647 w 363"/>
            <a:gd name="T63" fmla="*/ 2147483647 h 540"/>
            <a:gd name="T64" fmla="*/ 2147483647 w 363"/>
            <a:gd name="T65" fmla="*/ 2147483647 h 540"/>
            <a:gd name="T66" fmla="*/ 2147483647 w 363"/>
            <a:gd name="T67" fmla="*/ 2147483647 h 540"/>
            <a:gd name="T68" fmla="*/ 2147483647 w 363"/>
            <a:gd name="T69" fmla="*/ 2147483647 h 540"/>
            <a:gd name="T70" fmla="*/ 2147483647 w 363"/>
            <a:gd name="T71" fmla="*/ 2147483647 h 540"/>
            <a:gd name="T72" fmla="*/ 2147483647 w 363"/>
            <a:gd name="T73" fmla="*/ 2147483647 h 540"/>
            <a:gd name="T74" fmla="*/ 2147483647 w 363"/>
            <a:gd name="T75" fmla="*/ 2147483647 h 540"/>
            <a:gd name="T76" fmla="*/ 2147483647 w 363"/>
            <a:gd name="T77" fmla="*/ 2147483647 h 540"/>
            <a:gd name="T78" fmla="*/ 2147483647 w 363"/>
            <a:gd name="T79" fmla="*/ 2147483647 h 540"/>
            <a:gd name="T80" fmla="*/ 2147483647 w 363"/>
            <a:gd name="T81" fmla="*/ 2147483647 h 540"/>
            <a:gd name="T82" fmla="*/ 2147483647 w 363"/>
            <a:gd name="T83" fmla="*/ 0 h 540"/>
            <a:gd name="T84" fmla="*/ 2147483647 w 363"/>
            <a:gd name="T85" fmla="*/ 2147483647 h 540"/>
            <a:gd name="T86" fmla="*/ 2147483647 w 363"/>
            <a:gd name="T87" fmla="*/ 2147483647 h 540"/>
            <a:gd name="T88" fmla="*/ 2147483647 w 363"/>
            <a:gd name="T89" fmla="*/ 0 h 540"/>
            <a:gd name="T90" fmla="*/ 2147483647 w 363"/>
            <a:gd name="T91" fmla="*/ 2147483647 h 540"/>
            <a:gd name="T92" fmla="*/ 2147483647 w 363"/>
            <a:gd name="T93" fmla="*/ 2147483647 h 540"/>
            <a:gd name="T94" fmla="*/ 2147483647 w 363"/>
            <a:gd name="T95" fmla="*/ 2147483647 h 540"/>
            <a:gd name="T96" fmla="*/ 2147483647 w 363"/>
            <a:gd name="T97" fmla="*/ 2147483647 h 540"/>
            <a:gd name="T98" fmla="*/ 2147483647 w 363"/>
            <a:gd name="T99" fmla="*/ 2147483647 h 540"/>
            <a:gd name="T100" fmla="*/ 2147483647 w 363"/>
            <a:gd name="T101" fmla="*/ 2147483647 h 540"/>
            <a:gd name="T102" fmla="*/ 2147483647 w 363"/>
            <a:gd name="T103" fmla="*/ 2147483647 h 540"/>
            <a:gd name="T104" fmla="*/ 2147483647 w 363"/>
            <a:gd name="T105" fmla="*/ 2147483647 h 540"/>
            <a:gd name="T106" fmla="*/ 2147483647 w 363"/>
            <a:gd name="T107" fmla="*/ 2147483647 h 540"/>
            <a:gd name="T108" fmla="*/ 2147483647 w 363"/>
            <a:gd name="T109" fmla="*/ 2147483647 h 540"/>
            <a:gd name="T110" fmla="*/ 0 w 363"/>
            <a:gd name="T111" fmla="*/ 2147483647 h 540"/>
            <a:gd name="T112" fmla="*/ 2147483647 w 363"/>
            <a:gd name="T113" fmla="*/ 2147483647 h 540"/>
            <a:gd name="T114" fmla="*/ 2147483647 w 363"/>
            <a:gd name="T115" fmla="*/ 2147483647 h 540"/>
            <a:gd name="T116" fmla="*/ 2147483647 w 363"/>
            <a:gd name="T117" fmla="*/ 2147483647 h 540"/>
            <a:gd name="T118" fmla="*/ 2147483647 w 363"/>
            <a:gd name="T119" fmla="*/ 2147483647 h 540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w 363"/>
            <a:gd name="T181" fmla="*/ 0 h 540"/>
            <a:gd name="T182" fmla="*/ 363 w 363"/>
            <a:gd name="T183" fmla="*/ 540 h 540"/>
          </a:gdLst>
          <a:ahLst/>
          <a:cxnLst>
            <a:cxn ang="T120">
              <a:pos x="T0" y="T1"/>
            </a:cxn>
            <a:cxn ang="T121">
              <a:pos x="T2" y="T3"/>
            </a:cxn>
            <a:cxn ang="T122">
              <a:pos x="T4" y="T5"/>
            </a:cxn>
            <a:cxn ang="T123">
              <a:pos x="T6" y="T7"/>
            </a:cxn>
            <a:cxn ang="T124">
              <a:pos x="T8" y="T9"/>
            </a:cxn>
            <a:cxn ang="T125">
              <a:pos x="T10" y="T11"/>
            </a:cxn>
            <a:cxn ang="T126">
              <a:pos x="T12" y="T13"/>
            </a:cxn>
            <a:cxn ang="T127">
              <a:pos x="T14" y="T15"/>
            </a:cxn>
            <a:cxn ang="T128">
              <a:pos x="T16" y="T17"/>
            </a:cxn>
            <a:cxn ang="T129">
              <a:pos x="T18" y="T19"/>
            </a:cxn>
            <a:cxn ang="T130">
              <a:pos x="T20" y="T21"/>
            </a:cxn>
            <a:cxn ang="T131">
              <a:pos x="T22" y="T23"/>
            </a:cxn>
            <a:cxn ang="T132">
              <a:pos x="T24" y="T25"/>
            </a:cxn>
            <a:cxn ang="T133">
              <a:pos x="T26" y="T27"/>
            </a:cxn>
            <a:cxn ang="T134">
              <a:pos x="T28" y="T29"/>
            </a:cxn>
            <a:cxn ang="T135">
              <a:pos x="T30" y="T31"/>
            </a:cxn>
            <a:cxn ang="T136">
              <a:pos x="T32" y="T33"/>
            </a:cxn>
            <a:cxn ang="T137">
              <a:pos x="T34" y="T35"/>
            </a:cxn>
            <a:cxn ang="T138">
              <a:pos x="T36" y="T37"/>
            </a:cxn>
            <a:cxn ang="T139">
              <a:pos x="T38" y="T39"/>
            </a:cxn>
            <a:cxn ang="T140">
              <a:pos x="T40" y="T41"/>
            </a:cxn>
            <a:cxn ang="T141">
              <a:pos x="T42" y="T43"/>
            </a:cxn>
            <a:cxn ang="T142">
              <a:pos x="T44" y="T45"/>
            </a:cxn>
            <a:cxn ang="T143">
              <a:pos x="T46" y="T47"/>
            </a:cxn>
            <a:cxn ang="T144">
              <a:pos x="T48" y="T49"/>
            </a:cxn>
            <a:cxn ang="T145">
              <a:pos x="T50" y="T51"/>
            </a:cxn>
            <a:cxn ang="T146">
              <a:pos x="T52" y="T53"/>
            </a:cxn>
            <a:cxn ang="T147">
              <a:pos x="T54" y="T55"/>
            </a:cxn>
            <a:cxn ang="T148">
              <a:pos x="T56" y="T57"/>
            </a:cxn>
            <a:cxn ang="T149">
              <a:pos x="T58" y="T59"/>
            </a:cxn>
            <a:cxn ang="T150">
              <a:pos x="T60" y="T61"/>
            </a:cxn>
            <a:cxn ang="T151">
              <a:pos x="T62" y="T63"/>
            </a:cxn>
            <a:cxn ang="T152">
              <a:pos x="T64" y="T65"/>
            </a:cxn>
            <a:cxn ang="T153">
              <a:pos x="T66" y="T67"/>
            </a:cxn>
            <a:cxn ang="T154">
              <a:pos x="T68" y="T69"/>
            </a:cxn>
            <a:cxn ang="T155">
              <a:pos x="T70" y="T71"/>
            </a:cxn>
            <a:cxn ang="T156">
              <a:pos x="T72" y="T73"/>
            </a:cxn>
            <a:cxn ang="T157">
              <a:pos x="T74" y="T75"/>
            </a:cxn>
            <a:cxn ang="T158">
              <a:pos x="T76" y="T77"/>
            </a:cxn>
            <a:cxn ang="T159">
              <a:pos x="T78" y="T79"/>
            </a:cxn>
            <a:cxn ang="T160">
              <a:pos x="T80" y="T81"/>
            </a:cxn>
            <a:cxn ang="T161">
              <a:pos x="T82" y="T83"/>
            </a:cxn>
            <a:cxn ang="T162">
              <a:pos x="T84" y="T85"/>
            </a:cxn>
            <a:cxn ang="T163">
              <a:pos x="T86" y="T87"/>
            </a:cxn>
            <a:cxn ang="T164">
              <a:pos x="T88" y="T89"/>
            </a:cxn>
            <a:cxn ang="T165">
              <a:pos x="T90" y="T91"/>
            </a:cxn>
            <a:cxn ang="T166">
              <a:pos x="T92" y="T93"/>
            </a:cxn>
            <a:cxn ang="T167">
              <a:pos x="T94" y="T95"/>
            </a:cxn>
            <a:cxn ang="T168">
              <a:pos x="T96" y="T97"/>
            </a:cxn>
            <a:cxn ang="T169">
              <a:pos x="T98" y="T99"/>
            </a:cxn>
            <a:cxn ang="T170">
              <a:pos x="T100" y="T101"/>
            </a:cxn>
            <a:cxn ang="T171">
              <a:pos x="T102" y="T103"/>
            </a:cxn>
            <a:cxn ang="T172">
              <a:pos x="T104" y="T105"/>
            </a:cxn>
            <a:cxn ang="T173">
              <a:pos x="T106" y="T107"/>
            </a:cxn>
            <a:cxn ang="T174">
              <a:pos x="T108" y="T109"/>
            </a:cxn>
            <a:cxn ang="T175">
              <a:pos x="T110" y="T111"/>
            </a:cxn>
            <a:cxn ang="T176">
              <a:pos x="T112" y="T113"/>
            </a:cxn>
            <a:cxn ang="T177">
              <a:pos x="T114" y="T115"/>
            </a:cxn>
            <a:cxn ang="T178">
              <a:pos x="T116" y="T117"/>
            </a:cxn>
            <a:cxn ang="T179">
              <a:pos x="T118" y="T119"/>
            </a:cxn>
          </a:cxnLst>
          <a:rect l="T180" t="T181" r="T182" b="T183"/>
          <a:pathLst>
            <a:path w="363" h="540">
              <a:moveTo>
                <a:pt x="13" y="298"/>
              </a:moveTo>
              <a:lnTo>
                <a:pt x="2" y="328"/>
              </a:lnTo>
              <a:lnTo>
                <a:pt x="25" y="328"/>
              </a:lnTo>
              <a:lnTo>
                <a:pt x="35" y="402"/>
              </a:lnTo>
              <a:lnTo>
                <a:pt x="34" y="417"/>
              </a:lnTo>
              <a:lnTo>
                <a:pt x="32" y="446"/>
              </a:lnTo>
              <a:lnTo>
                <a:pt x="30" y="489"/>
              </a:lnTo>
              <a:lnTo>
                <a:pt x="29" y="516"/>
              </a:lnTo>
              <a:lnTo>
                <a:pt x="30" y="536"/>
              </a:lnTo>
              <a:lnTo>
                <a:pt x="32" y="536"/>
              </a:lnTo>
              <a:lnTo>
                <a:pt x="68" y="537"/>
              </a:lnTo>
              <a:lnTo>
                <a:pt x="74" y="537"/>
              </a:lnTo>
              <a:lnTo>
                <a:pt x="77" y="537"/>
              </a:lnTo>
              <a:lnTo>
                <a:pt x="80" y="537"/>
              </a:lnTo>
              <a:lnTo>
                <a:pt x="82" y="537"/>
              </a:lnTo>
              <a:lnTo>
                <a:pt x="95" y="537"/>
              </a:lnTo>
              <a:lnTo>
                <a:pt x="129" y="538"/>
              </a:lnTo>
              <a:lnTo>
                <a:pt x="175" y="540"/>
              </a:lnTo>
              <a:lnTo>
                <a:pt x="183" y="540"/>
              </a:lnTo>
              <a:lnTo>
                <a:pt x="168" y="488"/>
              </a:lnTo>
              <a:lnTo>
                <a:pt x="182" y="476"/>
              </a:lnTo>
              <a:lnTo>
                <a:pt x="184" y="437"/>
              </a:lnTo>
              <a:lnTo>
                <a:pt x="188" y="421"/>
              </a:lnTo>
              <a:lnTo>
                <a:pt x="188" y="420"/>
              </a:lnTo>
              <a:lnTo>
                <a:pt x="197" y="359"/>
              </a:lnTo>
              <a:lnTo>
                <a:pt x="198" y="340"/>
              </a:lnTo>
              <a:lnTo>
                <a:pt x="207" y="334"/>
              </a:lnTo>
              <a:lnTo>
                <a:pt x="207" y="328"/>
              </a:lnTo>
              <a:lnTo>
                <a:pt x="221" y="301"/>
              </a:lnTo>
              <a:lnTo>
                <a:pt x="230" y="294"/>
              </a:lnTo>
              <a:lnTo>
                <a:pt x="248" y="240"/>
              </a:lnTo>
              <a:lnTo>
                <a:pt x="261" y="211"/>
              </a:lnTo>
              <a:lnTo>
                <a:pt x="260" y="203"/>
              </a:lnTo>
              <a:lnTo>
                <a:pt x="258" y="181"/>
              </a:lnTo>
              <a:lnTo>
                <a:pt x="269" y="162"/>
              </a:lnTo>
              <a:lnTo>
                <a:pt x="299" y="157"/>
              </a:lnTo>
              <a:lnTo>
                <a:pt x="303" y="151"/>
              </a:lnTo>
              <a:lnTo>
                <a:pt x="313" y="143"/>
              </a:lnTo>
              <a:lnTo>
                <a:pt x="346" y="122"/>
              </a:lnTo>
              <a:lnTo>
                <a:pt x="337" y="63"/>
              </a:lnTo>
              <a:lnTo>
                <a:pt x="363" y="24"/>
              </a:lnTo>
              <a:lnTo>
                <a:pt x="362" y="0"/>
              </a:lnTo>
              <a:lnTo>
                <a:pt x="287" y="2"/>
              </a:lnTo>
              <a:lnTo>
                <a:pt x="165" y="2"/>
              </a:lnTo>
              <a:lnTo>
                <a:pt x="45" y="0"/>
              </a:lnTo>
              <a:lnTo>
                <a:pt x="35" y="1"/>
              </a:lnTo>
              <a:lnTo>
                <a:pt x="17" y="1"/>
              </a:lnTo>
              <a:lnTo>
                <a:pt x="11" y="36"/>
              </a:lnTo>
              <a:lnTo>
                <a:pt x="11" y="103"/>
              </a:lnTo>
              <a:lnTo>
                <a:pt x="14" y="107"/>
              </a:lnTo>
              <a:lnTo>
                <a:pt x="19" y="110"/>
              </a:lnTo>
              <a:lnTo>
                <a:pt x="19" y="111"/>
              </a:lnTo>
              <a:lnTo>
                <a:pt x="24" y="122"/>
              </a:lnTo>
              <a:lnTo>
                <a:pt x="23" y="177"/>
              </a:lnTo>
              <a:lnTo>
                <a:pt x="8" y="194"/>
              </a:lnTo>
              <a:lnTo>
                <a:pt x="0" y="222"/>
              </a:lnTo>
              <a:lnTo>
                <a:pt x="11" y="285"/>
              </a:lnTo>
              <a:lnTo>
                <a:pt x="11" y="288"/>
              </a:lnTo>
              <a:lnTo>
                <a:pt x="12" y="288"/>
              </a:lnTo>
              <a:lnTo>
                <a:pt x="13" y="298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pPr algn="ctr"/>
          <a:endParaRPr lang="en-US" sz="800" b="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23</xdr:col>
      <xdr:colOff>129356</xdr:colOff>
      <xdr:row>14</xdr:row>
      <xdr:rowOff>25738</xdr:rowOff>
    </xdr:from>
    <xdr:to>
      <xdr:col>24</xdr:col>
      <xdr:colOff>225302</xdr:colOff>
      <xdr:row>16</xdr:row>
      <xdr:rowOff>32701</xdr:rowOff>
    </xdr:to>
    <xdr:sp macro="" textlink="">
      <xdr:nvSpPr>
        <xdr:cNvPr id="51" name="S_VA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>
          <a:spLocks/>
        </xdr:cNvSpPr>
      </xdr:nvSpPr>
      <xdr:spPr bwMode="auto">
        <a:xfrm>
          <a:off x="4158431" y="2883238"/>
          <a:ext cx="705546" cy="387963"/>
        </a:xfrm>
        <a:custGeom>
          <a:avLst/>
          <a:gdLst>
            <a:gd name="T0" fmla="*/ 2147483647 w 1460"/>
            <a:gd name="T1" fmla="*/ 2147483647 h 691"/>
            <a:gd name="T2" fmla="*/ 2147483647 w 1460"/>
            <a:gd name="T3" fmla="*/ 2147483647 h 691"/>
            <a:gd name="T4" fmla="*/ 2147483647 w 1460"/>
            <a:gd name="T5" fmla="*/ 2147483647 h 691"/>
            <a:gd name="T6" fmla="*/ 2147483647 w 1460"/>
            <a:gd name="T7" fmla="*/ 2147483647 h 691"/>
            <a:gd name="T8" fmla="*/ 2147483647 w 1460"/>
            <a:gd name="T9" fmla="*/ 2147483647 h 691"/>
            <a:gd name="T10" fmla="*/ 2147483647 w 1460"/>
            <a:gd name="T11" fmla="*/ 2147483647 h 691"/>
            <a:gd name="T12" fmla="*/ 2147483647 w 1460"/>
            <a:gd name="T13" fmla="*/ 2147483647 h 691"/>
            <a:gd name="T14" fmla="*/ 2147483647 w 1460"/>
            <a:gd name="T15" fmla="*/ 2147483647 h 691"/>
            <a:gd name="T16" fmla="*/ 2147483647 w 1460"/>
            <a:gd name="T17" fmla="*/ 2147483647 h 691"/>
            <a:gd name="T18" fmla="*/ 2147483647 w 1460"/>
            <a:gd name="T19" fmla="*/ 2147483647 h 691"/>
            <a:gd name="T20" fmla="*/ 2147483647 w 1460"/>
            <a:gd name="T21" fmla="*/ 2147483647 h 691"/>
            <a:gd name="T22" fmla="*/ 2147483647 w 1460"/>
            <a:gd name="T23" fmla="*/ 2147483647 h 691"/>
            <a:gd name="T24" fmla="*/ 2147483647 w 1460"/>
            <a:gd name="T25" fmla="*/ 2147483647 h 691"/>
            <a:gd name="T26" fmla="*/ 2147483647 w 1460"/>
            <a:gd name="T27" fmla="*/ 2147483647 h 691"/>
            <a:gd name="T28" fmla="*/ 2147483647 w 1460"/>
            <a:gd name="T29" fmla="*/ 2147483647 h 691"/>
            <a:gd name="T30" fmla="*/ 2147483647 w 1460"/>
            <a:gd name="T31" fmla="*/ 2147483647 h 691"/>
            <a:gd name="T32" fmla="*/ 2147483647 w 1460"/>
            <a:gd name="T33" fmla="*/ 2147483647 h 691"/>
            <a:gd name="T34" fmla="*/ 2147483647 w 1460"/>
            <a:gd name="T35" fmla="*/ 2147483647 h 691"/>
            <a:gd name="T36" fmla="*/ 2147483647 w 1460"/>
            <a:gd name="T37" fmla="*/ 2147483647 h 691"/>
            <a:gd name="T38" fmla="*/ 2147483647 w 1460"/>
            <a:gd name="T39" fmla="*/ 2147483647 h 691"/>
            <a:gd name="T40" fmla="*/ 2147483647 w 1460"/>
            <a:gd name="T41" fmla="*/ 2147483647 h 691"/>
            <a:gd name="T42" fmla="*/ 2147483647 w 1460"/>
            <a:gd name="T43" fmla="*/ 2147483647 h 691"/>
            <a:gd name="T44" fmla="*/ 2147483647 w 1460"/>
            <a:gd name="T45" fmla="*/ 2147483647 h 691"/>
            <a:gd name="T46" fmla="*/ 2147483647 w 1460"/>
            <a:gd name="T47" fmla="*/ 2147483647 h 691"/>
            <a:gd name="T48" fmla="*/ 2147483647 w 1460"/>
            <a:gd name="T49" fmla="*/ 2147483647 h 691"/>
            <a:gd name="T50" fmla="*/ 2147483647 w 1460"/>
            <a:gd name="T51" fmla="*/ 2147483647 h 691"/>
            <a:gd name="T52" fmla="*/ 2147483647 w 1460"/>
            <a:gd name="T53" fmla="*/ 2147483647 h 691"/>
            <a:gd name="T54" fmla="*/ 2147483647 w 1460"/>
            <a:gd name="T55" fmla="*/ 2147483647 h 691"/>
            <a:gd name="T56" fmla="*/ 2147483647 w 1460"/>
            <a:gd name="T57" fmla="*/ 2147483647 h 691"/>
            <a:gd name="T58" fmla="*/ 2147483647 w 1460"/>
            <a:gd name="T59" fmla="*/ 2147483647 h 691"/>
            <a:gd name="T60" fmla="*/ 2147483647 w 1460"/>
            <a:gd name="T61" fmla="*/ 2147483647 h 691"/>
            <a:gd name="T62" fmla="*/ 2147483647 w 1460"/>
            <a:gd name="T63" fmla="*/ 2147483647 h 691"/>
            <a:gd name="T64" fmla="*/ 2147483647 w 1460"/>
            <a:gd name="T65" fmla="*/ 2147483647 h 691"/>
            <a:gd name="T66" fmla="*/ 2147483647 w 1460"/>
            <a:gd name="T67" fmla="*/ 2147483647 h 691"/>
            <a:gd name="T68" fmla="*/ 2147483647 w 1460"/>
            <a:gd name="T69" fmla="*/ 2147483647 h 691"/>
            <a:gd name="T70" fmla="*/ 2147483647 w 1460"/>
            <a:gd name="T71" fmla="*/ 2147483647 h 691"/>
            <a:gd name="T72" fmla="*/ 2147483647 w 1460"/>
            <a:gd name="T73" fmla="*/ 2147483647 h 691"/>
            <a:gd name="T74" fmla="*/ 2147483647 w 1460"/>
            <a:gd name="T75" fmla="*/ 2147483647 h 691"/>
            <a:gd name="T76" fmla="*/ 2147483647 w 1460"/>
            <a:gd name="T77" fmla="*/ 2147483647 h 691"/>
            <a:gd name="T78" fmla="*/ 2147483647 w 1460"/>
            <a:gd name="T79" fmla="*/ 2147483647 h 691"/>
            <a:gd name="T80" fmla="*/ 2147483647 w 1460"/>
            <a:gd name="T81" fmla="*/ 2147483647 h 691"/>
            <a:gd name="T82" fmla="*/ 2147483647 w 1460"/>
            <a:gd name="T83" fmla="*/ 2147483647 h 691"/>
            <a:gd name="T84" fmla="*/ 2147483647 w 1460"/>
            <a:gd name="T85" fmla="*/ 2147483647 h 691"/>
            <a:gd name="T86" fmla="*/ 2147483647 w 1460"/>
            <a:gd name="T87" fmla="*/ 2147483647 h 691"/>
            <a:gd name="T88" fmla="*/ 2147483647 w 1460"/>
            <a:gd name="T89" fmla="*/ 2147483647 h 691"/>
            <a:gd name="T90" fmla="*/ 2147483647 w 1460"/>
            <a:gd name="T91" fmla="*/ 2147483647 h 691"/>
            <a:gd name="T92" fmla="*/ 2147483647 w 1460"/>
            <a:gd name="T93" fmla="*/ 2147483647 h 691"/>
            <a:gd name="T94" fmla="*/ 2147483647 w 1460"/>
            <a:gd name="T95" fmla="*/ 2147483647 h 691"/>
            <a:gd name="T96" fmla="*/ 2147483647 w 1460"/>
            <a:gd name="T97" fmla="*/ 2147483647 h 691"/>
            <a:gd name="T98" fmla="*/ 2147483647 w 1460"/>
            <a:gd name="T99" fmla="*/ 2147483647 h 691"/>
            <a:gd name="T100" fmla="*/ 2147483647 w 1460"/>
            <a:gd name="T101" fmla="*/ 2147483647 h 691"/>
            <a:gd name="T102" fmla="*/ 2147483647 w 1460"/>
            <a:gd name="T103" fmla="*/ 2147483647 h 691"/>
            <a:gd name="T104" fmla="*/ 2147483647 w 1460"/>
            <a:gd name="T105" fmla="*/ 2147483647 h 691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w 1460"/>
            <a:gd name="T160" fmla="*/ 0 h 691"/>
            <a:gd name="T161" fmla="*/ 1460 w 1460"/>
            <a:gd name="T162" fmla="*/ 691 h 691"/>
          </a:gdLst>
          <a:ahLst/>
          <a:cxnLst>
            <a:cxn ang="T106">
              <a:pos x="T0" y="T1"/>
            </a:cxn>
            <a:cxn ang="T107">
              <a:pos x="T2" y="T3"/>
            </a:cxn>
            <a:cxn ang="T108">
              <a:pos x="T4" y="T5"/>
            </a:cxn>
            <a:cxn ang="T109">
              <a:pos x="T6" y="T7"/>
            </a:cxn>
            <a:cxn ang="T110">
              <a:pos x="T8" y="T9"/>
            </a:cxn>
            <a:cxn ang="T111">
              <a:pos x="T10" y="T11"/>
            </a:cxn>
            <a:cxn ang="T112">
              <a:pos x="T12" y="T13"/>
            </a:cxn>
            <a:cxn ang="T113">
              <a:pos x="T14" y="T15"/>
            </a:cxn>
            <a:cxn ang="T114">
              <a:pos x="T16" y="T17"/>
            </a:cxn>
            <a:cxn ang="T115">
              <a:pos x="T18" y="T19"/>
            </a:cxn>
            <a:cxn ang="T116">
              <a:pos x="T20" y="T21"/>
            </a:cxn>
            <a:cxn ang="T117">
              <a:pos x="T22" y="T23"/>
            </a:cxn>
            <a:cxn ang="T118">
              <a:pos x="T24" y="T25"/>
            </a:cxn>
            <a:cxn ang="T119">
              <a:pos x="T26" y="T27"/>
            </a:cxn>
            <a:cxn ang="T120">
              <a:pos x="T28" y="T29"/>
            </a:cxn>
            <a:cxn ang="T121">
              <a:pos x="T30" y="T31"/>
            </a:cxn>
            <a:cxn ang="T122">
              <a:pos x="T32" y="T33"/>
            </a:cxn>
            <a:cxn ang="T123">
              <a:pos x="T34" y="T35"/>
            </a:cxn>
            <a:cxn ang="T124">
              <a:pos x="T36" y="T37"/>
            </a:cxn>
            <a:cxn ang="T125">
              <a:pos x="T38" y="T39"/>
            </a:cxn>
            <a:cxn ang="T126">
              <a:pos x="T40" y="T41"/>
            </a:cxn>
            <a:cxn ang="T127">
              <a:pos x="T42" y="T43"/>
            </a:cxn>
            <a:cxn ang="T128">
              <a:pos x="T44" y="T45"/>
            </a:cxn>
            <a:cxn ang="T129">
              <a:pos x="T46" y="T47"/>
            </a:cxn>
            <a:cxn ang="T130">
              <a:pos x="T48" y="T49"/>
            </a:cxn>
            <a:cxn ang="T131">
              <a:pos x="T50" y="T51"/>
            </a:cxn>
            <a:cxn ang="T132">
              <a:pos x="T52" y="T53"/>
            </a:cxn>
            <a:cxn ang="T133">
              <a:pos x="T54" y="T55"/>
            </a:cxn>
            <a:cxn ang="T134">
              <a:pos x="T56" y="T57"/>
            </a:cxn>
            <a:cxn ang="T135">
              <a:pos x="T58" y="T59"/>
            </a:cxn>
            <a:cxn ang="T136">
              <a:pos x="T60" y="T61"/>
            </a:cxn>
            <a:cxn ang="T137">
              <a:pos x="T62" y="T63"/>
            </a:cxn>
            <a:cxn ang="T138">
              <a:pos x="T64" y="T65"/>
            </a:cxn>
            <a:cxn ang="T139">
              <a:pos x="T66" y="T67"/>
            </a:cxn>
            <a:cxn ang="T140">
              <a:pos x="T68" y="T69"/>
            </a:cxn>
            <a:cxn ang="T141">
              <a:pos x="T70" y="T71"/>
            </a:cxn>
            <a:cxn ang="T142">
              <a:pos x="T72" y="T73"/>
            </a:cxn>
            <a:cxn ang="T143">
              <a:pos x="T74" y="T75"/>
            </a:cxn>
            <a:cxn ang="T144">
              <a:pos x="T76" y="T77"/>
            </a:cxn>
            <a:cxn ang="T145">
              <a:pos x="T78" y="T79"/>
            </a:cxn>
            <a:cxn ang="T146">
              <a:pos x="T80" y="T81"/>
            </a:cxn>
            <a:cxn ang="T147">
              <a:pos x="T82" y="T83"/>
            </a:cxn>
            <a:cxn ang="T148">
              <a:pos x="T84" y="T85"/>
            </a:cxn>
            <a:cxn ang="T149">
              <a:pos x="T86" y="T87"/>
            </a:cxn>
            <a:cxn ang="T150">
              <a:pos x="T88" y="T89"/>
            </a:cxn>
            <a:cxn ang="T151">
              <a:pos x="T90" y="T91"/>
            </a:cxn>
            <a:cxn ang="T152">
              <a:pos x="T92" y="T93"/>
            </a:cxn>
            <a:cxn ang="T153">
              <a:pos x="T94" y="T95"/>
            </a:cxn>
            <a:cxn ang="T154">
              <a:pos x="T96" y="T97"/>
            </a:cxn>
            <a:cxn ang="T155">
              <a:pos x="T98" y="T99"/>
            </a:cxn>
            <a:cxn ang="T156">
              <a:pos x="T100" y="T101"/>
            </a:cxn>
            <a:cxn ang="T157">
              <a:pos x="T102" y="T103"/>
            </a:cxn>
            <a:cxn ang="T158">
              <a:pos x="T104" y="T105"/>
            </a:cxn>
          </a:cxnLst>
          <a:rect l="T159" t="T160" r="T161" b="T162"/>
          <a:pathLst>
            <a:path w="1460" h="691">
              <a:moveTo>
                <a:pt x="1362" y="542"/>
              </a:moveTo>
              <a:lnTo>
                <a:pt x="1364" y="546"/>
              </a:lnTo>
              <a:lnTo>
                <a:pt x="1365" y="544"/>
              </a:lnTo>
              <a:lnTo>
                <a:pt x="1380" y="555"/>
              </a:lnTo>
              <a:lnTo>
                <a:pt x="1380" y="556"/>
              </a:lnTo>
              <a:lnTo>
                <a:pt x="1378" y="582"/>
              </a:lnTo>
              <a:lnTo>
                <a:pt x="1379" y="587"/>
              </a:lnTo>
              <a:lnTo>
                <a:pt x="1380" y="589"/>
              </a:lnTo>
              <a:lnTo>
                <a:pt x="1389" y="593"/>
              </a:lnTo>
              <a:lnTo>
                <a:pt x="1402" y="599"/>
              </a:lnTo>
              <a:lnTo>
                <a:pt x="1412" y="602"/>
              </a:lnTo>
              <a:lnTo>
                <a:pt x="1435" y="599"/>
              </a:lnTo>
              <a:lnTo>
                <a:pt x="1460" y="689"/>
              </a:lnTo>
              <a:lnTo>
                <a:pt x="1436" y="689"/>
              </a:lnTo>
              <a:lnTo>
                <a:pt x="1412" y="688"/>
              </a:lnTo>
              <a:lnTo>
                <a:pt x="1389" y="689"/>
              </a:lnTo>
              <a:lnTo>
                <a:pt x="1384" y="689"/>
              </a:lnTo>
              <a:lnTo>
                <a:pt x="1377" y="689"/>
              </a:lnTo>
              <a:lnTo>
                <a:pt x="1372" y="689"/>
              </a:lnTo>
              <a:lnTo>
                <a:pt x="1365" y="688"/>
              </a:lnTo>
              <a:lnTo>
                <a:pt x="1344" y="688"/>
              </a:lnTo>
              <a:lnTo>
                <a:pt x="1342" y="688"/>
              </a:lnTo>
              <a:lnTo>
                <a:pt x="1335" y="688"/>
              </a:lnTo>
              <a:lnTo>
                <a:pt x="1334" y="688"/>
              </a:lnTo>
              <a:lnTo>
                <a:pt x="1295" y="688"/>
              </a:lnTo>
              <a:lnTo>
                <a:pt x="1272" y="688"/>
              </a:lnTo>
              <a:lnTo>
                <a:pt x="1265" y="688"/>
              </a:lnTo>
              <a:lnTo>
                <a:pt x="1264" y="690"/>
              </a:lnTo>
              <a:lnTo>
                <a:pt x="1230" y="690"/>
              </a:lnTo>
              <a:lnTo>
                <a:pt x="1225" y="690"/>
              </a:lnTo>
              <a:lnTo>
                <a:pt x="1218" y="689"/>
              </a:lnTo>
              <a:lnTo>
                <a:pt x="1201" y="690"/>
              </a:lnTo>
              <a:lnTo>
                <a:pt x="1193" y="690"/>
              </a:lnTo>
              <a:lnTo>
                <a:pt x="1146" y="690"/>
              </a:lnTo>
              <a:lnTo>
                <a:pt x="1142" y="690"/>
              </a:lnTo>
              <a:lnTo>
                <a:pt x="1105" y="690"/>
              </a:lnTo>
              <a:lnTo>
                <a:pt x="1098" y="690"/>
              </a:lnTo>
              <a:lnTo>
                <a:pt x="1090" y="690"/>
              </a:lnTo>
              <a:lnTo>
                <a:pt x="1079" y="690"/>
              </a:lnTo>
              <a:lnTo>
                <a:pt x="1070" y="690"/>
              </a:lnTo>
              <a:lnTo>
                <a:pt x="1061" y="690"/>
              </a:lnTo>
              <a:lnTo>
                <a:pt x="1053" y="690"/>
              </a:lnTo>
              <a:lnTo>
                <a:pt x="1020" y="690"/>
              </a:lnTo>
              <a:lnTo>
                <a:pt x="1014" y="690"/>
              </a:lnTo>
              <a:lnTo>
                <a:pt x="1000" y="690"/>
              </a:lnTo>
              <a:lnTo>
                <a:pt x="991" y="690"/>
              </a:lnTo>
              <a:lnTo>
                <a:pt x="984" y="690"/>
              </a:lnTo>
              <a:lnTo>
                <a:pt x="976" y="690"/>
              </a:lnTo>
              <a:lnTo>
                <a:pt x="968" y="691"/>
              </a:lnTo>
              <a:lnTo>
                <a:pt x="945" y="691"/>
              </a:lnTo>
              <a:lnTo>
                <a:pt x="924" y="690"/>
              </a:lnTo>
              <a:lnTo>
                <a:pt x="921" y="690"/>
              </a:lnTo>
              <a:lnTo>
                <a:pt x="916" y="690"/>
              </a:lnTo>
              <a:lnTo>
                <a:pt x="913" y="690"/>
              </a:lnTo>
              <a:lnTo>
                <a:pt x="909" y="690"/>
              </a:lnTo>
              <a:lnTo>
                <a:pt x="906" y="690"/>
              </a:lnTo>
              <a:lnTo>
                <a:pt x="848" y="690"/>
              </a:lnTo>
              <a:lnTo>
                <a:pt x="833" y="690"/>
              </a:lnTo>
              <a:lnTo>
                <a:pt x="828" y="691"/>
              </a:lnTo>
              <a:lnTo>
                <a:pt x="804" y="691"/>
              </a:lnTo>
              <a:lnTo>
                <a:pt x="779" y="691"/>
              </a:lnTo>
              <a:lnTo>
                <a:pt x="769" y="691"/>
              </a:lnTo>
              <a:lnTo>
                <a:pt x="757" y="690"/>
              </a:lnTo>
              <a:lnTo>
                <a:pt x="740" y="690"/>
              </a:lnTo>
              <a:lnTo>
                <a:pt x="710" y="690"/>
              </a:lnTo>
              <a:lnTo>
                <a:pt x="687" y="690"/>
              </a:lnTo>
              <a:lnTo>
                <a:pt x="682" y="690"/>
              </a:lnTo>
              <a:lnTo>
                <a:pt x="677" y="690"/>
              </a:lnTo>
              <a:lnTo>
                <a:pt x="664" y="690"/>
              </a:lnTo>
              <a:lnTo>
                <a:pt x="632" y="690"/>
              </a:lnTo>
              <a:lnTo>
                <a:pt x="604" y="688"/>
              </a:lnTo>
              <a:lnTo>
                <a:pt x="594" y="688"/>
              </a:lnTo>
              <a:lnTo>
                <a:pt x="582" y="687"/>
              </a:lnTo>
              <a:lnTo>
                <a:pt x="572" y="687"/>
              </a:lnTo>
              <a:lnTo>
                <a:pt x="555" y="686"/>
              </a:lnTo>
              <a:lnTo>
                <a:pt x="542" y="686"/>
              </a:lnTo>
              <a:lnTo>
                <a:pt x="534" y="686"/>
              </a:lnTo>
              <a:lnTo>
                <a:pt x="530" y="687"/>
              </a:lnTo>
              <a:lnTo>
                <a:pt x="527" y="687"/>
              </a:lnTo>
              <a:lnTo>
                <a:pt x="525" y="686"/>
              </a:lnTo>
              <a:lnTo>
                <a:pt x="524" y="686"/>
              </a:lnTo>
              <a:lnTo>
                <a:pt x="519" y="686"/>
              </a:lnTo>
              <a:lnTo>
                <a:pt x="490" y="685"/>
              </a:lnTo>
              <a:lnTo>
                <a:pt x="443" y="683"/>
              </a:lnTo>
              <a:lnTo>
                <a:pt x="434" y="683"/>
              </a:lnTo>
              <a:lnTo>
                <a:pt x="417" y="683"/>
              </a:lnTo>
              <a:lnTo>
                <a:pt x="411" y="681"/>
              </a:lnTo>
              <a:lnTo>
                <a:pt x="383" y="679"/>
              </a:lnTo>
              <a:lnTo>
                <a:pt x="373" y="679"/>
              </a:lnTo>
              <a:lnTo>
                <a:pt x="380" y="674"/>
              </a:lnTo>
              <a:lnTo>
                <a:pt x="360" y="674"/>
              </a:lnTo>
              <a:lnTo>
                <a:pt x="345" y="673"/>
              </a:lnTo>
              <a:lnTo>
                <a:pt x="327" y="673"/>
              </a:lnTo>
              <a:lnTo>
                <a:pt x="325" y="678"/>
              </a:lnTo>
              <a:lnTo>
                <a:pt x="285" y="678"/>
              </a:lnTo>
              <a:lnTo>
                <a:pt x="280" y="678"/>
              </a:lnTo>
              <a:lnTo>
                <a:pt x="274" y="677"/>
              </a:lnTo>
              <a:lnTo>
                <a:pt x="267" y="678"/>
              </a:lnTo>
              <a:lnTo>
                <a:pt x="266" y="678"/>
              </a:lnTo>
              <a:lnTo>
                <a:pt x="258" y="677"/>
              </a:lnTo>
              <a:lnTo>
                <a:pt x="243" y="678"/>
              </a:lnTo>
              <a:lnTo>
                <a:pt x="219" y="678"/>
              </a:lnTo>
              <a:lnTo>
                <a:pt x="199" y="678"/>
              </a:lnTo>
              <a:lnTo>
                <a:pt x="197" y="678"/>
              </a:lnTo>
              <a:lnTo>
                <a:pt x="189" y="678"/>
              </a:lnTo>
              <a:lnTo>
                <a:pt x="158" y="678"/>
              </a:lnTo>
              <a:lnTo>
                <a:pt x="149" y="678"/>
              </a:lnTo>
              <a:lnTo>
                <a:pt x="129" y="678"/>
              </a:lnTo>
              <a:lnTo>
                <a:pt x="77" y="678"/>
              </a:lnTo>
              <a:lnTo>
                <a:pt x="75" y="677"/>
              </a:lnTo>
              <a:lnTo>
                <a:pt x="38" y="677"/>
              </a:lnTo>
              <a:lnTo>
                <a:pt x="9" y="677"/>
              </a:lnTo>
              <a:lnTo>
                <a:pt x="5" y="677"/>
              </a:lnTo>
              <a:lnTo>
                <a:pt x="0" y="676"/>
              </a:lnTo>
              <a:lnTo>
                <a:pt x="8" y="671"/>
              </a:lnTo>
              <a:lnTo>
                <a:pt x="33" y="660"/>
              </a:lnTo>
              <a:lnTo>
                <a:pt x="39" y="661"/>
              </a:lnTo>
              <a:lnTo>
                <a:pt x="101" y="641"/>
              </a:lnTo>
              <a:lnTo>
                <a:pt x="102" y="632"/>
              </a:lnTo>
              <a:lnTo>
                <a:pt x="148" y="608"/>
              </a:lnTo>
              <a:lnTo>
                <a:pt x="149" y="607"/>
              </a:lnTo>
              <a:lnTo>
                <a:pt x="151" y="588"/>
              </a:lnTo>
              <a:lnTo>
                <a:pt x="173" y="577"/>
              </a:lnTo>
              <a:lnTo>
                <a:pt x="180" y="553"/>
              </a:lnTo>
              <a:lnTo>
                <a:pt x="207" y="536"/>
              </a:lnTo>
              <a:lnTo>
                <a:pt x="209" y="535"/>
              </a:lnTo>
              <a:lnTo>
                <a:pt x="231" y="524"/>
              </a:lnTo>
              <a:lnTo>
                <a:pt x="243" y="521"/>
              </a:lnTo>
              <a:lnTo>
                <a:pt x="254" y="512"/>
              </a:lnTo>
              <a:lnTo>
                <a:pt x="276" y="493"/>
              </a:lnTo>
              <a:lnTo>
                <a:pt x="298" y="474"/>
              </a:lnTo>
              <a:lnTo>
                <a:pt x="319" y="456"/>
              </a:lnTo>
              <a:lnTo>
                <a:pt x="327" y="461"/>
              </a:lnTo>
              <a:lnTo>
                <a:pt x="322" y="464"/>
              </a:lnTo>
              <a:lnTo>
                <a:pt x="326" y="493"/>
              </a:lnTo>
              <a:lnTo>
                <a:pt x="361" y="526"/>
              </a:lnTo>
              <a:lnTo>
                <a:pt x="373" y="535"/>
              </a:lnTo>
              <a:lnTo>
                <a:pt x="417" y="518"/>
              </a:lnTo>
              <a:lnTo>
                <a:pt x="432" y="503"/>
              </a:lnTo>
              <a:lnTo>
                <a:pt x="441" y="511"/>
              </a:lnTo>
              <a:lnTo>
                <a:pt x="453" y="523"/>
              </a:lnTo>
              <a:lnTo>
                <a:pt x="458" y="526"/>
              </a:lnTo>
              <a:lnTo>
                <a:pt x="477" y="518"/>
              </a:lnTo>
              <a:lnTo>
                <a:pt x="504" y="511"/>
              </a:lnTo>
              <a:lnTo>
                <a:pt x="504" y="513"/>
              </a:lnTo>
              <a:lnTo>
                <a:pt x="528" y="501"/>
              </a:lnTo>
              <a:lnTo>
                <a:pt x="522" y="492"/>
              </a:lnTo>
              <a:lnTo>
                <a:pt x="526" y="481"/>
              </a:lnTo>
              <a:lnTo>
                <a:pt x="543" y="494"/>
              </a:lnTo>
              <a:lnTo>
                <a:pt x="594" y="472"/>
              </a:lnTo>
              <a:lnTo>
                <a:pt x="599" y="482"/>
              </a:lnTo>
              <a:lnTo>
                <a:pt x="628" y="464"/>
              </a:lnTo>
              <a:lnTo>
                <a:pt x="641" y="440"/>
              </a:lnTo>
              <a:lnTo>
                <a:pt x="646" y="434"/>
              </a:lnTo>
              <a:lnTo>
                <a:pt x="641" y="430"/>
              </a:lnTo>
              <a:lnTo>
                <a:pt x="634" y="426"/>
              </a:lnTo>
              <a:lnTo>
                <a:pt x="630" y="419"/>
              </a:lnTo>
              <a:lnTo>
                <a:pt x="644" y="398"/>
              </a:lnTo>
              <a:lnTo>
                <a:pt x="657" y="375"/>
              </a:lnTo>
              <a:lnTo>
                <a:pt x="676" y="357"/>
              </a:lnTo>
              <a:lnTo>
                <a:pt x="687" y="348"/>
              </a:lnTo>
              <a:lnTo>
                <a:pt x="688" y="346"/>
              </a:lnTo>
              <a:lnTo>
                <a:pt x="694" y="330"/>
              </a:lnTo>
              <a:lnTo>
                <a:pt x="698" y="316"/>
              </a:lnTo>
              <a:lnTo>
                <a:pt x="710" y="296"/>
              </a:lnTo>
              <a:lnTo>
                <a:pt x="725" y="283"/>
              </a:lnTo>
              <a:lnTo>
                <a:pt x="734" y="262"/>
              </a:lnTo>
              <a:lnTo>
                <a:pt x="737" y="258"/>
              </a:lnTo>
              <a:lnTo>
                <a:pt x="753" y="206"/>
              </a:lnTo>
              <a:lnTo>
                <a:pt x="767" y="213"/>
              </a:lnTo>
              <a:lnTo>
                <a:pt x="785" y="238"/>
              </a:lnTo>
              <a:lnTo>
                <a:pt x="816" y="249"/>
              </a:lnTo>
              <a:lnTo>
                <a:pt x="828" y="238"/>
              </a:lnTo>
              <a:lnTo>
                <a:pt x="832" y="233"/>
              </a:lnTo>
              <a:lnTo>
                <a:pt x="835" y="228"/>
              </a:lnTo>
              <a:lnTo>
                <a:pt x="835" y="226"/>
              </a:lnTo>
              <a:lnTo>
                <a:pt x="863" y="166"/>
              </a:lnTo>
              <a:lnTo>
                <a:pt x="874" y="147"/>
              </a:lnTo>
              <a:lnTo>
                <a:pt x="875" y="145"/>
              </a:lnTo>
              <a:lnTo>
                <a:pt x="899" y="166"/>
              </a:lnTo>
              <a:lnTo>
                <a:pt x="921" y="129"/>
              </a:lnTo>
              <a:lnTo>
                <a:pt x="954" y="110"/>
              </a:lnTo>
              <a:lnTo>
                <a:pt x="960" y="96"/>
              </a:lnTo>
              <a:lnTo>
                <a:pt x="966" y="89"/>
              </a:lnTo>
              <a:lnTo>
                <a:pt x="978" y="80"/>
              </a:lnTo>
              <a:lnTo>
                <a:pt x="991" y="38"/>
              </a:lnTo>
              <a:lnTo>
                <a:pt x="996" y="0"/>
              </a:lnTo>
              <a:lnTo>
                <a:pt x="1007" y="8"/>
              </a:lnTo>
              <a:lnTo>
                <a:pt x="1012" y="11"/>
              </a:lnTo>
              <a:lnTo>
                <a:pt x="1018" y="18"/>
              </a:lnTo>
              <a:lnTo>
                <a:pt x="1031" y="29"/>
              </a:lnTo>
              <a:lnTo>
                <a:pt x="1038" y="33"/>
              </a:lnTo>
              <a:lnTo>
                <a:pt x="1055" y="47"/>
              </a:lnTo>
              <a:lnTo>
                <a:pt x="1059" y="51"/>
              </a:lnTo>
              <a:lnTo>
                <a:pt x="1061" y="52"/>
              </a:lnTo>
              <a:lnTo>
                <a:pt x="1093" y="79"/>
              </a:lnTo>
              <a:lnTo>
                <a:pt x="1104" y="51"/>
              </a:lnTo>
              <a:lnTo>
                <a:pt x="1108" y="40"/>
              </a:lnTo>
              <a:lnTo>
                <a:pt x="1114" y="34"/>
              </a:lnTo>
              <a:lnTo>
                <a:pt x="1121" y="33"/>
              </a:lnTo>
              <a:lnTo>
                <a:pt x="1128" y="37"/>
              </a:lnTo>
              <a:lnTo>
                <a:pt x="1157" y="51"/>
              </a:lnTo>
              <a:lnTo>
                <a:pt x="1163" y="57"/>
              </a:lnTo>
              <a:lnTo>
                <a:pt x="1150" y="80"/>
              </a:lnTo>
              <a:lnTo>
                <a:pt x="1178" y="95"/>
              </a:lnTo>
              <a:lnTo>
                <a:pt x="1186" y="96"/>
              </a:lnTo>
              <a:lnTo>
                <a:pt x="1201" y="104"/>
              </a:lnTo>
              <a:lnTo>
                <a:pt x="1201" y="111"/>
              </a:lnTo>
              <a:lnTo>
                <a:pt x="1221" y="118"/>
              </a:lnTo>
              <a:lnTo>
                <a:pt x="1226" y="125"/>
              </a:lnTo>
              <a:lnTo>
                <a:pt x="1239" y="140"/>
              </a:lnTo>
              <a:lnTo>
                <a:pt x="1240" y="139"/>
              </a:lnTo>
              <a:lnTo>
                <a:pt x="1239" y="147"/>
              </a:lnTo>
              <a:lnTo>
                <a:pt x="1241" y="159"/>
              </a:lnTo>
              <a:lnTo>
                <a:pt x="1241" y="160"/>
              </a:lnTo>
              <a:lnTo>
                <a:pt x="1241" y="163"/>
              </a:lnTo>
              <a:lnTo>
                <a:pt x="1240" y="169"/>
              </a:lnTo>
              <a:lnTo>
                <a:pt x="1233" y="179"/>
              </a:lnTo>
              <a:lnTo>
                <a:pt x="1225" y="185"/>
              </a:lnTo>
              <a:lnTo>
                <a:pt x="1224" y="187"/>
              </a:lnTo>
              <a:lnTo>
                <a:pt x="1224" y="196"/>
              </a:lnTo>
              <a:lnTo>
                <a:pt x="1210" y="200"/>
              </a:lnTo>
              <a:lnTo>
                <a:pt x="1208" y="197"/>
              </a:lnTo>
              <a:lnTo>
                <a:pt x="1207" y="196"/>
              </a:lnTo>
              <a:lnTo>
                <a:pt x="1201" y="198"/>
              </a:lnTo>
              <a:lnTo>
                <a:pt x="1199" y="214"/>
              </a:lnTo>
              <a:lnTo>
                <a:pt x="1192" y="227"/>
              </a:lnTo>
              <a:lnTo>
                <a:pt x="1192" y="228"/>
              </a:lnTo>
              <a:lnTo>
                <a:pt x="1189" y="244"/>
              </a:lnTo>
              <a:lnTo>
                <a:pt x="1195" y="264"/>
              </a:lnTo>
              <a:lnTo>
                <a:pt x="1201" y="267"/>
              </a:lnTo>
              <a:lnTo>
                <a:pt x="1245" y="257"/>
              </a:lnTo>
              <a:lnTo>
                <a:pt x="1249" y="281"/>
              </a:lnTo>
              <a:lnTo>
                <a:pt x="1256" y="287"/>
              </a:lnTo>
              <a:lnTo>
                <a:pt x="1258" y="297"/>
              </a:lnTo>
              <a:lnTo>
                <a:pt x="1272" y="306"/>
              </a:lnTo>
              <a:lnTo>
                <a:pt x="1318" y="310"/>
              </a:lnTo>
              <a:lnTo>
                <a:pt x="1338" y="338"/>
              </a:lnTo>
              <a:lnTo>
                <a:pt x="1391" y="372"/>
              </a:lnTo>
              <a:lnTo>
                <a:pt x="1377" y="405"/>
              </a:lnTo>
              <a:lnTo>
                <a:pt x="1376" y="421"/>
              </a:lnTo>
              <a:lnTo>
                <a:pt x="1382" y="434"/>
              </a:lnTo>
              <a:lnTo>
                <a:pt x="1342" y="430"/>
              </a:lnTo>
              <a:lnTo>
                <a:pt x="1328" y="405"/>
              </a:lnTo>
              <a:lnTo>
                <a:pt x="1315" y="395"/>
              </a:lnTo>
              <a:lnTo>
                <a:pt x="1296" y="375"/>
              </a:lnTo>
              <a:lnTo>
                <a:pt x="1290" y="375"/>
              </a:lnTo>
              <a:lnTo>
                <a:pt x="1289" y="375"/>
              </a:lnTo>
              <a:lnTo>
                <a:pt x="1296" y="388"/>
              </a:lnTo>
              <a:lnTo>
                <a:pt x="1307" y="400"/>
              </a:lnTo>
              <a:lnTo>
                <a:pt x="1318" y="406"/>
              </a:lnTo>
              <a:lnTo>
                <a:pt x="1332" y="434"/>
              </a:lnTo>
              <a:lnTo>
                <a:pt x="1368" y="447"/>
              </a:lnTo>
              <a:lnTo>
                <a:pt x="1368" y="458"/>
              </a:lnTo>
              <a:lnTo>
                <a:pt x="1373" y="464"/>
              </a:lnTo>
              <a:lnTo>
                <a:pt x="1383" y="464"/>
              </a:lnTo>
              <a:lnTo>
                <a:pt x="1389" y="494"/>
              </a:lnTo>
              <a:lnTo>
                <a:pt x="1366" y="493"/>
              </a:lnTo>
              <a:lnTo>
                <a:pt x="1360" y="489"/>
              </a:lnTo>
              <a:lnTo>
                <a:pt x="1352" y="495"/>
              </a:lnTo>
              <a:lnTo>
                <a:pt x="1365" y="519"/>
              </a:lnTo>
              <a:lnTo>
                <a:pt x="1341" y="525"/>
              </a:lnTo>
              <a:lnTo>
                <a:pt x="1342" y="527"/>
              </a:lnTo>
              <a:lnTo>
                <a:pt x="1363" y="528"/>
              </a:lnTo>
              <a:lnTo>
                <a:pt x="1362" y="542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pPr algn="ctr"/>
          <a:endParaRPr lang="en-US" sz="800" b="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18</xdr:col>
      <xdr:colOff>434787</xdr:colOff>
      <xdr:row>12</xdr:row>
      <xdr:rowOff>83399</xdr:rowOff>
    </xdr:from>
    <xdr:to>
      <xdr:col>19</xdr:col>
      <xdr:colOff>279991</xdr:colOff>
      <xdr:row>15</xdr:row>
      <xdr:rowOff>172171</xdr:rowOff>
    </xdr:to>
    <xdr:sp macro="" textlink="">
      <xdr:nvSpPr>
        <xdr:cNvPr id="52" name="S_UT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>
          <a:spLocks/>
        </xdr:cNvSpPr>
      </xdr:nvSpPr>
      <xdr:spPr bwMode="auto">
        <a:xfrm>
          <a:off x="1415862" y="2521799"/>
          <a:ext cx="454804" cy="698372"/>
        </a:xfrm>
        <a:custGeom>
          <a:avLst/>
          <a:gdLst>
            <a:gd name="T0" fmla="*/ 0 w 936"/>
            <a:gd name="T1" fmla="*/ 2147483647 h 1183"/>
            <a:gd name="T2" fmla="*/ 0 w 936"/>
            <a:gd name="T3" fmla="*/ 2147483647 h 1183"/>
            <a:gd name="T4" fmla="*/ 0 w 936"/>
            <a:gd name="T5" fmla="*/ 2147483647 h 1183"/>
            <a:gd name="T6" fmla="*/ 2147483647 w 936"/>
            <a:gd name="T7" fmla="*/ 2147483647 h 1183"/>
            <a:gd name="T8" fmla="*/ 2147483647 w 936"/>
            <a:gd name="T9" fmla="*/ 2147483647 h 1183"/>
            <a:gd name="T10" fmla="*/ 2147483647 w 936"/>
            <a:gd name="T11" fmla="*/ 2147483647 h 1183"/>
            <a:gd name="T12" fmla="*/ 2147483647 w 936"/>
            <a:gd name="T13" fmla="*/ 2147483647 h 1183"/>
            <a:gd name="T14" fmla="*/ 2147483647 w 936"/>
            <a:gd name="T15" fmla="*/ 2147483647 h 1183"/>
            <a:gd name="T16" fmla="*/ 2147483647 w 936"/>
            <a:gd name="T17" fmla="*/ 2147483647 h 1183"/>
            <a:gd name="T18" fmla="*/ 2147483647 w 936"/>
            <a:gd name="T19" fmla="*/ 2147483647 h 1183"/>
            <a:gd name="T20" fmla="*/ 2147483647 w 936"/>
            <a:gd name="T21" fmla="*/ 2147483647 h 1183"/>
            <a:gd name="T22" fmla="*/ 2147483647 w 936"/>
            <a:gd name="T23" fmla="*/ 2147483647 h 1183"/>
            <a:gd name="T24" fmla="*/ 2147483647 w 936"/>
            <a:gd name="T25" fmla="*/ 2147483647 h 1183"/>
            <a:gd name="T26" fmla="*/ 2147483647 w 936"/>
            <a:gd name="T27" fmla="*/ 2147483647 h 1183"/>
            <a:gd name="T28" fmla="*/ 2147483647 w 936"/>
            <a:gd name="T29" fmla="*/ 2147483647 h 1183"/>
            <a:gd name="T30" fmla="*/ 2147483647 w 936"/>
            <a:gd name="T31" fmla="*/ 2147483647 h 1183"/>
            <a:gd name="T32" fmla="*/ 2147483647 w 936"/>
            <a:gd name="T33" fmla="*/ 2147483647 h 1183"/>
            <a:gd name="T34" fmla="*/ 2147483647 w 936"/>
            <a:gd name="T35" fmla="*/ 2147483647 h 1183"/>
            <a:gd name="T36" fmla="*/ 2147483647 w 936"/>
            <a:gd name="T37" fmla="*/ 2147483647 h 1183"/>
            <a:gd name="T38" fmla="*/ 2147483647 w 936"/>
            <a:gd name="T39" fmla="*/ 2147483647 h 1183"/>
            <a:gd name="T40" fmla="*/ 2147483647 w 936"/>
            <a:gd name="T41" fmla="*/ 2147483647 h 1183"/>
            <a:gd name="T42" fmla="*/ 2147483647 w 936"/>
            <a:gd name="T43" fmla="*/ 2147483647 h 1183"/>
            <a:gd name="T44" fmla="*/ 2147483647 w 936"/>
            <a:gd name="T45" fmla="*/ 2147483647 h 1183"/>
            <a:gd name="T46" fmla="*/ 2147483647 w 936"/>
            <a:gd name="T47" fmla="*/ 2147483647 h 1183"/>
            <a:gd name="T48" fmla="*/ 2147483647 w 936"/>
            <a:gd name="T49" fmla="*/ 2147483647 h 1183"/>
            <a:gd name="T50" fmla="*/ 2147483647 w 936"/>
            <a:gd name="T51" fmla="*/ 2147483647 h 1183"/>
            <a:gd name="T52" fmla="*/ 2147483647 w 936"/>
            <a:gd name="T53" fmla="*/ 2147483647 h 1183"/>
            <a:gd name="T54" fmla="*/ 2147483647 w 936"/>
            <a:gd name="T55" fmla="*/ 2147483647 h 1183"/>
            <a:gd name="T56" fmla="*/ 2147483647 w 936"/>
            <a:gd name="T57" fmla="*/ 2147483647 h 1183"/>
            <a:gd name="T58" fmla="*/ 2147483647 w 936"/>
            <a:gd name="T59" fmla="*/ 2147483647 h 1183"/>
            <a:gd name="T60" fmla="*/ 2147483647 w 936"/>
            <a:gd name="T61" fmla="*/ 2147483647 h 1183"/>
            <a:gd name="T62" fmla="*/ 2147483647 w 936"/>
            <a:gd name="T63" fmla="*/ 0 h 1183"/>
            <a:gd name="T64" fmla="*/ 2147483647 w 936"/>
            <a:gd name="T65" fmla="*/ 0 h 1183"/>
            <a:gd name="T66" fmla="*/ 2147483647 w 936"/>
            <a:gd name="T67" fmla="*/ 0 h 1183"/>
            <a:gd name="T68" fmla="*/ 2147483647 w 936"/>
            <a:gd name="T69" fmla="*/ 0 h 1183"/>
            <a:gd name="T70" fmla="*/ 2147483647 w 936"/>
            <a:gd name="T71" fmla="*/ 0 h 1183"/>
            <a:gd name="T72" fmla="*/ 2147483647 w 936"/>
            <a:gd name="T73" fmla="*/ 0 h 1183"/>
            <a:gd name="T74" fmla="*/ 2147483647 w 936"/>
            <a:gd name="T75" fmla="*/ 0 h 1183"/>
            <a:gd name="T76" fmla="*/ 2147483647 w 936"/>
            <a:gd name="T77" fmla="*/ 0 h 1183"/>
            <a:gd name="T78" fmla="*/ 2147483647 w 936"/>
            <a:gd name="T79" fmla="*/ 2147483647 h 1183"/>
            <a:gd name="T80" fmla="*/ 2147483647 w 936"/>
            <a:gd name="T81" fmla="*/ 2147483647 h 1183"/>
            <a:gd name="T82" fmla="*/ 2147483647 w 936"/>
            <a:gd name="T83" fmla="*/ 2147483647 h 1183"/>
            <a:gd name="T84" fmla="*/ 2147483647 w 936"/>
            <a:gd name="T85" fmla="*/ 2147483647 h 1183"/>
            <a:gd name="T86" fmla="*/ 0 w 936"/>
            <a:gd name="T87" fmla="*/ 2147483647 h 1183"/>
            <a:gd name="T88" fmla="*/ 0 w 936"/>
            <a:gd name="T89" fmla="*/ 2147483647 h 1183"/>
            <a:gd name="T90" fmla="*/ 0 w 936"/>
            <a:gd name="T91" fmla="*/ 2147483647 h 1183"/>
            <a:gd name="T92" fmla="*/ 0 w 936"/>
            <a:gd name="T93" fmla="*/ 2147483647 h 1183"/>
            <a:gd name="T94" fmla="*/ 0 w 936"/>
            <a:gd name="T95" fmla="*/ 2147483647 h 1183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w 936"/>
            <a:gd name="T145" fmla="*/ 0 h 1183"/>
            <a:gd name="T146" fmla="*/ 936 w 936"/>
            <a:gd name="T147" fmla="*/ 1183 h 1183"/>
          </a:gdLst>
          <a:ahLst/>
          <a:cxnLst>
            <a:cxn ang="T96">
              <a:pos x="T0" y="T1"/>
            </a:cxn>
            <a:cxn ang="T97">
              <a:pos x="T2" y="T3"/>
            </a:cxn>
            <a:cxn ang="T98">
              <a:pos x="T4" y="T5"/>
            </a:cxn>
            <a:cxn ang="T99">
              <a:pos x="T6" y="T7"/>
            </a:cxn>
            <a:cxn ang="T100">
              <a:pos x="T8" y="T9"/>
            </a:cxn>
            <a:cxn ang="T101">
              <a:pos x="T10" y="T11"/>
            </a:cxn>
            <a:cxn ang="T102">
              <a:pos x="T12" y="T13"/>
            </a:cxn>
            <a:cxn ang="T103">
              <a:pos x="T14" y="T15"/>
            </a:cxn>
            <a:cxn ang="T104">
              <a:pos x="T16" y="T17"/>
            </a:cxn>
            <a:cxn ang="T105">
              <a:pos x="T18" y="T19"/>
            </a:cxn>
            <a:cxn ang="T106">
              <a:pos x="T20" y="T21"/>
            </a:cxn>
            <a:cxn ang="T107">
              <a:pos x="T22" y="T23"/>
            </a:cxn>
            <a:cxn ang="T108">
              <a:pos x="T24" y="T25"/>
            </a:cxn>
            <a:cxn ang="T109">
              <a:pos x="T26" y="T27"/>
            </a:cxn>
            <a:cxn ang="T110">
              <a:pos x="T28" y="T29"/>
            </a:cxn>
            <a:cxn ang="T111">
              <a:pos x="T30" y="T31"/>
            </a:cxn>
            <a:cxn ang="T112">
              <a:pos x="T32" y="T33"/>
            </a:cxn>
            <a:cxn ang="T113">
              <a:pos x="T34" y="T35"/>
            </a:cxn>
            <a:cxn ang="T114">
              <a:pos x="T36" y="T37"/>
            </a:cxn>
            <a:cxn ang="T115">
              <a:pos x="T38" y="T39"/>
            </a:cxn>
            <a:cxn ang="T116">
              <a:pos x="T40" y="T41"/>
            </a:cxn>
            <a:cxn ang="T117">
              <a:pos x="T42" y="T43"/>
            </a:cxn>
            <a:cxn ang="T118">
              <a:pos x="T44" y="T45"/>
            </a:cxn>
            <a:cxn ang="T119">
              <a:pos x="T46" y="T47"/>
            </a:cxn>
            <a:cxn ang="T120">
              <a:pos x="T48" y="T49"/>
            </a:cxn>
            <a:cxn ang="T121">
              <a:pos x="T50" y="T51"/>
            </a:cxn>
            <a:cxn ang="T122">
              <a:pos x="T52" y="T53"/>
            </a:cxn>
            <a:cxn ang="T123">
              <a:pos x="T54" y="T55"/>
            </a:cxn>
            <a:cxn ang="T124">
              <a:pos x="T56" y="T57"/>
            </a:cxn>
            <a:cxn ang="T125">
              <a:pos x="T58" y="T59"/>
            </a:cxn>
            <a:cxn ang="T126">
              <a:pos x="T60" y="T61"/>
            </a:cxn>
            <a:cxn ang="T127">
              <a:pos x="T62" y="T63"/>
            </a:cxn>
            <a:cxn ang="T128">
              <a:pos x="T64" y="T65"/>
            </a:cxn>
            <a:cxn ang="T129">
              <a:pos x="T66" y="T67"/>
            </a:cxn>
            <a:cxn ang="T130">
              <a:pos x="T68" y="T69"/>
            </a:cxn>
            <a:cxn ang="T131">
              <a:pos x="T70" y="T71"/>
            </a:cxn>
            <a:cxn ang="T132">
              <a:pos x="T72" y="T73"/>
            </a:cxn>
            <a:cxn ang="T133">
              <a:pos x="T74" y="T75"/>
            </a:cxn>
            <a:cxn ang="T134">
              <a:pos x="T76" y="T77"/>
            </a:cxn>
            <a:cxn ang="T135">
              <a:pos x="T78" y="T79"/>
            </a:cxn>
            <a:cxn ang="T136">
              <a:pos x="T80" y="T81"/>
            </a:cxn>
            <a:cxn ang="T137">
              <a:pos x="T82" y="T83"/>
            </a:cxn>
            <a:cxn ang="T138">
              <a:pos x="T84" y="T85"/>
            </a:cxn>
            <a:cxn ang="T139">
              <a:pos x="T86" y="T87"/>
            </a:cxn>
            <a:cxn ang="T140">
              <a:pos x="T88" y="T89"/>
            </a:cxn>
            <a:cxn ang="T141">
              <a:pos x="T90" y="T91"/>
            </a:cxn>
            <a:cxn ang="T142">
              <a:pos x="T92" y="T93"/>
            </a:cxn>
            <a:cxn ang="T143">
              <a:pos x="T94" y="T95"/>
            </a:cxn>
          </a:cxnLst>
          <a:rect l="T144" t="T145" r="T146" b="T147"/>
          <a:pathLst>
            <a:path w="936" h="1183">
              <a:moveTo>
                <a:pt x="0" y="911"/>
              </a:moveTo>
              <a:lnTo>
                <a:pt x="0" y="1000"/>
              </a:lnTo>
              <a:lnTo>
                <a:pt x="0" y="1005"/>
              </a:lnTo>
              <a:lnTo>
                <a:pt x="0" y="1040"/>
              </a:lnTo>
              <a:lnTo>
                <a:pt x="0" y="1080"/>
              </a:lnTo>
              <a:lnTo>
                <a:pt x="0" y="1157"/>
              </a:lnTo>
              <a:lnTo>
                <a:pt x="0" y="1182"/>
              </a:lnTo>
              <a:lnTo>
                <a:pt x="61" y="1182"/>
              </a:lnTo>
              <a:lnTo>
                <a:pt x="123" y="1182"/>
              </a:lnTo>
              <a:lnTo>
                <a:pt x="215" y="1182"/>
              </a:lnTo>
              <a:lnTo>
                <a:pt x="219" y="1182"/>
              </a:lnTo>
              <a:lnTo>
                <a:pt x="243" y="1182"/>
              </a:lnTo>
              <a:lnTo>
                <a:pt x="282" y="1182"/>
              </a:lnTo>
              <a:lnTo>
                <a:pt x="430" y="1182"/>
              </a:lnTo>
              <a:lnTo>
                <a:pt x="477" y="1182"/>
              </a:lnTo>
              <a:lnTo>
                <a:pt x="493" y="1182"/>
              </a:lnTo>
              <a:lnTo>
                <a:pt x="523" y="1182"/>
              </a:lnTo>
              <a:lnTo>
                <a:pt x="570" y="1182"/>
              </a:lnTo>
              <a:lnTo>
                <a:pt x="617" y="1182"/>
              </a:lnTo>
              <a:lnTo>
                <a:pt x="665" y="1181"/>
              </a:lnTo>
              <a:lnTo>
                <a:pt x="670" y="1183"/>
              </a:lnTo>
              <a:lnTo>
                <a:pt x="757" y="1183"/>
              </a:lnTo>
              <a:lnTo>
                <a:pt x="827" y="1183"/>
              </a:lnTo>
              <a:lnTo>
                <a:pt x="851" y="1182"/>
              </a:lnTo>
              <a:lnTo>
                <a:pt x="936" y="1183"/>
              </a:lnTo>
              <a:lnTo>
                <a:pt x="936" y="1068"/>
              </a:lnTo>
              <a:lnTo>
                <a:pt x="936" y="1064"/>
              </a:lnTo>
              <a:lnTo>
                <a:pt x="936" y="1005"/>
              </a:lnTo>
              <a:lnTo>
                <a:pt x="936" y="974"/>
              </a:lnTo>
              <a:lnTo>
                <a:pt x="936" y="946"/>
              </a:lnTo>
              <a:lnTo>
                <a:pt x="936" y="909"/>
              </a:lnTo>
              <a:lnTo>
                <a:pt x="936" y="907"/>
              </a:lnTo>
              <a:lnTo>
                <a:pt x="933" y="881"/>
              </a:lnTo>
              <a:lnTo>
                <a:pt x="933" y="828"/>
              </a:lnTo>
              <a:lnTo>
                <a:pt x="933" y="769"/>
              </a:lnTo>
              <a:lnTo>
                <a:pt x="935" y="710"/>
              </a:lnTo>
              <a:lnTo>
                <a:pt x="935" y="623"/>
              </a:lnTo>
              <a:lnTo>
                <a:pt x="935" y="621"/>
              </a:lnTo>
              <a:lnTo>
                <a:pt x="935" y="592"/>
              </a:lnTo>
              <a:lnTo>
                <a:pt x="935" y="591"/>
              </a:lnTo>
              <a:lnTo>
                <a:pt x="935" y="562"/>
              </a:lnTo>
              <a:lnTo>
                <a:pt x="935" y="554"/>
              </a:lnTo>
              <a:lnTo>
                <a:pt x="935" y="503"/>
              </a:lnTo>
              <a:lnTo>
                <a:pt x="935" y="473"/>
              </a:lnTo>
              <a:lnTo>
                <a:pt x="935" y="421"/>
              </a:lnTo>
              <a:lnTo>
                <a:pt x="935" y="370"/>
              </a:lnTo>
              <a:lnTo>
                <a:pt x="935" y="326"/>
              </a:lnTo>
              <a:lnTo>
                <a:pt x="935" y="319"/>
              </a:lnTo>
              <a:lnTo>
                <a:pt x="935" y="297"/>
              </a:lnTo>
              <a:lnTo>
                <a:pt x="935" y="267"/>
              </a:lnTo>
              <a:lnTo>
                <a:pt x="935" y="237"/>
              </a:lnTo>
              <a:lnTo>
                <a:pt x="851" y="237"/>
              </a:lnTo>
              <a:lnTo>
                <a:pt x="844" y="238"/>
              </a:lnTo>
              <a:lnTo>
                <a:pt x="757" y="238"/>
              </a:lnTo>
              <a:lnTo>
                <a:pt x="748" y="238"/>
              </a:lnTo>
              <a:lnTo>
                <a:pt x="706" y="238"/>
              </a:lnTo>
              <a:lnTo>
                <a:pt x="562" y="237"/>
              </a:lnTo>
              <a:lnTo>
                <a:pt x="562" y="178"/>
              </a:lnTo>
              <a:lnTo>
                <a:pt x="562" y="132"/>
              </a:lnTo>
              <a:lnTo>
                <a:pt x="562" y="119"/>
              </a:lnTo>
              <a:lnTo>
                <a:pt x="562" y="100"/>
              </a:lnTo>
              <a:lnTo>
                <a:pt x="562" y="60"/>
              </a:lnTo>
              <a:lnTo>
                <a:pt x="562" y="40"/>
              </a:lnTo>
              <a:lnTo>
                <a:pt x="562" y="0"/>
              </a:lnTo>
              <a:lnTo>
                <a:pt x="491" y="0"/>
              </a:lnTo>
              <a:lnTo>
                <a:pt x="485" y="1"/>
              </a:lnTo>
              <a:lnTo>
                <a:pt x="475" y="1"/>
              </a:lnTo>
              <a:lnTo>
                <a:pt x="430" y="1"/>
              </a:lnTo>
              <a:lnTo>
                <a:pt x="383" y="1"/>
              </a:lnTo>
              <a:lnTo>
                <a:pt x="363" y="1"/>
              </a:lnTo>
              <a:lnTo>
                <a:pt x="359" y="1"/>
              </a:lnTo>
              <a:lnTo>
                <a:pt x="353" y="1"/>
              </a:lnTo>
              <a:lnTo>
                <a:pt x="351" y="1"/>
              </a:lnTo>
              <a:lnTo>
                <a:pt x="348" y="0"/>
              </a:lnTo>
              <a:lnTo>
                <a:pt x="196" y="1"/>
              </a:lnTo>
              <a:lnTo>
                <a:pt x="150" y="1"/>
              </a:lnTo>
              <a:lnTo>
                <a:pt x="55" y="4"/>
              </a:lnTo>
              <a:lnTo>
                <a:pt x="2" y="3"/>
              </a:lnTo>
              <a:lnTo>
                <a:pt x="2" y="28"/>
              </a:lnTo>
              <a:lnTo>
                <a:pt x="2" y="160"/>
              </a:lnTo>
              <a:lnTo>
                <a:pt x="1" y="237"/>
              </a:lnTo>
              <a:lnTo>
                <a:pt x="1" y="326"/>
              </a:lnTo>
              <a:lnTo>
                <a:pt x="1" y="391"/>
              </a:lnTo>
              <a:lnTo>
                <a:pt x="1" y="446"/>
              </a:lnTo>
              <a:lnTo>
                <a:pt x="1" y="473"/>
              </a:lnTo>
              <a:lnTo>
                <a:pt x="1" y="496"/>
              </a:lnTo>
              <a:lnTo>
                <a:pt x="1" y="532"/>
              </a:lnTo>
              <a:lnTo>
                <a:pt x="0" y="582"/>
              </a:lnTo>
              <a:lnTo>
                <a:pt x="1" y="591"/>
              </a:lnTo>
              <a:lnTo>
                <a:pt x="0" y="742"/>
              </a:lnTo>
              <a:lnTo>
                <a:pt x="0" y="786"/>
              </a:lnTo>
              <a:lnTo>
                <a:pt x="0" y="799"/>
              </a:lnTo>
              <a:lnTo>
                <a:pt x="0" y="811"/>
              </a:lnTo>
              <a:lnTo>
                <a:pt x="0" y="828"/>
              </a:lnTo>
              <a:lnTo>
                <a:pt x="0" y="877"/>
              </a:lnTo>
              <a:lnTo>
                <a:pt x="0" y="911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pPr algn="ctr"/>
          <a:endParaRPr lang="en-US" sz="800" b="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19</xdr:col>
      <xdr:colOff>491857</xdr:colOff>
      <xdr:row>16</xdr:row>
      <xdr:rowOff>4126</xdr:rowOff>
    </xdr:from>
    <xdr:to>
      <xdr:col>21</xdr:col>
      <xdr:colOff>461188</xdr:colOff>
      <xdr:row>23</xdr:row>
      <xdr:rowOff>75348</xdr:rowOff>
    </xdr:to>
    <xdr:sp macro="" textlink="">
      <xdr:nvSpPr>
        <xdr:cNvPr id="53" name="S_TX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>
          <a:spLocks/>
        </xdr:cNvSpPr>
      </xdr:nvSpPr>
      <xdr:spPr bwMode="auto">
        <a:xfrm>
          <a:off x="2082532" y="3242626"/>
          <a:ext cx="1188531" cy="1633322"/>
        </a:xfrm>
        <a:custGeom>
          <a:avLst/>
          <a:gdLst>
            <a:gd name="T0" fmla="*/ 2147483647 w 2449"/>
            <a:gd name="T1" fmla="*/ 2147483647 h 2510"/>
            <a:gd name="T2" fmla="*/ 2147483647 w 2449"/>
            <a:gd name="T3" fmla="*/ 2147483647 h 2510"/>
            <a:gd name="T4" fmla="*/ 2147483647 w 2449"/>
            <a:gd name="T5" fmla="*/ 2147483647 h 2510"/>
            <a:gd name="T6" fmla="*/ 2147483647 w 2449"/>
            <a:gd name="T7" fmla="*/ 2147483647 h 2510"/>
            <a:gd name="T8" fmla="*/ 2147483647 w 2449"/>
            <a:gd name="T9" fmla="*/ 2147483647 h 2510"/>
            <a:gd name="T10" fmla="*/ 2147483647 w 2449"/>
            <a:gd name="T11" fmla="*/ 2147483647 h 2510"/>
            <a:gd name="T12" fmla="*/ 2147483647 w 2449"/>
            <a:gd name="T13" fmla="*/ 2147483647 h 2510"/>
            <a:gd name="T14" fmla="*/ 2147483647 w 2449"/>
            <a:gd name="T15" fmla="*/ 2147483647 h 2510"/>
            <a:gd name="T16" fmla="*/ 2147483647 w 2449"/>
            <a:gd name="T17" fmla="*/ 2147483647 h 2510"/>
            <a:gd name="T18" fmla="*/ 2147483647 w 2449"/>
            <a:gd name="T19" fmla="*/ 2147483647 h 2510"/>
            <a:gd name="T20" fmla="*/ 2147483647 w 2449"/>
            <a:gd name="T21" fmla="*/ 2147483647 h 2510"/>
            <a:gd name="T22" fmla="*/ 2147483647 w 2449"/>
            <a:gd name="T23" fmla="*/ 2147483647 h 2510"/>
            <a:gd name="T24" fmla="*/ 2147483647 w 2449"/>
            <a:gd name="T25" fmla="*/ 2147483647 h 2510"/>
            <a:gd name="T26" fmla="*/ 2147483647 w 2449"/>
            <a:gd name="T27" fmla="*/ 2147483647 h 2510"/>
            <a:gd name="T28" fmla="*/ 2147483647 w 2449"/>
            <a:gd name="T29" fmla="*/ 2147483647 h 2510"/>
            <a:gd name="T30" fmla="*/ 2147483647 w 2449"/>
            <a:gd name="T31" fmla="*/ 2147483647 h 2510"/>
            <a:gd name="T32" fmla="*/ 2147483647 w 2449"/>
            <a:gd name="T33" fmla="*/ 2147483647 h 2510"/>
            <a:gd name="T34" fmla="*/ 2147483647 w 2449"/>
            <a:gd name="T35" fmla="*/ 2147483647 h 2510"/>
            <a:gd name="T36" fmla="*/ 2147483647 w 2449"/>
            <a:gd name="T37" fmla="*/ 2147483647 h 2510"/>
            <a:gd name="T38" fmla="*/ 2147483647 w 2449"/>
            <a:gd name="T39" fmla="*/ 2147483647 h 2510"/>
            <a:gd name="T40" fmla="*/ 2147483647 w 2449"/>
            <a:gd name="T41" fmla="*/ 2147483647 h 2510"/>
            <a:gd name="T42" fmla="*/ 2147483647 w 2449"/>
            <a:gd name="T43" fmla="*/ 2147483647 h 2510"/>
            <a:gd name="T44" fmla="*/ 2147483647 w 2449"/>
            <a:gd name="T45" fmla="*/ 2147483647 h 2510"/>
            <a:gd name="T46" fmla="*/ 2147483647 w 2449"/>
            <a:gd name="T47" fmla="*/ 2147483647 h 2510"/>
            <a:gd name="T48" fmla="*/ 2147483647 w 2449"/>
            <a:gd name="T49" fmla="*/ 2147483647 h 2510"/>
            <a:gd name="T50" fmla="*/ 2147483647 w 2449"/>
            <a:gd name="T51" fmla="*/ 2147483647 h 2510"/>
            <a:gd name="T52" fmla="*/ 2147483647 w 2449"/>
            <a:gd name="T53" fmla="*/ 2147483647 h 2510"/>
            <a:gd name="T54" fmla="*/ 2147483647 w 2449"/>
            <a:gd name="T55" fmla="*/ 2147483647 h 2510"/>
            <a:gd name="T56" fmla="*/ 2147483647 w 2449"/>
            <a:gd name="T57" fmla="*/ 2147483647 h 2510"/>
            <a:gd name="T58" fmla="*/ 2147483647 w 2449"/>
            <a:gd name="T59" fmla="*/ 2147483647 h 2510"/>
            <a:gd name="T60" fmla="*/ 2147483647 w 2449"/>
            <a:gd name="T61" fmla="*/ 2147483647 h 2510"/>
            <a:gd name="T62" fmla="*/ 2147483647 w 2449"/>
            <a:gd name="T63" fmla="*/ 2147483647 h 2510"/>
            <a:gd name="T64" fmla="*/ 2147483647 w 2449"/>
            <a:gd name="T65" fmla="*/ 2147483647 h 2510"/>
            <a:gd name="T66" fmla="*/ 2147483647 w 2449"/>
            <a:gd name="T67" fmla="*/ 2147483647 h 2510"/>
            <a:gd name="T68" fmla="*/ 2147483647 w 2449"/>
            <a:gd name="T69" fmla="*/ 2147483647 h 2510"/>
            <a:gd name="T70" fmla="*/ 2147483647 w 2449"/>
            <a:gd name="T71" fmla="*/ 2147483647 h 2510"/>
            <a:gd name="T72" fmla="*/ 2147483647 w 2449"/>
            <a:gd name="T73" fmla="*/ 2147483647 h 2510"/>
            <a:gd name="T74" fmla="*/ 2147483647 w 2449"/>
            <a:gd name="T75" fmla="*/ 2147483647 h 2510"/>
            <a:gd name="T76" fmla="*/ 2147483647 w 2449"/>
            <a:gd name="T77" fmla="*/ 2147483647 h 2510"/>
            <a:gd name="T78" fmla="*/ 2147483647 w 2449"/>
            <a:gd name="T79" fmla="*/ 2147483647 h 2510"/>
            <a:gd name="T80" fmla="*/ 2147483647 w 2449"/>
            <a:gd name="T81" fmla="*/ 2147483647 h 2510"/>
            <a:gd name="T82" fmla="*/ 2147483647 w 2449"/>
            <a:gd name="T83" fmla="*/ 2147483647 h 2510"/>
            <a:gd name="T84" fmla="*/ 2147483647 w 2449"/>
            <a:gd name="T85" fmla="*/ 2147483647 h 2510"/>
            <a:gd name="T86" fmla="*/ 2147483647 w 2449"/>
            <a:gd name="T87" fmla="*/ 2147483647 h 2510"/>
            <a:gd name="T88" fmla="*/ 2147483647 w 2449"/>
            <a:gd name="T89" fmla="*/ 2147483647 h 2510"/>
            <a:gd name="T90" fmla="*/ 2147483647 w 2449"/>
            <a:gd name="T91" fmla="*/ 2147483647 h 2510"/>
            <a:gd name="T92" fmla="*/ 2147483647 w 2449"/>
            <a:gd name="T93" fmla="*/ 2147483647 h 2510"/>
            <a:gd name="T94" fmla="*/ 2147483647 w 2449"/>
            <a:gd name="T95" fmla="*/ 2147483647 h 2510"/>
            <a:gd name="T96" fmla="*/ 2147483647 w 2449"/>
            <a:gd name="T97" fmla="*/ 2147483647 h 2510"/>
            <a:gd name="T98" fmla="*/ 2147483647 w 2449"/>
            <a:gd name="T99" fmla="*/ 2147483647 h 2510"/>
            <a:gd name="T100" fmla="*/ 2147483647 w 2449"/>
            <a:gd name="T101" fmla="*/ 2147483647 h 2510"/>
            <a:gd name="T102" fmla="*/ 2147483647 w 2449"/>
            <a:gd name="T103" fmla="*/ 2147483647 h 2510"/>
            <a:gd name="T104" fmla="*/ 2147483647 w 2449"/>
            <a:gd name="T105" fmla="*/ 2147483647 h 2510"/>
            <a:gd name="T106" fmla="*/ 2147483647 w 2449"/>
            <a:gd name="T107" fmla="*/ 2147483647 h 2510"/>
            <a:gd name="T108" fmla="*/ 2147483647 w 2449"/>
            <a:gd name="T109" fmla="*/ 2147483647 h 2510"/>
            <a:gd name="T110" fmla="*/ 2147483647 w 2449"/>
            <a:gd name="T111" fmla="*/ 2147483647 h 2510"/>
            <a:gd name="T112" fmla="*/ 2147483647 w 2449"/>
            <a:gd name="T113" fmla="*/ 2147483647 h 2510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w 2449"/>
            <a:gd name="T172" fmla="*/ 0 h 2510"/>
            <a:gd name="T173" fmla="*/ 2449 w 2449"/>
            <a:gd name="T174" fmla="*/ 2510 h 2510"/>
          </a:gdLst>
          <a:ahLst/>
          <a:cxnLst>
            <a:cxn ang="T114">
              <a:pos x="T0" y="T1"/>
            </a:cxn>
            <a:cxn ang="T115">
              <a:pos x="T2" y="T3"/>
            </a:cxn>
            <a:cxn ang="T116">
              <a:pos x="T4" y="T5"/>
            </a:cxn>
            <a:cxn ang="T117">
              <a:pos x="T6" y="T7"/>
            </a:cxn>
            <a:cxn ang="T118">
              <a:pos x="T8" y="T9"/>
            </a:cxn>
            <a:cxn ang="T119">
              <a:pos x="T10" y="T11"/>
            </a:cxn>
            <a:cxn ang="T120">
              <a:pos x="T12" y="T13"/>
            </a:cxn>
            <a:cxn ang="T121">
              <a:pos x="T14" y="T15"/>
            </a:cxn>
            <a:cxn ang="T122">
              <a:pos x="T16" y="T17"/>
            </a:cxn>
            <a:cxn ang="T123">
              <a:pos x="T18" y="T19"/>
            </a:cxn>
            <a:cxn ang="T124">
              <a:pos x="T20" y="T21"/>
            </a:cxn>
            <a:cxn ang="T125">
              <a:pos x="T22" y="T23"/>
            </a:cxn>
            <a:cxn ang="T126">
              <a:pos x="T24" y="T25"/>
            </a:cxn>
            <a:cxn ang="T127">
              <a:pos x="T26" y="T27"/>
            </a:cxn>
            <a:cxn ang="T128">
              <a:pos x="T28" y="T29"/>
            </a:cxn>
            <a:cxn ang="T129">
              <a:pos x="T30" y="T31"/>
            </a:cxn>
            <a:cxn ang="T130">
              <a:pos x="T32" y="T33"/>
            </a:cxn>
            <a:cxn ang="T131">
              <a:pos x="T34" y="T35"/>
            </a:cxn>
            <a:cxn ang="T132">
              <a:pos x="T36" y="T37"/>
            </a:cxn>
            <a:cxn ang="T133">
              <a:pos x="T38" y="T39"/>
            </a:cxn>
            <a:cxn ang="T134">
              <a:pos x="T40" y="T41"/>
            </a:cxn>
            <a:cxn ang="T135">
              <a:pos x="T42" y="T43"/>
            </a:cxn>
            <a:cxn ang="T136">
              <a:pos x="T44" y="T45"/>
            </a:cxn>
            <a:cxn ang="T137">
              <a:pos x="T46" y="T47"/>
            </a:cxn>
            <a:cxn ang="T138">
              <a:pos x="T48" y="T49"/>
            </a:cxn>
            <a:cxn ang="T139">
              <a:pos x="T50" y="T51"/>
            </a:cxn>
            <a:cxn ang="T140">
              <a:pos x="T52" y="T53"/>
            </a:cxn>
            <a:cxn ang="T141">
              <a:pos x="T54" y="T55"/>
            </a:cxn>
            <a:cxn ang="T142">
              <a:pos x="T56" y="T57"/>
            </a:cxn>
            <a:cxn ang="T143">
              <a:pos x="T58" y="T59"/>
            </a:cxn>
            <a:cxn ang="T144">
              <a:pos x="T60" y="T61"/>
            </a:cxn>
            <a:cxn ang="T145">
              <a:pos x="T62" y="T63"/>
            </a:cxn>
            <a:cxn ang="T146">
              <a:pos x="T64" y="T65"/>
            </a:cxn>
            <a:cxn ang="T147">
              <a:pos x="T66" y="T67"/>
            </a:cxn>
            <a:cxn ang="T148">
              <a:pos x="T68" y="T69"/>
            </a:cxn>
            <a:cxn ang="T149">
              <a:pos x="T70" y="T71"/>
            </a:cxn>
            <a:cxn ang="T150">
              <a:pos x="T72" y="T73"/>
            </a:cxn>
            <a:cxn ang="T151">
              <a:pos x="T74" y="T75"/>
            </a:cxn>
            <a:cxn ang="T152">
              <a:pos x="T76" y="T77"/>
            </a:cxn>
            <a:cxn ang="T153">
              <a:pos x="T78" y="T79"/>
            </a:cxn>
            <a:cxn ang="T154">
              <a:pos x="T80" y="T81"/>
            </a:cxn>
            <a:cxn ang="T155">
              <a:pos x="T82" y="T83"/>
            </a:cxn>
            <a:cxn ang="T156">
              <a:pos x="T84" y="T85"/>
            </a:cxn>
            <a:cxn ang="T157">
              <a:pos x="T86" y="T87"/>
            </a:cxn>
            <a:cxn ang="T158">
              <a:pos x="T88" y="T89"/>
            </a:cxn>
            <a:cxn ang="T159">
              <a:pos x="T90" y="T91"/>
            </a:cxn>
            <a:cxn ang="T160">
              <a:pos x="T92" y="T93"/>
            </a:cxn>
            <a:cxn ang="T161">
              <a:pos x="T94" y="T95"/>
            </a:cxn>
            <a:cxn ang="T162">
              <a:pos x="T96" y="T97"/>
            </a:cxn>
            <a:cxn ang="T163">
              <a:pos x="T98" y="T99"/>
            </a:cxn>
            <a:cxn ang="T164">
              <a:pos x="T100" y="T101"/>
            </a:cxn>
            <a:cxn ang="T165">
              <a:pos x="T102" y="T103"/>
            </a:cxn>
            <a:cxn ang="T166">
              <a:pos x="T104" y="T105"/>
            </a:cxn>
            <a:cxn ang="T167">
              <a:pos x="T106" y="T107"/>
            </a:cxn>
            <a:cxn ang="T168">
              <a:pos x="T108" y="T109"/>
            </a:cxn>
            <a:cxn ang="T169">
              <a:pos x="T110" y="T111"/>
            </a:cxn>
            <a:cxn ang="T170">
              <a:pos x="T112" y="T113"/>
            </a:cxn>
          </a:cxnLst>
          <a:rect l="T171" t="T172" r="T173" b="T174"/>
          <a:pathLst>
            <a:path w="2449" h="2510">
              <a:moveTo>
                <a:pt x="1286" y="2072"/>
              </a:moveTo>
              <a:lnTo>
                <a:pt x="1267" y="2044"/>
              </a:lnTo>
              <a:lnTo>
                <a:pt x="1243" y="2006"/>
              </a:lnTo>
              <a:lnTo>
                <a:pt x="1204" y="1961"/>
              </a:lnTo>
              <a:lnTo>
                <a:pt x="1193" y="1950"/>
              </a:lnTo>
              <a:lnTo>
                <a:pt x="1176" y="1894"/>
              </a:lnTo>
              <a:lnTo>
                <a:pt x="1180" y="1890"/>
              </a:lnTo>
              <a:lnTo>
                <a:pt x="1130" y="1797"/>
              </a:lnTo>
              <a:lnTo>
                <a:pt x="1118" y="1753"/>
              </a:lnTo>
              <a:lnTo>
                <a:pt x="1099" y="1732"/>
              </a:lnTo>
              <a:lnTo>
                <a:pt x="1094" y="1715"/>
              </a:lnTo>
              <a:lnTo>
                <a:pt x="1053" y="1683"/>
              </a:lnTo>
              <a:lnTo>
                <a:pt x="1044" y="1664"/>
              </a:lnTo>
              <a:lnTo>
                <a:pt x="1029" y="1661"/>
              </a:lnTo>
              <a:lnTo>
                <a:pt x="1023" y="1651"/>
              </a:lnTo>
              <a:lnTo>
                <a:pt x="1009" y="1649"/>
              </a:lnTo>
              <a:lnTo>
                <a:pt x="1005" y="1624"/>
              </a:lnTo>
              <a:lnTo>
                <a:pt x="998" y="1624"/>
              </a:lnTo>
              <a:lnTo>
                <a:pt x="975" y="1594"/>
              </a:lnTo>
              <a:lnTo>
                <a:pt x="955" y="1592"/>
              </a:lnTo>
              <a:lnTo>
                <a:pt x="955" y="1588"/>
              </a:lnTo>
              <a:lnTo>
                <a:pt x="914" y="1588"/>
              </a:lnTo>
              <a:lnTo>
                <a:pt x="872" y="1579"/>
              </a:lnTo>
              <a:lnTo>
                <a:pt x="871" y="1585"/>
              </a:lnTo>
              <a:lnTo>
                <a:pt x="861" y="1581"/>
              </a:lnTo>
              <a:lnTo>
                <a:pt x="859" y="1587"/>
              </a:lnTo>
              <a:lnTo>
                <a:pt x="809" y="1564"/>
              </a:lnTo>
              <a:lnTo>
                <a:pt x="768" y="1595"/>
              </a:lnTo>
              <a:lnTo>
                <a:pt x="755" y="1595"/>
              </a:lnTo>
              <a:lnTo>
                <a:pt x="725" y="1631"/>
              </a:lnTo>
              <a:lnTo>
                <a:pt x="702" y="1713"/>
              </a:lnTo>
              <a:lnTo>
                <a:pt x="664" y="1757"/>
              </a:lnTo>
              <a:lnTo>
                <a:pt x="654" y="1779"/>
              </a:lnTo>
              <a:lnTo>
                <a:pt x="624" y="1770"/>
              </a:lnTo>
              <a:lnTo>
                <a:pt x="612" y="1767"/>
              </a:lnTo>
              <a:lnTo>
                <a:pt x="584" y="1742"/>
              </a:lnTo>
              <a:lnTo>
                <a:pt x="541" y="1721"/>
              </a:lnTo>
              <a:lnTo>
                <a:pt x="534" y="1710"/>
              </a:lnTo>
              <a:lnTo>
                <a:pt x="495" y="1700"/>
              </a:lnTo>
              <a:lnTo>
                <a:pt x="472" y="1683"/>
              </a:lnTo>
              <a:lnTo>
                <a:pt x="448" y="1653"/>
              </a:lnTo>
              <a:lnTo>
                <a:pt x="401" y="1622"/>
              </a:lnTo>
              <a:lnTo>
                <a:pt x="366" y="1536"/>
              </a:lnTo>
              <a:lnTo>
                <a:pt x="359" y="1477"/>
              </a:lnTo>
              <a:lnTo>
                <a:pt x="329" y="1412"/>
              </a:lnTo>
              <a:lnTo>
                <a:pt x="311" y="1387"/>
              </a:lnTo>
              <a:lnTo>
                <a:pt x="308" y="1377"/>
              </a:lnTo>
              <a:lnTo>
                <a:pt x="237" y="1335"/>
              </a:lnTo>
              <a:lnTo>
                <a:pt x="190" y="1276"/>
              </a:lnTo>
              <a:lnTo>
                <a:pt x="166" y="1260"/>
              </a:lnTo>
              <a:lnTo>
                <a:pt x="122" y="1208"/>
              </a:lnTo>
              <a:lnTo>
                <a:pt x="97" y="1199"/>
              </a:lnTo>
              <a:lnTo>
                <a:pt x="79" y="1181"/>
              </a:lnTo>
              <a:lnTo>
                <a:pt x="43" y="1122"/>
              </a:lnTo>
              <a:lnTo>
                <a:pt x="27" y="1121"/>
              </a:lnTo>
              <a:lnTo>
                <a:pt x="22" y="1115"/>
              </a:lnTo>
              <a:lnTo>
                <a:pt x="0" y="1088"/>
              </a:lnTo>
              <a:lnTo>
                <a:pt x="6" y="1083"/>
              </a:lnTo>
              <a:lnTo>
                <a:pt x="1" y="1069"/>
              </a:lnTo>
              <a:lnTo>
                <a:pt x="5" y="1063"/>
              </a:lnTo>
              <a:lnTo>
                <a:pt x="50" y="1063"/>
              </a:lnTo>
              <a:lnTo>
                <a:pt x="73" y="1063"/>
              </a:lnTo>
              <a:lnTo>
                <a:pt x="97" y="1062"/>
              </a:lnTo>
              <a:lnTo>
                <a:pt x="121" y="1062"/>
              </a:lnTo>
              <a:lnTo>
                <a:pt x="237" y="1063"/>
              </a:lnTo>
              <a:lnTo>
                <a:pt x="290" y="1063"/>
              </a:lnTo>
              <a:lnTo>
                <a:pt x="323" y="1063"/>
              </a:lnTo>
              <a:lnTo>
                <a:pt x="336" y="1063"/>
              </a:lnTo>
              <a:lnTo>
                <a:pt x="428" y="1063"/>
              </a:lnTo>
              <a:lnTo>
                <a:pt x="446" y="1063"/>
              </a:lnTo>
              <a:lnTo>
                <a:pt x="490" y="1063"/>
              </a:lnTo>
              <a:lnTo>
                <a:pt x="498" y="1063"/>
              </a:lnTo>
              <a:lnTo>
                <a:pt x="541" y="1063"/>
              </a:lnTo>
              <a:lnTo>
                <a:pt x="544" y="1063"/>
              </a:lnTo>
              <a:lnTo>
                <a:pt x="547" y="1063"/>
              </a:lnTo>
              <a:lnTo>
                <a:pt x="565" y="1063"/>
              </a:lnTo>
              <a:lnTo>
                <a:pt x="613" y="1063"/>
              </a:lnTo>
              <a:lnTo>
                <a:pt x="620" y="1063"/>
              </a:lnTo>
              <a:lnTo>
                <a:pt x="658" y="1063"/>
              </a:lnTo>
              <a:lnTo>
                <a:pt x="670" y="1063"/>
              </a:lnTo>
              <a:lnTo>
                <a:pt x="670" y="1043"/>
              </a:lnTo>
              <a:lnTo>
                <a:pt x="670" y="1005"/>
              </a:lnTo>
              <a:lnTo>
                <a:pt x="670" y="951"/>
              </a:lnTo>
              <a:lnTo>
                <a:pt x="670" y="940"/>
              </a:lnTo>
              <a:lnTo>
                <a:pt x="670" y="916"/>
              </a:lnTo>
              <a:lnTo>
                <a:pt x="670" y="870"/>
              </a:lnTo>
              <a:lnTo>
                <a:pt x="670" y="837"/>
              </a:lnTo>
              <a:lnTo>
                <a:pt x="671" y="798"/>
              </a:lnTo>
              <a:lnTo>
                <a:pt x="672" y="738"/>
              </a:lnTo>
              <a:lnTo>
                <a:pt x="672" y="736"/>
              </a:lnTo>
              <a:lnTo>
                <a:pt x="672" y="709"/>
              </a:lnTo>
              <a:lnTo>
                <a:pt x="672" y="702"/>
              </a:lnTo>
              <a:lnTo>
                <a:pt x="672" y="692"/>
              </a:lnTo>
              <a:lnTo>
                <a:pt x="673" y="669"/>
              </a:lnTo>
              <a:lnTo>
                <a:pt x="673" y="660"/>
              </a:lnTo>
              <a:lnTo>
                <a:pt x="673" y="632"/>
              </a:lnTo>
              <a:lnTo>
                <a:pt x="674" y="590"/>
              </a:lnTo>
              <a:lnTo>
                <a:pt x="674" y="532"/>
              </a:lnTo>
              <a:lnTo>
                <a:pt x="674" y="520"/>
              </a:lnTo>
              <a:lnTo>
                <a:pt x="674" y="517"/>
              </a:lnTo>
              <a:lnTo>
                <a:pt x="674" y="490"/>
              </a:lnTo>
              <a:lnTo>
                <a:pt x="674" y="473"/>
              </a:lnTo>
              <a:lnTo>
                <a:pt x="674" y="414"/>
              </a:lnTo>
              <a:lnTo>
                <a:pt x="674" y="387"/>
              </a:lnTo>
              <a:lnTo>
                <a:pt x="674" y="384"/>
              </a:lnTo>
              <a:lnTo>
                <a:pt x="674" y="366"/>
              </a:lnTo>
              <a:lnTo>
                <a:pt x="674" y="355"/>
              </a:lnTo>
              <a:lnTo>
                <a:pt x="674" y="325"/>
              </a:lnTo>
              <a:lnTo>
                <a:pt x="674" y="311"/>
              </a:lnTo>
              <a:lnTo>
                <a:pt x="674" y="291"/>
              </a:lnTo>
              <a:lnTo>
                <a:pt x="674" y="277"/>
              </a:lnTo>
              <a:lnTo>
                <a:pt x="674" y="207"/>
              </a:lnTo>
              <a:lnTo>
                <a:pt x="674" y="180"/>
              </a:lnTo>
              <a:lnTo>
                <a:pt x="674" y="177"/>
              </a:lnTo>
              <a:lnTo>
                <a:pt x="674" y="172"/>
              </a:lnTo>
              <a:lnTo>
                <a:pt x="674" y="106"/>
              </a:lnTo>
              <a:lnTo>
                <a:pt x="674" y="1"/>
              </a:lnTo>
              <a:lnTo>
                <a:pt x="681" y="1"/>
              </a:lnTo>
              <a:lnTo>
                <a:pt x="753" y="0"/>
              </a:lnTo>
              <a:lnTo>
                <a:pt x="799" y="1"/>
              </a:lnTo>
              <a:lnTo>
                <a:pt x="839" y="1"/>
              </a:lnTo>
              <a:lnTo>
                <a:pt x="845" y="1"/>
              </a:lnTo>
              <a:lnTo>
                <a:pt x="848" y="1"/>
              </a:lnTo>
              <a:lnTo>
                <a:pt x="863" y="1"/>
              </a:lnTo>
              <a:lnTo>
                <a:pt x="888" y="1"/>
              </a:lnTo>
              <a:lnTo>
                <a:pt x="895" y="1"/>
              </a:lnTo>
              <a:lnTo>
                <a:pt x="939" y="1"/>
              </a:lnTo>
              <a:lnTo>
                <a:pt x="985" y="1"/>
              </a:lnTo>
              <a:lnTo>
                <a:pt x="1009" y="1"/>
              </a:lnTo>
              <a:lnTo>
                <a:pt x="1040" y="1"/>
              </a:lnTo>
              <a:lnTo>
                <a:pt x="1056" y="1"/>
              </a:lnTo>
              <a:lnTo>
                <a:pt x="1065" y="1"/>
              </a:lnTo>
              <a:lnTo>
                <a:pt x="1079" y="1"/>
              </a:lnTo>
              <a:lnTo>
                <a:pt x="1126" y="1"/>
              </a:lnTo>
              <a:lnTo>
                <a:pt x="1140" y="1"/>
              </a:lnTo>
              <a:lnTo>
                <a:pt x="1173" y="1"/>
              </a:lnTo>
              <a:lnTo>
                <a:pt x="1175" y="1"/>
              </a:lnTo>
              <a:lnTo>
                <a:pt x="1242" y="1"/>
              </a:lnTo>
              <a:lnTo>
                <a:pt x="1243" y="1"/>
              </a:lnTo>
              <a:lnTo>
                <a:pt x="1243" y="30"/>
              </a:lnTo>
              <a:lnTo>
                <a:pt x="1243" y="106"/>
              </a:lnTo>
              <a:lnTo>
                <a:pt x="1243" y="118"/>
              </a:lnTo>
              <a:lnTo>
                <a:pt x="1243" y="138"/>
              </a:lnTo>
              <a:lnTo>
                <a:pt x="1243" y="147"/>
              </a:lnTo>
              <a:lnTo>
                <a:pt x="1243" y="159"/>
              </a:lnTo>
              <a:lnTo>
                <a:pt x="1243" y="177"/>
              </a:lnTo>
              <a:lnTo>
                <a:pt x="1243" y="208"/>
              </a:lnTo>
              <a:lnTo>
                <a:pt x="1243" y="236"/>
              </a:lnTo>
              <a:lnTo>
                <a:pt x="1243" y="244"/>
              </a:lnTo>
              <a:lnTo>
                <a:pt x="1243" y="254"/>
              </a:lnTo>
              <a:lnTo>
                <a:pt x="1243" y="286"/>
              </a:lnTo>
              <a:lnTo>
                <a:pt x="1243" y="296"/>
              </a:lnTo>
              <a:lnTo>
                <a:pt x="1243" y="311"/>
              </a:lnTo>
              <a:lnTo>
                <a:pt x="1243" y="325"/>
              </a:lnTo>
              <a:lnTo>
                <a:pt x="1243" y="347"/>
              </a:lnTo>
              <a:lnTo>
                <a:pt x="1243" y="384"/>
              </a:lnTo>
              <a:lnTo>
                <a:pt x="1243" y="400"/>
              </a:lnTo>
              <a:lnTo>
                <a:pt x="1243" y="414"/>
              </a:lnTo>
              <a:lnTo>
                <a:pt x="1243" y="459"/>
              </a:lnTo>
              <a:lnTo>
                <a:pt x="1250" y="457"/>
              </a:lnTo>
              <a:lnTo>
                <a:pt x="1251" y="457"/>
              </a:lnTo>
              <a:lnTo>
                <a:pt x="1272" y="471"/>
              </a:lnTo>
              <a:lnTo>
                <a:pt x="1290" y="492"/>
              </a:lnTo>
              <a:lnTo>
                <a:pt x="1336" y="495"/>
              </a:lnTo>
              <a:lnTo>
                <a:pt x="1341" y="498"/>
              </a:lnTo>
              <a:lnTo>
                <a:pt x="1383" y="506"/>
              </a:lnTo>
              <a:lnTo>
                <a:pt x="1391" y="512"/>
              </a:lnTo>
              <a:lnTo>
                <a:pt x="1393" y="539"/>
              </a:lnTo>
              <a:lnTo>
                <a:pt x="1407" y="545"/>
              </a:lnTo>
              <a:lnTo>
                <a:pt x="1419" y="543"/>
              </a:lnTo>
              <a:lnTo>
                <a:pt x="1439" y="545"/>
              </a:lnTo>
              <a:lnTo>
                <a:pt x="1477" y="563"/>
              </a:lnTo>
              <a:lnTo>
                <a:pt x="1500" y="554"/>
              </a:lnTo>
              <a:lnTo>
                <a:pt x="1503" y="555"/>
              </a:lnTo>
              <a:lnTo>
                <a:pt x="1513" y="561"/>
              </a:lnTo>
              <a:lnTo>
                <a:pt x="1524" y="573"/>
              </a:lnTo>
              <a:lnTo>
                <a:pt x="1538" y="574"/>
              </a:lnTo>
              <a:lnTo>
                <a:pt x="1572" y="561"/>
              </a:lnTo>
              <a:lnTo>
                <a:pt x="1585" y="564"/>
              </a:lnTo>
              <a:lnTo>
                <a:pt x="1591" y="559"/>
              </a:lnTo>
              <a:lnTo>
                <a:pt x="1600" y="558"/>
              </a:lnTo>
              <a:lnTo>
                <a:pt x="1604" y="590"/>
              </a:lnTo>
              <a:lnTo>
                <a:pt x="1621" y="590"/>
              </a:lnTo>
              <a:lnTo>
                <a:pt x="1621" y="617"/>
              </a:lnTo>
              <a:lnTo>
                <a:pt x="1640" y="627"/>
              </a:lnTo>
              <a:lnTo>
                <a:pt x="1687" y="598"/>
              </a:lnTo>
              <a:lnTo>
                <a:pt x="1699" y="615"/>
              </a:lnTo>
              <a:lnTo>
                <a:pt x="1706" y="613"/>
              </a:lnTo>
              <a:lnTo>
                <a:pt x="1711" y="611"/>
              </a:lnTo>
              <a:lnTo>
                <a:pt x="1714" y="611"/>
              </a:lnTo>
              <a:lnTo>
                <a:pt x="1733" y="634"/>
              </a:lnTo>
              <a:lnTo>
                <a:pt x="1771" y="620"/>
              </a:lnTo>
              <a:lnTo>
                <a:pt x="1769" y="648"/>
              </a:lnTo>
              <a:lnTo>
                <a:pt x="1780" y="658"/>
              </a:lnTo>
              <a:lnTo>
                <a:pt x="1815" y="603"/>
              </a:lnTo>
              <a:lnTo>
                <a:pt x="1817" y="601"/>
              </a:lnTo>
              <a:lnTo>
                <a:pt x="1851" y="632"/>
              </a:lnTo>
              <a:lnTo>
                <a:pt x="1880" y="616"/>
              </a:lnTo>
              <a:lnTo>
                <a:pt x="1881" y="616"/>
              </a:lnTo>
              <a:lnTo>
                <a:pt x="1877" y="621"/>
              </a:lnTo>
              <a:lnTo>
                <a:pt x="1897" y="645"/>
              </a:lnTo>
              <a:lnTo>
                <a:pt x="1912" y="644"/>
              </a:lnTo>
              <a:lnTo>
                <a:pt x="1921" y="656"/>
              </a:lnTo>
              <a:lnTo>
                <a:pt x="1944" y="647"/>
              </a:lnTo>
              <a:lnTo>
                <a:pt x="1991" y="621"/>
              </a:lnTo>
              <a:lnTo>
                <a:pt x="2020" y="629"/>
              </a:lnTo>
              <a:lnTo>
                <a:pt x="2036" y="620"/>
              </a:lnTo>
              <a:lnTo>
                <a:pt x="2038" y="616"/>
              </a:lnTo>
              <a:lnTo>
                <a:pt x="2065" y="611"/>
              </a:lnTo>
              <a:lnTo>
                <a:pt x="2065" y="605"/>
              </a:lnTo>
              <a:lnTo>
                <a:pt x="2073" y="606"/>
              </a:lnTo>
              <a:lnTo>
                <a:pt x="2078" y="616"/>
              </a:lnTo>
              <a:lnTo>
                <a:pt x="2076" y="618"/>
              </a:lnTo>
              <a:lnTo>
                <a:pt x="2120" y="619"/>
              </a:lnTo>
              <a:lnTo>
                <a:pt x="2126" y="620"/>
              </a:lnTo>
              <a:lnTo>
                <a:pt x="2132" y="606"/>
              </a:lnTo>
              <a:lnTo>
                <a:pt x="2149" y="605"/>
              </a:lnTo>
              <a:lnTo>
                <a:pt x="2155" y="606"/>
              </a:lnTo>
              <a:lnTo>
                <a:pt x="2155" y="613"/>
              </a:lnTo>
              <a:lnTo>
                <a:pt x="2179" y="624"/>
              </a:lnTo>
              <a:lnTo>
                <a:pt x="2201" y="650"/>
              </a:lnTo>
              <a:lnTo>
                <a:pt x="2212" y="654"/>
              </a:lnTo>
              <a:lnTo>
                <a:pt x="2211" y="646"/>
              </a:lnTo>
              <a:lnTo>
                <a:pt x="2224" y="650"/>
              </a:lnTo>
              <a:lnTo>
                <a:pt x="2224" y="659"/>
              </a:lnTo>
              <a:lnTo>
                <a:pt x="2228" y="658"/>
              </a:lnTo>
              <a:lnTo>
                <a:pt x="2226" y="661"/>
              </a:lnTo>
              <a:lnTo>
                <a:pt x="2248" y="666"/>
              </a:lnTo>
              <a:lnTo>
                <a:pt x="2267" y="681"/>
              </a:lnTo>
              <a:lnTo>
                <a:pt x="2275" y="676"/>
              </a:lnTo>
              <a:lnTo>
                <a:pt x="2295" y="698"/>
              </a:lnTo>
              <a:lnTo>
                <a:pt x="2319" y="689"/>
              </a:lnTo>
              <a:lnTo>
                <a:pt x="2357" y="696"/>
              </a:lnTo>
              <a:lnTo>
                <a:pt x="2357" y="704"/>
              </a:lnTo>
              <a:lnTo>
                <a:pt x="2357" y="738"/>
              </a:lnTo>
              <a:lnTo>
                <a:pt x="2357" y="763"/>
              </a:lnTo>
              <a:lnTo>
                <a:pt x="2357" y="768"/>
              </a:lnTo>
              <a:lnTo>
                <a:pt x="2357" y="798"/>
              </a:lnTo>
              <a:lnTo>
                <a:pt x="2357" y="823"/>
              </a:lnTo>
              <a:lnTo>
                <a:pt x="2357" y="827"/>
              </a:lnTo>
              <a:lnTo>
                <a:pt x="2357" y="856"/>
              </a:lnTo>
              <a:lnTo>
                <a:pt x="2357" y="886"/>
              </a:lnTo>
              <a:lnTo>
                <a:pt x="2357" y="890"/>
              </a:lnTo>
              <a:lnTo>
                <a:pt x="2357" y="900"/>
              </a:lnTo>
              <a:lnTo>
                <a:pt x="2357" y="916"/>
              </a:lnTo>
              <a:lnTo>
                <a:pt x="2357" y="946"/>
              </a:lnTo>
              <a:lnTo>
                <a:pt x="2357" y="970"/>
              </a:lnTo>
              <a:lnTo>
                <a:pt x="2357" y="975"/>
              </a:lnTo>
              <a:lnTo>
                <a:pt x="2357" y="1005"/>
              </a:lnTo>
              <a:lnTo>
                <a:pt x="2357" y="1017"/>
              </a:lnTo>
              <a:lnTo>
                <a:pt x="2357" y="1063"/>
              </a:lnTo>
              <a:lnTo>
                <a:pt x="2362" y="1066"/>
              </a:lnTo>
              <a:lnTo>
                <a:pt x="2363" y="1069"/>
              </a:lnTo>
              <a:lnTo>
                <a:pt x="2364" y="1070"/>
              </a:lnTo>
              <a:lnTo>
                <a:pt x="2365" y="1073"/>
              </a:lnTo>
              <a:lnTo>
                <a:pt x="2388" y="1100"/>
              </a:lnTo>
              <a:lnTo>
                <a:pt x="2387" y="1100"/>
              </a:lnTo>
              <a:lnTo>
                <a:pt x="2396" y="1122"/>
              </a:lnTo>
              <a:lnTo>
                <a:pt x="2396" y="1161"/>
              </a:lnTo>
              <a:lnTo>
                <a:pt x="2417" y="1181"/>
              </a:lnTo>
              <a:lnTo>
                <a:pt x="2412" y="1185"/>
              </a:lnTo>
              <a:lnTo>
                <a:pt x="2440" y="1258"/>
              </a:lnTo>
              <a:lnTo>
                <a:pt x="2449" y="1256"/>
              </a:lnTo>
              <a:lnTo>
                <a:pt x="2444" y="1300"/>
              </a:lnTo>
              <a:lnTo>
                <a:pt x="2448" y="1330"/>
              </a:lnTo>
              <a:lnTo>
                <a:pt x="2448" y="1331"/>
              </a:lnTo>
              <a:lnTo>
                <a:pt x="2439" y="1359"/>
              </a:lnTo>
              <a:lnTo>
                <a:pt x="2419" y="1418"/>
              </a:lnTo>
              <a:lnTo>
                <a:pt x="2414" y="1441"/>
              </a:lnTo>
              <a:lnTo>
                <a:pt x="2412" y="1442"/>
              </a:lnTo>
              <a:lnTo>
                <a:pt x="2412" y="1460"/>
              </a:lnTo>
              <a:lnTo>
                <a:pt x="2420" y="1478"/>
              </a:lnTo>
              <a:lnTo>
                <a:pt x="2422" y="1507"/>
              </a:lnTo>
              <a:lnTo>
                <a:pt x="2417" y="1524"/>
              </a:lnTo>
              <a:lnTo>
                <a:pt x="2414" y="1529"/>
              </a:lnTo>
              <a:lnTo>
                <a:pt x="2409" y="1535"/>
              </a:lnTo>
              <a:lnTo>
                <a:pt x="2393" y="1568"/>
              </a:lnTo>
              <a:lnTo>
                <a:pt x="2386" y="1573"/>
              </a:lnTo>
              <a:lnTo>
                <a:pt x="2388" y="1597"/>
              </a:lnTo>
              <a:lnTo>
                <a:pt x="2398" y="1620"/>
              </a:lnTo>
              <a:lnTo>
                <a:pt x="2387" y="1614"/>
              </a:lnTo>
              <a:lnTo>
                <a:pt x="2357" y="1612"/>
              </a:lnTo>
              <a:lnTo>
                <a:pt x="2300" y="1639"/>
              </a:lnTo>
              <a:lnTo>
                <a:pt x="2296" y="1641"/>
              </a:lnTo>
              <a:lnTo>
                <a:pt x="2229" y="1687"/>
              </a:lnTo>
              <a:lnTo>
                <a:pt x="2219" y="1683"/>
              </a:lnTo>
              <a:lnTo>
                <a:pt x="2254" y="1654"/>
              </a:lnTo>
              <a:lnTo>
                <a:pt x="2272" y="1648"/>
              </a:lnTo>
              <a:lnTo>
                <a:pt x="2272" y="1643"/>
              </a:lnTo>
              <a:lnTo>
                <a:pt x="2248" y="1641"/>
              </a:lnTo>
              <a:lnTo>
                <a:pt x="2225" y="1648"/>
              </a:lnTo>
              <a:lnTo>
                <a:pt x="2225" y="1589"/>
              </a:lnTo>
              <a:lnTo>
                <a:pt x="2212" y="1593"/>
              </a:lnTo>
              <a:lnTo>
                <a:pt x="2202" y="1615"/>
              </a:lnTo>
              <a:lnTo>
                <a:pt x="2190" y="1612"/>
              </a:lnTo>
              <a:lnTo>
                <a:pt x="2186" y="1611"/>
              </a:lnTo>
              <a:lnTo>
                <a:pt x="2184" y="1610"/>
              </a:lnTo>
              <a:lnTo>
                <a:pt x="2182" y="1612"/>
              </a:lnTo>
              <a:lnTo>
                <a:pt x="2176" y="1624"/>
              </a:lnTo>
              <a:lnTo>
                <a:pt x="2179" y="1635"/>
              </a:lnTo>
              <a:lnTo>
                <a:pt x="2174" y="1641"/>
              </a:lnTo>
              <a:lnTo>
                <a:pt x="2179" y="1648"/>
              </a:lnTo>
              <a:lnTo>
                <a:pt x="2195" y="1655"/>
              </a:lnTo>
              <a:lnTo>
                <a:pt x="2201" y="1681"/>
              </a:lnTo>
              <a:lnTo>
                <a:pt x="2229" y="1694"/>
              </a:lnTo>
              <a:lnTo>
                <a:pt x="2156" y="1754"/>
              </a:lnTo>
              <a:lnTo>
                <a:pt x="2107" y="1802"/>
              </a:lnTo>
              <a:lnTo>
                <a:pt x="2084" y="1813"/>
              </a:lnTo>
              <a:lnTo>
                <a:pt x="2083" y="1814"/>
              </a:lnTo>
              <a:lnTo>
                <a:pt x="2010" y="1861"/>
              </a:lnTo>
              <a:lnTo>
                <a:pt x="1944" y="1897"/>
              </a:lnTo>
              <a:lnTo>
                <a:pt x="1920" y="1917"/>
              </a:lnTo>
              <a:lnTo>
                <a:pt x="1897" y="1939"/>
              </a:lnTo>
              <a:lnTo>
                <a:pt x="1875" y="1955"/>
              </a:lnTo>
              <a:lnTo>
                <a:pt x="1832" y="1993"/>
              </a:lnTo>
              <a:lnTo>
                <a:pt x="1798" y="2042"/>
              </a:lnTo>
              <a:lnTo>
                <a:pt x="1797" y="2047"/>
              </a:lnTo>
              <a:lnTo>
                <a:pt x="1798" y="2048"/>
              </a:lnTo>
              <a:lnTo>
                <a:pt x="1779" y="2073"/>
              </a:lnTo>
              <a:lnTo>
                <a:pt x="1762" y="2108"/>
              </a:lnTo>
              <a:lnTo>
                <a:pt x="1739" y="2179"/>
              </a:lnTo>
              <a:lnTo>
                <a:pt x="1738" y="2185"/>
              </a:lnTo>
              <a:lnTo>
                <a:pt x="1733" y="2244"/>
              </a:lnTo>
              <a:lnTo>
                <a:pt x="1751" y="2339"/>
              </a:lnTo>
              <a:lnTo>
                <a:pt x="1762" y="2384"/>
              </a:lnTo>
              <a:lnTo>
                <a:pt x="1776" y="2480"/>
              </a:lnTo>
              <a:lnTo>
                <a:pt x="1737" y="2510"/>
              </a:lnTo>
              <a:lnTo>
                <a:pt x="1711" y="2505"/>
              </a:lnTo>
              <a:lnTo>
                <a:pt x="1688" y="2480"/>
              </a:lnTo>
              <a:lnTo>
                <a:pt x="1642" y="2464"/>
              </a:lnTo>
              <a:lnTo>
                <a:pt x="1571" y="2463"/>
              </a:lnTo>
              <a:lnTo>
                <a:pt x="1564" y="2452"/>
              </a:lnTo>
              <a:lnTo>
                <a:pt x="1556" y="2452"/>
              </a:lnTo>
              <a:lnTo>
                <a:pt x="1508" y="2419"/>
              </a:lnTo>
              <a:lnTo>
                <a:pt x="1490" y="2422"/>
              </a:lnTo>
              <a:lnTo>
                <a:pt x="1477" y="2410"/>
              </a:lnTo>
              <a:lnTo>
                <a:pt x="1477" y="2402"/>
              </a:lnTo>
              <a:lnTo>
                <a:pt x="1429" y="2387"/>
              </a:lnTo>
              <a:lnTo>
                <a:pt x="1398" y="2346"/>
              </a:lnTo>
              <a:lnTo>
                <a:pt x="1380" y="2282"/>
              </a:lnTo>
              <a:lnTo>
                <a:pt x="1355" y="2245"/>
              </a:lnTo>
              <a:lnTo>
                <a:pt x="1345" y="2182"/>
              </a:lnTo>
              <a:lnTo>
                <a:pt x="1336" y="2126"/>
              </a:lnTo>
              <a:lnTo>
                <a:pt x="1313" y="2093"/>
              </a:lnTo>
              <a:lnTo>
                <a:pt x="1289" y="2078"/>
              </a:lnTo>
              <a:lnTo>
                <a:pt x="1286" y="2072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pPr algn="ctr"/>
          <a:endParaRPr lang="en-US" sz="800" b="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22</xdr:col>
      <xdr:colOff>141890</xdr:colOff>
      <xdr:row>16</xdr:row>
      <xdr:rowOff>13983</xdr:rowOff>
    </xdr:from>
    <xdr:to>
      <xdr:col>23</xdr:col>
      <xdr:colOff>317286</xdr:colOff>
      <xdr:row>17</xdr:row>
      <xdr:rowOff>43870</xdr:rowOff>
    </xdr:to>
    <xdr:sp macro="" textlink="">
      <xdr:nvSpPr>
        <xdr:cNvPr id="54" name="S_TN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>
          <a:spLocks/>
        </xdr:cNvSpPr>
      </xdr:nvSpPr>
      <xdr:spPr bwMode="auto">
        <a:xfrm>
          <a:off x="3561365" y="3252483"/>
          <a:ext cx="784996" cy="220387"/>
        </a:xfrm>
        <a:custGeom>
          <a:avLst/>
          <a:gdLst>
            <a:gd name="T0" fmla="*/ 2147483647 w 1621"/>
            <a:gd name="T1" fmla="*/ 2147483647 h 401"/>
            <a:gd name="T2" fmla="*/ 2147483647 w 1621"/>
            <a:gd name="T3" fmla="*/ 2147483647 h 401"/>
            <a:gd name="T4" fmla="*/ 2147483647 w 1621"/>
            <a:gd name="T5" fmla="*/ 2147483647 h 401"/>
            <a:gd name="T6" fmla="*/ 2147483647 w 1621"/>
            <a:gd name="T7" fmla="*/ 2147483647 h 401"/>
            <a:gd name="T8" fmla="*/ 2147483647 w 1621"/>
            <a:gd name="T9" fmla="*/ 2147483647 h 401"/>
            <a:gd name="T10" fmla="*/ 2147483647 w 1621"/>
            <a:gd name="T11" fmla="*/ 2147483647 h 401"/>
            <a:gd name="T12" fmla="*/ 2147483647 w 1621"/>
            <a:gd name="T13" fmla="*/ 2147483647 h 401"/>
            <a:gd name="T14" fmla="*/ 2147483647 w 1621"/>
            <a:gd name="T15" fmla="*/ 2147483647 h 401"/>
            <a:gd name="T16" fmla="*/ 2147483647 w 1621"/>
            <a:gd name="T17" fmla="*/ 2147483647 h 401"/>
            <a:gd name="T18" fmla="*/ 2147483647 w 1621"/>
            <a:gd name="T19" fmla="*/ 2147483647 h 401"/>
            <a:gd name="T20" fmla="*/ 2147483647 w 1621"/>
            <a:gd name="T21" fmla="*/ 2147483647 h 401"/>
            <a:gd name="T22" fmla="*/ 2147483647 w 1621"/>
            <a:gd name="T23" fmla="*/ 2147483647 h 401"/>
            <a:gd name="T24" fmla="*/ 2147483647 w 1621"/>
            <a:gd name="T25" fmla="*/ 2147483647 h 401"/>
            <a:gd name="T26" fmla="*/ 2147483647 w 1621"/>
            <a:gd name="T27" fmla="*/ 2147483647 h 401"/>
            <a:gd name="T28" fmla="*/ 2147483647 w 1621"/>
            <a:gd name="T29" fmla="*/ 2147483647 h 401"/>
            <a:gd name="T30" fmla="*/ 2147483647 w 1621"/>
            <a:gd name="T31" fmla="*/ 2147483647 h 401"/>
            <a:gd name="T32" fmla="*/ 2147483647 w 1621"/>
            <a:gd name="T33" fmla="*/ 2147483647 h 401"/>
            <a:gd name="T34" fmla="*/ 2147483647 w 1621"/>
            <a:gd name="T35" fmla="*/ 2147483647 h 401"/>
            <a:gd name="T36" fmla="*/ 2147483647 w 1621"/>
            <a:gd name="T37" fmla="*/ 2147483647 h 401"/>
            <a:gd name="T38" fmla="*/ 2147483647 w 1621"/>
            <a:gd name="T39" fmla="*/ 2147483647 h 401"/>
            <a:gd name="T40" fmla="*/ 2147483647 w 1621"/>
            <a:gd name="T41" fmla="*/ 2147483647 h 401"/>
            <a:gd name="T42" fmla="*/ 2147483647 w 1621"/>
            <a:gd name="T43" fmla="*/ 2147483647 h 401"/>
            <a:gd name="T44" fmla="*/ 2147483647 w 1621"/>
            <a:gd name="T45" fmla="*/ 2147483647 h 401"/>
            <a:gd name="T46" fmla="*/ 2147483647 w 1621"/>
            <a:gd name="T47" fmla="*/ 2147483647 h 401"/>
            <a:gd name="T48" fmla="*/ 2147483647 w 1621"/>
            <a:gd name="T49" fmla="*/ 2147483647 h 401"/>
            <a:gd name="T50" fmla="*/ 2147483647 w 1621"/>
            <a:gd name="T51" fmla="*/ 2147483647 h 401"/>
            <a:gd name="T52" fmla="*/ 2147483647 w 1621"/>
            <a:gd name="T53" fmla="*/ 2147483647 h 401"/>
            <a:gd name="T54" fmla="*/ 2147483647 w 1621"/>
            <a:gd name="T55" fmla="*/ 2147483647 h 401"/>
            <a:gd name="T56" fmla="*/ 2147483647 w 1621"/>
            <a:gd name="T57" fmla="*/ 2147483647 h 401"/>
            <a:gd name="T58" fmla="*/ 2147483647 w 1621"/>
            <a:gd name="T59" fmla="*/ 2147483647 h 401"/>
            <a:gd name="T60" fmla="*/ 2147483647 w 1621"/>
            <a:gd name="T61" fmla="*/ 2147483647 h 401"/>
            <a:gd name="T62" fmla="*/ 2147483647 w 1621"/>
            <a:gd name="T63" fmla="*/ 2147483647 h 401"/>
            <a:gd name="T64" fmla="*/ 2147483647 w 1621"/>
            <a:gd name="T65" fmla="*/ 2147483647 h 401"/>
            <a:gd name="T66" fmla="*/ 2147483647 w 1621"/>
            <a:gd name="T67" fmla="*/ 2147483647 h 401"/>
            <a:gd name="T68" fmla="*/ 2147483647 w 1621"/>
            <a:gd name="T69" fmla="*/ 2147483647 h 401"/>
            <a:gd name="T70" fmla="*/ 2147483647 w 1621"/>
            <a:gd name="T71" fmla="*/ 2147483647 h 401"/>
            <a:gd name="T72" fmla="*/ 2147483647 w 1621"/>
            <a:gd name="T73" fmla="*/ 2147483647 h 401"/>
            <a:gd name="T74" fmla="*/ 2147483647 w 1621"/>
            <a:gd name="T75" fmla="*/ 2147483647 h 401"/>
            <a:gd name="T76" fmla="*/ 2147483647 w 1621"/>
            <a:gd name="T77" fmla="*/ 2147483647 h 401"/>
            <a:gd name="T78" fmla="*/ 2147483647 w 1621"/>
            <a:gd name="T79" fmla="*/ 2147483647 h 401"/>
            <a:gd name="T80" fmla="*/ 2147483647 w 1621"/>
            <a:gd name="T81" fmla="*/ 2147483647 h 401"/>
            <a:gd name="T82" fmla="*/ 2147483647 w 1621"/>
            <a:gd name="T83" fmla="*/ 2147483647 h 401"/>
            <a:gd name="T84" fmla="*/ 2147483647 w 1621"/>
            <a:gd name="T85" fmla="*/ 2147483647 h 401"/>
            <a:gd name="T86" fmla="*/ 2147483647 w 1621"/>
            <a:gd name="T87" fmla="*/ 2147483647 h 401"/>
            <a:gd name="T88" fmla="*/ 2147483647 w 1621"/>
            <a:gd name="T89" fmla="*/ 2147483647 h 401"/>
            <a:gd name="T90" fmla="*/ 2147483647 w 1621"/>
            <a:gd name="T91" fmla="*/ 2147483647 h 401"/>
            <a:gd name="T92" fmla="*/ 2147483647 w 1621"/>
            <a:gd name="T93" fmla="*/ 2147483647 h 401"/>
            <a:gd name="T94" fmla="*/ 2147483647 w 1621"/>
            <a:gd name="T95" fmla="*/ 2147483647 h 401"/>
            <a:gd name="T96" fmla="*/ 2147483647 w 1621"/>
            <a:gd name="T97" fmla="*/ 2147483647 h 401"/>
            <a:gd name="T98" fmla="*/ 2147483647 w 1621"/>
            <a:gd name="T99" fmla="*/ 2147483647 h 401"/>
            <a:gd name="T100" fmla="*/ 2147483647 w 1621"/>
            <a:gd name="T101" fmla="*/ 2147483647 h 401"/>
            <a:gd name="T102" fmla="*/ 2147483647 w 1621"/>
            <a:gd name="T103" fmla="*/ 2147483647 h 401"/>
            <a:gd name="T104" fmla="*/ 2147483647 w 1621"/>
            <a:gd name="T105" fmla="*/ 2147483647 h 401"/>
            <a:gd name="T106" fmla="*/ 2147483647 w 1621"/>
            <a:gd name="T107" fmla="*/ 2147483647 h 401"/>
            <a:gd name="T108" fmla="*/ 2147483647 w 1621"/>
            <a:gd name="T109" fmla="*/ 2147483647 h 401"/>
            <a:gd name="T110" fmla="*/ 2147483647 w 1621"/>
            <a:gd name="T111" fmla="*/ 2147483647 h 401"/>
            <a:gd name="T112" fmla="*/ 2147483647 w 1621"/>
            <a:gd name="T113" fmla="*/ 2147483647 h 401"/>
            <a:gd name="T114" fmla="*/ 2147483647 w 1621"/>
            <a:gd name="T115" fmla="*/ 2147483647 h 401"/>
            <a:gd name="T116" fmla="*/ 2147483647 w 1621"/>
            <a:gd name="T117" fmla="*/ 2147483647 h 401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w 1621"/>
            <a:gd name="T178" fmla="*/ 0 h 401"/>
            <a:gd name="T179" fmla="*/ 1621 w 1621"/>
            <a:gd name="T180" fmla="*/ 401 h 401"/>
          </a:gdLst>
          <a:ahLst/>
          <a:cxnLst>
            <a:cxn ang="T118">
              <a:pos x="T0" y="T1"/>
            </a:cxn>
            <a:cxn ang="T119">
              <a:pos x="T2" y="T3"/>
            </a:cxn>
            <a:cxn ang="T120">
              <a:pos x="T4" y="T5"/>
            </a:cxn>
            <a:cxn ang="T121">
              <a:pos x="T6" y="T7"/>
            </a:cxn>
            <a:cxn ang="T122">
              <a:pos x="T8" y="T9"/>
            </a:cxn>
            <a:cxn ang="T123">
              <a:pos x="T10" y="T11"/>
            </a:cxn>
            <a:cxn ang="T124">
              <a:pos x="T12" y="T13"/>
            </a:cxn>
            <a:cxn ang="T125">
              <a:pos x="T14" y="T15"/>
            </a:cxn>
            <a:cxn ang="T126">
              <a:pos x="T16" y="T17"/>
            </a:cxn>
            <a:cxn ang="T127">
              <a:pos x="T18" y="T19"/>
            </a:cxn>
            <a:cxn ang="T128">
              <a:pos x="T20" y="T21"/>
            </a:cxn>
            <a:cxn ang="T129">
              <a:pos x="T22" y="T23"/>
            </a:cxn>
            <a:cxn ang="T130">
              <a:pos x="T24" y="T25"/>
            </a:cxn>
            <a:cxn ang="T131">
              <a:pos x="T26" y="T27"/>
            </a:cxn>
            <a:cxn ang="T132">
              <a:pos x="T28" y="T29"/>
            </a:cxn>
            <a:cxn ang="T133">
              <a:pos x="T30" y="T31"/>
            </a:cxn>
            <a:cxn ang="T134">
              <a:pos x="T32" y="T33"/>
            </a:cxn>
            <a:cxn ang="T135">
              <a:pos x="T34" y="T35"/>
            </a:cxn>
            <a:cxn ang="T136">
              <a:pos x="T36" y="T37"/>
            </a:cxn>
            <a:cxn ang="T137">
              <a:pos x="T38" y="T39"/>
            </a:cxn>
            <a:cxn ang="T138">
              <a:pos x="T40" y="T41"/>
            </a:cxn>
            <a:cxn ang="T139">
              <a:pos x="T42" y="T43"/>
            </a:cxn>
            <a:cxn ang="T140">
              <a:pos x="T44" y="T45"/>
            </a:cxn>
            <a:cxn ang="T141">
              <a:pos x="T46" y="T47"/>
            </a:cxn>
            <a:cxn ang="T142">
              <a:pos x="T48" y="T49"/>
            </a:cxn>
            <a:cxn ang="T143">
              <a:pos x="T50" y="T51"/>
            </a:cxn>
            <a:cxn ang="T144">
              <a:pos x="T52" y="T53"/>
            </a:cxn>
            <a:cxn ang="T145">
              <a:pos x="T54" y="T55"/>
            </a:cxn>
            <a:cxn ang="T146">
              <a:pos x="T56" y="T57"/>
            </a:cxn>
            <a:cxn ang="T147">
              <a:pos x="T58" y="T59"/>
            </a:cxn>
            <a:cxn ang="T148">
              <a:pos x="T60" y="T61"/>
            </a:cxn>
            <a:cxn ang="T149">
              <a:pos x="T62" y="T63"/>
            </a:cxn>
            <a:cxn ang="T150">
              <a:pos x="T64" y="T65"/>
            </a:cxn>
            <a:cxn ang="T151">
              <a:pos x="T66" y="T67"/>
            </a:cxn>
            <a:cxn ang="T152">
              <a:pos x="T68" y="T69"/>
            </a:cxn>
            <a:cxn ang="T153">
              <a:pos x="T70" y="T71"/>
            </a:cxn>
            <a:cxn ang="T154">
              <a:pos x="T72" y="T73"/>
            </a:cxn>
            <a:cxn ang="T155">
              <a:pos x="T74" y="T75"/>
            </a:cxn>
            <a:cxn ang="T156">
              <a:pos x="T76" y="T77"/>
            </a:cxn>
            <a:cxn ang="T157">
              <a:pos x="T78" y="T79"/>
            </a:cxn>
            <a:cxn ang="T158">
              <a:pos x="T80" y="T81"/>
            </a:cxn>
            <a:cxn ang="T159">
              <a:pos x="T82" y="T83"/>
            </a:cxn>
            <a:cxn ang="T160">
              <a:pos x="T84" y="T85"/>
            </a:cxn>
            <a:cxn ang="T161">
              <a:pos x="T86" y="T87"/>
            </a:cxn>
            <a:cxn ang="T162">
              <a:pos x="T88" y="T89"/>
            </a:cxn>
            <a:cxn ang="T163">
              <a:pos x="T90" y="T91"/>
            </a:cxn>
            <a:cxn ang="T164">
              <a:pos x="T92" y="T93"/>
            </a:cxn>
            <a:cxn ang="T165">
              <a:pos x="T94" y="T95"/>
            </a:cxn>
            <a:cxn ang="T166">
              <a:pos x="T96" y="T97"/>
            </a:cxn>
            <a:cxn ang="T167">
              <a:pos x="T98" y="T99"/>
            </a:cxn>
            <a:cxn ang="T168">
              <a:pos x="T100" y="T101"/>
            </a:cxn>
            <a:cxn ang="T169">
              <a:pos x="T102" y="T103"/>
            </a:cxn>
            <a:cxn ang="T170">
              <a:pos x="T104" y="T105"/>
            </a:cxn>
            <a:cxn ang="T171">
              <a:pos x="T106" y="T107"/>
            </a:cxn>
            <a:cxn ang="T172">
              <a:pos x="T108" y="T109"/>
            </a:cxn>
            <a:cxn ang="T173">
              <a:pos x="T110" y="T111"/>
            </a:cxn>
            <a:cxn ang="T174">
              <a:pos x="T112" y="T113"/>
            </a:cxn>
            <a:cxn ang="T175">
              <a:pos x="T114" y="T115"/>
            </a:cxn>
            <a:cxn ang="T176">
              <a:pos x="T116" y="T117"/>
            </a:cxn>
          </a:cxnLst>
          <a:rect l="T177" t="T178" r="T179" b="T180"/>
          <a:pathLst>
            <a:path w="1621" h="401">
              <a:moveTo>
                <a:pt x="277" y="42"/>
              </a:moveTo>
              <a:lnTo>
                <a:pt x="275" y="42"/>
              </a:lnTo>
              <a:lnTo>
                <a:pt x="250" y="42"/>
              </a:lnTo>
              <a:lnTo>
                <a:pt x="189" y="41"/>
              </a:lnTo>
              <a:lnTo>
                <a:pt x="180" y="42"/>
              </a:lnTo>
              <a:lnTo>
                <a:pt x="166" y="43"/>
              </a:lnTo>
              <a:lnTo>
                <a:pt x="153" y="43"/>
              </a:lnTo>
              <a:lnTo>
                <a:pt x="144" y="43"/>
              </a:lnTo>
              <a:lnTo>
                <a:pt x="149" y="72"/>
              </a:lnTo>
              <a:lnTo>
                <a:pt x="143" y="81"/>
              </a:lnTo>
              <a:lnTo>
                <a:pt x="144" y="102"/>
              </a:lnTo>
              <a:lnTo>
                <a:pt x="114" y="102"/>
              </a:lnTo>
              <a:lnTo>
                <a:pt x="126" y="117"/>
              </a:lnTo>
              <a:lnTo>
                <a:pt x="133" y="130"/>
              </a:lnTo>
              <a:lnTo>
                <a:pt x="128" y="135"/>
              </a:lnTo>
              <a:lnTo>
                <a:pt x="107" y="160"/>
              </a:lnTo>
              <a:lnTo>
                <a:pt x="124" y="183"/>
              </a:lnTo>
              <a:lnTo>
                <a:pt x="104" y="183"/>
              </a:lnTo>
              <a:lnTo>
                <a:pt x="80" y="218"/>
              </a:lnTo>
              <a:lnTo>
                <a:pt x="74" y="270"/>
              </a:lnTo>
              <a:lnTo>
                <a:pt x="58" y="264"/>
              </a:lnTo>
              <a:lnTo>
                <a:pt x="48" y="278"/>
              </a:lnTo>
              <a:lnTo>
                <a:pt x="31" y="293"/>
              </a:lnTo>
              <a:lnTo>
                <a:pt x="24" y="306"/>
              </a:lnTo>
              <a:lnTo>
                <a:pt x="31" y="308"/>
              </a:lnTo>
              <a:lnTo>
                <a:pt x="34" y="300"/>
              </a:lnTo>
              <a:lnTo>
                <a:pt x="40" y="311"/>
              </a:lnTo>
              <a:lnTo>
                <a:pt x="42" y="367"/>
              </a:lnTo>
              <a:lnTo>
                <a:pt x="31" y="366"/>
              </a:lnTo>
              <a:lnTo>
                <a:pt x="0" y="398"/>
              </a:lnTo>
              <a:lnTo>
                <a:pt x="58" y="398"/>
              </a:lnTo>
              <a:lnTo>
                <a:pt x="85" y="398"/>
              </a:lnTo>
              <a:lnTo>
                <a:pt x="109" y="398"/>
              </a:lnTo>
              <a:lnTo>
                <a:pt x="124" y="398"/>
              </a:lnTo>
              <a:lnTo>
                <a:pt x="144" y="398"/>
              </a:lnTo>
              <a:lnTo>
                <a:pt x="160" y="398"/>
              </a:lnTo>
              <a:lnTo>
                <a:pt x="179" y="398"/>
              </a:lnTo>
              <a:lnTo>
                <a:pt x="189" y="398"/>
              </a:lnTo>
              <a:lnTo>
                <a:pt x="198" y="398"/>
              </a:lnTo>
              <a:lnTo>
                <a:pt x="208" y="398"/>
              </a:lnTo>
              <a:lnTo>
                <a:pt x="225" y="398"/>
              </a:lnTo>
              <a:lnTo>
                <a:pt x="235" y="398"/>
              </a:lnTo>
              <a:lnTo>
                <a:pt x="242" y="398"/>
              </a:lnTo>
              <a:lnTo>
                <a:pt x="244" y="398"/>
              </a:lnTo>
              <a:lnTo>
                <a:pt x="260" y="398"/>
              </a:lnTo>
              <a:lnTo>
                <a:pt x="277" y="398"/>
              </a:lnTo>
              <a:lnTo>
                <a:pt x="285" y="398"/>
              </a:lnTo>
              <a:lnTo>
                <a:pt x="302" y="398"/>
              </a:lnTo>
              <a:lnTo>
                <a:pt x="319" y="398"/>
              </a:lnTo>
              <a:lnTo>
                <a:pt x="361" y="398"/>
              </a:lnTo>
              <a:lnTo>
                <a:pt x="362" y="398"/>
              </a:lnTo>
              <a:lnTo>
                <a:pt x="364" y="398"/>
              </a:lnTo>
              <a:lnTo>
                <a:pt x="384" y="398"/>
              </a:lnTo>
              <a:lnTo>
                <a:pt x="394" y="398"/>
              </a:lnTo>
              <a:lnTo>
                <a:pt x="394" y="396"/>
              </a:lnTo>
              <a:lnTo>
                <a:pt x="394" y="395"/>
              </a:lnTo>
              <a:lnTo>
                <a:pt x="435" y="395"/>
              </a:lnTo>
              <a:lnTo>
                <a:pt x="450" y="395"/>
              </a:lnTo>
              <a:lnTo>
                <a:pt x="491" y="396"/>
              </a:lnTo>
              <a:lnTo>
                <a:pt x="505" y="396"/>
              </a:lnTo>
              <a:lnTo>
                <a:pt x="548" y="396"/>
              </a:lnTo>
              <a:lnTo>
                <a:pt x="572" y="397"/>
              </a:lnTo>
              <a:lnTo>
                <a:pt x="577" y="397"/>
              </a:lnTo>
              <a:lnTo>
                <a:pt x="578" y="397"/>
              </a:lnTo>
              <a:lnTo>
                <a:pt x="579" y="397"/>
              </a:lnTo>
              <a:lnTo>
                <a:pt x="633" y="398"/>
              </a:lnTo>
              <a:lnTo>
                <a:pt x="646" y="399"/>
              </a:lnTo>
              <a:lnTo>
                <a:pt x="650" y="399"/>
              </a:lnTo>
              <a:lnTo>
                <a:pt x="659" y="399"/>
              </a:lnTo>
              <a:lnTo>
                <a:pt x="712" y="399"/>
              </a:lnTo>
              <a:lnTo>
                <a:pt x="735" y="399"/>
              </a:lnTo>
              <a:lnTo>
                <a:pt x="746" y="399"/>
              </a:lnTo>
              <a:lnTo>
                <a:pt x="747" y="399"/>
              </a:lnTo>
              <a:lnTo>
                <a:pt x="755" y="399"/>
              </a:lnTo>
              <a:lnTo>
                <a:pt x="794" y="399"/>
              </a:lnTo>
              <a:lnTo>
                <a:pt x="830" y="399"/>
              </a:lnTo>
              <a:lnTo>
                <a:pt x="835" y="399"/>
              </a:lnTo>
              <a:lnTo>
                <a:pt x="876" y="400"/>
              </a:lnTo>
              <a:lnTo>
                <a:pt x="880" y="400"/>
              </a:lnTo>
              <a:lnTo>
                <a:pt x="899" y="400"/>
              </a:lnTo>
              <a:lnTo>
                <a:pt x="905" y="401"/>
              </a:lnTo>
              <a:lnTo>
                <a:pt x="923" y="400"/>
              </a:lnTo>
              <a:lnTo>
                <a:pt x="925" y="400"/>
              </a:lnTo>
              <a:lnTo>
                <a:pt x="935" y="400"/>
              </a:lnTo>
              <a:lnTo>
                <a:pt x="943" y="400"/>
              </a:lnTo>
              <a:lnTo>
                <a:pt x="946" y="400"/>
              </a:lnTo>
              <a:lnTo>
                <a:pt x="947" y="400"/>
              </a:lnTo>
              <a:lnTo>
                <a:pt x="997" y="399"/>
              </a:lnTo>
              <a:lnTo>
                <a:pt x="998" y="399"/>
              </a:lnTo>
              <a:lnTo>
                <a:pt x="1008" y="399"/>
              </a:lnTo>
              <a:lnTo>
                <a:pt x="1022" y="400"/>
              </a:lnTo>
              <a:lnTo>
                <a:pt x="1029" y="399"/>
              </a:lnTo>
              <a:lnTo>
                <a:pt x="1035" y="399"/>
              </a:lnTo>
              <a:lnTo>
                <a:pt x="1039" y="399"/>
              </a:lnTo>
              <a:lnTo>
                <a:pt x="1047" y="399"/>
              </a:lnTo>
              <a:lnTo>
                <a:pt x="1064" y="399"/>
              </a:lnTo>
              <a:lnTo>
                <a:pt x="1090" y="399"/>
              </a:lnTo>
              <a:lnTo>
                <a:pt x="1110" y="399"/>
              </a:lnTo>
              <a:lnTo>
                <a:pt x="1120" y="399"/>
              </a:lnTo>
              <a:lnTo>
                <a:pt x="1120" y="397"/>
              </a:lnTo>
              <a:lnTo>
                <a:pt x="1123" y="367"/>
              </a:lnTo>
              <a:lnTo>
                <a:pt x="1125" y="348"/>
              </a:lnTo>
              <a:lnTo>
                <a:pt x="1134" y="337"/>
              </a:lnTo>
              <a:lnTo>
                <a:pt x="1162" y="338"/>
              </a:lnTo>
              <a:lnTo>
                <a:pt x="1174" y="327"/>
              </a:lnTo>
              <a:lnTo>
                <a:pt x="1179" y="308"/>
              </a:lnTo>
              <a:lnTo>
                <a:pt x="1180" y="296"/>
              </a:lnTo>
              <a:lnTo>
                <a:pt x="1187" y="287"/>
              </a:lnTo>
              <a:lnTo>
                <a:pt x="1188" y="288"/>
              </a:lnTo>
              <a:lnTo>
                <a:pt x="1203" y="274"/>
              </a:lnTo>
              <a:lnTo>
                <a:pt x="1227" y="264"/>
              </a:lnTo>
              <a:lnTo>
                <a:pt x="1243" y="262"/>
              </a:lnTo>
              <a:lnTo>
                <a:pt x="1249" y="262"/>
              </a:lnTo>
              <a:lnTo>
                <a:pt x="1274" y="264"/>
              </a:lnTo>
              <a:lnTo>
                <a:pt x="1320" y="232"/>
              </a:lnTo>
              <a:lnTo>
                <a:pt x="1319" y="228"/>
              </a:lnTo>
              <a:lnTo>
                <a:pt x="1343" y="215"/>
              </a:lnTo>
              <a:lnTo>
                <a:pt x="1367" y="214"/>
              </a:lnTo>
              <a:lnTo>
                <a:pt x="1374" y="210"/>
              </a:lnTo>
              <a:lnTo>
                <a:pt x="1385" y="188"/>
              </a:lnTo>
              <a:lnTo>
                <a:pt x="1385" y="186"/>
              </a:lnTo>
              <a:lnTo>
                <a:pt x="1386" y="173"/>
              </a:lnTo>
              <a:lnTo>
                <a:pt x="1409" y="160"/>
              </a:lnTo>
              <a:lnTo>
                <a:pt x="1438" y="147"/>
              </a:lnTo>
              <a:lnTo>
                <a:pt x="1441" y="151"/>
              </a:lnTo>
              <a:lnTo>
                <a:pt x="1439" y="160"/>
              </a:lnTo>
              <a:lnTo>
                <a:pt x="1459" y="166"/>
              </a:lnTo>
              <a:lnTo>
                <a:pt x="1460" y="165"/>
              </a:lnTo>
              <a:lnTo>
                <a:pt x="1467" y="158"/>
              </a:lnTo>
              <a:lnTo>
                <a:pt x="1476" y="143"/>
              </a:lnTo>
              <a:lnTo>
                <a:pt x="1484" y="136"/>
              </a:lnTo>
              <a:lnTo>
                <a:pt x="1507" y="129"/>
              </a:lnTo>
              <a:lnTo>
                <a:pt x="1512" y="123"/>
              </a:lnTo>
              <a:lnTo>
                <a:pt x="1529" y="130"/>
              </a:lnTo>
              <a:lnTo>
                <a:pt x="1531" y="136"/>
              </a:lnTo>
              <a:lnTo>
                <a:pt x="1539" y="136"/>
              </a:lnTo>
              <a:lnTo>
                <a:pt x="1543" y="130"/>
              </a:lnTo>
              <a:lnTo>
                <a:pt x="1549" y="130"/>
              </a:lnTo>
              <a:lnTo>
                <a:pt x="1567" y="98"/>
              </a:lnTo>
              <a:lnTo>
                <a:pt x="1569" y="93"/>
              </a:lnTo>
              <a:lnTo>
                <a:pt x="1578" y="86"/>
              </a:lnTo>
              <a:lnTo>
                <a:pt x="1601" y="81"/>
              </a:lnTo>
              <a:lnTo>
                <a:pt x="1604" y="68"/>
              </a:lnTo>
              <a:lnTo>
                <a:pt x="1610" y="43"/>
              </a:lnTo>
              <a:lnTo>
                <a:pt x="1614" y="21"/>
              </a:lnTo>
              <a:lnTo>
                <a:pt x="1621" y="16"/>
              </a:lnTo>
              <a:lnTo>
                <a:pt x="1601" y="16"/>
              </a:lnTo>
              <a:lnTo>
                <a:pt x="1586" y="15"/>
              </a:lnTo>
              <a:lnTo>
                <a:pt x="1568" y="15"/>
              </a:lnTo>
              <a:lnTo>
                <a:pt x="1566" y="20"/>
              </a:lnTo>
              <a:lnTo>
                <a:pt x="1526" y="20"/>
              </a:lnTo>
              <a:lnTo>
                <a:pt x="1521" y="20"/>
              </a:lnTo>
              <a:lnTo>
                <a:pt x="1515" y="19"/>
              </a:lnTo>
              <a:lnTo>
                <a:pt x="1508" y="20"/>
              </a:lnTo>
              <a:lnTo>
                <a:pt x="1507" y="20"/>
              </a:lnTo>
              <a:lnTo>
                <a:pt x="1499" y="19"/>
              </a:lnTo>
              <a:lnTo>
                <a:pt x="1484" y="20"/>
              </a:lnTo>
              <a:lnTo>
                <a:pt x="1460" y="20"/>
              </a:lnTo>
              <a:lnTo>
                <a:pt x="1440" y="20"/>
              </a:lnTo>
              <a:lnTo>
                <a:pt x="1438" y="20"/>
              </a:lnTo>
              <a:lnTo>
                <a:pt x="1430" y="20"/>
              </a:lnTo>
              <a:lnTo>
                <a:pt x="1399" y="20"/>
              </a:lnTo>
              <a:lnTo>
                <a:pt x="1390" y="20"/>
              </a:lnTo>
              <a:lnTo>
                <a:pt x="1370" y="20"/>
              </a:lnTo>
              <a:lnTo>
                <a:pt x="1318" y="20"/>
              </a:lnTo>
              <a:lnTo>
                <a:pt x="1316" y="19"/>
              </a:lnTo>
              <a:lnTo>
                <a:pt x="1279" y="19"/>
              </a:lnTo>
              <a:lnTo>
                <a:pt x="1250" y="19"/>
              </a:lnTo>
              <a:lnTo>
                <a:pt x="1246" y="19"/>
              </a:lnTo>
              <a:lnTo>
                <a:pt x="1241" y="18"/>
              </a:lnTo>
              <a:lnTo>
                <a:pt x="1237" y="22"/>
              </a:lnTo>
              <a:lnTo>
                <a:pt x="1219" y="22"/>
              </a:lnTo>
              <a:lnTo>
                <a:pt x="1192" y="21"/>
              </a:lnTo>
              <a:lnTo>
                <a:pt x="1180" y="21"/>
              </a:lnTo>
              <a:lnTo>
                <a:pt x="1177" y="21"/>
              </a:lnTo>
              <a:lnTo>
                <a:pt x="1164" y="21"/>
              </a:lnTo>
              <a:lnTo>
                <a:pt x="1140" y="20"/>
              </a:lnTo>
              <a:lnTo>
                <a:pt x="1138" y="20"/>
              </a:lnTo>
              <a:lnTo>
                <a:pt x="1135" y="20"/>
              </a:lnTo>
              <a:lnTo>
                <a:pt x="1131" y="20"/>
              </a:lnTo>
              <a:lnTo>
                <a:pt x="1097" y="19"/>
              </a:lnTo>
              <a:lnTo>
                <a:pt x="1078" y="19"/>
              </a:lnTo>
              <a:lnTo>
                <a:pt x="1034" y="18"/>
              </a:lnTo>
              <a:lnTo>
                <a:pt x="1033" y="18"/>
              </a:lnTo>
              <a:lnTo>
                <a:pt x="1016" y="17"/>
              </a:lnTo>
              <a:lnTo>
                <a:pt x="1003" y="16"/>
              </a:lnTo>
              <a:lnTo>
                <a:pt x="998" y="15"/>
              </a:lnTo>
              <a:lnTo>
                <a:pt x="992" y="15"/>
              </a:lnTo>
              <a:lnTo>
                <a:pt x="970" y="13"/>
              </a:lnTo>
              <a:lnTo>
                <a:pt x="941" y="13"/>
              </a:lnTo>
              <a:lnTo>
                <a:pt x="938" y="13"/>
              </a:lnTo>
              <a:lnTo>
                <a:pt x="937" y="13"/>
              </a:lnTo>
              <a:lnTo>
                <a:pt x="930" y="14"/>
              </a:lnTo>
              <a:lnTo>
                <a:pt x="911" y="14"/>
              </a:lnTo>
              <a:lnTo>
                <a:pt x="899" y="15"/>
              </a:lnTo>
              <a:lnTo>
                <a:pt x="876" y="15"/>
              </a:lnTo>
              <a:lnTo>
                <a:pt x="846" y="14"/>
              </a:lnTo>
              <a:lnTo>
                <a:pt x="838" y="14"/>
              </a:lnTo>
              <a:lnTo>
                <a:pt x="824" y="13"/>
              </a:lnTo>
              <a:lnTo>
                <a:pt x="810" y="12"/>
              </a:lnTo>
              <a:lnTo>
                <a:pt x="806" y="12"/>
              </a:lnTo>
              <a:lnTo>
                <a:pt x="783" y="11"/>
              </a:lnTo>
              <a:lnTo>
                <a:pt x="768" y="10"/>
              </a:lnTo>
              <a:lnTo>
                <a:pt x="750" y="8"/>
              </a:lnTo>
              <a:lnTo>
                <a:pt x="743" y="7"/>
              </a:lnTo>
              <a:lnTo>
                <a:pt x="729" y="6"/>
              </a:lnTo>
              <a:lnTo>
                <a:pt x="712" y="6"/>
              </a:lnTo>
              <a:lnTo>
                <a:pt x="703" y="8"/>
              </a:lnTo>
              <a:lnTo>
                <a:pt x="700" y="11"/>
              </a:lnTo>
              <a:lnTo>
                <a:pt x="696" y="6"/>
              </a:lnTo>
              <a:lnTo>
                <a:pt x="676" y="7"/>
              </a:lnTo>
              <a:lnTo>
                <a:pt x="663" y="7"/>
              </a:lnTo>
              <a:lnTo>
                <a:pt x="650" y="7"/>
              </a:lnTo>
              <a:lnTo>
                <a:pt x="642" y="7"/>
              </a:lnTo>
              <a:lnTo>
                <a:pt x="607" y="8"/>
              </a:lnTo>
              <a:lnTo>
                <a:pt x="597" y="8"/>
              </a:lnTo>
              <a:lnTo>
                <a:pt x="595" y="8"/>
              </a:lnTo>
              <a:lnTo>
                <a:pt x="572" y="8"/>
              </a:lnTo>
              <a:lnTo>
                <a:pt x="556" y="8"/>
              </a:lnTo>
              <a:lnTo>
                <a:pt x="532" y="10"/>
              </a:lnTo>
              <a:lnTo>
                <a:pt x="514" y="10"/>
              </a:lnTo>
              <a:lnTo>
                <a:pt x="499" y="10"/>
              </a:lnTo>
              <a:lnTo>
                <a:pt x="489" y="10"/>
              </a:lnTo>
              <a:lnTo>
                <a:pt x="459" y="11"/>
              </a:lnTo>
              <a:lnTo>
                <a:pt x="459" y="4"/>
              </a:lnTo>
              <a:lnTo>
                <a:pt x="419" y="0"/>
              </a:lnTo>
              <a:lnTo>
                <a:pt x="420" y="6"/>
              </a:lnTo>
              <a:lnTo>
                <a:pt x="422" y="13"/>
              </a:lnTo>
              <a:lnTo>
                <a:pt x="422" y="43"/>
              </a:lnTo>
              <a:lnTo>
                <a:pt x="379" y="43"/>
              </a:lnTo>
              <a:lnTo>
                <a:pt x="362" y="43"/>
              </a:lnTo>
              <a:lnTo>
                <a:pt x="341" y="42"/>
              </a:lnTo>
              <a:lnTo>
                <a:pt x="338" y="42"/>
              </a:lnTo>
              <a:lnTo>
                <a:pt x="335" y="42"/>
              </a:lnTo>
              <a:lnTo>
                <a:pt x="330" y="42"/>
              </a:lnTo>
              <a:lnTo>
                <a:pt x="289" y="42"/>
              </a:lnTo>
              <a:lnTo>
                <a:pt x="278" y="42"/>
              </a:lnTo>
              <a:lnTo>
                <a:pt x="277" y="42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pPr algn="ctr"/>
          <a:endParaRPr lang="en-US" sz="800" b="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20</xdr:col>
      <xdr:colOff>122930</xdr:colOff>
      <xdr:row>9</xdr:row>
      <xdr:rowOff>136073</xdr:rowOff>
    </xdr:from>
    <xdr:to>
      <xdr:col>21</xdr:col>
      <xdr:colOff>200712</xdr:colOff>
      <xdr:row>12</xdr:row>
      <xdr:rowOff>22730</xdr:rowOff>
    </xdr:to>
    <xdr:sp macro="" textlink="">
      <xdr:nvSpPr>
        <xdr:cNvPr id="55" name="S_SD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>
          <a:spLocks/>
        </xdr:cNvSpPr>
      </xdr:nvSpPr>
      <xdr:spPr bwMode="auto">
        <a:xfrm>
          <a:off x="2323205" y="1888673"/>
          <a:ext cx="687382" cy="572457"/>
        </a:xfrm>
        <a:custGeom>
          <a:avLst/>
          <a:gdLst>
            <a:gd name="T0" fmla="*/ 2147483647 w 1425"/>
            <a:gd name="T1" fmla="*/ 2147483647 h 817"/>
            <a:gd name="T2" fmla="*/ 2147483647 w 1425"/>
            <a:gd name="T3" fmla="*/ 2147483647 h 817"/>
            <a:gd name="T4" fmla="*/ 2147483647 w 1425"/>
            <a:gd name="T5" fmla="*/ 2147483647 h 817"/>
            <a:gd name="T6" fmla="*/ 2147483647 w 1425"/>
            <a:gd name="T7" fmla="*/ 2147483647 h 817"/>
            <a:gd name="T8" fmla="*/ 2147483647 w 1425"/>
            <a:gd name="T9" fmla="*/ 2147483647 h 817"/>
            <a:gd name="T10" fmla="*/ 2147483647 w 1425"/>
            <a:gd name="T11" fmla="*/ 2147483647 h 817"/>
            <a:gd name="T12" fmla="*/ 2147483647 w 1425"/>
            <a:gd name="T13" fmla="*/ 2147483647 h 817"/>
            <a:gd name="T14" fmla="*/ 2147483647 w 1425"/>
            <a:gd name="T15" fmla="*/ 2147483647 h 817"/>
            <a:gd name="T16" fmla="*/ 2147483647 w 1425"/>
            <a:gd name="T17" fmla="*/ 2147483647 h 817"/>
            <a:gd name="T18" fmla="*/ 2147483647 w 1425"/>
            <a:gd name="T19" fmla="*/ 2147483647 h 817"/>
            <a:gd name="T20" fmla="*/ 2147483647 w 1425"/>
            <a:gd name="T21" fmla="*/ 2147483647 h 817"/>
            <a:gd name="T22" fmla="*/ 2147483647 w 1425"/>
            <a:gd name="T23" fmla="*/ 2147483647 h 817"/>
            <a:gd name="T24" fmla="*/ 2147483647 w 1425"/>
            <a:gd name="T25" fmla="*/ 2147483647 h 817"/>
            <a:gd name="T26" fmla="*/ 2147483647 w 1425"/>
            <a:gd name="T27" fmla="*/ 2147483647 h 817"/>
            <a:gd name="T28" fmla="*/ 2147483647 w 1425"/>
            <a:gd name="T29" fmla="*/ 0 h 817"/>
            <a:gd name="T30" fmla="*/ 2147483647 w 1425"/>
            <a:gd name="T31" fmla="*/ 0 h 817"/>
            <a:gd name="T32" fmla="*/ 2147483647 w 1425"/>
            <a:gd name="T33" fmla="*/ 0 h 817"/>
            <a:gd name="T34" fmla="*/ 2147483647 w 1425"/>
            <a:gd name="T35" fmla="*/ 0 h 817"/>
            <a:gd name="T36" fmla="*/ 2147483647 w 1425"/>
            <a:gd name="T37" fmla="*/ 0 h 817"/>
            <a:gd name="T38" fmla="*/ 2147483647 w 1425"/>
            <a:gd name="T39" fmla="*/ 0 h 817"/>
            <a:gd name="T40" fmla="*/ 2147483647 w 1425"/>
            <a:gd name="T41" fmla="*/ 0 h 817"/>
            <a:gd name="T42" fmla="*/ 2147483647 w 1425"/>
            <a:gd name="T43" fmla="*/ 0 h 817"/>
            <a:gd name="T44" fmla="*/ 2147483647 w 1425"/>
            <a:gd name="T45" fmla="*/ 0 h 817"/>
            <a:gd name="T46" fmla="*/ 2147483647 w 1425"/>
            <a:gd name="T47" fmla="*/ 0 h 817"/>
            <a:gd name="T48" fmla="*/ 0 w 1425"/>
            <a:gd name="T49" fmla="*/ 0 h 817"/>
            <a:gd name="T50" fmla="*/ 0 w 1425"/>
            <a:gd name="T51" fmla="*/ 2147483647 h 817"/>
            <a:gd name="T52" fmla="*/ 0 w 1425"/>
            <a:gd name="T53" fmla="*/ 2147483647 h 817"/>
            <a:gd name="T54" fmla="*/ 0 w 1425"/>
            <a:gd name="T55" fmla="*/ 2147483647 h 817"/>
            <a:gd name="T56" fmla="*/ 0 w 1425"/>
            <a:gd name="T57" fmla="*/ 2147483647 h 817"/>
            <a:gd name="T58" fmla="*/ 0 w 1425"/>
            <a:gd name="T59" fmla="*/ 2147483647 h 817"/>
            <a:gd name="T60" fmla="*/ 0 w 1425"/>
            <a:gd name="T61" fmla="*/ 2147483647 h 817"/>
            <a:gd name="T62" fmla="*/ 0 w 1425"/>
            <a:gd name="T63" fmla="*/ 2147483647 h 817"/>
            <a:gd name="T64" fmla="*/ 2147483647 w 1425"/>
            <a:gd name="T65" fmla="*/ 2147483647 h 817"/>
            <a:gd name="T66" fmla="*/ 2147483647 w 1425"/>
            <a:gd name="T67" fmla="*/ 2147483647 h 817"/>
            <a:gd name="T68" fmla="*/ 2147483647 w 1425"/>
            <a:gd name="T69" fmla="*/ 2147483647 h 817"/>
            <a:gd name="T70" fmla="*/ 2147483647 w 1425"/>
            <a:gd name="T71" fmla="*/ 2147483647 h 817"/>
            <a:gd name="T72" fmla="*/ 2147483647 w 1425"/>
            <a:gd name="T73" fmla="*/ 2147483647 h 817"/>
            <a:gd name="T74" fmla="*/ 2147483647 w 1425"/>
            <a:gd name="T75" fmla="*/ 2147483647 h 817"/>
            <a:gd name="T76" fmla="*/ 2147483647 w 1425"/>
            <a:gd name="T77" fmla="*/ 2147483647 h 817"/>
            <a:gd name="T78" fmla="*/ 2147483647 w 1425"/>
            <a:gd name="T79" fmla="*/ 2147483647 h 817"/>
            <a:gd name="T80" fmla="*/ 2147483647 w 1425"/>
            <a:gd name="T81" fmla="*/ 2147483647 h 817"/>
            <a:gd name="T82" fmla="*/ 2147483647 w 1425"/>
            <a:gd name="T83" fmla="*/ 2147483647 h 817"/>
            <a:gd name="T84" fmla="*/ 2147483647 w 1425"/>
            <a:gd name="T85" fmla="*/ 2147483647 h 817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w 1425"/>
            <a:gd name="T130" fmla="*/ 0 h 817"/>
            <a:gd name="T131" fmla="*/ 1425 w 1425"/>
            <a:gd name="T132" fmla="*/ 817 h 817"/>
          </a:gdLst>
          <a:ahLst/>
          <a:cxnLst>
            <a:cxn ang="T86">
              <a:pos x="T0" y="T1"/>
            </a:cxn>
            <a:cxn ang="T87">
              <a:pos x="T2" y="T3"/>
            </a:cxn>
            <a:cxn ang="T88">
              <a:pos x="T4" y="T5"/>
            </a:cxn>
            <a:cxn ang="T89">
              <a:pos x="T6" y="T7"/>
            </a:cxn>
            <a:cxn ang="T90">
              <a:pos x="T8" y="T9"/>
            </a:cxn>
            <a:cxn ang="T91">
              <a:pos x="T10" y="T11"/>
            </a:cxn>
            <a:cxn ang="T92">
              <a:pos x="T12" y="T13"/>
            </a:cxn>
            <a:cxn ang="T93">
              <a:pos x="T14" y="T15"/>
            </a:cxn>
            <a:cxn ang="T94">
              <a:pos x="T16" y="T17"/>
            </a:cxn>
            <a:cxn ang="T95">
              <a:pos x="T18" y="T19"/>
            </a:cxn>
            <a:cxn ang="T96">
              <a:pos x="T20" y="T21"/>
            </a:cxn>
            <a:cxn ang="T97">
              <a:pos x="T22" y="T23"/>
            </a:cxn>
            <a:cxn ang="T98">
              <a:pos x="T24" y="T25"/>
            </a:cxn>
            <a:cxn ang="T99">
              <a:pos x="T26" y="T27"/>
            </a:cxn>
            <a:cxn ang="T100">
              <a:pos x="T28" y="T29"/>
            </a:cxn>
            <a:cxn ang="T101">
              <a:pos x="T30" y="T31"/>
            </a:cxn>
            <a:cxn ang="T102">
              <a:pos x="T32" y="T33"/>
            </a:cxn>
            <a:cxn ang="T103">
              <a:pos x="T34" y="T35"/>
            </a:cxn>
            <a:cxn ang="T104">
              <a:pos x="T36" y="T37"/>
            </a:cxn>
            <a:cxn ang="T105">
              <a:pos x="T38" y="T39"/>
            </a:cxn>
            <a:cxn ang="T106">
              <a:pos x="T40" y="T41"/>
            </a:cxn>
            <a:cxn ang="T107">
              <a:pos x="T42" y="T43"/>
            </a:cxn>
            <a:cxn ang="T108">
              <a:pos x="T44" y="T45"/>
            </a:cxn>
            <a:cxn ang="T109">
              <a:pos x="T46" y="T47"/>
            </a:cxn>
            <a:cxn ang="T110">
              <a:pos x="T48" y="T49"/>
            </a:cxn>
            <a:cxn ang="T111">
              <a:pos x="T50" y="T51"/>
            </a:cxn>
            <a:cxn ang="T112">
              <a:pos x="T52" y="T53"/>
            </a:cxn>
            <a:cxn ang="T113">
              <a:pos x="T54" y="T55"/>
            </a:cxn>
            <a:cxn ang="T114">
              <a:pos x="T56" y="T57"/>
            </a:cxn>
            <a:cxn ang="T115">
              <a:pos x="T58" y="T59"/>
            </a:cxn>
            <a:cxn ang="T116">
              <a:pos x="T60" y="T61"/>
            </a:cxn>
            <a:cxn ang="T117">
              <a:pos x="T62" y="T63"/>
            </a:cxn>
            <a:cxn ang="T118">
              <a:pos x="T64" y="T65"/>
            </a:cxn>
            <a:cxn ang="T119">
              <a:pos x="T66" y="T67"/>
            </a:cxn>
            <a:cxn ang="T120">
              <a:pos x="T68" y="T69"/>
            </a:cxn>
            <a:cxn ang="T121">
              <a:pos x="T70" y="T71"/>
            </a:cxn>
            <a:cxn ang="T122">
              <a:pos x="T72" y="T73"/>
            </a:cxn>
            <a:cxn ang="T123">
              <a:pos x="T74" y="T75"/>
            </a:cxn>
            <a:cxn ang="T124">
              <a:pos x="T76" y="T77"/>
            </a:cxn>
            <a:cxn ang="T125">
              <a:pos x="T78" y="T79"/>
            </a:cxn>
            <a:cxn ang="T126">
              <a:pos x="T80" y="T81"/>
            </a:cxn>
            <a:cxn ang="T127">
              <a:pos x="T82" y="T83"/>
            </a:cxn>
            <a:cxn ang="T128">
              <a:pos x="T84" y="T85"/>
            </a:cxn>
          </a:cxnLst>
          <a:rect l="T129" t="T130" r="T131" b="T132"/>
          <a:pathLst>
            <a:path w="1425" h="817">
              <a:moveTo>
                <a:pt x="1290" y="743"/>
              </a:moveTo>
              <a:lnTo>
                <a:pt x="1296" y="749"/>
              </a:lnTo>
              <a:lnTo>
                <a:pt x="1317" y="753"/>
              </a:lnTo>
              <a:lnTo>
                <a:pt x="1356" y="765"/>
              </a:lnTo>
              <a:lnTo>
                <a:pt x="1375" y="785"/>
              </a:lnTo>
              <a:lnTo>
                <a:pt x="1390" y="808"/>
              </a:lnTo>
              <a:lnTo>
                <a:pt x="1410" y="814"/>
              </a:lnTo>
              <a:lnTo>
                <a:pt x="1424" y="817"/>
              </a:lnTo>
              <a:lnTo>
                <a:pt x="1418" y="814"/>
              </a:lnTo>
              <a:lnTo>
                <a:pt x="1414" y="800"/>
              </a:lnTo>
              <a:lnTo>
                <a:pt x="1413" y="791"/>
              </a:lnTo>
              <a:lnTo>
                <a:pt x="1391" y="765"/>
              </a:lnTo>
              <a:lnTo>
                <a:pt x="1407" y="717"/>
              </a:lnTo>
              <a:lnTo>
                <a:pt x="1413" y="706"/>
              </a:lnTo>
              <a:lnTo>
                <a:pt x="1413" y="684"/>
              </a:lnTo>
              <a:lnTo>
                <a:pt x="1422" y="676"/>
              </a:lnTo>
              <a:lnTo>
                <a:pt x="1425" y="666"/>
              </a:lnTo>
              <a:lnTo>
                <a:pt x="1413" y="643"/>
              </a:lnTo>
              <a:lnTo>
                <a:pt x="1404" y="635"/>
              </a:lnTo>
              <a:lnTo>
                <a:pt x="1410" y="607"/>
              </a:lnTo>
              <a:lnTo>
                <a:pt x="1395" y="578"/>
              </a:lnTo>
              <a:lnTo>
                <a:pt x="1395" y="577"/>
              </a:lnTo>
              <a:lnTo>
                <a:pt x="1413" y="577"/>
              </a:lnTo>
              <a:lnTo>
                <a:pt x="1423" y="577"/>
              </a:lnTo>
              <a:lnTo>
                <a:pt x="1423" y="548"/>
              </a:lnTo>
              <a:lnTo>
                <a:pt x="1423" y="518"/>
              </a:lnTo>
              <a:lnTo>
                <a:pt x="1423" y="495"/>
              </a:lnTo>
              <a:lnTo>
                <a:pt x="1423" y="459"/>
              </a:lnTo>
              <a:lnTo>
                <a:pt x="1423" y="431"/>
              </a:lnTo>
              <a:lnTo>
                <a:pt x="1423" y="413"/>
              </a:lnTo>
              <a:lnTo>
                <a:pt x="1423" y="331"/>
              </a:lnTo>
              <a:lnTo>
                <a:pt x="1423" y="312"/>
              </a:lnTo>
              <a:lnTo>
                <a:pt x="1423" y="311"/>
              </a:lnTo>
              <a:lnTo>
                <a:pt x="1423" y="269"/>
              </a:lnTo>
              <a:lnTo>
                <a:pt x="1423" y="228"/>
              </a:lnTo>
              <a:lnTo>
                <a:pt x="1423" y="160"/>
              </a:lnTo>
              <a:lnTo>
                <a:pt x="1420" y="146"/>
              </a:lnTo>
              <a:lnTo>
                <a:pt x="1414" y="137"/>
              </a:lnTo>
              <a:lnTo>
                <a:pt x="1391" y="127"/>
              </a:lnTo>
              <a:lnTo>
                <a:pt x="1351" y="85"/>
              </a:lnTo>
              <a:lnTo>
                <a:pt x="1348" y="75"/>
              </a:lnTo>
              <a:lnTo>
                <a:pt x="1385" y="46"/>
              </a:lnTo>
              <a:lnTo>
                <a:pt x="1402" y="2"/>
              </a:lnTo>
              <a:lnTo>
                <a:pt x="1367" y="2"/>
              </a:lnTo>
              <a:lnTo>
                <a:pt x="1320" y="2"/>
              </a:lnTo>
              <a:lnTo>
                <a:pt x="1277" y="2"/>
              </a:lnTo>
              <a:lnTo>
                <a:pt x="1273" y="2"/>
              </a:lnTo>
              <a:lnTo>
                <a:pt x="1227" y="2"/>
              </a:lnTo>
              <a:lnTo>
                <a:pt x="1137" y="2"/>
              </a:lnTo>
              <a:lnTo>
                <a:pt x="1133" y="2"/>
              </a:lnTo>
              <a:lnTo>
                <a:pt x="1132" y="2"/>
              </a:lnTo>
              <a:lnTo>
                <a:pt x="1087" y="2"/>
              </a:lnTo>
              <a:lnTo>
                <a:pt x="1063" y="2"/>
              </a:lnTo>
              <a:lnTo>
                <a:pt x="998" y="1"/>
              </a:lnTo>
              <a:lnTo>
                <a:pt x="993" y="1"/>
              </a:lnTo>
              <a:lnTo>
                <a:pt x="945" y="1"/>
              </a:lnTo>
              <a:lnTo>
                <a:pt x="899" y="1"/>
              </a:lnTo>
              <a:lnTo>
                <a:pt x="829" y="1"/>
              </a:lnTo>
              <a:lnTo>
                <a:pt x="812" y="1"/>
              </a:lnTo>
              <a:lnTo>
                <a:pt x="782" y="1"/>
              </a:lnTo>
              <a:lnTo>
                <a:pt x="759" y="1"/>
              </a:lnTo>
              <a:lnTo>
                <a:pt x="758" y="1"/>
              </a:lnTo>
              <a:lnTo>
                <a:pt x="666" y="0"/>
              </a:lnTo>
              <a:lnTo>
                <a:pt x="665" y="0"/>
              </a:lnTo>
              <a:lnTo>
                <a:pt x="663" y="0"/>
              </a:lnTo>
              <a:lnTo>
                <a:pt x="548" y="0"/>
              </a:lnTo>
              <a:lnTo>
                <a:pt x="525" y="0"/>
              </a:lnTo>
              <a:lnTo>
                <a:pt x="385" y="0"/>
              </a:lnTo>
              <a:lnTo>
                <a:pt x="361" y="0"/>
              </a:lnTo>
              <a:lnTo>
                <a:pt x="292" y="0"/>
              </a:lnTo>
              <a:lnTo>
                <a:pt x="209" y="0"/>
              </a:lnTo>
              <a:lnTo>
                <a:pt x="198" y="0"/>
              </a:lnTo>
              <a:lnTo>
                <a:pt x="81" y="0"/>
              </a:lnTo>
              <a:lnTo>
                <a:pt x="11" y="0"/>
              </a:lnTo>
              <a:lnTo>
                <a:pt x="3" y="0"/>
              </a:lnTo>
              <a:lnTo>
                <a:pt x="3" y="15"/>
              </a:lnTo>
              <a:lnTo>
                <a:pt x="3" y="46"/>
              </a:lnTo>
              <a:lnTo>
                <a:pt x="3" y="164"/>
              </a:lnTo>
              <a:lnTo>
                <a:pt x="4" y="173"/>
              </a:lnTo>
              <a:lnTo>
                <a:pt x="4" y="223"/>
              </a:lnTo>
              <a:lnTo>
                <a:pt x="4" y="224"/>
              </a:lnTo>
              <a:lnTo>
                <a:pt x="0" y="224"/>
              </a:lnTo>
              <a:lnTo>
                <a:pt x="0" y="283"/>
              </a:lnTo>
              <a:lnTo>
                <a:pt x="0" y="325"/>
              </a:lnTo>
              <a:lnTo>
                <a:pt x="0" y="342"/>
              </a:lnTo>
              <a:lnTo>
                <a:pt x="0" y="401"/>
              </a:lnTo>
              <a:lnTo>
                <a:pt x="0" y="417"/>
              </a:lnTo>
              <a:lnTo>
                <a:pt x="0" y="426"/>
              </a:lnTo>
              <a:lnTo>
                <a:pt x="0" y="459"/>
              </a:lnTo>
              <a:lnTo>
                <a:pt x="0" y="495"/>
              </a:lnTo>
              <a:lnTo>
                <a:pt x="0" y="518"/>
              </a:lnTo>
              <a:lnTo>
                <a:pt x="0" y="548"/>
              </a:lnTo>
              <a:lnTo>
                <a:pt x="0" y="577"/>
              </a:lnTo>
              <a:lnTo>
                <a:pt x="0" y="578"/>
              </a:lnTo>
              <a:lnTo>
                <a:pt x="0" y="582"/>
              </a:lnTo>
              <a:lnTo>
                <a:pt x="0" y="607"/>
              </a:lnTo>
              <a:lnTo>
                <a:pt x="0" y="666"/>
              </a:lnTo>
              <a:lnTo>
                <a:pt x="0" y="696"/>
              </a:lnTo>
              <a:lnTo>
                <a:pt x="8" y="696"/>
              </a:lnTo>
              <a:lnTo>
                <a:pt x="11" y="695"/>
              </a:lnTo>
              <a:lnTo>
                <a:pt x="103" y="695"/>
              </a:lnTo>
              <a:lnTo>
                <a:pt x="151" y="695"/>
              </a:lnTo>
              <a:lnTo>
                <a:pt x="158" y="696"/>
              </a:lnTo>
              <a:lnTo>
                <a:pt x="197" y="696"/>
              </a:lnTo>
              <a:lnTo>
                <a:pt x="221" y="696"/>
              </a:lnTo>
              <a:lnTo>
                <a:pt x="225" y="696"/>
              </a:lnTo>
              <a:lnTo>
                <a:pt x="237" y="696"/>
              </a:lnTo>
              <a:lnTo>
                <a:pt x="296" y="696"/>
              </a:lnTo>
              <a:lnTo>
                <a:pt x="338" y="696"/>
              </a:lnTo>
              <a:lnTo>
                <a:pt x="370" y="696"/>
              </a:lnTo>
              <a:lnTo>
                <a:pt x="432" y="696"/>
              </a:lnTo>
              <a:lnTo>
                <a:pt x="446" y="697"/>
              </a:lnTo>
              <a:lnTo>
                <a:pt x="529" y="696"/>
              </a:lnTo>
              <a:lnTo>
                <a:pt x="604" y="696"/>
              </a:lnTo>
              <a:lnTo>
                <a:pt x="665" y="696"/>
              </a:lnTo>
              <a:lnTo>
                <a:pt x="722" y="696"/>
              </a:lnTo>
              <a:lnTo>
                <a:pt x="846" y="696"/>
              </a:lnTo>
              <a:lnTo>
                <a:pt x="898" y="696"/>
              </a:lnTo>
              <a:lnTo>
                <a:pt x="1040" y="696"/>
              </a:lnTo>
              <a:lnTo>
                <a:pt x="1063" y="717"/>
              </a:lnTo>
              <a:lnTo>
                <a:pt x="1075" y="724"/>
              </a:lnTo>
              <a:lnTo>
                <a:pt x="1087" y="726"/>
              </a:lnTo>
              <a:lnTo>
                <a:pt x="1105" y="733"/>
              </a:lnTo>
              <a:lnTo>
                <a:pt x="1133" y="752"/>
              </a:lnTo>
              <a:lnTo>
                <a:pt x="1158" y="729"/>
              </a:lnTo>
              <a:lnTo>
                <a:pt x="1201" y="731"/>
              </a:lnTo>
              <a:lnTo>
                <a:pt x="1206" y="732"/>
              </a:lnTo>
              <a:lnTo>
                <a:pt x="1227" y="729"/>
              </a:lnTo>
              <a:lnTo>
                <a:pt x="1229" y="730"/>
              </a:lnTo>
              <a:lnTo>
                <a:pt x="1273" y="730"/>
              </a:lnTo>
              <a:lnTo>
                <a:pt x="1290" y="743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pPr algn="ctr"/>
          <a:endParaRPr lang="en-US" sz="800" b="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23</xdr:col>
      <xdr:colOff>157028</xdr:colOff>
      <xdr:row>17</xdr:row>
      <xdr:rowOff>20861</xdr:rowOff>
    </xdr:from>
    <xdr:to>
      <xdr:col>23</xdr:col>
      <xdr:colOff>591796</xdr:colOff>
      <xdr:row>19</xdr:row>
      <xdr:rowOff>59078</xdr:rowOff>
    </xdr:to>
    <xdr:sp macro="" textlink="">
      <xdr:nvSpPr>
        <xdr:cNvPr id="56" name="S_SC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>
          <a:spLocks/>
        </xdr:cNvSpPr>
      </xdr:nvSpPr>
      <xdr:spPr bwMode="auto">
        <a:xfrm>
          <a:off x="4186103" y="3449861"/>
          <a:ext cx="434768" cy="495417"/>
        </a:xfrm>
        <a:custGeom>
          <a:avLst/>
          <a:gdLst>
            <a:gd name="T0" fmla="*/ 2147483647 w 900"/>
            <a:gd name="T1" fmla="*/ 2147483647 h 744"/>
            <a:gd name="T2" fmla="*/ 2147483647 w 900"/>
            <a:gd name="T3" fmla="*/ 2147483647 h 744"/>
            <a:gd name="T4" fmla="*/ 2147483647 w 900"/>
            <a:gd name="T5" fmla="*/ 2147483647 h 744"/>
            <a:gd name="T6" fmla="*/ 2147483647 w 900"/>
            <a:gd name="T7" fmla="*/ 2147483647 h 744"/>
            <a:gd name="T8" fmla="*/ 2147483647 w 900"/>
            <a:gd name="T9" fmla="*/ 2147483647 h 744"/>
            <a:gd name="T10" fmla="*/ 2147483647 w 900"/>
            <a:gd name="T11" fmla="*/ 2147483647 h 744"/>
            <a:gd name="T12" fmla="*/ 2147483647 w 900"/>
            <a:gd name="T13" fmla="*/ 2147483647 h 744"/>
            <a:gd name="T14" fmla="*/ 2147483647 w 900"/>
            <a:gd name="T15" fmla="*/ 2147483647 h 744"/>
            <a:gd name="T16" fmla="*/ 2147483647 w 900"/>
            <a:gd name="T17" fmla="*/ 2147483647 h 744"/>
            <a:gd name="T18" fmla="*/ 2147483647 w 900"/>
            <a:gd name="T19" fmla="*/ 2147483647 h 744"/>
            <a:gd name="T20" fmla="*/ 2147483647 w 900"/>
            <a:gd name="T21" fmla="*/ 2147483647 h 744"/>
            <a:gd name="T22" fmla="*/ 2147483647 w 900"/>
            <a:gd name="T23" fmla="*/ 2147483647 h 744"/>
            <a:gd name="T24" fmla="*/ 2147483647 w 900"/>
            <a:gd name="T25" fmla="*/ 2147483647 h 744"/>
            <a:gd name="T26" fmla="*/ 2147483647 w 900"/>
            <a:gd name="T27" fmla="*/ 2147483647 h 744"/>
            <a:gd name="T28" fmla="*/ 2147483647 w 900"/>
            <a:gd name="T29" fmla="*/ 2147483647 h 744"/>
            <a:gd name="T30" fmla="*/ 2147483647 w 900"/>
            <a:gd name="T31" fmla="*/ 2147483647 h 744"/>
            <a:gd name="T32" fmla="*/ 2147483647 w 900"/>
            <a:gd name="T33" fmla="*/ 2147483647 h 744"/>
            <a:gd name="T34" fmla="*/ 2147483647 w 900"/>
            <a:gd name="T35" fmla="*/ 2147483647 h 744"/>
            <a:gd name="T36" fmla="*/ 2147483647 w 900"/>
            <a:gd name="T37" fmla="*/ 2147483647 h 744"/>
            <a:gd name="T38" fmla="*/ 2147483647 w 900"/>
            <a:gd name="T39" fmla="*/ 2147483647 h 744"/>
            <a:gd name="T40" fmla="*/ 2147483647 w 900"/>
            <a:gd name="T41" fmla="*/ 2147483647 h 744"/>
            <a:gd name="T42" fmla="*/ 2147483647 w 900"/>
            <a:gd name="T43" fmla="*/ 2147483647 h 744"/>
            <a:gd name="T44" fmla="*/ 2147483647 w 900"/>
            <a:gd name="T45" fmla="*/ 2147483647 h 744"/>
            <a:gd name="T46" fmla="*/ 2147483647 w 900"/>
            <a:gd name="T47" fmla="*/ 2147483647 h 744"/>
            <a:gd name="T48" fmla="*/ 2147483647 w 900"/>
            <a:gd name="T49" fmla="*/ 2147483647 h 744"/>
            <a:gd name="T50" fmla="*/ 2147483647 w 900"/>
            <a:gd name="T51" fmla="*/ 2147483647 h 744"/>
            <a:gd name="T52" fmla="*/ 2147483647 w 900"/>
            <a:gd name="T53" fmla="*/ 2147483647 h 744"/>
            <a:gd name="T54" fmla="*/ 2147483647 w 900"/>
            <a:gd name="T55" fmla="*/ 2147483647 h 744"/>
            <a:gd name="T56" fmla="*/ 2147483647 w 900"/>
            <a:gd name="T57" fmla="*/ 2147483647 h 744"/>
            <a:gd name="T58" fmla="*/ 2147483647 w 900"/>
            <a:gd name="T59" fmla="*/ 2147483647 h 744"/>
            <a:gd name="T60" fmla="*/ 2147483647 w 900"/>
            <a:gd name="T61" fmla="*/ 2147483647 h 744"/>
            <a:gd name="T62" fmla="*/ 2147483647 w 900"/>
            <a:gd name="T63" fmla="*/ 2147483647 h 744"/>
            <a:gd name="T64" fmla="*/ 2147483647 w 900"/>
            <a:gd name="T65" fmla="*/ 2147483647 h 744"/>
            <a:gd name="T66" fmla="*/ 2147483647 w 900"/>
            <a:gd name="T67" fmla="*/ 2147483647 h 744"/>
            <a:gd name="T68" fmla="*/ 2147483647 w 900"/>
            <a:gd name="T69" fmla="*/ 2147483647 h 744"/>
            <a:gd name="T70" fmla="*/ 2147483647 w 900"/>
            <a:gd name="T71" fmla="*/ 2147483647 h 744"/>
            <a:gd name="T72" fmla="*/ 2147483647 w 900"/>
            <a:gd name="T73" fmla="*/ 0 h 744"/>
            <a:gd name="T74" fmla="*/ 2147483647 w 900"/>
            <a:gd name="T75" fmla="*/ 2147483647 h 744"/>
            <a:gd name="T76" fmla="*/ 2147483647 w 900"/>
            <a:gd name="T77" fmla="*/ 2147483647 h 744"/>
            <a:gd name="T78" fmla="*/ 2147483647 w 900"/>
            <a:gd name="T79" fmla="*/ 2147483647 h 744"/>
            <a:gd name="T80" fmla="*/ 2147483647 w 900"/>
            <a:gd name="T81" fmla="*/ 2147483647 h 744"/>
            <a:gd name="T82" fmla="*/ 0 w 900"/>
            <a:gd name="T83" fmla="*/ 2147483647 h 744"/>
            <a:gd name="T84" fmla="*/ 2147483647 w 900"/>
            <a:gd name="T85" fmla="*/ 2147483647 h 744"/>
            <a:gd name="T86" fmla="*/ 2147483647 w 900"/>
            <a:gd name="T87" fmla="*/ 2147483647 h 744"/>
            <a:gd name="T88" fmla="*/ 2147483647 w 900"/>
            <a:gd name="T89" fmla="*/ 2147483647 h 744"/>
            <a:gd name="T90" fmla="*/ 2147483647 w 900"/>
            <a:gd name="T91" fmla="*/ 2147483647 h 744"/>
            <a:gd name="T92" fmla="*/ 2147483647 w 900"/>
            <a:gd name="T93" fmla="*/ 2147483647 h 744"/>
            <a:gd name="T94" fmla="*/ 2147483647 w 900"/>
            <a:gd name="T95" fmla="*/ 2147483647 h 744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w 900"/>
            <a:gd name="T145" fmla="*/ 0 h 744"/>
            <a:gd name="T146" fmla="*/ 900 w 900"/>
            <a:gd name="T147" fmla="*/ 744 h 744"/>
          </a:gdLst>
          <a:ahLst/>
          <a:cxnLst>
            <a:cxn ang="T96">
              <a:pos x="T0" y="T1"/>
            </a:cxn>
            <a:cxn ang="T97">
              <a:pos x="T2" y="T3"/>
            </a:cxn>
            <a:cxn ang="T98">
              <a:pos x="T4" y="T5"/>
            </a:cxn>
            <a:cxn ang="T99">
              <a:pos x="T6" y="T7"/>
            </a:cxn>
            <a:cxn ang="T100">
              <a:pos x="T8" y="T9"/>
            </a:cxn>
            <a:cxn ang="T101">
              <a:pos x="T10" y="T11"/>
            </a:cxn>
            <a:cxn ang="T102">
              <a:pos x="T12" y="T13"/>
            </a:cxn>
            <a:cxn ang="T103">
              <a:pos x="T14" y="T15"/>
            </a:cxn>
            <a:cxn ang="T104">
              <a:pos x="T16" y="T17"/>
            </a:cxn>
            <a:cxn ang="T105">
              <a:pos x="T18" y="T19"/>
            </a:cxn>
            <a:cxn ang="T106">
              <a:pos x="T20" y="T21"/>
            </a:cxn>
            <a:cxn ang="T107">
              <a:pos x="T22" y="T23"/>
            </a:cxn>
            <a:cxn ang="T108">
              <a:pos x="T24" y="T25"/>
            </a:cxn>
            <a:cxn ang="T109">
              <a:pos x="T26" y="T27"/>
            </a:cxn>
            <a:cxn ang="T110">
              <a:pos x="T28" y="T29"/>
            </a:cxn>
            <a:cxn ang="T111">
              <a:pos x="T30" y="T31"/>
            </a:cxn>
            <a:cxn ang="T112">
              <a:pos x="T32" y="T33"/>
            </a:cxn>
            <a:cxn ang="T113">
              <a:pos x="T34" y="T35"/>
            </a:cxn>
            <a:cxn ang="T114">
              <a:pos x="T36" y="T37"/>
            </a:cxn>
            <a:cxn ang="T115">
              <a:pos x="T38" y="T39"/>
            </a:cxn>
            <a:cxn ang="T116">
              <a:pos x="T40" y="T41"/>
            </a:cxn>
            <a:cxn ang="T117">
              <a:pos x="T42" y="T43"/>
            </a:cxn>
            <a:cxn ang="T118">
              <a:pos x="T44" y="T45"/>
            </a:cxn>
            <a:cxn ang="T119">
              <a:pos x="T46" y="T47"/>
            </a:cxn>
            <a:cxn ang="T120">
              <a:pos x="T48" y="T49"/>
            </a:cxn>
            <a:cxn ang="T121">
              <a:pos x="T50" y="T51"/>
            </a:cxn>
            <a:cxn ang="T122">
              <a:pos x="T52" y="T53"/>
            </a:cxn>
            <a:cxn ang="T123">
              <a:pos x="T54" y="T55"/>
            </a:cxn>
            <a:cxn ang="T124">
              <a:pos x="T56" y="T57"/>
            </a:cxn>
            <a:cxn ang="T125">
              <a:pos x="T58" y="T59"/>
            </a:cxn>
            <a:cxn ang="T126">
              <a:pos x="T60" y="T61"/>
            </a:cxn>
            <a:cxn ang="T127">
              <a:pos x="T62" y="T63"/>
            </a:cxn>
            <a:cxn ang="T128">
              <a:pos x="T64" y="T65"/>
            </a:cxn>
            <a:cxn ang="T129">
              <a:pos x="T66" y="T67"/>
            </a:cxn>
            <a:cxn ang="T130">
              <a:pos x="T68" y="T69"/>
            </a:cxn>
            <a:cxn ang="T131">
              <a:pos x="T70" y="T71"/>
            </a:cxn>
            <a:cxn ang="T132">
              <a:pos x="T72" y="T73"/>
            </a:cxn>
            <a:cxn ang="T133">
              <a:pos x="T74" y="T75"/>
            </a:cxn>
            <a:cxn ang="T134">
              <a:pos x="T76" y="T77"/>
            </a:cxn>
            <a:cxn ang="T135">
              <a:pos x="T78" y="T79"/>
            </a:cxn>
            <a:cxn ang="T136">
              <a:pos x="T80" y="T81"/>
            </a:cxn>
            <a:cxn ang="T137">
              <a:pos x="T82" y="T83"/>
            </a:cxn>
            <a:cxn ang="T138">
              <a:pos x="T84" y="T85"/>
            </a:cxn>
            <a:cxn ang="T139">
              <a:pos x="T86" y="T87"/>
            </a:cxn>
            <a:cxn ang="T140">
              <a:pos x="T88" y="T89"/>
            </a:cxn>
            <a:cxn ang="T141">
              <a:pos x="T90" y="T91"/>
            </a:cxn>
            <a:cxn ang="T142">
              <a:pos x="T92" y="T93"/>
            </a:cxn>
            <a:cxn ang="T143">
              <a:pos x="T94" y="T95"/>
            </a:cxn>
          </a:cxnLst>
          <a:rect l="T144" t="T145" r="T146" b="T147"/>
          <a:pathLst>
            <a:path w="900" h="744">
              <a:moveTo>
                <a:pt x="142" y="279"/>
              </a:moveTo>
              <a:lnTo>
                <a:pt x="142" y="281"/>
              </a:lnTo>
              <a:lnTo>
                <a:pt x="143" y="282"/>
              </a:lnTo>
              <a:lnTo>
                <a:pt x="147" y="293"/>
              </a:lnTo>
              <a:lnTo>
                <a:pt x="183" y="319"/>
              </a:lnTo>
              <a:lnTo>
                <a:pt x="206" y="341"/>
              </a:lnTo>
              <a:lnTo>
                <a:pt x="213" y="357"/>
              </a:lnTo>
              <a:lnTo>
                <a:pt x="218" y="371"/>
              </a:lnTo>
              <a:lnTo>
                <a:pt x="230" y="380"/>
              </a:lnTo>
              <a:lnTo>
                <a:pt x="232" y="378"/>
              </a:lnTo>
              <a:lnTo>
                <a:pt x="247" y="389"/>
              </a:lnTo>
              <a:lnTo>
                <a:pt x="247" y="390"/>
              </a:lnTo>
              <a:lnTo>
                <a:pt x="248" y="390"/>
              </a:lnTo>
              <a:lnTo>
                <a:pt x="249" y="392"/>
              </a:lnTo>
              <a:lnTo>
                <a:pt x="267" y="430"/>
              </a:lnTo>
              <a:lnTo>
                <a:pt x="277" y="445"/>
              </a:lnTo>
              <a:lnTo>
                <a:pt x="281" y="461"/>
              </a:lnTo>
              <a:lnTo>
                <a:pt x="298" y="472"/>
              </a:lnTo>
              <a:lnTo>
                <a:pt x="300" y="485"/>
              </a:lnTo>
              <a:lnTo>
                <a:pt x="306" y="490"/>
              </a:lnTo>
              <a:lnTo>
                <a:pt x="325" y="496"/>
              </a:lnTo>
              <a:lnTo>
                <a:pt x="339" y="508"/>
              </a:lnTo>
              <a:lnTo>
                <a:pt x="348" y="517"/>
              </a:lnTo>
              <a:lnTo>
                <a:pt x="346" y="535"/>
              </a:lnTo>
              <a:lnTo>
                <a:pt x="364" y="580"/>
              </a:lnTo>
              <a:lnTo>
                <a:pt x="362" y="608"/>
              </a:lnTo>
              <a:lnTo>
                <a:pt x="368" y="615"/>
              </a:lnTo>
              <a:lnTo>
                <a:pt x="370" y="616"/>
              </a:lnTo>
              <a:lnTo>
                <a:pt x="370" y="615"/>
              </a:lnTo>
              <a:lnTo>
                <a:pt x="387" y="624"/>
              </a:lnTo>
              <a:lnTo>
                <a:pt x="417" y="683"/>
              </a:lnTo>
              <a:lnTo>
                <a:pt x="413" y="697"/>
              </a:lnTo>
              <a:lnTo>
                <a:pt x="413" y="702"/>
              </a:lnTo>
              <a:lnTo>
                <a:pt x="418" y="727"/>
              </a:lnTo>
              <a:lnTo>
                <a:pt x="440" y="732"/>
              </a:lnTo>
              <a:lnTo>
                <a:pt x="460" y="744"/>
              </a:lnTo>
              <a:lnTo>
                <a:pt x="462" y="736"/>
              </a:lnTo>
              <a:lnTo>
                <a:pt x="463" y="736"/>
              </a:lnTo>
              <a:lnTo>
                <a:pt x="486" y="722"/>
              </a:lnTo>
              <a:lnTo>
                <a:pt x="501" y="703"/>
              </a:lnTo>
              <a:lnTo>
                <a:pt x="486" y="692"/>
              </a:lnTo>
              <a:lnTo>
                <a:pt x="479" y="667"/>
              </a:lnTo>
              <a:lnTo>
                <a:pt x="510" y="694"/>
              </a:lnTo>
              <a:lnTo>
                <a:pt x="534" y="684"/>
              </a:lnTo>
              <a:lnTo>
                <a:pt x="546" y="662"/>
              </a:lnTo>
              <a:lnTo>
                <a:pt x="531" y="634"/>
              </a:lnTo>
              <a:lnTo>
                <a:pt x="546" y="638"/>
              </a:lnTo>
              <a:lnTo>
                <a:pt x="554" y="643"/>
              </a:lnTo>
              <a:lnTo>
                <a:pt x="561" y="639"/>
              </a:lnTo>
              <a:lnTo>
                <a:pt x="562" y="639"/>
              </a:lnTo>
              <a:lnTo>
                <a:pt x="565" y="643"/>
              </a:lnTo>
              <a:lnTo>
                <a:pt x="572" y="637"/>
              </a:lnTo>
              <a:lnTo>
                <a:pt x="602" y="617"/>
              </a:lnTo>
              <a:lnTo>
                <a:pt x="629" y="609"/>
              </a:lnTo>
              <a:lnTo>
                <a:pt x="650" y="578"/>
              </a:lnTo>
              <a:lnTo>
                <a:pt x="677" y="566"/>
              </a:lnTo>
              <a:lnTo>
                <a:pt x="707" y="536"/>
              </a:lnTo>
              <a:lnTo>
                <a:pt x="705" y="519"/>
              </a:lnTo>
              <a:lnTo>
                <a:pt x="743" y="518"/>
              </a:lnTo>
              <a:lnTo>
                <a:pt x="763" y="491"/>
              </a:lnTo>
              <a:lnTo>
                <a:pt x="767" y="490"/>
              </a:lnTo>
              <a:lnTo>
                <a:pt x="786" y="433"/>
              </a:lnTo>
              <a:lnTo>
                <a:pt x="814" y="384"/>
              </a:lnTo>
              <a:lnTo>
                <a:pt x="851" y="342"/>
              </a:lnTo>
              <a:lnTo>
                <a:pt x="861" y="334"/>
              </a:lnTo>
              <a:lnTo>
                <a:pt x="900" y="318"/>
              </a:lnTo>
              <a:lnTo>
                <a:pt x="894" y="312"/>
              </a:lnTo>
              <a:lnTo>
                <a:pt x="881" y="298"/>
              </a:lnTo>
              <a:lnTo>
                <a:pt x="879" y="296"/>
              </a:lnTo>
              <a:lnTo>
                <a:pt x="838" y="251"/>
              </a:lnTo>
              <a:lnTo>
                <a:pt x="812" y="224"/>
              </a:lnTo>
              <a:lnTo>
                <a:pt x="801" y="212"/>
              </a:lnTo>
              <a:lnTo>
                <a:pt x="765" y="173"/>
              </a:lnTo>
              <a:lnTo>
                <a:pt x="751" y="158"/>
              </a:lnTo>
              <a:lnTo>
                <a:pt x="729" y="136"/>
              </a:lnTo>
              <a:lnTo>
                <a:pt x="728" y="135"/>
              </a:lnTo>
              <a:lnTo>
                <a:pt x="728" y="134"/>
              </a:lnTo>
              <a:lnTo>
                <a:pt x="701" y="106"/>
              </a:lnTo>
              <a:lnTo>
                <a:pt x="688" y="93"/>
              </a:lnTo>
              <a:lnTo>
                <a:pt x="686" y="93"/>
              </a:lnTo>
              <a:lnTo>
                <a:pt x="674" y="93"/>
              </a:lnTo>
              <a:lnTo>
                <a:pt x="650" y="93"/>
              </a:lnTo>
              <a:lnTo>
                <a:pt x="641" y="92"/>
              </a:lnTo>
              <a:lnTo>
                <a:pt x="627" y="92"/>
              </a:lnTo>
              <a:lnTo>
                <a:pt x="577" y="91"/>
              </a:lnTo>
              <a:lnTo>
                <a:pt x="567" y="91"/>
              </a:lnTo>
              <a:lnTo>
                <a:pt x="566" y="91"/>
              </a:lnTo>
              <a:lnTo>
                <a:pt x="541" y="90"/>
              </a:lnTo>
              <a:lnTo>
                <a:pt x="522" y="90"/>
              </a:lnTo>
              <a:lnTo>
                <a:pt x="478" y="90"/>
              </a:lnTo>
              <a:lnTo>
                <a:pt x="481" y="62"/>
              </a:lnTo>
              <a:lnTo>
                <a:pt x="470" y="46"/>
              </a:lnTo>
              <a:lnTo>
                <a:pt x="467" y="43"/>
              </a:lnTo>
              <a:lnTo>
                <a:pt x="464" y="37"/>
              </a:lnTo>
              <a:lnTo>
                <a:pt x="458" y="29"/>
              </a:lnTo>
              <a:lnTo>
                <a:pt x="440" y="31"/>
              </a:lnTo>
              <a:lnTo>
                <a:pt x="431" y="14"/>
              </a:lnTo>
              <a:lnTo>
                <a:pt x="434" y="12"/>
              </a:lnTo>
              <a:lnTo>
                <a:pt x="414" y="9"/>
              </a:lnTo>
              <a:lnTo>
                <a:pt x="393" y="8"/>
              </a:lnTo>
              <a:lnTo>
                <a:pt x="378" y="8"/>
              </a:lnTo>
              <a:lnTo>
                <a:pt x="371" y="7"/>
              </a:lnTo>
              <a:lnTo>
                <a:pt x="346" y="6"/>
              </a:lnTo>
              <a:lnTo>
                <a:pt x="300" y="4"/>
              </a:lnTo>
              <a:lnTo>
                <a:pt x="296" y="4"/>
              </a:lnTo>
              <a:lnTo>
                <a:pt x="277" y="3"/>
              </a:lnTo>
              <a:lnTo>
                <a:pt x="259" y="2"/>
              </a:lnTo>
              <a:lnTo>
                <a:pt x="241" y="2"/>
              </a:lnTo>
              <a:lnTo>
                <a:pt x="228" y="1"/>
              </a:lnTo>
              <a:lnTo>
                <a:pt x="213" y="0"/>
              </a:lnTo>
              <a:lnTo>
                <a:pt x="208" y="0"/>
              </a:lnTo>
              <a:lnTo>
                <a:pt x="206" y="0"/>
              </a:lnTo>
              <a:lnTo>
                <a:pt x="187" y="2"/>
              </a:lnTo>
              <a:lnTo>
                <a:pt x="159" y="8"/>
              </a:lnTo>
              <a:lnTo>
                <a:pt x="145" y="13"/>
              </a:lnTo>
              <a:lnTo>
                <a:pt x="131" y="17"/>
              </a:lnTo>
              <a:lnTo>
                <a:pt x="125" y="17"/>
              </a:lnTo>
              <a:lnTo>
                <a:pt x="110" y="31"/>
              </a:lnTo>
              <a:lnTo>
                <a:pt x="89" y="32"/>
              </a:lnTo>
              <a:lnTo>
                <a:pt x="85" y="33"/>
              </a:lnTo>
              <a:lnTo>
                <a:pt x="66" y="39"/>
              </a:lnTo>
              <a:lnTo>
                <a:pt x="65" y="41"/>
              </a:lnTo>
              <a:lnTo>
                <a:pt x="46" y="47"/>
              </a:lnTo>
              <a:lnTo>
                <a:pt x="42" y="62"/>
              </a:lnTo>
              <a:lnTo>
                <a:pt x="19" y="81"/>
              </a:lnTo>
              <a:lnTo>
                <a:pt x="0" y="113"/>
              </a:lnTo>
              <a:lnTo>
                <a:pt x="0" y="114"/>
              </a:lnTo>
              <a:lnTo>
                <a:pt x="3" y="121"/>
              </a:lnTo>
              <a:lnTo>
                <a:pt x="21" y="136"/>
              </a:lnTo>
              <a:lnTo>
                <a:pt x="42" y="151"/>
              </a:lnTo>
              <a:lnTo>
                <a:pt x="47" y="156"/>
              </a:lnTo>
              <a:lnTo>
                <a:pt x="56" y="165"/>
              </a:lnTo>
              <a:lnTo>
                <a:pt x="56" y="166"/>
              </a:lnTo>
              <a:lnTo>
                <a:pt x="59" y="169"/>
              </a:lnTo>
              <a:lnTo>
                <a:pt x="67" y="171"/>
              </a:lnTo>
              <a:lnTo>
                <a:pt x="67" y="170"/>
              </a:lnTo>
              <a:lnTo>
                <a:pt x="89" y="173"/>
              </a:lnTo>
              <a:lnTo>
                <a:pt x="97" y="195"/>
              </a:lnTo>
              <a:lnTo>
                <a:pt x="109" y="215"/>
              </a:lnTo>
              <a:lnTo>
                <a:pt x="113" y="219"/>
              </a:lnTo>
              <a:lnTo>
                <a:pt x="114" y="224"/>
              </a:lnTo>
              <a:lnTo>
                <a:pt x="114" y="233"/>
              </a:lnTo>
              <a:lnTo>
                <a:pt x="127" y="253"/>
              </a:lnTo>
              <a:lnTo>
                <a:pt x="137" y="268"/>
              </a:lnTo>
              <a:lnTo>
                <a:pt x="142" y="279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pPr algn="ctr"/>
          <a:endParaRPr lang="en-US" sz="800" b="0">
            <a:solidFill>
              <a:schemeClr val="tx1">
                <a:lumMod val="65000"/>
                <a:lumOff val="35000"/>
              </a:schemeClr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24</xdr:col>
      <xdr:colOff>584015</xdr:colOff>
      <xdr:row>12</xdr:row>
      <xdr:rowOff>79165</xdr:rowOff>
    </xdr:from>
    <xdr:to>
      <xdr:col>25</xdr:col>
      <xdr:colOff>0</xdr:colOff>
      <xdr:row>12</xdr:row>
      <xdr:rowOff>181671</xdr:rowOff>
    </xdr:to>
    <xdr:grpSp>
      <xdr:nvGrpSpPr>
        <xdr:cNvPr id="57" name="S_RI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GrpSpPr>
          <a:grpSpLocks/>
        </xdr:cNvGrpSpPr>
      </xdr:nvGrpSpPr>
      <xdr:grpSpPr bwMode="auto">
        <a:xfrm>
          <a:off x="15241309" y="2365165"/>
          <a:ext cx="21103" cy="102506"/>
          <a:chOff x="8280327" y="1895717"/>
          <a:chExt cx="273309" cy="140302"/>
        </a:xfrm>
      </xdr:grpSpPr>
      <xdr:sp macro="" textlink="">
        <xdr:nvSpPr>
          <xdr:cNvPr id="58" name="S_RI3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>
            <a:spLocks/>
          </xdr:cNvSpPr>
        </xdr:nvSpPr>
        <xdr:spPr bwMode="auto">
          <a:xfrm>
            <a:off x="8280327" y="1895717"/>
            <a:ext cx="106287" cy="132918"/>
          </a:xfrm>
          <a:custGeom>
            <a:avLst/>
            <a:gdLst>
              <a:gd name="T0" fmla="*/ 2147483647 w 145"/>
              <a:gd name="T1" fmla="*/ 2147483647 h 169"/>
              <a:gd name="T2" fmla="*/ 2147483647 w 145"/>
              <a:gd name="T3" fmla="*/ 2147483647 h 169"/>
              <a:gd name="T4" fmla="*/ 2147483647 w 145"/>
              <a:gd name="T5" fmla="*/ 2147483647 h 169"/>
              <a:gd name="T6" fmla="*/ 2147483647 w 145"/>
              <a:gd name="T7" fmla="*/ 2147483647 h 169"/>
              <a:gd name="T8" fmla="*/ 2147483647 w 145"/>
              <a:gd name="T9" fmla="*/ 2147483647 h 169"/>
              <a:gd name="T10" fmla="*/ 2147483647 w 145"/>
              <a:gd name="T11" fmla="*/ 2147483647 h 169"/>
              <a:gd name="T12" fmla="*/ 2147483647 w 145"/>
              <a:gd name="T13" fmla="*/ 2147483647 h 169"/>
              <a:gd name="T14" fmla="*/ 2147483647 w 145"/>
              <a:gd name="T15" fmla="*/ 2147483647 h 169"/>
              <a:gd name="T16" fmla="*/ 2147483647 w 145"/>
              <a:gd name="T17" fmla="*/ 2147483647 h 169"/>
              <a:gd name="T18" fmla="*/ 2147483647 w 145"/>
              <a:gd name="T19" fmla="*/ 2147483647 h 169"/>
              <a:gd name="T20" fmla="*/ 2147483647 w 145"/>
              <a:gd name="T21" fmla="*/ 2147483647 h 169"/>
              <a:gd name="T22" fmla="*/ 0 w 145"/>
              <a:gd name="T23" fmla="*/ 2147483647 h 169"/>
              <a:gd name="T24" fmla="*/ 0 w 145"/>
              <a:gd name="T25" fmla="*/ 2147483647 h 169"/>
              <a:gd name="T26" fmla="*/ 0 w 145"/>
              <a:gd name="T27" fmla="*/ 2147483647 h 169"/>
              <a:gd name="T28" fmla="*/ 2147483647 w 145"/>
              <a:gd name="T29" fmla="*/ 2147483647 h 169"/>
              <a:gd name="T30" fmla="*/ 2147483647 w 145"/>
              <a:gd name="T31" fmla="*/ 2147483647 h 169"/>
              <a:gd name="T32" fmla="*/ 2147483647 w 145"/>
              <a:gd name="T33" fmla="*/ 2147483647 h 169"/>
              <a:gd name="T34" fmla="*/ 2147483647 w 145"/>
              <a:gd name="T35" fmla="*/ 2147483647 h 169"/>
              <a:gd name="T36" fmla="*/ 2147483647 w 145"/>
              <a:gd name="T37" fmla="*/ 2147483647 h 169"/>
              <a:gd name="T38" fmla="*/ 2147483647 w 145"/>
              <a:gd name="T39" fmla="*/ 2147483647 h 169"/>
              <a:gd name="T40" fmla="*/ 2147483647 w 145"/>
              <a:gd name="T41" fmla="*/ 2147483647 h 169"/>
              <a:gd name="T42" fmla="*/ 2147483647 w 145"/>
              <a:gd name="T43" fmla="*/ 2147483647 h 169"/>
              <a:gd name="T44" fmla="*/ 2147483647 w 145"/>
              <a:gd name="T45" fmla="*/ 2147483647 h 169"/>
              <a:gd name="T46" fmla="*/ 2147483647 w 145"/>
              <a:gd name="T47" fmla="*/ 0 h 169"/>
              <a:gd name="T48" fmla="*/ 2147483647 w 145"/>
              <a:gd name="T49" fmla="*/ 0 h 169"/>
              <a:gd name="T50" fmla="*/ 2147483647 w 145"/>
              <a:gd name="T51" fmla="*/ 0 h 169"/>
              <a:gd name="T52" fmla="*/ 2147483647 w 145"/>
              <a:gd name="T53" fmla="*/ 0 h 169"/>
              <a:gd name="T54" fmla="*/ 2147483647 w 145"/>
              <a:gd name="T55" fmla="*/ 0 h 169"/>
              <a:gd name="T56" fmla="*/ 2147483647 w 145"/>
              <a:gd name="T57" fmla="*/ 0 h 169"/>
              <a:gd name="T58" fmla="*/ 2147483647 w 145"/>
              <a:gd name="T59" fmla="*/ 2147483647 h 169"/>
              <a:gd name="T60" fmla="*/ 2147483647 w 145"/>
              <a:gd name="T61" fmla="*/ 2147483647 h 169"/>
              <a:gd name="T62" fmla="*/ 2147483647 w 145"/>
              <a:gd name="T63" fmla="*/ 2147483647 h 169"/>
              <a:gd name="T64" fmla="*/ 2147483647 w 145"/>
              <a:gd name="T65" fmla="*/ 2147483647 h 169"/>
              <a:gd name="T66" fmla="*/ 2147483647 w 145"/>
              <a:gd name="T67" fmla="*/ 2147483647 h 169"/>
              <a:gd name="T68" fmla="*/ 2147483647 w 145"/>
              <a:gd name="T69" fmla="*/ 2147483647 h 169"/>
              <a:gd name="T70" fmla="*/ 2147483647 w 145"/>
              <a:gd name="T71" fmla="*/ 2147483647 h 169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w 145"/>
              <a:gd name="T109" fmla="*/ 0 h 169"/>
              <a:gd name="T110" fmla="*/ 145 w 145"/>
              <a:gd name="T111" fmla="*/ 169 h 169"/>
            </a:gdLst>
            <a:ahLst/>
            <a:cxnLst>
              <a:cxn ang="T72">
                <a:pos x="T0" y="T1"/>
              </a:cxn>
              <a:cxn ang="T73">
                <a:pos x="T2" y="T3"/>
              </a:cxn>
              <a:cxn ang="T74">
                <a:pos x="T4" y="T5"/>
              </a:cxn>
              <a:cxn ang="T75">
                <a:pos x="T6" y="T7"/>
              </a:cxn>
              <a:cxn ang="T76">
                <a:pos x="T8" y="T9"/>
              </a:cxn>
              <a:cxn ang="T77">
                <a:pos x="T10" y="T11"/>
              </a:cxn>
              <a:cxn ang="T78">
                <a:pos x="T12" y="T13"/>
              </a:cxn>
              <a:cxn ang="T79">
                <a:pos x="T14" y="T15"/>
              </a:cxn>
              <a:cxn ang="T80">
                <a:pos x="T16" y="T17"/>
              </a:cxn>
              <a:cxn ang="T81">
                <a:pos x="T18" y="T19"/>
              </a:cxn>
              <a:cxn ang="T82">
                <a:pos x="T20" y="T21"/>
              </a:cxn>
              <a:cxn ang="T83">
                <a:pos x="T22" y="T23"/>
              </a:cxn>
              <a:cxn ang="T84">
                <a:pos x="T24" y="T25"/>
              </a:cxn>
              <a:cxn ang="T85">
                <a:pos x="T26" y="T27"/>
              </a:cxn>
              <a:cxn ang="T86">
                <a:pos x="T28" y="T29"/>
              </a:cxn>
              <a:cxn ang="T87">
                <a:pos x="T30" y="T31"/>
              </a:cxn>
              <a:cxn ang="T88">
                <a:pos x="T32" y="T33"/>
              </a:cxn>
              <a:cxn ang="T89">
                <a:pos x="T34" y="T35"/>
              </a:cxn>
              <a:cxn ang="T90">
                <a:pos x="T36" y="T37"/>
              </a:cxn>
              <a:cxn ang="T91">
                <a:pos x="T38" y="T39"/>
              </a:cxn>
              <a:cxn ang="T92">
                <a:pos x="T40" y="T41"/>
              </a:cxn>
              <a:cxn ang="T93">
                <a:pos x="T42" y="T43"/>
              </a:cxn>
              <a:cxn ang="T94">
                <a:pos x="T44" y="T45"/>
              </a:cxn>
              <a:cxn ang="T95">
                <a:pos x="T46" y="T47"/>
              </a:cxn>
              <a:cxn ang="T96">
                <a:pos x="T48" y="T49"/>
              </a:cxn>
              <a:cxn ang="T97">
                <a:pos x="T50" y="T51"/>
              </a:cxn>
              <a:cxn ang="T98">
                <a:pos x="T52" y="T53"/>
              </a:cxn>
              <a:cxn ang="T99">
                <a:pos x="T54" y="T55"/>
              </a:cxn>
              <a:cxn ang="T100">
                <a:pos x="T56" y="T57"/>
              </a:cxn>
              <a:cxn ang="T101">
                <a:pos x="T58" y="T59"/>
              </a:cxn>
              <a:cxn ang="T102">
                <a:pos x="T60" y="T61"/>
              </a:cxn>
              <a:cxn ang="T103">
                <a:pos x="T62" y="T63"/>
              </a:cxn>
              <a:cxn ang="T104">
                <a:pos x="T64" y="T65"/>
              </a:cxn>
              <a:cxn ang="T105">
                <a:pos x="T66" y="T67"/>
              </a:cxn>
              <a:cxn ang="T106">
                <a:pos x="T68" y="T69"/>
              </a:cxn>
              <a:cxn ang="T107">
                <a:pos x="T70" y="T71"/>
              </a:cxn>
            </a:cxnLst>
            <a:rect l="T108" t="T109" r="T110" b="T111"/>
            <a:pathLst>
              <a:path w="145" h="169">
                <a:moveTo>
                  <a:pt x="129" y="78"/>
                </a:moveTo>
                <a:lnTo>
                  <a:pt x="143" y="86"/>
                </a:lnTo>
                <a:lnTo>
                  <a:pt x="144" y="101"/>
                </a:lnTo>
                <a:lnTo>
                  <a:pt x="145" y="124"/>
                </a:lnTo>
                <a:lnTo>
                  <a:pt x="133" y="133"/>
                </a:lnTo>
                <a:lnTo>
                  <a:pt x="129" y="123"/>
                </a:lnTo>
                <a:lnTo>
                  <a:pt x="123" y="122"/>
                </a:lnTo>
                <a:lnTo>
                  <a:pt x="110" y="135"/>
                </a:lnTo>
                <a:lnTo>
                  <a:pt x="91" y="130"/>
                </a:lnTo>
                <a:lnTo>
                  <a:pt x="75" y="155"/>
                </a:lnTo>
                <a:lnTo>
                  <a:pt x="51" y="156"/>
                </a:lnTo>
                <a:lnTo>
                  <a:pt x="2" y="169"/>
                </a:lnTo>
                <a:lnTo>
                  <a:pt x="0" y="164"/>
                </a:lnTo>
                <a:lnTo>
                  <a:pt x="5" y="165"/>
                </a:lnTo>
                <a:lnTo>
                  <a:pt x="18" y="142"/>
                </a:lnTo>
                <a:lnTo>
                  <a:pt x="19" y="101"/>
                </a:lnTo>
                <a:lnTo>
                  <a:pt x="21" y="93"/>
                </a:lnTo>
                <a:lnTo>
                  <a:pt x="21" y="90"/>
                </a:lnTo>
                <a:lnTo>
                  <a:pt x="21" y="87"/>
                </a:lnTo>
                <a:lnTo>
                  <a:pt x="21" y="84"/>
                </a:lnTo>
                <a:lnTo>
                  <a:pt x="19" y="70"/>
                </a:lnTo>
                <a:lnTo>
                  <a:pt x="19" y="64"/>
                </a:lnTo>
                <a:lnTo>
                  <a:pt x="18" y="21"/>
                </a:lnTo>
                <a:lnTo>
                  <a:pt x="18" y="3"/>
                </a:lnTo>
                <a:lnTo>
                  <a:pt x="26" y="2"/>
                </a:lnTo>
                <a:lnTo>
                  <a:pt x="68" y="1"/>
                </a:lnTo>
                <a:lnTo>
                  <a:pt x="74" y="1"/>
                </a:lnTo>
                <a:lnTo>
                  <a:pt x="85" y="1"/>
                </a:lnTo>
                <a:lnTo>
                  <a:pt x="97" y="0"/>
                </a:lnTo>
                <a:lnTo>
                  <a:pt x="97" y="9"/>
                </a:lnTo>
                <a:lnTo>
                  <a:pt x="97" y="30"/>
                </a:lnTo>
                <a:lnTo>
                  <a:pt x="104" y="29"/>
                </a:lnTo>
                <a:lnTo>
                  <a:pt x="108" y="58"/>
                </a:lnTo>
                <a:lnTo>
                  <a:pt x="119" y="63"/>
                </a:lnTo>
                <a:lnTo>
                  <a:pt x="121" y="66"/>
                </a:lnTo>
                <a:lnTo>
                  <a:pt x="129" y="78"/>
                </a:lnTo>
                <a:close/>
              </a:path>
            </a:pathLst>
          </a:custGeom>
          <a:solidFill>
            <a:srgbClr val="FFFFFF"/>
          </a:solidFill>
          <a:ln>
            <a:solidFill>
              <a:schemeClr val="bg1">
                <a:lumMod val="85000"/>
              </a:schemeClr>
            </a:solidFill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</xdr:sp>
      <xdr:sp macro="" textlink="">
        <xdr:nvSpPr>
          <xdr:cNvPr id="59" name="S_RI2">
            <a:extLst>
              <a:ext uri="{FF2B5EF4-FFF2-40B4-BE49-F238E27FC236}">
                <a16:creationId xmlns:a16="http://schemas.microsoft.com/office/drawing/2014/main" id="{00000000-0008-0000-0400-00003B000000}"/>
              </a:ext>
            </a:extLst>
          </xdr:cNvPr>
          <xdr:cNvSpPr>
            <a:spLocks/>
          </xdr:cNvSpPr>
        </xdr:nvSpPr>
        <xdr:spPr bwMode="auto">
          <a:xfrm>
            <a:off x="8432165" y="1991713"/>
            <a:ext cx="53143" cy="36922"/>
          </a:xfrm>
          <a:custGeom>
            <a:avLst/>
            <a:gdLst>
              <a:gd name="T0" fmla="*/ 0 w 73"/>
              <a:gd name="T1" fmla="*/ 2147483647 h 43"/>
              <a:gd name="T2" fmla="*/ 2147483647 w 73"/>
              <a:gd name="T3" fmla="*/ 2147483647 h 43"/>
              <a:gd name="T4" fmla="*/ 2147483647 w 73"/>
              <a:gd name="T5" fmla="*/ 2147483647 h 43"/>
              <a:gd name="T6" fmla="*/ 2147483647 w 73"/>
              <a:gd name="T7" fmla="*/ 2147483647 h 43"/>
              <a:gd name="T8" fmla="*/ 2147483647 w 73"/>
              <a:gd name="T9" fmla="*/ 2147483647 h 43"/>
              <a:gd name="T10" fmla="*/ 2147483647 w 73"/>
              <a:gd name="T11" fmla="*/ 0 h 43"/>
              <a:gd name="T12" fmla="*/ 2147483647 w 73"/>
              <a:gd name="T13" fmla="*/ 2147483647 h 43"/>
              <a:gd name="T14" fmla="*/ 0 w 73"/>
              <a:gd name="T15" fmla="*/ 2147483647 h 43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w 73"/>
              <a:gd name="T25" fmla="*/ 0 h 43"/>
              <a:gd name="T26" fmla="*/ 73 w 73"/>
              <a:gd name="T27" fmla="*/ 43 h 43"/>
            </a:gdLst>
            <a:ahLst/>
            <a:cxnLst>
              <a:cxn ang="T16">
                <a:pos x="T0" y="T1"/>
              </a:cxn>
              <a:cxn ang="T17">
                <a:pos x="T2" y="T3"/>
              </a:cxn>
              <a:cxn ang="T18">
                <a:pos x="T4" y="T5"/>
              </a:cxn>
              <a:cxn ang="T19">
                <a:pos x="T6" y="T7"/>
              </a:cxn>
              <a:cxn ang="T20">
                <a:pos x="T8" y="T9"/>
              </a:cxn>
              <a:cxn ang="T21">
                <a:pos x="T10" y="T11"/>
              </a:cxn>
              <a:cxn ang="T22">
                <a:pos x="T12" y="T13"/>
              </a:cxn>
              <a:cxn ang="T23">
                <a:pos x="T14" y="T15"/>
              </a:cxn>
            </a:cxnLst>
            <a:rect l="T24" t="T25" r="T26" b="T27"/>
            <a:pathLst>
              <a:path w="73" h="43">
                <a:moveTo>
                  <a:pt x="0" y="33"/>
                </a:moveTo>
                <a:lnTo>
                  <a:pt x="11" y="43"/>
                </a:lnTo>
                <a:lnTo>
                  <a:pt x="17" y="37"/>
                </a:lnTo>
                <a:lnTo>
                  <a:pt x="73" y="31"/>
                </a:lnTo>
                <a:lnTo>
                  <a:pt x="69" y="18"/>
                </a:lnTo>
                <a:lnTo>
                  <a:pt x="45" y="0"/>
                </a:lnTo>
                <a:lnTo>
                  <a:pt x="16" y="26"/>
                </a:lnTo>
                <a:lnTo>
                  <a:pt x="0" y="33"/>
                </a:lnTo>
                <a:close/>
              </a:path>
            </a:pathLst>
          </a:custGeom>
          <a:solidFill>
            <a:srgbClr val="FFFFFF"/>
          </a:solidFill>
          <a:ln>
            <a:solidFill>
              <a:schemeClr val="bg1">
                <a:lumMod val="85000"/>
              </a:schemeClr>
            </a:solidFill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</xdr:sp>
      <xdr:sp macro="" textlink="">
        <xdr:nvSpPr>
          <xdr:cNvPr id="60" name="S_RI1">
            <a:extLst>
              <a:ext uri="{FF2B5EF4-FFF2-40B4-BE49-F238E27FC236}">
                <a16:creationId xmlns:a16="http://schemas.microsoft.com/office/drawing/2014/main" id="{00000000-0008-0000-0400-00003C000000}"/>
              </a:ext>
            </a:extLst>
          </xdr:cNvPr>
          <xdr:cNvSpPr>
            <a:spLocks/>
          </xdr:cNvSpPr>
        </xdr:nvSpPr>
        <xdr:spPr bwMode="auto">
          <a:xfrm>
            <a:off x="8515676" y="2006482"/>
            <a:ext cx="37960" cy="29537"/>
          </a:xfrm>
          <a:custGeom>
            <a:avLst/>
            <a:gdLst>
              <a:gd name="T0" fmla="*/ 0 w 55"/>
              <a:gd name="T1" fmla="*/ 2147483647 h 34"/>
              <a:gd name="T2" fmla="*/ 0 w 55"/>
              <a:gd name="T3" fmla="*/ 2147483647 h 34"/>
              <a:gd name="T4" fmla="*/ 2147483647 w 55"/>
              <a:gd name="T5" fmla="*/ 2147483647 h 34"/>
              <a:gd name="T6" fmla="*/ 2147483647 w 55"/>
              <a:gd name="T7" fmla="*/ 2147483647 h 34"/>
              <a:gd name="T8" fmla="*/ 2147483647 w 55"/>
              <a:gd name="T9" fmla="*/ 2147483647 h 34"/>
              <a:gd name="T10" fmla="*/ 2147483647 w 55"/>
              <a:gd name="T11" fmla="*/ 0 h 34"/>
              <a:gd name="T12" fmla="*/ 2147483647 w 55"/>
              <a:gd name="T13" fmla="*/ 2147483647 h 34"/>
              <a:gd name="T14" fmla="*/ 2147483647 w 55"/>
              <a:gd name="T15" fmla="*/ 2147483647 h 34"/>
              <a:gd name="T16" fmla="*/ 2147483647 w 55"/>
              <a:gd name="T17" fmla="*/ 2147483647 h 34"/>
              <a:gd name="T18" fmla="*/ 0 w 55"/>
              <a:gd name="T19" fmla="*/ 2147483647 h 34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w 55"/>
              <a:gd name="T31" fmla="*/ 0 h 34"/>
              <a:gd name="T32" fmla="*/ 55 w 55"/>
              <a:gd name="T33" fmla="*/ 34 h 34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T30" t="T31" r="T32" b="T33"/>
            <a:pathLst>
              <a:path w="55" h="34">
                <a:moveTo>
                  <a:pt x="0" y="19"/>
                </a:moveTo>
                <a:lnTo>
                  <a:pt x="2" y="22"/>
                </a:lnTo>
                <a:lnTo>
                  <a:pt x="36" y="34"/>
                </a:lnTo>
                <a:lnTo>
                  <a:pt x="55" y="18"/>
                </a:lnTo>
                <a:lnTo>
                  <a:pt x="53" y="14"/>
                </a:lnTo>
                <a:lnTo>
                  <a:pt x="43" y="0"/>
                </a:lnTo>
                <a:lnTo>
                  <a:pt x="45" y="14"/>
                </a:lnTo>
                <a:lnTo>
                  <a:pt x="36" y="21"/>
                </a:lnTo>
                <a:lnTo>
                  <a:pt x="13" y="23"/>
                </a:lnTo>
                <a:lnTo>
                  <a:pt x="0" y="19"/>
                </a:lnTo>
                <a:close/>
              </a:path>
            </a:pathLst>
          </a:custGeom>
          <a:solidFill>
            <a:srgbClr val="FFFFFF"/>
          </a:solidFill>
          <a:ln>
            <a:solidFill>
              <a:schemeClr val="bg1">
                <a:lumMod val="85000"/>
              </a:schemeClr>
            </a:solidFill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</xdr:sp>
    </xdr:grpSp>
    <xdr:clientData/>
  </xdr:twoCellAnchor>
  <xdr:twoCellAnchor>
    <xdr:from>
      <xdr:col>23</xdr:col>
      <xdr:colOff>415920</xdr:colOff>
      <xdr:row>12</xdr:row>
      <xdr:rowOff>37438</xdr:rowOff>
    </xdr:from>
    <xdr:to>
      <xdr:col>24</xdr:col>
      <xdr:colOff>329029</xdr:colOff>
      <xdr:row>13</xdr:row>
      <xdr:rowOff>188550</xdr:rowOff>
    </xdr:to>
    <xdr:sp macro="" textlink="">
      <xdr:nvSpPr>
        <xdr:cNvPr id="61" name="S_PA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>
          <a:spLocks/>
        </xdr:cNvSpPr>
      </xdr:nvSpPr>
      <xdr:spPr bwMode="auto">
        <a:xfrm>
          <a:off x="4444995" y="2475838"/>
          <a:ext cx="522709" cy="379712"/>
        </a:xfrm>
        <a:custGeom>
          <a:avLst/>
          <a:gdLst>
            <a:gd name="T0" fmla="*/ 2147483647 w 1090"/>
            <a:gd name="T1" fmla="*/ 2147483647 h 603"/>
            <a:gd name="T2" fmla="*/ 2147483647 w 1090"/>
            <a:gd name="T3" fmla="*/ 2147483647 h 603"/>
            <a:gd name="T4" fmla="*/ 2147483647 w 1090"/>
            <a:gd name="T5" fmla="*/ 2147483647 h 603"/>
            <a:gd name="T6" fmla="*/ 2147483647 w 1090"/>
            <a:gd name="T7" fmla="*/ 2147483647 h 603"/>
            <a:gd name="T8" fmla="*/ 2147483647 w 1090"/>
            <a:gd name="T9" fmla="*/ 2147483647 h 603"/>
            <a:gd name="T10" fmla="*/ 2147483647 w 1090"/>
            <a:gd name="T11" fmla="*/ 2147483647 h 603"/>
            <a:gd name="T12" fmla="*/ 2147483647 w 1090"/>
            <a:gd name="T13" fmla="*/ 2147483647 h 603"/>
            <a:gd name="T14" fmla="*/ 2147483647 w 1090"/>
            <a:gd name="T15" fmla="*/ 2147483647 h 603"/>
            <a:gd name="T16" fmla="*/ 2147483647 w 1090"/>
            <a:gd name="T17" fmla="*/ 2147483647 h 603"/>
            <a:gd name="T18" fmla="*/ 2147483647 w 1090"/>
            <a:gd name="T19" fmla="*/ 2147483647 h 603"/>
            <a:gd name="T20" fmla="*/ 2147483647 w 1090"/>
            <a:gd name="T21" fmla="*/ 2147483647 h 603"/>
            <a:gd name="T22" fmla="*/ 2147483647 w 1090"/>
            <a:gd name="T23" fmla="*/ 2147483647 h 603"/>
            <a:gd name="T24" fmla="*/ 2147483647 w 1090"/>
            <a:gd name="T25" fmla="*/ 2147483647 h 603"/>
            <a:gd name="T26" fmla="*/ 2147483647 w 1090"/>
            <a:gd name="T27" fmla="*/ 2147483647 h 603"/>
            <a:gd name="T28" fmla="*/ 2147483647 w 1090"/>
            <a:gd name="T29" fmla="*/ 2147483647 h 603"/>
            <a:gd name="T30" fmla="*/ 2147483647 w 1090"/>
            <a:gd name="T31" fmla="*/ 2147483647 h 603"/>
            <a:gd name="T32" fmla="*/ 2147483647 w 1090"/>
            <a:gd name="T33" fmla="*/ 2147483647 h 603"/>
            <a:gd name="T34" fmla="*/ 2147483647 w 1090"/>
            <a:gd name="T35" fmla="*/ 2147483647 h 603"/>
            <a:gd name="T36" fmla="*/ 2147483647 w 1090"/>
            <a:gd name="T37" fmla="*/ 2147483647 h 603"/>
            <a:gd name="T38" fmla="*/ 2147483647 w 1090"/>
            <a:gd name="T39" fmla="*/ 2147483647 h 603"/>
            <a:gd name="T40" fmla="*/ 2147483647 w 1090"/>
            <a:gd name="T41" fmla="*/ 2147483647 h 603"/>
            <a:gd name="T42" fmla="*/ 2147483647 w 1090"/>
            <a:gd name="T43" fmla="*/ 2147483647 h 603"/>
            <a:gd name="T44" fmla="*/ 2147483647 w 1090"/>
            <a:gd name="T45" fmla="*/ 2147483647 h 603"/>
            <a:gd name="T46" fmla="*/ 2147483647 w 1090"/>
            <a:gd name="T47" fmla="*/ 2147483647 h 603"/>
            <a:gd name="T48" fmla="*/ 2147483647 w 1090"/>
            <a:gd name="T49" fmla="*/ 2147483647 h 603"/>
            <a:gd name="T50" fmla="*/ 2147483647 w 1090"/>
            <a:gd name="T51" fmla="*/ 2147483647 h 603"/>
            <a:gd name="T52" fmla="*/ 2147483647 w 1090"/>
            <a:gd name="T53" fmla="*/ 2147483647 h 603"/>
            <a:gd name="T54" fmla="*/ 2147483647 w 1090"/>
            <a:gd name="T55" fmla="*/ 2147483647 h 603"/>
            <a:gd name="T56" fmla="*/ 2147483647 w 1090"/>
            <a:gd name="T57" fmla="*/ 2147483647 h 603"/>
            <a:gd name="T58" fmla="*/ 2147483647 w 1090"/>
            <a:gd name="T59" fmla="*/ 2147483647 h 603"/>
            <a:gd name="T60" fmla="*/ 2147483647 w 1090"/>
            <a:gd name="T61" fmla="*/ 2147483647 h 603"/>
            <a:gd name="T62" fmla="*/ 2147483647 w 1090"/>
            <a:gd name="T63" fmla="*/ 2147483647 h 603"/>
            <a:gd name="T64" fmla="*/ 2147483647 w 1090"/>
            <a:gd name="T65" fmla="*/ 2147483647 h 603"/>
            <a:gd name="T66" fmla="*/ 2147483647 w 1090"/>
            <a:gd name="T67" fmla="*/ 2147483647 h 603"/>
            <a:gd name="T68" fmla="*/ 2147483647 w 1090"/>
            <a:gd name="T69" fmla="*/ 2147483647 h 603"/>
            <a:gd name="T70" fmla="*/ 0 w 1090"/>
            <a:gd name="T71" fmla="*/ 2147483647 h 603"/>
            <a:gd name="T72" fmla="*/ 0 w 1090"/>
            <a:gd name="T73" fmla="*/ 2147483647 h 603"/>
            <a:gd name="T74" fmla="*/ 0 w 1090"/>
            <a:gd name="T75" fmla="*/ 2147483647 h 603"/>
            <a:gd name="T76" fmla="*/ 0 w 1090"/>
            <a:gd name="T77" fmla="*/ 2147483647 h 603"/>
            <a:gd name="T78" fmla="*/ 0 w 1090"/>
            <a:gd name="T79" fmla="*/ 2147483647 h 603"/>
            <a:gd name="T80" fmla="*/ 0 w 1090"/>
            <a:gd name="T81" fmla="*/ 2147483647 h 603"/>
            <a:gd name="T82" fmla="*/ 0 w 1090"/>
            <a:gd name="T83" fmla="*/ 2147483647 h 603"/>
            <a:gd name="T84" fmla="*/ 0 w 1090"/>
            <a:gd name="T85" fmla="*/ 2147483647 h 603"/>
            <a:gd name="T86" fmla="*/ 0 w 1090"/>
            <a:gd name="T87" fmla="*/ 2147483647 h 603"/>
            <a:gd name="T88" fmla="*/ 0 w 1090"/>
            <a:gd name="T89" fmla="*/ 2147483647 h 603"/>
            <a:gd name="T90" fmla="*/ 0 w 1090"/>
            <a:gd name="T91" fmla="*/ 2147483647 h 603"/>
            <a:gd name="T92" fmla="*/ 0 w 1090"/>
            <a:gd name="T93" fmla="*/ 2147483647 h 603"/>
            <a:gd name="T94" fmla="*/ 2147483647 w 1090"/>
            <a:gd name="T95" fmla="*/ 2147483647 h 603"/>
            <a:gd name="T96" fmla="*/ 2147483647 w 1090"/>
            <a:gd name="T97" fmla="*/ 2147483647 h 603"/>
            <a:gd name="T98" fmla="*/ 2147483647 w 1090"/>
            <a:gd name="T99" fmla="*/ 2147483647 h 603"/>
            <a:gd name="T100" fmla="*/ 2147483647 w 1090"/>
            <a:gd name="T101" fmla="*/ 2147483647 h 603"/>
            <a:gd name="T102" fmla="*/ 2147483647 w 1090"/>
            <a:gd name="T103" fmla="*/ 2147483647 h 603"/>
            <a:gd name="T104" fmla="*/ 2147483647 w 1090"/>
            <a:gd name="T105" fmla="*/ 2147483647 h 603"/>
            <a:gd name="T106" fmla="*/ 2147483647 w 1090"/>
            <a:gd name="T107" fmla="*/ 2147483647 h 603"/>
            <a:gd name="T108" fmla="*/ 2147483647 w 1090"/>
            <a:gd name="T109" fmla="*/ 2147483647 h 603"/>
            <a:gd name="T110" fmla="*/ 2147483647 w 1090"/>
            <a:gd name="T111" fmla="*/ 2147483647 h 603"/>
            <a:gd name="T112" fmla="*/ 2147483647 w 1090"/>
            <a:gd name="T113" fmla="*/ 2147483647 h 603"/>
            <a:gd name="T114" fmla="*/ 2147483647 w 1090"/>
            <a:gd name="T115" fmla="*/ 2147483647 h 603"/>
            <a:gd name="T116" fmla="*/ 2147483647 w 1090"/>
            <a:gd name="T117" fmla="*/ 2147483647 h 603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w 1090"/>
            <a:gd name="T178" fmla="*/ 0 h 603"/>
            <a:gd name="T179" fmla="*/ 1090 w 1090"/>
            <a:gd name="T180" fmla="*/ 603 h 603"/>
          </a:gdLst>
          <a:ahLst/>
          <a:cxnLst>
            <a:cxn ang="T118">
              <a:pos x="T0" y="T1"/>
            </a:cxn>
            <a:cxn ang="T119">
              <a:pos x="T2" y="T3"/>
            </a:cxn>
            <a:cxn ang="T120">
              <a:pos x="T4" y="T5"/>
            </a:cxn>
            <a:cxn ang="T121">
              <a:pos x="T6" y="T7"/>
            </a:cxn>
            <a:cxn ang="T122">
              <a:pos x="T8" y="T9"/>
            </a:cxn>
            <a:cxn ang="T123">
              <a:pos x="T10" y="T11"/>
            </a:cxn>
            <a:cxn ang="T124">
              <a:pos x="T12" y="T13"/>
            </a:cxn>
            <a:cxn ang="T125">
              <a:pos x="T14" y="T15"/>
            </a:cxn>
            <a:cxn ang="T126">
              <a:pos x="T16" y="T17"/>
            </a:cxn>
            <a:cxn ang="T127">
              <a:pos x="T18" y="T19"/>
            </a:cxn>
            <a:cxn ang="T128">
              <a:pos x="T20" y="T21"/>
            </a:cxn>
            <a:cxn ang="T129">
              <a:pos x="T22" y="T23"/>
            </a:cxn>
            <a:cxn ang="T130">
              <a:pos x="T24" y="T25"/>
            </a:cxn>
            <a:cxn ang="T131">
              <a:pos x="T26" y="T27"/>
            </a:cxn>
            <a:cxn ang="T132">
              <a:pos x="T28" y="T29"/>
            </a:cxn>
            <a:cxn ang="T133">
              <a:pos x="T30" y="T31"/>
            </a:cxn>
            <a:cxn ang="T134">
              <a:pos x="T32" y="T33"/>
            </a:cxn>
            <a:cxn ang="T135">
              <a:pos x="T34" y="T35"/>
            </a:cxn>
            <a:cxn ang="T136">
              <a:pos x="T36" y="T37"/>
            </a:cxn>
            <a:cxn ang="T137">
              <a:pos x="T38" y="T39"/>
            </a:cxn>
            <a:cxn ang="T138">
              <a:pos x="T40" y="T41"/>
            </a:cxn>
            <a:cxn ang="T139">
              <a:pos x="T42" y="T43"/>
            </a:cxn>
            <a:cxn ang="T140">
              <a:pos x="T44" y="T45"/>
            </a:cxn>
            <a:cxn ang="T141">
              <a:pos x="T46" y="T47"/>
            </a:cxn>
            <a:cxn ang="T142">
              <a:pos x="T48" y="T49"/>
            </a:cxn>
            <a:cxn ang="T143">
              <a:pos x="T50" y="T51"/>
            </a:cxn>
            <a:cxn ang="T144">
              <a:pos x="T52" y="T53"/>
            </a:cxn>
            <a:cxn ang="T145">
              <a:pos x="T54" y="T55"/>
            </a:cxn>
            <a:cxn ang="T146">
              <a:pos x="T56" y="T57"/>
            </a:cxn>
            <a:cxn ang="T147">
              <a:pos x="T58" y="T59"/>
            </a:cxn>
            <a:cxn ang="T148">
              <a:pos x="T60" y="T61"/>
            </a:cxn>
            <a:cxn ang="T149">
              <a:pos x="T62" y="T63"/>
            </a:cxn>
            <a:cxn ang="T150">
              <a:pos x="T64" y="T65"/>
            </a:cxn>
            <a:cxn ang="T151">
              <a:pos x="T66" y="T67"/>
            </a:cxn>
            <a:cxn ang="T152">
              <a:pos x="T68" y="T69"/>
            </a:cxn>
            <a:cxn ang="T153">
              <a:pos x="T70" y="T71"/>
            </a:cxn>
            <a:cxn ang="T154">
              <a:pos x="T72" y="T73"/>
            </a:cxn>
            <a:cxn ang="T155">
              <a:pos x="T74" y="T75"/>
            </a:cxn>
            <a:cxn ang="T156">
              <a:pos x="T76" y="T77"/>
            </a:cxn>
            <a:cxn ang="T157">
              <a:pos x="T78" y="T79"/>
            </a:cxn>
            <a:cxn ang="T158">
              <a:pos x="T80" y="T81"/>
            </a:cxn>
            <a:cxn ang="T159">
              <a:pos x="T82" y="T83"/>
            </a:cxn>
            <a:cxn ang="T160">
              <a:pos x="T84" y="T85"/>
            </a:cxn>
            <a:cxn ang="T161">
              <a:pos x="T86" y="T87"/>
            </a:cxn>
            <a:cxn ang="T162">
              <a:pos x="T88" y="T89"/>
            </a:cxn>
            <a:cxn ang="T163">
              <a:pos x="T90" y="T91"/>
            </a:cxn>
            <a:cxn ang="T164">
              <a:pos x="T92" y="T93"/>
            </a:cxn>
            <a:cxn ang="T165">
              <a:pos x="T94" y="T95"/>
            </a:cxn>
            <a:cxn ang="T166">
              <a:pos x="T96" y="T97"/>
            </a:cxn>
            <a:cxn ang="T167">
              <a:pos x="T98" y="T99"/>
            </a:cxn>
            <a:cxn ang="T168">
              <a:pos x="T100" y="T101"/>
            </a:cxn>
            <a:cxn ang="T169">
              <a:pos x="T102" y="T103"/>
            </a:cxn>
            <a:cxn ang="T170">
              <a:pos x="T104" y="T105"/>
            </a:cxn>
            <a:cxn ang="T171">
              <a:pos x="T106" y="T107"/>
            </a:cxn>
            <a:cxn ang="T172">
              <a:pos x="T108" y="T109"/>
            </a:cxn>
            <a:cxn ang="T173">
              <a:pos x="T110" y="T111"/>
            </a:cxn>
            <a:cxn ang="T174">
              <a:pos x="T112" y="T113"/>
            </a:cxn>
            <a:cxn ang="T175">
              <a:pos x="T114" y="T115"/>
            </a:cxn>
            <a:cxn ang="T176">
              <a:pos x="T116" y="T117"/>
            </a:cxn>
          </a:cxnLst>
          <a:rect l="T177" t="T178" r="T179" b="T180"/>
          <a:pathLst>
            <a:path w="1090" h="603">
              <a:moveTo>
                <a:pt x="659" y="603"/>
              </a:moveTo>
              <a:lnTo>
                <a:pt x="674" y="603"/>
              </a:lnTo>
              <a:lnTo>
                <a:pt x="678" y="603"/>
              </a:lnTo>
              <a:lnTo>
                <a:pt x="698" y="603"/>
              </a:lnTo>
              <a:lnTo>
                <a:pt x="709" y="603"/>
              </a:lnTo>
              <a:lnTo>
                <a:pt x="732" y="603"/>
              </a:lnTo>
              <a:lnTo>
                <a:pt x="739" y="603"/>
              </a:lnTo>
              <a:lnTo>
                <a:pt x="748" y="603"/>
              </a:lnTo>
              <a:lnTo>
                <a:pt x="752" y="603"/>
              </a:lnTo>
              <a:lnTo>
                <a:pt x="801" y="603"/>
              </a:lnTo>
              <a:lnTo>
                <a:pt x="802" y="603"/>
              </a:lnTo>
              <a:lnTo>
                <a:pt x="820" y="603"/>
              </a:lnTo>
              <a:lnTo>
                <a:pt x="849" y="603"/>
              </a:lnTo>
              <a:lnTo>
                <a:pt x="868" y="602"/>
              </a:lnTo>
              <a:lnTo>
                <a:pt x="885" y="602"/>
              </a:lnTo>
              <a:lnTo>
                <a:pt x="888" y="602"/>
              </a:lnTo>
              <a:lnTo>
                <a:pt x="891" y="595"/>
              </a:lnTo>
              <a:lnTo>
                <a:pt x="921" y="575"/>
              </a:lnTo>
              <a:lnTo>
                <a:pt x="924" y="575"/>
              </a:lnTo>
              <a:lnTo>
                <a:pt x="939" y="576"/>
              </a:lnTo>
              <a:lnTo>
                <a:pt x="955" y="584"/>
              </a:lnTo>
              <a:lnTo>
                <a:pt x="963" y="578"/>
              </a:lnTo>
              <a:lnTo>
                <a:pt x="986" y="571"/>
              </a:lnTo>
              <a:lnTo>
                <a:pt x="994" y="569"/>
              </a:lnTo>
              <a:lnTo>
                <a:pt x="995" y="567"/>
              </a:lnTo>
              <a:lnTo>
                <a:pt x="996" y="566"/>
              </a:lnTo>
              <a:lnTo>
                <a:pt x="1006" y="563"/>
              </a:lnTo>
              <a:lnTo>
                <a:pt x="1009" y="560"/>
              </a:lnTo>
              <a:lnTo>
                <a:pt x="1010" y="545"/>
              </a:lnTo>
              <a:lnTo>
                <a:pt x="1021" y="539"/>
              </a:lnTo>
              <a:lnTo>
                <a:pt x="1022" y="536"/>
              </a:lnTo>
              <a:lnTo>
                <a:pt x="1032" y="530"/>
              </a:lnTo>
              <a:lnTo>
                <a:pt x="1037" y="525"/>
              </a:lnTo>
              <a:lnTo>
                <a:pt x="1056" y="517"/>
              </a:lnTo>
              <a:lnTo>
                <a:pt x="1068" y="506"/>
              </a:lnTo>
              <a:lnTo>
                <a:pt x="1085" y="502"/>
              </a:lnTo>
              <a:lnTo>
                <a:pt x="1062" y="478"/>
              </a:lnTo>
              <a:lnTo>
                <a:pt x="1056" y="466"/>
              </a:lnTo>
              <a:lnTo>
                <a:pt x="1043" y="456"/>
              </a:lnTo>
              <a:lnTo>
                <a:pt x="1042" y="448"/>
              </a:lnTo>
              <a:lnTo>
                <a:pt x="1010" y="400"/>
              </a:lnTo>
              <a:lnTo>
                <a:pt x="997" y="396"/>
              </a:lnTo>
              <a:lnTo>
                <a:pt x="997" y="394"/>
              </a:lnTo>
              <a:lnTo>
                <a:pt x="996" y="393"/>
              </a:lnTo>
              <a:lnTo>
                <a:pt x="996" y="360"/>
              </a:lnTo>
              <a:lnTo>
                <a:pt x="1022" y="330"/>
              </a:lnTo>
              <a:lnTo>
                <a:pt x="1010" y="307"/>
              </a:lnTo>
              <a:lnTo>
                <a:pt x="1007" y="303"/>
              </a:lnTo>
              <a:lnTo>
                <a:pt x="1032" y="283"/>
              </a:lnTo>
              <a:lnTo>
                <a:pt x="1039" y="277"/>
              </a:lnTo>
              <a:lnTo>
                <a:pt x="1034" y="278"/>
              </a:lnTo>
              <a:lnTo>
                <a:pt x="1053" y="258"/>
              </a:lnTo>
              <a:lnTo>
                <a:pt x="1060" y="241"/>
              </a:lnTo>
              <a:lnTo>
                <a:pt x="1078" y="219"/>
              </a:lnTo>
              <a:lnTo>
                <a:pt x="1090" y="216"/>
              </a:lnTo>
              <a:lnTo>
                <a:pt x="1088" y="212"/>
              </a:lnTo>
              <a:lnTo>
                <a:pt x="1079" y="199"/>
              </a:lnTo>
              <a:lnTo>
                <a:pt x="1078" y="200"/>
              </a:lnTo>
              <a:lnTo>
                <a:pt x="1056" y="196"/>
              </a:lnTo>
              <a:lnTo>
                <a:pt x="1032" y="180"/>
              </a:lnTo>
              <a:lnTo>
                <a:pt x="1019" y="158"/>
              </a:lnTo>
              <a:lnTo>
                <a:pt x="1024" y="152"/>
              </a:lnTo>
              <a:lnTo>
                <a:pt x="1022" y="123"/>
              </a:lnTo>
              <a:lnTo>
                <a:pt x="1005" y="100"/>
              </a:lnTo>
              <a:lnTo>
                <a:pt x="1001" y="95"/>
              </a:lnTo>
              <a:lnTo>
                <a:pt x="986" y="97"/>
              </a:lnTo>
              <a:lnTo>
                <a:pt x="965" y="64"/>
              </a:lnTo>
              <a:lnTo>
                <a:pt x="963" y="63"/>
              </a:lnTo>
              <a:lnTo>
                <a:pt x="942" y="64"/>
              </a:lnTo>
              <a:lnTo>
                <a:pt x="883" y="64"/>
              </a:lnTo>
              <a:lnTo>
                <a:pt x="846" y="64"/>
              </a:lnTo>
              <a:lnTo>
                <a:pt x="826" y="64"/>
              </a:lnTo>
              <a:lnTo>
                <a:pt x="822" y="64"/>
              </a:lnTo>
              <a:lnTo>
                <a:pt x="818" y="64"/>
              </a:lnTo>
              <a:lnTo>
                <a:pt x="799" y="64"/>
              </a:lnTo>
              <a:lnTo>
                <a:pt x="775" y="64"/>
              </a:lnTo>
              <a:lnTo>
                <a:pt x="741" y="64"/>
              </a:lnTo>
              <a:lnTo>
                <a:pt x="697" y="63"/>
              </a:lnTo>
              <a:lnTo>
                <a:pt x="682" y="63"/>
              </a:lnTo>
              <a:lnTo>
                <a:pt x="672" y="63"/>
              </a:lnTo>
              <a:lnTo>
                <a:pt x="665" y="63"/>
              </a:lnTo>
              <a:lnTo>
                <a:pt x="643" y="64"/>
              </a:lnTo>
              <a:lnTo>
                <a:pt x="563" y="64"/>
              </a:lnTo>
              <a:lnTo>
                <a:pt x="544" y="64"/>
              </a:lnTo>
              <a:lnTo>
                <a:pt x="542" y="64"/>
              </a:lnTo>
              <a:lnTo>
                <a:pt x="526" y="64"/>
              </a:lnTo>
              <a:lnTo>
                <a:pt x="518" y="64"/>
              </a:lnTo>
              <a:lnTo>
                <a:pt x="489" y="64"/>
              </a:lnTo>
              <a:lnTo>
                <a:pt x="448" y="64"/>
              </a:lnTo>
              <a:lnTo>
                <a:pt x="433" y="64"/>
              </a:lnTo>
              <a:lnTo>
                <a:pt x="424" y="64"/>
              </a:lnTo>
              <a:lnTo>
                <a:pt x="413" y="64"/>
              </a:lnTo>
              <a:lnTo>
                <a:pt x="355" y="64"/>
              </a:lnTo>
              <a:lnTo>
                <a:pt x="311" y="64"/>
              </a:lnTo>
              <a:lnTo>
                <a:pt x="299" y="64"/>
              </a:lnTo>
              <a:lnTo>
                <a:pt x="286" y="64"/>
              </a:lnTo>
              <a:lnTo>
                <a:pt x="284" y="64"/>
              </a:lnTo>
              <a:lnTo>
                <a:pt x="272" y="64"/>
              </a:lnTo>
              <a:lnTo>
                <a:pt x="251" y="64"/>
              </a:lnTo>
              <a:lnTo>
                <a:pt x="196" y="64"/>
              </a:lnTo>
              <a:lnTo>
                <a:pt x="171" y="64"/>
              </a:lnTo>
              <a:lnTo>
                <a:pt x="163" y="64"/>
              </a:lnTo>
              <a:lnTo>
                <a:pt x="142" y="64"/>
              </a:lnTo>
              <a:lnTo>
                <a:pt x="142" y="0"/>
              </a:lnTo>
              <a:lnTo>
                <a:pt x="69" y="34"/>
              </a:lnTo>
              <a:lnTo>
                <a:pt x="13" y="64"/>
              </a:lnTo>
              <a:lnTo>
                <a:pt x="0" y="70"/>
              </a:lnTo>
              <a:lnTo>
                <a:pt x="0" y="93"/>
              </a:lnTo>
              <a:lnTo>
                <a:pt x="0" y="100"/>
              </a:lnTo>
              <a:lnTo>
                <a:pt x="0" y="132"/>
              </a:lnTo>
              <a:lnTo>
                <a:pt x="0" y="152"/>
              </a:lnTo>
              <a:lnTo>
                <a:pt x="0" y="182"/>
              </a:lnTo>
              <a:lnTo>
                <a:pt x="0" y="184"/>
              </a:lnTo>
              <a:lnTo>
                <a:pt x="0" y="212"/>
              </a:lnTo>
              <a:lnTo>
                <a:pt x="0" y="231"/>
              </a:lnTo>
              <a:lnTo>
                <a:pt x="0" y="269"/>
              </a:lnTo>
              <a:lnTo>
                <a:pt x="0" y="271"/>
              </a:lnTo>
              <a:lnTo>
                <a:pt x="0" y="300"/>
              </a:lnTo>
              <a:lnTo>
                <a:pt x="0" y="306"/>
              </a:lnTo>
              <a:lnTo>
                <a:pt x="0" y="323"/>
              </a:lnTo>
              <a:lnTo>
                <a:pt x="0" y="330"/>
              </a:lnTo>
              <a:lnTo>
                <a:pt x="0" y="335"/>
              </a:lnTo>
              <a:lnTo>
                <a:pt x="0" y="349"/>
              </a:lnTo>
              <a:lnTo>
                <a:pt x="0" y="365"/>
              </a:lnTo>
              <a:lnTo>
                <a:pt x="0" y="386"/>
              </a:lnTo>
              <a:lnTo>
                <a:pt x="0" y="389"/>
              </a:lnTo>
              <a:lnTo>
                <a:pt x="0" y="396"/>
              </a:lnTo>
              <a:lnTo>
                <a:pt x="0" y="424"/>
              </a:lnTo>
              <a:lnTo>
                <a:pt x="0" y="428"/>
              </a:lnTo>
              <a:lnTo>
                <a:pt x="0" y="435"/>
              </a:lnTo>
              <a:lnTo>
                <a:pt x="0" y="442"/>
              </a:lnTo>
              <a:lnTo>
                <a:pt x="0" y="478"/>
              </a:lnTo>
              <a:lnTo>
                <a:pt x="0" y="482"/>
              </a:lnTo>
              <a:lnTo>
                <a:pt x="0" y="499"/>
              </a:lnTo>
              <a:lnTo>
                <a:pt x="0" y="503"/>
              </a:lnTo>
              <a:lnTo>
                <a:pt x="0" y="521"/>
              </a:lnTo>
              <a:lnTo>
                <a:pt x="0" y="532"/>
              </a:lnTo>
              <a:lnTo>
                <a:pt x="0" y="536"/>
              </a:lnTo>
              <a:lnTo>
                <a:pt x="0" y="545"/>
              </a:lnTo>
              <a:lnTo>
                <a:pt x="0" y="595"/>
              </a:lnTo>
              <a:lnTo>
                <a:pt x="0" y="598"/>
              </a:lnTo>
              <a:lnTo>
                <a:pt x="0" y="603"/>
              </a:lnTo>
              <a:lnTo>
                <a:pt x="4" y="603"/>
              </a:lnTo>
              <a:lnTo>
                <a:pt x="19" y="603"/>
              </a:lnTo>
              <a:lnTo>
                <a:pt x="25" y="603"/>
              </a:lnTo>
              <a:lnTo>
                <a:pt x="27" y="603"/>
              </a:lnTo>
              <a:lnTo>
                <a:pt x="113" y="603"/>
              </a:lnTo>
              <a:lnTo>
                <a:pt x="120" y="603"/>
              </a:lnTo>
              <a:lnTo>
                <a:pt x="132" y="603"/>
              </a:lnTo>
              <a:lnTo>
                <a:pt x="142" y="603"/>
              </a:lnTo>
              <a:lnTo>
                <a:pt x="175" y="603"/>
              </a:lnTo>
              <a:lnTo>
                <a:pt x="181" y="603"/>
              </a:lnTo>
              <a:lnTo>
                <a:pt x="195" y="603"/>
              </a:lnTo>
              <a:lnTo>
                <a:pt x="201" y="603"/>
              </a:lnTo>
              <a:lnTo>
                <a:pt x="207" y="603"/>
              </a:lnTo>
              <a:lnTo>
                <a:pt x="211" y="603"/>
              </a:lnTo>
              <a:lnTo>
                <a:pt x="268" y="602"/>
              </a:lnTo>
              <a:lnTo>
                <a:pt x="275" y="602"/>
              </a:lnTo>
              <a:lnTo>
                <a:pt x="300" y="602"/>
              </a:lnTo>
              <a:lnTo>
                <a:pt x="308" y="602"/>
              </a:lnTo>
              <a:lnTo>
                <a:pt x="313" y="602"/>
              </a:lnTo>
              <a:lnTo>
                <a:pt x="320" y="602"/>
              </a:lnTo>
              <a:lnTo>
                <a:pt x="371" y="602"/>
              </a:lnTo>
              <a:lnTo>
                <a:pt x="378" y="602"/>
              </a:lnTo>
              <a:lnTo>
                <a:pt x="401" y="602"/>
              </a:lnTo>
              <a:lnTo>
                <a:pt x="407" y="602"/>
              </a:lnTo>
              <a:lnTo>
                <a:pt x="424" y="602"/>
              </a:lnTo>
              <a:lnTo>
                <a:pt x="425" y="602"/>
              </a:lnTo>
              <a:lnTo>
                <a:pt x="453" y="602"/>
              </a:lnTo>
              <a:lnTo>
                <a:pt x="471" y="602"/>
              </a:lnTo>
              <a:lnTo>
                <a:pt x="564" y="603"/>
              </a:lnTo>
              <a:lnTo>
                <a:pt x="571" y="603"/>
              </a:lnTo>
              <a:lnTo>
                <a:pt x="573" y="603"/>
              </a:lnTo>
              <a:lnTo>
                <a:pt x="578" y="603"/>
              </a:lnTo>
              <a:lnTo>
                <a:pt x="599" y="603"/>
              </a:lnTo>
              <a:lnTo>
                <a:pt x="618" y="603"/>
              </a:lnTo>
              <a:lnTo>
                <a:pt x="648" y="603"/>
              </a:lnTo>
              <a:lnTo>
                <a:pt x="659" y="603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pPr algn="ctr"/>
          <a:endParaRPr lang="en-US" sz="800" b="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17</xdr:col>
      <xdr:colOff>96756</xdr:colOff>
      <xdr:row>9</xdr:row>
      <xdr:rowOff>93790</xdr:rowOff>
    </xdr:from>
    <xdr:to>
      <xdr:col>18</xdr:col>
      <xdr:colOff>221223</xdr:colOff>
      <xdr:row>12</xdr:row>
      <xdr:rowOff>83399</xdr:rowOff>
    </xdr:to>
    <xdr:sp macro="" textlink="">
      <xdr:nvSpPr>
        <xdr:cNvPr id="62" name="S_OR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>
          <a:spLocks/>
        </xdr:cNvSpPr>
      </xdr:nvSpPr>
      <xdr:spPr bwMode="auto">
        <a:xfrm>
          <a:off x="468231" y="1846390"/>
          <a:ext cx="734067" cy="675409"/>
        </a:xfrm>
        <a:custGeom>
          <a:avLst/>
          <a:gdLst>
            <a:gd name="T0" fmla="*/ 2147483647 w 1519"/>
            <a:gd name="T1" fmla="*/ 2147483647 h 1011"/>
            <a:gd name="T2" fmla="*/ 2147483647 w 1519"/>
            <a:gd name="T3" fmla="*/ 2147483647 h 1011"/>
            <a:gd name="T4" fmla="*/ 2147483647 w 1519"/>
            <a:gd name="T5" fmla="*/ 2147483647 h 1011"/>
            <a:gd name="T6" fmla="*/ 2147483647 w 1519"/>
            <a:gd name="T7" fmla="*/ 2147483647 h 1011"/>
            <a:gd name="T8" fmla="*/ 2147483647 w 1519"/>
            <a:gd name="T9" fmla="*/ 2147483647 h 1011"/>
            <a:gd name="T10" fmla="*/ 2147483647 w 1519"/>
            <a:gd name="T11" fmla="*/ 2147483647 h 1011"/>
            <a:gd name="T12" fmla="*/ 2147483647 w 1519"/>
            <a:gd name="T13" fmla="*/ 2147483647 h 1011"/>
            <a:gd name="T14" fmla="*/ 2147483647 w 1519"/>
            <a:gd name="T15" fmla="*/ 2147483647 h 1011"/>
            <a:gd name="T16" fmla="*/ 2147483647 w 1519"/>
            <a:gd name="T17" fmla="*/ 2147483647 h 1011"/>
            <a:gd name="T18" fmla="*/ 2147483647 w 1519"/>
            <a:gd name="T19" fmla="*/ 2147483647 h 1011"/>
            <a:gd name="T20" fmla="*/ 2147483647 w 1519"/>
            <a:gd name="T21" fmla="*/ 2147483647 h 1011"/>
            <a:gd name="T22" fmla="*/ 2147483647 w 1519"/>
            <a:gd name="T23" fmla="*/ 2147483647 h 1011"/>
            <a:gd name="T24" fmla="*/ 2147483647 w 1519"/>
            <a:gd name="T25" fmla="*/ 2147483647 h 1011"/>
            <a:gd name="T26" fmla="*/ 2147483647 w 1519"/>
            <a:gd name="T27" fmla="*/ 2147483647 h 1011"/>
            <a:gd name="T28" fmla="*/ 2147483647 w 1519"/>
            <a:gd name="T29" fmla="*/ 2147483647 h 1011"/>
            <a:gd name="T30" fmla="*/ 2147483647 w 1519"/>
            <a:gd name="T31" fmla="*/ 2147483647 h 1011"/>
            <a:gd name="T32" fmla="*/ 2147483647 w 1519"/>
            <a:gd name="T33" fmla="*/ 2147483647 h 1011"/>
            <a:gd name="T34" fmla="*/ 2147483647 w 1519"/>
            <a:gd name="T35" fmla="*/ 2147483647 h 1011"/>
            <a:gd name="T36" fmla="*/ 2147483647 w 1519"/>
            <a:gd name="T37" fmla="*/ 2147483647 h 1011"/>
            <a:gd name="T38" fmla="*/ 2147483647 w 1519"/>
            <a:gd name="T39" fmla="*/ 2147483647 h 1011"/>
            <a:gd name="T40" fmla="*/ 2147483647 w 1519"/>
            <a:gd name="T41" fmla="*/ 2147483647 h 1011"/>
            <a:gd name="T42" fmla="*/ 2147483647 w 1519"/>
            <a:gd name="T43" fmla="*/ 0 h 1011"/>
            <a:gd name="T44" fmla="*/ 2147483647 w 1519"/>
            <a:gd name="T45" fmla="*/ 2147483647 h 1011"/>
            <a:gd name="T46" fmla="*/ 2147483647 w 1519"/>
            <a:gd name="T47" fmla="*/ 2147483647 h 1011"/>
            <a:gd name="T48" fmla="*/ 2147483647 w 1519"/>
            <a:gd name="T49" fmla="*/ 2147483647 h 1011"/>
            <a:gd name="T50" fmla="*/ 2147483647 w 1519"/>
            <a:gd name="T51" fmla="*/ 2147483647 h 1011"/>
            <a:gd name="T52" fmla="*/ 2147483647 w 1519"/>
            <a:gd name="T53" fmla="*/ 2147483647 h 1011"/>
            <a:gd name="T54" fmla="*/ 2147483647 w 1519"/>
            <a:gd name="T55" fmla="*/ 2147483647 h 1011"/>
            <a:gd name="T56" fmla="*/ 2147483647 w 1519"/>
            <a:gd name="T57" fmla="*/ 2147483647 h 1011"/>
            <a:gd name="T58" fmla="*/ 2147483647 w 1519"/>
            <a:gd name="T59" fmla="*/ 2147483647 h 1011"/>
            <a:gd name="T60" fmla="*/ 2147483647 w 1519"/>
            <a:gd name="T61" fmla="*/ 2147483647 h 1011"/>
            <a:gd name="T62" fmla="*/ 2147483647 w 1519"/>
            <a:gd name="T63" fmla="*/ 2147483647 h 1011"/>
            <a:gd name="T64" fmla="*/ 2147483647 w 1519"/>
            <a:gd name="T65" fmla="*/ 2147483647 h 1011"/>
            <a:gd name="T66" fmla="*/ 2147483647 w 1519"/>
            <a:gd name="T67" fmla="*/ 2147483647 h 1011"/>
            <a:gd name="T68" fmla="*/ 2147483647 w 1519"/>
            <a:gd name="T69" fmla="*/ 2147483647 h 1011"/>
            <a:gd name="T70" fmla="*/ 2147483647 w 1519"/>
            <a:gd name="T71" fmla="*/ 2147483647 h 1011"/>
            <a:gd name="T72" fmla="*/ 2147483647 w 1519"/>
            <a:gd name="T73" fmla="*/ 2147483647 h 1011"/>
            <a:gd name="T74" fmla="*/ 2147483647 w 1519"/>
            <a:gd name="T75" fmla="*/ 2147483647 h 1011"/>
            <a:gd name="T76" fmla="*/ 2147483647 w 1519"/>
            <a:gd name="T77" fmla="*/ 2147483647 h 1011"/>
            <a:gd name="T78" fmla="*/ 2147483647 w 1519"/>
            <a:gd name="T79" fmla="*/ 2147483647 h 1011"/>
            <a:gd name="T80" fmla="*/ 2147483647 w 1519"/>
            <a:gd name="T81" fmla="*/ 2147483647 h 1011"/>
            <a:gd name="T82" fmla="*/ 2147483647 w 1519"/>
            <a:gd name="T83" fmla="*/ 2147483647 h 1011"/>
            <a:gd name="T84" fmla="*/ 2147483647 w 1519"/>
            <a:gd name="T85" fmla="*/ 2147483647 h 1011"/>
            <a:gd name="T86" fmla="*/ 2147483647 w 1519"/>
            <a:gd name="T87" fmla="*/ 2147483647 h 1011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w 1519"/>
            <a:gd name="T133" fmla="*/ 0 h 1011"/>
            <a:gd name="T134" fmla="*/ 1519 w 1519"/>
            <a:gd name="T135" fmla="*/ 1011 h 1011"/>
          </a:gdLst>
          <a:ahLst/>
          <a:cxnLst>
            <a:cxn ang="T88">
              <a:pos x="T0" y="T1"/>
            </a:cxn>
            <a:cxn ang="T89">
              <a:pos x="T2" y="T3"/>
            </a:cxn>
            <a:cxn ang="T90">
              <a:pos x="T4" y="T5"/>
            </a:cxn>
            <a:cxn ang="T91">
              <a:pos x="T6" y="T7"/>
            </a:cxn>
            <a:cxn ang="T92">
              <a:pos x="T8" y="T9"/>
            </a:cxn>
            <a:cxn ang="T93">
              <a:pos x="T10" y="T11"/>
            </a:cxn>
            <a:cxn ang="T94">
              <a:pos x="T12" y="T13"/>
            </a:cxn>
            <a:cxn ang="T95">
              <a:pos x="T14" y="T15"/>
            </a:cxn>
            <a:cxn ang="T96">
              <a:pos x="T16" y="T17"/>
            </a:cxn>
            <a:cxn ang="T97">
              <a:pos x="T18" y="T19"/>
            </a:cxn>
            <a:cxn ang="T98">
              <a:pos x="T20" y="T21"/>
            </a:cxn>
            <a:cxn ang="T99">
              <a:pos x="T22" y="T23"/>
            </a:cxn>
            <a:cxn ang="T100">
              <a:pos x="T24" y="T25"/>
            </a:cxn>
            <a:cxn ang="T101">
              <a:pos x="T26" y="T27"/>
            </a:cxn>
            <a:cxn ang="T102">
              <a:pos x="T28" y="T29"/>
            </a:cxn>
            <a:cxn ang="T103">
              <a:pos x="T30" y="T31"/>
            </a:cxn>
            <a:cxn ang="T104">
              <a:pos x="T32" y="T33"/>
            </a:cxn>
            <a:cxn ang="T105">
              <a:pos x="T34" y="T35"/>
            </a:cxn>
            <a:cxn ang="T106">
              <a:pos x="T36" y="T37"/>
            </a:cxn>
            <a:cxn ang="T107">
              <a:pos x="T38" y="T39"/>
            </a:cxn>
            <a:cxn ang="T108">
              <a:pos x="T40" y="T41"/>
            </a:cxn>
            <a:cxn ang="T109">
              <a:pos x="T42" y="T43"/>
            </a:cxn>
            <a:cxn ang="T110">
              <a:pos x="T44" y="T45"/>
            </a:cxn>
            <a:cxn ang="T111">
              <a:pos x="T46" y="T47"/>
            </a:cxn>
            <a:cxn ang="T112">
              <a:pos x="T48" y="T49"/>
            </a:cxn>
            <a:cxn ang="T113">
              <a:pos x="T50" y="T51"/>
            </a:cxn>
            <a:cxn ang="T114">
              <a:pos x="T52" y="T53"/>
            </a:cxn>
            <a:cxn ang="T115">
              <a:pos x="T54" y="T55"/>
            </a:cxn>
            <a:cxn ang="T116">
              <a:pos x="T56" y="T57"/>
            </a:cxn>
            <a:cxn ang="T117">
              <a:pos x="T58" y="T59"/>
            </a:cxn>
            <a:cxn ang="T118">
              <a:pos x="T60" y="T61"/>
            </a:cxn>
            <a:cxn ang="T119">
              <a:pos x="T62" y="T63"/>
            </a:cxn>
            <a:cxn ang="T120">
              <a:pos x="T64" y="T65"/>
            </a:cxn>
            <a:cxn ang="T121">
              <a:pos x="T66" y="T67"/>
            </a:cxn>
            <a:cxn ang="T122">
              <a:pos x="T68" y="T69"/>
            </a:cxn>
            <a:cxn ang="T123">
              <a:pos x="T70" y="T71"/>
            </a:cxn>
            <a:cxn ang="T124">
              <a:pos x="T72" y="T73"/>
            </a:cxn>
            <a:cxn ang="T125">
              <a:pos x="T74" y="T75"/>
            </a:cxn>
            <a:cxn ang="T126">
              <a:pos x="T76" y="T77"/>
            </a:cxn>
            <a:cxn ang="T127">
              <a:pos x="T78" y="T79"/>
            </a:cxn>
            <a:cxn ang="T128">
              <a:pos x="T80" y="T81"/>
            </a:cxn>
            <a:cxn ang="T129">
              <a:pos x="T82" y="T83"/>
            </a:cxn>
            <a:cxn ang="T130">
              <a:pos x="T84" y="T85"/>
            </a:cxn>
            <a:cxn ang="T131">
              <a:pos x="T86" y="T87"/>
            </a:cxn>
          </a:cxnLst>
          <a:rect l="T132" t="T133" r="T134" b="T135"/>
          <a:pathLst>
            <a:path w="1519" h="1011">
              <a:moveTo>
                <a:pt x="1379" y="466"/>
              </a:moveTo>
              <a:lnTo>
                <a:pt x="1406" y="478"/>
              </a:lnTo>
              <a:lnTo>
                <a:pt x="1419" y="479"/>
              </a:lnTo>
              <a:lnTo>
                <a:pt x="1439" y="500"/>
              </a:lnTo>
              <a:lnTo>
                <a:pt x="1436" y="508"/>
              </a:lnTo>
              <a:lnTo>
                <a:pt x="1433" y="509"/>
              </a:lnTo>
              <a:lnTo>
                <a:pt x="1423" y="565"/>
              </a:lnTo>
              <a:lnTo>
                <a:pt x="1419" y="569"/>
              </a:lnTo>
              <a:lnTo>
                <a:pt x="1415" y="582"/>
              </a:lnTo>
              <a:lnTo>
                <a:pt x="1415" y="612"/>
              </a:lnTo>
              <a:lnTo>
                <a:pt x="1415" y="636"/>
              </a:lnTo>
              <a:lnTo>
                <a:pt x="1415" y="734"/>
              </a:lnTo>
              <a:lnTo>
                <a:pt x="1415" y="1008"/>
              </a:lnTo>
              <a:lnTo>
                <a:pt x="1373" y="1009"/>
              </a:lnTo>
              <a:lnTo>
                <a:pt x="1364" y="1009"/>
              </a:lnTo>
              <a:lnTo>
                <a:pt x="1196" y="1009"/>
              </a:lnTo>
              <a:lnTo>
                <a:pt x="1139" y="1011"/>
              </a:lnTo>
              <a:lnTo>
                <a:pt x="1103" y="1011"/>
              </a:lnTo>
              <a:lnTo>
                <a:pt x="985" y="1011"/>
              </a:lnTo>
              <a:lnTo>
                <a:pt x="979" y="1011"/>
              </a:lnTo>
              <a:lnTo>
                <a:pt x="952" y="1011"/>
              </a:lnTo>
              <a:lnTo>
                <a:pt x="882" y="1009"/>
              </a:lnTo>
              <a:lnTo>
                <a:pt x="859" y="1011"/>
              </a:lnTo>
              <a:lnTo>
                <a:pt x="820" y="1011"/>
              </a:lnTo>
              <a:lnTo>
                <a:pt x="812" y="1011"/>
              </a:lnTo>
              <a:lnTo>
                <a:pt x="694" y="1011"/>
              </a:lnTo>
              <a:lnTo>
                <a:pt x="659" y="1011"/>
              </a:lnTo>
              <a:lnTo>
                <a:pt x="616" y="1009"/>
              </a:lnTo>
              <a:lnTo>
                <a:pt x="588" y="1009"/>
              </a:lnTo>
              <a:lnTo>
                <a:pt x="484" y="1008"/>
              </a:lnTo>
              <a:lnTo>
                <a:pt x="452" y="1007"/>
              </a:lnTo>
              <a:lnTo>
                <a:pt x="431" y="1007"/>
              </a:lnTo>
              <a:lnTo>
                <a:pt x="289" y="1008"/>
              </a:lnTo>
              <a:lnTo>
                <a:pt x="270" y="1007"/>
              </a:lnTo>
              <a:lnTo>
                <a:pt x="254" y="1008"/>
              </a:lnTo>
              <a:lnTo>
                <a:pt x="233" y="1009"/>
              </a:lnTo>
              <a:lnTo>
                <a:pt x="217" y="1008"/>
              </a:lnTo>
              <a:lnTo>
                <a:pt x="200" y="1009"/>
              </a:lnTo>
              <a:lnTo>
                <a:pt x="181" y="1009"/>
              </a:lnTo>
              <a:lnTo>
                <a:pt x="175" y="1011"/>
              </a:lnTo>
              <a:lnTo>
                <a:pt x="144" y="1011"/>
              </a:lnTo>
              <a:lnTo>
                <a:pt x="111" y="1009"/>
              </a:lnTo>
              <a:lnTo>
                <a:pt x="87" y="1009"/>
              </a:lnTo>
              <a:lnTo>
                <a:pt x="70" y="1009"/>
              </a:lnTo>
              <a:lnTo>
                <a:pt x="42" y="984"/>
              </a:lnTo>
              <a:lnTo>
                <a:pt x="32" y="857"/>
              </a:lnTo>
              <a:lnTo>
                <a:pt x="0" y="811"/>
              </a:lnTo>
              <a:lnTo>
                <a:pt x="21" y="784"/>
              </a:lnTo>
              <a:lnTo>
                <a:pt x="40" y="691"/>
              </a:lnTo>
              <a:lnTo>
                <a:pt x="50" y="684"/>
              </a:lnTo>
              <a:lnTo>
                <a:pt x="70" y="628"/>
              </a:lnTo>
              <a:lnTo>
                <a:pt x="81" y="570"/>
              </a:lnTo>
              <a:lnTo>
                <a:pt x="81" y="569"/>
              </a:lnTo>
              <a:lnTo>
                <a:pt x="89" y="471"/>
              </a:lnTo>
              <a:lnTo>
                <a:pt x="107" y="295"/>
              </a:lnTo>
              <a:lnTo>
                <a:pt x="108" y="292"/>
              </a:lnTo>
              <a:lnTo>
                <a:pt x="107" y="290"/>
              </a:lnTo>
              <a:lnTo>
                <a:pt x="117" y="241"/>
              </a:lnTo>
              <a:lnTo>
                <a:pt x="118" y="124"/>
              </a:lnTo>
              <a:lnTo>
                <a:pt x="116" y="116"/>
              </a:lnTo>
              <a:lnTo>
                <a:pt x="120" y="34"/>
              </a:lnTo>
              <a:lnTo>
                <a:pt x="106" y="10"/>
              </a:lnTo>
              <a:lnTo>
                <a:pt x="111" y="8"/>
              </a:lnTo>
              <a:lnTo>
                <a:pt x="134" y="24"/>
              </a:lnTo>
              <a:lnTo>
                <a:pt x="157" y="15"/>
              </a:lnTo>
              <a:lnTo>
                <a:pt x="173" y="2"/>
              </a:lnTo>
              <a:lnTo>
                <a:pt x="208" y="0"/>
              </a:lnTo>
              <a:lnTo>
                <a:pt x="214" y="4"/>
              </a:lnTo>
              <a:lnTo>
                <a:pt x="229" y="29"/>
              </a:lnTo>
              <a:lnTo>
                <a:pt x="251" y="28"/>
              </a:lnTo>
              <a:lnTo>
                <a:pt x="258" y="24"/>
              </a:lnTo>
              <a:lnTo>
                <a:pt x="298" y="33"/>
              </a:lnTo>
              <a:lnTo>
                <a:pt x="332" y="73"/>
              </a:lnTo>
              <a:lnTo>
                <a:pt x="337" y="100"/>
              </a:lnTo>
              <a:lnTo>
                <a:pt x="343" y="123"/>
              </a:lnTo>
              <a:lnTo>
                <a:pt x="343" y="127"/>
              </a:lnTo>
              <a:lnTo>
                <a:pt x="342" y="129"/>
              </a:lnTo>
              <a:lnTo>
                <a:pt x="342" y="145"/>
              </a:lnTo>
              <a:lnTo>
                <a:pt x="403" y="167"/>
              </a:lnTo>
              <a:lnTo>
                <a:pt x="438" y="170"/>
              </a:lnTo>
              <a:lnTo>
                <a:pt x="451" y="164"/>
              </a:lnTo>
              <a:lnTo>
                <a:pt x="466" y="163"/>
              </a:lnTo>
              <a:lnTo>
                <a:pt x="499" y="147"/>
              </a:lnTo>
              <a:lnTo>
                <a:pt x="520" y="133"/>
              </a:lnTo>
              <a:lnTo>
                <a:pt x="534" y="136"/>
              </a:lnTo>
              <a:lnTo>
                <a:pt x="574" y="129"/>
              </a:lnTo>
              <a:lnTo>
                <a:pt x="578" y="130"/>
              </a:lnTo>
              <a:lnTo>
                <a:pt x="585" y="135"/>
              </a:lnTo>
              <a:lnTo>
                <a:pt x="589" y="135"/>
              </a:lnTo>
              <a:lnTo>
                <a:pt x="632" y="141"/>
              </a:lnTo>
              <a:lnTo>
                <a:pt x="637" y="156"/>
              </a:lnTo>
              <a:lnTo>
                <a:pt x="687" y="149"/>
              </a:lnTo>
              <a:lnTo>
                <a:pt x="699" y="141"/>
              </a:lnTo>
              <a:lnTo>
                <a:pt x="730" y="131"/>
              </a:lnTo>
              <a:lnTo>
                <a:pt x="737" y="127"/>
              </a:lnTo>
              <a:lnTo>
                <a:pt x="769" y="136"/>
              </a:lnTo>
              <a:lnTo>
                <a:pt x="819" y="129"/>
              </a:lnTo>
              <a:lnTo>
                <a:pt x="859" y="108"/>
              </a:lnTo>
              <a:lnTo>
                <a:pt x="865" y="105"/>
              </a:lnTo>
              <a:lnTo>
                <a:pt x="876" y="105"/>
              </a:lnTo>
              <a:lnTo>
                <a:pt x="883" y="103"/>
              </a:lnTo>
              <a:lnTo>
                <a:pt x="921" y="98"/>
              </a:lnTo>
              <a:lnTo>
                <a:pt x="939" y="82"/>
              </a:lnTo>
              <a:lnTo>
                <a:pt x="965" y="84"/>
              </a:lnTo>
              <a:lnTo>
                <a:pt x="998" y="78"/>
              </a:lnTo>
              <a:lnTo>
                <a:pt x="1022" y="79"/>
              </a:lnTo>
              <a:lnTo>
                <a:pt x="1048" y="64"/>
              </a:lnTo>
              <a:lnTo>
                <a:pt x="1087" y="63"/>
              </a:lnTo>
              <a:lnTo>
                <a:pt x="1186" y="64"/>
              </a:lnTo>
              <a:lnTo>
                <a:pt x="1233" y="64"/>
              </a:lnTo>
              <a:lnTo>
                <a:pt x="1238" y="64"/>
              </a:lnTo>
              <a:lnTo>
                <a:pt x="1287" y="64"/>
              </a:lnTo>
              <a:lnTo>
                <a:pt x="1303" y="64"/>
              </a:lnTo>
              <a:lnTo>
                <a:pt x="1307" y="64"/>
              </a:lnTo>
              <a:lnTo>
                <a:pt x="1326" y="64"/>
              </a:lnTo>
              <a:lnTo>
                <a:pt x="1329" y="64"/>
              </a:lnTo>
              <a:lnTo>
                <a:pt x="1331" y="64"/>
              </a:lnTo>
              <a:lnTo>
                <a:pt x="1354" y="64"/>
              </a:lnTo>
              <a:lnTo>
                <a:pt x="1356" y="64"/>
              </a:lnTo>
              <a:lnTo>
                <a:pt x="1436" y="66"/>
              </a:lnTo>
              <a:lnTo>
                <a:pt x="1443" y="75"/>
              </a:lnTo>
              <a:lnTo>
                <a:pt x="1455" y="93"/>
              </a:lnTo>
              <a:lnTo>
                <a:pt x="1458" y="98"/>
              </a:lnTo>
              <a:lnTo>
                <a:pt x="1505" y="123"/>
              </a:lnTo>
              <a:lnTo>
                <a:pt x="1519" y="152"/>
              </a:lnTo>
              <a:lnTo>
                <a:pt x="1478" y="237"/>
              </a:lnTo>
              <a:lnTo>
                <a:pt x="1477" y="239"/>
              </a:lnTo>
              <a:lnTo>
                <a:pt x="1467" y="271"/>
              </a:lnTo>
              <a:lnTo>
                <a:pt x="1460" y="282"/>
              </a:lnTo>
              <a:lnTo>
                <a:pt x="1448" y="301"/>
              </a:lnTo>
              <a:lnTo>
                <a:pt x="1439" y="338"/>
              </a:lnTo>
              <a:lnTo>
                <a:pt x="1414" y="360"/>
              </a:lnTo>
              <a:lnTo>
                <a:pt x="1376" y="448"/>
              </a:lnTo>
              <a:lnTo>
                <a:pt x="1379" y="466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pPr algn="ctr"/>
          <a:endParaRPr lang="en-US" sz="800" b="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20</xdr:col>
      <xdr:colOff>214830</xdr:colOff>
      <xdr:row>15</xdr:row>
      <xdr:rowOff>167491</xdr:rowOff>
    </xdr:from>
    <xdr:to>
      <xdr:col>21</xdr:col>
      <xdr:colOff>378173</xdr:colOff>
      <xdr:row>18</xdr:row>
      <xdr:rowOff>31196</xdr:rowOff>
    </xdr:to>
    <xdr:sp macro="" textlink="">
      <xdr:nvSpPr>
        <xdr:cNvPr id="63" name="S_OK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>
          <a:spLocks/>
        </xdr:cNvSpPr>
      </xdr:nvSpPr>
      <xdr:spPr bwMode="auto">
        <a:xfrm>
          <a:off x="2415105" y="3215491"/>
          <a:ext cx="772943" cy="473305"/>
        </a:xfrm>
        <a:custGeom>
          <a:avLst/>
          <a:gdLst>
            <a:gd name="T0" fmla="*/ 2147483647 w 1604"/>
            <a:gd name="T1" fmla="*/ 2147483647 h 799"/>
            <a:gd name="T2" fmla="*/ 2147483647 w 1604"/>
            <a:gd name="T3" fmla="*/ 2147483647 h 799"/>
            <a:gd name="T4" fmla="*/ 2147483647 w 1604"/>
            <a:gd name="T5" fmla="*/ 2147483647 h 799"/>
            <a:gd name="T6" fmla="*/ 2147483647 w 1604"/>
            <a:gd name="T7" fmla="*/ 0 h 799"/>
            <a:gd name="T8" fmla="*/ 2147483647 w 1604"/>
            <a:gd name="T9" fmla="*/ 0 h 799"/>
            <a:gd name="T10" fmla="*/ 2147483647 w 1604"/>
            <a:gd name="T11" fmla="*/ 0 h 799"/>
            <a:gd name="T12" fmla="*/ 2147483647 w 1604"/>
            <a:gd name="T13" fmla="*/ 0 h 799"/>
            <a:gd name="T14" fmla="*/ 2147483647 w 1604"/>
            <a:gd name="T15" fmla="*/ 0 h 799"/>
            <a:gd name="T16" fmla="*/ 2147483647 w 1604"/>
            <a:gd name="T17" fmla="*/ 0 h 799"/>
            <a:gd name="T18" fmla="*/ 2147483647 w 1604"/>
            <a:gd name="T19" fmla="*/ 0 h 799"/>
            <a:gd name="T20" fmla="*/ 2147483647 w 1604"/>
            <a:gd name="T21" fmla="*/ 2147483647 h 799"/>
            <a:gd name="T22" fmla="*/ 2147483647 w 1604"/>
            <a:gd name="T23" fmla="*/ 2147483647 h 799"/>
            <a:gd name="T24" fmla="*/ 2147483647 w 1604"/>
            <a:gd name="T25" fmla="*/ 0 h 799"/>
            <a:gd name="T26" fmla="*/ 2147483647 w 1604"/>
            <a:gd name="T27" fmla="*/ 0 h 799"/>
            <a:gd name="T28" fmla="*/ 2147483647 w 1604"/>
            <a:gd name="T29" fmla="*/ 0 h 799"/>
            <a:gd name="T30" fmla="*/ 2147483647 w 1604"/>
            <a:gd name="T31" fmla="*/ 0 h 799"/>
            <a:gd name="T32" fmla="*/ 2147483647 w 1604"/>
            <a:gd name="T33" fmla="*/ 2147483647 h 799"/>
            <a:gd name="T34" fmla="*/ 2147483647 w 1604"/>
            <a:gd name="T35" fmla="*/ 2147483647 h 799"/>
            <a:gd name="T36" fmla="*/ 2147483647 w 1604"/>
            <a:gd name="T37" fmla="*/ 2147483647 h 799"/>
            <a:gd name="T38" fmla="*/ 0 w 1604"/>
            <a:gd name="T39" fmla="*/ 0 h 799"/>
            <a:gd name="T40" fmla="*/ 2147483647 w 1604"/>
            <a:gd name="T41" fmla="*/ 2147483647 h 799"/>
            <a:gd name="T42" fmla="*/ 2147483647 w 1604"/>
            <a:gd name="T43" fmla="*/ 2147483647 h 799"/>
            <a:gd name="T44" fmla="*/ 2147483647 w 1604"/>
            <a:gd name="T45" fmla="*/ 2147483647 h 799"/>
            <a:gd name="T46" fmla="*/ 2147483647 w 1604"/>
            <a:gd name="T47" fmla="*/ 2147483647 h 799"/>
            <a:gd name="T48" fmla="*/ 2147483647 w 1604"/>
            <a:gd name="T49" fmla="*/ 2147483647 h 799"/>
            <a:gd name="T50" fmla="*/ 2147483647 w 1604"/>
            <a:gd name="T51" fmla="*/ 2147483647 h 799"/>
            <a:gd name="T52" fmla="*/ 2147483647 w 1604"/>
            <a:gd name="T53" fmla="*/ 2147483647 h 799"/>
            <a:gd name="T54" fmla="*/ 2147483647 w 1604"/>
            <a:gd name="T55" fmla="*/ 2147483647 h 799"/>
            <a:gd name="T56" fmla="*/ 2147483647 w 1604"/>
            <a:gd name="T57" fmla="*/ 2147483647 h 799"/>
            <a:gd name="T58" fmla="*/ 2147483647 w 1604"/>
            <a:gd name="T59" fmla="*/ 2147483647 h 799"/>
            <a:gd name="T60" fmla="*/ 2147483647 w 1604"/>
            <a:gd name="T61" fmla="*/ 2147483647 h 799"/>
            <a:gd name="T62" fmla="*/ 2147483647 w 1604"/>
            <a:gd name="T63" fmla="*/ 2147483647 h 799"/>
            <a:gd name="T64" fmla="*/ 2147483647 w 1604"/>
            <a:gd name="T65" fmla="*/ 2147483647 h 799"/>
            <a:gd name="T66" fmla="*/ 2147483647 w 1604"/>
            <a:gd name="T67" fmla="*/ 2147483647 h 799"/>
            <a:gd name="T68" fmla="*/ 2147483647 w 1604"/>
            <a:gd name="T69" fmla="*/ 2147483647 h 799"/>
            <a:gd name="T70" fmla="*/ 2147483647 w 1604"/>
            <a:gd name="T71" fmla="*/ 2147483647 h 799"/>
            <a:gd name="T72" fmla="*/ 2147483647 w 1604"/>
            <a:gd name="T73" fmla="*/ 2147483647 h 799"/>
            <a:gd name="T74" fmla="*/ 2147483647 w 1604"/>
            <a:gd name="T75" fmla="*/ 2147483647 h 799"/>
            <a:gd name="T76" fmla="*/ 2147483647 w 1604"/>
            <a:gd name="T77" fmla="*/ 2147483647 h 799"/>
            <a:gd name="T78" fmla="*/ 2147483647 w 1604"/>
            <a:gd name="T79" fmla="*/ 2147483647 h 799"/>
            <a:gd name="T80" fmla="*/ 2147483647 w 1604"/>
            <a:gd name="T81" fmla="*/ 2147483647 h 799"/>
            <a:gd name="T82" fmla="*/ 2147483647 w 1604"/>
            <a:gd name="T83" fmla="*/ 2147483647 h 799"/>
            <a:gd name="T84" fmla="*/ 2147483647 w 1604"/>
            <a:gd name="T85" fmla="*/ 2147483647 h 799"/>
            <a:gd name="T86" fmla="*/ 2147483647 w 1604"/>
            <a:gd name="T87" fmla="*/ 2147483647 h 799"/>
            <a:gd name="T88" fmla="*/ 2147483647 w 1604"/>
            <a:gd name="T89" fmla="*/ 2147483647 h 799"/>
            <a:gd name="T90" fmla="*/ 2147483647 w 1604"/>
            <a:gd name="T91" fmla="*/ 2147483647 h 799"/>
            <a:gd name="T92" fmla="*/ 2147483647 w 1604"/>
            <a:gd name="T93" fmla="*/ 2147483647 h 799"/>
            <a:gd name="T94" fmla="*/ 2147483647 w 1604"/>
            <a:gd name="T95" fmla="*/ 2147483647 h 799"/>
            <a:gd name="T96" fmla="*/ 2147483647 w 1604"/>
            <a:gd name="T97" fmla="*/ 2147483647 h 799"/>
            <a:gd name="T98" fmla="*/ 2147483647 w 1604"/>
            <a:gd name="T99" fmla="*/ 2147483647 h 799"/>
            <a:gd name="T100" fmla="*/ 2147483647 w 1604"/>
            <a:gd name="T101" fmla="*/ 2147483647 h 799"/>
            <a:gd name="T102" fmla="*/ 2147483647 w 1604"/>
            <a:gd name="T103" fmla="*/ 2147483647 h 799"/>
            <a:gd name="T104" fmla="*/ 2147483647 w 1604"/>
            <a:gd name="T105" fmla="*/ 2147483647 h 799"/>
            <a:gd name="T106" fmla="*/ 2147483647 w 1604"/>
            <a:gd name="T107" fmla="*/ 2147483647 h 799"/>
            <a:gd name="T108" fmla="*/ 2147483647 w 1604"/>
            <a:gd name="T109" fmla="*/ 2147483647 h 799"/>
            <a:gd name="T110" fmla="*/ 2147483647 w 1604"/>
            <a:gd name="T111" fmla="*/ 2147483647 h 799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w 1604"/>
            <a:gd name="T169" fmla="*/ 0 h 799"/>
            <a:gd name="T170" fmla="*/ 1604 w 1604"/>
            <a:gd name="T171" fmla="*/ 799 h 799"/>
          </a:gdLst>
          <a:ahLst/>
          <a:cxnLst>
            <a:cxn ang="T112">
              <a:pos x="T0" y="T1"/>
            </a:cxn>
            <a:cxn ang="T113">
              <a:pos x="T2" y="T3"/>
            </a:cxn>
            <a:cxn ang="T114">
              <a:pos x="T4" y="T5"/>
            </a:cxn>
            <a:cxn ang="T115">
              <a:pos x="T6" y="T7"/>
            </a:cxn>
            <a:cxn ang="T116">
              <a:pos x="T8" y="T9"/>
            </a:cxn>
            <a:cxn ang="T117">
              <a:pos x="T10" y="T11"/>
            </a:cxn>
            <a:cxn ang="T118">
              <a:pos x="T12" y="T13"/>
            </a:cxn>
            <a:cxn ang="T119">
              <a:pos x="T14" y="T15"/>
            </a:cxn>
            <a:cxn ang="T120">
              <a:pos x="T16" y="T17"/>
            </a:cxn>
            <a:cxn ang="T121">
              <a:pos x="T18" y="T19"/>
            </a:cxn>
            <a:cxn ang="T122">
              <a:pos x="T20" y="T21"/>
            </a:cxn>
            <a:cxn ang="T123">
              <a:pos x="T22" y="T23"/>
            </a:cxn>
            <a:cxn ang="T124">
              <a:pos x="T24" y="T25"/>
            </a:cxn>
            <a:cxn ang="T125">
              <a:pos x="T26" y="T27"/>
            </a:cxn>
            <a:cxn ang="T126">
              <a:pos x="T28" y="T29"/>
            </a:cxn>
            <a:cxn ang="T127">
              <a:pos x="T30" y="T31"/>
            </a:cxn>
            <a:cxn ang="T128">
              <a:pos x="T32" y="T33"/>
            </a:cxn>
            <a:cxn ang="T129">
              <a:pos x="T34" y="T35"/>
            </a:cxn>
            <a:cxn ang="T130">
              <a:pos x="T36" y="T37"/>
            </a:cxn>
            <a:cxn ang="T131">
              <a:pos x="T38" y="T39"/>
            </a:cxn>
            <a:cxn ang="T132">
              <a:pos x="T40" y="T41"/>
            </a:cxn>
            <a:cxn ang="T133">
              <a:pos x="T42" y="T43"/>
            </a:cxn>
            <a:cxn ang="T134">
              <a:pos x="T44" y="T45"/>
            </a:cxn>
            <a:cxn ang="T135">
              <a:pos x="T46" y="T47"/>
            </a:cxn>
            <a:cxn ang="T136">
              <a:pos x="T48" y="T49"/>
            </a:cxn>
            <a:cxn ang="T137">
              <a:pos x="T50" y="T51"/>
            </a:cxn>
            <a:cxn ang="T138">
              <a:pos x="T52" y="T53"/>
            </a:cxn>
            <a:cxn ang="T139">
              <a:pos x="T54" y="T55"/>
            </a:cxn>
            <a:cxn ang="T140">
              <a:pos x="T56" y="T57"/>
            </a:cxn>
            <a:cxn ang="T141">
              <a:pos x="T58" y="T59"/>
            </a:cxn>
            <a:cxn ang="T142">
              <a:pos x="T60" y="T61"/>
            </a:cxn>
            <a:cxn ang="T143">
              <a:pos x="T62" y="T63"/>
            </a:cxn>
            <a:cxn ang="T144">
              <a:pos x="T64" y="T65"/>
            </a:cxn>
            <a:cxn ang="T145">
              <a:pos x="T66" y="T67"/>
            </a:cxn>
            <a:cxn ang="T146">
              <a:pos x="T68" y="T69"/>
            </a:cxn>
            <a:cxn ang="T147">
              <a:pos x="T70" y="T71"/>
            </a:cxn>
            <a:cxn ang="T148">
              <a:pos x="T72" y="T73"/>
            </a:cxn>
            <a:cxn ang="T149">
              <a:pos x="T74" y="T75"/>
            </a:cxn>
            <a:cxn ang="T150">
              <a:pos x="T76" y="T77"/>
            </a:cxn>
            <a:cxn ang="T151">
              <a:pos x="T78" y="T79"/>
            </a:cxn>
            <a:cxn ang="T152">
              <a:pos x="T80" y="T81"/>
            </a:cxn>
            <a:cxn ang="T153">
              <a:pos x="T82" y="T83"/>
            </a:cxn>
            <a:cxn ang="T154">
              <a:pos x="T84" y="T85"/>
            </a:cxn>
            <a:cxn ang="T155">
              <a:pos x="T86" y="T87"/>
            </a:cxn>
            <a:cxn ang="T156">
              <a:pos x="T88" y="T89"/>
            </a:cxn>
            <a:cxn ang="T157">
              <a:pos x="T90" y="T91"/>
            </a:cxn>
            <a:cxn ang="T158">
              <a:pos x="T92" y="T93"/>
            </a:cxn>
            <a:cxn ang="T159">
              <a:pos x="T94" y="T95"/>
            </a:cxn>
            <a:cxn ang="T160">
              <a:pos x="T96" y="T97"/>
            </a:cxn>
            <a:cxn ang="T161">
              <a:pos x="T98" y="T99"/>
            </a:cxn>
            <a:cxn ang="T162">
              <a:pos x="T100" y="T101"/>
            </a:cxn>
            <a:cxn ang="T163">
              <a:pos x="T102" y="T103"/>
            </a:cxn>
            <a:cxn ang="T164">
              <a:pos x="T104" y="T105"/>
            </a:cxn>
            <a:cxn ang="T165">
              <a:pos x="T106" y="T107"/>
            </a:cxn>
            <a:cxn ang="T166">
              <a:pos x="T108" y="T109"/>
            </a:cxn>
            <a:cxn ang="T167">
              <a:pos x="T110" y="T111"/>
            </a:cxn>
          </a:cxnLst>
          <a:rect l="T168" t="T169" r="T170" b="T171"/>
          <a:pathLst>
            <a:path w="1604" h="799">
              <a:moveTo>
                <a:pt x="1579" y="198"/>
              </a:moveTo>
              <a:lnTo>
                <a:pt x="1575" y="164"/>
              </a:lnTo>
              <a:lnTo>
                <a:pt x="1573" y="148"/>
              </a:lnTo>
              <a:lnTo>
                <a:pt x="1568" y="119"/>
              </a:lnTo>
              <a:lnTo>
                <a:pt x="1568" y="95"/>
              </a:lnTo>
              <a:lnTo>
                <a:pt x="1568" y="84"/>
              </a:lnTo>
              <a:lnTo>
                <a:pt x="1568" y="79"/>
              </a:lnTo>
              <a:lnTo>
                <a:pt x="1568" y="77"/>
              </a:lnTo>
              <a:lnTo>
                <a:pt x="1568" y="62"/>
              </a:lnTo>
              <a:lnTo>
                <a:pt x="1568" y="56"/>
              </a:lnTo>
              <a:lnTo>
                <a:pt x="1568" y="33"/>
              </a:lnTo>
              <a:lnTo>
                <a:pt x="1568" y="10"/>
              </a:lnTo>
              <a:lnTo>
                <a:pt x="1568" y="1"/>
              </a:lnTo>
              <a:lnTo>
                <a:pt x="1567" y="1"/>
              </a:lnTo>
              <a:lnTo>
                <a:pt x="1544" y="1"/>
              </a:lnTo>
              <a:lnTo>
                <a:pt x="1495" y="0"/>
              </a:lnTo>
              <a:lnTo>
                <a:pt x="1484" y="0"/>
              </a:lnTo>
              <a:lnTo>
                <a:pt x="1451" y="0"/>
              </a:lnTo>
              <a:lnTo>
                <a:pt x="1438" y="0"/>
              </a:lnTo>
              <a:lnTo>
                <a:pt x="1421" y="0"/>
              </a:lnTo>
              <a:lnTo>
                <a:pt x="1403" y="0"/>
              </a:lnTo>
              <a:lnTo>
                <a:pt x="1399" y="0"/>
              </a:lnTo>
              <a:lnTo>
                <a:pt x="1380" y="0"/>
              </a:lnTo>
              <a:lnTo>
                <a:pt x="1371" y="0"/>
              </a:lnTo>
              <a:lnTo>
                <a:pt x="1350" y="0"/>
              </a:lnTo>
              <a:lnTo>
                <a:pt x="1334" y="0"/>
              </a:lnTo>
              <a:lnTo>
                <a:pt x="1317" y="0"/>
              </a:lnTo>
              <a:lnTo>
                <a:pt x="1310" y="0"/>
              </a:lnTo>
              <a:lnTo>
                <a:pt x="1287" y="0"/>
              </a:lnTo>
              <a:lnTo>
                <a:pt x="1228" y="0"/>
              </a:lnTo>
              <a:lnTo>
                <a:pt x="1212" y="0"/>
              </a:lnTo>
              <a:lnTo>
                <a:pt x="1194" y="0"/>
              </a:lnTo>
              <a:lnTo>
                <a:pt x="1170" y="0"/>
              </a:lnTo>
              <a:lnTo>
                <a:pt x="1147" y="0"/>
              </a:lnTo>
              <a:lnTo>
                <a:pt x="1123" y="0"/>
              </a:lnTo>
              <a:lnTo>
                <a:pt x="1095" y="0"/>
              </a:lnTo>
              <a:lnTo>
                <a:pt x="1064" y="1"/>
              </a:lnTo>
              <a:lnTo>
                <a:pt x="1052" y="0"/>
              </a:lnTo>
              <a:lnTo>
                <a:pt x="1036" y="1"/>
              </a:lnTo>
              <a:lnTo>
                <a:pt x="1030" y="0"/>
              </a:lnTo>
              <a:lnTo>
                <a:pt x="995" y="0"/>
              </a:lnTo>
              <a:lnTo>
                <a:pt x="973" y="1"/>
              </a:lnTo>
              <a:lnTo>
                <a:pt x="936" y="1"/>
              </a:lnTo>
              <a:lnTo>
                <a:pt x="927" y="1"/>
              </a:lnTo>
              <a:lnTo>
                <a:pt x="915" y="1"/>
              </a:lnTo>
              <a:lnTo>
                <a:pt x="912" y="1"/>
              </a:lnTo>
              <a:lnTo>
                <a:pt x="881" y="1"/>
              </a:lnTo>
              <a:lnTo>
                <a:pt x="872" y="1"/>
              </a:lnTo>
              <a:lnTo>
                <a:pt x="866" y="1"/>
              </a:lnTo>
              <a:lnTo>
                <a:pt x="843" y="1"/>
              </a:lnTo>
              <a:lnTo>
                <a:pt x="834" y="0"/>
              </a:lnTo>
              <a:lnTo>
                <a:pt x="796" y="0"/>
              </a:lnTo>
              <a:lnTo>
                <a:pt x="784" y="0"/>
              </a:lnTo>
              <a:lnTo>
                <a:pt x="750" y="0"/>
              </a:lnTo>
              <a:lnTo>
                <a:pt x="685" y="0"/>
              </a:lnTo>
              <a:lnTo>
                <a:pt x="679" y="0"/>
              </a:lnTo>
              <a:lnTo>
                <a:pt x="664" y="0"/>
              </a:lnTo>
              <a:lnTo>
                <a:pt x="655" y="0"/>
              </a:lnTo>
              <a:lnTo>
                <a:pt x="648" y="0"/>
              </a:lnTo>
              <a:lnTo>
                <a:pt x="575" y="0"/>
              </a:lnTo>
              <a:lnTo>
                <a:pt x="562" y="0"/>
              </a:lnTo>
              <a:lnTo>
                <a:pt x="561" y="0"/>
              </a:lnTo>
              <a:lnTo>
                <a:pt x="554" y="0"/>
              </a:lnTo>
              <a:lnTo>
                <a:pt x="545" y="0"/>
              </a:lnTo>
              <a:lnTo>
                <a:pt x="539" y="0"/>
              </a:lnTo>
              <a:lnTo>
                <a:pt x="456" y="0"/>
              </a:lnTo>
              <a:lnTo>
                <a:pt x="443" y="0"/>
              </a:lnTo>
              <a:lnTo>
                <a:pt x="385" y="1"/>
              </a:lnTo>
              <a:lnTo>
                <a:pt x="375" y="1"/>
              </a:lnTo>
              <a:lnTo>
                <a:pt x="362" y="1"/>
              </a:lnTo>
              <a:lnTo>
                <a:pt x="351" y="1"/>
              </a:lnTo>
              <a:lnTo>
                <a:pt x="304" y="1"/>
              </a:lnTo>
              <a:lnTo>
                <a:pt x="271" y="1"/>
              </a:lnTo>
              <a:lnTo>
                <a:pt x="235" y="2"/>
              </a:lnTo>
              <a:lnTo>
                <a:pt x="224" y="2"/>
              </a:lnTo>
              <a:lnTo>
                <a:pt x="182" y="2"/>
              </a:lnTo>
              <a:lnTo>
                <a:pt x="180" y="2"/>
              </a:lnTo>
              <a:lnTo>
                <a:pt x="71" y="1"/>
              </a:lnTo>
              <a:lnTo>
                <a:pt x="45" y="0"/>
              </a:lnTo>
              <a:lnTo>
                <a:pt x="0" y="0"/>
              </a:lnTo>
              <a:lnTo>
                <a:pt x="0" y="30"/>
              </a:lnTo>
              <a:lnTo>
                <a:pt x="0" y="66"/>
              </a:lnTo>
              <a:lnTo>
                <a:pt x="0" y="119"/>
              </a:lnTo>
              <a:lnTo>
                <a:pt x="72" y="118"/>
              </a:lnTo>
              <a:lnTo>
                <a:pt x="118" y="119"/>
              </a:lnTo>
              <a:lnTo>
                <a:pt x="158" y="119"/>
              </a:lnTo>
              <a:lnTo>
                <a:pt x="164" y="119"/>
              </a:lnTo>
              <a:lnTo>
                <a:pt x="167" y="119"/>
              </a:lnTo>
              <a:lnTo>
                <a:pt x="182" y="119"/>
              </a:lnTo>
              <a:lnTo>
                <a:pt x="207" y="119"/>
              </a:lnTo>
              <a:lnTo>
                <a:pt x="214" y="119"/>
              </a:lnTo>
              <a:lnTo>
                <a:pt x="258" y="119"/>
              </a:lnTo>
              <a:lnTo>
                <a:pt x="304" y="119"/>
              </a:lnTo>
              <a:lnTo>
                <a:pt x="328" y="119"/>
              </a:lnTo>
              <a:lnTo>
                <a:pt x="359" y="119"/>
              </a:lnTo>
              <a:lnTo>
                <a:pt x="375" y="119"/>
              </a:lnTo>
              <a:lnTo>
                <a:pt x="384" y="119"/>
              </a:lnTo>
              <a:lnTo>
                <a:pt x="398" y="119"/>
              </a:lnTo>
              <a:lnTo>
                <a:pt x="445" y="119"/>
              </a:lnTo>
              <a:lnTo>
                <a:pt x="459" y="119"/>
              </a:lnTo>
              <a:lnTo>
                <a:pt x="492" y="119"/>
              </a:lnTo>
              <a:lnTo>
                <a:pt x="494" y="119"/>
              </a:lnTo>
              <a:lnTo>
                <a:pt x="561" y="119"/>
              </a:lnTo>
              <a:lnTo>
                <a:pt x="562" y="119"/>
              </a:lnTo>
              <a:lnTo>
                <a:pt x="562" y="148"/>
              </a:lnTo>
              <a:lnTo>
                <a:pt x="562" y="224"/>
              </a:lnTo>
              <a:lnTo>
                <a:pt x="562" y="236"/>
              </a:lnTo>
              <a:lnTo>
                <a:pt x="562" y="256"/>
              </a:lnTo>
              <a:lnTo>
                <a:pt x="562" y="265"/>
              </a:lnTo>
              <a:lnTo>
                <a:pt x="562" y="277"/>
              </a:lnTo>
              <a:lnTo>
                <a:pt x="562" y="295"/>
              </a:lnTo>
              <a:lnTo>
                <a:pt x="562" y="326"/>
              </a:lnTo>
              <a:lnTo>
                <a:pt x="562" y="354"/>
              </a:lnTo>
              <a:lnTo>
                <a:pt x="562" y="362"/>
              </a:lnTo>
              <a:lnTo>
                <a:pt x="562" y="372"/>
              </a:lnTo>
              <a:lnTo>
                <a:pt x="562" y="404"/>
              </a:lnTo>
              <a:lnTo>
                <a:pt x="562" y="414"/>
              </a:lnTo>
              <a:lnTo>
                <a:pt x="562" y="429"/>
              </a:lnTo>
              <a:lnTo>
                <a:pt x="562" y="443"/>
              </a:lnTo>
              <a:lnTo>
                <a:pt x="562" y="465"/>
              </a:lnTo>
              <a:lnTo>
                <a:pt x="562" y="502"/>
              </a:lnTo>
              <a:lnTo>
                <a:pt x="562" y="518"/>
              </a:lnTo>
              <a:lnTo>
                <a:pt x="562" y="532"/>
              </a:lnTo>
              <a:lnTo>
                <a:pt x="562" y="577"/>
              </a:lnTo>
              <a:lnTo>
                <a:pt x="569" y="575"/>
              </a:lnTo>
              <a:lnTo>
                <a:pt x="570" y="575"/>
              </a:lnTo>
              <a:lnTo>
                <a:pt x="591" y="589"/>
              </a:lnTo>
              <a:lnTo>
                <a:pt x="609" y="610"/>
              </a:lnTo>
              <a:lnTo>
                <a:pt x="655" y="613"/>
              </a:lnTo>
              <a:lnTo>
                <a:pt x="660" y="616"/>
              </a:lnTo>
              <a:lnTo>
                <a:pt x="702" y="624"/>
              </a:lnTo>
              <a:lnTo>
                <a:pt x="710" y="630"/>
              </a:lnTo>
              <a:lnTo>
                <a:pt x="712" y="657"/>
              </a:lnTo>
              <a:lnTo>
                <a:pt x="726" y="663"/>
              </a:lnTo>
              <a:lnTo>
                <a:pt x="738" y="661"/>
              </a:lnTo>
              <a:lnTo>
                <a:pt x="758" y="663"/>
              </a:lnTo>
              <a:lnTo>
                <a:pt x="796" y="681"/>
              </a:lnTo>
              <a:lnTo>
                <a:pt x="819" y="672"/>
              </a:lnTo>
              <a:lnTo>
                <a:pt x="822" y="673"/>
              </a:lnTo>
              <a:lnTo>
                <a:pt x="832" y="679"/>
              </a:lnTo>
              <a:lnTo>
                <a:pt x="843" y="691"/>
              </a:lnTo>
              <a:lnTo>
                <a:pt x="857" y="692"/>
              </a:lnTo>
              <a:lnTo>
                <a:pt x="891" y="679"/>
              </a:lnTo>
              <a:lnTo>
                <a:pt x="904" y="682"/>
              </a:lnTo>
              <a:lnTo>
                <a:pt x="910" y="677"/>
              </a:lnTo>
              <a:lnTo>
                <a:pt x="919" y="676"/>
              </a:lnTo>
              <a:lnTo>
                <a:pt x="923" y="708"/>
              </a:lnTo>
              <a:lnTo>
                <a:pt x="940" y="708"/>
              </a:lnTo>
              <a:lnTo>
                <a:pt x="940" y="735"/>
              </a:lnTo>
              <a:lnTo>
                <a:pt x="959" y="745"/>
              </a:lnTo>
              <a:lnTo>
                <a:pt x="1006" y="716"/>
              </a:lnTo>
              <a:lnTo>
                <a:pt x="1018" y="733"/>
              </a:lnTo>
              <a:lnTo>
                <a:pt x="1025" y="731"/>
              </a:lnTo>
              <a:lnTo>
                <a:pt x="1030" y="729"/>
              </a:lnTo>
              <a:lnTo>
                <a:pt x="1033" y="729"/>
              </a:lnTo>
              <a:lnTo>
                <a:pt x="1052" y="752"/>
              </a:lnTo>
              <a:lnTo>
                <a:pt x="1090" y="738"/>
              </a:lnTo>
              <a:lnTo>
                <a:pt x="1088" y="766"/>
              </a:lnTo>
              <a:lnTo>
                <a:pt x="1099" y="776"/>
              </a:lnTo>
              <a:lnTo>
                <a:pt x="1134" y="721"/>
              </a:lnTo>
              <a:lnTo>
                <a:pt x="1136" y="719"/>
              </a:lnTo>
              <a:lnTo>
                <a:pt x="1170" y="750"/>
              </a:lnTo>
              <a:lnTo>
                <a:pt x="1199" y="734"/>
              </a:lnTo>
              <a:lnTo>
                <a:pt x="1200" y="734"/>
              </a:lnTo>
              <a:lnTo>
                <a:pt x="1196" y="739"/>
              </a:lnTo>
              <a:lnTo>
                <a:pt x="1216" y="763"/>
              </a:lnTo>
              <a:lnTo>
                <a:pt x="1231" y="762"/>
              </a:lnTo>
              <a:lnTo>
                <a:pt x="1240" y="774"/>
              </a:lnTo>
              <a:lnTo>
                <a:pt x="1263" y="765"/>
              </a:lnTo>
              <a:lnTo>
                <a:pt x="1310" y="739"/>
              </a:lnTo>
              <a:lnTo>
                <a:pt x="1339" y="747"/>
              </a:lnTo>
              <a:lnTo>
                <a:pt x="1355" y="738"/>
              </a:lnTo>
              <a:lnTo>
                <a:pt x="1357" y="734"/>
              </a:lnTo>
              <a:lnTo>
                <a:pt x="1384" y="729"/>
              </a:lnTo>
              <a:lnTo>
                <a:pt x="1384" y="723"/>
              </a:lnTo>
              <a:lnTo>
                <a:pt x="1392" y="724"/>
              </a:lnTo>
              <a:lnTo>
                <a:pt x="1397" y="734"/>
              </a:lnTo>
              <a:lnTo>
                <a:pt x="1395" y="736"/>
              </a:lnTo>
              <a:lnTo>
                <a:pt x="1439" y="737"/>
              </a:lnTo>
              <a:lnTo>
                <a:pt x="1445" y="738"/>
              </a:lnTo>
              <a:lnTo>
                <a:pt x="1451" y="724"/>
              </a:lnTo>
              <a:lnTo>
                <a:pt x="1468" y="723"/>
              </a:lnTo>
              <a:lnTo>
                <a:pt x="1474" y="724"/>
              </a:lnTo>
              <a:lnTo>
                <a:pt x="1474" y="731"/>
              </a:lnTo>
              <a:lnTo>
                <a:pt x="1498" y="742"/>
              </a:lnTo>
              <a:lnTo>
                <a:pt x="1520" y="768"/>
              </a:lnTo>
              <a:lnTo>
                <a:pt x="1531" y="772"/>
              </a:lnTo>
              <a:lnTo>
                <a:pt x="1530" y="764"/>
              </a:lnTo>
              <a:lnTo>
                <a:pt x="1543" y="768"/>
              </a:lnTo>
              <a:lnTo>
                <a:pt x="1543" y="777"/>
              </a:lnTo>
              <a:lnTo>
                <a:pt x="1547" y="776"/>
              </a:lnTo>
              <a:lnTo>
                <a:pt x="1545" y="779"/>
              </a:lnTo>
              <a:lnTo>
                <a:pt x="1567" y="784"/>
              </a:lnTo>
              <a:lnTo>
                <a:pt x="1586" y="799"/>
              </a:lnTo>
              <a:lnTo>
                <a:pt x="1594" y="794"/>
              </a:lnTo>
              <a:lnTo>
                <a:pt x="1595" y="734"/>
              </a:lnTo>
              <a:lnTo>
                <a:pt x="1595" y="729"/>
              </a:lnTo>
              <a:lnTo>
                <a:pt x="1595" y="723"/>
              </a:lnTo>
              <a:lnTo>
                <a:pt x="1595" y="719"/>
              </a:lnTo>
              <a:lnTo>
                <a:pt x="1596" y="679"/>
              </a:lnTo>
              <a:lnTo>
                <a:pt x="1596" y="665"/>
              </a:lnTo>
              <a:lnTo>
                <a:pt x="1597" y="650"/>
              </a:lnTo>
              <a:lnTo>
                <a:pt x="1598" y="600"/>
              </a:lnTo>
              <a:lnTo>
                <a:pt x="1598" y="590"/>
              </a:lnTo>
              <a:lnTo>
                <a:pt x="1598" y="556"/>
              </a:lnTo>
              <a:lnTo>
                <a:pt x="1599" y="547"/>
              </a:lnTo>
              <a:lnTo>
                <a:pt x="1599" y="537"/>
              </a:lnTo>
              <a:lnTo>
                <a:pt x="1600" y="502"/>
              </a:lnTo>
              <a:lnTo>
                <a:pt x="1600" y="500"/>
              </a:lnTo>
              <a:lnTo>
                <a:pt x="1600" y="488"/>
              </a:lnTo>
              <a:lnTo>
                <a:pt x="1602" y="414"/>
              </a:lnTo>
              <a:lnTo>
                <a:pt x="1604" y="384"/>
              </a:lnTo>
              <a:lnTo>
                <a:pt x="1604" y="381"/>
              </a:lnTo>
              <a:lnTo>
                <a:pt x="1604" y="380"/>
              </a:lnTo>
              <a:lnTo>
                <a:pt x="1604" y="379"/>
              </a:lnTo>
              <a:lnTo>
                <a:pt x="1600" y="354"/>
              </a:lnTo>
              <a:lnTo>
                <a:pt x="1600" y="352"/>
              </a:lnTo>
              <a:lnTo>
                <a:pt x="1596" y="322"/>
              </a:lnTo>
              <a:lnTo>
                <a:pt x="1595" y="313"/>
              </a:lnTo>
              <a:lnTo>
                <a:pt x="1594" y="306"/>
              </a:lnTo>
              <a:lnTo>
                <a:pt x="1592" y="293"/>
              </a:lnTo>
              <a:lnTo>
                <a:pt x="1591" y="284"/>
              </a:lnTo>
              <a:lnTo>
                <a:pt x="1589" y="266"/>
              </a:lnTo>
              <a:lnTo>
                <a:pt x="1581" y="213"/>
              </a:lnTo>
              <a:lnTo>
                <a:pt x="1580" y="206"/>
              </a:lnTo>
              <a:lnTo>
                <a:pt x="1579" y="198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pPr algn="ctr"/>
          <a:endParaRPr lang="en-US" sz="800" b="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23</xdr:col>
      <xdr:colOff>30724</xdr:colOff>
      <xdr:row>12</xdr:row>
      <xdr:rowOff>83399</xdr:rowOff>
    </xdr:from>
    <xdr:to>
      <xdr:col>23</xdr:col>
      <xdr:colOff>415920</xdr:colOff>
      <xdr:row>14</xdr:row>
      <xdr:rowOff>175876</xdr:rowOff>
    </xdr:to>
    <xdr:sp macro="" textlink="">
      <xdr:nvSpPr>
        <xdr:cNvPr id="64" name="S_OH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>
          <a:spLocks/>
        </xdr:cNvSpPr>
      </xdr:nvSpPr>
      <xdr:spPr bwMode="auto">
        <a:xfrm>
          <a:off x="4059799" y="2521799"/>
          <a:ext cx="385196" cy="511577"/>
        </a:xfrm>
        <a:custGeom>
          <a:avLst/>
          <a:gdLst>
            <a:gd name="T0" fmla="*/ 2147483647 w 804"/>
            <a:gd name="T1" fmla="*/ 2147483647 h 841"/>
            <a:gd name="T2" fmla="*/ 2147483647 w 804"/>
            <a:gd name="T3" fmla="*/ 2147483647 h 841"/>
            <a:gd name="T4" fmla="*/ 2147483647 w 804"/>
            <a:gd name="T5" fmla="*/ 2147483647 h 841"/>
            <a:gd name="T6" fmla="*/ 2147483647 w 804"/>
            <a:gd name="T7" fmla="*/ 2147483647 h 841"/>
            <a:gd name="T8" fmla="*/ 2147483647 w 804"/>
            <a:gd name="T9" fmla="*/ 2147483647 h 841"/>
            <a:gd name="T10" fmla="*/ 2147483647 w 804"/>
            <a:gd name="T11" fmla="*/ 2147483647 h 841"/>
            <a:gd name="T12" fmla="*/ 0 w 804"/>
            <a:gd name="T13" fmla="*/ 2147483647 h 841"/>
            <a:gd name="T14" fmla="*/ 0 w 804"/>
            <a:gd name="T15" fmla="*/ 2147483647 h 841"/>
            <a:gd name="T16" fmla="*/ 2147483647 w 804"/>
            <a:gd name="T17" fmla="*/ 2147483647 h 841"/>
            <a:gd name="T18" fmla="*/ 2147483647 w 804"/>
            <a:gd name="T19" fmla="*/ 2147483647 h 841"/>
            <a:gd name="T20" fmla="*/ 2147483647 w 804"/>
            <a:gd name="T21" fmla="*/ 2147483647 h 841"/>
            <a:gd name="T22" fmla="*/ 2147483647 w 804"/>
            <a:gd name="T23" fmla="*/ 2147483647 h 841"/>
            <a:gd name="T24" fmla="*/ 2147483647 w 804"/>
            <a:gd name="T25" fmla="*/ 2147483647 h 841"/>
            <a:gd name="T26" fmla="*/ 2147483647 w 804"/>
            <a:gd name="T27" fmla="*/ 2147483647 h 841"/>
            <a:gd name="T28" fmla="*/ 2147483647 w 804"/>
            <a:gd name="T29" fmla="*/ 2147483647 h 841"/>
            <a:gd name="T30" fmla="*/ 2147483647 w 804"/>
            <a:gd name="T31" fmla="*/ 2147483647 h 841"/>
            <a:gd name="T32" fmla="*/ 2147483647 w 804"/>
            <a:gd name="T33" fmla="*/ 2147483647 h 841"/>
            <a:gd name="T34" fmla="*/ 2147483647 w 804"/>
            <a:gd name="T35" fmla="*/ 2147483647 h 841"/>
            <a:gd name="T36" fmla="*/ 2147483647 w 804"/>
            <a:gd name="T37" fmla="*/ 2147483647 h 841"/>
            <a:gd name="T38" fmla="*/ 2147483647 w 804"/>
            <a:gd name="T39" fmla="*/ 2147483647 h 841"/>
            <a:gd name="T40" fmla="*/ 2147483647 w 804"/>
            <a:gd name="T41" fmla="*/ 2147483647 h 841"/>
            <a:gd name="T42" fmla="*/ 2147483647 w 804"/>
            <a:gd name="T43" fmla="*/ 2147483647 h 841"/>
            <a:gd name="T44" fmla="*/ 2147483647 w 804"/>
            <a:gd name="T45" fmla="*/ 2147483647 h 841"/>
            <a:gd name="T46" fmla="*/ 2147483647 w 804"/>
            <a:gd name="T47" fmla="*/ 2147483647 h 841"/>
            <a:gd name="T48" fmla="*/ 2147483647 w 804"/>
            <a:gd name="T49" fmla="*/ 2147483647 h 841"/>
            <a:gd name="T50" fmla="*/ 2147483647 w 804"/>
            <a:gd name="T51" fmla="*/ 2147483647 h 841"/>
            <a:gd name="T52" fmla="*/ 2147483647 w 804"/>
            <a:gd name="T53" fmla="*/ 2147483647 h 841"/>
            <a:gd name="T54" fmla="*/ 2147483647 w 804"/>
            <a:gd name="T55" fmla="*/ 2147483647 h 841"/>
            <a:gd name="T56" fmla="*/ 2147483647 w 804"/>
            <a:gd name="T57" fmla="*/ 2147483647 h 841"/>
            <a:gd name="T58" fmla="*/ 2147483647 w 804"/>
            <a:gd name="T59" fmla="*/ 2147483647 h 841"/>
            <a:gd name="T60" fmla="*/ 2147483647 w 804"/>
            <a:gd name="T61" fmla="*/ 2147483647 h 841"/>
            <a:gd name="T62" fmla="*/ 2147483647 w 804"/>
            <a:gd name="T63" fmla="*/ 2147483647 h 841"/>
            <a:gd name="T64" fmla="*/ 2147483647 w 804"/>
            <a:gd name="T65" fmla="*/ 2147483647 h 841"/>
            <a:gd name="T66" fmla="*/ 2147483647 w 804"/>
            <a:gd name="T67" fmla="*/ 2147483647 h 841"/>
            <a:gd name="T68" fmla="*/ 2147483647 w 804"/>
            <a:gd name="T69" fmla="*/ 2147483647 h 841"/>
            <a:gd name="T70" fmla="*/ 2147483647 w 804"/>
            <a:gd name="T71" fmla="*/ 2147483647 h 841"/>
            <a:gd name="T72" fmla="*/ 2147483647 w 804"/>
            <a:gd name="T73" fmla="*/ 2147483647 h 841"/>
            <a:gd name="T74" fmla="*/ 2147483647 w 804"/>
            <a:gd name="T75" fmla="*/ 2147483647 h 841"/>
            <a:gd name="T76" fmla="*/ 2147483647 w 804"/>
            <a:gd name="T77" fmla="*/ 2147483647 h 841"/>
            <a:gd name="T78" fmla="*/ 2147483647 w 804"/>
            <a:gd name="T79" fmla="*/ 2147483647 h 841"/>
            <a:gd name="T80" fmla="*/ 2147483647 w 804"/>
            <a:gd name="T81" fmla="*/ 2147483647 h 841"/>
            <a:gd name="T82" fmla="*/ 2147483647 w 804"/>
            <a:gd name="T83" fmla="*/ 2147483647 h 841"/>
            <a:gd name="T84" fmla="*/ 2147483647 w 804"/>
            <a:gd name="T85" fmla="*/ 2147483647 h 841"/>
            <a:gd name="T86" fmla="*/ 2147483647 w 804"/>
            <a:gd name="T87" fmla="*/ 2147483647 h 841"/>
            <a:gd name="T88" fmla="*/ 2147483647 w 804"/>
            <a:gd name="T89" fmla="*/ 2147483647 h 841"/>
            <a:gd name="T90" fmla="*/ 2147483647 w 804"/>
            <a:gd name="T91" fmla="*/ 2147483647 h 841"/>
            <a:gd name="T92" fmla="*/ 2147483647 w 804"/>
            <a:gd name="T93" fmla="*/ 2147483647 h 841"/>
            <a:gd name="T94" fmla="*/ 2147483647 w 804"/>
            <a:gd name="T95" fmla="*/ 2147483647 h 841"/>
            <a:gd name="T96" fmla="*/ 2147483647 w 804"/>
            <a:gd name="T97" fmla="*/ 2147483647 h 841"/>
            <a:gd name="T98" fmla="*/ 2147483647 w 804"/>
            <a:gd name="T99" fmla="*/ 2147483647 h 841"/>
            <a:gd name="T100" fmla="*/ 2147483647 w 804"/>
            <a:gd name="T101" fmla="*/ 2147483647 h 841"/>
            <a:gd name="T102" fmla="*/ 2147483647 w 804"/>
            <a:gd name="T103" fmla="*/ 2147483647 h 841"/>
            <a:gd name="T104" fmla="*/ 2147483647 w 804"/>
            <a:gd name="T105" fmla="*/ 2147483647 h 841"/>
            <a:gd name="T106" fmla="*/ 2147483647 w 804"/>
            <a:gd name="T107" fmla="*/ 2147483647 h 841"/>
            <a:gd name="T108" fmla="*/ 2147483647 w 804"/>
            <a:gd name="T109" fmla="*/ 2147483647 h 841"/>
            <a:gd name="T110" fmla="*/ 2147483647 w 804"/>
            <a:gd name="T111" fmla="*/ 2147483647 h 841"/>
            <a:gd name="T112" fmla="*/ 2147483647 w 804"/>
            <a:gd name="T113" fmla="*/ 2147483647 h 841"/>
            <a:gd name="T114" fmla="*/ 2147483647 w 804"/>
            <a:gd name="T115" fmla="*/ 2147483647 h 841"/>
            <a:gd name="T116" fmla="*/ 2147483647 w 804"/>
            <a:gd name="T117" fmla="*/ 2147483647 h 841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w 804"/>
            <a:gd name="T178" fmla="*/ 0 h 841"/>
            <a:gd name="T179" fmla="*/ 804 w 804"/>
            <a:gd name="T180" fmla="*/ 841 h 841"/>
          </a:gdLst>
          <a:ahLst/>
          <a:cxnLst>
            <a:cxn ang="T118">
              <a:pos x="T0" y="T1"/>
            </a:cxn>
            <a:cxn ang="T119">
              <a:pos x="T2" y="T3"/>
            </a:cxn>
            <a:cxn ang="T120">
              <a:pos x="T4" y="T5"/>
            </a:cxn>
            <a:cxn ang="T121">
              <a:pos x="T6" y="T7"/>
            </a:cxn>
            <a:cxn ang="T122">
              <a:pos x="T8" y="T9"/>
            </a:cxn>
            <a:cxn ang="T123">
              <a:pos x="T10" y="T11"/>
            </a:cxn>
            <a:cxn ang="T124">
              <a:pos x="T12" y="T13"/>
            </a:cxn>
            <a:cxn ang="T125">
              <a:pos x="T14" y="T15"/>
            </a:cxn>
            <a:cxn ang="T126">
              <a:pos x="T16" y="T17"/>
            </a:cxn>
            <a:cxn ang="T127">
              <a:pos x="T18" y="T19"/>
            </a:cxn>
            <a:cxn ang="T128">
              <a:pos x="T20" y="T21"/>
            </a:cxn>
            <a:cxn ang="T129">
              <a:pos x="T22" y="T23"/>
            </a:cxn>
            <a:cxn ang="T130">
              <a:pos x="T24" y="T25"/>
            </a:cxn>
            <a:cxn ang="T131">
              <a:pos x="T26" y="T27"/>
            </a:cxn>
            <a:cxn ang="T132">
              <a:pos x="T28" y="T29"/>
            </a:cxn>
            <a:cxn ang="T133">
              <a:pos x="T30" y="T31"/>
            </a:cxn>
            <a:cxn ang="T134">
              <a:pos x="T32" y="T33"/>
            </a:cxn>
            <a:cxn ang="T135">
              <a:pos x="T34" y="T35"/>
            </a:cxn>
            <a:cxn ang="T136">
              <a:pos x="T36" y="T37"/>
            </a:cxn>
            <a:cxn ang="T137">
              <a:pos x="T38" y="T39"/>
            </a:cxn>
            <a:cxn ang="T138">
              <a:pos x="T40" y="T41"/>
            </a:cxn>
            <a:cxn ang="T139">
              <a:pos x="T42" y="T43"/>
            </a:cxn>
            <a:cxn ang="T140">
              <a:pos x="T44" y="T45"/>
            </a:cxn>
            <a:cxn ang="T141">
              <a:pos x="T46" y="T47"/>
            </a:cxn>
            <a:cxn ang="T142">
              <a:pos x="T48" y="T49"/>
            </a:cxn>
            <a:cxn ang="T143">
              <a:pos x="T50" y="T51"/>
            </a:cxn>
            <a:cxn ang="T144">
              <a:pos x="T52" y="T53"/>
            </a:cxn>
            <a:cxn ang="T145">
              <a:pos x="T54" y="T55"/>
            </a:cxn>
            <a:cxn ang="T146">
              <a:pos x="T56" y="T57"/>
            </a:cxn>
            <a:cxn ang="T147">
              <a:pos x="T58" y="T59"/>
            </a:cxn>
            <a:cxn ang="T148">
              <a:pos x="T60" y="T61"/>
            </a:cxn>
            <a:cxn ang="T149">
              <a:pos x="T62" y="T63"/>
            </a:cxn>
            <a:cxn ang="T150">
              <a:pos x="T64" y="T65"/>
            </a:cxn>
            <a:cxn ang="T151">
              <a:pos x="T66" y="T67"/>
            </a:cxn>
            <a:cxn ang="T152">
              <a:pos x="T68" y="T69"/>
            </a:cxn>
            <a:cxn ang="T153">
              <a:pos x="T70" y="T71"/>
            </a:cxn>
            <a:cxn ang="T154">
              <a:pos x="T72" y="T73"/>
            </a:cxn>
            <a:cxn ang="T155">
              <a:pos x="T74" y="T75"/>
            </a:cxn>
            <a:cxn ang="T156">
              <a:pos x="T76" y="T77"/>
            </a:cxn>
            <a:cxn ang="T157">
              <a:pos x="T78" y="T79"/>
            </a:cxn>
            <a:cxn ang="T158">
              <a:pos x="T80" y="T81"/>
            </a:cxn>
            <a:cxn ang="T159">
              <a:pos x="T82" y="T83"/>
            </a:cxn>
            <a:cxn ang="T160">
              <a:pos x="T84" y="T85"/>
            </a:cxn>
            <a:cxn ang="T161">
              <a:pos x="T86" y="T87"/>
            </a:cxn>
            <a:cxn ang="T162">
              <a:pos x="T88" y="T89"/>
            </a:cxn>
            <a:cxn ang="T163">
              <a:pos x="T90" y="T91"/>
            </a:cxn>
            <a:cxn ang="T164">
              <a:pos x="T92" y="T93"/>
            </a:cxn>
            <a:cxn ang="T165">
              <a:pos x="T94" y="T95"/>
            </a:cxn>
            <a:cxn ang="T166">
              <a:pos x="T96" y="T97"/>
            </a:cxn>
            <a:cxn ang="T167">
              <a:pos x="T98" y="T99"/>
            </a:cxn>
            <a:cxn ang="T168">
              <a:pos x="T100" y="T101"/>
            </a:cxn>
            <a:cxn ang="T169">
              <a:pos x="T102" y="T103"/>
            </a:cxn>
            <a:cxn ang="T170">
              <a:pos x="T104" y="T105"/>
            </a:cxn>
            <a:cxn ang="T171">
              <a:pos x="T106" y="T107"/>
            </a:cxn>
            <a:cxn ang="T172">
              <a:pos x="T108" y="T109"/>
            </a:cxn>
            <a:cxn ang="T173">
              <a:pos x="T110" y="T111"/>
            </a:cxn>
            <a:cxn ang="T174">
              <a:pos x="T112" y="T113"/>
            </a:cxn>
            <a:cxn ang="T175">
              <a:pos x="T114" y="T115"/>
            </a:cxn>
            <a:cxn ang="T176">
              <a:pos x="T116" y="T117"/>
            </a:cxn>
          </a:cxnLst>
          <a:rect l="T177" t="T178" r="T179" b="T180"/>
          <a:pathLst>
            <a:path w="804" h="841">
              <a:moveTo>
                <a:pt x="208" y="787"/>
              </a:moveTo>
              <a:lnTo>
                <a:pt x="200" y="785"/>
              </a:lnTo>
              <a:lnTo>
                <a:pt x="180" y="762"/>
              </a:lnTo>
              <a:lnTo>
                <a:pt x="171" y="758"/>
              </a:lnTo>
              <a:lnTo>
                <a:pt x="154" y="754"/>
              </a:lnTo>
              <a:lnTo>
                <a:pt x="153" y="754"/>
              </a:lnTo>
              <a:lnTo>
                <a:pt x="143" y="756"/>
              </a:lnTo>
              <a:lnTo>
                <a:pt x="130" y="753"/>
              </a:lnTo>
              <a:lnTo>
                <a:pt x="110" y="744"/>
              </a:lnTo>
              <a:lnTo>
                <a:pt x="110" y="732"/>
              </a:lnTo>
              <a:lnTo>
                <a:pt x="104" y="721"/>
              </a:lnTo>
              <a:lnTo>
                <a:pt x="101" y="716"/>
              </a:lnTo>
              <a:lnTo>
                <a:pt x="93" y="698"/>
              </a:lnTo>
              <a:lnTo>
                <a:pt x="83" y="692"/>
              </a:lnTo>
              <a:lnTo>
                <a:pt x="62" y="677"/>
              </a:lnTo>
              <a:lnTo>
                <a:pt x="58" y="680"/>
              </a:lnTo>
              <a:lnTo>
                <a:pt x="37" y="686"/>
              </a:lnTo>
              <a:lnTo>
                <a:pt x="36" y="685"/>
              </a:lnTo>
              <a:lnTo>
                <a:pt x="12" y="668"/>
              </a:lnTo>
              <a:lnTo>
                <a:pt x="7" y="673"/>
              </a:lnTo>
              <a:lnTo>
                <a:pt x="0" y="678"/>
              </a:lnTo>
              <a:lnTo>
                <a:pt x="0" y="673"/>
              </a:lnTo>
              <a:lnTo>
                <a:pt x="0" y="661"/>
              </a:lnTo>
              <a:lnTo>
                <a:pt x="0" y="630"/>
              </a:lnTo>
              <a:lnTo>
                <a:pt x="1" y="594"/>
              </a:lnTo>
              <a:lnTo>
                <a:pt x="1" y="584"/>
              </a:lnTo>
              <a:lnTo>
                <a:pt x="1" y="579"/>
              </a:lnTo>
              <a:lnTo>
                <a:pt x="1" y="569"/>
              </a:lnTo>
              <a:lnTo>
                <a:pt x="1" y="563"/>
              </a:lnTo>
              <a:lnTo>
                <a:pt x="1" y="558"/>
              </a:lnTo>
              <a:lnTo>
                <a:pt x="1" y="532"/>
              </a:lnTo>
              <a:lnTo>
                <a:pt x="1" y="508"/>
              </a:lnTo>
              <a:lnTo>
                <a:pt x="1" y="496"/>
              </a:lnTo>
              <a:lnTo>
                <a:pt x="1" y="486"/>
              </a:lnTo>
              <a:lnTo>
                <a:pt x="2" y="466"/>
              </a:lnTo>
              <a:lnTo>
                <a:pt x="2" y="465"/>
              </a:lnTo>
              <a:lnTo>
                <a:pt x="2" y="436"/>
              </a:lnTo>
              <a:lnTo>
                <a:pt x="3" y="408"/>
              </a:lnTo>
              <a:lnTo>
                <a:pt x="3" y="394"/>
              </a:lnTo>
              <a:lnTo>
                <a:pt x="3" y="383"/>
              </a:lnTo>
              <a:lnTo>
                <a:pt x="3" y="369"/>
              </a:lnTo>
              <a:lnTo>
                <a:pt x="3" y="349"/>
              </a:lnTo>
              <a:lnTo>
                <a:pt x="3" y="332"/>
              </a:lnTo>
              <a:lnTo>
                <a:pt x="3" y="319"/>
              </a:lnTo>
              <a:lnTo>
                <a:pt x="3" y="294"/>
              </a:lnTo>
              <a:lnTo>
                <a:pt x="3" y="290"/>
              </a:lnTo>
              <a:lnTo>
                <a:pt x="3" y="260"/>
              </a:lnTo>
              <a:lnTo>
                <a:pt x="3" y="248"/>
              </a:lnTo>
              <a:lnTo>
                <a:pt x="3" y="233"/>
              </a:lnTo>
              <a:lnTo>
                <a:pt x="3" y="230"/>
              </a:lnTo>
              <a:lnTo>
                <a:pt x="3" y="201"/>
              </a:lnTo>
              <a:lnTo>
                <a:pt x="3" y="171"/>
              </a:lnTo>
              <a:lnTo>
                <a:pt x="3" y="167"/>
              </a:lnTo>
              <a:lnTo>
                <a:pt x="3" y="145"/>
              </a:lnTo>
              <a:lnTo>
                <a:pt x="3" y="142"/>
              </a:lnTo>
              <a:lnTo>
                <a:pt x="3" y="129"/>
              </a:lnTo>
              <a:lnTo>
                <a:pt x="3" y="105"/>
              </a:lnTo>
              <a:lnTo>
                <a:pt x="2" y="66"/>
              </a:lnTo>
              <a:lnTo>
                <a:pt x="12" y="65"/>
              </a:lnTo>
              <a:lnTo>
                <a:pt x="64" y="64"/>
              </a:lnTo>
              <a:lnTo>
                <a:pt x="78" y="64"/>
              </a:lnTo>
              <a:lnTo>
                <a:pt x="85" y="63"/>
              </a:lnTo>
              <a:lnTo>
                <a:pt x="117" y="62"/>
              </a:lnTo>
              <a:lnTo>
                <a:pt x="175" y="60"/>
              </a:lnTo>
              <a:lnTo>
                <a:pt x="198" y="60"/>
              </a:lnTo>
              <a:lnTo>
                <a:pt x="229" y="58"/>
              </a:lnTo>
              <a:lnTo>
                <a:pt x="235" y="58"/>
              </a:lnTo>
              <a:lnTo>
                <a:pt x="255" y="58"/>
              </a:lnTo>
              <a:lnTo>
                <a:pt x="269" y="68"/>
              </a:lnTo>
              <a:lnTo>
                <a:pt x="293" y="75"/>
              </a:lnTo>
              <a:lnTo>
                <a:pt x="309" y="83"/>
              </a:lnTo>
              <a:lnTo>
                <a:pt x="340" y="103"/>
              </a:lnTo>
              <a:lnTo>
                <a:pt x="387" y="101"/>
              </a:lnTo>
              <a:lnTo>
                <a:pt x="396" y="114"/>
              </a:lnTo>
              <a:lnTo>
                <a:pt x="411" y="127"/>
              </a:lnTo>
              <a:lnTo>
                <a:pt x="433" y="140"/>
              </a:lnTo>
              <a:lnTo>
                <a:pt x="462" y="129"/>
              </a:lnTo>
              <a:lnTo>
                <a:pt x="480" y="127"/>
              </a:lnTo>
              <a:lnTo>
                <a:pt x="502" y="116"/>
              </a:lnTo>
              <a:lnTo>
                <a:pt x="533" y="111"/>
              </a:lnTo>
              <a:lnTo>
                <a:pt x="551" y="116"/>
              </a:lnTo>
              <a:lnTo>
                <a:pt x="574" y="115"/>
              </a:lnTo>
              <a:lnTo>
                <a:pt x="622" y="81"/>
              </a:lnTo>
              <a:lnTo>
                <a:pt x="638" y="65"/>
              </a:lnTo>
              <a:lnTo>
                <a:pt x="644" y="62"/>
              </a:lnTo>
              <a:lnTo>
                <a:pt x="713" y="29"/>
              </a:lnTo>
              <a:lnTo>
                <a:pt x="714" y="29"/>
              </a:lnTo>
              <a:lnTo>
                <a:pt x="804" y="0"/>
              </a:lnTo>
              <a:lnTo>
                <a:pt x="804" y="23"/>
              </a:lnTo>
              <a:lnTo>
                <a:pt x="804" y="30"/>
              </a:lnTo>
              <a:lnTo>
                <a:pt x="804" y="62"/>
              </a:lnTo>
              <a:lnTo>
                <a:pt x="804" y="82"/>
              </a:lnTo>
              <a:lnTo>
                <a:pt x="804" y="112"/>
              </a:lnTo>
              <a:lnTo>
                <a:pt x="804" y="114"/>
              </a:lnTo>
              <a:lnTo>
                <a:pt x="804" y="142"/>
              </a:lnTo>
              <a:lnTo>
                <a:pt x="804" y="161"/>
              </a:lnTo>
              <a:lnTo>
                <a:pt x="804" y="199"/>
              </a:lnTo>
              <a:lnTo>
                <a:pt x="804" y="201"/>
              </a:lnTo>
              <a:lnTo>
                <a:pt x="804" y="230"/>
              </a:lnTo>
              <a:lnTo>
                <a:pt x="804" y="236"/>
              </a:lnTo>
              <a:lnTo>
                <a:pt x="804" y="253"/>
              </a:lnTo>
              <a:lnTo>
                <a:pt x="804" y="260"/>
              </a:lnTo>
              <a:lnTo>
                <a:pt x="804" y="265"/>
              </a:lnTo>
              <a:lnTo>
                <a:pt x="804" y="279"/>
              </a:lnTo>
              <a:lnTo>
                <a:pt x="804" y="295"/>
              </a:lnTo>
              <a:lnTo>
                <a:pt x="804" y="316"/>
              </a:lnTo>
              <a:lnTo>
                <a:pt x="797" y="319"/>
              </a:lnTo>
              <a:lnTo>
                <a:pt x="784" y="320"/>
              </a:lnTo>
              <a:lnTo>
                <a:pt x="777" y="329"/>
              </a:lnTo>
              <a:lnTo>
                <a:pt x="786" y="349"/>
              </a:lnTo>
              <a:lnTo>
                <a:pt x="784" y="372"/>
              </a:lnTo>
              <a:lnTo>
                <a:pt x="783" y="373"/>
              </a:lnTo>
              <a:lnTo>
                <a:pt x="787" y="378"/>
              </a:lnTo>
              <a:lnTo>
                <a:pt x="784" y="404"/>
              </a:lnTo>
              <a:lnTo>
                <a:pt x="774" y="423"/>
              </a:lnTo>
              <a:lnTo>
                <a:pt x="770" y="429"/>
              </a:lnTo>
              <a:lnTo>
                <a:pt x="768" y="436"/>
              </a:lnTo>
              <a:lnTo>
                <a:pt x="764" y="459"/>
              </a:lnTo>
              <a:lnTo>
                <a:pt x="762" y="474"/>
              </a:lnTo>
              <a:lnTo>
                <a:pt x="752" y="486"/>
              </a:lnTo>
              <a:lnTo>
                <a:pt x="748" y="502"/>
              </a:lnTo>
              <a:lnTo>
                <a:pt x="740" y="525"/>
              </a:lnTo>
              <a:lnTo>
                <a:pt x="746" y="533"/>
              </a:lnTo>
              <a:lnTo>
                <a:pt x="737" y="554"/>
              </a:lnTo>
              <a:lnTo>
                <a:pt x="737" y="555"/>
              </a:lnTo>
              <a:lnTo>
                <a:pt x="724" y="560"/>
              </a:lnTo>
              <a:lnTo>
                <a:pt x="714" y="569"/>
              </a:lnTo>
              <a:lnTo>
                <a:pt x="707" y="576"/>
              </a:lnTo>
              <a:lnTo>
                <a:pt x="697" y="584"/>
              </a:lnTo>
              <a:lnTo>
                <a:pt x="697" y="585"/>
              </a:lnTo>
              <a:lnTo>
                <a:pt x="691" y="595"/>
              </a:lnTo>
              <a:lnTo>
                <a:pt x="667" y="611"/>
              </a:lnTo>
              <a:lnTo>
                <a:pt x="659" y="614"/>
              </a:lnTo>
              <a:lnTo>
                <a:pt x="645" y="622"/>
              </a:lnTo>
              <a:lnTo>
                <a:pt x="620" y="614"/>
              </a:lnTo>
              <a:lnTo>
                <a:pt x="607" y="640"/>
              </a:lnTo>
              <a:lnTo>
                <a:pt x="584" y="644"/>
              </a:lnTo>
              <a:lnTo>
                <a:pt x="579" y="652"/>
              </a:lnTo>
              <a:lnTo>
                <a:pt x="574" y="659"/>
              </a:lnTo>
              <a:lnTo>
                <a:pt x="572" y="660"/>
              </a:lnTo>
              <a:lnTo>
                <a:pt x="574" y="664"/>
              </a:lnTo>
              <a:lnTo>
                <a:pt x="575" y="673"/>
              </a:lnTo>
              <a:lnTo>
                <a:pt x="574" y="680"/>
              </a:lnTo>
              <a:lnTo>
                <a:pt x="564" y="717"/>
              </a:lnTo>
              <a:lnTo>
                <a:pt x="551" y="731"/>
              </a:lnTo>
              <a:lnTo>
                <a:pt x="544" y="732"/>
              </a:lnTo>
              <a:lnTo>
                <a:pt x="527" y="697"/>
              </a:lnTo>
              <a:lnTo>
                <a:pt x="518" y="703"/>
              </a:lnTo>
              <a:lnTo>
                <a:pt x="509" y="713"/>
              </a:lnTo>
              <a:lnTo>
                <a:pt x="491" y="762"/>
              </a:lnTo>
              <a:lnTo>
                <a:pt x="495" y="792"/>
              </a:lnTo>
              <a:lnTo>
                <a:pt x="487" y="799"/>
              </a:lnTo>
              <a:lnTo>
                <a:pt x="480" y="797"/>
              </a:lnTo>
              <a:lnTo>
                <a:pt x="479" y="797"/>
              </a:lnTo>
              <a:lnTo>
                <a:pt x="474" y="801"/>
              </a:lnTo>
              <a:lnTo>
                <a:pt x="470" y="821"/>
              </a:lnTo>
              <a:lnTo>
                <a:pt x="457" y="836"/>
              </a:lnTo>
              <a:lnTo>
                <a:pt x="433" y="841"/>
              </a:lnTo>
              <a:lnTo>
                <a:pt x="416" y="839"/>
              </a:lnTo>
              <a:lnTo>
                <a:pt x="411" y="826"/>
              </a:lnTo>
              <a:lnTo>
                <a:pt x="403" y="820"/>
              </a:lnTo>
              <a:lnTo>
                <a:pt x="387" y="807"/>
              </a:lnTo>
              <a:lnTo>
                <a:pt x="374" y="805"/>
              </a:lnTo>
              <a:lnTo>
                <a:pt x="367" y="792"/>
              </a:lnTo>
              <a:lnTo>
                <a:pt x="362" y="762"/>
              </a:lnTo>
              <a:lnTo>
                <a:pt x="335" y="767"/>
              </a:lnTo>
              <a:lnTo>
                <a:pt x="313" y="792"/>
              </a:lnTo>
              <a:lnTo>
                <a:pt x="296" y="791"/>
              </a:lnTo>
              <a:lnTo>
                <a:pt x="290" y="793"/>
              </a:lnTo>
              <a:lnTo>
                <a:pt x="285" y="798"/>
              </a:lnTo>
              <a:lnTo>
                <a:pt x="270" y="783"/>
              </a:lnTo>
              <a:lnTo>
                <a:pt x="241" y="772"/>
              </a:lnTo>
              <a:lnTo>
                <a:pt x="223" y="779"/>
              </a:lnTo>
              <a:lnTo>
                <a:pt x="219" y="789"/>
              </a:lnTo>
              <a:lnTo>
                <a:pt x="211" y="790"/>
              </a:lnTo>
              <a:lnTo>
                <a:pt x="209" y="789"/>
              </a:lnTo>
              <a:lnTo>
                <a:pt x="208" y="787"/>
              </a:lnTo>
              <a:close/>
            </a:path>
          </a:pathLst>
        </a:custGeom>
        <a:solidFill>
          <a:srgbClr val="963634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pPr algn="ctr"/>
          <a:endParaRPr lang="en-US" sz="800" b="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23</xdr:col>
      <xdr:colOff>483316</xdr:colOff>
      <xdr:row>10</xdr:row>
      <xdr:rowOff>96207</xdr:rowOff>
    </xdr:from>
    <xdr:to>
      <xdr:col>24</xdr:col>
      <xdr:colOff>579262</xdr:colOff>
      <xdr:row>13</xdr:row>
      <xdr:rowOff>128378</xdr:rowOff>
    </xdr:to>
    <xdr:sp macro="" textlink="">
      <xdr:nvSpPr>
        <xdr:cNvPr id="65" name="S_NY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>
          <a:spLocks/>
        </xdr:cNvSpPr>
      </xdr:nvSpPr>
      <xdr:spPr bwMode="auto">
        <a:xfrm>
          <a:off x="4512391" y="2077407"/>
          <a:ext cx="705546" cy="717971"/>
        </a:xfrm>
        <a:custGeom>
          <a:avLst/>
          <a:gdLst>
            <a:gd name="T0" fmla="*/ 2147483647 w 1462"/>
            <a:gd name="T1" fmla="*/ 2147483647 h 1066"/>
            <a:gd name="T2" fmla="*/ 2147483647 w 1462"/>
            <a:gd name="T3" fmla="*/ 2147483647 h 1066"/>
            <a:gd name="T4" fmla="*/ 2147483647 w 1462"/>
            <a:gd name="T5" fmla="*/ 2147483647 h 1066"/>
            <a:gd name="T6" fmla="*/ 2147483647 w 1462"/>
            <a:gd name="T7" fmla="*/ 2147483647 h 1066"/>
            <a:gd name="T8" fmla="*/ 2147483647 w 1462"/>
            <a:gd name="T9" fmla="*/ 2147483647 h 1066"/>
            <a:gd name="T10" fmla="*/ 2147483647 w 1462"/>
            <a:gd name="T11" fmla="*/ 2147483647 h 1066"/>
            <a:gd name="T12" fmla="*/ 2147483647 w 1462"/>
            <a:gd name="T13" fmla="*/ 2147483647 h 1066"/>
            <a:gd name="T14" fmla="*/ 2147483647 w 1462"/>
            <a:gd name="T15" fmla="*/ 2147483647 h 1066"/>
            <a:gd name="T16" fmla="*/ 2147483647 w 1462"/>
            <a:gd name="T17" fmla="*/ 2147483647 h 1066"/>
            <a:gd name="T18" fmla="*/ 2147483647 w 1462"/>
            <a:gd name="T19" fmla="*/ 2147483647 h 1066"/>
            <a:gd name="T20" fmla="*/ 2147483647 w 1462"/>
            <a:gd name="T21" fmla="*/ 2147483647 h 1066"/>
            <a:gd name="T22" fmla="*/ 2147483647 w 1462"/>
            <a:gd name="T23" fmla="*/ 2147483647 h 1066"/>
            <a:gd name="T24" fmla="*/ 2147483647 w 1462"/>
            <a:gd name="T25" fmla="*/ 2147483647 h 1066"/>
            <a:gd name="T26" fmla="*/ 2147483647 w 1462"/>
            <a:gd name="T27" fmla="*/ 2147483647 h 1066"/>
            <a:gd name="T28" fmla="*/ 0 w 1462"/>
            <a:gd name="T29" fmla="*/ 2147483647 h 1066"/>
            <a:gd name="T30" fmla="*/ 2147483647 w 1462"/>
            <a:gd name="T31" fmla="*/ 2147483647 h 1066"/>
            <a:gd name="T32" fmla="*/ 2147483647 w 1462"/>
            <a:gd name="T33" fmla="*/ 2147483647 h 1066"/>
            <a:gd name="T34" fmla="*/ 2147483647 w 1462"/>
            <a:gd name="T35" fmla="*/ 2147483647 h 1066"/>
            <a:gd name="T36" fmla="*/ 2147483647 w 1462"/>
            <a:gd name="T37" fmla="*/ 2147483647 h 1066"/>
            <a:gd name="T38" fmla="*/ 2147483647 w 1462"/>
            <a:gd name="T39" fmla="*/ 2147483647 h 1066"/>
            <a:gd name="T40" fmla="*/ 2147483647 w 1462"/>
            <a:gd name="T41" fmla="*/ 2147483647 h 1066"/>
            <a:gd name="T42" fmla="*/ 2147483647 w 1462"/>
            <a:gd name="T43" fmla="*/ 2147483647 h 1066"/>
            <a:gd name="T44" fmla="*/ 2147483647 w 1462"/>
            <a:gd name="T45" fmla="*/ 2147483647 h 1066"/>
            <a:gd name="T46" fmla="*/ 2147483647 w 1462"/>
            <a:gd name="T47" fmla="*/ 2147483647 h 1066"/>
            <a:gd name="T48" fmla="*/ 2147483647 w 1462"/>
            <a:gd name="T49" fmla="*/ 2147483647 h 1066"/>
            <a:gd name="T50" fmla="*/ 2147483647 w 1462"/>
            <a:gd name="T51" fmla="*/ 2147483647 h 1066"/>
            <a:gd name="T52" fmla="*/ 2147483647 w 1462"/>
            <a:gd name="T53" fmla="*/ 2147483647 h 1066"/>
            <a:gd name="T54" fmla="*/ 2147483647 w 1462"/>
            <a:gd name="T55" fmla="*/ 2147483647 h 1066"/>
            <a:gd name="T56" fmla="*/ 2147483647 w 1462"/>
            <a:gd name="T57" fmla="*/ 2147483647 h 1066"/>
            <a:gd name="T58" fmla="*/ 2147483647 w 1462"/>
            <a:gd name="T59" fmla="*/ 2147483647 h 1066"/>
            <a:gd name="T60" fmla="*/ 2147483647 w 1462"/>
            <a:gd name="T61" fmla="*/ 2147483647 h 1066"/>
            <a:gd name="T62" fmla="*/ 2147483647 w 1462"/>
            <a:gd name="T63" fmla="*/ 2147483647 h 1066"/>
            <a:gd name="T64" fmla="*/ 2147483647 w 1462"/>
            <a:gd name="T65" fmla="*/ 2147483647 h 1066"/>
            <a:gd name="T66" fmla="*/ 2147483647 w 1462"/>
            <a:gd name="T67" fmla="*/ 2147483647 h 1066"/>
            <a:gd name="T68" fmla="*/ 2147483647 w 1462"/>
            <a:gd name="T69" fmla="*/ 2147483647 h 1066"/>
            <a:gd name="T70" fmla="*/ 2147483647 w 1462"/>
            <a:gd name="T71" fmla="*/ 2147483647 h 1066"/>
            <a:gd name="T72" fmla="*/ 2147483647 w 1462"/>
            <a:gd name="T73" fmla="*/ 2147483647 h 1066"/>
            <a:gd name="T74" fmla="*/ 2147483647 w 1462"/>
            <a:gd name="T75" fmla="*/ 2147483647 h 1066"/>
            <a:gd name="T76" fmla="*/ 2147483647 w 1462"/>
            <a:gd name="T77" fmla="*/ 2147483647 h 1066"/>
            <a:gd name="T78" fmla="*/ 2147483647 w 1462"/>
            <a:gd name="T79" fmla="*/ 2147483647 h 1066"/>
            <a:gd name="T80" fmla="*/ 2147483647 w 1462"/>
            <a:gd name="T81" fmla="*/ 2147483647 h 1066"/>
            <a:gd name="T82" fmla="*/ 2147483647 w 1462"/>
            <a:gd name="T83" fmla="*/ 2147483647 h 1066"/>
            <a:gd name="T84" fmla="*/ 2147483647 w 1462"/>
            <a:gd name="T85" fmla="*/ 2147483647 h 1066"/>
            <a:gd name="T86" fmla="*/ 2147483647 w 1462"/>
            <a:gd name="T87" fmla="*/ 2147483647 h 1066"/>
            <a:gd name="T88" fmla="*/ 2147483647 w 1462"/>
            <a:gd name="T89" fmla="*/ 2147483647 h 1066"/>
            <a:gd name="T90" fmla="*/ 2147483647 w 1462"/>
            <a:gd name="T91" fmla="*/ 2147483647 h 1066"/>
            <a:gd name="T92" fmla="*/ 2147483647 w 1462"/>
            <a:gd name="T93" fmla="*/ 2147483647 h 1066"/>
            <a:gd name="T94" fmla="*/ 2147483647 w 1462"/>
            <a:gd name="T95" fmla="*/ 2147483647 h 1066"/>
            <a:gd name="T96" fmla="*/ 2147483647 w 1462"/>
            <a:gd name="T97" fmla="*/ 2147483647 h 1066"/>
            <a:gd name="T98" fmla="*/ 2147483647 w 1462"/>
            <a:gd name="T99" fmla="*/ 2147483647 h 1066"/>
            <a:gd name="T100" fmla="*/ 2147483647 w 1462"/>
            <a:gd name="T101" fmla="*/ 2147483647 h 1066"/>
            <a:gd name="T102" fmla="*/ 2147483647 w 1462"/>
            <a:gd name="T103" fmla="*/ 2147483647 h 106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w 1462"/>
            <a:gd name="T157" fmla="*/ 0 h 1066"/>
            <a:gd name="T158" fmla="*/ 1462 w 1462"/>
            <a:gd name="T159" fmla="*/ 1066 h 1066"/>
          </a:gdLst>
          <a:ahLst/>
          <a:cxnLst>
            <a:cxn ang="T104">
              <a:pos x="T0" y="T1"/>
            </a:cxn>
            <a:cxn ang="T105">
              <a:pos x="T2" y="T3"/>
            </a:cxn>
            <a:cxn ang="T106">
              <a:pos x="T4" y="T5"/>
            </a:cxn>
            <a:cxn ang="T107">
              <a:pos x="T6" y="T7"/>
            </a:cxn>
            <a:cxn ang="T108">
              <a:pos x="T8" y="T9"/>
            </a:cxn>
            <a:cxn ang="T109">
              <a:pos x="T10" y="T11"/>
            </a:cxn>
            <a:cxn ang="T110">
              <a:pos x="T12" y="T13"/>
            </a:cxn>
            <a:cxn ang="T111">
              <a:pos x="T14" y="T15"/>
            </a:cxn>
            <a:cxn ang="T112">
              <a:pos x="T16" y="T17"/>
            </a:cxn>
            <a:cxn ang="T113">
              <a:pos x="T18" y="T19"/>
            </a:cxn>
            <a:cxn ang="T114">
              <a:pos x="T20" y="T21"/>
            </a:cxn>
            <a:cxn ang="T115">
              <a:pos x="T22" y="T23"/>
            </a:cxn>
            <a:cxn ang="T116">
              <a:pos x="T24" y="T25"/>
            </a:cxn>
            <a:cxn ang="T117">
              <a:pos x="T26" y="T27"/>
            </a:cxn>
            <a:cxn ang="T118">
              <a:pos x="T28" y="T29"/>
            </a:cxn>
            <a:cxn ang="T119">
              <a:pos x="T30" y="T31"/>
            </a:cxn>
            <a:cxn ang="T120">
              <a:pos x="T32" y="T33"/>
            </a:cxn>
            <a:cxn ang="T121">
              <a:pos x="T34" y="T35"/>
            </a:cxn>
            <a:cxn ang="T122">
              <a:pos x="T36" y="T37"/>
            </a:cxn>
            <a:cxn ang="T123">
              <a:pos x="T38" y="T39"/>
            </a:cxn>
            <a:cxn ang="T124">
              <a:pos x="T40" y="T41"/>
            </a:cxn>
            <a:cxn ang="T125">
              <a:pos x="T42" y="T43"/>
            </a:cxn>
            <a:cxn ang="T126">
              <a:pos x="T44" y="T45"/>
            </a:cxn>
            <a:cxn ang="T127">
              <a:pos x="T46" y="T47"/>
            </a:cxn>
            <a:cxn ang="T128">
              <a:pos x="T48" y="T49"/>
            </a:cxn>
            <a:cxn ang="T129">
              <a:pos x="T50" y="T51"/>
            </a:cxn>
            <a:cxn ang="T130">
              <a:pos x="T52" y="T53"/>
            </a:cxn>
            <a:cxn ang="T131">
              <a:pos x="T54" y="T55"/>
            </a:cxn>
            <a:cxn ang="T132">
              <a:pos x="T56" y="T57"/>
            </a:cxn>
            <a:cxn ang="T133">
              <a:pos x="T58" y="T59"/>
            </a:cxn>
            <a:cxn ang="T134">
              <a:pos x="T60" y="T61"/>
            </a:cxn>
            <a:cxn ang="T135">
              <a:pos x="T62" y="T63"/>
            </a:cxn>
            <a:cxn ang="T136">
              <a:pos x="T64" y="T65"/>
            </a:cxn>
            <a:cxn ang="T137">
              <a:pos x="T66" y="T67"/>
            </a:cxn>
            <a:cxn ang="T138">
              <a:pos x="T68" y="T69"/>
            </a:cxn>
            <a:cxn ang="T139">
              <a:pos x="T70" y="T71"/>
            </a:cxn>
            <a:cxn ang="T140">
              <a:pos x="T72" y="T73"/>
            </a:cxn>
            <a:cxn ang="T141">
              <a:pos x="T74" y="T75"/>
            </a:cxn>
            <a:cxn ang="T142">
              <a:pos x="T76" y="T77"/>
            </a:cxn>
            <a:cxn ang="T143">
              <a:pos x="T78" y="T79"/>
            </a:cxn>
            <a:cxn ang="T144">
              <a:pos x="T80" y="T81"/>
            </a:cxn>
            <a:cxn ang="T145">
              <a:pos x="T82" y="T83"/>
            </a:cxn>
            <a:cxn ang="T146">
              <a:pos x="T84" y="T85"/>
            </a:cxn>
            <a:cxn ang="T147">
              <a:pos x="T86" y="T87"/>
            </a:cxn>
            <a:cxn ang="T148">
              <a:pos x="T88" y="T89"/>
            </a:cxn>
            <a:cxn ang="T149">
              <a:pos x="T90" y="T91"/>
            </a:cxn>
            <a:cxn ang="T150">
              <a:pos x="T92" y="T93"/>
            </a:cxn>
            <a:cxn ang="T151">
              <a:pos x="T94" y="T95"/>
            </a:cxn>
            <a:cxn ang="T152">
              <a:pos x="T96" y="T97"/>
            </a:cxn>
            <a:cxn ang="T153">
              <a:pos x="T98" y="T99"/>
            </a:cxn>
            <a:cxn ang="T154">
              <a:pos x="T100" y="T101"/>
            </a:cxn>
            <a:cxn ang="T155">
              <a:pos x="T102" y="T103"/>
            </a:cxn>
          </a:cxnLst>
          <a:rect l="T156" t="T157" r="T158" b="T159"/>
          <a:pathLst>
            <a:path w="1462" h="1066">
              <a:moveTo>
                <a:pt x="1098" y="948"/>
              </a:moveTo>
              <a:lnTo>
                <a:pt x="1096" y="948"/>
              </a:lnTo>
              <a:lnTo>
                <a:pt x="1052" y="923"/>
              </a:lnTo>
              <a:lnTo>
                <a:pt x="1038" y="916"/>
              </a:lnTo>
              <a:lnTo>
                <a:pt x="1036" y="915"/>
              </a:lnTo>
              <a:lnTo>
                <a:pt x="1033" y="914"/>
              </a:lnTo>
              <a:lnTo>
                <a:pt x="1027" y="911"/>
              </a:lnTo>
              <a:lnTo>
                <a:pt x="1015" y="903"/>
              </a:lnTo>
              <a:lnTo>
                <a:pt x="1009" y="900"/>
              </a:lnTo>
              <a:lnTo>
                <a:pt x="991" y="888"/>
              </a:lnTo>
              <a:lnTo>
                <a:pt x="975" y="878"/>
              </a:lnTo>
              <a:lnTo>
                <a:pt x="948" y="863"/>
              </a:lnTo>
              <a:lnTo>
                <a:pt x="946" y="859"/>
              </a:lnTo>
              <a:lnTo>
                <a:pt x="937" y="846"/>
              </a:lnTo>
              <a:lnTo>
                <a:pt x="936" y="847"/>
              </a:lnTo>
              <a:lnTo>
                <a:pt x="914" y="843"/>
              </a:lnTo>
              <a:lnTo>
                <a:pt x="890" y="827"/>
              </a:lnTo>
              <a:lnTo>
                <a:pt x="877" y="805"/>
              </a:lnTo>
              <a:lnTo>
                <a:pt x="882" y="799"/>
              </a:lnTo>
              <a:lnTo>
                <a:pt x="880" y="770"/>
              </a:lnTo>
              <a:lnTo>
                <a:pt x="863" y="747"/>
              </a:lnTo>
              <a:lnTo>
                <a:pt x="859" y="742"/>
              </a:lnTo>
              <a:lnTo>
                <a:pt x="844" y="744"/>
              </a:lnTo>
              <a:lnTo>
                <a:pt x="823" y="711"/>
              </a:lnTo>
              <a:lnTo>
                <a:pt x="821" y="710"/>
              </a:lnTo>
              <a:lnTo>
                <a:pt x="800" y="711"/>
              </a:lnTo>
              <a:lnTo>
                <a:pt x="741" y="711"/>
              </a:lnTo>
              <a:lnTo>
                <a:pt x="704" y="711"/>
              </a:lnTo>
              <a:lnTo>
                <a:pt x="684" y="711"/>
              </a:lnTo>
              <a:lnTo>
                <a:pt x="680" y="711"/>
              </a:lnTo>
              <a:lnTo>
                <a:pt x="676" y="711"/>
              </a:lnTo>
              <a:lnTo>
                <a:pt x="657" y="711"/>
              </a:lnTo>
              <a:lnTo>
                <a:pt x="633" y="711"/>
              </a:lnTo>
              <a:lnTo>
                <a:pt x="599" y="711"/>
              </a:lnTo>
              <a:lnTo>
                <a:pt x="555" y="710"/>
              </a:lnTo>
              <a:lnTo>
                <a:pt x="540" y="710"/>
              </a:lnTo>
              <a:lnTo>
                <a:pt x="530" y="710"/>
              </a:lnTo>
              <a:lnTo>
                <a:pt x="523" y="710"/>
              </a:lnTo>
              <a:lnTo>
                <a:pt x="501" y="711"/>
              </a:lnTo>
              <a:lnTo>
                <a:pt x="421" y="711"/>
              </a:lnTo>
              <a:lnTo>
                <a:pt x="402" y="711"/>
              </a:lnTo>
              <a:lnTo>
                <a:pt x="400" y="711"/>
              </a:lnTo>
              <a:lnTo>
                <a:pt x="384" y="711"/>
              </a:lnTo>
              <a:lnTo>
                <a:pt x="376" y="711"/>
              </a:lnTo>
              <a:lnTo>
                <a:pt x="347" y="711"/>
              </a:lnTo>
              <a:lnTo>
                <a:pt x="306" y="711"/>
              </a:lnTo>
              <a:lnTo>
                <a:pt x="291" y="711"/>
              </a:lnTo>
              <a:lnTo>
                <a:pt x="282" y="711"/>
              </a:lnTo>
              <a:lnTo>
                <a:pt x="271" y="711"/>
              </a:lnTo>
              <a:lnTo>
                <a:pt x="213" y="711"/>
              </a:lnTo>
              <a:lnTo>
                <a:pt x="169" y="711"/>
              </a:lnTo>
              <a:lnTo>
                <a:pt x="157" y="711"/>
              </a:lnTo>
              <a:lnTo>
                <a:pt x="144" y="711"/>
              </a:lnTo>
              <a:lnTo>
                <a:pt x="142" y="711"/>
              </a:lnTo>
              <a:lnTo>
                <a:pt x="130" y="711"/>
              </a:lnTo>
              <a:lnTo>
                <a:pt x="109" y="711"/>
              </a:lnTo>
              <a:lnTo>
                <a:pt x="54" y="711"/>
              </a:lnTo>
              <a:lnTo>
                <a:pt x="29" y="711"/>
              </a:lnTo>
              <a:lnTo>
                <a:pt x="21" y="711"/>
              </a:lnTo>
              <a:lnTo>
                <a:pt x="0" y="711"/>
              </a:lnTo>
              <a:lnTo>
                <a:pt x="0" y="647"/>
              </a:lnTo>
              <a:lnTo>
                <a:pt x="25" y="633"/>
              </a:lnTo>
              <a:lnTo>
                <a:pt x="82" y="593"/>
              </a:lnTo>
              <a:lnTo>
                <a:pt x="116" y="577"/>
              </a:lnTo>
              <a:lnTo>
                <a:pt x="142" y="544"/>
              </a:lnTo>
              <a:lnTo>
                <a:pt x="161" y="534"/>
              </a:lnTo>
              <a:lnTo>
                <a:pt x="157" y="488"/>
              </a:lnTo>
              <a:lnTo>
                <a:pt x="140" y="478"/>
              </a:lnTo>
              <a:lnTo>
                <a:pt x="139" y="459"/>
              </a:lnTo>
              <a:lnTo>
                <a:pt x="131" y="448"/>
              </a:lnTo>
              <a:lnTo>
                <a:pt x="129" y="413"/>
              </a:lnTo>
              <a:lnTo>
                <a:pt x="243" y="387"/>
              </a:lnTo>
              <a:lnTo>
                <a:pt x="303" y="386"/>
              </a:lnTo>
              <a:lnTo>
                <a:pt x="304" y="386"/>
              </a:lnTo>
              <a:lnTo>
                <a:pt x="330" y="388"/>
              </a:lnTo>
              <a:lnTo>
                <a:pt x="376" y="396"/>
              </a:lnTo>
              <a:lnTo>
                <a:pt x="416" y="419"/>
              </a:lnTo>
              <a:lnTo>
                <a:pt x="446" y="410"/>
              </a:lnTo>
              <a:lnTo>
                <a:pt x="492" y="407"/>
              </a:lnTo>
              <a:lnTo>
                <a:pt x="516" y="411"/>
              </a:lnTo>
              <a:lnTo>
                <a:pt x="568" y="394"/>
              </a:lnTo>
              <a:lnTo>
                <a:pt x="569" y="394"/>
              </a:lnTo>
              <a:lnTo>
                <a:pt x="580" y="386"/>
              </a:lnTo>
              <a:lnTo>
                <a:pt x="588" y="376"/>
              </a:lnTo>
              <a:lnTo>
                <a:pt x="618" y="357"/>
              </a:lnTo>
              <a:lnTo>
                <a:pt x="657" y="351"/>
              </a:lnTo>
              <a:lnTo>
                <a:pt x="666" y="328"/>
              </a:lnTo>
              <a:lnTo>
                <a:pt x="666" y="314"/>
              </a:lnTo>
              <a:lnTo>
                <a:pt x="660" y="284"/>
              </a:lnTo>
              <a:lnTo>
                <a:pt x="652" y="280"/>
              </a:lnTo>
              <a:lnTo>
                <a:pt x="651" y="268"/>
              </a:lnTo>
              <a:lnTo>
                <a:pt x="663" y="272"/>
              </a:lnTo>
              <a:lnTo>
                <a:pt x="680" y="260"/>
              </a:lnTo>
              <a:lnTo>
                <a:pt x="657" y="246"/>
              </a:lnTo>
              <a:lnTo>
                <a:pt x="650" y="248"/>
              </a:lnTo>
              <a:lnTo>
                <a:pt x="654" y="238"/>
              </a:lnTo>
              <a:lnTo>
                <a:pt x="631" y="230"/>
              </a:lnTo>
              <a:lnTo>
                <a:pt x="645" y="191"/>
              </a:lnTo>
              <a:lnTo>
                <a:pt x="673" y="182"/>
              </a:lnTo>
              <a:lnTo>
                <a:pt x="673" y="172"/>
              </a:lnTo>
              <a:lnTo>
                <a:pt x="720" y="149"/>
              </a:lnTo>
              <a:lnTo>
                <a:pt x="730" y="143"/>
              </a:lnTo>
              <a:lnTo>
                <a:pt x="739" y="127"/>
              </a:lnTo>
              <a:lnTo>
                <a:pt x="833" y="41"/>
              </a:lnTo>
              <a:lnTo>
                <a:pt x="864" y="28"/>
              </a:lnTo>
              <a:lnTo>
                <a:pt x="867" y="23"/>
              </a:lnTo>
              <a:lnTo>
                <a:pt x="916" y="1"/>
              </a:lnTo>
              <a:lnTo>
                <a:pt x="941" y="4"/>
              </a:lnTo>
              <a:lnTo>
                <a:pt x="943" y="3"/>
              </a:lnTo>
              <a:lnTo>
                <a:pt x="946" y="2"/>
              </a:lnTo>
              <a:lnTo>
                <a:pt x="1072" y="3"/>
              </a:lnTo>
              <a:lnTo>
                <a:pt x="1077" y="3"/>
              </a:lnTo>
              <a:lnTo>
                <a:pt x="1148" y="2"/>
              </a:lnTo>
              <a:lnTo>
                <a:pt x="1200" y="0"/>
              </a:lnTo>
              <a:lnTo>
                <a:pt x="1194" y="35"/>
              </a:lnTo>
              <a:lnTo>
                <a:pt x="1194" y="102"/>
              </a:lnTo>
              <a:lnTo>
                <a:pt x="1197" y="106"/>
              </a:lnTo>
              <a:lnTo>
                <a:pt x="1202" y="109"/>
              </a:lnTo>
              <a:lnTo>
                <a:pt x="1202" y="110"/>
              </a:lnTo>
              <a:lnTo>
                <a:pt x="1207" y="121"/>
              </a:lnTo>
              <a:lnTo>
                <a:pt x="1206" y="176"/>
              </a:lnTo>
              <a:lnTo>
                <a:pt x="1191" y="193"/>
              </a:lnTo>
              <a:lnTo>
                <a:pt x="1183" y="221"/>
              </a:lnTo>
              <a:lnTo>
                <a:pt x="1194" y="284"/>
              </a:lnTo>
              <a:lnTo>
                <a:pt x="1194" y="287"/>
              </a:lnTo>
              <a:lnTo>
                <a:pt x="1195" y="287"/>
              </a:lnTo>
              <a:lnTo>
                <a:pt x="1196" y="297"/>
              </a:lnTo>
              <a:lnTo>
                <a:pt x="1185" y="327"/>
              </a:lnTo>
              <a:lnTo>
                <a:pt x="1208" y="327"/>
              </a:lnTo>
              <a:lnTo>
                <a:pt x="1218" y="401"/>
              </a:lnTo>
              <a:lnTo>
                <a:pt x="1217" y="416"/>
              </a:lnTo>
              <a:lnTo>
                <a:pt x="1215" y="445"/>
              </a:lnTo>
              <a:lnTo>
                <a:pt x="1213" y="488"/>
              </a:lnTo>
              <a:lnTo>
                <a:pt x="1212" y="515"/>
              </a:lnTo>
              <a:lnTo>
                <a:pt x="1213" y="535"/>
              </a:lnTo>
              <a:lnTo>
                <a:pt x="1215" y="535"/>
              </a:lnTo>
              <a:lnTo>
                <a:pt x="1210" y="551"/>
              </a:lnTo>
              <a:lnTo>
                <a:pt x="1207" y="564"/>
              </a:lnTo>
              <a:lnTo>
                <a:pt x="1198" y="591"/>
              </a:lnTo>
              <a:lnTo>
                <a:pt x="1173" y="681"/>
              </a:lnTo>
              <a:lnTo>
                <a:pt x="1169" y="691"/>
              </a:lnTo>
              <a:lnTo>
                <a:pt x="1172" y="700"/>
              </a:lnTo>
              <a:lnTo>
                <a:pt x="1174" y="700"/>
              </a:lnTo>
              <a:lnTo>
                <a:pt x="1173" y="711"/>
              </a:lnTo>
              <a:lnTo>
                <a:pt x="1169" y="770"/>
              </a:lnTo>
              <a:lnTo>
                <a:pt x="1167" y="790"/>
              </a:lnTo>
              <a:lnTo>
                <a:pt x="1167" y="799"/>
              </a:lnTo>
              <a:lnTo>
                <a:pt x="1166" y="805"/>
              </a:lnTo>
              <a:lnTo>
                <a:pt x="1165" y="823"/>
              </a:lnTo>
              <a:lnTo>
                <a:pt x="1164" y="845"/>
              </a:lnTo>
              <a:lnTo>
                <a:pt x="1164" y="851"/>
              </a:lnTo>
              <a:lnTo>
                <a:pt x="1163" y="860"/>
              </a:lnTo>
              <a:lnTo>
                <a:pt x="1175" y="897"/>
              </a:lnTo>
              <a:lnTo>
                <a:pt x="1129" y="923"/>
              </a:lnTo>
              <a:lnTo>
                <a:pt x="1143" y="951"/>
              </a:lnTo>
              <a:lnTo>
                <a:pt x="1124" y="967"/>
              </a:lnTo>
              <a:lnTo>
                <a:pt x="1121" y="977"/>
              </a:lnTo>
              <a:lnTo>
                <a:pt x="1118" y="978"/>
              </a:lnTo>
              <a:lnTo>
                <a:pt x="1120" y="980"/>
              </a:lnTo>
              <a:lnTo>
                <a:pt x="1122" y="984"/>
              </a:lnTo>
              <a:lnTo>
                <a:pt x="1142" y="977"/>
              </a:lnTo>
              <a:lnTo>
                <a:pt x="1148" y="972"/>
              </a:lnTo>
              <a:lnTo>
                <a:pt x="1172" y="966"/>
              </a:lnTo>
              <a:lnTo>
                <a:pt x="1193" y="960"/>
              </a:lnTo>
              <a:lnTo>
                <a:pt x="1218" y="968"/>
              </a:lnTo>
              <a:lnTo>
                <a:pt x="1241" y="953"/>
              </a:lnTo>
              <a:lnTo>
                <a:pt x="1332" y="952"/>
              </a:lnTo>
              <a:lnTo>
                <a:pt x="1383" y="918"/>
              </a:lnTo>
              <a:lnTo>
                <a:pt x="1408" y="909"/>
              </a:lnTo>
              <a:lnTo>
                <a:pt x="1398" y="918"/>
              </a:lnTo>
              <a:lnTo>
                <a:pt x="1405" y="937"/>
              </a:lnTo>
              <a:lnTo>
                <a:pt x="1429" y="947"/>
              </a:lnTo>
              <a:lnTo>
                <a:pt x="1459" y="931"/>
              </a:lnTo>
              <a:lnTo>
                <a:pt x="1462" y="940"/>
              </a:lnTo>
              <a:lnTo>
                <a:pt x="1405" y="965"/>
              </a:lnTo>
              <a:lnTo>
                <a:pt x="1218" y="1037"/>
              </a:lnTo>
              <a:lnTo>
                <a:pt x="1185" y="1040"/>
              </a:lnTo>
              <a:lnTo>
                <a:pt x="1148" y="1045"/>
              </a:lnTo>
              <a:lnTo>
                <a:pt x="1123" y="1045"/>
              </a:lnTo>
              <a:lnTo>
                <a:pt x="1101" y="1051"/>
              </a:lnTo>
              <a:lnTo>
                <a:pt x="1089" y="1055"/>
              </a:lnTo>
              <a:lnTo>
                <a:pt x="1090" y="1050"/>
              </a:lnTo>
              <a:lnTo>
                <a:pt x="1077" y="1049"/>
              </a:lnTo>
              <a:lnTo>
                <a:pt x="1070" y="1040"/>
              </a:lnTo>
              <a:lnTo>
                <a:pt x="1054" y="1056"/>
              </a:lnTo>
              <a:lnTo>
                <a:pt x="1030" y="1066"/>
              </a:lnTo>
              <a:lnTo>
                <a:pt x="1029" y="1066"/>
              </a:lnTo>
              <a:lnTo>
                <a:pt x="1031" y="1061"/>
              </a:lnTo>
              <a:lnTo>
                <a:pt x="1030" y="1055"/>
              </a:lnTo>
              <a:lnTo>
                <a:pt x="1040" y="1043"/>
              </a:lnTo>
              <a:lnTo>
                <a:pt x="1040" y="1037"/>
              </a:lnTo>
              <a:lnTo>
                <a:pt x="1040" y="1035"/>
              </a:lnTo>
              <a:lnTo>
                <a:pt x="1047" y="1031"/>
              </a:lnTo>
              <a:lnTo>
                <a:pt x="1051" y="1031"/>
              </a:lnTo>
              <a:lnTo>
                <a:pt x="1061" y="1029"/>
              </a:lnTo>
              <a:lnTo>
                <a:pt x="1067" y="1029"/>
              </a:lnTo>
              <a:lnTo>
                <a:pt x="1071" y="1022"/>
              </a:lnTo>
              <a:lnTo>
                <a:pt x="1073" y="1014"/>
              </a:lnTo>
              <a:lnTo>
                <a:pt x="1075" y="1005"/>
              </a:lnTo>
              <a:lnTo>
                <a:pt x="1081" y="995"/>
              </a:lnTo>
              <a:lnTo>
                <a:pt x="1089" y="977"/>
              </a:lnTo>
              <a:lnTo>
                <a:pt x="1090" y="975"/>
              </a:lnTo>
              <a:lnTo>
                <a:pt x="1090" y="974"/>
              </a:lnTo>
              <a:lnTo>
                <a:pt x="1091" y="974"/>
              </a:lnTo>
              <a:lnTo>
                <a:pt x="1092" y="967"/>
              </a:lnTo>
              <a:lnTo>
                <a:pt x="1097" y="954"/>
              </a:lnTo>
              <a:lnTo>
                <a:pt x="1097" y="951"/>
              </a:lnTo>
              <a:lnTo>
                <a:pt x="1098" y="948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pPr algn="ctr"/>
          <a:endParaRPr lang="en-US" sz="800" b="1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19</xdr:col>
      <xdr:colOff>279991</xdr:colOff>
      <xdr:row>15</xdr:row>
      <xdr:rowOff>167491</xdr:rowOff>
    </xdr:from>
    <xdr:to>
      <xdr:col>20</xdr:col>
      <xdr:colOff>214830</xdr:colOff>
      <xdr:row>19</xdr:row>
      <xdr:rowOff>153784</xdr:rowOff>
    </xdr:to>
    <xdr:sp macro="" textlink="">
      <xdr:nvSpPr>
        <xdr:cNvPr id="66" name="S_NM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>
          <a:spLocks/>
        </xdr:cNvSpPr>
      </xdr:nvSpPr>
      <xdr:spPr bwMode="auto">
        <a:xfrm>
          <a:off x="1870666" y="3215491"/>
          <a:ext cx="544439" cy="824493"/>
        </a:xfrm>
        <a:custGeom>
          <a:avLst/>
          <a:gdLst>
            <a:gd name="T0" fmla="*/ 2147483647 w 1131"/>
            <a:gd name="T1" fmla="*/ 2147483647 h 1339"/>
            <a:gd name="T2" fmla="*/ 2147483647 w 1131"/>
            <a:gd name="T3" fmla="*/ 2147483647 h 1339"/>
            <a:gd name="T4" fmla="*/ 2147483647 w 1131"/>
            <a:gd name="T5" fmla="*/ 2147483647 h 1339"/>
            <a:gd name="T6" fmla="*/ 2147483647 w 1131"/>
            <a:gd name="T7" fmla="*/ 2147483647 h 1339"/>
            <a:gd name="T8" fmla="*/ 2147483647 w 1131"/>
            <a:gd name="T9" fmla="*/ 2147483647 h 1339"/>
            <a:gd name="T10" fmla="*/ 2147483647 w 1131"/>
            <a:gd name="T11" fmla="*/ 2147483647 h 1339"/>
            <a:gd name="T12" fmla="*/ 2147483647 w 1131"/>
            <a:gd name="T13" fmla="*/ 2147483647 h 1339"/>
            <a:gd name="T14" fmla="*/ 2147483647 w 1131"/>
            <a:gd name="T15" fmla="*/ 2147483647 h 1339"/>
            <a:gd name="T16" fmla="*/ 2147483647 w 1131"/>
            <a:gd name="T17" fmla="*/ 2147483647 h 1339"/>
            <a:gd name="T18" fmla="*/ 2147483647 w 1131"/>
            <a:gd name="T19" fmla="*/ 2147483647 h 1339"/>
            <a:gd name="T20" fmla="*/ 2147483647 w 1131"/>
            <a:gd name="T21" fmla="*/ 2147483647 h 1339"/>
            <a:gd name="T22" fmla="*/ 2147483647 w 1131"/>
            <a:gd name="T23" fmla="*/ 2147483647 h 1339"/>
            <a:gd name="T24" fmla="*/ 2147483647 w 1131"/>
            <a:gd name="T25" fmla="*/ 2147483647 h 1339"/>
            <a:gd name="T26" fmla="*/ 2147483647 w 1131"/>
            <a:gd name="T27" fmla="*/ 2147483647 h 1339"/>
            <a:gd name="T28" fmla="*/ 2147483647 w 1131"/>
            <a:gd name="T29" fmla="*/ 2147483647 h 1339"/>
            <a:gd name="T30" fmla="*/ 2147483647 w 1131"/>
            <a:gd name="T31" fmla="*/ 2147483647 h 1339"/>
            <a:gd name="T32" fmla="*/ 2147483647 w 1131"/>
            <a:gd name="T33" fmla="*/ 2147483647 h 1339"/>
            <a:gd name="T34" fmla="*/ 2147483647 w 1131"/>
            <a:gd name="T35" fmla="*/ 2147483647 h 1339"/>
            <a:gd name="T36" fmla="*/ 2147483647 w 1131"/>
            <a:gd name="T37" fmla="*/ 2147483647 h 1339"/>
            <a:gd name="T38" fmla="*/ 2147483647 w 1131"/>
            <a:gd name="T39" fmla="*/ 2147483647 h 1339"/>
            <a:gd name="T40" fmla="*/ 2147483647 w 1131"/>
            <a:gd name="T41" fmla="*/ 2147483647 h 1339"/>
            <a:gd name="T42" fmla="*/ 2147483647 w 1131"/>
            <a:gd name="T43" fmla="*/ 2147483647 h 1339"/>
            <a:gd name="T44" fmla="*/ 2147483647 w 1131"/>
            <a:gd name="T45" fmla="*/ 2147483647 h 1339"/>
            <a:gd name="T46" fmla="*/ 2147483647 w 1131"/>
            <a:gd name="T47" fmla="*/ 2147483647 h 1339"/>
            <a:gd name="T48" fmla="*/ 2147483647 w 1131"/>
            <a:gd name="T49" fmla="*/ 2147483647 h 1339"/>
            <a:gd name="T50" fmla="*/ 2147483647 w 1131"/>
            <a:gd name="T51" fmla="*/ 2147483647 h 1339"/>
            <a:gd name="T52" fmla="*/ 2147483647 w 1131"/>
            <a:gd name="T53" fmla="*/ 2147483647 h 1339"/>
            <a:gd name="T54" fmla="*/ 2147483647 w 1131"/>
            <a:gd name="T55" fmla="*/ 2147483647 h 1339"/>
            <a:gd name="T56" fmla="*/ 2147483647 w 1131"/>
            <a:gd name="T57" fmla="*/ 2147483647 h 1339"/>
            <a:gd name="T58" fmla="*/ 2147483647 w 1131"/>
            <a:gd name="T59" fmla="*/ 2147483647 h 1339"/>
            <a:gd name="T60" fmla="*/ 2147483647 w 1131"/>
            <a:gd name="T61" fmla="*/ 2147483647 h 1339"/>
            <a:gd name="T62" fmla="*/ 2147483647 w 1131"/>
            <a:gd name="T63" fmla="*/ 2147483647 h 1339"/>
            <a:gd name="T64" fmla="*/ 2147483647 w 1131"/>
            <a:gd name="T65" fmla="*/ 2147483647 h 1339"/>
            <a:gd name="T66" fmla="*/ 2147483647 w 1131"/>
            <a:gd name="T67" fmla="*/ 2147483647 h 1339"/>
            <a:gd name="T68" fmla="*/ 2147483647 w 1131"/>
            <a:gd name="T69" fmla="*/ 0 h 1339"/>
            <a:gd name="T70" fmla="*/ 2147483647 w 1131"/>
            <a:gd name="T71" fmla="*/ 0 h 1339"/>
            <a:gd name="T72" fmla="*/ 2147483647 w 1131"/>
            <a:gd name="T73" fmla="*/ 2147483647 h 1339"/>
            <a:gd name="T74" fmla="*/ 2147483647 w 1131"/>
            <a:gd name="T75" fmla="*/ 2147483647 h 1339"/>
            <a:gd name="T76" fmla="*/ 2147483647 w 1131"/>
            <a:gd name="T77" fmla="*/ 2147483647 h 1339"/>
            <a:gd name="T78" fmla="*/ 2147483647 w 1131"/>
            <a:gd name="T79" fmla="*/ 2147483647 h 1339"/>
            <a:gd name="T80" fmla="*/ 2147483647 w 1131"/>
            <a:gd name="T81" fmla="*/ 2147483647 h 1339"/>
            <a:gd name="T82" fmla="*/ 2147483647 w 1131"/>
            <a:gd name="T83" fmla="*/ 0 h 1339"/>
            <a:gd name="T84" fmla="*/ 2147483647 w 1131"/>
            <a:gd name="T85" fmla="*/ 0 h 1339"/>
            <a:gd name="T86" fmla="*/ 2147483647 w 1131"/>
            <a:gd name="T87" fmla="*/ 0 h 1339"/>
            <a:gd name="T88" fmla="*/ 2147483647 w 1131"/>
            <a:gd name="T89" fmla="*/ 0 h 1339"/>
            <a:gd name="T90" fmla="*/ 2147483647 w 1131"/>
            <a:gd name="T91" fmla="*/ 2147483647 h 1339"/>
            <a:gd name="T92" fmla="*/ 2147483647 w 1131"/>
            <a:gd name="T93" fmla="*/ 2147483647 h 1339"/>
            <a:gd name="T94" fmla="*/ 2147483647 w 1131"/>
            <a:gd name="T95" fmla="*/ 2147483647 h 1339"/>
            <a:gd name="T96" fmla="*/ 2147483647 w 1131"/>
            <a:gd name="T97" fmla="*/ 2147483647 h 1339"/>
            <a:gd name="T98" fmla="*/ 2147483647 w 1131"/>
            <a:gd name="T99" fmla="*/ 2147483647 h 1339"/>
            <a:gd name="T100" fmla="*/ 2147483647 w 1131"/>
            <a:gd name="T101" fmla="*/ 2147483647 h 1339"/>
            <a:gd name="T102" fmla="*/ 2147483647 w 1131"/>
            <a:gd name="T103" fmla="*/ 2147483647 h 1339"/>
            <a:gd name="T104" fmla="*/ 2147483647 w 1131"/>
            <a:gd name="T105" fmla="*/ 2147483647 h 1339"/>
            <a:gd name="T106" fmla="*/ 0 w 1131"/>
            <a:gd name="T107" fmla="*/ 2147483647 h 1339"/>
            <a:gd name="T108" fmla="*/ 0 w 1131"/>
            <a:gd name="T109" fmla="*/ 2147483647 h 1339"/>
            <a:gd name="T110" fmla="*/ 0 w 1131"/>
            <a:gd name="T111" fmla="*/ 2147483647 h 1339"/>
            <a:gd name="T112" fmla="*/ 0 w 1131"/>
            <a:gd name="T113" fmla="*/ 2147483647 h 1339"/>
            <a:gd name="T114" fmla="*/ 0 w 1131"/>
            <a:gd name="T115" fmla="*/ 2147483647 h 1339"/>
            <a:gd name="T116" fmla="*/ 2147483647 w 1131"/>
            <a:gd name="T117" fmla="*/ 2147483647 h 1339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w 1131"/>
            <a:gd name="T178" fmla="*/ 0 h 1339"/>
            <a:gd name="T179" fmla="*/ 1131 w 1131"/>
            <a:gd name="T180" fmla="*/ 1339 h 1339"/>
          </a:gdLst>
          <a:ahLst/>
          <a:cxnLst>
            <a:cxn ang="T118">
              <a:pos x="T0" y="T1"/>
            </a:cxn>
            <a:cxn ang="T119">
              <a:pos x="T2" y="T3"/>
            </a:cxn>
            <a:cxn ang="T120">
              <a:pos x="T4" y="T5"/>
            </a:cxn>
            <a:cxn ang="T121">
              <a:pos x="T6" y="T7"/>
            </a:cxn>
            <a:cxn ang="T122">
              <a:pos x="T8" y="T9"/>
            </a:cxn>
            <a:cxn ang="T123">
              <a:pos x="T10" y="T11"/>
            </a:cxn>
            <a:cxn ang="T124">
              <a:pos x="T12" y="T13"/>
            </a:cxn>
            <a:cxn ang="T125">
              <a:pos x="T14" y="T15"/>
            </a:cxn>
            <a:cxn ang="T126">
              <a:pos x="T16" y="T17"/>
            </a:cxn>
            <a:cxn ang="T127">
              <a:pos x="T18" y="T19"/>
            </a:cxn>
            <a:cxn ang="T128">
              <a:pos x="T20" y="T21"/>
            </a:cxn>
            <a:cxn ang="T129">
              <a:pos x="T22" y="T23"/>
            </a:cxn>
            <a:cxn ang="T130">
              <a:pos x="T24" y="T25"/>
            </a:cxn>
            <a:cxn ang="T131">
              <a:pos x="T26" y="T27"/>
            </a:cxn>
            <a:cxn ang="T132">
              <a:pos x="T28" y="T29"/>
            </a:cxn>
            <a:cxn ang="T133">
              <a:pos x="T30" y="T31"/>
            </a:cxn>
            <a:cxn ang="T134">
              <a:pos x="T32" y="T33"/>
            </a:cxn>
            <a:cxn ang="T135">
              <a:pos x="T34" y="T35"/>
            </a:cxn>
            <a:cxn ang="T136">
              <a:pos x="T36" y="T37"/>
            </a:cxn>
            <a:cxn ang="T137">
              <a:pos x="T38" y="T39"/>
            </a:cxn>
            <a:cxn ang="T138">
              <a:pos x="T40" y="T41"/>
            </a:cxn>
            <a:cxn ang="T139">
              <a:pos x="T42" y="T43"/>
            </a:cxn>
            <a:cxn ang="T140">
              <a:pos x="T44" y="T45"/>
            </a:cxn>
            <a:cxn ang="T141">
              <a:pos x="T46" y="T47"/>
            </a:cxn>
            <a:cxn ang="T142">
              <a:pos x="T48" y="T49"/>
            </a:cxn>
            <a:cxn ang="T143">
              <a:pos x="T50" y="T51"/>
            </a:cxn>
            <a:cxn ang="T144">
              <a:pos x="T52" y="T53"/>
            </a:cxn>
            <a:cxn ang="T145">
              <a:pos x="T54" y="T55"/>
            </a:cxn>
            <a:cxn ang="T146">
              <a:pos x="T56" y="T57"/>
            </a:cxn>
            <a:cxn ang="T147">
              <a:pos x="T58" y="T59"/>
            </a:cxn>
            <a:cxn ang="T148">
              <a:pos x="T60" y="T61"/>
            </a:cxn>
            <a:cxn ang="T149">
              <a:pos x="T62" y="T63"/>
            </a:cxn>
            <a:cxn ang="T150">
              <a:pos x="T64" y="T65"/>
            </a:cxn>
            <a:cxn ang="T151">
              <a:pos x="T66" y="T67"/>
            </a:cxn>
            <a:cxn ang="T152">
              <a:pos x="T68" y="T69"/>
            </a:cxn>
            <a:cxn ang="T153">
              <a:pos x="T70" y="T71"/>
            </a:cxn>
            <a:cxn ang="T154">
              <a:pos x="T72" y="T73"/>
            </a:cxn>
            <a:cxn ang="T155">
              <a:pos x="T74" y="T75"/>
            </a:cxn>
            <a:cxn ang="T156">
              <a:pos x="T76" y="T77"/>
            </a:cxn>
            <a:cxn ang="T157">
              <a:pos x="T78" y="T79"/>
            </a:cxn>
            <a:cxn ang="T158">
              <a:pos x="T80" y="T81"/>
            </a:cxn>
            <a:cxn ang="T159">
              <a:pos x="T82" y="T83"/>
            </a:cxn>
            <a:cxn ang="T160">
              <a:pos x="T84" y="T85"/>
            </a:cxn>
            <a:cxn ang="T161">
              <a:pos x="T86" y="T87"/>
            </a:cxn>
            <a:cxn ang="T162">
              <a:pos x="T88" y="T89"/>
            </a:cxn>
            <a:cxn ang="T163">
              <a:pos x="T90" y="T91"/>
            </a:cxn>
            <a:cxn ang="T164">
              <a:pos x="T92" y="T93"/>
            </a:cxn>
            <a:cxn ang="T165">
              <a:pos x="T94" y="T95"/>
            </a:cxn>
            <a:cxn ang="T166">
              <a:pos x="T96" y="T97"/>
            </a:cxn>
            <a:cxn ang="T167">
              <a:pos x="T98" y="T99"/>
            </a:cxn>
            <a:cxn ang="T168">
              <a:pos x="T100" y="T101"/>
            </a:cxn>
            <a:cxn ang="T169">
              <a:pos x="T102" y="T103"/>
            </a:cxn>
            <a:cxn ang="T170">
              <a:pos x="T104" y="T105"/>
            </a:cxn>
            <a:cxn ang="T171">
              <a:pos x="T106" y="T107"/>
            </a:cxn>
            <a:cxn ang="T172">
              <a:pos x="T108" y="T109"/>
            </a:cxn>
            <a:cxn ang="T173">
              <a:pos x="T110" y="T111"/>
            </a:cxn>
            <a:cxn ang="T174">
              <a:pos x="T112" y="T113"/>
            </a:cxn>
            <a:cxn ang="T175">
              <a:pos x="T114" y="T115"/>
            </a:cxn>
            <a:cxn ang="T176">
              <a:pos x="T116" y="T117"/>
            </a:cxn>
          </a:cxnLst>
          <a:rect l="T177" t="T178" r="T179" b="T180"/>
          <a:pathLst>
            <a:path w="1131" h="1339">
              <a:moveTo>
                <a:pt x="33" y="1339"/>
              </a:moveTo>
              <a:lnTo>
                <a:pt x="157" y="1339"/>
              </a:lnTo>
              <a:lnTo>
                <a:pt x="157" y="1233"/>
              </a:lnTo>
              <a:lnTo>
                <a:pt x="328" y="1233"/>
              </a:lnTo>
              <a:lnTo>
                <a:pt x="472" y="1233"/>
              </a:lnTo>
              <a:lnTo>
                <a:pt x="450" y="1206"/>
              </a:lnTo>
              <a:lnTo>
                <a:pt x="456" y="1201"/>
              </a:lnTo>
              <a:lnTo>
                <a:pt x="451" y="1187"/>
              </a:lnTo>
              <a:lnTo>
                <a:pt x="455" y="1181"/>
              </a:lnTo>
              <a:lnTo>
                <a:pt x="500" y="1181"/>
              </a:lnTo>
              <a:lnTo>
                <a:pt x="523" y="1181"/>
              </a:lnTo>
              <a:lnTo>
                <a:pt x="547" y="1180"/>
              </a:lnTo>
              <a:lnTo>
                <a:pt x="571" y="1180"/>
              </a:lnTo>
              <a:lnTo>
                <a:pt x="687" y="1181"/>
              </a:lnTo>
              <a:lnTo>
                <a:pt x="740" y="1181"/>
              </a:lnTo>
              <a:lnTo>
                <a:pt x="773" y="1181"/>
              </a:lnTo>
              <a:lnTo>
                <a:pt x="786" y="1181"/>
              </a:lnTo>
              <a:lnTo>
                <a:pt x="878" y="1181"/>
              </a:lnTo>
              <a:lnTo>
                <a:pt x="896" y="1181"/>
              </a:lnTo>
              <a:lnTo>
                <a:pt x="940" y="1181"/>
              </a:lnTo>
              <a:lnTo>
                <a:pt x="948" y="1181"/>
              </a:lnTo>
              <a:lnTo>
                <a:pt x="991" y="1181"/>
              </a:lnTo>
              <a:lnTo>
                <a:pt x="994" y="1181"/>
              </a:lnTo>
              <a:lnTo>
                <a:pt x="997" y="1181"/>
              </a:lnTo>
              <a:lnTo>
                <a:pt x="1015" y="1181"/>
              </a:lnTo>
              <a:lnTo>
                <a:pt x="1063" y="1181"/>
              </a:lnTo>
              <a:lnTo>
                <a:pt x="1070" y="1181"/>
              </a:lnTo>
              <a:lnTo>
                <a:pt x="1108" y="1181"/>
              </a:lnTo>
              <a:lnTo>
                <a:pt x="1120" y="1181"/>
              </a:lnTo>
              <a:lnTo>
                <a:pt x="1120" y="1161"/>
              </a:lnTo>
              <a:lnTo>
                <a:pt x="1120" y="1123"/>
              </a:lnTo>
              <a:lnTo>
                <a:pt x="1120" y="1069"/>
              </a:lnTo>
              <a:lnTo>
                <a:pt x="1120" y="1058"/>
              </a:lnTo>
              <a:lnTo>
                <a:pt x="1120" y="1034"/>
              </a:lnTo>
              <a:lnTo>
                <a:pt x="1120" y="988"/>
              </a:lnTo>
              <a:lnTo>
                <a:pt x="1120" y="955"/>
              </a:lnTo>
              <a:lnTo>
                <a:pt x="1121" y="916"/>
              </a:lnTo>
              <a:lnTo>
                <a:pt x="1122" y="856"/>
              </a:lnTo>
              <a:lnTo>
                <a:pt x="1122" y="854"/>
              </a:lnTo>
              <a:lnTo>
                <a:pt x="1122" y="827"/>
              </a:lnTo>
              <a:lnTo>
                <a:pt x="1122" y="820"/>
              </a:lnTo>
              <a:lnTo>
                <a:pt x="1122" y="810"/>
              </a:lnTo>
              <a:lnTo>
                <a:pt x="1123" y="787"/>
              </a:lnTo>
              <a:lnTo>
                <a:pt x="1123" y="778"/>
              </a:lnTo>
              <a:lnTo>
                <a:pt x="1123" y="750"/>
              </a:lnTo>
              <a:lnTo>
                <a:pt x="1124" y="708"/>
              </a:lnTo>
              <a:lnTo>
                <a:pt x="1124" y="650"/>
              </a:lnTo>
              <a:lnTo>
                <a:pt x="1124" y="638"/>
              </a:lnTo>
              <a:lnTo>
                <a:pt x="1124" y="635"/>
              </a:lnTo>
              <a:lnTo>
                <a:pt x="1124" y="608"/>
              </a:lnTo>
              <a:lnTo>
                <a:pt x="1124" y="591"/>
              </a:lnTo>
              <a:lnTo>
                <a:pt x="1124" y="532"/>
              </a:lnTo>
              <a:lnTo>
                <a:pt x="1124" y="505"/>
              </a:lnTo>
              <a:lnTo>
                <a:pt x="1124" y="502"/>
              </a:lnTo>
              <a:lnTo>
                <a:pt x="1124" y="484"/>
              </a:lnTo>
              <a:lnTo>
                <a:pt x="1124" y="473"/>
              </a:lnTo>
              <a:lnTo>
                <a:pt x="1124" y="443"/>
              </a:lnTo>
              <a:lnTo>
                <a:pt x="1124" y="429"/>
              </a:lnTo>
              <a:lnTo>
                <a:pt x="1124" y="409"/>
              </a:lnTo>
              <a:lnTo>
                <a:pt x="1124" y="395"/>
              </a:lnTo>
              <a:lnTo>
                <a:pt x="1124" y="325"/>
              </a:lnTo>
              <a:lnTo>
                <a:pt x="1124" y="298"/>
              </a:lnTo>
              <a:lnTo>
                <a:pt x="1124" y="295"/>
              </a:lnTo>
              <a:lnTo>
                <a:pt x="1124" y="290"/>
              </a:lnTo>
              <a:lnTo>
                <a:pt x="1124" y="224"/>
              </a:lnTo>
              <a:lnTo>
                <a:pt x="1124" y="119"/>
              </a:lnTo>
              <a:lnTo>
                <a:pt x="1131" y="119"/>
              </a:lnTo>
              <a:lnTo>
                <a:pt x="1131" y="66"/>
              </a:lnTo>
              <a:lnTo>
                <a:pt x="1131" y="30"/>
              </a:lnTo>
              <a:lnTo>
                <a:pt x="1131" y="0"/>
              </a:lnTo>
              <a:lnTo>
                <a:pt x="1115" y="0"/>
              </a:lnTo>
              <a:lnTo>
                <a:pt x="1072" y="0"/>
              </a:lnTo>
              <a:lnTo>
                <a:pt x="1062" y="0"/>
              </a:lnTo>
              <a:lnTo>
                <a:pt x="943" y="1"/>
              </a:lnTo>
              <a:lnTo>
                <a:pt x="875" y="2"/>
              </a:lnTo>
              <a:lnTo>
                <a:pt x="770" y="2"/>
              </a:lnTo>
              <a:lnTo>
                <a:pt x="729" y="1"/>
              </a:lnTo>
              <a:lnTo>
                <a:pt x="716" y="1"/>
              </a:lnTo>
              <a:lnTo>
                <a:pt x="623" y="1"/>
              </a:lnTo>
              <a:lnTo>
                <a:pt x="618" y="1"/>
              </a:lnTo>
              <a:lnTo>
                <a:pt x="594" y="1"/>
              </a:lnTo>
              <a:lnTo>
                <a:pt x="569" y="1"/>
              </a:lnTo>
              <a:lnTo>
                <a:pt x="482" y="2"/>
              </a:lnTo>
              <a:lnTo>
                <a:pt x="305" y="0"/>
              </a:lnTo>
              <a:lnTo>
                <a:pt x="300" y="0"/>
              </a:lnTo>
              <a:lnTo>
                <a:pt x="293" y="0"/>
              </a:lnTo>
              <a:lnTo>
                <a:pt x="291" y="0"/>
              </a:lnTo>
              <a:lnTo>
                <a:pt x="173" y="0"/>
              </a:lnTo>
              <a:lnTo>
                <a:pt x="125" y="0"/>
              </a:lnTo>
              <a:lnTo>
                <a:pt x="71" y="0"/>
              </a:lnTo>
              <a:lnTo>
                <a:pt x="56" y="1"/>
              </a:lnTo>
              <a:lnTo>
                <a:pt x="1" y="1"/>
              </a:lnTo>
              <a:lnTo>
                <a:pt x="1" y="59"/>
              </a:lnTo>
              <a:lnTo>
                <a:pt x="1" y="119"/>
              </a:lnTo>
              <a:lnTo>
                <a:pt x="1" y="235"/>
              </a:lnTo>
              <a:lnTo>
                <a:pt x="1" y="347"/>
              </a:lnTo>
              <a:lnTo>
                <a:pt x="1" y="354"/>
              </a:lnTo>
              <a:lnTo>
                <a:pt x="1" y="483"/>
              </a:lnTo>
              <a:lnTo>
                <a:pt x="1" y="523"/>
              </a:lnTo>
              <a:lnTo>
                <a:pt x="1" y="528"/>
              </a:lnTo>
              <a:lnTo>
                <a:pt x="1" y="572"/>
              </a:lnTo>
              <a:lnTo>
                <a:pt x="1" y="621"/>
              </a:lnTo>
              <a:lnTo>
                <a:pt x="0" y="708"/>
              </a:lnTo>
              <a:lnTo>
                <a:pt x="1" y="762"/>
              </a:lnTo>
              <a:lnTo>
                <a:pt x="1" y="766"/>
              </a:lnTo>
              <a:lnTo>
                <a:pt x="1" y="768"/>
              </a:lnTo>
              <a:lnTo>
                <a:pt x="0" y="896"/>
              </a:lnTo>
              <a:lnTo>
                <a:pt x="0" y="910"/>
              </a:lnTo>
              <a:lnTo>
                <a:pt x="0" y="945"/>
              </a:lnTo>
              <a:lnTo>
                <a:pt x="0" y="997"/>
              </a:lnTo>
              <a:lnTo>
                <a:pt x="0" y="1004"/>
              </a:lnTo>
              <a:lnTo>
                <a:pt x="0" y="1064"/>
              </a:lnTo>
              <a:lnTo>
                <a:pt x="0" y="1081"/>
              </a:lnTo>
              <a:lnTo>
                <a:pt x="0" y="1288"/>
              </a:lnTo>
              <a:lnTo>
                <a:pt x="0" y="1294"/>
              </a:lnTo>
              <a:lnTo>
                <a:pt x="0" y="1339"/>
              </a:lnTo>
              <a:lnTo>
                <a:pt x="30" y="1339"/>
              </a:lnTo>
              <a:lnTo>
                <a:pt x="33" y="1339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pPr algn="ctr"/>
          <a:endParaRPr lang="en-US" sz="800" b="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24</xdr:col>
      <xdr:colOff>252974</xdr:colOff>
      <xdr:row>12</xdr:row>
      <xdr:rowOff>154039</xdr:rowOff>
    </xdr:from>
    <xdr:to>
      <xdr:col>24</xdr:col>
      <xdr:colOff>399990</xdr:colOff>
      <xdr:row>14</xdr:row>
      <xdr:rowOff>100612</xdr:rowOff>
    </xdr:to>
    <xdr:sp macro="" textlink="">
      <xdr:nvSpPr>
        <xdr:cNvPr id="67" name="S_NJ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>
          <a:spLocks/>
        </xdr:cNvSpPr>
      </xdr:nvSpPr>
      <xdr:spPr bwMode="auto">
        <a:xfrm>
          <a:off x="4891649" y="2592439"/>
          <a:ext cx="147016" cy="365673"/>
        </a:xfrm>
        <a:custGeom>
          <a:avLst/>
          <a:gdLst>
            <a:gd name="T0" fmla="*/ 2147483647 w 312"/>
            <a:gd name="T1" fmla="*/ 2147483647 h 573"/>
            <a:gd name="T2" fmla="*/ 2147483647 w 312"/>
            <a:gd name="T3" fmla="*/ 2147483647 h 573"/>
            <a:gd name="T4" fmla="*/ 2147483647 w 312"/>
            <a:gd name="T5" fmla="*/ 2147483647 h 573"/>
            <a:gd name="T6" fmla="*/ 2147483647 w 312"/>
            <a:gd name="T7" fmla="*/ 2147483647 h 573"/>
            <a:gd name="T8" fmla="*/ 2147483647 w 312"/>
            <a:gd name="T9" fmla="*/ 2147483647 h 573"/>
            <a:gd name="T10" fmla="*/ 2147483647 w 312"/>
            <a:gd name="T11" fmla="*/ 2147483647 h 573"/>
            <a:gd name="T12" fmla="*/ 2147483647 w 312"/>
            <a:gd name="T13" fmla="*/ 2147483647 h 573"/>
            <a:gd name="T14" fmla="*/ 2147483647 w 312"/>
            <a:gd name="T15" fmla="*/ 2147483647 h 573"/>
            <a:gd name="T16" fmla="*/ 2147483647 w 312"/>
            <a:gd name="T17" fmla="*/ 2147483647 h 573"/>
            <a:gd name="T18" fmla="*/ 2147483647 w 312"/>
            <a:gd name="T19" fmla="*/ 2147483647 h 573"/>
            <a:gd name="T20" fmla="*/ 2147483647 w 312"/>
            <a:gd name="T21" fmla="*/ 2147483647 h 573"/>
            <a:gd name="T22" fmla="*/ 2147483647 w 312"/>
            <a:gd name="T23" fmla="*/ 2147483647 h 573"/>
            <a:gd name="T24" fmla="*/ 2147483647 w 312"/>
            <a:gd name="T25" fmla="*/ 2147483647 h 573"/>
            <a:gd name="T26" fmla="*/ 2147483647 w 312"/>
            <a:gd name="T27" fmla="*/ 2147483647 h 573"/>
            <a:gd name="T28" fmla="*/ 2147483647 w 312"/>
            <a:gd name="T29" fmla="*/ 2147483647 h 573"/>
            <a:gd name="T30" fmla="*/ 2147483647 w 312"/>
            <a:gd name="T31" fmla="*/ 2147483647 h 573"/>
            <a:gd name="T32" fmla="*/ 2147483647 w 312"/>
            <a:gd name="T33" fmla="*/ 2147483647 h 573"/>
            <a:gd name="T34" fmla="*/ 2147483647 w 312"/>
            <a:gd name="T35" fmla="*/ 2147483647 h 573"/>
            <a:gd name="T36" fmla="*/ 2147483647 w 312"/>
            <a:gd name="T37" fmla="*/ 2147483647 h 573"/>
            <a:gd name="T38" fmla="*/ 2147483647 w 312"/>
            <a:gd name="T39" fmla="*/ 2147483647 h 573"/>
            <a:gd name="T40" fmla="*/ 2147483647 w 312"/>
            <a:gd name="T41" fmla="*/ 2147483647 h 573"/>
            <a:gd name="T42" fmla="*/ 2147483647 w 312"/>
            <a:gd name="T43" fmla="*/ 0 h 573"/>
            <a:gd name="T44" fmla="*/ 2147483647 w 312"/>
            <a:gd name="T45" fmla="*/ 2147483647 h 573"/>
            <a:gd name="T46" fmla="*/ 2147483647 w 312"/>
            <a:gd name="T47" fmla="*/ 2147483647 h 573"/>
            <a:gd name="T48" fmla="*/ 2147483647 w 312"/>
            <a:gd name="T49" fmla="*/ 2147483647 h 573"/>
            <a:gd name="T50" fmla="*/ 2147483647 w 312"/>
            <a:gd name="T51" fmla="*/ 2147483647 h 573"/>
            <a:gd name="T52" fmla="*/ 2147483647 w 312"/>
            <a:gd name="T53" fmla="*/ 2147483647 h 573"/>
            <a:gd name="T54" fmla="*/ 2147483647 w 312"/>
            <a:gd name="T55" fmla="*/ 2147483647 h 573"/>
            <a:gd name="T56" fmla="*/ 2147483647 w 312"/>
            <a:gd name="T57" fmla="*/ 2147483647 h 573"/>
            <a:gd name="T58" fmla="*/ 2147483647 w 312"/>
            <a:gd name="T59" fmla="*/ 2147483647 h 573"/>
            <a:gd name="T60" fmla="*/ 2147483647 w 312"/>
            <a:gd name="T61" fmla="*/ 2147483647 h 573"/>
            <a:gd name="T62" fmla="*/ 2147483647 w 312"/>
            <a:gd name="T63" fmla="*/ 2147483647 h 573"/>
            <a:gd name="T64" fmla="*/ 2147483647 w 312"/>
            <a:gd name="T65" fmla="*/ 2147483647 h 573"/>
            <a:gd name="T66" fmla="*/ 2147483647 w 312"/>
            <a:gd name="T67" fmla="*/ 2147483647 h 573"/>
            <a:gd name="T68" fmla="*/ 2147483647 w 312"/>
            <a:gd name="T69" fmla="*/ 2147483647 h 573"/>
            <a:gd name="T70" fmla="*/ 2147483647 w 312"/>
            <a:gd name="T71" fmla="*/ 2147483647 h 573"/>
            <a:gd name="T72" fmla="*/ 2147483647 w 312"/>
            <a:gd name="T73" fmla="*/ 2147483647 h 573"/>
            <a:gd name="T74" fmla="*/ 2147483647 w 312"/>
            <a:gd name="T75" fmla="*/ 2147483647 h 573"/>
            <a:gd name="T76" fmla="*/ 2147483647 w 312"/>
            <a:gd name="T77" fmla="*/ 2147483647 h 573"/>
            <a:gd name="T78" fmla="*/ 0 w 312"/>
            <a:gd name="T79" fmla="*/ 2147483647 h 573"/>
            <a:gd name="T80" fmla="*/ 0 w 312"/>
            <a:gd name="T81" fmla="*/ 2147483647 h 573"/>
            <a:gd name="T82" fmla="*/ 2147483647 w 312"/>
            <a:gd name="T83" fmla="*/ 2147483647 h 573"/>
            <a:gd name="T84" fmla="*/ 2147483647 w 312"/>
            <a:gd name="T85" fmla="*/ 2147483647 h 573"/>
            <a:gd name="T86" fmla="*/ 2147483647 w 312"/>
            <a:gd name="T87" fmla="*/ 2147483647 h 573"/>
            <a:gd name="T88" fmla="*/ 2147483647 w 312"/>
            <a:gd name="T89" fmla="*/ 2147483647 h 573"/>
            <a:gd name="T90" fmla="*/ 2147483647 w 312"/>
            <a:gd name="T91" fmla="*/ 2147483647 h 573"/>
            <a:gd name="T92" fmla="*/ 2147483647 w 312"/>
            <a:gd name="T93" fmla="*/ 2147483647 h 573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w 312"/>
            <a:gd name="T142" fmla="*/ 0 h 573"/>
            <a:gd name="T143" fmla="*/ 312 w 312"/>
            <a:gd name="T144" fmla="*/ 573 h 573"/>
          </a:gdLst>
          <a:ahLst/>
          <a:cxnLst>
            <a:cxn ang="T94">
              <a:pos x="T0" y="T1"/>
            </a:cxn>
            <a:cxn ang="T95">
              <a:pos x="T2" y="T3"/>
            </a:cxn>
            <a:cxn ang="T96">
              <a:pos x="T4" y="T5"/>
            </a:cxn>
            <a:cxn ang="T97">
              <a:pos x="T6" y="T7"/>
            </a:cxn>
            <a:cxn ang="T98">
              <a:pos x="T8" y="T9"/>
            </a:cxn>
            <a:cxn ang="T99">
              <a:pos x="T10" y="T11"/>
            </a:cxn>
            <a:cxn ang="T100">
              <a:pos x="T12" y="T13"/>
            </a:cxn>
            <a:cxn ang="T101">
              <a:pos x="T14" y="T15"/>
            </a:cxn>
            <a:cxn ang="T102">
              <a:pos x="T16" y="T17"/>
            </a:cxn>
            <a:cxn ang="T103">
              <a:pos x="T18" y="T19"/>
            </a:cxn>
            <a:cxn ang="T104">
              <a:pos x="T20" y="T21"/>
            </a:cxn>
            <a:cxn ang="T105">
              <a:pos x="T22" y="T23"/>
            </a:cxn>
            <a:cxn ang="T106">
              <a:pos x="T24" y="T25"/>
            </a:cxn>
            <a:cxn ang="T107">
              <a:pos x="T26" y="T27"/>
            </a:cxn>
            <a:cxn ang="T108">
              <a:pos x="T28" y="T29"/>
            </a:cxn>
            <a:cxn ang="T109">
              <a:pos x="T30" y="T31"/>
            </a:cxn>
            <a:cxn ang="T110">
              <a:pos x="T32" y="T33"/>
            </a:cxn>
            <a:cxn ang="T111">
              <a:pos x="T34" y="T35"/>
            </a:cxn>
            <a:cxn ang="T112">
              <a:pos x="T36" y="T37"/>
            </a:cxn>
            <a:cxn ang="T113">
              <a:pos x="T38" y="T39"/>
            </a:cxn>
            <a:cxn ang="T114">
              <a:pos x="T40" y="T41"/>
            </a:cxn>
            <a:cxn ang="T115">
              <a:pos x="T42" y="T43"/>
            </a:cxn>
            <a:cxn ang="T116">
              <a:pos x="T44" y="T45"/>
            </a:cxn>
            <a:cxn ang="T117">
              <a:pos x="T46" y="T47"/>
            </a:cxn>
            <a:cxn ang="T118">
              <a:pos x="T48" y="T49"/>
            </a:cxn>
            <a:cxn ang="T119">
              <a:pos x="T50" y="T51"/>
            </a:cxn>
            <a:cxn ang="T120">
              <a:pos x="T52" y="T53"/>
            </a:cxn>
            <a:cxn ang="T121">
              <a:pos x="T54" y="T55"/>
            </a:cxn>
            <a:cxn ang="T122">
              <a:pos x="T56" y="T57"/>
            </a:cxn>
            <a:cxn ang="T123">
              <a:pos x="T58" y="T59"/>
            </a:cxn>
            <a:cxn ang="T124">
              <a:pos x="T60" y="T61"/>
            </a:cxn>
            <a:cxn ang="T125">
              <a:pos x="T62" y="T63"/>
            </a:cxn>
            <a:cxn ang="T126">
              <a:pos x="T64" y="T65"/>
            </a:cxn>
            <a:cxn ang="T127">
              <a:pos x="T66" y="T67"/>
            </a:cxn>
            <a:cxn ang="T128">
              <a:pos x="T68" y="T69"/>
            </a:cxn>
            <a:cxn ang="T129">
              <a:pos x="T70" y="T71"/>
            </a:cxn>
            <a:cxn ang="T130">
              <a:pos x="T72" y="T73"/>
            </a:cxn>
            <a:cxn ang="T131">
              <a:pos x="T74" y="T75"/>
            </a:cxn>
            <a:cxn ang="T132">
              <a:pos x="T76" y="T77"/>
            </a:cxn>
            <a:cxn ang="T133">
              <a:pos x="T78" y="T79"/>
            </a:cxn>
            <a:cxn ang="T134">
              <a:pos x="T80" y="T81"/>
            </a:cxn>
            <a:cxn ang="T135">
              <a:pos x="T82" y="T83"/>
            </a:cxn>
            <a:cxn ang="T136">
              <a:pos x="T84" y="T85"/>
            </a:cxn>
            <a:cxn ang="T137">
              <a:pos x="T86" y="T87"/>
            </a:cxn>
            <a:cxn ang="T138">
              <a:pos x="T88" y="T89"/>
            </a:cxn>
            <a:cxn ang="T139">
              <a:pos x="T90" y="T91"/>
            </a:cxn>
            <a:cxn ang="T140">
              <a:pos x="T92" y="T93"/>
            </a:cxn>
          </a:cxnLst>
          <a:rect l="T141" t="T142" r="T143" b="T144"/>
          <a:pathLst>
            <a:path w="312" h="573">
              <a:moveTo>
                <a:pt x="230" y="438"/>
              </a:moveTo>
              <a:lnTo>
                <a:pt x="237" y="437"/>
              </a:lnTo>
              <a:lnTo>
                <a:pt x="273" y="376"/>
              </a:lnTo>
              <a:lnTo>
                <a:pt x="286" y="297"/>
              </a:lnTo>
              <a:lnTo>
                <a:pt x="297" y="232"/>
              </a:lnTo>
              <a:lnTo>
                <a:pt x="294" y="209"/>
              </a:lnTo>
              <a:lnTo>
                <a:pt x="292" y="219"/>
              </a:lnTo>
              <a:lnTo>
                <a:pt x="258" y="212"/>
              </a:lnTo>
              <a:lnTo>
                <a:pt x="253" y="217"/>
              </a:lnTo>
              <a:lnTo>
                <a:pt x="245" y="211"/>
              </a:lnTo>
              <a:lnTo>
                <a:pt x="243" y="203"/>
              </a:lnTo>
              <a:lnTo>
                <a:pt x="245" y="198"/>
              </a:lnTo>
              <a:lnTo>
                <a:pt x="244" y="192"/>
              </a:lnTo>
              <a:lnTo>
                <a:pt x="254" y="180"/>
              </a:lnTo>
              <a:lnTo>
                <a:pt x="254" y="174"/>
              </a:lnTo>
              <a:lnTo>
                <a:pt x="254" y="172"/>
              </a:lnTo>
              <a:lnTo>
                <a:pt x="261" y="168"/>
              </a:lnTo>
              <a:lnTo>
                <a:pt x="265" y="168"/>
              </a:lnTo>
              <a:lnTo>
                <a:pt x="275" y="166"/>
              </a:lnTo>
              <a:lnTo>
                <a:pt x="281" y="166"/>
              </a:lnTo>
              <a:lnTo>
                <a:pt x="285" y="159"/>
              </a:lnTo>
              <a:lnTo>
                <a:pt x="287" y="151"/>
              </a:lnTo>
              <a:lnTo>
                <a:pt x="289" y="142"/>
              </a:lnTo>
              <a:lnTo>
                <a:pt x="295" y="132"/>
              </a:lnTo>
              <a:lnTo>
                <a:pt x="303" y="114"/>
              </a:lnTo>
              <a:lnTo>
                <a:pt x="304" y="112"/>
              </a:lnTo>
              <a:lnTo>
                <a:pt x="304" y="111"/>
              </a:lnTo>
              <a:lnTo>
                <a:pt x="305" y="111"/>
              </a:lnTo>
              <a:lnTo>
                <a:pt x="306" y="104"/>
              </a:lnTo>
              <a:lnTo>
                <a:pt x="311" y="91"/>
              </a:lnTo>
              <a:lnTo>
                <a:pt x="311" y="88"/>
              </a:lnTo>
              <a:lnTo>
                <a:pt x="312" y="85"/>
              </a:lnTo>
              <a:lnTo>
                <a:pt x="310" y="85"/>
              </a:lnTo>
              <a:lnTo>
                <a:pt x="266" y="60"/>
              </a:lnTo>
              <a:lnTo>
                <a:pt x="252" y="53"/>
              </a:lnTo>
              <a:lnTo>
                <a:pt x="250" y="52"/>
              </a:lnTo>
              <a:lnTo>
                <a:pt x="247" y="51"/>
              </a:lnTo>
              <a:lnTo>
                <a:pt x="241" y="48"/>
              </a:lnTo>
              <a:lnTo>
                <a:pt x="229" y="40"/>
              </a:lnTo>
              <a:lnTo>
                <a:pt x="223" y="37"/>
              </a:lnTo>
              <a:lnTo>
                <a:pt x="205" y="25"/>
              </a:lnTo>
              <a:lnTo>
                <a:pt x="189" y="15"/>
              </a:lnTo>
              <a:lnTo>
                <a:pt x="162" y="0"/>
              </a:lnTo>
              <a:lnTo>
                <a:pt x="150" y="3"/>
              </a:lnTo>
              <a:lnTo>
                <a:pt x="132" y="25"/>
              </a:lnTo>
              <a:lnTo>
                <a:pt x="125" y="42"/>
              </a:lnTo>
              <a:lnTo>
                <a:pt x="106" y="62"/>
              </a:lnTo>
              <a:lnTo>
                <a:pt x="111" y="61"/>
              </a:lnTo>
              <a:lnTo>
                <a:pt x="104" y="67"/>
              </a:lnTo>
              <a:lnTo>
                <a:pt x="79" y="87"/>
              </a:lnTo>
              <a:lnTo>
                <a:pt x="82" y="91"/>
              </a:lnTo>
              <a:lnTo>
                <a:pt x="94" y="114"/>
              </a:lnTo>
              <a:lnTo>
                <a:pt x="68" y="144"/>
              </a:lnTo>
              <a:lnTo>
                <a:pt x="68" y="177"/>
              </a:lnTo>
              <a:lnTo>
                <a:pt x="69" y="178"/>
              </a:lnTo>
              <a:lnTo>
                <a:pt x="69" y="180"/>
              </a:lnTo>
              <a:lnTo>
                <a:pt x="82" y="184"/>
              </a:lnTo>
              <a:lnTo>
                <a:pt x="114" y="232"/>
              </a:lnTo>
              <a:lnTo>
                <a:pt x="115" y="240"/>
              </a:lnTo>
              <a:lnTo>
                <a:pt x="128" y="250"/>
              </a:lnTo>
              <a:lnTo>
                <a:pt x="134" y="262"/>
              </a:lnTo>
              <a:lnTo>
                <a:pt x="157" y="286"/>
              </a:lnTo>
              <a:lnTo>
                <a:pt x="140" y="290"/>
              </a:lnTo>
              <a:lnTo>
                <a:pt x="128" y="301"/>
              </a:lnTo>
              <a:lnTo>
                <a:pt x="109" y="309"/>
              </a:lnTo>
              <a:lnTo>
                <a:pt x="104" y="314"/>
              </a:lnTo>
              <a:lnTo>
                <a:pt x="94" y="320"/>
              </a:lnTo>
              <a:lnTo>
                <a:pt x="93" y="323"/>
              </a:lnTo>
              <a:lnTo>
                <a:pt x="82" y="329"/>
              </a:lnTo>
              <a:lnTo>
                <a:pt x="81" y="344"/>
              </a:lnTo>
              <a:lnTo>
                <a:pt x="78" y="347"/>
              </a:lnTo>
              <a:lnTo>
                <a:pt x="68" y="350"/>
              </a:lnTo>
              <a:lnTo>
                <a:pt x="67" y="351"/>
              </a:lnTo>
              <a:lnTo>
                <a:pt x="66" y="353"/>
              </a:lnTo>
              <a:lnTo>
                <a:pt x="58" y="355"/>
              </a:lnTo>
              <a:lnTo>
                <a:pt x="35" y="362"/>
              </a:lnTo>
              <a:lnTo>
                <a:pt x="27" y="368"/>
              </a:lnTo>
              <a:lnTo>
                <a:pt x="22" y="373"/>
              </a:lnTo>
              <a:lnTo>
                <a:pt x="11" y="391"/>
              </a:lnTo>
              <a:lnTo>
                <a:pt x="0" y="408"/>
              </a:lnTo>
              <a:lnTo>
                <a:pt x="2" y="416"/>
              </a:lnTo>
              <a:lnTo>
                <a:pt x="2" y="439"/>
              </a:lnTo>
              <a:lnTo>
                <a:pt x="28" y="467"/>
              </a:lnTo>
              <a:lnTo>
                <a:pt x="50" y="487"/>
              </a:lnTo>
              <a:lnTo>
                <a:pt x="58" y="487"/>
              </a:lnTo>
              <a:lnTo>
                <a:pt x="82" y="512"/>
              </a:lnTo>
              <a:lnTo>
                <a:pt x="83" y="508"/>
              </a:lnTo>
              <a:lnTo>
                <a:pt x="120" y="515"/>
              </a:lnTo>
              <a:lnTo>
                <a:pt x="112" y="573"/>
              </a:lnTo>
              <a:lnTo>
                <a:pt x="128" y="571"/>
              </a:lnTo>
              <a:lnTo>
                <a:pt x="145" y="557"/>
              </a:lnTo>
              <a:lnTo>
                <a:pt x="191" y="486"/>
              </a:lnTo>
              <a:lnTo>
                <a:pt x="192" y="485"/>
              </a:lnTo>
              <a:lnTo>
                <a:pt x="234" y="443"/>
              </a:lnTo>
              <a:lnTo>
                <a:pt x="230" y="438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endParaRPr lang="en-US" sz="800"/>
        </a:p>
      </xdr:txBody>
    </xdr:sp>
    <xdr:clientData/>
  </xdr:twoCellAnchor>
  <xdr:twoCellAnchor>
    <xdr:from>
      <xdr:col>24</xdr:col>
      <xdr:colOff>526126</xdr:colOff>
      <xdr:row>10</xdr:row>
      <xdr:rowOff>24959</xdr:rowOff>
    </xdr:from>
    <xdr:to>
      <xdr:col>25</xdr:col>
      <xdr:colOff>79335</xdr:colOff>
      <xdr:row>11</xdr:row>
      <xdr:rowOff>180751</xdr:rowOff>
    </xdr:to>
    <xdr:sp macro="" textlink="">
      <xdr:nvSpPr>
        <xdr:cNvPr id="68" name="S_NH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>
          <a:spLocks/>
        </xdr:cNvSpPr>
      </xdr:nvSpPr>
      <xdr:spPr bwMode="auto">
        <a:xfrm>
          <a:off x="5164801" y="2006159"/>
          <a:ext cx="162809" cy="384392"/>
        </a:xfrm>
        <a:custGeom>
          <a:avLst/>
          <a:gdLst>
            <a:gd name="T0" fmla="*/ 2147483647 w 343"/>
            <a:gd name="T1" fmla="*/ 2147483647 h 616"/>
            <a:gd name="T2" fmla="*/ 2147483647 w 343"/>
            <a:gd name="T3" fmla="*/ 2147483647 h 616"/>
            <a:gd name="T4" fmla="*/ 2147483647 w 343"/>
            <a:gd name="T5" fmla="*/ 2147483647 h 616"/>
            <a:gd name="T6" fmla="*/ 2147483647 w 343"/>
            <a:gd name="T7" fmla="*/ 2147483647 h 616"/>
            <a:gd name="T8" fmla="*/ 2147483647 w 343"/>
            <a:gd name="T9" fmla="*/ 2147483647 h 616"/>
            <a:gd name="T10" fmla="*/ 2147483647 w 343"/>
            <a:gd name="T11" fmla="*/ 2147483647 h 616"/>
            <a:gd name="T12" fmla="*/ 2147483647 w 343"/>
            <a:gd name="T13" fmla="*/ 2147483647 h 616"/>
            <a:gd name="T14" fmla="*/ 2147483647 w 343"/>
            <a:gd name="T15" fmla="*/ 2147483647 h 616"/>
            <a:gd name="T16" fmla="*/ 2147483647 w 343"/>
            <a:gd name="T17" fmla="*/ 2147483647 h 616"/>
            <a:gd name="T18" fmla="*/ 2147483647 w 343"/>
            <a:gd name="T19" fmla="*/ 2147483647 h 616"/>
            <a:gd name="T20" fmla="*/ 2147483647 w 343"/>
            <a:gd name="T21" fmla="*/ 2147483647 h 616"/>
            <a:gd name="T22" fmla="*/ 2147483647 w 343"/>
            <a:gd name="T23" fmla="*/ 2147483647 h 616"/>
            <a:gd name="T24" fmla="*/ 2147483647 w 343"/>
            <a:gd name="T25" fmla="*/ 2147483647 h 616"/>
            <a:gd name="T26" fmla="*/ 2147483647 w 343"/>
            <a:gd name="T27" fmla="*/ 2147483647 h 616"/>
            <a:gd name="T28" fmla="*/ 2147483647 w 343"/>
            <a:gd name="T29" fmla="*/ 2147483647 h 616"/>
            <a:gd name="T30" fmla="*/ 2147483647 w 343"/>
            <a:gd name="T31" fmla="*/ 2147483647 h 616"/>
            <a:gd name="T32" fmla="*/ 2147483647 w 343"/>
            <a:gd name="T33" fmla="*/ 2147483647 h 616"/>
            <a:gd name="T34" fmla="*/ 2147483647 w 343"/>
            <a:gd name="T35" fmla="*/ 2147483647 h 616"/>
            <a:gd name="T36" fmla="*/ 2147483647 w 343"/>
            <a:gd name="T37" fmla="*/ 2147483647 h 616"/>
            <a:gd name="T38" fmla="*/ 2147483647 w 343"/>
            <a:gd name="T39" fmla="*/ 2147483647 h 616"/>
            <a:gd name="T40" fmla="*/ 2147483647 w 343"/>
            <a:gd name="T41" fmla="*/ 0 h 616"/>
            <a:gd name="T42" fmla="*/ 2147483647 w 343"/>
            <a:gd name="T43" fmla="*/ 2147483647 h 616"/>
            <a:gd name="T44" fmla="*/ 2147483647 w 343"/>
            <a:gd name="T45" fmla="*/ 2147483647 h 616"/>
            <a:gd name="T46" fmla="*/ 2147483647 w 343"/>
            <a:gd name="T47" fmla="*/ 2147483647 h 616"/>
            <a:gd name="T48" fmla="*/ 2147483647 w 343"/>
            <a:gd name="T49" fmla="*/ 2147483647 h 616"/>
            <a:gd name="T50" fmla="*/ 2147483647 w 343"/>
            <a:gd name="T51" fmla="*/ 2147483647 h 616"/>
            <a:gd name="T52" fmla="*/ 2147483647 w 343"/>
            <a:gd name="T53" fmla="*/ 2147483647 h 616"/>
            <a:gd name="T54" fmla="*/ 2147483647 w 343"/>
            <a:gd name="T55" fmla="*/ 2147483647 h 616"/>
            <a:gd name="T56" fmla="*/ 2147483647 w 343"/>
            <a:gd name="T57" fmla="*/ 2147483647 h 616"/>
            <a:gd name="T58" fmla="*/ 2147483647 w 343"/>
            <a:gd name="T59" fmla="*/ 2147483647 h 616"/>
            <a:gd name="T60" fmla="*/ 2147483647 w 343"/>
            <a:gd name="T61" fmla="*/ 2147483647 h 616"/>
            <a:gd name="T62" fmla="*/ 2147483647 w 343"/>
            <a:gd name="T63" fmla="*/ 2147483647 h 616"/>
            <a:gd name="T64" fmla="*/ 2147483647 w 343"/>
            <a:gd name="T65" fmla="*/ 2147483647 h 616"/>
            <a:gd name="T66" fmla="*/ 2147483647 w 343"/>
            <a:gd name="T67" fmla="*/ 2147483647 h 616"/>
            <a:gd name="T68" fmla="*/ 2147483647 w 343"/>
            <a:gd name="T69" fmla="*/ 2147483647 h 616"/>
            <a:gd name="T70" fmla="*/ 2147483647 w 343"/>
            <a:gd name="T71" fmla="*/ 2147483647 h 616"/>
            <a:gd name="T72" fmla="*/ 2147483647 w 343"/>
            <a:gd name="T73" fmla="*/ 2147483647 h 616"/>
            <a:gd name="T74" fmla="*/ 2147483647 w 343"/>
            <a:gd name="T75" fmla="*/ 2147483647 h 616"/>
            <a:gd name="T76" fmla="*/ 2147483647 w 343"/>
            <a:gd name="T77" fmla="*/ 2147483647 h 616"/>
            <a:gd name="T78" fmla="*/ 2147483647 w 343"/>
            <a:gd name="T79" fmla="*/ 2147483647 h 616"/>
            <a:gd name="T80" fmla="*/ 2147483647 w 343"/>
            <a:gd name="T81" fmla="*/ 2147483647 h 616"/>
            <a:gd name="T82" fmla="*/ 2147483647 w 343"/>
            <a:gd name="T83" fmla="*/ 2147483647 h 616"/>
            <a:gd name="T84" fmla="*/ 2147483647 w 343"/>
            <a:gd name="T85" fmla="*/ 2147483647 h 616"/>
            <a:gd name="T86" fmla="*/ 2147483647 w 343"/>
            <a:gd name="T87" fmla="*/ 2147483647 h 616"/>
            <a:gd name="T88" fmla="*/ 2147483647 w 343"/>
            <a:gd name="T89" fmla="*/ 2147483647 h 616"/>
            <a:gd name="T90" fmla="*/ 2147483647 w 343"/>
            <a:gd name="T91" fmla="*/ 2147483647 h 616"/>
            <a:gd name="T92" fmla="*/ 2147483647 w 343"/>
            <a:gd name="T93" fmla="*/ 2147483647 h 616"/>
            <a:gd name="T94" fmla="*/ 2147483647 w 343"/>
            <a:gd name="T95" fmla="*/ 2147483647 h 616"/>
            <a:gd name="T96" fmla="*/ 2147483647 w 343"/>
            <a:gd name="T97" fmla="*/ 2147483647 h 616"/>
            <a:gd name="T98" fmla="*/ 2147483647 w 343"/>
            <a:gd name="T99" fmla="*/ 2147483647 h 616"/>
            <a:gd name="T100" fmla="*/ 2147483647 w 343"/>
            <a:gd name="T101" fmla="*/ 2147483647 h 616"/>
            <a:gd name="T102" fmla="*/ 2147483647 w 343"/>
            <a:gd name="T103" fmla="*/ 2147483647 h 616"/>
            <a:gd name="T104" fmla="*/ 2147483647 w 343"/>
            <a:gd name="T105" fmla="*/ 2147483647 h 616"/>
            <a:gd name="T106" fmla="*/ 2147483647 w 343"/>
            <a:gd name="T107" fmla="*/ 2147483647 h 616"/>
            <a:gd name="T108" fmla="*/ 2147483647 w 343"/>
            <a:gd name="T109" fmla="*/ 2147483647 h 616"/>
            <a:gd name="T110" fmla="*/ 0 w 343"/>
            <a:gd name="T111" fmla="*/ 2147483647 h 616"/>
            <a:gd name="T112" fmla="*/ 2147483647 w 343"/>
            <a:gd name="T113" fmla="*/ 2147483647 h 616"/>
            <a:gd name="T114" fmla="*/ 2147483647 w 343"/>
            <a:gd name="T115" fmla="*/ 2147483647 h 616"/>
            <a:gd name="T116" fmla="*/ 2147483647 w 343"/>
            <a:gd name="T117" fmla="*/ 2147483647 h 616"/>
            <a:gd name="T118" fmla="*/ 2147483647 w 343"/>
            <a:gd name="T119" fmla="*/ 2147483647 h 616"/>
            <a:gd name="T120" fmla="*/ 2147483647 w 343"/>
            <a:gd name="T121" fmla="*/ 2147483647 h 616"/>
            <a:gd name="T122" fmla="*/ 2147483647 w 343"/>
            <a:gd name="T123" fmla="*/ 2147483647 h 616"/>
            <a:gd name="T124" fmla="*/ 2147483647 w 343"/>
            <a:gd name="T125" fmla="*/ 2147483647 h 61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60000 65536"/>
            <a:gd name="T184" fmla="*/ 0 60000 65536"/>
            <a:gd name="T185" fmla="*/ 0 60000 65536"/>
            <a:gd name="T186" fmla="*/ 0 60000 65536"/>
            <a:gd name="T187" fmla="*/ 0 60000 65536"/>
            <a:gd name="T188" fmla="*/ 0 60000 65536"/>
            <a:gd name="T189" fmla="*/ 0 w 343"/>
            <a:gd name="T190" fmla="*/ 0 h 616"/>
            <a:gd name="T191" fmla="*/ 343 w 343"/>
            <a:gd name="T192" fmla="*/ 616 h 616"/>
          </a:gdLst>
          <a:ahLst/>
          <a:cxnLst>
            <a:cxn ang="T126">
              <a:pos x="T0" y="T1"/>
            </a:cxn>
            <a:cxn ang="T127">
              <a:pos x="T2" y="T3"/>
            </a:cxn>
            <a:cxn ang="T128">
              <a:pos x="T4" y="T5"/>
            </a:cxn>
            <a:cxn ang="T129">
              <a:pos x="T6" y="T7"/>
            </a:cxn>
            <a:cxn ang="T130">
              <a:pos x="T8" y="T9"/>
            </a:cxn>
            <a:cxn ang="T131">
              <a:pos x="T10" y="T11"/>
            </a:cxn>
            <a:cxn ang="T132">
              <a:pos x="T12" y="T13"/>
            </a:cxn>
            <a:cxn ang="T133">
              <a:pos x="T14" y="T15"/>
            </a:cxn>
            <a:cxn ang="T134">
              <a:pos x="T16" y="T17"/>
            </a:cxn>
            <a:cxn ang="T135">
              <a:pos x="T18" y="T19"/>
            </a:cxn>
            <a:cxn ang="T136">
              <a:pos x="T20" y="T21"/>
            </a:cxn>
            <a:cxn ang="T137">
              <a:pos x="T22" y="T23"/>
            </a:cxn>
            <a:cxn ang="T138">
              <a:pos x="T24" y="T25"/>
            </a:cxn>
            <a:cxn ang="T139">
              <a:pos x="T26" y="T27"/>
            </a:cxn>
            <a:cxn ang="T140">
              <a:pos x="T28" y="T29"/>
            </a:cxn>
            <a:cxn ang="T141">
              <a:pos x="T30" y="T31"/>
            </a:cxn>
            <a:cxn ang="T142">
              <a:pos x="T32" y="T33"/>
            </a:cxn>
            <a:cxn ang="T143">
              <a:pos x="T34" y="T35"/>
            </a:cxn>
            <a:cxn ang="T144">
              <a:pos x="T36" y="T37"/>
            </a:cxn>
            <a:cxn ang="T145">
              <a:pos x="T38" y="T39"/>
            </a:cxn>
            <a:cxn ang="T146">
              <a:pos x="T40" y="T41"/>
            </a:cxn>
            <a:cxn ang="T147">
              <a:pos x="T42" y="T43"/>
            </a:cxn>
            <a:cxn ang="T148">
              <a:pos x="T44" y="T45"/>
            </a:cxn>
            <a:cxn ang="T149">
              <a:pos x="T46" y="T47"/>
            </a:cxn>
            <a:cxn ang="T150">
              <a:pos x="T48" y="T49"/>
            </a:cxn>
            <a:cxn ang="T151">
              <a:pos x="T50" y="T51"/>
            </a:cxn>
            <a:cxn ang="T152">
              <a:pos x="T52" y="T53"/>
            </a:cxn>
            <a:cxn ang="T153">
              <a:pos x="T54" y="T55"/>
            </a:cxn>
            <a:cxn ang="T154">
              <a:pos x="T56" y="T57"/>
            </a:cxn>
            <a:cxn ang="T155">
              <a:pos x="T58" y="T59"/>
            </a:cxn>
            <a:cxn ang="T156">
              <a:pos x="T60" y="T61"/>
            </a:cxn>
            <a:cxn ang="T157">
              <a:pos x="T62" y="T63"/>
            </a:cxn>
            <a:cxn ang="T158">
              <a:pos x="T64" y="T65"/>
            </a:cxn>
            <a:cxn ang="T159">
              <a:pos x="T66" y="T67"/>
            </a:cxn>
            <a:cxn ang="T160">
              <a:pos x="T68" y="T69"/>
            </a:cxn>
            <a:cxn ang="T161">
              <a:pos x="T70" y="T71"/>
            </a:cxn>
            <a:cxn ang="T162">
              <a:pos x="T72" y="T73"/>
            </a:cxn>
            <a:cxn ang="T163">
              <a:pos x="T74" y="T75"/>
            </a:cxn>
            <a:cxn ang="T164">
              <a:pos x="T76" y="T77"/>
            </a:cxn>
            <a:cxn ang="T165">
              <a:pos x="T78" y="T79"/>
            </a:cxn>
            <a:cxn ang="T166">
              <a:pos x="T80" y="T81"/>
            </a:cxn>
            <a:cxn ang="T167">
              <a:pos x="T82" y="T83"/>
            </a:cxn>
            <a:cxn ang="T168">
              <a:pos x="T84" y="T85"/>
            </a:cxn>
            <a:cxn ang="T169">
              <a:pos x="T86" y="T87"/>
            </a:cxn>
            <a:cxn ang="T170">
              <a:pos x="T88" y="T89"/>
            </a:cxn>
            <a:cxn ang="T171">
              <a:pos x="T90" y="T91"/>
            </a:cxn>
            <a:cxn ang="T172">
              <a:pos x="T92" y="T93"/>
            </a:cxn>
            <a:cxn ang="T173">
              <a:pos x="T94" y="T95"/>
            </a:cxn>
            <a:cxn ang="T174">
              <a:pos x="T96" y="T97"/>
            </a:cxn>
            <a:cxn ang="T175">
              <a:pos x="T98" y="T99"/>
            </a:cxn>
            <a:cxn ang="T176">
              <a:pos x="T100" y="T101"/>
            </a:cxn>
            <a:cxn ang="T177">
              <a:pos x="T102" y="T103"/>
            </a:cxn>
            <a:cxn ang="T178">
              <a:pos x="T104" y="T105"/>
            </a:cxn>
            <a:cxn ang="T179">
              <a:pos x="T106" y="T107"/>
            </a:cxn>
            <a:cxn ang="T180">
              <a:pos x="T108" y="T109"/>
            </a:cxn>
            <a:cxn ang="T181">
              <a:pos x="T110" y="T111"/>
            </a:cxn>
            <a:cxn ang="T182">
              <a:pos x="T112" y="T113"/>
            </a:cxn>
            <a:cxn ang="T183">
              <a:pos x="T114" y="T115"/>
            </a:cxn>
            <a:cxn ang="T184">
              <a:pos x="T116" y="T117"/>
            </a:cxn>
            <a:cxn ang="T185">
              <a:pos x="T118" y="T119"/>
            </a:cxn>
            <a:cxn ang="T186">
              <a:pos x="T120" y="T121"/>
            </a:cxn>
            <a:cxn ang="T187">
              <a:pos x="T122" y="T123"/>
            </a:cxn>
            <a:cxn ang="T188">
              <a:pos x="T124" y="T125"/>
            </a:cxn>
          </a:cxnLst>
          <a:rect l="T189" t="T190" r="T191" b="T192"/>
          <a:pathLst>
            <a:path w="343" h="616">
              <a:moveTo>
                <a:pt x="39" y="402"/>
              </a:moveTo>
              <a:lnTo>
                <a:pt x="39" y="396"/>
              </a:lnTo>
              <a:lnTo>
                <a:pt x="53" y="369"/>
              </a:lnTo>
              <a:lnTo>
                <a:pt x="62" y="362"/>
              </a:lnTo>
              <a:lnTo>
                <a:pt x="80" y="308"/>
              </a:lnTo>
              <a:lnTo>
                <a:pt x="93" y="279"/>
              </a:lnTo>
              <a:lnTo>
                <a:pt x="92" y="271"/>
              </a:lnTo>
              <a:lnTo>
                <a:pt x="90" y="249"/>
              </a:lnTo>
              <a:lnTo>
                <a:pt x="101" y="230"/>
              </a:lnTo>
              <a:lnTo>
                <a:pt x="131" y="225"/>
              </a:lnTo>
              <a:lnTo>
                <a:pt x="135" y="219"/>
              </a:lnTo>
              <a:lnTo>
                <a:pt x="145" y="211"/>
              </a:lnTo>
              <a:lnTo>
                <a:pt x="178" y="190"/>
              </a:lnTo>
              <a:lnTo>
                <a:pt x="169" y="131"/>
              </a:lnTo>
              <a:lnTo>
                <a:pt x="195" y="92"/>
              </a:lnTo>
              <a:lnTo>
                <a:pt x="194" y="68"/>
              </a:lnTo>
              <a:lnTo>
                <a:pt x="205" y="15"/>
              </a:lnTo>
              <a:lnTo>
                <a:pt x="241" y="8"/>
              </a:lnTo>
              <a:lnTo>
                <a:pt x="244" y="12"/>
              </a:lnTo>
              <a:lnTo>
                <a:pt x="264" y="12"/>
              </a:lnTo>
              <a:lnTo>
                <a:pt x="269" y="0"/>
              </a:lnTo>
              <a:lnTo>
                <a:pt x="273" y="12"/>
              </a:lnTo>
              <a:lnTo>
                <a:pt x="273" y="23"/>
              </a:lnTo>
              <a:lnTo>
                <a:pt x="281" y="131"/>
              </a:lnTo>
              <a:lnTo>
                <a:pt x="286" y="240"/>
              </a:lnTo>
              <a:lnTo>
                <a:pt x="286" y="249"/>
              </a:lnTo>
              <a:lnTo>
                <a:pt x="288" y="307"/>
              </a:lnTo>
              <a:lnTo>
                <a:pt x="289" y="357"/>
              </a:lnTo>
              <a:lnTo>
                <a:pt x="290" y="366"/>
              </a:lnTo>
              <a:lnTo>
                <a:pt x="295" y="415"/>
              </a:lnTo>
              <a:lnTo>
                <a:pt x="295" y="417"/>
              </a:lnTo>
              <a:lnTo>
                <a:pt x="295" y="463"/>
              </a:lnTo>
              <a:lnTo>
                <a:pt x="317" y="485"/>
              </a:lnTo>
              <a:lnTo>
                <a:pt x="321" y="515"/>
              </a:lnTo>
              <a:lnTo>
                <a:pt x="334" y="525"/>
              </a:lnTo>
              <a:lnTo>
                <a:pt x="334" y="526"/>
              </a:lnTo>
              <a:lnTo>
                <a:pt x="343" y="530"/>
              </a:lnTo>
              <a:lnTo>
                <a:pt x="342" y="530"/>
              </a:lnTo>
              <a:lnTo>
                <a:pt x="326" y="563"/>
              </a:lnTo>
              <a:lnTo>
                <a:pt x="322" y="574"/>
              </a:lnTo>
              <a:lnTo>
                <a:pt x="282" y="577"/>
              </a:lnTo>
              <a:lnTo>
                <a:pt x="275" y="590"/>
              </a:lnTo>
              <a:lnTo>
                <a:pt x="242" y="605"/>
              </a:lnTo>
              <a:lnTo>
                <a:pt x="241" y="605"/>
              </a:lnTo>
              <a:lnTo>
                <a:pt x="240" y="606"/>
              </a:lnTo>
              <a:lnTo>
                <a:pt x="238" y="608"/>
              </a:lnTo>
              <a:lnTo>
                <a:pt x="233" y="616"/>
              </a:lnTo>
              <a:lnTo>
                <a:pt x="119" y="612"/>
              </a:lnTo>
              <a:lnTo>
                <a:pt x="114" y="611"/>
              </a:lnTo>
              <a:lnTo>
                <a:pt x="107" y="611"/>
              </a:lnTo>
              <a:lnTo>
                <a:pt x="88" y="611"/>
              </a:lnTo>
              <a:lnTo>
                <a:pt x="47" y="609"/>
              </a:lnTo>
              <a:lnTo>
                <a:pt x="36" y="609"/>
              </a:lnTo>
              <a:lnTo>
                <a:pt x="31" y="609"/>
              </a:lnTo>
              <a:lnTo>
                <a:pt x="15" y="608"/>
              </a:lnTo>
              <a:lnTo>
                <a:pt x="0" y="556"/>
              </a:lnTo>
              <a:lnTo>
                <a:pt x="14" y="544"/>
              </a:lnTo>
              <a:lnTo>
                <a:pt x="16" y="505"/>
              </a:lnTo>
              <a:lnTo>
                <a:pt x="20" y="489"/>
              </a:lnTo>
              <a:lnTo>
                <a:pt x="20" y="488"/>
              </a:lnTo>
              <a:lnTo>
                <a:pt x="29" y="427"/>
              </a:lnTo>
              <a:lnTo>
                <a:pt x="30" y="408"/>
              </a:lnTo>
              <a:lnTo>
                <a:pt x="39" y="402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pPr algn="ctr"/>
          <a:endParaRPr lang="en-US" sz="800" b="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20</xdr:col>
      <xdr:colOff>119761</xdr:colOff>
      <xdr:row>11</xdr:row>
      <xdr:rowOff>162921</xdr:rowOff>
    </xdr:from>
    <xdr:to>
      <xdr:col>21</xdr:col>
      <xdr:colOff>301269</xdr:colOff>
      <xdr:row>13</xdr:row>
      <xdr:rowOff>174618</xdr:rowOff>
    </xdr:to>
    <xdr:sp macro="" textlink="">
      <xdr:nvSpPr>
        <xdr:cNvPr id="69" name="S_NE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>
          <a:spLocks/>
        </xdr:cNvSpPr>
      </xdr:nvSpPr>
      <xdr:spPr bwMode="auto">
        <a:xfrm>
          <a:off x="2320036" y="2372721"/>
          <a:ext cx="791108" cy="468897"/>
        </a:xfrm>
        <a:custGeom>
          <a:avLst/>
          <a:gdLst>
            <a:gd name="T0" fmla="*/ 2147483647 w 1637"/>
            <a:gd name="T1" fmla="*/ 2147483647 h 709"/>
            <a:gd name="T2" fmla="*/ 2147483647 w 1637"/>
            <a:gd name="T3" fmla="*/ 2147483647 h 709"/>
            <a:gd name="T4" fmla="*/ 2147483647 w 1637"/>
            <a:gd name="T5" fmla="*/ 2147483647 h 709"/>
            <a:gd name="T6" fmla="*/ 2147483647 w 1637"/>
            <a:gd name="T7" fmla="*/ 2147483647 h 709"/>
            <a:gd name="T8" fmla="*/ 2147483647 w 1637"/>
            <a:gd name="T9" fmla="*/ 2147483647 h 709"/>
            <a:gd name="T10" fmla="*/ 2147483647 w 1637"/>
            <a:gd name="T11" fmla="*/ 2147483647 h 709"/>
            <a:gd name="T12" fmla="*/ 2147483647 w 1637"/>
            <a:gd name="T13" fmla="*/ 2147483647 h 709"/>
            <a:gd name="T14" fmla="*/ 2147483647 w 1637"/>
            <a:gd name="T15" fmla="*/ 2147483647 h 709"/>
            <a:gd name="T16" fmla="*/ 2147483647 w 1637"/>
            <a:gd name="T17" fmla="*/ 2147483647 h 709"/>
            <a:gd name="T18" fmla="*/ 2147483647 w 1637"/>
            <a:gd name="T19" fmla="*/ 2147483647 h 709"/>
            <a:gd name="T20" fmla="*/ 2147483647 w 1637"/>
            <a:gd name="T21" fmla="*/ 2147483647 h 709"/>
            <a:gd name="T22" fmla="*/ 2147483647 w 1637"/>
            <a:gd name="T23" fmla="*/ 2147483647 h 709"/>
            <a:gd name="T24" fmla="*/ 0 w 1637"/>
            <a:gd name="T25" fmla="*/ 2147483647 h 709"/>
            <a:gd name="T26" fmla="*/ 0 w 1637"/>
            <a:gd name="T27" fmla="*/ 2147483647 h 709"/>
            <a:gd name="T28" fmla="*/ 0 w 1637"/>
            <a:gd name="T29" fmla="*/ 2147483647 h 709"/>
            <a:gd name="T30" fmla="*/ 0 w 1637"/>
            <a:gd name="T31" fmla="*/ 2147483647 h 709"/>
            <a:gd name="T32" fmla="*/ 0 w 1637"/>
            <a:gd name="T33" fmla="*/ 2147483647 h 709"/>
            <a:gd name="T34" fmla="*/ 0 w 1637"/>
            <a:gd name="T35" fmla="*/ 2147483647 h 709"/>
            <a:gd name="T36" fmla="*/ 2147483647 w 1637"/>
            <a:gd name="T37" fmla="*/ 0 h 709"/>
            <a:gd name="T38" fmla="*/ 2147483647 w 1637"/>
            <a:gd name="T39" fmla="*/ 2147483647 h 709"/>
            <a:gd name="T40" fmla="*/ 2147483647 w 1637"/>
            <a:gd name="T41" fmla="*/ 2147483647 h 709"/>
            <a:gd name="T42" fmla="*/ 2147483647 w 1637"/>
            <a:gd name="T43" fmla="*/ 2147483647 h 709"/>
            <a:gd name="T44" fmla="*/ 2147483647 w 1637"/>
            <a:gd name="T45" fmla="*/ 2147483647 h 709"/>
            <a:gd name="T46" fmla="*/ 2147483647 w 1637"/>
            <a:gd name="T47" fmla="*/ 2147483647 h 709"/>
            <a:gd name="T48" fmla="*/ 2147483647 w 1637"/>
            <a:gd name="T49" fmla="*/ 2147483647 h 709"/>
            <a:gd name="T50" fmla="*/ 2147483647 w 1637"/>
            <a:gd name="T51" fmla="*/ 2147483647 h 709"/>
            <a:gd name="T52" fmla="*/ 2147483647 w 1637"/>
            <a:gd name="T53" fmla="*/ 2147483647 h 709"/>
            <a:gd name="T54" fmla="*/ 2147483647 w 1637"/>
            <a:gd name="T55" fmla="*/ 2147483647 h 709"/>
            <a:gd name="T56" fmla="*/ 2147483647 w 1637"/>
            <a:gd name="T57" fmla="*/ 2147483647 h 709"/>
            <a:gd name="T58" fmla="*/ 2147483647 w 1637"/>
            <a:gd name="T59" fmla="*/ 2147483647 h 709"/>
            <a:gd name="T60" fmla="*/ 2147483647 w 1637"/>
            <a:gd name="T61" fmla="*/ 2147483647 h 709"/>
            <a:gd name="T62" fmla="*/ 2147483647 w 1637"/>
            <a:gd name="T63" fmla="*/ 2147483647 h 709"/>
            <a:gd name="T64" fmla="*/ 2147483647 w 1637"/>
            <a:gd name="T65" fmla="*/ 2147483647 h 709"/>
            <a:gd name="T66" fmla="*/ 2147483647 w 1637"/>
            <a:gd name="T67" fmla="*/ 2147483647 h 709"/>
            <a:gd name="T68" fmla="*/ 2147483647 w 1637"/>
            <a:gd name="T69" fmla="*/ 2147483647 h 709"/>
            <a:gd name="T70" fmla="*/ 2147483647 w 1637"/>
            <a:gd name="T71" fmla="*/ 2147483647 h 709"/>
            <a:gd name="T72" fmla="*/ 2147483647 w 1637"/>
            <a:gd name="T73" fmla="*/ 2147483647 h 709"/>
            <a:gd name="T74" fmla="*/ 2147483647 w 1637"/>
            <a:gd name="T75" fmla="*/ 2147483647 h 709"/>
            <a:gd name="T76" fmla="*/ 2147483647 w 1637"/>
            <a:gd name="T77" fmla="*/ 2147483647 h 709"/>
            <a:gd name="T78" fmla="*/ 2147483647 w 1637"/>
            <a:gd name="T79" fmla="*/ 2147483647 h 709"/>
            <a:gd name="T80" fmla="*/ 2147483647 w 1637"/>
            <a:gd name="T81" fmla="*/ 2147483647 h 709"/>
            <a:gd name="T82" fmla="*/ 2147483647 w 1637"/>
            <a:gd name="T83" fmla="*/ 2147483647 h 709"/>
            <a:gd name="T84" fmla="*/ 2147483647 w 1637"/>
            <a:gd name="T85" fmla="*/ 2147483647 h 709"/>
            <a:gd name="T86" fmla="*/ 2147483647 w 1637"/>
            <a:gd name="T87" fmla="*/ 2147483647 h 709"/>
            <a:gd name="T88" fmla="*/ 2147483647 w 1637"/>
            <a:gd name="T89" fmla="*/ 2147483647 h 709"/>
            <a:gd name="T90" fmla="*/ 2147483647 w 1637"/>
            <a:gd name="T91" fmla="*/ 2147483647 h 709"/>
            <a:gd name="T92" fmla="*/ 2147483647 w 1637"/>
            <a:gd name="T93" fmla="*/ 2147483647 h 709"/>
            <a:gd name="T94" fmla="*/ 2147483647 w 1637"/>
            <a:gd name="T95" fmla="*/ 2147483647 h 709"/>
            <a:gd name="T96" fmla="*/ 2147483647 w 1637"/>
            <a:gd name="T97" fmla="*/ 2147483647 h 709"/>
            <a:gd name="T98" fmla="*/ 2147483647 w 1637"/>
            <a:gd name="T99" fmla="*/ 2147483647 h 709"/>
            <a:gd name="T100" fmla="*/ 2147483647 w 1637"/>
            <a:gd name="T101" fmla="*/ 2147483647 h 709"/>
            <a:gd name="T102" fmla="*/ 2147483647 w 1637"/>
            <a:gd name="T103" fmla="*/ 2147483647 h 709"/>
            <a:gd name="T104" fmla="*/ 2147483647 w 1637"/>
            <a:gd name="T105" fmla="*/ 2147483647 h 709"/>
            <a:gd name="T106" fmla="*/ 2147483647 w 1637"/>
            <a:gd name="T107" fmla="*/ 2147483647 h 709"/>
            <a:gd name="T108" fmla="*/ 2147483647 w 1637"/>
            <a:gd name="T109" fmla="*/ 2147483647 h 709"/>
            <a:gd name="T110" fmla="*/ 2147483647 w 1637"/>
            <a:gd name="T111" fmla="*/ 2147483647 h 709"/>
            <a:gd name="T112" fmla="*/ 2147483647 w 1637"/>
            <a:gd name="T113" fmla="*/ 2147483647 h 709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w 1637"/>
            <a:gd name="T172" fmla="*/ 0 h 709"/>
            <a:gd name="T173" fmla="*/ 1637 w 1637"/>
            <a:gd name="T174" fmla="*/ 709 h 709"/>
          </a:gdLst>
          <a:ahLst/>
          <a:cxnLst>
            <a:cxn ang="T114">
              <a:pos x="T0" y="T1"/>
            </a:cxn>
            <a:cxn ang="T115">
              <a:pos x="T2" y="T3"/>
            </a:cxn>
            <a:cxn ang="T116">
              <a:pos x="T4" y="T5"/>
            </a:cxn>
            <a:cxn ang="T117">
              <a:pos x="T6" y="T7"/>
            </a:cxn>
            <a:cxn ang="T118">
              <a:pos x="T8" y="T9"/>
            </a:cxn>
            <a:cxn ang="T119">
              <a:pos x="T10" y="T11"/>
            </a:cxn>
            <a:cxn ang="T120">
              <a:pos x="T12" y="T13"/>
            </a:cxn>
            <a:cxn ang="T121">
              <a:pos x="T14" y="T15"/>
            </a:cxn>
            <a:cxn ang="T122">
              <a:pos x="T16" y="T17"/>
            </a:cxn>
            <a:cxn ang="T123">
              <a:pos x="T18" y="T19"/>
            </a:cxn>
            <a:cxn ang="T124">
              <a:pos x="T20" y="T21"/>
            </a:cxn>
            <a:cxn ang="T125">
              <a:pos x="T22" y="T23"/>
            </a:cxn>
            <a:cxn ang="T126">
              <a:pos x="T24" y="T25"/>
            </a:cxn>
            <a:cxn ang="T127">
              <a:pos x="T26" y="T27"/>
            </a:cxn>
            <a:cxn ang="T128">
              <a:pos x="T28" y="T29"/>
            </a:cxn>
            <a:cxn ang="T129">
              <a:pos x="T30" y="T31"/>
            </a:cxn>
            <a:cxn ang="T130">
              <a:pos x="T32" y="T33"/>
            </a:cxn>
            <a:cxn ang="T131">
              <a:pos x="T34" y="T35"/>
            </a:cxn>
            <a:cxn ang="T132">
              <a:pos x="T36" y="T37"/>
            </a:cxn>
            <a:cxn ang="T133">
              <a:pos x="T38" y="T39"/>
            </a:cxn>
            <a:cxn ang="T134">
              <a:pos x="T40" y="T41"/>
            </a:cxn>
            <a:cxn ang="T135">
              <a:pos x="T42" y="T43"/>
            </a:cxn>
            <a:cxn ang="T136">
              <a:pos x="T44" y="T45"/>
            </a:cxn>
            <a:cxn ang="T137">
              <a:pos x="T46" y="T47"/>
            </a:cxn>
            <a:cxn ang="T138">
              <a:pos x="T48" y="T49"/>
            </a:cxn>
            <a:cxn ang="T139">
              <a:pos x="T50" y="T51"/>
            </a:cxn>
            <a:cxn ang="T140">
              <a:pos x="T52" y="T53"/>
            </a:cxn>
            <a:cxn ang="T141">
              <a:pos x="T54" y="T55"/>
            </a:cxn>
            <a:cxn ang="T142">
              <a:pos x="T56" y="T57"/>
            </a:cxn>
            <a:cxn ang="T143">
              <a:pos x="T58" y="T59"/>
            </a:cxn>
            <a:cxn ang="T144">
              <a:pos x="T60" y="T61"/>
            </a:cxn>
            <a:cxn ang="T145">
              <a:pos x="T62" y="T63"/>
            </a:cxn>
            <a:cxn ang="T146">
              <a:pos x="T64" y="T65"/>
            </a:cxn>
            <a:cxn ang="T147">
              <a:pos x="T66" y="T67"/>
            </a:cxn>
            <a:cxn ang="T148">
              <a:pos x="T68" y="T69"/>
            </a:cxn>
            <a:cxn ang="T149">
              <a:pos x="T70" y="T71"/>
            </a:cxn>
            <a:cxn ang="T150">
              <a:pos x="T72" y="T73"/>
            </a:cxn>
            <a:cxn ang="T151">
              <a:pos x="T74" y="T75"/>
            </a:cxn>
            <a:cxn ang="T152">
              <a:pos x="T76" y="T77"/>
            </a:cxn>
            <a:cxn ang="T153">
              <a:pos x="T78" y="T79"/>
            </a:cxn>
            <a:cxn ang="T154">
              <a:pos x="T80" y="T81"/>
            </a:cxn>
            <a:cxn ang="T155">
              <a:pos x="T82" y="T83"/>
            </a:cxn>
            <a:cxn ang="T156">
              <a:pos x="T84" y="T85"/>
            </a:cxn>
            <a:cxn ang="T157">
              <a:pos x="T86" y="T87"/>
            </a:cxn>
            <a:cxn ang="T158">
              <a:pos x="T88" y="T89"/>
            </a:cxn>
            <a:cxn ang="T159">
              <a:pos x="T90" y="T91"/>
            </a:cxn>
            <a:cxn ang="T160">
              <a:pos x="T92" y="T93"/>
            </a:cxn>
            <a:cxn ang="T161">
              <a:pos x="T94" y="T95"/>
            </a:cxn>
            <a:cxn ang="T162">
              <a:pos x="T96" y="T97"/>
            </a:cxn>
            <a:cxn ang="T163">
              <a:pos x="T98" y="T99"/>
            </a:cxn>
            <a:cxn ang="T164">
              <a:pos x="T100" y="T101"/>
            </a:cxn>
            <a:cxn ang="T165">
              <a:pos x="T102" y="T103"/>
            </a:cxn>
            <a:cxn ang="T166">
              <a:pos x="T104" y="T105"/>
            </a:cxn>
            <a:cxn ang="T167">
              <a:pos x="T106" y="T107"/>
            </a:cxn>
            <a:cxn ang="T168">
              <a:pos x="T108" y="T109"/>
            </a:cxn>
            <a:cxn ang="T169">
              <a:pos x="T110" y="T111"/>
            </a:cxn>
            <a:cxn ang="T170">
              <a:pos x="T112" y="T113"/>
            </a:cxn>
          </a:cxnLst>
          <a:rect l="T171" t="T172" r="T173" b="T174"/>
          <a:pathLst>
            <a:path w="1637" h="709">
              <a:moveTo>
                <a:pt x="997" y="709"/>
              </a:moveTo>
              <a:lnTo>
                <a:pt x="993" y="709"/>
              </a:lnTo>
              <a:lnTo>
                <a:pt x="969" y="709"/>
              </a:lnTo>
              <a:lnTo>
                <a:pt x="934" y="709"/>
              </a:lnTo>
              <a:lnTo>
                <a:pt x="923" y="709"/>
              </a:lnTo>
              <a:lnTo>
                <a:pt x="912" y="709"/>
              </a:lnTo>
              <a:lnTo>
                <a:pt x="888" y="709"/>
              </a:lnTo>
              <a:lnTo>
                <a:pt x="876" y="709"/>
              </a:lnTo>
              <a:lnTo>
                <a:pt x="829" y="709"/>
              </a:lnTo>
              <a:lnTo>
                <a:pt x="793" y="709"/>
              </a:lnTo>
              <a:lnTo>
                <a:pt x="736" y="709"/>
              </a:lnTo>
              <a:lnTo>
                <a:pt x="726" y="709"/>
              </a:lnTo>
              <a:lnTo>
                <a:pt x="723" y="709"/>
              </a:lnTo>
              <a:lnTo>
                <a:pt x="689" y="709"/>
              </a:lnTo>
              <a:lnTo>
                <a:pt x="654" y="709"/>
              </a:lnTo>
              <a:lnTo>
                <a:pt x="621" y="709"/>
              </a:lnTo>
              <a:lnTo>
                <a:pt x="619" y="709"/>
              </a:lnTo>
              <a:lnTo>
                <a:pt x="617" y="709"/>
              </a:lnTo>
              <a:lnTo>
                <a:pt x="595" y="709"/>
              </a:lnTo>
              <a:lnTo>
                <a:pt x="548" y="708"/>
              </a:lnTo>
              <a:lnTo>
                <a:pt x="511" y="708"/>
              </a:lnTo>
              <a:lnTo>
                <a:pt x="501" y="708"/>
              </a:lnTo>
              <a:lnTo>
                <a:pt x="495" y="709"/>
              </a:lnTo>
              <a:lnTo>
                <a:pt x="375" y="708"/>
              </a:lnTo>
              <a:lnTo>
                <a:pt x="375" y="627"/>
              </a:lnTo>
              <a:lnTo>
                <a:pt x="375" y="606"/>
              </a:lnTo>
              <a:lnTo>
                <a:pt x="375" y="592"/>
              </a:lnTo>
              <a:lnTo>
                <a:pt x="375" y="562"/>
              </a:lnTo>
              <a:lnTo>
                <a:pt x="375" y="545"/>
              </a:lnTo>
              <a:lnTo>
                <a:pt x="375" y="533"/>
              </a:lnTo>
              <a:lnTo>
                <a:pt x="375" y="473"/>
              </a:lnTo>
              <a:lnTo>
                <a:pt x="269" y="473"/>
              </a:lnTo>
              <a:lnTo>
                <a:pt x="268" y="473"/>
              </a:lnTo>
              <a:lnTo>
                <a:pt x="263" y="473"/>
              </a:lnTo>
              <a:lnTo>
                <a:pt x="127" y="473"/>
              </a:lnTo>
              <a:lnTo>
                <a:pt x="90" y="473"/>
              </a:lnTo>
              <a:lnTo>
                <a:pt x="91" y="473"/>
              </a:lnTo>
              <a:lnTo>
                <a:pt x="81" y="473"/>
              </a:lnTo>
              <a:lnTo>
                <a:pt x="0" y="473"/>
              </a:lnTo>
              <a:lnTo>
                <a:pt x="0" y="444"/>
              </a:lnTo>
              <a:lnTo>
                <a:pt x="0" y="401"/>
              </a:lnTo>
              <a:lnTo>
                <a:pt x="0" y="381"/>
              </a:lnTo>
              <a:lnTo>
                <a:pt x="0" y="355"/>
              </a:lnTo>
              <a:lnTo>
                <a:pt x="0" y="340"/>
              </a:lnTo>
              <a:lnTo>
                <a:pt x="0" y="325"/>
              </a:lnTo>
              <a:lnTo>
                <a:pt x="0" y="308"/>
              </a:lnTo>
              <a:lnTo>
                <a:pt x="0" y="296"/>
              </a:lnTo>
              <a:lnTo>
                <a:pt x="0" y="266"/>
              </a:lnTo>
              <a:lnTo>
                <a:pt x="0" y="236"/>
              </a:lnTo>
              <a:lnTo>
                <a:pt x="0" y="207"/>
              </a:lnTo>
              <a:lnTo>
                <a:pt x="0" y="178"/>
              </a:lnTo>
              <a:lnTo>
                <a:pt x="0" y="97"/>
              </a:lnTo>
              <a:lnTo>
                <a:pt x="0" y="44"/>
              </a:lnTo>
              <a:lnTo>
                <a:pt x="0" y="12"/>
              </a:lnTo>
              <a:lnTo>
                <a:pt x="0" y="1"/>
              </a:lnTo>
              <a:lnTo>
                <a:pt x="8" y="1"/>
              </a:lnTo>
              <a:lnTo>
                <a:pt x="11" y="0"/>
              </a:lnTo>
              <a:lnTo>
                <a:pt x="103" y="0"/>
              </a:lnTo>
              <a:lnTo>
                <a:pt x="151" y="0"/>
              </a:lnTo>
              <a:lnTo>
                <a:pt x="158" y="1"/>
              </a:lnTo>
              <a:lnTo>
                <a:pt x="197" y="1"/>
              </a:lnTo>
              <a:lnTo>
                <a:pt x="221" y="1"/>
              </a:lnTo>
              <a:lnTo>
                <a:pt x="225" y="1"/>
              </a:lnTo>
              <a:lnTo>
                <a:pt x="237" y="1"/>
              </a:lnTo>
              <a:lnTo>
                <a:pt x="296" y="1"/>
              </a:lnTo>
              <a:lnTo>
                <a:pt x="338" y="1"/>
              </a:lnTo>
              <a:lnTo>
                <a:pt x="370" y="1"/>
              </a:lnTo>
              <a:lnTo>
                <a:pt x="432" y="1"/>
              </a:lnTo>
              <a:lnTo>
                <a:pt x="446" y="2"/>
              </a:lnTo>
              <a:lnTo>
                <a:pt x="529" y="1"/>
              </a:lnTo>
              <a:lnTo>
                <a:pt x="604" y="1"/>
              </a:lnTo>
              <a:lnTo>
                <a:pt x="665" y="1"/>
              </a:lnTo>
              <a:lnTo>
                <a:pt x="722" y="1"/>
              </a:lnTo>
              <a:lnTo>
                <a:pt x="846" y="1"/>
              </a:lnTo>
              <a:lnTo>
                <a:pt x="898" y="1"/>
              </a:lnTo>
              <a:lnTo>
                <a:pt x="1040" y="1"/>
              </a:lnTo>
              <a:lnTo>
                <a:pt x="1063" y="22"/>
              </a:lnTo>
              <a:lnTo>
                <a:pt x="1075" y="29"/>
              </a:lnTo>
              <a:lnTo>
                <a:pt x="1087" y="31"/>
              </a:lnTo>
              <a:lnTo>
                <a:pt x="1105" y="38"/>
              </a:lnTo>
              <a:lnTo>
                <a:pt x="1133" y="57"/>
              </a:lnTo>
              <a:lnTo>
                <a:pt x="1158" y="34"/>
              </a:lnTo>
              <a:lnTo>
                <a:pt x="1201" y="36"/>
              </a:lnTo>
              <a:lnTo>
                <a:pt x="1206" y="37"/>
              </a:lnTo>
              <a:lnTo>
                <a:pt x="1227" y="34"/>
              </a:lnTo>
              <a:lnTo>
                <a:pt x="1229" y="35"/>
              </a:lnTo>
              <a:lnTo>
                <a:pt x="1273" y="35"/>
              </a:lnTo>
              <a:lnTo>
                <a:pt x="1290" y="48"/>
              </a:lnTo>
              <a:lnTo>
                <a:pt x="1296" y="54"/>
              </a:lnTo>
              <a:lnTo>
                <a:pt x="1317" y="58"/>
              </a:lnTo>
              <a:lnTo>
                <a:pt x="1356" y="70"/>
              </a:lnTo>
              <a:lnTo>
                <a:pt x="1375" y="90"/>
              </a:lnTo>
              <a:lnTo>
                <a:pt x="1390" y="113"/>
              </a:lnTo>
              <a:lnTo>
                <a:pt x="1410" y="119"/>
              </a:lnTo>
              <a:lnTo>
                <a:pt x="1424" y="122"/>
              </a:lnTo>
              <a:lnTo>
                <a:pt x="1440" y="172"/>
              </a:lnTo>
              <a:lnTo>
                <a:pt x="1446" y="178"/>
              </a:lnTo>
              <a:lnTo>
                <a:pt x="1445" y="180"/>
              </a:lnTo>
              <a:lnTo>
                <a:pt x="1441" y="186"/>
              </a:lnTo>
              <a:lnTo>
                <a:pt x="1454" y="207"/>
              </a:lnTo>
              <a:lnTo>
                <a:pt x="1456" y="226"/>
              </a:lnTo>
              <a:lnTo>
                <a:pt x="1462" y="237"/>
              </a:lnTo>
              <a:lnTo>
                <a:pt x="1473" y="237"/>
              </a:lnTo>
              <a:lnTo>
                <a:pt x="1482" y="268"/>
              </a:lnTo>
              <a:lnTo>
                <a:pt x="1484" y="271"/>
              </a:lnTo>
              <a:lnTo>
                <a:pt x="1490" y="296"/>
              </a:lnTo>
              <a:lnTo>
                <a:pt x="1485" y="312"/>
              </a:lnTo>
              <a:lnTo>
                <a:pt x="1486" y="326"/>
              </a:lnTo>
              <a:lnTo>
                <a:pt x="1507" y="346"/>
              </a:lnTo>
              <a:lnTo>
                <a:pt x="1508" y="353"/>
              </a:lnTo>
              <a:lnTo>
                <a:pt x="1506" y="355"/>
              </a:lnTo>
              <a:lnTo>
                <a:pt x="1507" y="362"/>
              </a:lnTo>
              <a:lnTo>
                <a:pt x="1519" y="381"/>
              </a:lnTo>
              <a:lnTo>
                <a:pt x="1531" y="405"/>
              </a:lnTo>
              <a:lnTo>
                <a:pt x="1522" y="414"/>
              </a:lnTo>
              <a:lnTo>
                <a:pt x="1521" y="428"/>
              </a:lnTo>
              <a:lnTo>
                <a:pt x="1531" y="429"/>
              </a:lnTo>
              <a:lnTo>
                <a:pt x="1532" y="433"/>
              </a:lnTo>
              <a:lnTo>
                <a:pt x="1530" y="435"/>
              </a:lnTo>
              <a:lnTo>
                <a:pt x="1532" y="444"/>
              </a:lnTo>
              <a:lnTo>
                <a:pt x="1529" y="459"/>
              </a:lnTo>
              <a:lnTo>
                <a:pt x="1530" y="461"/>
              </a:lnTo>
              <a:lnTo>
                <a:pt x="1531" y="461"/>
              </a:lnTo>
              <a:lnTo>
                <a:pt x="1532" y="473"/>
              </a:lnTo>
              <a:lnTo>
                <a:pt x="1543" y="496"/>
              </a:lnTo>
              <a:lnTo>
                <a:pt x="1543" y="498"/>
              </a:lnTo>
              <a:lnTo>
                <a:pt x="1539" y="503"/>
              </a:lnTo>
              <a:lnTo>
                <a:pt x="1538" y="524"/>
              </a:lnTo>
              <a:lnTo>
                <a:pt x="1530" y="533"/>
              </a:lnTo>
              <a:lnTo>
                <a:pt x="1554" y="566"/>
              </a:lnTo>
              <a:lnTo>
                <a:pt x="1551" y="571"/>
              </a:lnTo>
              <a:lnTo>
                <a:pt x="1550" y="572"/>
              </a:lnTo>
              <a:lnTo>
                <a:pt x="1554" y="585"/>
              </a:lnTo>
              <a:lnTo>
                <a:pt x="1562" y="586"/>
              </a:lnTo>
              <a:lnTo>
                <a:pt x="1567" y="577"/>
              </a:lnTo>
              <a:lnTo>
                <a:pt x="1577" y="636"/>
              </a:lnTo>
              <a:lnTo>
                <a:pt x="1591" y="647"/>
              </a:lnTo>
              <a:lnTo>
                <a:pt x="1600" y="651"/>
              </a:lnTo>
              <a:lnTo>
                <a:pt x="1624" y="703"/>
              </a:lnTo>
              <a:lnTo>
                <a:pt x="1637" y="709"/>
              </a:lnTo>
              <a:lnTo>
                <a:pt x="1630" y="709"/>
              </a:lnTo>
              <a:lnTo>
                <a:pt x="1547" y="709"/>
              </a:lnTo>
              <a:lnTo>
                <a:pt x="1531" y="709"/>
              </a:lnTo>
              <a:lnTo>
                <a:pt x="1507" y="709"/>
              </a:lnTo>
              <a:lnTo>
                <a:pt x="1505" y="709"/>
              </a:lnTo>
              <a:lnTo>
                <a:pt x="1484" y="709"/>
              </a:lnTo>
              <a:lnTo>
                <a:pt x="1462" y="709"/>
              </a:lnTo>
              <a:lnTo>
                <a:pt x="1460" y="709"/>
              </a:lnTo>
              <a:lnTo>
                <a:pt x="1437" y="709"/>
              </a:lnTo>
              <a:lnTo>
                <a:pt x="1421" y="709"/>
              </a:lnTo>
              <a:lnTo>
                <a:pt x="1413" y="709"/>
              </a:lnTo>
              <a:lnTo>
                <a:pt x="1367" y="709"/>
              </a:lnTo>
              <a:lnTo>
                <a:pt x="1356" y="709"/>
              </a:lnTo>
              <a:lnTo>
                <a:pt x="1344" y="709"/>
              </a:lnTo>
              <a:lnTo>
                <a:pt x="1336" y="709"/>
              </a:lnTo>
              <a:lnTo>
                <a:pt x="1296" y="709"/>
              </a:lnTo>
              <a:lnTo>
                <a:pt x="1273" y="709"/>
              </a:lnTo>
              <a:lnTo>
                <a:pt x="1252" y="709"/>
              </a:lnTo>
              <a:lnTo>
                <a:pt x="1249" y="709"/>
              </a:lnTo>
              <a:lnTo>
                <a:pt x="1203" y="709"/>
              </a:lnTo>
              <a:lnTo>
                <a:pt x="1167" y="709"/>
              </a:lnTo>
              <a:lnTo>
                <a:pt x="1156" y="709"/>
              </a:lnTo>
              <a:lnTo>
                <a:pt x="1146" y="709"/>
              </a:lnTo>
              <a:lnTo>
                <a:pt x="1133" y="709"/>
              </a:lnTo>
              <a:lnTo>
                <a:pt x="1109" y="709"/>
              </a:lnTo>
              <a:lnTo>
                <a:pt x="1082" y="709"/>
              </a:lnTo>
              <a:lnTo>
                <a:pt x="1063" y="709"/>
              </a:lnTo>
              <a:lnTo>
                <a:pt x="1040" y="709"/>
              </a:lnTo>
              <a:lnTo>
                <a:pt x="1039" y="709"/>
              </a:lnTo>
              <a:lnTo>
                <a:pt x="1016" y="709"/>
              </a:lnTo>
              <a:lnTo>
                <a:pt x="997" y="709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pPr algn="ctr"/>
          <a:endParaRPr lang="en-US" sz="800" b="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20</xdr:col>
      <xdr:colOff>119761</xdr:colOff>
      <xdr:row>7</xdr:row>
      <xdr:rowOff>119694</xdr:rowOff>
    </xdr:from>
    <xdr:to>
      <xdr:col>21</xdr:col>
      <xdr:colOff>188036</xdr:colOff>
      <xdr:row>9</xdr:row>
      <xdr:rowOff>142945</xdr:rowOff>
    </xdr:to>
    <xdr:sp macro="" textlink="">
      <xdr:nvSpPr>
        <xdr:cNvPr id="70" name="S_ND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>
          <a:spLocks/>
        </xdr:cNvSpPr>
      </xdr:nvSpPr>
      <xdr:spPr bwMode="auto">
        <a:xfrm>
          <a:off x="2320036" y="1453194"/>
          <a:ext cx="677875" cy="442351"/>
        </a:xfrm>
        <a:custGeom>
          <a:avLst/>
          <a:gdLst>
            <a:gd name="T0" fmla="*/ 2147483647 w 1400"/>
            <a:gd name="T1" fmla="*/ 2147483647 h 724"/>
            <a:gd name="T2" fmla="*/ 2147483647 w 1400"/>
            <a:gd name="T3" fmla="*/ 2147483647 h 724"/>
            <a:gd name="T4" fmla="*/ 2147483647 w 1400"/>
            <a:gd name="T5" fmla="*/ 2147483647 h 724"/>
            <a:gd name="T6" fmla="*/ 2147483647 w 1400"/>
            <a:gd name="T7" fmla="*/ 2147483647 h 724"/>
            <a:gd name="T8" fmla="*/ 2147483647 w 1400"/>
            <a:gd name="T9" fmla="*/ 2147483647 h 724"/>
            <a:gd name="T10" fmla="*/ 2147483647 w 1400"/>
            <a:gd name="T11" fmla="*/ 2147483647 h 724"/>
            <a:gd name="T12" fmla="*/ 2147483647 w 1400"/>
            <a:gd name="T13" fmla="*/ 2147483647 h 724"/>
            <a:gd name="T14" fmla="*/ 2147483647 w 1400"/>
            <a:gd name="T15" fmla="*/ 2147483647 h 724"/>
            <a:gd name="T16" fmla="*/ 2147483647 w 1400"/>
            <a:gd name="T17" fmla="*/ 2147483647 h 724"/>
            <a:gd name="T18" fmla="*/ 2147483647 w 1400"/>
            <a:gd name="T19" fmla="*/ 2147483647 h 724"/>
            <a:gd name="T20" fmla="*/ 2147483647 w 1400"/>
            <a:gd name="T21" fmla="*/ 2147483647 h 724"/>
            <a:gd name="T22" fmla="*/ 2147483647 w 1400"/>
            <a:gd name="T23" fmla="*/ 2147483647 h 724"/>
            <a:gd name="T24" fmla="*/ 2147483647 w 1400"/>
            <a:gd name="T25" fmla="*/ 2147483647 h 724"/>
            <a:gd name="T26" fmla="*/ 2147483647 w 1400"/>
            <a:gd name="T27" fmla="*/ 2147483647 h 724"/>
            <a:gd name="T28" fmla="*/ 2147483647 w 1400"/>
            <a:gd name="T29" fmla="*/ 2147483647 h 724"/>
            <a:gd name="T30" fmla="*/ 2147483647 w 1400"/>
            <a:gd name="T31" fmla="*/ 2147483647 h 724"/>
            <a:gd name="T32" fmla="*/ 2147483647 w 1400"/>
            <a:gd name="T33" fmla="*/ 2147483647 h 724"/>
            <a:gd name="T34" fmla="*/ 2147483647 w 1400"/>
            <a:gd name="T35" fmla="*/ 2147483647 h 724"/>
            <a:gd name="T36" fmla="*/ 2147483647 w 1400"/>
            <a:gd name="T37" fmla="*/ 2147483647 h 724"/>
            <a:gd name="T38" fmla="*/ 2147483647 w 1400"/>
            <a:gd name="T39" fmla="*/ 2147483647 h 724"/>
            <a:gd name="T40" fmla="*/ 2147483647 w 1400"/>
            <a:gd name="T41" fmla="*/ 2147483647 h 724"/>
            <a:gd name="T42" fmla="*/ 2147483647 w 1400"/>
            <a:gd name="T43" fmla="*/ 2147483647 h 724"/>
            <a:gd name="T44" fmla="*/ 2147483647 w 1400"/>
            <a:gd name="T45" fmla="*/ 2147483647 h 724"/>
            <a:gd name="T46" fmla="*/ 2147483647 w 1400"/>
            <a:gd name="T47" fmla="*/ 2147483647 h 724"/>
            <a:gd name="T48" fmla="*/ 2147483647 w 1400"/>
            <a:gd name="T49" fmla="*/ 2147483647 h 724"/>
            <a:gd name="T50" fmla="*/ 2147483647 w 1400"/>
            <a:gd name="T51" fmla="*/ 2147483647 h 724"/>
            <a:gd name="T52" fmla="*/ 2147483647 w 1400"/>
            <a:gd name="T53" fmla="*/ 2147483647 h 724"/>
            <a:gd name="T54" fmla="*/ 2147483647 w 1400"/>
            <a:gd name="T55" fmla="*/ 2147483647 h 724"/>
            <a:gd name="T56" fmla="*/ 2147483647 w 1400"/>
            <a:gd name="T57" fmla="*/ 0 h 724"/>
            <a:gd name="T58" fmla="*/ 2147483647 w 1400"/>
            <a:gd name="T59" fmla="*/ 2147483647 h 724"/>
            <a:gd name="T60" fmla="*/ 2147483647 w 1400"/>
            <a:gd name="T61" fmla="*/ 2147483647 h 724"/>
            <a:gd name="T62" fmla="*/ 2147483647 w 1400"/>
            <a:gd name="T63" fmla="*/ 2147483647 h 724"/>
            <a:gd name="T64" fmla="*/ 0 w 1400"/>
            <a:gd name="T65" fmla="*/ 2147483647 h 724"/>
            <a:gd name="T66" fmla="*/ 0 w 1400"/>
            <a:gd name="T67" fmla="*/ 2147483647 h 724"/>
            <a:gd name="T68" fmla="*/ 0 w 1400"/>
            <a:gd name="T69" fmla="*/ 2147483647 h 724"/>
            <a:gd name="T70" fmla="*/ 0 w 1400"/>
            <a:gd name="T71" fmla="*/ 2147483647 h 724"/>
            <a:gd name="T72" fmla="*/ 2147483647 w 1400"/>
            <a:gd name="T73" fmla="*/ 2147483647 h 724"/>
            <a:gd name="T74" fmla="*/ 2147483647 w 1400"/>
            <a:gd name="T75" fmla="*/ 2147483647 h 724"/>
            <a:gd name="T76" fmla="*/ 2147483647 w 1400"/>
            <a:gd name="T77" fmla="*/ 2147483647 h 724"/>
            <a:gd name="T78" fmla="*/ 2147483647 w 1400"/>
            <a:gd name="T79" fmla="*/ 2147483647 h 724"/>
            <a:gd name="T80" fmla="*/ 2147483647 w 1400"/>
            <a:gd name="T81" fmla="*/ 2147483647 h 724"/>
            <a:gd name="T82" fmla="*/ 2147483647 w 1400"/>
            <a:gd name="T83" fmla="*/ 2147483647 h 724"/>
            <a:gd name="T84" fmla="*/ 2147483647 w 1400"/>
            <a:gd name="T85" fmla="*/ 2147483647 h 724"/>
            <a:gd name="T86" fmla="*/ 2147483647 w 1400"/>
            <a:gd name="T87" fmla="*/ 2147483647 h 724"/>
            <a:gd name="T88" fmla="*/ 2147483647 w 1400"/>
            <a:gd name="T89" fmla="*/ 2147483647 h 724"/>
            <a:gd name="T90" fmla="*/ 2147483647 w 1400"/>
            <a:gd name="T91" fmla="*/ 2147483647 h 724"/>
            <a:gd name="T92" fmla="*/ 2147483647 w 1400"/>
            <a:gd name="T93" fmla="*/ 2147483647 h 724"/>
            <a:gd name="T94" fmla="*/ 2147483647 w 1400"/>
            <a:gd name="T95" fmla="*/ 2147483647 h 724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w 1400"/>
            <a:gd name="T145" fmla="*/ 0 h 724"/>
            <a:gd name="T146" fmla="*/ 1400 w 1400"/>
            <a:gd name="T147" fmla="*/ 724 h 724"/>
          </a:gdLst>
          <a:ahLst/>
          <a:cxnLst>
            <a:cxn ang="T96">
              <a:pos x="T0" y="T1"/>
            </a:cxn>
            <a:cxn ang="T97">
              <a:pos x="T2" y="T3"/>
            </a:cxn>
            <a:cxn ang="T98">
              <a:pos x="T4" y="T5"/>
            </a:cxn>
            <a:cxn ang="T99">
              <a:pos x="T6" y="T7"/>
            </a:cxn>
            <a:cxn ang="T100">
              <a:pos x="T8" y="T9"/>
            </a:cxn>
            <a:cxn ang="T101">
              <a:pos x="T10" y="T11"/>
            </a:cxn>
            <a:cxn ang="T102">
              <a:pos x="T12" y="T13"/>
            </a:cxn>
            <a:cxn ang="T103">
              <a:pos x="T14" y="T15"/>
            </a:cxn>
            <a:cxn ang="T104">
              <a:pos x="T16" y="T17"/>
            </a:cxn>
            <a:cxn ang="T105">
              <a:pos x="T18" y="T19"/>
            </a:cxn>
            <a:cxn ang="T106">
              <a:pos x="T20" y="T21"/>
            </a:cxn>
            <a:cxn ang="T107">
              <a:pos x="T22" y="T23"/>
            </a:cxn>
            <a:cxn ang="T108">
              <a:pos x="T24" y="T25"/>
            </a:cxn>
            <a:cxn ang="T109">
              <a:pos x="T26" y="T27"/>
            </a:cxn>
            <a:cxn ang="T110">
              <a:pos x="T28" y="T29"/>
            </a:cxn>
            <a:cxn ang="T111">
              <a:pos x="T30" y="T31"/>
            </a:cxn>
            <a:cxn ang="T112">
              <a:pos x="T32" y="T33"/>
            </a:cxn>
            <a:cxn ang="T113">
              <a:pos x="T34" y="T35"/>
            </a:cxn>
            <a:cxn ang="T114">
              <a:pos x="T36" y="T37"/>
            </a:cxn>
            <a:cxn ang="T115">
              <a:pos x="T38" y="T39"/>
            </a:cxn>
            <a:cxn ang="T116">
              <a:pos x="T40" y="T41"/>
            </a:cxn>
            <a:cxn ang="T117">
              <a:pos x="T42" y="T43"/>
            </a:cxn>
            <a:cxn ang="T118">
              <a:pos x="T44" y="T45"/>
            </a:cxn>
            <a:cxn ang="T119">
              <a:pos x="T46" y="T47"/>
            </a:cxn>
            <a:cxn ang="T120">
              <a:pos x="T48" y="T49"/>
            </a:cxn>
            <a:cxn ang="T121">
              <a:pos x="T50" y="T51"/>
            </a:cxn>
            <a:cxn ang="T122">
              <a:pos x="T52" y="T53"/>
            </a:cxn>
            <a:cxn ang="T123">
              <a:pos x="T54" y="T55"/>
            </a:cxn>
            <a:cxn ang="T124">
              <a:pos x="T56" y="T57"/>
            </a:cxn>
            <a:cxn ang="T125">
              <a:pos x="T58" y="T59"/>
            </a:cxn>
            <a:cxn ang="T126">
              <a:pos x="T60" y="T61"/>
            </a:cxn>
            <a:cxn ang="T127">
              <a:pos x="T62" y="T63"/>
            </a:cxn>
            <a:cxn ang="T128">
              <a:pos x="T64" y="T65"/>
            </a:cxn>
            <a:cxn ang="T129">
              <a:pos x="T66" y="T67"/>
            </a:cxn>
            <a:cxn ang="T130">
              <a:pos x="T68" y="T69"/>
            </a:cxn>
            <a:cxn ang="T131">
              <a:pos x="T70" y="T71"/>
            </a:cxn>
            <a:cxn ang="T132">
              <a:pos x="T72" y="T73"/>
            </a:cxn>
            <a:cxn ang="T133">
              <a:pos x="T74" y="T75"/>
            </a:cxn>
            <a:cxn ang="T134">
              <a:pos x="T76" y="T77"/>
            </a:cxn>
            <a:cxn ang="T135">
              <a:pos x="T78" y="T79"/>
            </a:cxn>
            <a:cxn ang="T136">
              <a:pos x="T80" y="T81"/>
            </a:cxn>
            <a:cxn ang="T137">
              <a:pos x="T82" y="T83"/>
            </a:cxn>
            <a:cxn ang="T138">
              <a:pos x="T84" y="T85"/>
            </a:cxn>
            <a:cxn ang="T139">
              <a:pos x="T86" y="T87"/>
            </a:cxn>
            <a:cxn ang="T140">
              <a:pos x="T88" y="T89"/>
            </a:cxn>
            <a:cxn ang="T141">
              <a:pos x="T90" y="T91"/>
            </a:cxn>
            <a:cxn ang="T142">
              <a:pos x="T92" y="T93"/>
            </a:cxn>
            <a:cxn ang="T143">
              <a:pos x="T94" y="T95"/>
            </a:cxn>
          </a:cxnLst>
          <a:rect l="T144" t="T145" r="T146" b="T147"/>
          <a:pathLst>
            <a:path w="1400" h="724">
              <a:moveTo>
                <a:pt x="383" y="722"/>
              </a:moveTo>
              <a:lnTo>
                <a:pt x="523" y="722"/>
              </a:lnTo>
              <a:lnTo>
                <a:pt x="546" y="722"/>
              </a:lnTo>
              <a:lnTo>
                <a:pt x="661" y="722"/>
              </a:lnTo>
              <a:lnTo>
                <a:pt x="663" y="722"/>
              </a:lnTo>
              <a:lnTo>
                <a:pt x="664" y="722"/>
              </a:lnTo>
              <a:lnTo>
                <a:pt x="756" y="723"/>
              </a:lnTo>
              <a:lnTo>
                <a:pt x="757" y="723"/>
              </a:lnTo>
              <a:lnTo>
                <a:pt x="780" y="723"/>
              </a:lnTo>
              <a:lnTo>
                <a:pt x="810" y="723"/>
              </a:lnTo>
              <a:lnTo>
                <a:pt x="827" y="723"/>
              </a:lnTo>
              <a:lnTo>
                <a:pt x="897" y="723"/>
              </a:lnTo>
              <a:lnTo>
                <a:pt x="943" y="723"/>
              </a:lnTo>
              <a:lnTo>
                <a:pt x="991" y="723"/>
              </a:lnTo>
              <a:lnTo>
                <a:pt x="996" y="723"/>
              </a:lnTo>
              <a:lnTo>
                <a:pt x="1061" y="724"/>
              </a:lnTo>
              <a:lnTo>
                <a:pt x="1085" y="724"/>
              </a:lnTo>
              <a:lnTo>
                <a:pt x="1130" y="724"/>
              </a:lnTo>
              <a:lnTo>
                <a:pt x="1131" y="724"/>
              </a:lnTo>
              <a:lnTo>
                <a:pt x="1135" y="724"/>
              </a:lnTo>
              <a:lnTo>
                <a:pt x="1225" y="724"/>
              </a:lnTo>
              <a:lnTo>
                <a:pt x="1271" y="724"/>
              </a:lnTo>
              <a:lnTo>
                <a:pt x="1275" y="724"/>
              </a:lnTo>
              <a:lnTo>
                <a:pt x="1318" y="724"/>
              </a:lnTo>
              <a:lnTo>
                <a:pt x="1365" y="724"/>
              </a:lnTo>
              <a:lnTo>
                <a:pt x="1400" y="724"/>
              </a:lnTo>
              <a:lnTo>
                <a:pt x="1397" y="709"/>
              </a:lnTo>
              <a:lnTo>
                <a:pt x="1397" y="704"/>
              </a:lnTo>
              <a:lnTo>
                <a:pt x="1389" y="627"/>
              </a:lnTo>
              <a:lnTo>
                <a:pt x="1366" y="591"/>
              </a:lnTo>
              <a:lnTo>
                <a:pt x="1360" y="562"/>
              </a:lnTo>
              <a:lnTo>
                <a:pt x="1359" y="561"/>
              </a:lnTo>
              <a:lnTo>
                <a:pt x="1355" y="561"/>
              </a:lnTo>
              <a:lnTo>
                <a:pt x="1360" y="503"/>
              </a:lnTo>
              <a:lnTo>
                <a:pt x="1351" y="473"/>
              </a:lnTo>
              <a:lnTo>
                <a:pt x="1348" y="438"/>
              </a:lnTo>
              <a:lnTo>
                <a:pt x="1349" y="429"/>
              </a:lnTo>
              <a:lnTo>
                <a:pt x="1349" y="417"/>
              </a:lnTo>
              <a:lnTo>
                <a:pt x="1347" y="395"/>
              </a:lnTo>
              <a:lnTo>
                <a:pt x="1350" y="394"/>
              </a:lnTo>
              <a:lnTo>
                <a:pt x="1345" y="386"/>
              </a:lnTo>
              <a:lnTo>
                <a:pt x="1347" y="384"/>
              </a:lnTo>
              <a:lnTo>
                <a:pt x="1347" y="355"/>
              </a:lnTo>
              <a:lnTo>
                <a:pt x="1346" y="354"/>
              </a:lnTo>
              <a:lnTo>
                <a:pt x="1342" y="326"/>
              </a:lnTo>
              <a:lnTo>
                <a:pt x="1339" y="315"/>
              </a:lnTo>
              <a:lnTo>
                <a:pt x="1314" y="266"/>
              </a:lnTo>
              <a:lnTo>
                <a:pt x="1296" y="198"/>
              </a:lnTo>
              <a:lnTo>
                <a:pt x="1290" y="196"/>
              </a:lnTo>
              <a:lnTo>
                <a:pt x="1291" y="190"/>
              </a:lnTo>
              <a:lnTo>
                <a:pt x="1296" y="187"/>
              </a:lnTo>
              <a:lnTo>
                <a:pt x="1293" y="137"/>
              </a:lnTo>
              <a:lnTo>
                <a:pt x="1288" y="109"/>
              </a:lnTo>
              <a:lnTo>
                <a:pt x="1288" y="108"/>
              </a:lnTo>
              <a:lnTo>
                <a:pt x="1283" y="33"/>
              </a:lnTo>
              <a:lnTo>
                <a:pt x="1285" y="30"/>
              </a:lnTo>
              <a:lnTo>
                <a:pt x="1275" y="0"/>
              </a:lnTo>
              <a:lnTo>
                <a:pt x="1140" y="0"/>
              </a:lnTo>
              <a:lnTo>
                <a:pt x="945" y="0"/>
              </a:lnTo>
              <a:lnTo>
                <a:pt x="846" y="1"/>
              </a:lnTo>
              <a:lnTo>
                <a:pt x="723" y="1"/>
              </a:lnTo>
              <a:lnTo>
                <a:pt x="503" y="1"/>
              </a:lnTo>
              <a:lnTo>
                <a:pt x="477" y="1"/>
              </a:lnTo>
              <a:lnTo>
                <a:pt x="379" y="1"/>
              </a:lnTo>
              <a:lnTo>
                <a:pt x="207" y="1"/>
              </a:lnTo>
              <a:lnTo>
                <a:pt x="0" y="1"/>
              </a:lnTo>
              <a:lnTo>
                <a:pt x="0" y="60"/>
              </a:lnTo>
              <a:lnTo>
                <a:pt x="0" y="79"/>
              </a:lnTo>
              <a:lnTo>
                <a:pt x="0" y="87"/>
              </a:lnTo>
              <a:lnTo>
                <a:pt x="0" y="89"/>
              </a:lnTo>
              <a:lnTo>
                <a:pt x="0" y="119"/>
              </a:lnTo>
              <a:lnTo>
                <a:pt x="0" y="144"/>
              </a:lnTo>
              <a:lnTo>
                <a:pt x="1" y="207"/>
              </a:lnTo>
              <a:lnTo>
                <a:pt x="1" y="236"/>
              </a:lnTo>
              <a:lnTo>
                <a:pt x="1" y="237"/>
              </a:lnTo>
              <a:lnTo>
                <a:pt x="1" y="266"/>
              </a:lnTo>
              <a:lnTo>
                <a:pt x="1" y="295"/>
              </a:lnTo>
              <a:lnTo>
                <a:pt x="1" y="379"/>
              </a:lnTo>
              <a:lnTo>
                <a:pt x="1" y="384"/>
              </a:lnTo>
              <a:lnTo>
                <a:pt x="1" y="395"/>
              </a:lnTo>
              <a:lnTo>
                <a:pt x="1" y="443"/>
              </a:lnTo>
              <a:lnTo>
                <a:pt x="1" y="532"/>
              </a:lnTo>
              <a:lnTo>
                <a:pt x="0" y="557"/>
              </a:lnTo>
              <a:lnTo>
                <a:pt x="1" y="581"/>
              </a:lnTo>
              <a:lnTo>
                <a:pt x="1" y="591"/>
              </a:lnTo>
              <a:lnTo>
                <a:pt x="1" y="643"/>
              </a:lnTo>
              <a:lnTo>
                <a:pt x="0" y="651"/>
              </a:lnTo>
              <a:lnTo>
                <a:pt x="1" y="686"/>
              </a:lnTo>
              <a:lnTo>
                <a:pt x="1" y="722"/>
              </a:lnTo>
              <a:lnTo>
                <a:pt x="9" y="722"/>
              </a:lnTo>
              <a:lnTo>
                <a:pt x="79" y="722"/>
              </a:lnTo>
              <a:lnTo>
                <a:pt x="196" y="722"/>
              </a:lnTo>
              <a:lnTo>
                <a:pt x="207" y="722"/>
              </a:lnTo>
              <a:lnTo>
                <a:pt x="290" y="722"/>
              </a:lnTo>
              <a:lnTo>
                <a:pt x="359" y="722"/>
              </a:lnTo>
              <a:lnTo>
                <a:pt x="383" y="722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pPr algn="ctr"/>
          <a:endParaRPr lang="en-US" sz="800" b="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18</xdr:col>
      <xdr:colOff>255346</xdr:colOff>
      <xdr:row>7</xdr:row>
      <xdr:rowOff>138579</xdr:rowOff>
    </xdr:from>
    <xdr:to>
      <xdr:col>20</xdr:col>
      <xdr:colOff>119762</xdr:colOff>
      <xdr:row>10</xdr:row>
      <xdr:rowOff>170750</xdr:rowOff>
    </xdr:to>
    <xdr:sp macro="" textlink="">
      <xdr:nvSpPr>
        <xdr:cNvPr id="71" name="S_MT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>
          <a:spLocks/>
        </xdr:cNvSpPr>
      </xdr:nvSpPr>
      <xdr:spPr bwMode="auto">
        <a:xfrm>
          <a:off x="1236421" y="1472079"/>
          <a:ext cx="1083616" cy="679871"/>
        </a:xfrm>
        <a:custGeom>
          <a:avLst/>
          <a:gdLst>
            <a:gd name="T0" fmla="*/ 2147483647 w 2247"/>
            <a:gd name="T1" fmla="*/ 2147483647 h 1097"/>
            <a:gd name="T2" fmla="*/ 2147483647 w 2247"/>
            <a:gd name="T3" fmla="*/ 2147483647 h 1097"/>
            <a:gd name="T4" fmla="*/ 2147483647 w 2247"/>
            <a:gd name="T5" fmla="*/ 2147483647 h 1097"/>
            <a:gd name="T6" fmla="*/ 2147483647 w 2247"/>
            <a:gd name="T7" fmla="*/ 2147483647 h 1097"/>
            <a:gd name="T8" fmla="*/ 2147483647 w 2247"/>
            <a:gd name="T9" fmla="*/ 2147483647 h 1097"/>
            <a:gd name="T10" fmla="*/ 2147483647 w 2247"/>
            <a:gd name="T11" fmla="*/ 2147483647 h 1097"/>
            <a:gd name="T12" fmla="*/ 2147483647 w 2247"/>
            <a:gd name="T13" fmla="*/ 2147483647 h 1097"/>
            <a:gd name="T14" fmla="*/ 2147483647 w 2247"/>
            <a:gd name="T15" fmla="*/ 2147483647 h 1097"/>
            <a:gd name="T16" fmla="*/ 2147483647 w 2247"/>
            <a:gd name="T17" fmla="*/ 2147483647 h 1097"/>
            <a:gd name="T18" fmla="*/ 2147483647 w 2247"/>
            <a:gd name="T19" fmla="*/ 2147483647 h 1097"/>
            <a:gd name="T20" fmla="*/ 2147483647 w 2247"/>
            <a:gd name="T21" fmla="*/ 2147483647 h 1097"/>
            <a:gd name="T22" fmla="*/ 2147483647 w 2247"/>
            <a:gd name="T23" fmla="*/ 2147483647 h 1097"/>
            <a:gd name="T24" fmla="*/ 0 w 2247"/>
            <a:gd name="T25" fmla="*/ 2147483647 h 1097"/>
            <a:gd name="T26" fmla="*/ 0 w 2247"/>
            <a:gd name="T27" fmla="*/ 2147483647 h 1097"/>
            <a:gd name="T28" fmla="*/ 0 w 2247"/>
            <a:gd name="T29" fmla="*/ 2147483647 h 1097"/>
            <a:gd name="T30" fmla="*/ 0 w 2247"/>
            <a:gd name="T31" fmla="*/ 2147483647 h 1097"/>
            <a:gd name="T32" fmla="*/ 0 w 2247"/>
            <a:gd name="T33" fmla="*/ 0 h 1097"/>
            <a:gd name="T34" fmla="*/ 2147483647 w 2247"/>
            <a:gd name="T35" fmla="*/ 0 h 1097"/>
            <a:gd name="T36" fmla="*/ 2147483647 w 2247"/>
            <a:gd name="T37" fmla="*/ 0 h 1097"/>
            <a:gd name="T38" fmla="*/ 2147483647 w 2247"/>
            <a:gd name="T39" fmla="*/ 0 h 1097"/>
            <a:gd name="T40" fmla="*/ 2147483647 w 2247"/>
            <a:gd name="T41" fmla="*/ 0 h 1097"/>
            <a:gd name="T42" fmla="*/ 2147483647 w 2247"/>
            <a:gd name="T43" fmla="*/ 0 h 1097"/>
            <a:gd name="T44" fmla="*/ 2147483647 w 2247"/>
            <a:gd name="T45" fmla="*/ 0 h 1097"/>
            <a:gd name="T46" fmla="*/ 2147483647 w 2247"/>
            <a:gd name="T47" fmla="*/ 2147483647 h 1097"/>
            <a:gd name="T48" fmla="*/ 2147483647 w 2247"/>
            <a:gd name="T49" fmla="*/ 2147483647 h 1097"/>
            <a:gd name="T50" fmla="*/ 2147483647 w 2247"/>
            <a:gd name="T51" fmla="*/ 2147483647 h 1097"/>
            <a:gd name="T52" fmla="*/ 2147483647 w 2247"/>
            <a:gd name="T53" fmla="*/ 2147483647 h 1097"/>
            <a:gd name="T54" fmla="*/ 2147483647 w 2247"/>
            <a:gd name="T55" fmla="*/ 2147483647 h 1097"/>
            <a:gd name="T56" fmla="*/ 2147483647 w 2247"/>
            <a:gd name="T57" fmla="*/ 2147483647 h 1097"/>
            <a:gd name="T58" fmla="*/ 2147483647 w 2247"/>
            <a:gd name="T59" fmla="*/ 2147483647 h 1097"/>
            <a:gd name="T60" fmla="*/ 2147483647 w 2247"/>
            <a:gd name="T61" fmla="*/ 2147483647 h 1097"/>
            <a:gd name="T62" fmla="*/ 2147483647 w 2247"/>
            <a:gd name="T63" fmla="*/ 2147483647 h 1097"/>
            <a:gd name="T64" fmla="*/ 2147483647 w 2247"/>
            <a:gd name="T65" fmla="*/ 2147483647 h 1097"/>
            <a:gd name="T66" fmla="*/ 2147483647 w 2247"/>
            <a:gd name="T67" fmla="*/ 2147483647 h 1097"/>
            <a:gd name="T68" fmla="*/ 2147483647 w 2247"/>
            <a:gd name="T69" fmla="*/ 2147483647 h 1097"/>
            <a:gd name="T70" fmla="*/ 2147483647 w 2247"/>
            <a:gd name="T71" fmla="*/ 2147483647 h 1097"/>
            <a:gd name="T72" fmla="*/ 2147483647 w 2247"/>
            <a:gd name="T73" fmla="*/ 2147483647 h 1097"/>
            <a:gd name="T74" fmla="*/ 2147483647 w 2247"/>
            <a:gd name="T75" fmla="*/ 2147483647 h 1097"/>
            <a:gd name="T76" fmla="*/ 2147483647 w 2247"/>
            <a:gd name="T77" fmla="*/ 2147483647 h 1097"/>
            <a:gd name="T78" fmla="*/ 2147483647 w 2247"/>
            <a:gd name="T79" fmla="*/ 2147483647 h 1097"/>
            <a:gd name="T80" fmla="*/ 2147483647 w 2247"/>
            <a:gd name="T81" fmla="*/ 2147483647 h 1097"/>
            <a:gd name="T82" fmla="*/ 2147483647 w 2247"/>
            <a:gd name="T83" fmla="*/ 2147483647 h 1097"/>
            <a:gd name="T84" fmla="*/ 2147483647 w 2247"/>
            <a:gd name="T85" fmla="*/ 2147483647 h 1097"/>
            <a:gd name="T86" fmla="*/ 2147483647 w 2247"/>
            <a:gd name="T87" fmla="*/ 2147483647 h 1097"/>
            <a:gd name="T88" fmla="*/ 2147483647 w 2247"/>
            <a:gd name="T89" fmla="*/ 2147483647 h 1097"/>
            <a:gd name="T90" fmla="*/ 2147483647 w 2247"/>
            <a:gd name="T91" fmla="*/ 2147483647 h 1097"/>
            <a:gd name="T92" fmla="*/ 2147483647 w 2247"/>
            <a:gd name="T93" fmla="*/ 2147483647 h 1097"/>
            <a:gd name="T94" fmla="*/ 2147483647 w 2247"/>
            <a:gd name="T95" fmla="*/ 2147483647 h 1097"/>
            <a:gd name="T96" fmla="*/ 2147483647 w 2247"/>
            <a:gd name="T97" fmla="*/ 2147483647 h 1097"/>
            <a:gd name="T98" fmla="*/ 2147483647 w 2247"/>
            <a:gd name="T99" fmla="*/ 2147483647 h 1097"/>
            <a:gd name="T100" fmla="*/ 2147483647 w 2247"/>
            <a:gd name="T101" fmla="*/ 2147483647 h 1097"/>
            <a:gd name="T102" fmla="*/ 2147483647 w 2247"/>
            <a:gd name="T103" fmla="*/ 2147483647 h 1097"/>
            <a:gd name="T104" fmla="*/ 2147483647 w 2247"/>
            <a:gd name="T105" fmla="*/ 2147483647 h 1097"/>
            <a:gd name="T106" fmla="*/ 2147483647 w 2247"/>
            <a:gd name="T107" fmla="*/ 2147483647 h 1097"/>
            <a:gd name="T108" fmla="*/ 2147483647 w 2247"/>
            <a:gd name="T109" fmla="*/ 2147483647 h 1097"/>
            <a:gd name="T110" fmla="*/ 2147483647 w 2247"/>
            <a:gd name="T111" fmla="*/ 2147483647 h 1097"/>
            <a:gd name="T112" fmla="*/ 2147483647 w 2247"/>
            <a:gd name="T113" fmla="*/ 2147483647 h 1097"/>
            <a:gd name="T114" fmla="*/ 2147483647 w 2247"/>
            <a:gd name="T115" fmla="*/ 2147483647 h 1097"/>
            <a:gd name="T116" fmla="*/ 2147483647 w 2247"/>
            <a:gd name="T117" fmla="*/ 2147483647 h 1097"/>
            <a:gd name="T118" fmla="*/ 2147483647 w 2247"/>
            <a:gd name="T119" fmla="*/ 2147483647 h 1097"/>
            <a:gd name="T120" fmla="*/ 2147483647 w 2247"/>
            <a:gd name="T121" fmla="*/ 2147483647 h 1097"/>
            <a:gd name="T122" fmla="*/ 2147483647 w 2247"/>
            <a:gd name="T123" fmla="*/ 2147483647 h 1097"/>
            <a:gd name="T124" fmla="*/ 2147483647 w 2247"/>
            <a:gd name="T125" fmla="*/ 2147483647 h 1097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60000 65536"/>
            <a:gd name="T184" fmla="*/ 0 60000 65536"/>
            <a:gd name="T185" fmla="*/ 0 60000 65536"/>
            <a:gd name="T186" fmla="*/ 0 60000 65536"/>
            <a:gd name="T187" fmla="*/ 0 60000 65536"/>
            <a:gd name="T188" fmla="*/ 0 60000 65536"/>
            <a:gd name="T189" fmla="*/ 0 w 2247"/>
            <a:gd name="T190" fmla="*/ 0 h 1097"/>
            <a:gd name="T191" fmla="*/ 2247 w 2247"/>
            <a:gd name="T192" fmla="*/ 1097 h 1097"/>
          </a:gdLst>
          <a:ahLst/>
          <a:cxnLst>
            <a:cxn ang="T126">
              <a:pos x="T0" y="T1"/>
            </a:cxn>
            <a:cxn ang="T127">
              <a:pos x="T2" y="T3"/>
            </a:cxn>
            <a:cxn ang="T128">
              <a:pos x="T4" y="T5"/>
            </a:cxn>
            <a:cxn ang="T129">
              <a:pos x="T6" y="T7"/>
            </a:cxn>
            <a:cxn ang="T130">
              <a:pos x="T8" y="T9"/>
            </a:cxn>
            <a:cxn ang="T131">
              <a:pos x="T10" y="T11"/>
            </a:cxn>
            <a:cxn ang="T132">
              <a:pos x="T12" y="T13"/>
            </a:cxn>
            <a:cxn ang="T133">
              <a:pos x="T14" y="T15"/>
            </a:cxn>
            <a:cxn ang="T134">
              <a:pos x="T16" y="T17"/>
            </a:cxn>
            <a:cxn ang="T135">
              <a:pos x="T18" y="T19"/>
            </a:cxn>
            <a:cxn ang="T136">
              <a:pos x="T20" y="T21"/>
            </a:cxn>
            <a:cxn ang="T137">
              <a:pos x="T22" y="T23"/>
            </a:cxn>
            <a:cxn ang="T138">
              <a:pos x="T24" y="T25"/>
            </a:cxn>
            <a:cxn ang="T139">
              <a:pos x="T26" y="T27"/>
            </a:cxn>
            <a:cxn ang="T140">
              <a:pos x="T28" y="T29"/>
            </a:cxn>
            <a:cxn ang="T141">
              <a:pos x="T30" y="T31"/>
            </a:cxn>
            <a:cxn ang="T142">
              <a:pos x="T32" y="T33"/>
            </a:cxn>
            <a:cxn ang="T143">
              <a:pos x="T34" y="T35"/>
            </a:cxn>
            <a:cxn ang="T144">
              <a:pos x="T36" y="T37"/>
            </a:cxn>
            <a:cxn ang="T145">
              <a:pos x="T38" y="T39"/>
            </a:cxn>
            <a:cxn ang="T146">
              <a:pos x="T40" y="T41"/>
            </a:cxn>
            <a:cxn ang="T147">
              <a:pos x="T42" y="T43"/>
            </a:cxn>
            <a:cxn ang="T148">
              <a:pos x="T44" y="T45"/>
            </a:cxn>
            <a:cxn ang="T149">
              <a:pos x="T46" y="T47"/>
            </a:cxn>
            <a:cxn ang="T150">
              <a:pos x="T48" y="T49"/>
            </a:cxn>
            <a:cxn ang="T151">
              <a:pos x="T50" y="T51"/>
            </a:cxn>
            <a:cxn ang="T152">
              <a:pos x="T52" y="T53"/>
            </a:cxn>
            <a:cxn ang="T153">
              <a:pos x="T54" y="T55"/>
            </a:cxn>
            <a:cxn ang="T154">
              <a:pos x="T56" y="T57"/>
            </a:cxn>
            <a:cxn ang="T155">
              <a:pos x="T58" y="T59"/>
            </a:cxn>
            <a:cxn ang="T156">
              <a:pos x="T60" y="T61"/>
            </a:cxn>
            <a:cxn ang="T157">
              <a:pos x="T62" y="T63"/>
            </a:cxn>
            <a:cxn ang="T158">
              <a:pos x="T64" y="T65"/>
            </a:cxn>
            <a:cxn ang="T159">
              <a:pos x="T66" y="T67"/>
            </a:cxn>
            <a:cxn ang="T160">
              <a:pos x="T68" y="T69"/>
            </a:cxn>
            <a:cxn ang="T161">
              <a:pos x="T70" y="T71"/>
            </a:cxn>
            <a:cxn ang="T162">
              <a:pos x="T72" y="T73"/>
            </a:cxn>
            <a:cxn ang="T163">
              <a:pos x="T74" y="T75"/>
            </a:cxn>
            <a:cxn ang="T164">
              <a:pos x="T76" y="T77"/>
            </a:cxn>
            <a:cxn ang="T165">
              <a:pos x="T78" y="T79"/>
            </a:cxn>
            <a:cxn ang="T166">
              <a:pos x="T80" y="T81"/>
            </a:cxn>
            <a:cxn ang="T167">
              <a:pos x="T82" y="T83"/>
            </a:cxn>
            <a:cxn ang="T168">
              <a:pos x="T84" y="T85"/>
            </a:cxn>
            <a:cxn ang="T169">
              <a:pos x="T86" y="T87"/>
            </a:cxn>
            <a:cxn ang="T170">
              <a:pos x="T88" y="T89"/>
            </a:cxn>
            <a:cxn ang="T171">
              <a:pos x="T90" y="T91"/>
            </a:cxn>
            <a:cxn ang="T172">
              <a:pos x="T92" y="T93"/>
            </a:cxn>
            <a:cxn ang="T173">
              <a:pos x="T94" y="T95"/>
            </a:cxn>
            <a:cxn ang="T174">
              <a:pos x="T96" y="T97"/>
            </a:cxn>
            <a:cxn ang="T175">
              <a:pos x="T98" y="T99"/>
            </a:cxn>
            <a:cxn ang="T176">
              <a:pos x="T100" y="T101"/>
            </a:cxn>
            <a:cxn ang="T177">
              <a:pos x="T102" y="T103"/>
            </a:cxn>
            <a:cxn ang="T178">
              <a:pos x="T104" y="T105"/>
            </a:cxn>
            <a:cxn ang="T179">
              <a:pos x="T106" y="T107"/>
            </a:cxn>
            <a:cxn ang="T180">
              <a:pos x="T108" y="T109"/>
            </a:cxn>
            <a:cxn ang="T181">
              <a:pos x="T110" y="T111"/>
            </a:cxn>
            <a:cxn ang="T182">
              <a:pos x="T112" y="T113"/>
            </a:cxn>
            <a:cxn ang="T183">
              <a:pos x="T114" y="T115"/>
            </a:cxn>
            <a:cxn ang="T184">
              <a:pos x="T116" y="T117"/>
            </a:cxn>
            <a:cxn ang="T185">
              <a:pos x="T118" y="T119"/>
            </a:cxn>
            <a:cxn ang="T186">
              <a:pos x="T120" y="T121"/>
            </a:cxn>
            <a:cxn ang="T187">
              <a:pos x="T122" y="T123"/>
            </a:cxn>
            <a:cxn ang="T188">
              <a:pos x="T124" y="T125"/>
            </a:cxn>
          </a:cxnLst>
          <a:rect l="T189" t="T190" r="T191" b="T192"/>
          <a:pathLst>
            <a:path w="2247" h="1097">
              <a:moveTo>
                <a:pt x="395" y="781"/>
              </a:moveTo>
              <a:lnTo>
                <a:pt x="336" y="823"/>
              </a:lnTo>
              <a:lnTo>
                <a:pt x="312" y="827"/>
              </a:lnTo>
              <a:lnTo>
                <a:pt x="277" y="813"/>
              </a:lnTo>
              <a:lnTo>
                <a:pt x="307" y="591"/>
              </a:lnTo>
              <a:lnTo>
                <a:pt x="313" y="591"/>
              </a:lnTo>
              <a:lnTo>
                <a:pt x="322" y="562"/>
              </a:lnTo>
              <a:lnTo>
                <a:pt x="321" y="553"/>
              </a:lnTo>
              <a:lnTo>
                <a:pt x="313" y="551"/>
              </a:lnTo>
              <a:lnTo>
                <a:pt x="289" y="557"/>
              </a:lnTo>
              <a:lnTo>
                <a:pt x="272" y="560"/>
              </a:lnTo>
              <a:lnTo>
                <a:pt x="266" y="553"/>
              </a:lnTo>
              <a:lnTo>
                <a:pt x="266" y="540"/>
              </a:lnTo>
              <a:lnTo>
                <a:pt x="257" y="535"/>
              </a:lnTo>
              <a:lnTo>
                <a:pt x="240" y="545"/>
              </a:lnTo>
              <a:lnTo>
                <a:pt x="236" y="540"/>
              </a:lnTo>
              <a:lnTo>
                <a:pt x="240" y="532"/>
              </a:lnTo>
              <a:lnTo>
                <a:pt x="204" y="489"/>
              </a:lnTo>
              <a:lnTo>
                <a:pt x="184" y="473"/>
              </a:lnTo>
              <a:lnTo>
                <a:pt x="135" y="415"/>
              </a:lnTo>
              <a:lnTo>
                <a:pt x="106" y="407"/>
              </a:lnTo>
              <a:lnTo>
                <a:pt x="56" y="369"/>
              </a:lnTo>
              <a:lnTo>
                <a:pt x="78" y="359"/>
              </a:lnTo>
              <a:lnTo>
                <a:pt x="56" y="344"/>
              </a:lnTo>
              <a:lnTo>
                <a:pt x="56" y="304"/>
              </a:lnTo>
              <a:lnTo>
                <a:pt x="0" y="242"/>
              </a:lnTo>
              <a:lnTo>
                <a:pt x="0" y="236"/>
              </a:lnTo>
              <a:lnTo>
                <a:pt x="0" y="186"/>
              </a:lnTo>
              <a:lnTo>
                <a:pt x="0" y="127"/>
              </a:lnTo>
              <a:lnTo>
                <a:pt x="0" y="119"/>
              </a:lnTo>
              <a:lnTo>
                <a:pt x="0" y="118"/>
              </a:lnTo>
              <a:lnTo>
                <a:pt x="0" y="30"/>
              </a:lnTo>
              <a:lnTo>
                <a:pt x="0" y="6"/>
              </a:lnTo>
              <a:lnTo>
                <a:pt x="0" y="0"/>
              </a:lnTo>
              <a:lnTo>
                <a:pt x="247" y="0"/>
              </a:lnTo>
              <a:lnTo>
                <a:pt x="371" y="1"/>
              </a:lnTo>
              <a:lnTo>
                <a:pt x="722" y="1"/>
              </a:lnTo>
              <a:lnTo>
                <a:pt x="894" y="1"/>
              </a:lnTo>
              <a:lnTo>
                <a:pt x="992" y="1"/>
              </a:lnTo>
              <a:lnTo>
                <a:pt x="1134" y="1"/>
              </a:lnTo>
              <a:lnTo>
                <a:pt x="1227" y="0"/>
              </a:lnTo>
              <a:lnTo>
                <a:pt x="1461" y="0"/>
              </a:lnTo>
              <a:lnTo>
                <a:pt x="1658" y="0"/>
              </a:lnTo>
              <a:lnTo>
                <a:pt x="1858" y="1"/>
              </a:lnTo>
              <a:lnTo>
                <a:pt x="2056" y="1"/>
              </a:lnTo>
              <a:lnTo>
                <a:pt x="2245" y="1"/>
              </a:lnTo>
              <a:lnTo>
                <a:pt x="2245" y="60"/>
              </a:lnTo>
              <a:lnTo>
                <a:pt x="2245" y="79"/>
              </a:lnTo>
              <a:lnTo>
                <a:pt x="2245" y="87"/>
              </a:lnTo>
              <a:lnTo>
                <a:pt x="2245" y="89"/>
              </a:lnTo>
              <a:lnTo>
                <a:pt x="2245" y="119"/>
              </a:lnTo>
              <a:lnTo>
                <a:pt x="2245" y="144"/>
              </a:lnTo>
              <a:lnTo>
                <a:pt x="2246" y="207"/>
              </a:lnTo>
              <a:lnTo>
                <a:pt x="2246" y="236"/>
              </a:lnTo>
              <a:lnTo>
                <a:pt x="2246" y="237"/>
              </a:lnTo>
              <a:lnTo>
                <a:pt x="2246" y="266"/>
              </a:lnTo>
              <a:lnTo>
                <a:pt x="2246" y="295"/>
              </a:lnTo>
              <a:lnTo>
                <a:pt x="2246" y="379"/>
              </a:lnTo>
              <a:lnTo>
                <a:pt x="2246" y="384"/>
              </a:lnTo>
              <a:lnTo>
                <a:pt x="2246" y="395"/>
              </a:lnTo>
              <a:lnTo>
                <a:pt x="2246" y="443"/>
              </a:lnTo>
              <a:lnTo>
                <a:pt x="2246" y="532"/>
              </a:lnTo>
              <a:lnTo>
                <a:pt x="2245" y="557"/>
              </a:lnTo>
              <a:lnTo>
                <a:pt x="2246" y="581"/>
              </a:lnTo>
              <a:lnTo>
                <a:pt x="2246" y="591"/>
              </a:lnTo>
              <a:lnTo>
                <a:pt x="2246" y="643"/>
              </a:lnTo>
              <a:lnTo>
                <a:pt x="2245" y="651"/>
              </a:lnTo>
              <a:lnTo>
                <a:pt x="2246" y="686"/>
              </a:lnTo>
              <a:lnTo>
                <a:pt x="2246" y="722"/>
              </a:lnTo>
              <a:lnTo>
                <a:pt x="2246" y="737"/>
              </a:lnTo>
              <a:lnTo>
                <a:pt x="2246" y="768"/>
              </a:lnTo>
              <a:lnTo>
                <a:pt x="2246" y="886"/>
              </a:lnTo>
              <a:lnTo>
                <a:pt x="2247" y="895"/>
              </a:lnTo>
              <a:lnTo>
                <a:pt x="2247" y="945"/>
              </a:lnTo>
              <a:lnTo>
                <a:pt x="2247" y="946"/>
              </a:lnTo>
              <a:lnTo>
                <a:pt x="2243" y="946"/>
              </a:lnTo>
              <a:lnTo>
                <a:pt x="2117" y="946"/>
              </a:lnTo>
              <a:lnTo>
                <a:pt x="2098" y="945"/>
              </a:lnTo>
              <a:lnTo>
                <a:pt x="2059" y="945"/>
              </a:lnTo>
              <a:lnTo>
                <a:pt x="2050" y="945"/>
              </a:lnTo>
              <a:lnTo>
                <a:pt x="1896" y="945"/>
              </a:lnTo>
              <a:lnTo>
                <a:pt x="1880" y="947"/>
              </a:lnTo>
              <a:lnTo>
                <a:pt x="1877" y="947"/>
              </a:lnTo>
              <a:lnTo>
                <a:pt x="1856" y="947"/>
              </a:lnTo>
              <a:lnTo>
                <a:pt x="1832" y="947"/>
              </a:lnTo>
              <a:lnTo>
                <a:pt x="1830" y="947"/>
              </a:lnTo>
              <a:lnTo>
                <a:pt x="1692" y="946"/>
              </a:lnTo>
              <a:lnTo>
                <a:pt x="1669" y="945"/>
              </a:lnTo>
              <a:lnTo>
                <a:pt x="1522" y="945"/>
              </a:lnTo>
              <a:lnTo>
                <a:pt x="1459" y="945"/>
              </a:lnTo>
              <a:lnTo>
                <a:pt x="1435" y="945"/>
              </a:lnTo>
              <a:lnTo>
                <a:pt x="1412" y="945"/>
              </a:lnTo>
              <a:lnTo>
                <a:pt x="1389" y="945"/>
              </a:lnTo>
              <a:lnTo>
                <a:pt x="1319" y="945"/>
              </a:lnTo>
              <a:lnTo>
                <a:pt x="1295" y="944"/>
              </a:lnTo>
              <a:lnTo>
                <a:pt x="1169" y="945"/>
              </a:lnTo>
              <a:lnTo>
                <a:pt x="1158" y="945"/>
              </a:lnTo>
              <a:lnTo>
                <a:pt x="1131" y="945"/>
              </a:lnTo>
              <a:lnTo>
                <a:pt x="1055" y="947"/>
              </a:lnTo>
              <a:lnTo>
                <a:pt x="935" y="945"/>
              </a:lnTo>
              <a:lnTo>
                <a:pt x="933" y="1024"/>
              </a:lnTo>
              <a:lnTo>
                <a:pt x="935" y="1064"/>
              </a:lnTo>
              <a:lnTo>
                <a:pt x="935" y="1069"/>
              </a:lnTo>
              <a:lnTo>
                <a:pt x="927" y="1067"/>
              </a:lnTo>
              <a:lnTo>
                <a:pt x="926" y="1067"/>
              </a:lnTo>
              <a:lnTo>
                <a:pt x="920" y="1064"/>
              </a:lnTo>
              <a:lnTo>
                <a:pt x="897" y="1028"/>
              </a:lnTo>
              <a:lnTo>
                <a:pt x="874" y="1004"/>
              </a:lnTo>
              <a:lnTo>
                <a:pt x="870" y="1005"/>
              </a:lnTo>
              <a:lnTo>
                <a:pt x="855" y="1014"/>
              </a:lnTo>
              <a:lnTo>
                <a:pt x="848" y="1029"/>
              </a:lnTo>
              <a:lnTo>
                <a:pt x="851" y="1054"/>
              </a:lnTo>
              <a:lnTo>
                <a:pt x="829" y="1052"/>
              </a:lnTo>
              <a:lnTo>
                <a:pt x="733" y="1056"/>
              </a:lnTo>
              <a:lnTo>
                <a:pt x="711" y="1048"/>
              </a:lnTo>
              <a:lnTo>
                <a:pt x="691" y="1064"/>
              </a:lnTo>
              <a:lnTo>
                <a:pt x="664" y="1072"/>
              </a:lnTo>
              <a:lnTo>
                <a:pt x="620" y="1064"/>
              </a:lnTo>
              <a:lnTo>
                <a:pt x="601" y="1081"/>
              </a:lnTo>
              <a:lnTo>
                <a:pt x="605" y="1093"/>
              </a:lnTo>
              <a:lnTo>
                <a:pt x="600" y="1097"/>
              </a:lnTo>
              <a:lnTo>
                <a:pt x="570" y="1075"/>
              </a:lnTo>
              <a:lnTo>
                <a:pt x="545" y="1003"/>
              </a:lnTo>
              <a:lnTo>
                <a:pt x="485" y="975"/>
              </a:lnTo>
              <a:lnTo>
                <a:pt x="487" y="945"/>
              </a:lnTo>
              <a:lnTo>
                <a:pt x="395" y="781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pPr algn="ctr"/>
          <a:endParaRPr lang="en-US" sz="800" b="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23</xdr:col>
      <xdr:colOff>72655</xdr:colOff>
      <xdr:row>16</xdr:row>
      <xdr:rowOff>22228</xdr:rowOff>
    </xdr:from>
    <xdr:to>
      <xdr:col>24</xdr:col>
      <xdr:colOff>262481</xdr:colOff>
      <xdr:row>18</xdr:row>
      <xdr:rowOff>8188</xdr:rowOff>
    </xdr:to>
    <xdr:sp macro="" textlink="">
      <xdr:nvSpPr>
        <xdr:cNvPr id="72" name="S_NC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>
          <a:spLocks/>
        </xdr:cNvSpPr>
      </xdr:nvSpPr>
      <xdr:spPr bwMode="auto">
        <a:xfrm>
          <a:off x="4101730" y="3260728"/>
          <a:ext cx="799426" cy="405060"/>
        </a:xfrm>
        <a:custGeom>
          <a:avLst/>
          <a:gdLst>
            <a:gd name="T0" fmla="*/ 2147483647 w 1656"/>
            <a:gd name="T1" fmla="*/ 2147483647 h 647"/>
            <a:gd name="T2" fmla="*/ 2147483647 w 1656"/>
            <a:gd name="T3" fmla="*/ 2147483647 h 647"/>
            <a:gd name="T4" fmla="*/ 2147483647 w 1656"/>
            <a:gd name="T5" fmla="*/ 2147483647 h 647"/>
            <a:gd name="T6" fmla="*/ 2147483647 w 1656"/>
            <a:gd name="T7" fmla="*/ 0 h 647"/>
            <a:gd name="T8" fmla="*/ 2147483647 w 1656"/>
            <a:gd name="T9" fmla="*/ 0 h 647"/>
            <a:gd name="T10" fmla="*/ 2147483647 w 1656"/>
            <a:gd name="T11" fmla="*/ 0 h 647"/>
            <a:gd name="T12" fmla="*/ 2147483647 w 1656"/>
            <a:gd name="T13" fmla="*/ 0 h 647"/>
            <a:gd name="T14" fmla="*/ 2147483647 w 1656"/>
            <a:gd name="T15" fmla="*/ 2147483647 h 647"/>
            <a:gd name="T16" fmla="*/ 2147483647 w 1656"/>
            <a:gd name="T17" fmla="*/ 2147483647 h 647"/>
            <a:gd name="T18" fmla="*/ 2147483647 w 1656"/>
            <a:gd name="T19" fmla="*/ 2147483647 h 647"/>
            <a:gd name="T20" fmla="*/ 2147483647 w 1656"/>
            <a:gd name="T21" fmla="*/ 2147483647 h 647"/>
            <a:gd name="T22" fmla="*/ 2147483647 w 1656"/>
            <a:gd name="T23" fmla="*/ 2147483647 h 647"/>
            <a:gd name="T24" fmla="*/ 2147483647 w 1656"/>
            <a:gd name="T25" fmla="*/ 2147483647 h 647"/>
            <a:gd name="T26" fmla="*/ 2147483647 w 1656"/>
            <a:gd name="T27" fmla="*/ 2147483647 h 647"/>
            <a:gd name="T28" fmla="*/ 2147483647 w 1656"/>
            <a:gd name="T29" fmla="*/ 2147483647 h 647"/>
            <a:gd name="T30" fmla="*/ 2147483647 w 1656"/>
            <a:gd name="T31" fmla="*/ 2147483647 h 647"/>
            <a:gd name="T32" fmla="*/ 2147483647 w 1656"/>
            <a:gd name="T33" fmla="*/ 2147483647 h 647"/>
            <a:gd name="T34" fmla="*/ 2147483647 w 1656"/>
            <a:gd name="T35" fmla="*/ 2147483647 h 647"/>
            <a:gd name="T36" fmla="*/ 2147483647 w 1656"/>
            <a:gd name="T37" fmla="*/ 2147483647 h 647"/>
            <a:gd name="T38" fmla="*/ 2147483647 w 1656"/>
            <a:gd name="T39" fmla="*/ 2147483647 h 647"/>
            <a:gd name="T40" fmla="*/ 2147483647 w 1656"/>
            <a:gd name="T41" fmla="*/ 2147483647 h 647"/>
            <a:gd name="T42" fmla="*/ 2147483647 w 1656"/>
            <a:gd name="T43" fmla="*/ 2147483647 h 647"/>
            <a:gd name="T44" fmla="*/ 2147483647 w 1656"/>
            <a:gd name="T45" fmla="*/ 2147483647 h 647"/>
            <a:gd name="T46" fmla="*/ 2147483647 w 1656"/>
            <a:gd name="T47" fmla="*/ 2147483647 h 647"/>
            <a:gd name="T48" fmla="*/ 2147483647 w 1656"/>
            <a:gd name="T49" fmla="*/ 2147483647 h 647"/>
            <a:gd name="T50" fmla="*/ 2147483647 w 1656"/>
            <a:gd name="T51" fmla="*/ 2147483647 h 647"/>
            <a:gd name="T52" fmla="*/ 2147483647 w 1656"/>
            <a:gd name="T53" fmla="*/ 2147483647 h 647"/>
            <a:gd name="T54" fmla="*/ 2147483647 w 1656"/>
            <a:gd name="T55" fmla="*/ 2147483647 h 647"/>
            <a:gd name="T56" fmla="*/ 2147483647 w 1656"/>
            <a:gd name="T57" fmla="*/ 2147483647 h 647"/>
            <a:gd name="T58" fmla="*/ 2147483647 w 1656"/>
            <a:gd name="T59" fmla="*/ 2147483647 h 647"/>
            <a:gd name="T60" fmla="*/ 2147483647 w 1656"/>
            <a:gd name="T61" fmla="*/ 2147483647 h 647"/>
            <a:gd name="T62" fmla="*/ 2147483647 w 1656"/>
            <a:gd name="T63" fmla="*/ 2147483647 h 647"/>
            <a:gd name="T64" fmla="*/ 2147483647 w 1656"/>
            <a:gd name="T65" fmla="*/ 2147483647 h 647"/>
            <a:gd name="T66" fmla="*/ 2147483647 w 1656"/>
            <a:gd name="T67" fmla="*/ 2147483647 h 647"/>
            <a:gd name="T68" fmla="*/ 2147483647 w 1656"/>
            <a:gd name="T69" fmla="*/ 2147483647 h 647"/>
            <a:gd name="T70" fmla="*/ 2147483647 w 1656"/>
            <a:gd name="T71" fmla="*/ 2147483647 h 647"/>
            <a:gd name="T72" fmla="*/ 2147483647 w 1656"/>
            <a:gd name="T73" fmla="*/ 2147483647 h 647"/>
            <a:gd name="T74" fmla="*/ 2147483647 w 1656"/>
            <a:gd name="T75" fmla="*/ 2147483647 h 647"/>
            <a:gd name="T76" fmla="*/ 2147483647 w 1656"/>
            <a:gd name="T77" fmla="*/ 2147483647 h 647"/>
            <a:gd name="T78" fmla="*/ 2147483647 w 1656"/>
            <a:gd name="T79" fmla="*/ 2147483647 h 647"/>
            <a:gd name="T80" fmla="*/ 2147483647 w 1656"/>
            <a:gd name="T81" fmla="*/ 2147483647 h 647"/>
            <a:gd name="T82" fmla="*/ 2147483647 w 1656"/>
            <a:gd name="T83" fmla="*/ 2147483647 h 647"/>
            <a:gd name="T84" fmla="*/ 2147483647 w 1656"/>
            <a:gd name="T85" fmla="*/ 2147483647 h 647"/>
            <a:gd name="T86" fmla="*/ 2147483647 w 1656"/>
            <a:gd name="T87" fmla="*/ 2147483647 h 647"/>
            <a:gd name="T88" fmla="*/ 2147483647 w 1656"/>
            <a:gd name="T89" fmla="*/ 2147483647 h 647"/>
            <a:gd name="T90" fmla="*/ 0 w 1656"/>
            <a:gd name="T91" fmla="*/ 2147483647 h 647"/>
            <a:gd name="T92" fmla="*/ 2147483647 w 1656"/>
            <a:gd name="T93" fmla="*/ 2147483647 h 647"/>
            <a:gd name="T94" fmla="*/ 2147483647 w 1656"/>
            <a:gd name="T95" fmla="*/ 2147483647 h 647"/>
            <a:gd name="T96" fmla="*/ 2147483647 w 1656"/>
            <a:gd name="T97" fmla="*/ 2147483647 h 647"/>
            <a:gd name="T98" fmla="*/ 2147483647 w 1656"/>
            <a:gd name="T99" fmla="*/ 2147483647 h 647"/>
            <a:gd name="T100" fmla="*/ 2147483647 w 1656"/>
            <a:gd name="T101" fmla="*/ 2147483647 h 647"/>
            <a:gd name="T102" fmla="*/ 2147483647 w 1656"/>
            <a:gd name="T103" fmla="*/ 2147483647 h 647"/>
            <a:gd name="T104" fmla="*/ 2147483647 w 1656"/>
            <a:gd name="T105" fmla="*/ 2147483647 h 647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w 1656"/>
            <a:gd name="T160" fmla="*/ 0 h 647"/>
            <a:gd name="T161" fmla="*/ 1656 w 1656"/>
            <a:gd name="T162" fmla="*/ 647 h 647"/>
          </a:gdLst>
          <a:ahLst/>
          <a:cxnLst>
            <a:cxn ang="T106">
              <a:pos x="T0" y="T1"/>
            </a:cxn>
            <a:cxn ang="T107">
              <a:pos x="T2" y="T3"/>
            </a:cxn>
            <a:cxn ang="T108">
              <a:pos x="T4" y="T5"/>
            </a:cxn>
            <a:cxn ang="T109">
              <a:pos x="T6" y="T7"/>
            </a:cxn>
            <a:cxn ang="T110">
              <a:pos x="T8" y="T9"/>
            </a:cxn>
            <a:cxn ang="T111">
              <a:pos x="T10" y="T11"/>
            </a:cxn>
            <a:cxn ang="T112">
              <a:pos x="T12" y="T13"/>
            </a:cxn>
            <a:cxn ang="T113">
              <a:pos x="T14" y="T15"/>
            </a:cxn>
            <a:cxn ang="T114">
              <a:pos x="T16" y="T17"/>
            </a:cxn>
            <a:cxn ang="T115">
              <a:pos x="T18" y="T19"/>
            </a:cxn>
            <a:cxn ang="T116">
              <a:pos x="T20" y="T21"/>
            </a:cxn>
            <a:cxn ang="T117">
              <a:pos x="T22" y="T23"/>
            </a:cxn>
            <a:cxn ang="T118">
              <a:pos x="T24" y="T25"/>
            </a:cxn>
            <a:cxn ang="T119">
              <a:pos x="T26" y="T27"/>
            </a:cxn>
            <a:cxn ang="T120">
              <a:pos x="T28" y="T29"/>
            </a:cxn>
            <a:cxn ang="T121">
              <a:pos x="T30" y="T31"/>
            </a:cxn>
            <a:cxn ang="T122">
              <a:pos x="T32" y="T33"/>
            </a:cxn>
            <a:cxn ang="T123">
              <a:pos x="T34" y="T35"/>
            </a:cxn>
            <a:cxn ang="T124">
              <a:pos x="T36" y="T37"/>
            </a:cxn>
            <a:cxn ang="T125">
              <a:pos x="T38" y="T39"/>
            </a:cxn>
            <a:cxn ang="T126">
              <a:pos x="T40" y="T41"/>
            </a:cxn>
            <a:cxn ang="T127">
              <a:pos x="T42" y="T43"/>
            </a:cxn>
            <a:cxn ang="T128">
              <a:pos x="T44" y="T45"/>
            </a:cxn>
            <a:cxn ang="T129">
              <a:pos x="T46" y="T47"/>
            </a:cxn>
            <a:cxn ang="T130">
              <a:pos x="T48" y="T49"/>
            </a:cxn>
            <a:cxn ang="T131">
              <a:pos x="T50" y="T51"/>
            </a:cxn>
            <a:cxn ang="T132">
              <a:pos x="T52" y="T53"/>
            </a:cxn>
            <a:cxn ang="T133">
              <a:pos x="T54" y="T55"/>
            </a:cxn>
            <a:cxn ang="T134">
              <a:pos x="T56" y="T57"/>
            </a:cxn>
            <a:cxn ang="T135">
              <a:pos x="T58" y="T59"/>
            </a:cxn>
            <a:cxn ang="T136">
              <a:pos x="T60" y="T61"/>
            </a:cxn>
            <a:cxn ang="T137">
              <a:pos x="T62" y="T63"/>
            </a:cxn>
            <a:cxn ang="T138">
              <a:pos x="T64" y="T65"/>
            </a:cxn>
            <a:cxn ang="T139">
              <a:pos x="T66" y="T67"/>
            </a:cxn>
            <a:cxn ang="T140">
              <a:pos x="T68" y="T69"/>
            </a:cxn>
            <a:cxn ang="T141">
              <a:pos x="T70" y="T71"/>
            </a:cxn>
            <a:cxn ang="T142">
              <a:pos x="T72" y="T73"/>
            </a:cxn>
            <a:cxn ang="T143">
              <a:pos x="T74" y="T75"/>
            </a:cxn>
            <a:cxn ang="T144">
              <a:pos x="T76" y="T77"/>
            </a:cxn>
            <a:cxn ang="T145">
              <a:pos x="T78" y="T79"/>
            </a:cxn>
            <a:cxn ang="T146">
              <a:pos x="T80" y="T81"/>
            </a:cxn>
            <a:cxn ang="T147">
              <a:pos x="T82" y="T83"/>
            </a:cxn>
            <a:cxn ang="T148">
              <a:pos x="T84" y="T85"/>
            </a:cxn>
            <a:cxn ang="T149">
              <a:pos x="T86" y="T87"/>
            </a:cxn>
            <a:cxn ang="T150">
              <a:pos x="T88" y="T89"/>
            </a:cxn>
            <a:cxn ang="T151">
              <a:pos x="T90" y="T91"/>
            </a:cxn>
            <a:cxn ang="T152">
              <a:pos x="T92" y="T93"/>
            </a:cxn>
            <a:cxn ang="T153">
              <a:pos x="T94" y="T95"/>
            </a:cxn>
            <a:cxn ang="T154">
              <a:pos x="T96" y="T97"/>
            </a:cxn>
            <a:cxn ang="T155">
              <a:pos x="T98" y="T99"/>
            </a:cxn>
            <a:cxn ang="T156">
              <a:pos x="T100" y="T101"/>
            </a:cxn>
            <a:cxn ang="T157">
              <a:pos x="T102" y="T103"/>
            </a:cxn>
            <a:cxn ang="T158">
              <a:pos x="T104" y="T105"/>
            </a:cxn>
          </a:cxnLst>
          <a:rect l="T159" t="T160" r="T161" b="T162"/>
          <a:pathLst>
            <a:path w="1656" h="647">
              <a:moveTo>
                <a:pt x="356" y="122"/>
              </a:moveTo>
              <a:lnTo>
                <a:pt x="364" y="115"/>
              </a:lnTo>
              <a:lnTo>
                <a:pt x="387" y="108"/>
              </a:lnTo>
              <a:lnTo>
                <a:pt x="392" y="102"/>
              </a:lnTo>
              <a:lnTo>
                <a:pt x="409" y="109"/>
              </a:lnTo>
              <a:lnTo>
                <a:pt x="411" y="115"/>
              </a:lnTo>
              <a:lnTo>
                <a:pt x="419" y="115"/>
              </a:lnTo>
              <a:lnTo>
                <a:pt x="423" y="109"/>
              </a:lnTo>
              <a:lnTo>
                <a:pt x="429" y="109"/>
              </a:lnTo>
              <a:lnTo>
                <a:pt x="447" y="77"/>
              </a:lnTo>
              <a:lnTo>
                <a:pt x="449" y="72"/>
              </a:lnTo>
              <a:lnTo>
                <a:pt x="458" y="65"/>
              </a:lnTo>
              <a:lnTo>
                <a:pt x="481" y="60"/>
              </a:lnTo>
              <a:lnTo>
                <a:pt x="484" y="47"/>
              </a:lnTo>
              <a:lnTo>
                <a:pt x="490" y="22"/>
              </a:lnTo>
              <a:lnTo>
                <a:pt x="494" y="0"/>
              </a:lnTo>
              <a:lnTo>
                <a:pt x="504" y="0"/>
              </a:lnTo>
              <a:lnTo>
                <a:pt x="532" y="2"/>
              </a:lnTo>
              <a:lnTo>
                <a:pt x="538" y="4"/>
              </a:lnTo>
              <a:lnTo>
                <a:pt x="555" y="4"/>
              </a:lnTo>
              <a:lnTo>
                <a:pt x="564" y="4"/>
              </a:lnTo>
              <a:lnTo>
                <a:pt x="611" y="6"/>
              </a:lnTo>
              <a:lnTo>
                <a:pt x="640" y="7"/>
              </a:lnTo>
              <a:lnTo>
                <a:pt x="645" y="7"/>
              </a:lnTo>
              <a:lnTo>
                <a:pt x="646" y="7"/>
              </a:lnTo>
              <a:lnTo>
                <a:pt x="648" y="8"/>
              </a:lnTo>
              <a:lnTo>
                <a:pt x="651" y="8"/>
              </a:lnTo>
              <a:lnTo>
                <a:pt x="655" y="7"/>
              </a:lnTo>
              <a:lnTo>
                <a:pt x="663" y="7"/>
              </a:lnTo>
              <a:lnTo>
                <a:pt x="676" y="7"/>
              </a:lnTo>
              <a:lnTo>
                <a:pt x="693" y="8"/>
              </a:lnTo>
              <a:lnTo>
                <a:pt x="703" y="8"/>
              </a:lnTo>
              <a:lnTo>
                <a:pt x="715" y="9"/>
              </a:lnTo>
              <a:lnTo>
                <a:pt x="725" y="9"/>
              </a:lnTo>
              <a:lnTo>
                <a:pt x="753" y="11"/>
              </a:lnTo>
              <a:lnTo>
                <a:pt x="785" y="11"/>
              </a:lnTo>
              <a:lnTo>
                <a:pt x="798" y="11"/>
              </a:lnTo>
              <a:lnTo>
                <a:pt x="803" y="11"/>
              </a:lnTo>
              <a:lnTo>
                <a:pt x="808" y="11"/>
              </a:lnTo>
              <a:lnTo>
                <a:pt x="831" y="11"/>
              </a:lnTo>
              <a:lnTo>
                <a:pt x="861" y="11"/>
              </a:lnTo>
              <a:lnTo>
                <a:pt x="878" y="11"/>
              </a:lnTo>
              <a:lnTo>
                <a:pt x="890" y="12"/>
              </a:lnTo>
              <a:lnTo>
                <a:pt x="900" y="12"/>
              </a:lnTo>
              <a:lnTo>
                <a:pt x="925" y="12"/>
              </a:lnTo>
              <a:lnTo>
                <a:pt x="949" y="12"/>
              </a:lnTo>
              <a:lnTo>
                <a:pt x="954" y="11"/>
              </a:lnTo>
              <a:lnTo>
                <a:pt x="969" y="11"/>
              </a:lnTo>
              <a:lnTo>
                <a:pt x="1027" y="11"/>
              </a:lnTo>
              <a:lnTo>
                <a:pt x="1030" y="11"/>
              </a:lnTo>
              <a:lnTo>
                <a:pt x="1034" y="11"/>
              </a:lnTo>
              <a:lnTo>
                <a:pt x="1037" y="11"/>
              </a:lnTo>
              <a:lnTo>
                <a:pt x="1042" y="11"/>
              </a:lnTo>
              <a:lnTo>
                <a:pt x="1045" y="11"/>
              </a:lnTo>
              <a:lnTo>
                <a:pt x="1066" y="12"/>
              </a:lnTo>
              <a:lnTo>
                <a:pt x="1089" y="12"/>
              </a:lnTo>
              <a:lnTo>
                <a:pt x="1097" y="11"/>
              </a:lnTo>
              <a:lnTo>
                <a:pt x="1105" y="11"/>
              </a:lnTo>
              <a:lnTo>
                <a:pt x="1112" y="11"/>
              </a:lnTo>
              <a:lnTo>
                <a:pt x="1121" y="11"/>
              </a:lnTo>
              <a:lnTo>
                <a:pt x="1135" y="11"/>
              </a:lnTo>
              <a:lnTo>
                <a:pt x="1141" y="11"/>
              </a:lnTo>
              <a:lnTo>
                <a:pt x="1174" y="11"/>
              </a:lnTo>
              <a:lnTo>
                <a:pt x="1182" y="11"/>
              </a:lnTo>
              <a:lnTo>
                <a:pt x="1191" y="11"/>
              </a:lnTo>
              <a:lnTo>
                <a:pt x="1200" y="11"/>
              </a:lnTo>
              <a:lnTo>
                <a:pt x="1211" y="11"/>
              </a:lnTo>
              <a:lnTo>
                <a:pt x="1219" y="11"/>
              </a:lnTo>
              <a:lnTo>
                <a:pt x="1226" y="11"/>
              </a:lnTo>
              <a:lnTo>
                <a:pt x="1263" y="11"/>
              </a:lnTo>
              <a:lnTo>
                <a:pt x="1267" y="11"/>
              </a:lnTo>
              <a:lnTo>
                <a:pt x="1314" y="11"/>
              </a:lnTo>
              <a:lnTo>
                <a:pt x="1322" y="11"/>
              </a:lnTo>
              <a:lnTo>
                <a:pt x="1339" y="10"/>
              </a:lnTo>
              <a:lnTo>
                <a:pt x="1346" y="11"/>
              </a:lnTo>
              <a:lnTo>
                <a:pt x="1351" y="11"/>
              </a:lnTo>
              <a:lnTo>
                <a:pt x="1385" y="11"/>
              </a:lnTo>
              <a:lnTo>
                <a:pt x="1386" y="9"/>
              </a:lnTo>
              <a:lnTo>
                <a:pt x="1393" y="9"/>
              </a:lnTo>
              <a:lnTo>
                <a:pt x="1416" y="9"/>
              </a:lnTo>
              <a:lnTo>
                <a:pt x="1455" y="9"/>
              </a:lnTo>
              <a:lnTo>
                <a:pt x="1456" y="9"/>
              </a:lnTo>
              <a:lnTo>
                <a:pt x="1463" y="9"/>
              </a:lnTo>
              <a:lnTo>
                <a:pt x="1465" y="9"/>
              </a:lnTo>
              <a:lnTo>
                <a:pt x="1486" y="9"/>
              </a:lnTo>
              <a:lnTo>
                <a:pt x="1493" y="10"/>
              </a:lnTo>
              <a:lnTo>
                <a:pt x="1498" y="10"/>
              </a:lnTo>
              <a:lnTo>
                <a:pt x="1505" y="10"/>
              </a:lnTo>
              <a:lnTo>
                <a:pt x="1510" y="10"/>
              </a:lnTo>
              <a:lnTo>
                <a:pt x="1533" y="9"/>
              </a:lnTo>
              <a:lnTo>
                <a:pt x="1557" y="10"/>
              </a:lnTo>
              <a:lnTo>
                <a:pt x="1581" y="10"/>
              </a:lnTo>
              <a:lnTo>
                <a:pt x="1583" y="22"/>
              </a:lnTo>
              <a:lnTo>
                <a:pt x="1599" y="85"/>
              </a:lnTo>
              <a:lnTo>
                <a:pt x="1656" y="228"/>
              </a:lnTo>
              <a:lnTo>
                <a:pt x="1646" y="317"/>
              </a:lnTo>
              <a:lnTo>
                <a:pt x="1603" y="330"/>
              </a:lnTo>
              <a:lnTo>
                <a:pt x="1555" y="360"/>
              </a:lnTo>
              <a:lnTo>
                <a:pt x="1555" y="361"/>
              </a:lnTo>
              <a:lnTo>
                <a:pt x="1554" y="361"/>
              </a:lnTo>
              <a:lnTo>
                <a:pt x="1503" y="405"/>
              </a:lnTo>
              <a:lnTo>
                <a:pt x="1456" y="465"/>
              </a:lnTo>
              <a:lnTo>
                <a:pt x="1439" y="453"/>
              </a:lnTo>
              <a:lnTo>
                <a:pt x="1416" y="448"/>
              </a:lnTo>
              <a:lnTo>
                <a:pt x="1348" y="460"/>
              </a:lnTo>
              <a:lnTo>
                <a:pt x="1325" y="473"/>
              </a:lnTo>
              <a:lnTo>
                <a:pt x="1272" y="508"/>
              </a:lnTo>
              <a:lnTo>
                <a:pt x="1236" y="543"/>
              </a:lnTo>
              <a:lnTo>
                <a:pt x="1227" y="553"/>
              </a:lnTo>
              <a:lnTo>
                <a:pt x="1194" y="629"/>
              </a:lnTo>
              <a:lnTo>
                <a:pt x="1191" y="641"/>
              </a:lnTo>
              <a:lnTo>
                <a:pt x="1159" y="633"/>
              </a:lnTo>
              <a:lnTo>
                <a:pt x="1112" y="635"/>
              </a:lnTo>
              <a:lnTo>
                <a:pt x="1081" y="647"/>
              </a:lnTo>
              <a:lnTo>
                <a:pt x="1075" y="641"/>
              </a:lnTo>
              <a:lnTo>
                <a:pt x="1062" y="627"/>
              </a:lnTo>
              <a:lnTo>
                <a:pt x="1060" y="625"/>
              </a:lnTo>
              <a:lnTo>
                <a:pt x="1019" y="580"/>
              </a:lnTo>
              <a:lnTo>
                <a:pt x="993" y="553"/>
              </a:lnTo>
              <a:lnTo>
                <a:pt x="982" y="541"/>
              </a:lnTo>
              <a:lnTo>
                <a:pt x="946" y="502"/>
              </a:lnTo>
              <a:lnTo>
                <a:pt x="932" y="487"/>
              </a:lnTo>
              <a:lnTo>
                <a:pt x="910" y="465"/>
              </a:lnTo>
              <a:lnTo>
                <a:pt x="909" y="464"/>
              </a:lnTo>
              <a:lnTo>
                <a:pt x="909" y="463"/>
              </a:lnTo>
              <a:lnTo>
                <a:pt x="882" y="435"/>
              </a:lnTo>
              <a:lnTo>
                <a:pt x="869" y="422"/>
              </a:lnTo>
              <a:lnTo>
                <a:pt x="867" y="422"/>
              </a:lnTo>
              <a:lnTo>
                <a:pt x="855" y="422"/>
              </a:lnTo>
              <a:lnTo>
                <a:pt x="831" y="422"/>
              </a:lnTo>
              <a:lnTo>
                <a:pt x="822" y="421"/>
              </a:lnTo>
              <a:lnTo>
                <a:pt x="808" y="421"/>
              </a:lnTo>
              <a:lnTo>
                <a:pt x="758" y="420"/>
              </a:lnTo>
              <a:lnTo>
                <a:pt x="748" y="420"/>
              </a:lnTo>
              <a:lnTo>
                <a:pt x="747" y="420"/>
              </a:lnTo>
              <a:lnTo>
                <a:pt x="722" y="419"/>
              </a:lnTo>
              <a:lnTo>
                <a:pt x="703" y="419"/>
              </a:lnTo>
              <a:lnTo>
                <a:pt x="659" y="419"/>
              </a:lnTo>
              <a:lnTo>
                <a:pt x="662" y="391"/>
              </a:lnTo>
              <a:lnTo>
                <a:pt x="651" y="375"/>
              </a:lnTo>
              <a:lnTo>
                <a:pt x="648" y="372"/>
              </a:lnTo>
              <a:lnTo>
                <a:pt x="645" y="366"/>
              </a:lnTo>
              <a:lnTo>
                <a:pt x="639" y="358"/>
              </a:lnTo>
              <a:lnTo>
                <a:pt x="621" y="360"/>
              </a:lnTo>
              <a:lnTo>
                <a:pt x="612" y="343"/>
              </a:lnTo>
              <a:lnTo>
                <a:pt x="615" y="341"/>
              </a:lnTo>
              <a:lnTo>
                <a:pt x="595" y="338"/>
              </a:lnTo>
              <a:lnTo>
                <a:pt x="574" y="337"/>
              </a:lnTo>
              <a:lnTo>
                <a:pt x="559" y="337"/>
              </a:lnTo>
              <a:lnTo>
                <a:pt x="552" y="336"/>
              </a:lnTo>
              <a:lnTo>
                <a:pt x="527" y="335"/>
              </a:lnTo>
              <a:lnTo>
                <a:pt x="481" y="333"/>
              </a:lnTo>
              <a:lnTo>
                <a:pt x="477" y="333"/>
              </a:lnTo>
              <a:lnTo>
                <a:pt x="458" y="332"/>
              </a:lnTo>
              <a:lnTo>
                <a:pt x="440" y="331"/>
              </a:lnTo>
              <a:lnTo>
                <a:pt x="422" y="331"/>
              </a:lnTo>
              <a:lnTo>
                <a:pt x="409" y="330"/>
              </a:lnTo>
              <a:lnTo>
                <a:pt x="394" y="329"/>
              </a:lnTo>
              <a:lnTo>
                <a:pt x="389" y="329"/>
              </a:lnTo>
              <a:lnTo>
                <a:pt x="387" y="329"/>
              </a:lnTo>
              <a:lnTo>
                <a:pt x="368" y="331"/>
              </a:lnTo>
              <a:lnTo>
                <a:pt x="340" y="337"/>
              </a:lnTo>
              <a:lnTo>
                <a:pt x="326" y="342"/>
              </a:lnTo>
              <a:lnTo>
                <a:pt x="312" y="346"/>
              </a:lnTo>
              <a:lnTo>
                <a:pt x="306" y="346"/>
              </a:lnTo>
              <a:lnTo>
                <a:pt x="291" y="360"/>
              </a:lnTo>
              <a:lnTo>
                <a:pt x="270" y="361"/>
              </a:lnTo>
              <a:lnTo>
                <a:pt x="266" y="362"/>
              </a:lnTo>
              <a:lnTo>
                <a:pt x="247" y="368"/>
              </a:lnTo>
              <a:lnTo>
                <a:pt x="246" y="370"/>
              </a:lnTo>
              <a:lnTo>
                <a:pt x="227" y="376"/>
              </a:lnTo>
              <a:lnTo>
                <a:pt x="215" y="376"/>
              </a:lnTo>
              <a:lnTo>
                <a:pt x="187" y="377"/>
              </a:lnTo>
              <a:lnTo>
                <a:pt x="157" y="377"/>
              </a:lnTo>
              <a:lnTo>
                <a:pt x="154" y="377"/>
              </a:lnTo>
              <a:lnTo>
                <a:pt x="144" y="377"/>
              </a:lnTo>
              <a:lnTo>
                <a:pt x="131" y="377"/>
              </a:lnTo>
              <a:lnTo>
                <a:pt x="131" y="379"/>
              </a:lnTo>
              <a:lnTo>
                <a:pt x="71" y="379"/>
              </a:lnTo>
              <a:lnTo>
                <a:pt x="69" y="379"/>
              </a:lnTo>
              <a:lnTo>
                <a:pt x="59" y="379"/>
              </a:lnTo>
              <a:lnTo>
                <a:pt x="36" y="379"/>
              </a:lnTo>
              <a:lnTo>
                <a:pt x="14" y="378"/>
              </a:lnTo>
              <a:lnTo>
                <a:pt x="0" y="378"/>
              </a:lnTo>
              <a:lnTo>
                <a:pt x="0" y="376"/>
              </a:lnTo>
              <a:lnTo>
                <a:pt x="3" y="346"/>
              </a:lnTo>
              <a:lnTo>
                <a:pt x="5" y="327"/>
              </a:lnTo>
              <a:lnTo>
                <a:pt x="14" y="316"/>
              </a:lnTo>
              <a:lnTo>
                <a:pt x="42" y="317"/>
              </a:lnTo>
              <a:lnTo>
                <a:pt x="54" y="306"/>
              </a:lnTo>
              <a:lnTo>
                <a:pt x="59" y="287"/>
              </a:lnTo>
              <a:lnTo>
                <a:pt x="60" y="275"/>
              </a:lnTo>
              <a:lnTo>
                <a:pt x="67" y="266"/>
              </a:lnTo>
              <a:lnTo>
                <a:pt x="68" y="267"/>
              </a:lnTo>
              <a:lnTo>
                <a:pt x="83" y="253"/>
              </a:lnTo>
              <a:lnTo>
                <a:pt x="107" y="243"/>
              </a:lnTo>
              <a:lnTo>
                <a:pt x="123" y="241"/>
              </a:lnTo>
              <a:lnTo>
                <a:pt x="129" y="241"/>
              </a:lnTo>
              <a:lnTo>
                <a:pt x="154" y="243"/>
              </a:lnTo>
              <a:lnTo>
                <a:pt x="200" y="211"/>
              </a:lnTo>
              <a:lnTo>
                <a:pt x="199" y="207"/>
              </a:lnTo>
              <a:lnTo>
                <a:pt x="223" y="194"/>
              </a:lnTo>
              <a:lnTo>
                <a:pt x="247" y="193"/>
              </a:lnTo>
              <a:lnTo>
                <a:pt x="254" y="189"/>
              </a:lnTo>
              <a:lnTo>
                <a:pt x="265" y="167"/>
              </a:lnTo>
              <a:lnTo>
                <a:pt x="265" y="165"/>
              </a:lnTo>
              <a:lnTo>
                <a:pt x="266" y="152"/>
              </a:lnTo>
              <a:lnTo>
                <a:pt x="289" y="139"/>
              </a:lnTo>
              <a:lnTo>
                <a:pt x="318" y="126"/>
              </a:lnTo>
              <a:lnTo>
                <a:pt x="321" y="130"/>
              </a:lnTo>
              <a:lnTo>
                <a:pt x="319" y="139"/>
              </a:lnTo>
              <a:lnTo>
                <a:pt x="339" y="145"/>
              </a:lnTo>
              <a:lnTo>
                <a:pt x="340" y="144"/>
              </a:lnTo>
              <a:lnTo>
                <a:pt x="347" y="137"/>
              </a:lnTo>
              <a:lnTo>
                <a:pt x="356" y="122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t"/>
        <a:lstStyle/>
        <a:p>
          <a:pPr algn="ctr"/>
          <a:endParaRPr lang="en-US" sz="800" b="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22</xdr:col>
      <xdr:colOff>25092</xdr:colOff>
      <xdr:row>17</xdr:row>
      <xdr:rowOff>43870</xdr:rowOff>
    </xdr:from>
    <xdr:to>
      <xdr:col>22</xdr:col>
      <xdr:colOff>340175</xdr:colOff>
      <xdr:row>20</xdr:row>
      <xdr:rowOff>108799</xdr:rowOff>
    </xdr:to>
    <xdr:sp macro="" textlink="">
      <xdr:nvSpPr>
        <xdr:cNvPr id="73" name="S_MS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>
          <a:spLocks/>
        </xdr:cNvSpPr>
      </xdr:nvSpPr>
      <xdr:spPr bwMode="auto">
        <a:xfrm>
          <a:off x="3444567" y="3472870"/>
          <a:ext cx="315083" cy="750729"/>
        </a:xfrm>
        <a:custGeom>
          <a:avLst/>
          <a:gdLst>
            <a:gd name="T0" fmla="*/ 2147483647 w 662"/>
            <a:gd name="T1" fmla="*/ 2147483647 h 1138"/>
            <a:gd name="T2" fmla="*/ 2147483647 w 662"/>
            <a:gd name="T3" fmla="*/ 2147483647 h 1138"/>
            <a:gd name="T4" fmla="*/ 2147483647 w 662"/>
            <a:gd name="T5" fmla="*/ 2147483647 h 1138"/>
            <a:gd name="T6" fmla="*/ 2147483647 w 662"/>
            <a:gd name="T7" fmla="*/ 2147483647 h 1138"/>
            <a:gd name="T8" fmla="*/ 2147483647 w 662"/>
            <a:gd name="T9" fmla="*/ 2147483647 h 1138"/>
            <a:gd name="T10" fmla="*/ 2147483647 w 662"/>
            <a:gd name="T11" fmla="*/ 2147483647 h 1138"/>
            <a:gd name="T12" fmla="*/ 2147483647 w 662"/>
            <a:gd name="T13" fmla="*/ 2147483647 h 1138"/>
            <a:gd name="T14" fmla="*/ 2147483647 w 662"/>
            <a:gd name="T15" fmla="*/ 2147483647 h 1138"/>
            <a:gd name="T16" fmla="*/ 2147483647 w 662"/>
            <a:gd name="T17" fmla="*/ 2147483647 h 1138"/>
            <a:gd name="T18" fmla="*/ 2147483647 w 662"/>
            <a:gd name="T19" fmla="*/ 2147483647 h 1138"/>
            <a:gd name="T20" fmla="*/ 2147483647 w 662"/>
            <a:gd name="T21" fmla="*/ 2147483647 h 1138"/>
            <a:gd name="T22" fmla="*/ 2147483647 w 662"/>
            <a:gd name="T23" fmla="*/ 2147483647 h 1138"/>
            <a:gd name="T24" fmla="*/ 2147483647 w 662"/>
            <a:gd name="T25" fmla="*/ 2147483647 h 1138"/>
            <a:gd name="T26" fmla="*/ 2147483647 w 662"/>
            <a:gd name="T27" fmla="*/ 2147483647 h 1138"/>
            <a:gd name="T28" fmla="*/ 2147483647 w 662"/>
            <a:gd name="T29" fmla="*/ 2147483647 h 1138"/>
            <a:gd name="T30" fmla="*/ 2147483647 w 662"/>
            <a:gd name="T31" fmla="*/ 2147483647 h 1138"/>
            <a:gd name="T32" fmla="*/ 2147483647 w 662"/>
            <a:gd name="T33" fmla="*/ 2147483647 h 1138"/>
            <a:gd name="T34" fmla="*/ 2147483647 w 662"/>
            <a:gd name="T35" fmla="*/ 2147483647 h 1138"/>
            <a:gd name="T36" fmla="*/ 2147483647 w 662"/>
            <a:gd name="T37" fmla="*/ 2147483647 h 1138"/>
            <a:gd name="T38" fmla="*/ 2147483647 w 662"/>
            <a:gd name="T39" fmla="*/ 2147483647 h 1138"/>
            <a:gd name="T40" fmla="*/ 2147483647 w 662"/>
            <a:gd name="T41" fmla="*/ 0 h 1138"/>
            <a:gd name="T42" fmla="*/ 2147483647 w 662"/>
            <a:gd name="T43" fmla="*/ 0 h 1138"/>
            <a:gd name="T44" fmla="*/ 2147483647 w 662"/>
            <a:gd name="T45" fmla="*/ 0 h 1138"/>
            <a:gd name="T46" fmla="*/ 2147483647 w 662"/>
            <a:gd name="T47" fmla="*/ 0 h 1138"/>
            <a:gd name="T48" fmla="*/ 2147483647 w 662"/>
            <a:gd name="T49" fmla="*/ 0 h 1138"/>
            <a:gd name="T50" fmla="*/ 2147483647 w 662"/>
            <a:gd name="T51" fmla="*/ 0 h 1138"/>
            <a:gd name="T52" fmla="*/ 2147483647 w 662"/>
            <a:gd name="T53" fmla="*/ 0 h 1138"/>
            <a:gd name="T54" fmla="*/ 2147483647 w 662"/>
            <a:gd name="T55" fmla="*/ 0 h 1138"/>
            <a:gd name="T56" fmla="*/ 2147483647 w 662"/>
            <a:gd name="T57" fmla="*/ 2147483647 h 1138"/>
            <a:gd name="T58" fmla="*/ 2147483647 w 662"/>
            <a:gd name="T59" fmla="*/ 2147483647 h 1138"/>
            <a:gd name="T60" fmla="*/ 2147483647 w 662"/>
            <a:gd name="T61" fmla="*/ 2147483647 h 1138"/>
            <a:gd name="T62" fmla="*/ 2147483647 w 662"/>
            <a:gd name="T63" fmla="*/ 2147483647 h 1138"/>
            <a:gd name="T64" fmla="*/ 2147483647 w 662"/>
            <a:gd name="T65" fmla="*/ 2147483647 h 1138"/>
            <a:gd name="T66" fmla="*/ 2147483647 w 662"/>
            <a:gd name="T67" fmla="*/ 2147483647 h 1138"/>
            <a:gd name="T68" fmla="*/ 2147483647 w 662"/>
            <a:gd name="T69" fmla="*/ 2147483647 h 1138"/>
            <a:gd name="T70" fmla="*/ 2147483647 w 662"/>
            <a:gd name="T71" fmla="*/ 2147483647 h 1138"/>
            <a:gd name="T72" fmla="*/ 2147483647 w 662"/>
            <a:gd name="T73" fmla="*/ 2147483647 h 1138"/>
            <a:gd name="T74" fmla="*/ 2147483647 w 662"/>
            <a:gd name="T75" fmla="*/ 2147483647 h 1138"/>
            <a:gd name="T76" fmla="*/ 2147483647 w 662"/>
            <a:gd name="T77" fmla="*/ 2147483647 h 1138"/>
            <a:gd name="T78" fmla="*/ 2147483647 w 662"/>
            <a:gd name="T79" fmla="*/ 2147483647 h 1138"/>
            <a:gd name="T80" fmla="*/ 2147483647 w 662"/>
            <a:gd name="T81" fmla="*/ 2147483647 h 1138"/>
            <a:gd name="T82" fmla="*/ 2147483647 w 662"/>
            <a:gd name="T83" fmla="*/ 2147483647 h 1138"/>
            <a:gd name="T84" fmla="*/ 2147483647 w 662"/>
            <a:gd name="T85" fmla="*/ 2147483647 h 1138"/>
            <a:gd name="T86" fmla="*/ 2147483647 w 662"/>
            <a:gd name="T87" fmla="*/ 2147483647 h 1138"/>
            <a:gd name="T88" fmla="*/ 2147483647 w 662"/>
            <a:gd name="T89" fmla="*/ 2147483647 h 1138"/>
            <a:gd name="T90" fmla="*/ 2147483647 w 662"/>
            <a:gd name="T91" fmla="*/ 2147483647 h 1138"/>
            <a:gd name="T92" fmla="*/ 2147483647 w 662"/>
            <a:gd name="T93" fmla="*/ 2147483647 h 1138"/>
            <a:gd name="T94" fmla="*/ 2147483647 w 662"/>
            <a:gd name="T95" fmla="*/ 2147483647 h 1138"/>
            <a:gd name="T96" fmla="*/ 2147483647 w 662"/>
            <a:gd name="T97" fmla="*/ 2147483647 h 1138"/>
            <a:gd name="T98" fmla="*/ 2147483647 w 662"/>
            <a:gd name="T99" fmla="*/ 2147483647 h 1138"/>
            <a:gd name="T100" fmla="*/ 2147483647 w 662"/>
            <a:gd name="T101" fmla="*/ 2147483647 h 1138"/>
            <a:gd name="T102" fmla="*/ 2147483647 w 662"/>
            <a:gd name="T103" fmla="*/ 2147483647 h 1138"/>
            <a:gd name="T104" fmla="*/ 2147483647 w 662"/>
            <a:gd name="T105" fmla="*/ 2147483647 h 1138"/>
            <a:gd name="T106" fmla="*/ 2147483647 w 662"/>
            <a:gd name="T107" fmla="*/ 2147483647 h 1138"/>
            <a:gd name="T108" fmla="*/ 2147483647 w 662"/>
            <a:gd name="T109" fmla="*/ 2147483647 h 1138"/>
            <a:gd name="T110" fmla="*/ 2147483647 w 662"/>
            <a:gd name="T111" fmla="*/ 2147483647 h 1138"/>
            <a:gd name="T112" fmla="*/ 2147483647 w 662"/>
            <a:gd name="T113" fmla="*/ 2147483647 h 1138"/>
            <a:gd name="T114" fmla="*/ 2147483647 w 662"/>
            <a:gd name="T115" fmla="*/ 2147483647 h 1138"/>
            <a:gd name="T116" fmla="*/ 2147483647 w 662"/>
            <a:gd name="T117" fmla="*/ 2147483647 h 1138"/>
            <a:gd name="T118" fmla="*/ 0 w 662"/>
            <a:gd name="T119" fmla="*/ 2147483647 h 1138"/>
            <a:gd name="T120" fmla="*/ 2147483647 w 662"/>
            <a:gd name="T121" fmla="*/ 2147483647 h 1138"/>
            <a:gd name="T122" fmla="*/ 2147483647 w 662"/>
            <a:gd name="T123" fmla="*/ 2147483647 h 1138"/>
            <a:gd name="T124" fmla="*/ 2147483647 w 662"/>
            <a:gd name="T125" fmla="*/ 2147483647 h 1138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60000 65536"/>
            <a:gd name="T184" fmla="*/ 0 60000 65536"/>
            <a:gd name="T185" fmla="*/ 0 60000 65536"/>
            <a:gd name="T186" fmla="*/ 0 60000 65536"/>
            <a:gd name="T187" fmla="*/ 0 60000 65536"/>
            <a:gd name="T188" fmla="*/ 0 60000 65536"/>
            <a:gd name="T189" fmla="*/ 0 w 662"/>
            <a:gd name="T190" fmla="*/ 0 h 1138"/>
            <a:gd name="T191" fmla="*/ 662 w 662"/>
            <a:gd name="T192" fmla="*/ 1138 h 1138"/>
          </a:gdLst>
          <a:ahLst/>
          <a:cxnLst>
            <a:cxn ang="T126">
              <a:pos x="T0" y="T1"/>
            </a:cxn>
            <a:cxn ang="T127">
              <a:pos x="T2" y="T3"/>
            </a:cxn>
            <a:cxn ang="T128">
              <a:pos x="T4" y="T5"/>
            </a:cxn>
            <a:cxn ang="T129">
              <a:pos x="T6" y="T7"/>
            </a:cxn>
            <a:cxn ang="T130">
              <a:pos x="T8" y="T9"/>
            </a:cxn>
            <a:cxn ang="T131">
              <a:pos x="T10" y="T11"/>
            </a:cxn>
            <a:cxn ang="T132">
              <a:pos x="T12" y="T13"/>
            </a:cxn>
            <a:cxn ang="T133">
              <a:pos x="T14" y="T15"/>
            </a:cxn>
            <a:cxn ang="T134">
              <a:pos x="T16" y="T17"/>
            </a:cxn>
            <a:cxn ang="T135">
              <a:pos x="T18" y="T19"/>
            </a:cxn>
            <a:cxn ang="T136">
              <a:pos x="T20" y="T21"/>
            </a:cxn>
            <a:cxn ang="T137">
              <a:pos x="T22" y="T23"/>
            </a:cxn>
            <a:cxn ang="T138">
              <a:pos x="T24" y="T25"/>
            </a:cxn>
            <a:cxn ang="T139">
              <a:pos x="T26" y="T27"/>
            </a:cxn>
            <a:cxn ang="T140">
              <a:pos x="T28" y="T29"/>
            </a:cxn>
            <a:cxn ang="T141">
              <a:pos x="T30" y="T31"/>
            </a:cxn>
            <a:cxn ang="T142">
              <a:pos x="T32" y="T33"/>
            </a:cxn>
            <a:cxn ang="T143">
              <a:pos x="T34" y="T35"/>
            </a:cxn>
            <a:cxn ang="T144">
              <a:pos x="T36" y="T37"/>
            </a:cxn>
            <a:cxn ang="T145">
              <a:pos x="T38" y="T39"/>
            </a:cxn>
            <a:cxn ang="T146">
              <a:pos x="T40" y="T41"/>
            </a:cxn>
            <a:cxn ang="T147">
              <a:pos x="T42" y="T43"/>
            </a:cxn>
            <a:cxn ang="T148">
              <a:pos x="T44" y="T45"/>
            </a:cxn>
            <a:cxn ang="T149">
              <a:pos x="T46" y="T47"/>
            </a:cxn>
            <a:cxn ang="T150">
              <a:pos x="T48" y="T49"/>
            </a:cxn>
            <a:cxn ang="T151">
              <a:pos x="T50" y="T51"/>
            </a:cxn>
            <a:cxn ang="T152">
              <a:pos x="T52" y="T53"/>
            </a:cxn>
            <a:cxn ang="T153">
              <a:pos x="T54" y="T55"/>
            </a:cxn>
            <a:cxn ang="T154">
              <a:pos x="T56" y="T57"/>
            </a:cxn>
            <a:cxn ang="T155">
              <a:pos x="T58" y="T59"/>
            </a:cxn>
            <a:cxn ang="T156">
              <a:pos x="T60" y="T61"/>
            </a:cxn>
            <a:cxn ang="T157">
              <a:pos x="T62" y="T63"/>
            </a:cxn>
            <a:cxn ang="T158">
              <a:pos x="T64" y="T65"/>
            </a:cxn>
            <a:cxn ang="T159">
              <a:pos x="T66" y="T67"/>
            </a:cxn>
            <a:cxn ang="T160">
              <a:pos x="T68" y="T69"/>
            </a:cxn>
            <a:cxn ang="T161">
              <a:pos x="T70" y="T71"/>
            </a:cxn>
            <a:cxn ang="T162">
              <a:pos x="T72" y="T73"/>
            </a:cxn>
            <a:cxn ang="T163">
              <a:pos x="T74" y="T75"/>
            </a:cxn>
            <a:cxn ang="T164">
              <a:pos x="T76" y="T77"/>
            </a:cxn>
            <a:cxn ang="T165">
              <a:pos x="T78" y="T79"/>
            </a:cxn>
            <a:cxn ang="T166">
              <a:pos x="T80" y="T81"/>
            </a:cxn>
            <a:cxn ang="T167">
              <a:pos x="T82" y="T83"/>
            </a:cxn>
            <a:cxn ang="T168">
              <a:pos x="T84" y="T85"/>
            </a:cxn>
            <a:cxn ang="T169">
              <a:pos x="T86" y="T87"/>
            </a:cxn>
            <a:cxn ang="T170">
              <a:pos x="T88" y="T89"/>
            </a:cxn>
            <a:cxn ang="T171">
              <a:pos x="T90" y="T91"/>
            </a:cxn>
            <a:cxn ang="T172">
              <a:pos x="T92" y="T93"/>
            </a:cxn>
            <a:cxn ang="T173">
              <a:pos x="T94" y="T95"/>
            </a:cxn>
            <a:cxn ang="T174">
              <a:pos x="T96" y="T97"/>
            </a:cxn>
            <a:cxn ang="T175">
              <a:pos x="T98" y="T99"/>
            </a:cxn>
            <a:cxn ang="T176">
              <a:pos x="T100" y="T101"/>
            </a:cxn>
            <a:cxn ang="T177">
              <a:pos x="T102" y="T103"/>
            </a:cxn>
            <a:cxn ang="T178">
              <a:pos x="T104" y="T105"/>
            </a:cxn>
            <a:cxn ang="T179">
              <a:pos x="T106" y="T107"/>
            </a:cxn>
            <a:cxn ang="T180">
              <a:pos x="T108" y="T109"/>
            </a:cxn>
            <a:cxn ang="T181">
              <a:pos x="T110" y="T111"/>
            </a:cxn>
            <a:cxn ang="T182">
              <a:pos x="T112" y="T113"/>
            </a:cxn>
            <a:cxn ang="T183">
              <a:pos x="T114" y="T115"/>
            </a:cxn>
            <a:cxn ang="T184">
              <a:pos x="T116" y="T117"/>
            </a:cxn>
            <a:cxn ang="T185">
              <a:pos x="T118" y="T119"/>
            </a:cxn>
            <a:cxn ang="T186">
              <a:pos x="T120" y="T121"/>
            </a:cxn>
            <a:cxn ang="T187">
              <a:pos x="T122" y="T123"/>
            </a:cxn>
            <a:cxn ang="T188">
              <a:pos x="T124" y="T125"/>
            </a:cxn>
          </a:cxnLst>
          <a:rect l="T189" t="T190" r="T191" b="T192"/>
          <a:pathLst>
            <a:path w="662" h="1138">
              <a:moveTo>
                <a:pt x="60" y="766"/>
              </a:moveTo>
              <a:lnTo>
                <a:pt x="69" y="766"/>
              </a:lnTo>
              <a:lnTo>
                <a:pt x="73" y="738"/>
              </a:lnTo>
              <a:lnTo>
                <a:pt x="75" y="737"/>
              </a:lnTo>
              <a:lnTo>
                <a:pt x="103" y="707"/>
              </a:lnTo>
              <a:lnTo>
                <a:pt x="96" y="690"/>
              </a:lnTo>
              <a:lnTo>
                <a:pt x="113" y="681"/>
              </a:lnTo>
              <a:lnTo>
                <a:pt x="113" y="679"/>
              </a:lnTo>
              <a:lnTo>
                <a:pt x="116" y="677"/>
              </a:lnTo>
              <a:lnTo>
                <a:pt x="110" y="677"/>
              </a:lnTo>
              <a:lnTo>
                <a:pt x="110" y="679"/>
              </a:lnTo>
              <a:lnTo>
                <a:pt x="109" y="677"/>
              </a:lnTo>
              <a:lnTo>
                <a:pt x="96" y="677"/>
              </a:lnTo>
              <a:lnTo>
                <a:pt x="96" y="657"/>
              </a:lnTo>
              <a:lnTo>
                <a:pt x="120" y="662"/>
              </a:lnTo>
              <a:lnTo>
                <a:pt x="120" y="601"/>
              </a:lnTo>
              <a:lnTo>
                <a:pt x="97" y="590"/>
              </a:lnTo>
              <a:lnTo>
                <a:pt x="120" y="594"/>
              </a:lnTo>
              <a:lnTo>
                <a:pt x="106" y="575"/>
              </a:lnTo>
              <a:lnTo>
                <a:pt x="111" y="572"/>
              </a:lnTo>
              <a:lnTo>
                <a:pt x="119" y="560"/>
              </a:lnTo>
              <a:lnTo>
                <a:pt x="96" y="569"/>
              </a:lnTo>
              <a:lnTo>
                <a:pt x="89" y="470"/>
              </a:lnTo>
              <a:lnTo>
                <a:pt x="89" y="469"/>
              </a:lnTo>
              <a:lnTo>
                <a:pt x="96" y="380"/>
              </a:lnTo>
              <a:lnTo>
                <a:pt x="88" y="381"/>
              </a:lnTo>
              <a:lnTo>
                <a:pt x="96" y="360"/>
              </a:lnTo>
              <a:lnTo>
                <a:pt x="76" y="366"/>
              </a:lnTo>
              <a:lnTo>
                <a:pt x="84" y="351"/>
              </a:lnTo>
              <a:lnTo>
                <a:pt x="79" y="346"/>
              </a:lnTo>
              <a:lnTo>
                <a:pt x="78" y="345"/>
              </a:lnTo>
              <a:lnTo>
                <a:pt x="76" y="338"/>
              </a:lnTo>
              <a:lnTo>
                <a:pt x="96" y="304"/>
              </a:lnTo>
              <a:lnTo>
                <a:pt x="96" y="286"/>
              </a:lnTo>
              <a:lnTo>
                <a:pt x="120" y="290"/>
              </a:lnTo>
              <a:lnTo>
                <a:pt x="104" y="240"/>
              </a:lnTo>
              <a:lnTo>
                <a:pt x="120" y="231"/>
              </a:lnTo>
              <a:lnTo>
                <a:pt x="128" y="207"/>
              </a:lnTo>
              <a:lnTo>
                <a:pt x="150" y="176"/>
              </a:lnTo>
              <a:lnTo>
                <a:pt x="166" y="166"/>
              </a:lnTo>
              <a:lnTo>
                <a:pt x="163" y="151"/>
              </a:lnTo>
              <a:lnTo>
                <a:pt x="180" y="148"/>
              </a:lnTo>
              <a:lnTo>
                <a:pt x="176" y="158"/>
              </a:lnTo>
              <a:lnTo>
                <a:pt x="180" y="161"/>
              </a:lnTo>
              <a:lnTo>
                <a:pt x="200" y="111"/>
              </a:lnTo>
              <a:lnTo>
                <a:pt x="197" y="83"/>
              </a:lnTo>
              <a:lnTo>
                <a:pt x="204" y="77"/>
              </a:lnTo>
              <a:lnTo>
                <a:pt x="207" y="88"/>
              </a:lnTo>
              <a:lnTo>
                <a:pt x="220" y="74"/>
              </a:lnTo>
              <a:lnTo>
                <a:pt x="200" y="62"/>
              </a:lnTo>
              <a:lnTo>
                <a:pt x="205" y="58"/>
              </a:lnTo>
              <a:lnTo>
                <a:pt x="213" y="63"/>
              </a:lnTo>
              <a:lnTo>
                <a:pt x="222" y="58"/>
              </a:lnTo>
              <a:lnTo>
                <a:pt x="219" y="52"/>
              </a:lnTo>
              <a:lnTo>
                <a:pt x="230" y="39"/>
              </a:lnTo>
              <a:lnTo>
                <a:pt x="231" y="37"/>
              </a:lnTo>
              <a:lnTo>
                <a:pt x="234" y="34"/>
              </a:lnTo>
              <a:lnTo>
                <a:pt x="249" y="31"/>
              </a:lnTo>
              <a:lnTo>
                <a:pt x="260" y="22"/>
              </a:lnTo>
              <a:lnTo>
                <a:pt x="260" y="11"/>
              </a:lnTo>
              <a:lnTo>
                <a:pt x="249" y="0"/>
              </a:lnTo>
              <a:lnTo>
                <a:pt x="307" y="0"/>
              </a:lnTo>
              <a:lnTo>
                <a:pt x="334" y="0"/>
              </a:lnTo>
              <a:lnTo>
                <a:pt x="358" y="0"/>
              </a:lnTo>
              <a:lnTo>
                <a:pt x="373" y="0"/>
              </a:lnTo>
              <a:lnTo>
                <a:pt x="393" y="0"/>
              </a:lnTo>
              <a:lnTo>
                <a:pt x="409" y="0"/>
              </a:lnTo>
              <a:lnTo>
                <a:pt x="428" y="0"/>
              </a:lnTo>
              <a:lnTo>
                <a:pt x="438" y="0"/>
              </a:lnTo>
              <a:lnTo>
                <a:pt x="447" y="0"/>
              </a:lnTo>
              <a:lnTo>
                <a:pt x="457" y="0"/>
              </a:lnTo>
              <a:lnTo>
                <a:pt x="474" y="0"/>
              </a:lnTo>
              <a:lnTo>
                <a:pt x="484" y="0"/>
              </a:lnTo>
              <a:lnTo>
                <a:pt x="491" y="0"/>
              </a:lnTo>
              <a:lnTo>
                <a:pt x="493" y="0"/>
              </a:lnTo>
              <a:lnTo>
                <a:pt x="509" y="0"/>
              </a:lnTo>
              <a:lnTo>
                <a:pt x="526" y="0"/>
              </a:lnTo>
              <a:lnTo>
                <a:pt x="534" y="0"/>
              </a:lnTo>
              <a:lnTo>
                <a:pt x="551" y="0"/>
              </a:lnTo>
              <a:lnTo>
                <a:pt x="568" y="0"/>
              </a:lnTo>
              <a:lnTo>
                <a:pt x="610" y="0"/>
              </a:lnTo>
              <a:lnTo>
                <a:pt x="611" y="0"/>
              </a:lnTo>
              <a:lnTo>
                <a:pt x="613" y="0"/>
              </a:lnTo>
              <a:lnTo>
                <a:pt x="633" y="0"/>
              </a:lnTo>
              <a:lnTo>
                <a:pt x="643" y="0"/>
              </a:lnTo>
              <a:lnTo>
                <a:pt x="657" y="21"/>
              </a:lnTo>
              <a:lnTo>
                <a:pt x="662" y="25"/>
              </a:lnTo>
              <a:lnTo>
                <a:pt x="661" y="39"/>
              </a:lnTo>
              <a:lnTo>
                <a:pt x="657" y="76"/>
              </a:lnTo>
              <a:lnTo>
                <a:pt x="655" y="97"/>
              </a:lnTo>
              <a:lnTo>
                <a:pt x="653" y="117"/>
              </a:lnTo>
              <a:lnTo>
                <a:pt x="653" y="118"/>
              </a:lnTo>
              <a:lnTo>
                <a:pt x="652" y="125"/>
              </a:lnTo>
              <a:lnTo>
                <a:pt x="651" y="131"/>
              </a:lnTo>
              <a:lnTo>
                <a:pt x="649" y="147"/>
              </a:lnTo>
              <a:lnTo>
                <a:pt x="648" y="159"/>
              </a:lnTo>
              <a:lnTo>
                <a:pt x="645" y="191"/>
              </a:lnTo>
              <a:lnTo>
                <a:pt x="644" y="195"/>
              </a:lnTo>
              <a:lnTo>
                <a:pt x="643" y="214"/>
              </a:lnTo>
              <a:lnTo>
                <a:pt x="642" y="222"/>
              </a:lnTo>
              <a:lnTo>
                <a:pt x="641" y="234"/>
              </a:lnTo>
              <a:lnTo>
                <a:pt x="637" y="273"/>
              </a:lnTo>
              <a:lnTo>
                <a:pt x="634" y="295"/>
              </a:lnTo>
              <a:lnTo>
                <a:pt x="633" y="298"/>
              </a:lnTo>
              <a:lnTo>
                <a:pt x="629" y="345"/>
              </a:lnTo>
              <a:lnTo>
                <a:pt x="628" y="353"/>
              </a:lnTo>
              <a:lnTo>
                <a:pt x="627" y="375"/>
              </a:lnTo>
              <a:lnTo>
                <a:pt x="624" y="403"/>
              </a:lnTo>
              <a:lnTo>
                <a:pt x="622" y="418"/>
              </a:lnTo>
              <a:lnTo>
                <a:pt x="622" y="423"/>
              </a:lnTo>
              <a:lnTo>
                <a:pt x="617" y="473"/>
              </a:lnTo>
              <a:lnTo>
                <a:pt x="616" y="481"/>
              </a:lnTo>
              <a:lnTo>
                <a:pt x="615" y="488"/>
              </a:lnTo>
              <a:lnTo>
                <a:pt x="611" y="542"/>
              </a:lnTo>
              <a:lnTo>
                <a:pt x="610" y="550"/>
              </a:lnTo>
              <a:lnTo>
                <a:pt x="608" y="570"/>
              </a:lnTo>
              <a:lnTo>
                <a:pt x="603" y="613"/>
              </a:lnTo>
              <a:lnTo>
                <a:pt x="603" y="619"/>
              </a:lnTo>
              <a:lnTo>
                <a:pt x="601" y="635"/>
              </a:lnTo>
              <a:lnTo>
                <a:pt x="600" y="649"/>
              </a:lnTo>
              <a:lnTo>
                <a:pt x="600" y="651"/>
              </a:lnTo>
              <a:lnTo>
                <a:pt x="600" y="654"/>
              </a:lnTo>
              <a:lnTo>
                <a:pt x="599" y="661"/>
              </a:lnTo>
              <a:lnTo>
                <a:pt x="597" y="677"/>
              </a:lnTo>
              <a:lnTo>
                <a:pt x="592" y="732"/>
              </a:lnTo>
              <a:lnTo>
                <a:pt x="592" y="737"/>
              </a:lnTo>
              <a:lnTo>
                <a:pt x="593" y="741"/>
              </a:lnTo>
              <a:lnTo>
                <a:pt x="594" y="779"/>
              </a:lnTo>
              <a:lnTo>
                <a:pt x="596" y="825"/>
              </a:lnTo>
              <a:lnTo>
                <a:pt x="596" y="831"/>
              </a:lnTo>
              <a:lnTo>
                <a:pt x="597" y="840"/>
              </a:lnTo>
              <a:lnTo>
                <a:pt x="597" y="854"/>
              </a:lnTo>
              <a:lnTo>
                <a:pt x="598" y="882"/>
              </a:lnTo>
              <a:lnTo>
                <a:pt x="600" y="916"/>
              </a:lnTo>
              <a:lnTo>
                <a:pt x="600" y="924"/>
              </a:lnTo>
              <a:lnTo>
                <a:pt x="600" y="932"/>
              </a:lnTo>
              <a:lnTo>
                <a:pt x="601" y="944"/>
              </a:lnTo>
              <a:lnTo>
                <a:pt x="603" y="1003"/>
              </a:lnTo>
              <a:lnTo>
                <a:pt x="603" y="1006"/>
              </a:lnTo>
              <a:lnTo>
                <a:pt x="605" y="1038"/>
              </a:lnTo>
              <a:lnTo>
                <a:pt x="606" y="1068"/>
              </a:lnTo>
              <a:lnTo>
                <a:pt x="607" y="1097"/>
              </a:lnTo>
              <a:lnTo>
                <a:pt x="587" y="1104"/>
              </a:lnTo>
              <a:lnTo>
                <a:pt x="540" y="1097"/>
              </a:lnTo>
              <a:lnTo>
                <a:pt x="522" y="1084"/>
              </a:lnTo>
              <a:lnTo>
                <a:pt x="521" y="1092"/>
              </a:lnTo>
              <a:lnTo>
                <a:pt x="493" y="1088"/>
              </a:lnTo>
              <a:lnTo>
                <a:pt x="440" y="1106"/>
              </a:lnTo>
              <a:lnTo>
                <a:pt x="430" y="1092"/>
              </a:lnTo>
              <a:lnTo>
                <a:pt x="433" y="1104"/>
              </a:lnTo>
              <a:lnTo>
                <a:pt x="400" y="1137"/>
              </a:lnTo>
              <a:lnTo>
                <a:pt x="396" y="1138"/>
              </a:lnTo>
              <a:lnTo>
                <a:pt x="377" y="1121"/>
              </a:lnTo>
              <a:lnTo>
                <a:pt x="365" y="1071"/>
              </a:lnTo>
              <a:lnTo>
                <a:pt x="353" y="1062"/>
              </a:lnTo>
              <a:lnTo>
                <a:pt x="352" y="1062"/>
              </a:lnTo>
              <a:lnTo>
                <a:pt x="336" y="1022"/>
              </a:lnTo>
              <a:lnTo>
                <a:pt x="339" y="1003"/>
              </a:lnTo>
              <a:lnTo>
                <a:pt x="353" y="961"/>
              </a:lnTo>
              <a:lnTo>
                <a:pt x="357" y="943"/>
              </a:lnTo>
              <a:lnTo>
                <a:pt x="353" y="944"/>
              </a:lnTo>
              <a:lnTo>
                <a:pt x="353" y="943"/>
              </a:lnTo>
              <a:lnTo>
                <a:pt x="337" y="943"/>
              </a:lnTo>
              <a:lnTo>
                <a:pt x="283" y="943"/>
              </a:lnTo>
              <a:lnTo>
                <a:pt x="260" y="944"/>
              </a:lnTo>
              <a:lnTo>
                <a:pt x="258" y="944"/>
              </a:lnTo>
              <a:lnTo>
                <a:pt x="242" y="944"/>
              </a:lnTo>
              <a:lnTo>
                <a:pt x="236" y="944"/>
              </a:lnTo>
              <a:lnTo>
                <a:pt x="213" y="944"/>
              </a:lnTo>
              <a:lnTo>
                <a:pt x="204" y="944"/>
              </a:lnTo>
              <a:lnTo>
                <a:pt x="200" y="944"/>
              </a:lnTo>
              <a:lnTo>
                <a:pt x="174" y="944"/>
              </a:lnTo>
              <a:lnTo>
                <a:pt x="166" y="944"/>
              </a:lnTo>
              <a:lnTo>
                <a:pt x="152" y="944"/>
              </a:lnTo>
              <a:lnTo>
                <a:pt x="120" y="944"/>
              </a:lnTo>
              <a:lnTo>
                <a:pt x="109" y="944"/>
              </a:lnTo>
              <a:lnTo>
                <a:pt x="87" y="944"/>
              </a:lnTo>
              <a:lnTo>
                <a:pt x="73" y="944"/>
              </a:lnTo>
              <a:lnTo>
                <a:pt x="49" y="944"/>
              </a:lnTo>
              <a:lnTo>
                <a:pt x="0" y="944"/>
              </a:lnTo>
              <a:lnTo>
                <a:pt x="5" y="942"/>
              </a:lnTo>
              <a:lnTo>
                <a:pt x="3" y="913"/>
              </a:lnTo>
              <a:lnTo>
                <a:pt x="9" y="898"/>
              </a:lnTo>
              <a:lnTo>
                <a:pt x="26" y="857"/>
              </a:lnTo>
              <a:lnTo>
                <a:pt x="26" y="791"/>
              </a:lnTo>
              <a:lnTo>
                <a:pt x="48" y="771"/>
              </a:lnTo>
              <a:lnTo>
                <a:pt x="49" y="770"/>
              </a:lnTo>
              <a:lnTo>
                <a:pt x="53" y="766"/>
              </a:lnTo>
              <a:lnTo>
                <a:pt x="60" y="766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pPr algn="ctr"/>
          <a:endParaRPr lang="en-US" sz="800" b="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21</xdr:col>
      <xdr:colOff>258489</xdr:colOff>
      <xdr:row>13</xdr:row>
      <xdr:rowOff>74288</xdr:rowOff>
    </xdr:from>
    <xdr:to>
      <xdr:col>22</xdr:col>
      <xdr:colOff>254614</xdr:colOff>
      <xdr:row>16</xdr:row>
      <xdr:rowOff>106459</xdr:rowOff>
    </xdr:to>
    <xdr:sp macro="" textlink="">
      <xdr:nvSpPr>
        <xdr:cNvPr id="74" name="S_MO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>
          <a:spLocks/>
        </xdr:cNvSpPr>
      </xdr:nvSpPr>
      <xdr:spPr bwMode="auto">
        <a:xfrm>
          <a:off x="3068364" y="2741288"/>
          <a:ext cx="605725" cy="603671"/>
        </a:xfrm>
        <a:custGeom>
          <a:avLst/>
          <a:gdLst>
            <a:gd name="T0" fmla="*/ 2147483647 w 1248"/>
            <a:gd name="T1" fmla="*/ 2147483647 h 1090"/>
            <a:gd name="T2" fmla="*/ 2147483647 w 1248"/>
            <a:gd name="T3" fmla="*/ 2147483647 h 1090"/>
            <a:gd name="T4" fmla="*/ 2147483647 w 1248"/>
            <a:gd name="T5" fmla="*/ 2147483647 h 1090"/>
            <a:gd name="T6" fmla="*/ 2147483647 w 1248"/>
            <a:gd name="T7" fmla="*/ 2147483647 h 1090"/>
            <a:gd name="T8" fmla="*/ 2147483647 w 1248"/>
            <a:gd name="T9" fmla="*/ 0 h 1090"/>
            <a:gd name="T10" fmla="*/ 2147483647 w 1248"/>
            <a:gd name="T11" fmla="*/ 2147483647 h 1090"/>
            <a:gd name="T12" fmla="*/ 2147483647 w 1248"/>
            <a:gd name="T13" fmla="*/ 2147483647 h 1090"/>
            <a:gd name="T14" fmla="*/ 2147483647 w 1248"/>
            <a:gd name="T15" fmla="*/ 2147483647 h 1090"/>
            <a:gd name="T16" fmla="*/ 2147483647 w 1248"/>
            <a:gd name="T17" fmla="*/ 2147483647 h 1090"/>
            <a:gd name="T18" fmla="*/ 2147483647 w 1248"/>
            <a:gd name="T19" fmla="*/ 2147483647 h 1090"/>
            <a:gd name="T20" fmla="*/ 2147483647 w 1248"/>
            <a:gd name="T21" fmla="*/ 2147483647 h 1090"/>
            <a:gd name="T22" fmla="*/ 2147483647 w 1248"/>
            <a:gd name="T23" fmla="*/ 2147483647 h 1090"/>
            <a:gd name="T24" fmla="*/ 2147483647 w 1248"/>
            <a:gd name="T25" fmla="*/ 2147483647 h 1090"/>
            <a:gd name="T26" fmla="*/ 2147483647 w 1248"/>
            <a:gd name="T27" fmla="*/ 2147483647 h 1090"/>
            <a:gd name="T28" fmla="*/ 2147483647 w 1248"/>
            <a:gd name="T29" fmla="*/ 2147483647 h 1090"/>
            <a:gd name="T30" fmla="*/ 2147483647 w 1248"/>
            <a:gd name="T31" fmla="*/ 2147483647 h 1090"/>
            <a:gd name="T32" fmla="*/ 2147483647 w 1248"/>
            <a:gd name="T33" fmla="*/ 2147483647 h 1090"/>
            <a:gd name="T34" fmla="*/ 2147483647 w 1248"/>
            <a:gd name="T35" fmla="*/ 2147483647 h 1090"/>
            <a:gd name="T36" fmla="*/ 2147483647 w 1248"/>
            <a:gd name="T37" fmla="*/ 2147483647 h 1090"/>
            <a:gd name="T38" fmla="*/ 2147483647 w 1248"/>
            <a:gd name="T39" fmla="*/ 2147483647 h 1090"/>
            <a:gd name="T40" fmla="*/ 2147483647 w 1248"/>
            <a:gd name="T41" fmla="*/ 2147483647 h 1090"/>
            <a:gd name="T42" fmla="*/ 2147483647 w 1248"/>
            <a:gd name="T43" fmla="*/ 2147483647 h 1090"/>
            <a:gd name="T44" fmla="*/ 2147483647 w 1248"/>
            <a:gd name="T45" fmla="*/ 2147483647 h 1090"/>
            <a:gd name="T46" fmla="*/ 2147483647 w 1248"/>
            <a:gd name="T47" fmla="*/ 2147483647 h 1090"/>
            <a:gd name="T48" fmla="*/ 2147483647 w 1248"/>
            <a:gd name="T49" fmla="*/ 2147483647 h 1090"/>
            <a:gd name="T50" fmla="*/ 2147483647 w 1248"/>
            <a:gd name="T51" fmla="*/ 2147483647 h 1090"/>
            <a:gd name="T52" fmla="*/ 2147483647 w 1248"/>
            <a:gd name="T53" fmla="*/ 2147483647 h 1090"/>
            <a:gd name="T54" fmla="*/ 2147483647 w 1248"/>
            <a:gd name="T55" fmla="*/ 2147483647 h 1090"/>
            <a:gd name="T56" fmla="*/ 2147483647 w 1248"/>
            <a:gd name="T57" fmla="*/ 2147483647 h 1090"/>
            <a:gd name="T58" fmla="*/ 2147483647 w 1248"/>
            <a:gd name="T59" fmla="*/ 2147483647 h 1090"/>
            <a:gd name="T60" fmla="*/ 2147483647 w 1248"/>
            <a:gd name="T61" fmla="*/ 2147483647 h 1090"/>
            <a:gd name="T62" fmla="*/ 2147483647 w 1248"/>
            <a:gd name="T63" fmla="*/ 2147483647 h 1090"/>
            <a:gd name="T64" fmla="*/ 2147483647 w 1248"/>
            <a:gd name="T65" fmla="*/ 2147483647 h 1090"/>
            <a:gd name="T66" fmla="*/ 2147483647 w 1248"/>
            <a:gd name="T67" fmla="*/ 2147483647 h 1090"/>
            <a:gd name="T68" fmla="*/ 2147483647 w 1248"/>
            <a:gd name="T69" fmla="*/ 2147483647 h 1090"/>
            <a:gd name="T70" fmla="*/ 2147483647 w 1248"/>
            <a:gd name="T71" fmla="*/ 2147483647 h 1090"/>
            <a:gd name="T72" fmla="*/ 2147483647 w 1248"/>
            <a:gd name="T73" fmla="*/ 2147483647 h 1090"/>
            <a:gd name="T74" fmla="*/ 2147483647 w 1248"/>
            <a:gd name="T75" fmla="*/ 2147483647 h 1090"/>
            <a:gd name="T76" fmla="*/ 2147483647 w 1248"/>
            <a:gd name="T77" fmla="*/ 2147483647 h 1090"/>
            <a:gd name="T78" fmla="*/ 2147483647 w 1248"/>
            <a:gd name="T79" fmla="*/ 2147483647 h 1090"/>
            <a:gd name="T80" fmla="*/ 2147483647 w 1248"/>
            <a:gd name="T81" fmla="*/ 2147483647 h 1090"/>
            <a:gd name="T82" fmla="*/ 2147483647 w 1248"/>
            <a:gd name="T83" fmla="*/ 2147483647 h 1090"/>
            <a:gd name="T84" fmla="*/ 2147483647 w 1248"/>
            <a:gd name="T85" fmla="*/ 2147483647 h 1090"/>
            <a:gd name="T86" fmla="*/ 2147483647 w 1248"/>
            <a:gd name="T87" fmla="*/ 2147483647 h 1090"/>
            <a:gd name="T88" fmla="*/ 2147483647 w 1248"/>
            <a:gd name="T89" fmla="*/ 2147483647 h 1090"/>
            <a:gd name="T90" fmla="*/ 2147483647 w 1248"/>
            <a:gd name="T91" fmla="*/ 2147483647 h 1090"/>
            <a:gd name="T92" fmla="*/ 2147483647 w 1248"/>
            <a:gd name="T93" fmla="*/ 2147483647 h 1090"/>
            <a:gd name="T94" fmla="*/ 2147483647 w 1248"/>
            <a:gd name="T95" fmla="*/ 2147483647 h 1090"/>
            <a:gd name="T96" fmla="*/ 2147483647 w 1248"/>
            <a:gd name="T97" fmla="*/ 2147483647 h 1090"/>
            <a:gd name="T98" fmla="*/ 2147483647 w 1248"/>
            <a:gd name="T99" fmla="*/ 2147483647 h 1090"/>
            <a:gd name="T100" fmla="*/ 0 w 1248"/>
            <a:gd name="T101" fmla="*/ 2147483647 h 1090"/>
            <a:gd name="T102" fmla="*/ 2147483647 w 1248"/>
            <a:gd name="T103" fmla="*/ 2147483647 h 1090"/>
            <a:gd name="T104" fmla="*/ 2147483647 w 1248"/>
            <a:gd name="T105" fmla="*/ 2147483647 h 1090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w 1248"/>
            <a:gd name="T160" fmla="*/ 0 h 1090"/>
            <a:gd name="T161" fmla="*/ 1248 w 1248"/>
            <a:gd name="T162" fmla="*/ 1090 h 1090"/>
          </a:gdLst>
          <a:ahLst/>
          <a:cxnLst>
            <a:cxn ang="T106">
              <a:pos x="T0" y="T1"/>
            </a:cxn>
            <a:cxn ang="T107">
              <a:pos x="T2" y="T3"/>
            </a:cxn>
            <a:cxn ang="T108">
              <a:pos x="T4" y="T5"/>
            </a:cxn>
            <a:cxn ang="T109">
              <a:pos x="T6" y="T7"/>
            </a:cxn>
            <a:cxn ang="T110">
              <a:pos x="T8" y="T9"/>
            </a:cxn>
            <a:cxn ang="T111">
              <a:pos x="T10" y="T11"/>
            </a:cxn>
            <a:cxn ang="T112">
              <a:pos x="T12" y="T13"/>
            </a:cxn>
            <a:cxn ang="T113">
              <a:pos x="T14" y="T15"/>
            </a:cxn>
            <a:cxn ang="T114">
              <a:pos x="T16" y="T17"/>
            </a:cxn>
            <a:cxn ang="T115">
              <a:pos x="T18" y="T19"/>
            </a:cxn>
            <a:cxn ang="T116">
              <a:pos x="T20" y="T21"/>
            </a:cxn>
            <a:cxn ang="T117">
              <a:pos x="T22" y="T23"/>
            </a:cxn>
            <a:cxn ang="T118">
              <a:pos x="T24" y="T25"/>
            </a:cxn>
            <a:cxn ang="T119">
              <a:pos x="T26" y="T27"/>
            </a:cxn>
            <a:cxn ang="T120">
              <a:pos x="T28" y="T29"/>
            </a:cxn>
            <a:cxn ang="T121">
              <a:pos x="T30" y="T31"/>
            </a:cxn>
            <a:cxn ang="T122">
              <a:pos x="T32" y="T33"/>
            </a:cxn>
            <a:cxn ang="T123">
              <a:pos x="T34" y="T35"/>
            </a:cxn>
            <a:cxn ang="T124">
              <a:pos x="T36" y="T37"/>
            </a:cxn>
            <a:cxn ang="T125">
              <a:pos x="T38" y="T39"/>
            </a:cxn>
            <a:cxn ang="T126">
              <a:pos x="T40" y="T41"/>
            </a:cxn>
            <a:cxn ang="T127">
              <a:pos x="T42" y="T43"/>
            </a:cxn>
            <a:cxn ang="T128">
              <a:pos x="T44" y="T45"/>
            </a:cxn>
            <a:cxn ang="T129">
              <a:pos x="T46" y="T47"/>
            </a:cxn>
            <a:cxn ang="T130">
              <a:pos x="T48" y="T49"/>
            </a:cxn>
            <a:cxn ang="T131">
              <a:pos x="T50" y="T51"/>
            </a:cxn>
            <a:cxn ang="T132">
              <a:pos x="T52" y="T53"/>
            </a:cxn>
            <a:cxn ang="T133">
              <a:pos x="T54" y="T55"/>
            </a:cxn>
            <a:cxn ang="T134">
              <a:pos x="T56" y="T57"/>
            </a:cxn>
            <a:cxn ang="T135">
              <a:pos x="T58" y="T59"/>
            </a:cxn>
            <a:cxn ang="T136">
              <a:pos x="T60" y="T61"/>
            </a:cxn>
            <a:cxn ang="T137">
              <a:pos x="T62" y="T63"/>
            </a:cxn>
            <a:cxn ang="T138">
              <a:pos x="T64" y="T65"/>
            </a:cxn>
            <a:cxn ang="T139">
              <a:pos x="T66" y="T67"/>
            </a:cxn>
            <a:cxn ang="T140">
              <a:pos x="T68" y="T69"/>
            </a:cxn>
            <a:cxn ang="T141">
              <a:pos x="T70" y="T71"/>
            </a:cxn>
            <a:cxn ang="T142">
              <a:pos x="T72" y="T73"/>
            </a:cxn>
            <a:cxn ang="T143">
              <a:pos x="T74" y="T75"/>
            </a:cxn>
            <a:cxn ang="T144">
              <a:pos x="T76" y="T77"/>
            </a:cxn>
            <a:cxn ang="T145">
              <a:pos x="T78" y="T79"/>
            </a:cxn>
            <a:cxn ang="T146">
              <a:pos x="T80" y="T81"/>
            </a:cxn>
            <a:cxn ang="T147">
              <a:pos x="T82" y="T83"/>
            </a:cxn>
            <a:cxn ang="T148">
              <a:pos x="T84" y="T85"/>
            </a:cxn>
            <a:cxn ang="T149">
              <a:pos x="T86" y="T87"/>
            </a:cxn>
            <a:cxn ang="T150">
              <a:pos x="T88" y="T89"/>
            </a:cxn>
            <a:cxn ang="T151">
              <a:pos x="T90" y="T91"/>
            </a:cxn>
            <a:cxn ang="T152">
              <a:pos x="T92" y="T93"/>
            </a:cxn>
            <a:cxn ang="T153">
              <a:pos x="T94" y="T95"/>
            </a:cxn>
            <a:cxn ang="T154">
              <a:pos x="T96" y="T97"/>
            </a:cxn>
            <a:cxn ang="T155">
              <a:pos x="T98" y="T99"/>
            </a:cxn>
            <a:cxn ang="T156">
              <a:pos x="T100" y="T101"/>
            </a:cxn>
            <a:cxn ang="T157">
              <a:pos x="T102" y="T103"/>
            </a:cxn>
            <a:cxn ang="T158">
              <a:pos x="T104" y="T105"/>
            </a:cxn>
          </a:cxnLst>
          <a:rect l="T159" t="T160" r="T161" b="T162"/>
          <a:pathLst>
            <a:path w="1248" h="1090">
              <a:moveTo>
                <a:pt x="288" y="10"/>
              </a:moveTo>
              <a:lnTo>
                <a:pt x="329" y="10"/>
              </a:lnTo>
              <a:lnTo>
                <a:pt x="331" y="8"/>
              </a:lnTo>
              <a:lnTo>
                <a:pt x="374" y="8"/>
              </a:lnTo>
              <a:lnTo>
                <a:pt x="375" y="7"/>
              </a:lnTo>
              <a:lnTo>
                <a:pt x="378" y="8"/>
              </a:lnTo>
              <a:lnTo>
                <a:pt x="414" y="7"/>
              </a:lnTo>
              <a:lnTo>
                <a:pt x="425" y="7"/>
              </a:lnTo>
              <a:lnTo>
                <a:pt x="436" y="7"/>
              </a:lnTo>
              <a:lnTo>
                <a:pt x="449" y="7"/>
              </a:lnTo>
              <a:lnTo>
                <a:pt x="472" y="7"/>
              </a:lnTo>
              <a:lnTo>
                <a:pt x="500" y="6"/>
              </a:lnTo>
              <a:lnTo>
                <a:pt x="518" y="6"/>
              </a:lnTo>
              <a:lnTo>
                <a:pt x="565" y="5"/>
              </a:lnTo>
              <a:lnTo>
                <a:pt x="572" y="5"/>
              </a:lnTo>
              <a:lnTo>
                <a:pt x="587" y="4"/>
              </a:lnTo>
              <a:lnTo>
                <a:pt x="612" y="4"/>
              </a:lnTo>
              <a:lnTo>
                <a:pt x="640" y="3"/>
              </a:lnTo>
              <a:lnTo>
                <a:pt x="658" y="3"/>
              </a:lnTo>
              <a:lnTo>
                <a:pt x="662" y="3"/>
              </a:lnTo>
              <a:lnTo>
                <a:pt x="672" y="3"/>
              </a:lnTo>
              <a:lnTo>
                <a:pt x="694" y="2"/>
              </a:lnTo>
              <a:lnTo>
                <a:pt x="701" y="2"/>
              </a:lnTo>
              <a:lnTo>
                <a:pt x="716" y="1"/>
              </a:lnTo>
              <a:lnTo>
                <a:pt x="756" y="0"/>
              </a:lnTo>
              <a:lnTo>
                <a:pt x="758" y="2"/>
              </a:lnTo>
              <a:lnTo>
                <a:pt x="759" y="3"/>
              </a:lnTo>
              <a:lnTo>
                <a:pt x="776" y="16"/>
              </a:lnTo>
              <a:lnTo>
                <a:pt x="799" y="49"/>
              </a:lnTo>
              <a:lnTo>
                <a:pt x="815" y="56"/>
              </a:lnTo>
              <a:lnTo>
                <a:pt x="812" y="57"/>
              </a:lnTo>
              <a:lnTo>
                <a:pt x="809" y="59"/>
              </a:lnTo>
              <a:lnTo>
                <a:pt x="800" y="86"/>
              </a:lnTo>
              <a:lnTo>
                <a:pt x="799" y="87"/>
              </a:lnTo>
              <a:lnTo>
                <a:pt x="797" y="97"/>
              </a:lnTo>
              <a:lnTo>
                <a:pt x="797" y="114"/>
              </a:lnTo>
              <a:lnTo>
                <a:pt x="804" y="144"/>
              </a:lnTo>
              <a:lnTo>
                <a:pt x="811" y="157"/>
              </a:lnTo>
              <a:lnTo>
                <a:pt x="809" y="174"/>
              </a:lnTo>
              <a:lnTo>
                <a:pt x="822" y="189"/>
              </a:lnTo>
              <a:lnTo>
                <a:pt x="824" y="201"/>
              </a:lnTo>
              <a:lnTo>
                <a:pt x="823" y="203"/>
              </a:lnTo>
              <a:lnTo>
                <a:pt x="834" y="218"/>
              </a:lnTo>
              <a:lnTo>
                <a:pt x="835" y="219"/>
              </a:lnTo>
              <a:lnTo>
                <a:pt x="841" y="224"/>
              </a:lnTo>
              <a:lnTo>
                <a:pt x="843" y="228"/>
              </a:lnTo>
              <a:lnTo>
                <a:pt x="860" y="240"/>
              </a:lnTo>
              <a:lnTo>
                <a:pt x="864" y="251"/>
              </a:lnTo>
              <a:lnTo>
                <a:pt x="872" y="254"/>
              </a:lnTo>
              <a:lnTo>
                <a:pt x="893" y="280"/>
              </a:lnTo>
              <a:lnTo>
                <a:pt x="904" y="287"/>
              </a:lnTo>
              <a:lnTo>
                <a:pt x="922" y="300"/>
              </a:lnTo>
              <a:lnTo>
                <a:pt x="939" y="318"/>
              </a:lnTo>
              <a:lnTo>
                <a:pt x="944" y="327"/>
              </a:lnTo>
              <a:lnTo>
                <a:pt x="951" y="351"/>
              </a:lnTo>
              <a:lnTo>
                <a:pt x="952" y="381"/>
              </a:lnTo>
              <a:lnTo>
                <a:pt x="956" y="396"/>
              </a:lnTo>
              <a:lnTo>
                <a:pt x="971" y="412"/>
              </a:lnTo>
              <a:lnTo>
                <a:pt x="977" y="410"/>
              </a:lnTo>
              <a:lnTo>
                <a:pt x="995" y="388"/>
              </a:lnTo>
              <a:lnTo>
                <a:pt x="1009" y="392"/>
              </a:lnTo>
              <a:lnTo>
                <a:pt x="1017" y="396"/>
              </a:lnTo>
              <a:lnTo>
                <a:pt x="1028" y="399"/>
              </a:lnTo>
              <a:lnTo>
                <a:pt x="1033" y="400"/>
              </a:lnTo>
              <a:lnTo>
                <a:pt x="1056" y="415"/>
              </a:lnTo>
              <a:lnTo>
                <a:pt x="1058" y="427"/>
              </a:lnTo>
              <a:lnTo>
                <a:pt x="1056" y="428"/>
              </a:lnTo>
              <a:lnTo>
                <a:pt x="1056" y="429"/>
              </a:lnTo>
              <a:lnTo>
                <a:pt x="1048" y="434"/>
              </a:lnTo>
              <a:lnTo>
                <a:pt x="1046" y="440"/>
              </a:lnTo>
              <a:lnTo>
                <a:pt x="1046" y="461"/>
              </a:lnTo>
              <a:lnTo>
                <a:pt x="1046" y="470"/>
              </a:lnTo>
              <a:lnTo>
                <a:pt x="1033" y="489"/>
              </a:lnTo>
              <a:lnTo>
                <a:pt x="1032" y="491"/>
              </a:lnTo>
              <a:lnTo>
                <a:pt x="1030" y="494"/>
              </a:lnTo>
              <a:lnTo>
                <a:pt x="1029" y="499"/>
              </a:lnTo>
              <a:lnTo>
                <a:pt x="1016" y="526"/>
              </a:lnTo>
              <a:lnTo>
                <a:pt x="1010" y="558"/>
              </a:lnTo>
              <a:lnTo>
                <a:pt x="1013" y="564"/>
              </a:lnTo>
              <a:lnTo>
                <a:pt x="1032" y="586"/>
              </a:lnTo>
              <a:lnTo>
                <a:pt x="1033" y="587"/>
              </a:lnTo>
              <a:lnTo>
                <a:pt x="1033" y="590"/>
              </a:lnTo>
              <a:lnTo>
                <a:pt x="1040" y="596"/>
              </a:lnTo>
              <a:lnTo>
                <a:pt x="1056" y="602"/>
              </a:lnTo>
              <a:lnTo>
                <a:pt x="1080" y="625"/>
              </a:lnTo>
              <a:lnTo>
                <a:pt x="1091" y="646"/>
              </a:lnTo>
              <a:lnTo>
                <a:pt x="1102" y="644"/>
              </a:lnTo>
              <a:lnTo>
                <a:pt x="1117" y="646"/>
              </a:lnTo>
              <a:lnTo>
                <a:pt x="1141" y="663"/>
              </a:lnTo>
              <a:lnTo>
                <a:pt x="1142" y="676"/>
              </a:lnTo>
              <a:lnTo>
                <a:pt x="1173" y="707"/>
              </a:lnTo>
              <a:lnTo>
                <a:pt x="1169" y="718"/>
              </a:lnTo>
              <a:lnTo>
                <a:pt x="1169" y="719"/>
              </a:lnTo>
              <a:lnTo>
                <a:pt x="1187" y="764"/>
              </a:lnTo>
              <a:lnTo>
                <a:pt x="1182" y="773"/>
              </a:lnTo>
              <a:lnTo>
                <a:pt x="1175" y="774"/>
              </a:lnTo>
              <a:lnTo>
                <a:pt x="1171" y="779"/>
              </a:lnTo>
              <a:lnTo>
                <a:pt x="1173" y="794"/>
              </a:lnTo>
              <a:lnTo>
                <a:pt x="1175" y="794"/>
              </a:lnTo>
              <a:lnTo>
                <a:pt x="1181" y="794"/>
              </a:lnTo>
              <a:lnTo>
                <a:pt x="1197" y="844"/>
              </a:lnTo>
              <a:lnTo>
                <a:pt x="1208" y="851"/>
              </a:lnTo>
              <a:lnTo>
                <a:pt x="1217" y="853"/>
              </a:lnTo>
              <a:lnTo>
                <a:pt x="1219" y="836"/>
              </a:lnTo>
              <a:lnTo>
                <a:pt x="1236" y="853"/>
              </a:lnTo>
              <a:lnTo>
                <a:pt x="1244" y="857"/>
              </a:lnTo>
              <a:lnTo>
                <a:pt x="1248" y="865"/>
              </a:lnTo>
              <a:lnTo>
                <a:pt x="1248" y="867"/>
              </a:lnTo>
              <a:lnTo>
                <a:pt x="1245" y="880"/>
              </a:lnTo>
              <a:lnTo>
                <a:pt x="1243" y="883"/>
              </a:lnTo>
              <a:lnTo>
                <a:pt x="1244" y="904"/>
              </a:lnTo>
              <a:lnTo>
                <a:pt x="1244" y="912"/>
              </a:lnTo>
              <a:lnTo>
                <a:pt x="1231" y="913"/>
              </a:lnTo>
              <a:lnTo>
                <a:pt x="1234" y="935"/>
              </a:lnTo>
              <a:lnTo>
                <a:pt x="1220" y="956"/>
              </a:lnTo>
              <a:lnTo>
                <a:pt x="1205" y="940"/>
              </a:lnTo>
              <a:lnTo>
                <a:pt x="1198" y="942"/>
              </a:lnTo>
              <a:lnTo>
                <a:pt x="1197" y="944"/>
              </a:lnTo>
              <a:lnTo>
                <a:pt x="1188" y="972"/>
              </a:lnTo>
              <a:lnTo>
                <a:pt x="1175" y="972"/>
              </a:lnTo>
              <a:lnTo>
                <a:pt x="1173" y="954"/>
              </a:lnTo>
              <a:lnTo>
                <a:pt x="1166" y="972"/>
              </a:lnTo>
              <a:lnTo>
                <a:pt x="1171" y="1001"/>
              </a:lnTo>
              <a:lnTo>
                <a:pt x="1165" y="1010"/>
              </a:lnTo>
              <a:lnTo>
                <a:pt x="1166" y="1031"/>
              </a:lnTo>
              <a:lnTo>
                <a:pt x="1136" y="1031"/>
              </a:lnTo>
              <a:lnTo>
                <a:pt x="1148" y="1046"/>
              </a:lnTo>
              <a:lnTo>
                <a:pt x="1155" y="1059"/>
              </a:lnTo>
              <a:lnTo>
                <a:pt x="1150" y="1064"/>
              </a:lnTo>
              <a:lnTo>
                <a:pt x="1129" y="1089"/>
              </a:lnTo>
              <a:lnTo>
                <a:pt x="1126" y="1089"/>
              </a:lnTo>
              <a:lnTo>
                <a:pt x="1096" y="1089"/>
              </a:lnTo>
              <a:lnTo>
                <a:pt x="1087" y="1089"/>
              </a:lnTo>
              <a:lnTo>
                <a:pt x="1049" y="1090"/>
              </a:lnTo>
              <a:lnTo>
                <a:pt x="1033" y="1090"/>
              </a:lnTo>
              <a:lnTo>
                <a:pt x="1025" y="1090"/>
              </a:lnTo>
              <a:lnTo>
                <a:pt x="1009" y="1090"/>
              </a:lnTo>
              <a:lnTo>
                <a:pt x="1024" y="1063"/>
              </a:lnTo>
              <a:lnTo>
                <a:pt x="1030" y="1061"/>
              </a:lnTo>
              <a:lnTo>
                <a:pt x="1044" y="1042"/>
              </a:lnTo>
              <a:lnTo>
                <a:pt x="1056" y="1032"/>
              </a:lnTo>
              <a:lnTo>
                <a:pt x="1051" y="972"/>
              </a:lnTo>
              <a:lnTo>
                <a:pt x="1038" y="972"/>
              </a:lnTo>
              <a:lnTo>
                <a:pt x="1033" y="972"/>
              </a:lnTo>
              <a:lnTo>
                <a:pt x="1024" y="972"/>
              </a:lnTo>
              <a:lnTo>
                <a:pt x="972" y="972"/>
              </a:lnTo>
              <a:lnTo>
                <a:pt x="946" y="972"/>
              </a:lnTo>
              <a:lnTo>
                <a:pt x="943" y="972"/>
              </a:lnTo>
              <a:lnTo>
                <a:pt x="932" y="972"/>
              </a:lnTo>
              <a:lnTo>
                <a:pt x="916" y="972"/>
              </a:lnTo>
              <a:lnTo>
                <a:pt x="893" y="972"/>
              </a:lnTo>
              <a:lnTo>
                <a:pt x="869" y="972"/>
              </a:lnTo>
              <a:lnTo>
                <a:pt x="855" y="972"/>
              </a:lnTo>
              <a:lnTo>
                <a:pt x="849" y="972"/>
              </a:lnTo>
              <a:lnTo>
                <a:pt x="817" y="972"/>
              </a:lnTo>
              <a:lnTo>
                <a:pt x="816" y="972"/>
              </a:lnTo>
              <a:lnTo>
                <a:pt x="814" y="972"/>
              </a:lnTo>
              <a:lnTo>
                <a:pt x="808" y="972"/>
              </a:lnTo>
              <a:lnTo>
                <a:pt x="799" y="972"/>
              </a:lnTo>
              <a:lnTo>
                <a:pt x="790" y="972"/>
              </a:lnTo>
              <a:lnTo>
                <a:pt x="766" y="972"/>
              </a:lnTo>
              <a:lnTo>
                <a:pt x="753" y="972"/>
              </a:lnTo>
              <a:lnTo>
                <a:pt x="705" y="972"/>
              </a:lnTo>
              <a:lnTo>
                <a:pt x="683" y="972"/>
              </a:lnTo>
              <a:lnTo>
                <a:pt x="682" y="972"/>
              </a:lnTo>
              <a:lnTo>
                <a:pt x="678" y="972"/>
              </a:lnTo>
              <a:lnTo>
                <a:pt x="635" y="972"/>
              </a:lnTo>
              <a:lnTo>
                <a:pt x="623" y="972"/>
              </a:lnTo>
              <a:lnTo>
                <a:pt x="607" y="972"/>
              </a:lnTo>
              <a:lnTo>
                <a:pt x="572" y="972"/>
              </a:lnTo>
              <a:lnTo>
                <a:pt x="565" y="972"/>
              </a:lnTo>
              <a:lnTo>
                <a:pt x="561" y="972"/>
              </a:lnTo>
              <a:lnTo>
                <a:pt x="546" y="972"/>
              </a:lnTo>
              <a:lnTo>
                <a:pt x="510" y="972"/>
              </a:lnTo>
              <a:lnTo>
                <a:pt x="490" y="972"/>
              </a:lnTo>
              <a:lnTo>
                <a:pt x="464" y="972"/>
              </a:lnTo>
              <a:lnTo>
                <a:pt x="459" y="972"/>
              </a:lnTo>
              <a:lnTo>
                <a:pt x="449" y="972"/>
              </a:lnTo>
              <a:lnTo>
                <a:pt x="436" y="972"/>
              </a:lnTo>
              <a:lnTo>
                <a:pt x="409" y="972"/>
              </a:lnTo>
              <a:lnTo>
                <a:pt x="386" y="972"/>
              </a:lnTo>
              <a:lnTo>
                <a:pt x="369" y="972"/>
              </a:lnTo>
              <a:lnTo>
                <a:pt x="357" y="972"/>
              </a:lnTo>
              <a:lnTo>
                <a:pt x="344" y="972"/>
              </a:lnTo>
              <a:lnTo>
                <a:pt x="331" y="972"/>
              </a:lnTo>
              <a:lnTo>
                <a:pt x="317" y="972"/>
              </a:lnTo>
              <a:lnTo>
                <a:pt x="261" y="972"/>
              </a:lnTo>
              <a:lnTo>
                <a:pt x="238" y="972"/>
              </a:lnTo>
              <a:lnTo>
                <a:pt x="215" y="972"/>
              </a:lnTo>
              <a:lnTo>
                <a:pt x="215" y="948"/>
              </a:lnTo>
              <a:lnTo>
                <a:pt x="215" y="937"/>
              </a:lnTo>
              <a:lnTo>
                <a:pt x="215" y="932"/>
              </a:lnTo>
              <a:lnTo>
                <a:pt x="215" y="930"/>
              </a:lnTo>
              <a:lnTo>
                <a:pt x="215" y="915"/>
              </a:lnTo>
              <a:lnTo>
                <a:pt x="215" y="909"/>
              </a:lnTo>
              <a:lnTo>
                <a:pt x="215" y="886"/>
              </a:lnTo>
              <a:lnTo>
                <a:pt x="215" y="863"/>
              </a:lnTo>
              <a:lnTo>
                <a:pt x="215" y="854"/>
              </a:lnTo>
              <a:lnTo>
                <a:pt x="215" y="853"/>
              </a:lnTo>
              <a:lnTo>
                <a:pt x="215" y="845"/>
              </a:lnTo>
              <a:lnTo>
                <a:pt x="215" y="840"/>
              </a:lnTo>
              <a:lnTo>
                <a:pt x="215" y="833"/>
              </a:lnTo>
              <a:lnTo>
                <a:pt x="215" y="814"/>
              </a:lnTo>
              <a:lnTo>
                <a:pt x="215" y="774"/>
              </a:lnTo>
              <a:lnTo>
                <a:pt x="215" y="767"/>
              </a:lnTo>
              <a:lnTo>
                <a:pt x="215" y="764"/>
              </a:lnTo>
              <a:lnTo>
                <a:pt x="216" y="735"/>
              </a:lnTo>
              <a:lnTo>
                <a:pt x="215" y="699"/>
              </a:lnTo>
              <a:lnTo>
                <a:pt x="215" y="695"/>
              </a:lnTo>
              <a:lnTo>
                <a:pt x="216" y="668"/>
              </a:lnTo>
              <a:lnTo>
                <a:pt x="216" y="632"/>
              </a:lnTo>
              <a:lnTo>
                <a:pt x="216" y="608"/>
              </a:lnTo>
              <a:lnTo>
                <a:pt x="216" y="602"/>
              </a:lnTo>
              <a:lnTo>
                <a:pt x="216" y="581"/>
              </a:lnTo>
              <a:lnTo>
                <a:pt x="216" y="558"/>
              </a:lnTo>
              <a:lnTo>
                <a:pt x="216" y="525"/>
              </a:lnTo>
              <a:lnTo>
                <a:pt x="216" y="504"/>
              </a:lnTo>
              <a:lnTo>
                <a:pt x="216" y="499"/>
              </a:lnTo>
              <a:lnTo>
                <a:pt x="217" y="470"/>
              </a:lnTo>
              <a:lnTo>
                <a:pt x="217" y="443"/>
              </a:lnTo>
              <a:lnTo>
                <a:pt x="217" y="440"/>
              </a:lnTo>
              <a:lnTo>
                <a:pt x="217" y="416"/>
              </a:lnTo>
              <a:lnTo>
                <a:pt x="217" y="403"/>
              </a:lnTo>
              <a:lnTo>
                <a:pt x="217" y="386"/>
              </a:lnTo>
              <a:lnTo>
                <a:pt x="217" y="370"/>
              </a:lnTo>
              <a:lnTo>
                <a:pt x="217" y="354"/>
              </a:lnTo>
              <a:lnTo>
                <a:pt x="217" y="352"/>
              </a:lnTo>
              <a:lnTo>
                <a:pt x="218" y="351"/>
              </a:lnTo>
              <a:lnTo>
                <a:pt x="218" y="343"/>
              </a:lnTo>
              <a:lnTo>
                <a:pt x="214" y="343"/>
              </a:lnTo>
              <a:lnTo>
                <a:pt x="191" y="340"/>
              </a:lnTo>
              <a:lnTo>
                <a:pt x="186" y="333"/>
              </a:lnTo>
              <a:lnTo>
                <a:pt x="167" y="315"/>
              </a:lnTo>
              <a:lnTo>
                <a:pt x="167" y="292"/>
              </a:lnTo>
              <a:lnTo>
                <a:pt x="150" y="281"/>
              </a:lnTo>
              <a:lnTo>
                <a:pt x="141" y="274"/>
              </a:lnTo>
              <a:lnTo>
                <a:pt x="135" y="262"/>
              </a:lnTo>
              <a:lnTo>
                <a:pt x="125" y="255"/>
              </a:lnTo>
              <a:lnTo>
                <a:pt x="134" y="233"/>
              </a:lnTo>
              <a:lnTo>
                <a:pt x="145" y="220"/>
              </a:lnTo>
              <a:lnTo>
                <a:pt x="167" y="209"/>
              </a:lnTo>
              <a:lnTo>
                <a:pt x="167" y="187"/>
              </a:lnTo>
              <a:lnTo>
                <a:pt x="157" y="174"/>
              </a:lnTo>
              <a:lnTo>
                <a:pt x="146" y="169"/>
              </a:lnTo>
              <a:lnTo>
                <a:pt x="139" y="174"/>
              </a:lnTo>
              <a:lnTo>
                <a:pt x="121" y="174"/>
              </a:lnTo>
              <a:lnTo>
                <a:pt x="87" y="144"/>
              </a:lnTo>
              <a:lnTo>
                <a:pt x="74" y="138"/>
              </a:lnTo>
              <a:lnTo>
                <a:pt x="50" y="86"/>
              </a:lnTo>
              <a:lnTo>
                <a:pt x="41" y="82"/>
              </a:lnTo>
              <a:lnTo>
                <a:pt x="27" y="71"/>
              </a:lnTo>
              <a:lnTo>
                <a:pt x="17" y="12"/>
              </a:lnTo>
              <a:lnTo>
                <a:pt x="12" y="21"/>
              </a:lnTo>
              <a:lnTo>
                <a:pt x="4" y="20"/>
              </a:lnTo>
              <a:lnTo>
                <a:pt x="0" y="7"/>
              </a:lnTo>
              <a:lnTo>
                <a:pt x="1" y="6"/>
              </a:lnTo>
              <a:lnTo>
                <a:pt x="4" y="6"/>
              </a:lnTo>
              <a:lnTo>
                <a:pt x="50" y="7"/>
              </a:lnTo>
              <a:lnTo>
                <a:pt x="74" y="7"/>
              </a:lnTo>
              <a:lnTo>
                <a:pt x="98" y="7"/>
              </a:lnTo>
              <a:lnTo>
                <a:pt x="106" y="8"/>
              </a:lnTo>
              <a:lnTo>
                <a:pt x="145" y="8"/>
              </a:lnTo>
              <a:lnTo>
                <a:pt x="160" y="8"/>
              </a:lnTo>
              <a:lnTo>
                <a:pt x="191" y="10"/>
              </a:lnTo>
              <a:lnTo>
                <a:pt x="213" y="10"/>
              </a:lnTo>
              <a:lnTo>
                <a:pt x="238" y="10"/>
              </a:lnTo>
              <a:lnTo>
                <a:pt x="243" y="10"/>
              </a:lnTo>
              <a:lnTo>
                <a:pt x="285" y="10"/>
              </a:lnTo>
              <a:lnTo>
                <a:pt x="288" y="10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pPr algn="ctr"/>
          <a:endParaRPr lang="en-US" sz="800" b="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21</xdr:col>
      <xdr:colOff>125393</xdr:colOff>
      <xdr:row>7</xdr:row>
      <xdr:rowOff>53624</xdr:rowOff>
    </xdr:from>
    <xdr:to>
      <xdr:col>22</xdr:col>
      <xdr:colOff>283983</xdr:colOff>
      <xdr:row>11</xdr:row>
      <xdr:rowOff>63762</xdr:rowOff>
    </xdr:to>
    <xdr:grpSp>
      <xdr:nvGrpSpPr>
        <xdr:cNvPr id="75" name="S_MN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GrpSpPr>
          <a:grpSpLocks/>
        </xdr:cNvGrpSpPr>
      </xdr:nvGrpSpPr>
      <xdr:grpSpPr bwMode="auto">
        <a:xfrm>
          <a:off x="12967334" y="1387124"/>
          <a:ext cx="763708" cy="772138"/>
          <a:chOff x="4663377" y="537321"/>
          <a:chExt cx="1216850" cy="1030861"/>
        </a:xfrm>
        <a:solidFill>
          <a:srgbClr val="002060"/>
        </a:solidFill>
      </xdr:grpSpPr>
      <xdr:sp macro="" textlink="">
        <xdr:nvSpPr>
          <xdr:cNvPr id="76" name="S_MN2">
            <a:extLst>
              <a:ext uri="{FF2B5EF4-FFF2-40B4-BE49-F238E27FC236}">
                <a16:creationId xmlns:a16="http://schemas.microsoft.com/office/drawing/2014/main" id="{00000000-0008-0000-0400-00004C000000}"/>
              </a:ext>
            </a:extLst>
          </xdr:cNvPr>
          <xdr:cNvSpPr>
            <a:spLocks/>
          </xdr:cNvSpPr>
        </xdr:nvSpPr>
        <xdr:spPr bwMode="auto">
          <a:xfrm>
            <a:off x="4663377" y="537321"/>
            <a:ext cx="1102770" cy="1030861"/>
          </a:xfrm>
          <a:custGeom>
            <a:avLst/>
            <a:gdLst>
              <a:gd name="T0" fmla="*/ 2147483647 w 1441"/>
              <a:gd name="T1" fmla="*/ 2147483647 h 1390"/>
              <a:gd name="T2" fmla="*/ 2147483647 w 1441"/>
              <a:gd name="T3" fmla="*/ 2147483647 h 1390"/>
              <a:gd name="T4" fmla="*/ 2147483647 w 1441"/>
              <a:gd name="T5" fmla="*/ 2147483647 h 1390"/>
              <a:gd name="T6" fmla="*/ 2147483647 w 1441"/>
              <a:gd name="T7" fmla="*/ 2147483647 h 1390"/>
              <a:gd name="T8" fmla="*/ 2147483647 w 1441"/>
              <a:gd name="T9" fmla="*/ 2147483647 h 1390"/>
              <a:gd name="T10" fmla="*/ 2147483647 w 1441"/>
              <a:gd name="T11" fmla="*/ 2147483647 h 1390"/>
              <a:gd name="T12" fmla="*/ 2147483647 w 1441"/>
              <a:gd name="T13" fmla="*/ 2147483647 h 1390"/>
              <a:gd name="T14" fmla="*/ 2147483647 w 1441"/>
              <a:gd name="T15" fmla="*/ 2147483647 h 1390"/>
              <a:gd name="T16" fmla="*/ 2147483647 w 1441"/>
              <a:gd name="T17" fmla="*/ 2147483647 h 1390"/>
              <a:gd name="T18" fmla="*/ 2147483647 w 1441"/>
              <a:gd name="T19" fmla="*/ 2147483647 h 1390"/>
              <a:gd name="T20" fmla="*/ 2147483647 w 1441"/>
              <a:gd name="T21" fmla="*/ 2147483647 h 1390"/>
              <a:gd name="T22" fmla="*/ 2147483647 w 1441"/>
              <a:gd name="T23" fmla="*/ 2147483647 h 1390"/>
              <a:gd name="T24" fmla="*/ 2147483647 w 1441"/>
              <a:gd name="T25" fmla="*/ 2147483647 h 1390"/>
              <a:gd name="T26" fmla="*/ 2147483647 w 1441"/>
              <a:gd name="T27" fmla="*/ 2147483647 h 1390"/>
              <a:gd name="T28" fmla="*/ 2147483647 w 1441"/>
              <a:gd name="T29" fmla="*/ 2147483647 h 1390"/>
              <a:gd name="T30" fmla="*/ 2147483647 w 1441"/>
              <a:gd name="T31" fmla="*/ 2147483647 h 1390"/>
              <a:gd name="T32" fmla="*/ 2147483647 w 1441"/>
              <a:gd name="T33" fmla="*/ 2147483647 h 1390"/>
              <a:gd name="T34" fmla="*/ 2147483647 w 1441"/>
              <a:gd name="T35" fmla="*/ 2147483647 h 1390"/>
              <a:gd name="T36" fmla="*/ 2147483647 w 1441"/>
              <a:gd name="T37" fmla="*/ 2147483647 h 1390"/>
              <a:gd name="T38" fmla="*/ 2147483647 w 1441"/>
              <a:gd name="T39" fmla="*/ 2147483647 h 1390"/>
              <a:gd name="T40" fmla="*/ 2147483647 w 1441"/>
              <a:gd name="T41" fmla="*/ 2147483647 h 1390"/>
              <a:gd name="T42" fmla="*/ 2147483647 w 1441"/>
              <a:gd name="T43" fmla="*/ 2147483647 h 1390"/>
              <a:gd name="T44" fmla="*/ 2147483647 w 1441"/>
              <a:gd name="T45" fmla="*/ 2147483647 h 1390"/>
              <a:gd name="T46" fmla="*/ 2147483647 w 1441"/>
              <a:gd name="T47" fmla="*/ 2147483647 h 1390"/>
              <a:gd name="T48" fmla="*/ 2147483647 w 1441"/>
              <a:gd name="T49" fmla="*/ 2147483647 h 1390"/>
              <a:gd name="T50" fmla="*/ 2147483647 w 1441"/>
              <a:gd name="T51" fmla="*/ 2147483647 h 1390"/>
              <a:gd name="T52" fmla="*/ 2147483647 w 1441"/>
              <a:gd name="T53" fmla="*/ 2147483647 h 1390"/>
              <a:gd name="T54" fmla="*/ 2147483647 w 1441"/>
              <a:gd name="T55" fmla="*/ 2147483647 h 1390"/>
              <a:gd name="T56" fmla="*/ 2147483647 w 1441"/>
              <a:gd name="T57" fmla="*/ 2147483647 h 1390"/>
              <a:gd name="T58" fmla="*/ 2147483647 w 1441"/>
              <a:gd name="T59" fmla="*/ 2147483647 h 1390"/>
              <a:gd name="T60" fmla="*/ 2147483647 w 1441"/>
              <a:gd name="T61" fmla="*/ 2147483647 h 1390"/>
              <a:gd name="T62" fmla="*/ 2147483647 w 1441"/>
              <a:gd name="T63" fmla="*/ 2147483647 h 1390"/>
              <a:gd name="T64" fmla="*/ 2147483647 w 1441"/>
              <a:gd name="T65" fmla="*/ 2147483647 h 1390"/>
              <a:gd name="T66" fmla="*/ 2147483647 w 1441"/>
              <a:gd name="T67" fmla="*/ 2147483647 h 1390"/>
              <a:gd name="T68" fmla="*/ 2147483647 w 1441"/>
              <a:gd name="T69" fmla="*/ 2147483647 h 1390"/>
              <a:gd name="T70" fmla="*/ 2147483647 w 1441"/>
              <a:gd name="T71" fmla="*/ 2147483647 h 1390"/>
              <a:gd name="T72" fmla="*/ 2147483647 w 1441"/>
              <a:gd name="T73" fmla="*/ 2147483647 h 1390"/>
              <a:gd name="T74" fmla="*/ 2147483647 w 1441"/>
              <a:gd name="T75" fmla="*/ 2147483647 h 1390"/>
              <a:gd name="T76" fmla="*/ 2147483647 w 1441"/>
              <a:gd name="T77" fmla="*/ 2147483647 h 1390"/>
              <a:gd name="T78" fmla="*/ 2147483647 w 1441"/>
              <a:gd name="T79" fmla="*/ 2147483647 h 1390"/>
              <a:gd name="T80" fmla="*/ 2147483647 w 1441"/>
              <a:gd name="T81" fmla="*/ 2147483647 h 1390"/>
              <a:gd name="T82" fmla="*/ 2147483647 w 1441"/>
              <a:gd name="T83" fmla="*/ 2147483647 h 1390"/>
              <a:gd name="T84" fmla="*/ 2147483647 w 1441"/>
              <a:gd name="T85" fmla="*/ 2147483647 h 1390"/>
              <a:gd name="T86" fmla="*/ 2147483647 w 1441"/>
              <a:gd name="T87" fmla="*/ 2147483647 h 1390"/>
              <a:gd name="T88" fmla="*/ 2147483647 w 1441"/>
              <a:gd name="T89" fmla="*/ 2147483647 h 1390"/>
              <a:gd name="T90" fmla="*/ 2147483647 w 1441"/>
              <a:gd name="T91" fmla="*/ 2147483647 h 1390"/>
              <a:gd name="T92" fmla="*/ 2147483647 w 1441"/>
              <a:gd name="T93" fmla="*/ 2147483647 h 1390"/>
              <a:gd name="T94" fmla="*/ 2147483647 w 1441"/>
              <a:gd name="T95" fmla="*/ 2147483647 h 1390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w 1441"/>
              <a:gd name="T145" fmla="*/ 0 h 1390"/>
              <a:gd name="T146" fmla="*/ 1441 w 1441"/>
              <a:gd name="T147" fmla="*/ 1390 h 1390"/>
            </a:gdLst>
            <a:ahLst/>
            <a:cxnLst>
              <a:cxn ang="T96">
                <a:pos x="T0" y="T1"/>
              </a:cxn>
              <a:cxn ang="T97">
                <a:pos x="T2" y="T3"/>
              </a:cxn>
              <a:cxn ang="T98">
                <a:pos x="T4" y="T5"/>
              </a:cxn>
              <a:cxn ang="T99">
                <a:pos x="T6" y="T7"/>
              </a:cxn>
              <a:cxn ang="T100">
                <a:pos x="T8" y="T9"/>
              </a:cxn>
              <a:cxn ang="T101">
                <a:pos x="T10" y="T11"/>
              </a:cxn>
              <a:cxn ang="T102">
                <a:pos x="T12" y="T13"/>
              </a:cxn>
              <a:cxn ang="T103">
                <a:pos x="T14" y="T15"/>
              </a:cxn>
              <a:cxn ang="T104">
                <a:pos x="T16" y="T17"/>
              </a:cxn>
              <a:cxn ang="T105">
                <a:pos x="T18" y="T19"/>
              </a:cxn>
              <a:cxn ang="T106">
                <a:pos x="T20" y="T21"/>
              </a:cxn>
              <a:cxn ang="T107">
                <a:pos x="T22" y="T23"/>
              </a:cxn>
              <a:cxn ang="T108">
                <a:pos x="T24" y="T25"/>
              </a:cxn>
              <a:cxn ang="T109">
                <a:pos x="T26" y="T27"/>
              </a:cxn>
              <a:cxn ang="T110">
                <a:pos x="T28" y="T29"/>
              </a:cxn>
              <a:cxn ang="T111">
                <a:pos x="T30" y="T31"/>
              </a:cxn>
              <a:cxn ang="T112">
                <a:pos x="T32" y="T33"/>
              </a:cxn>
              <a:cxn ang="T113">
                <a:pos x="T34" y="T35"/>
              </a:cxn>
              <a:cxn ang="T114">
                <a:pos x="T36" y="T37"/>
              </a:cxn>
              <a:cxn ang="T115">
                <a:pos x="T38" y="T39"/>
              </a:cxn>
              <a:cxn ang="T116">
                <a:pos x="T40" y="T41"/>
              </a:cxn>
              <a:cxn ang="T117">
                <a:pos x="T42" y="T43"/>
              </a:cxn>
              <a:cxn ang="T118">
                <a:pos x="T44" y="T45"/>
              </a:cxn>
              <a:cxn ang="T119">
                <a:pos x="T46" y="T47"/>
              </a:cxn>
              <a:cxn ang="T120">
                <a:pos x="T48" y="T49"/>
              </a:cxn>
              <a:cxn ang="T121">
                <a:pos x="T50" y="T51"/>
              </a:cxn>
              <a:cxn ang="T122">
                <a:pos x="T52" y="T53"/>
              </a:cxn>
              <a:cxn ang="T123">
                <a:pos x="T54" y="T55"/>
              </a:cxn>
              <a:cxn ang="T124">
                <a:pos x="T56" y="T57"/>
              </a:cxn>
              <a:cxn ang="T125">
                <a:pos x="T58" y="T59"/>
              </a:cxn>
              <a:cxn ang="T126">
                <a:pos x="T60" y="T61"/>
              </a:cxn>
              <a:cxn ang="T127">
                <a:pos x="T62" y="T63"/>
              </a:cxn>
              <a:cxn ang="T128">
                <a:pos x="T64" y="T65"/>
              </a:cxn>
              <a:cxn ang="T129">
                <a:pos x="T66" y="T67"/>
              </a:cxn>
              <a:cxn ang="T130">
                <a:pos x="T68" y="T69"/>
              </a:cxn>
              <a:cxn ang="T131">
                <a:pos x="T70" y="T71"/>
              </a:cxn>
              <a:cxn ang="T132">
                <a:pos x="T72" y="T73"/>
              </a:cxn>
              <a:cxn ang="T133">
                <a:pos x="T74" y="T75"/>
              </a:cxn>
              <a:cxn ang="T134">
                <a:pos x="T76" y="T77"/>
              </a:cxn>
              <a:cxn ang="T135">
                <a:pos x="T78" y="T79"/>
              </a:cxn>
              <a:cxn ang="T136">
                <a:pos x="T80" y="T81"/>
              </a:cxn>
              <a:cxn ang="T137">
                <a:pos x="T82" y="T83"/>
              </a:cxn>
              <a:cxn ang="T138">
                <a:pos x="T84" y="T85"/>
              </a:cxn>
              <a:cxn ang="T139">
                <a:pos x="T86" y="T87"/>
              </a:cxn>
              <a:cxn ang="T140">
                <a:pos x="T88" y="T89"/>
              </a:cxn>
              <a:cxn ang="T141">
                <a:pos x="T90" y="T91"/>
              </a:cxn>
              <a:cxn ang="T142">
                <a:pos x="T92" y="T93"/>
              </a:cxn>
              <a:cxn ang="T143">
                <a:pos x="T94" y="T95"/>
              </a:cxn>
            </a:cxnLst>
            <a:rect l="T144" t="T145" r="T146" b="T147"/>
            <a:pathLst>
              <a:path w="1441" h="1390">
                <a:moveTo>
                  <a:pt x="146" y="1081"/>
                </a:moveTo>
                <a:lnTo>
                  <a:pt x="146" y="1040"/>
                </a:lnTo>
                <a:lnTo>
                  <a:pt x="146" y="972"/>
                </a:lnTo>
                <a:lnTo>
                  <a:pt x="143" y="958"/>
                </a:lnTo>
                <a:lnTo>
                  <a:pt x="137" y="949"/>
                </a:lnTo>
                <a:lnTo>
                  <a:pt x="114" y="939"/>
                </a:lnTo>
                <a:lnTo>
                  <a:pt x="74" y="897"/>
                </a:lnTo>
                <a:lnTo>
                  <a:pt x="71" y="887"/>
                </a:lnTo>
                <a:lnTo>
                  <a:pt x="108" y="858"/>
                </a:lnTo>
                <a:lnTo>
                  <a:pt x="125" y="814"/>
                </a:lnTo>
                <a:lnTo>
                  <a:pt x="122" y="799"/>
                </a:lnTo>
                <a:lnTo>
                  <a:pt x="122" y="794"/>
                </a:lnTo>
                <a:lnTo>
                  <a:pt x="114" y="717"/>
                </a:lnTo>
                <a:lnTo>
                  <a:pt x="91" y="681"/>
                </a:lnTo>
                <a:lnTo>
                  <a:pt x="85" y="652"/>
                </a:lnTo>
                <a:lnTo>
                  <a:pt x="84" y="651"/>
                </a:lnTo>
                <a:lnTo>
                  <a:pt x="80" y="651"/>
                </a:lnTo>
                <a:lnTo>
                  <a:pt x="85" y="593"/>
                </a:lnTo>
                <a:lnTo>
                  <a:pt x="76" y="563"/>
                </a:lnTo>
                <a:lnTo>
                  <a:pt x="73" y="528"/>
                </a:lnTo>
                <a:lnTo>
                  <a:pt x="74" y="519"/>
                </a:lnTo>
                <a:lnTo>
                  <a:pt x="74" y="507"/>
                </a:lnTo>
                <a:lnTo>
                  <a:pt x="72" y="485"/>
                </a:lnTo>
                <a:lnTo>
                  <a:pt x="75" y="484"/>
                </a:lnTo>
                <a:lnTo>
                  <a:pt x="70" y="476"/>
                </a:lnTo>
                <a:lnTo>
                  <a:pt x="72" y="474"/>
                </a:lnTo>
                <a:lnTo>
                  <a:pt x="72" y="445"/>
                </a:lnTo>
                <a:lnTo>
                  <a:pt x="71" y="444"/>
                </a:lnTo>
                <a:lnTo>
                  <a:pt x="67" y="416"/>
                </a:lnTo>
                <a:lnTo>
                  <a:pt x="64" y="405"/>
                </a:lnTo>
                <a:lnTo>
                  <a:pt x="39" y="356"/>
                </a:lnTo>
                <a:lnTo>
                  <a:pt x="21" y="288"/>
                </a:lnTo>
                <a:lnTo>
                  <a:pt x="15" y="286"/>
                </a:lnTo>
                <a:lnTo>
                  <a:pt x="16" y="280"/>
                </a:lnTo>
                <a:lnTo>
                  <a:pt x="21" y="277"/>
                </a:lnTo>
                <a:lnTo>
                  <a:pt x="18" y="227"/>
                </a:lnTo>
                <a:lnTo>
                  <a:pt x="13" y="199"/>
                </a:lnTo>
                <a:lnTo>
                  <a:pt x="13" y="198"/>
                </a:lnTo>
                <a:lnTo>
                  <a:pt x="8" y="123"/>
                </a:lnTo>
                <a:lnTo>
                  <a:pt x="10" y="120"/>
                </a:lnTo>
                <a:lnTo>
                  <a:pt x="0" y="90"/>
                </a:lnTo>
                <a:lnTo>
                  <a:pt x="154" y="90"/>
                </a:lnTo>
                <a:lnTo>
                  <a:pt x="357" y="91"/>
                </a:lnTo>
                <a:lnTo>
                  <a:pt x="389" y="90"/>
                </a:lnTo>
                <a:lnTo>
                  <a:pt x="389" y="0"/>
                </a:lnTo>
                <a:lnTo>
                  <a:pt x="425" y="3"/>
                </a:lnTo>
                <a:lnTo>
                  <a:pt x="452" y="15"/>
                </a:lnTo>
                <a:lnTo>
                  <a:pt x="474" y="140"/>
                </a:lnTo>
                <a:lnTo>
                  <a:pt x="495" y="157"/>
                </a:lnTo>
                <a:lnTo>
                  <a:pt x="524" y="161"/>
                </a:lnTo>
                <a:lnTo>
                  <a:pt x="552" y="162"/>
                </a:lnTo>
                <a:lnTo>
                  <a:pt x="558" y="171"/>
                </a:lnTo>
                <a:lnTo>
                  <a:pt x="634" y="178"/>
                </a:lnTo>
                <a:lnTo>
                  <a:pt x="643" y="204"/>
                </a:lnTo>
                <a:lnTo>
                  <a:pt x="689" y="201"/>
                </a:lnTo>
                <a:lnTo>
                  <a:pt x="706" y="193"/>
                </a:lnTo>
                <a:lnTo>
                  <a:pt x="704" y="187"/>
                </a:lnTo>
                <a:lnTo>
                  <a:pt x="753" y="174"/>
                </a:lnTo>
                <a:lnTo>
                  <a:pt x="775" y="179"/>
                </a:lnTo>
                <a:lnTo>
                  <a:pt x="800" y="178"/>
                </a:lnTo>
                <a:lnTo>
                  <a:pt x="842" y="199"/>
                </a:lnTo>
                <a:lnTo>
                  <a:pt x="860" y="198"/>
                </a:lnTo>
                <a:lnTo>
                  <a:pt x="862" y="224"/>
                </a:lnTo>
                <a:lnTo>
                  <a:pt x="885" y="223"/>
                </a:lnTo>
                <a:lnTo>
                  <a:pt x="908" y="273"/>
                </a:lnTo>
                <a:lnTo>
                  <a:pt x="928" y="268"/>
                </a:lnTo>
                <a:lnTo>
                  <a:pt x="924" y="246"/>
                </a:lnTo>
                <a:lnTo>
                  <a:pt x="963" y="242"/>
                </a:lnTo>
                <a:lnTo>
                  <a:pt x="978" y="250"/>
                </a:lnTo>
                <a:lnTo>
                  <a:pt x="982" y="268"/>
                </a:lnTo>
                <a:lnTo>
                  <a:pt x="1016" y="278"/>
                </a:lnTo>
                <a:lnTo>
                  <a:pt x="1072" y="311"/>
                </a:lnTo>
                <a:lnTo>
                  <a:pt x="1114" y="308"/>
                </a:lnTo>
                <a:lnTo>
                  <a:pt x="1159" y="283"/>
                </a:lnTo>
                <a:lnTo>
                  <a:pt x="1195" y="269"/>
                </a:lnTo>
                <a:lnTo>
                  <a:pt x="1212" y="305"/>
                </a:lnTo>
                <a:lnTo>
                  <a:pt x="1235" y="301"/>
                </a:lnTo>
                <a:lnTo>
                  <a:pt x="1289" y="304"/>
                </a:lnTo>
                <a:lnTo>
                  <a:pt x="1325" y="301"/>
                </a:lnTo>
                <a:lnTo>
                  <a:pt x="1375" y="330"/>
                </a:lnTo>
                <a:lnTo>
                  <a:pt x="1399" y="321"/>
                </a:lnTo>
                <a:lnTo>
                  <a:pt x="1441" y="324"/>
                </a:lnTo>
                <a:lnTo>
                  <a:pt x="1353" y="368"/>
                </a:lnTo>
                <a:lnTo>
                  <a:pt x="1259" y="395"/>
                </a:lnTo>
                <a:lnTo>
                  <a:pt x="1212" y="417"/>
                </a:lnTo>
                <a:lnTo>
                  <a:pt x="1161" y="453"/>
                </a:lnTo>
                <a:lnTo>
                  <a:pt x="1119" y="495"/>
                </a:lnTo>
                <a:lnTo>
                  <a:pt x="1095" y="517"/>
                </a:lnTo>
                <a:lnTo>
                  <a:pt x="1017" y="577"/>
                </a:lnTo>
                <a:lnTo>
                  <a:pt x="978" y="601"/>
                </a:lnTo>
                <a:lnTo>
                  <a:pt x="966" y="622"/>
                </a:lnTo>
                <a:lnTo>
                  <a:pt x="977" y="631"/>
                </a:lnTo>
                <a:lnTo>
                  <a:pt x="961" y="622"/>
                </a:lnTo>
                <a:lnTo>
                  <a:pt x="931" y="644"/>
                </a:lnTo>
                <a:lnTo>
                  <a:pt x="924" y="642"/>
                </a:lnTo>
                <a:lnTo>
                  <a:pt x="924" y="652"/>
                </a:lnTo>
                <a:lnTo>
                  <a:pt x="924" y="681"/>
                </a:lnTo>
                <a:lnTo>
                  <a:pt x="924" y="701"/>
                </a:lnTo>
                <a:lnTo>
                  <a:pt x="924" y="762"/>
                </a:lnTo>
                <a:lnTo>
                  <a:pt x="924" y="781"/>
                </a:lnTo>
                <a:lnTo>
                  <a:pt x="838" y="837"/>
                </a:lnTo>
                <a:lnTo>
                  <a:pt x="821" y="863"/>
                </a:lnTo>
                <a:lnTo>
                  <a:pt x="820" y="864"/>
                </a:lnTo>
                <a:lnTo>
                  <a:pt x="813" y="883"/>
                </a:lnTo>
                <a:lnTo>
                  <a:pt x="838" y="904"/>
                </a:lnTo>
                <a:lnTo>
                  <a:pt x="846" y="917"/>
                </a:lnTo>
                <a:lnTo>
                  <a:pt x="838" y="966"/>
                </a:lnTo>
                <a:lnTo>
                  <a:pt x="836" y="976"/>
                </a:lnTo>
                <a:lnTo>
                  <a:pt x="838" y="984"/>
                </a:lnTo>
                <a:lnTo>
                  <a:pt x="837" y="986"/>
                </a:lnTo>
                <a:lnTo>
                  <a:pt x="839" y="1006"/>
                </a:lnTo>
                <a:lnTo>
                  <a:pt x="834" y="1035"/>
                </a:lnTo>
                <a:lnTo>
                  <a:pt x="835" y="1068"/>
                </a:lnTo>
                <a:lnTo>
                  <a:pt x="829" y="1095"/>
                </a:lnTo>
                <a:lnTo>
                  <a:pt x="841" y="1103"/>
                </a:lnTo>
                <a:lnTo>
                  <a:pt x="848" y="1109"/>
                </a:lnTo>
                <a:lnTo>
                  <a:pt x="885" y="1138"/>
                </a:lnTo>
                <a:lnTo>
                  <a:pt x="920" y="1144"/>
                </a:lnTo>
                <a:lnTo>
                  <a:pt x="920" y="1145"/>
                </a:lnTo>
                <a:lnTo>
                  <a:pt x="922" y="1154"/>
                </a:lnTo>
                <a:lnTo>
                  <a:pt x="932" y="1164"/>
                </a:lnTo>
                <a:lnTo>
                  <a:pt x="937" y="1168"/>
                </a:lnTo>
                <a:lnTo>
                  <a:pt x="955" y="1172"/>
                </a:lnTo>
                <a:lnTo>
                  <a:pt x="962" y="1175"/>
                </a:lnTo>
                <a:lnTo>
                  <a:pt x="978" y="1183"/>
                </a:lnTo>
                <a:lnTo>
                  <a:pt x="1000" y="1213"/>
                </a:lnTo>
                <a:lnTo>
                  <a:pt x="1005" y="1226"/>
                </a:lnTo>
                <a:lnTo>
                  <a:pt x="1032" y="1243"/>
                </a:lnTo>
                <a:lnTo>
                  <a:pt x="1049" y="1259"/>
                </a:lnTo>
                <a:lnTo>
                  <a:pt x="1061" y="1266"/>
                </a:lnTo>
                <a:lnTo>
                  <a:pt x="1072" y="1268"/>
                </a:lnTo>
                <a:lnTo>
                  <a:pt x="1083" y="1271"/>
                </a:lnTo>
                <a:lnTo>
                  <a:pt x="1085" y="1276"/>
                </a:lnTo>
                <a:lnTo>
                  <a:pt x="1095" y="1284"/>
                </a:lnTo>
                <a:lnTo>
                  <a:pt x="1110" y="1306"/>
                </a:lnTo>
                <a:lnTo>
                  <a:pt x="1112" y="1308"/>
                </a:lnTo>
                <a:lnTo>
                  <a:pt x="1119" y="1324"/>
                </a:lnTo>
                <a:lnTo>
                  <a:pt x="1119" y="1328"/>
                </a:lnTo>
                <a:lnTo>
                  <a:pt x="1118" y="1337"/>
                </a:lnTo>
                <a:lnTo>
                  <a:pt x="1115" y="1362"/>
                </a:lnTo>
                <a:lnTo>
                  <a:pt x="1122" y="1370"/>
                </a:lnTo>
                <a:lnTo>
                  <a:pt x="1125" y="1389"/>
                </a:lnTo>
                <a:lnTo>
                  <a:pt x="1119" y="1389"/>
                </a:lnTo>
                <a:lnTo>
                  <a:pt x="1105" y="1389"/>
                </a:lnTo>
                <a:lnTo>
                  <a:pt x="1051" y="1389"/>
                </a:lnTo>
                <a:lnTo>
                  <a:pt x="1049" y="1389"/>
                </a:lnTo>
                <a:lnTo>
                  <a:pt x="1029" y="1389"/>
                </a:lnTo>
                <a:lnTo>
                  <a:pt x="963" y="1389"/>
                </a:lnTo>
                <a:lnTo>
                  <a:pt x="895" y="1389"/>
                </a:lnTo>
                <a:lnTo>
                  <a:pt x="875" y="1389"/>
                </a:lnTo>
                <a:lnTo>
                  <a:pt x="791" y="1390"/>
                </a:lnTo>
                <a:lnTo>
                  <a:pt x="787" y="1390"/>
                </a:lnTo>
                <a:lnTo>
                  <a:pt x="783" y="1390"/>
                </a:lnTo>
                <a:lnTo>
                  <a:pt x="722" y="1390"/>
                </a:lnTo>
                <a:lnTo>
                  <a:pt x="717" y="1390"/>
                </a:lnTo>
                <a:lnTo>
                  <a:pt x="698" y="1390"/>
                </a:lnTo>
                <a:lnTo>
                  <a:pt x="670" y="1390"/>
                </a:lnTo>
                <a:lnTo>
                  <a:pt x="632" y="1390"/>
                </a:lnTo>
                <a:lnTo>
                  <a:pt x="627" y="1390"/>
                </a:lnTo>
                <a:lnTo>
                  <a:pt x="610" y="1390"/>
                </a:lnTo>
                <a:lnTo>
                  <a:pt x="608" y="1390"/>
                </a:lnTo>
                <a:lnTo>
                  <a:pt x="604" y="1390"/>
                </a:lnTo>
                <a:lnTo>
                  <a:pt x="558" y="1389"/>
                </a:lnTo>
                <a:lnTo>
                  <a:pt x="534" y="1389"/>
                </a:lnTo>
                <a:lnTo>
                  <a:pt x="521" y="1389"/>
                </a:lnTo>
                <a:lnTo>
                  <a:pt x="482" y="1389"/>
                </a:lnTo>
                <a:lnTo>
                  <a:pt x="464" y="1389"/>
                </a:lnTo>
                <a:lnTo>
                  <a:pt x="444" y="1389"/>
                </a:lnTo>
                <a:lnTo>
                  <a:pt x="440" y="1389"/>
                </a:lnTo>
                <a:lnTo>
                  <a:pt x="434" y="1389"/>
                </a:lnTo>
                <a:lnTo>
                  <a:pt x="394" y="1389"/>
                </a:lnTo>
                <a:lnTo>
                  <a:pt x="371" y="1389"/>
                </a:lnTo>
                <a:lnTo>
                  <a:pt x="345" y="1389"/>
                </a:lnTo>
                <a:lnTo>
                  <a:pt x="332" y="1390"/>
                </a:lnTo>
                <a:lnTo>
                  <a:pt x="283" y="1390"/>
                </a:lnTo>
                <a:lnTo>
                  <a:pt x="277" y="1389"/>
                </a:lnTo>
                <a:lnTo>
                  <a:pt x="256" y="1389"/>
                </a:lnTo>
                <a:lnTo>
                  <a:pt x="242" y="1389"/>
                </a:lnTo>
                <a:lnTo>
                  <a:pt x="230" y="1389"/>
                </a:lnTo>
                <a:lnTo>
                  <a:pt x="221" y="1389"/>
                </a:lnTo>
                <a:lnTo>
                  <a:pt x="183" y="1389"/>
                </a:lnTo>
                <a:lnTo>
                  <a:pt x="160" y="1389"/>
                </a:lnTo>
                <a:lnTo>
                  <a:pt x="146" y="1389"/>
                </a:lnTo>
                <a:lnTo>
                  <a:pt x="146" y="1360"/>
                </a:lnTo>
                <a:lnTo>
                  <a:pt x="146" y="1330"/>
                </a:lnTo>
                <a:lnTo>
                  <a:pt x="146" y="1307"/>
                </a:lnTo>
                <a:lnTo>
                  <a:pt x="146" y="1271"/>
                </a:lnTo>
                <a:lnTo>
                  <a:pt x="146" y="1243"/>
                </a:lnTo>
                <a:lnTo>
                  <a:pt x="146" y="1225"/>
                </a:lnTo>
                <a:lnTo>
                  <a:pt x="146" y="1143"/>
                </a:lnTo>
                <a:lnTo>
                  <a:pt x="146" y="1124"/>
                </a:lnTo>
                <a:lnTo>
                  <a:pt x="146" y="1123"/>
                </a:lnTo>
                <a:lnTo>
                  <a:pt x="146" y="1081"/>
                </a:lnTo>
                <a:close/>
              </a:path>
            </a:pathLst>
          </a:custGeom>
          <a:solidFill>
            <a:srgbClr val="FFFFFF"/>
          </a:solidFill>
          <a:ln>
            <a:solidFill>
              <a:schemeClr val="bg1">
                <a:lumMod val="85000"/>
              </a:schemeClr>
            </a:solidFill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</xdr:sp>
      <xdr:sp macro="" textlink="">
        <xdr:nvSpPr>
          <xdr:cNvPr id="77" name="S_MN1">
            <a:extLst>
              <a:ext uri="{FF2B5EF4-FFF2-40B4-BE49-F238E27FC236}">
                <a16:creationId xmlns:a16="http://schemas.microsoft.com/office/drawing/2014/main" id="{00000000-0008-0000-0400-00004D000000}"/>
              </a:ext>
            </a:extLst>
          </xdr:cNvPr>
          <xdr:cNvSpPr>
            <a:spLocks/>
          </xdr:cNvSpPr>
        </xdr:nvSpPr>
        <xdr:spPr bwMode="auto">
          <a:xfrm>
            <a:off x="5842200" y="778586"/>
            <a:ext cx="38027" cy="7311"/>
          </a:xfrm>
          <a:custGeom>
            <a:avLst/>
            <a:gdLst>
              <a:gd name="T0" fmla="*/ 0 w 55"/>
              <a:gd name="T1" fmla="*/ 0 h 8"/>
              <a:gd name="T2" fmla="*/ 2147483647 w 55"/>
              <a:gd name="T3" fmla="*/ 0 h 8"/>
              <a:gd name="T4" fmla="*/ 2147483647 w 55"/>
              <a:gd name="T5" fmla="*/ 2147483647 h 8"/>
              <a:gd name="T6" fmla="*/ 2147483647 w 55"/>
              <a:gd name="T7" fmla="*/ 2147483647 h 8"/>
              <a:gd name="T8" fmla="*/ 0 w 55"/>
              <a:gd name="T9" fmla="*/ 0 h 8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55"/>
              <a:gd name="T16" fmla="*/ 0 h 8"/>
              <a:gd name="T17" fmla="*/ 55 w 55"/>
              <a:gd name="T18" fmla="*/ 8 h 8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55" h="8">
                <a:moveTo>
                  <a:pt x="0" y="0"/>
                </a:moveTo>
                <a:lnTo>
                  <a:pt x="55" y="0"/>
                </a:lnTo>
                <a:lnTo>
                  <a:pt x="44" y="5"/>
                </a:lnTo>
                <a:lnTo>
                  <a:pt x="33" y="8"/>
                </a:lnTo>
                <a:lnTo>
                  <a:pt x="0" y="0"/>
                </a:lnTo>
                <a:close/>
              </a:path>
            </a:pathLst>
          </a:custGeom>
          <a:solidFill>
            <a:srgbClr val="FFFFFF"/>
          </a:solidFill>
          <a:ln>
            <a:solidFill>
              <a:schemeClr val="bg1">
                <a:lumMod val="85000"/>
              </a:schemeClr>
            </a:solidFill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</xdr:sp>
    </xdr:grpSp>
    <xdr:clientData/>
  </xdr:twoCellAnchor>
  <xdr:twoCellAnchor>
    <xdr:from>
      <xdr:col>22</xdr:col>
      <xdr:colOff>113991</xdr:colOff>
      <xdr:row>8</xdr:row>
      <xdr:rowOff>125851</xdr:rowOff>
    </xdr:from>
    <xdr:to>
      <xdr:col>23</xdr:col>
      <xdr:colOff>231045</xdr:colOff>
      <xdr:row>12</xdr:row>
      <xdr:rowOff>116322</xdr:rowOff>
    </xdr:to>
    <xdr:grpSp>
      <xdr:nvGrpSpPr>
        <xdr:cNvPr id="78" name="S_MI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GrpSpPr>
          <a:grpSpLocks/>
        </xdr:cNvGrpSpPr>
      </xdr:nvGrpSpPr>
      <xdr:grpSpPr bwMode="auto">
        <a:xfrm>
          <a:off x="13561050" y="1649851"/>
          <a:ext cx="722171" cy="752471"/>
          <a:chOff x="5628386" y="870762"/>
          <a:chExt cx="1154897" cy="998113"/>
        </a:xfrm>
      </xdr:grpSpPr>
      <xdr:sp macro="" textlink="">
        <xdr:nvSpPr>
          <xdr:cNvPr id="79" name="S_MI3">
            <a:extLst>
              <a:ext uri="{FF2B5EF4-FFF2-40B4-BE49-F238E27FC236}">
                <a16:creationId xmlns:a16="http://schemas.microsoft.com/office/drawing/2014/main" id="{00000000-0008-0000-0400-00004F000000}"/>
              </a:ext>
            </a:extLst>
          </xdr:cNvPr>
          <xdr:cNvSpPr>
            <a:spLocks/>
          </xdr:cNvSpPr>
        </xdr:nvSpPr>
        <xdr:spPr bwMode="auto">
          <a:xfrm>
            <a:off x="6459307" y="1147571"/>
            <a:ext cx="38119" cy="29138"/>
          </a:xfrm>
          <a:custGeom>
            <a:avLst/>
            <a:gdLst>
              <a:gd name="T0" fmla="*/ 0 w 48"/>
              <a:gd name="T1" fmla="*/ 2147483647 h 36"/>
              <a:gd name="T2" fmla="*/ 0 w 48"/>
              <a:gd name="T3" fmla="*/ 0 h 36"/>
              <a:gd name="T4" fmla="*/ 2147483647 w 48"/>
              <a:gd name="T5" fmla="*/ 2147483647 h 36"/>
              <a:gd name="T6" fmla="*/ 2147483647 w 48"/>
              <a:gd name="T7" fmla="*/ 2147483647 h 36"/>
              <a:gd name="T8" fmla="*/ 0 w 48"/>
              <a:gd name="T9" fmla="*/ 2147483647 h 36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48"/>
              <a:gd name="T16" fmla="*/ 0 h 36"/>
              <a:gd name="T17" fmla="*/ 48 w 48"/>
              <a:gd name="T18" fmla="*/ 36 h 36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48" h="36">
                <a:moveTo>
                  <a:pt x="0" y="8"/>
                </a:moveTo>
                <a:lnTo>
                  <a:pt x="0" y="0"/>
                </a:lnTo>
                <a:lnTo>
                  <a:pt x="48" y="31"/>
                </a:lnTo>
                <a:lnTo>
                  <a:pt x="27" y="36"/>
                </a:lnTo>
                <a:lnTo>
                  <a:pt x="0" y="8"/>
                </a:lnTo>
                <a:close/>
              </a:path>
            </a:pathLst>
          </a:custGeom>
          <a:solidFill>
            <a:srgbClr val="FFFFFF"/>
          </a:solidFill>
          <a:ln>
            <a:solidFill>
              <a:schemeClr val="bg1">
                <a:lumMod val="85000"/>
              </a:schemeClr>
            </a:solidFill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</xdr:sp>
      <xdr:sp macro="" textlink="">
        <xdr:nvSpPr>
          <xdr:cNvPr id="80" name="S_MI2">
            <a:extLst>
              <a:ext uri="{FF2B5EF4-FFF2-40B4-BE49-F238E27FC236}">
                <a16:creationId xmlns:a16="http://schemas.microsoft.com/office/drawing/2014/main" id="{00000000-0008-0000-0400-000050000000}"/>
              </a:ext>
            </a:extLst>
          </xdr:cNvPr>
          <xdr:cNvSpPr>
            <a:spLocks/>
          </xdr:cNvSpPr>
        </xdr:nvSpPr>
        <xdr:spPr bwMode="auto">
          <a:xfrm>
            <a:off x="6150511" y="1154998"/>
            <a:ext cx="632772" cy="713877"/>
          </a:xfrm>
          <a:custGeom>
            <a:avLst/>
            <a:gdLst>
              <a:gd name="T0" fmla="*/ 2147483647 w 826"/>
              <a:gd name="T1" fmla="*/ 2147483647 h 967"/>
              <a:gd name="T2" fmla="*/ 2147483647 w 826"/>
              <a:gd name="T3" fmla="*/ 2147483647 h 967"/>
              <a:gd name="T4" fmla="*/ 2147483647 w 826"/>
              <a:gd name="T5" fmla="*/ 2147483647 h 967"/>
              <a:gd name="T6" fmla="*/ 2147483647 w 826"/>
              <a:gd name="T7" fmla="*/ 2147483647 h 967"/>
              <a:gd name="T8" fmla="*/ 2147483647 w 826"/>
              <a:gd name="T9" fmla="*/ 2147483647 h 967"/>
              <a:gd name="T10" fmla="*/ 2147483647 w 826"/>
              <a:gd name="T11" fmla="*/ 2147483647 h 967"/>
              <a:gd name="T12" fmla="*/ 2147483647 w 826"/>
              <a:gd name="T13" fmla="*/ 2147483647 h 967"/>
              <a:gd name="T14" fmla="*/ 2147483647 w 826"/>
              <a:gd name="T15" fmla="*/ 2147483647 h 967"/>
              <a:gd name="T16" fmla="*/ 2147483647 w 826"/>
              <a:gd name="T17" fmla="*/ 2147483647 h 967"/>
              <a:gd name="T18" fmla="*/ 2147483647 w 826"/>
              <a:gd name="T19" fmla="*/ 2147483647 h 967"/>
              <a:gd name="T20" fmla="*/ 2147483647 w 826"/>
              <a:gd name="T21" fmla="*/ 2147483647 h 967"/>
              <a:gd name="T22" fmla="*/ 2147483647 w 826"/>
              <a:gd name="T23" fmla="*/ 2147483647 h 967"/>
              <a:gd name="T24" fmla="*/ 2147483647 w 826"/>
              <a:gd name="T25" fmla="*/ 2147483647 h 967"/>
              <a:gd name="T26" fmla="*/ 2147483647 w 826"/>
              <a:gd name="T27" fmla="*/ 2147483647 h 967"/>
              <a:gd name="T28" fmla="*/ 2147483647 w 826"/>
              <a:gd name="T29" fmla="*/ 2147483647 h 967"/>
              <a:gd name="T30" fmla="*/ 2147483647 w 826"/>
              <a:gd name="T31" fmla="*/ 2147483647 h 967"/>
              <a:gd name="T32" fmla="*/ 2147483647 w 826"/>
              <a:gd name="T33" fmla="*/ 2147483647 h 967"/>
              <a:gd name="T34" fmla="*/ 2147483647 w 826"/>
              <a:gd name="T35" fmla="*/ 2147483647 h 967"/>
              <a:gd name="T36" fmla="*/ 2147483647 w 826"/>
              <a:gd name="T37" fmla="*/ 2147483647 h 967"/>
              <a:gd name="T38" fmla="*/ 2147483647 w 826"/>
              <a:gd name="T39" fmla="*/ 2147483647 h 967"/>
              <a:gd name="T40" fmla="*/ 2147483647 w 826"/>
              <a:gd name="T41" fmla="*/ 2147483647 h 967"/>
              <a:gd name="T42" fmla="*/ 2147483647 w 826"/>
              <a:gd name="T43" fmla="*/ 2147483647 h 967"/>
              <a:gd name="T44" fmla="*/ 2147483647 w 826"/>
              <a:gd name="T45" fmla="*/ 2147483647 h 967"/>
              <a:gd name="T46" fmla="*/ 2147483647 w 826"/>
              <a:gd name="T47" fmla="*/ 2147483647 h 967"/>
              <a:gd name="T48" fmla="*/ 2147483647 w 826"/>
              <a:gd name="T49" fmla="*/ 2147483647 h 967"/>
              <a:gd name="T50" fmla="*/ 2147483647 w 826"/>
              <a:gd name="T51" fmla="*/ 2147483647 h 967"/>
              <a:gd name="T52" fmla="*/ 2147483647 w 826"/>
              <a:gd name="T53" fmla="*/ 2147483647 h 967"/>
              <a:gd name="T54" fmla="*/ 2147483647 w 826"/>
              <a:gd name="T55" fmla="*/ 2147483647 h 967"/>
              <a:gd name="T56" fmla="*/ 2147483647 w 826"/>
              <a:gd name="T57" fmla="*/ 2147483647 h 967"/>
              <a:gd name="T58" fmla="*/ 2147483647 w 826"/>
              <a:gd name="T59" fmla="*/ 2147483647 h 967"/>
              <a:gd name="T60" fmla="*/ 2147483647 w 826"/>
              <a:gd name="T61" fmla="*/ 2147483647 h 967"/>
              <a:gd name="T62" fmla="*/ 2147483647 w 826"/>
              <a:gd name="T63" fmla="*/ 2147483647 h 967"/>
              <a:gd name="T64" fmla="*/ 2147483647 w 826"/>
              <a:gd name="T65" fmla="*/ 2147483647 h 967"/>
              <a:gd name="T66" fmla="*/ 2147483647 w 826"/>
              <a:gd name="T67" fmla="*/ 2147483647 h 967"/>
              <a:gd name="T68" fmla="*/ 2147483647 w 826"/>
              <a:gd name="T69" fmla="*/ 2147483647 h 967"/>
              <a:gd name="T70" fmla="*/ 2147483647 w 826"/>
              <a:gd name="T71" fmla="*/ 2147483647 h 967"/>
              <a:gd name="T72" fmla="*/ 2147483647 w 826"/>
              <a:gd name="T73" fmla="*/ 2147483647 h 967"/>
              <a:gd name="T74" fmla="*/ 2147483647 w 826"/>
              <a:gd name="T75" fmla="*/ 2147483647 h 967"/>
              <a:gd name="T76" fmla="*/ 2147483647 w 826"/>
              <a:gd name="T77" fmla="*/ 2147483647 h 967"/>
              <a:gd name="T78" fmla="*/ 2147483647 w 826"/>
              <a:gd name="T79" fmla="*/ 2147483647 h 967"/>
              <a:gd name="T80" fmla="*/ 2147483647 w 826"/>
              <a:gd name="T81" fmla="*/ 2147483647 h 967"/>
              <a:gd name="T82" fmla="*/ 2147483647 w 826"/>
              <a:gd name="T83" fmla="*/ 2147483647 h 967"/>
              <a:gd name="T84" fmla="*/ 2147483647 w 826"/>
              <a:gd name="T85" fmla="*/ 2147483647 h 967"/>
              <a:gd name="T86" fmla="*/ 2147483647 w 826"/>
              <a:gd name="T87" fmla="*/ 2147483647 h 967"/>
              <a:gd name="T88" fmla="*/ 2147483647 w 826"/>
              <a:gd name="T89" fmla="*/ 2147483647 h 967"/>
              <a:gd name="T90" fmla="*/ 2147483647 w 826"/>
              <a:gd name="T91" fmla="*/ 2147483647 h 967"/>
              <a:gd name="T92" fmla="*/ 2147483647 w 826"/>
              <a:gd name="T93" fmla="*/ 2147483647 h 967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w 826"/>
              <a:gd name="T142" fmla="*/ 0 h 967"/>
              <a:gd name="T143" fmla="*/ 826 w 826"/>
              <a:gd name="T144" fmla="*/ 967 h 967"/>
            </a:gdLst>
            <a:ahLst/>
            <a:cxnLst>
              <a:cxn ang="T94">
                <a:pos x="T0" y="T1"/>
              </a:cxn>
              <a:cxn ang="T95">
                <a:pos x="T2" y="T3"/>
              </a:cxn>
              <a:cxn ang="T96">
                <a:pos x="T4" y="T5"/>
              </a:cxn>
              <a:cxn ang="T97">
                <a:pos x="T6" y="T7"/>
              </a:cxn>
              <a:cxn ang="T98">
                <a:pos x="T8" y="T9"/>
              </a:cxn>
              <a:cxn ang="T99">
                <a:pos x="T10" y="T11"/>
              </a:cxn>
              <a:cxn ang="T100">
                <a:pos x="T12" y="T13"/>
              </a:cxn>
              <a:cxn ang="T101">
                <a:pos x="T14" y="T15"/>
              </a:cxn>
              <a:cxn ang="T102">
                <a:pos x="T16" y="T17"/>
              </a:cxn>
              <a:cxn ang="T103">
                <a:pos x="T18" y="T19"/>
              </a:cxn>
              <a:cxn ang="T104">
                <a:pos x="T20" y="T21"/>
              </a:cxn>
              <a:cxn ang="T105">
                <a:pos x="T22" y="T23"/>
              </a:cxn>
              <a:cxn ang="T106">
                <a:pos x="T24" y="T25"/>
              </a:cxn>
              <a:cxn ang="T107">
                <a:pos x="T26" y="T27"/>
              </a:cxn>
              <a:cxn ang="T108">
                <a:pos x="T28" y="T29"/>
              </a:cxn>
              <a:cxn ang="T109">
                <a:pos x="T30" y="T31"/>
              </a:cxn>
              <a:cxn ang="T110">
                <a:pos x="T32" y="T33"/>
              </a:cxn>
              <a:cxn ang="T111">
                <a:pos x="T34" y="T35"/>
              </a:cxn>
              <a:cxn ang="T112">
                <a:pos x="T36" y="T37"/>
              </a:cxn>
              <a:cxn ang="T113">
                <a:pos x="T38" y="T39"/>
              </a:cxn>
              <a:cxn ang="T114">
                <a:pos x="T40" y="T41"/>
              </a:cxn>
              <a:cxn ang="T115">
                <a:pos x="T42" y="T43"/>
              </a:cxn>
              <a:cxn ang="T116">
                <a:pos x="T44" y="T45"/>
              </a:cxn>
              <a:cxn ang="T117">
                <a:pos x="T46" y="T47"/>
              </a:cxn>
              <a:cxn ang="T118">
                <a:pos x="T48" y="T49"/>
              </a:cxn>
              <a:cxn ang="T119">
                <a:pos x="T50" y="T51"/>
              </a:cxn>
              <a:cxn ang="T120">
                <a:pos x="T52" y="T53"/>
              </a:cxn>
              <a:cxn ang="T121">
                <a:pos x="T54" y="T55"/>
              </a:cxn>
              <a:cxn ang="T122">
                <a:pos x="T56" y="T57"/>
              </a:cxn>
              <a:cxn ang="T123">
                <a:pos x="T58" y="T59"/>
              </a:cxn>
              <a:cxn ang="T124">
                <a:pos x="T60" y="T61"/>
              </a:cxn>
              <a:cxn ang="T125">
                <a:pos x="T62" y="T63"/>
              </a:cxn>
              <a:cxn ang="T126">
                <a:pos x="T64" y="T65"/>
              </a:cxn>
              <a:cxn ang="T127">
                <a:pos x="T66" y="T67"/>
              </a:cxn>
              <a:cxn ang="T128">
                <a:pos x="T68" y="T69"/>
              </a:cxn>
              <a:cxn ang="T129">
                <a:pos x="T70" y="T71"/>
              </a:cxn>
              <a:cxn ang="T130">
                <a:pos x="T72" y="T73"/>
              </a:cxn>
              <a:cxn ang="T131">
                <a:pos x="T74" y="T75"/>
              </a:cxn>
              <a:cxn ang="T132">
                <a:pos x="T76" y="T77"/>
              </a:cxn>
              <a:cxn ang="T133">
                <a:pos x="T78" y="T79"/>
              </a:cxn>
              <a:cxn ang="T134">
                <a:pos x="T80" y="T81"/>
              </a:cxn>
              <a:cxn ang="T135">
                <a:pos x="T82" y="T83"/>
              </a:cxn>
              <a:cxn ang="T136">
                <a:pos x="T84" y="T85"/>
              </a:cxn>
              <a:cxn ang="T137">
                <a:pos x="T86" y="T87"/>
              </a:cxn>
              <a:cxn ang="T138">
                <a:pos x="T88" y="T89"/>
              </a:cxn>
              <a:cxn ang="T139">
                <a:pos x="T90" y="T91"/>
              </a:cxn>
              <a:cxn ang="T140">
                <a:pos x="T92" y="T93"/>
              </a:cxn>
            </a:cxnLst>
            <a:rect l="T141" t="T142" r="T143" b="T144"/>
            <a:pathLst>
              <a:path w="826" h="967">
                <a:moveTo>
                  <a:pt x="656" y="301"/>
                </a:moveTo>
                <a:lnTo>
                  <a:pt x="623" y="357"/>
                </a:lnTo>
                <a:lnTo>
                  <a:pt x="615" y="364"/>
                </a:lnTo>
                <a:lnTo>
                  <a:pt x="610" y="384"/>
                </a:lnTo>
                <a:lnTo>
                  <a:pt x="610" y="394"/>
                </a:lnTo>
                <a:lnTo>
                  <a:pt x="599" y="410"/>
                </a:lnTo>
                <a:lnTo>
                  <a:pt x="574" y="426"/>
                </a:lnTo>
                <a:lnTo>
                  <a:pt x="552" y="432"/>
                </a:lnTo>
                <a:lnTo>
                  <a:pt x="547" y="444"/>
                </a:lnTo>
                <a:lnTo>
                  <a:pt x="539" y="484"/>
                </a:lnTo>
                <a:lnTo>
                  <a:pt x="552" y="504"/>
                </a:lnTo>
                <a:lnTo>
                  <a:pt x="585" y="519"/>
                </a:lnTo>
                <a:lnTo>
                  <a:pt x="597" y="511"/>
                </a:lnTo>
                <a:lnTo>
                  <a:pt x="623" y="491"/>
                </a:lnTo>
                <a:lnTo>
                  <a:pt x="628" y="487"/>
                </a:lnTo>
                <a:lnTo>
                  <a:pt x="644" y="457"/>
                </a:lnTo>
                <a:lnTo>
                  <a:pt x="654" y="451"/>
                </a:lnTo>
                <a:lnTo>
                  <a:pt x="642" y="443"/>
                </a:lnTo>
                <a:lnTo>
                  <a:pt x="661" y="438"/>
                </a:lnTo>
                <a:lnTo>
                  <a:pt x="669" y="428"/>
                </a:lnTo>
                <a:lnTo>
                  <a:pt x="692" y="422"/>
                </a:lnTo>
                <a:lnTo>
                  <a:pt x="721" y="405"/>
                </a:lnTo>
                <a:lnTo>
                  <a:pt x="733" y="405"/>
                </a:lnTo>
                <a:lnTo>
                  <a:pt x="762" y="422"/>
                </a:lnTo>
                <a:lnTo>
                  <a:pt x="778" y="452"/>
                </a:lnTo>
                <a:lnTo>
                  <a:pt x="790" y="496"/>
                </a:lnTo>
                <a:lnTo>
                  <a:pt x="804" y="570"/>
                </a:lnTo>
                <a:lnTo>
                  <a:pt x="805" y="600"/>
                </a:lnTo>
                <a:lnTo>
                  <a:pt x="809" y="619"/>
                </a:lnTo>
                <a:lnTo>
                  <a:pt x="826" y="664"/>
                </a:lnTo>
                <a:lnTo>
                  <a:pt x="808" y="745"/>
                </a:lnTo>
                <a:lnTo>
                  <a:pt x="775" y="772"/>
                </a:lnTo>
                <a:lnTo>
                  <a:pt x="776" y="748"/>
                </a:lnTo>
                <a:lnTo>
                  <a:pt x="787" y="737"/>
                </a:lnTo>
                <a:lnTo>
                  <a:pt x="767" y="734"/>
                </a:lnTo>
                <a:lnTo>
                  <a:pt x="750" y="748"/>
                </a:lnTo>
                <a:lnTo>
                  <a:pt x="738" y="777"/>
                </a:lnTo>
                <a:lnTo>
                  <a:pt x="741" y="788"/>
                </a:lnTo>
                <a:lnTo>
                  <a:pt x="730" y="812"/>
                </a:lnTo>
                <a:lnTo>
                  <a:pt x="716" y="816"/>
                </a:lnTo>
                <a:lnTo>
                  <a:pt x="692" y="839"/>
                </a:lnTo>
                <a:lnTo>
                  <a:pt x="682" y="888"/>
                </a:lnTo>
                <a:lnTo>
                  <a:pt x="645" y="925"/>
                </a:lnTo>
                <a:lnTo>
                  <a:pt x="637" y="955"/>
                </a:lnTo>
                <a:lnTo>
                  <a:pt x="631" y="959"/>
                </a:lnTo>
                <a:lnTo>
                  <a:pt x="611" y="959"/>
                </a:lnTo>
                <a:lnTo>
                  <a:pt x="605" y="959"/>
                </a:lnTo>
                <a:lnTo>
                  <a:pt x="574" y="961"/>
                </a:lnTo>
                <a:lnTo>
                  <a:pt x="551" y="961"/>
                </a:lnTo>
                <a:lnTo>
                  <a:pt x="493" y="963"/>
                </a:lnTo>
                <a:lnTo>
                  <a:pt x="461" y="964"/>
                </a:lnTo>
                <a:lnTo>
                  <a:pt x="454" y="965"/>
                </a:lnTo>
                <a:lnTo>
                  <a:pt x="440" y="965"/>
                </a:lnTo>
                <a:lnTo>
                  <a:pt x="388" y="966"/>
                </a:lnTo>
                <a:lnTo>
                  <a:pt x="378" y="967"/>
                </a:lnTo>
                <a:lnTo>
                  <a:pt x="378" y="952"/>
                </a:lnTo>
                <a:lnTo>
                  <a:pt x="374" y="952"/>
                </a:lnTo>
                <a:lnTo>
                  <a:pt x="341" y="952"/>
                </a:lnTo>
                <a:lnTo>
                  <a:pt x="319" y="952"/>
                </a:lnTo>
                <a:lnTo>
                  <a:pt x="305" y="952"/>
                </a:lnTo>
                <a:lnTo>
                  <a:pt x="300" y="952"/>
                </a:lnTo>
                <a:lnTo>
                  <a:pt x="295" y="952"/>
                </a:lnTo>
                <a:lnTo>
                  <a:pt x="287" y="952"/>
                </a:lnTo>
                <a:lnTo>
                  <a:pt x="272" y="952"/>
                </a:lnTo>
                <a:lnTo>
                  <a:pt x="248" y="952"/>
                </a:lnTo>
                <a:lnTo>
                  <a:pt x="218" y="952"/>
                </a:lnTo>
                <a:lnTo>
                  <a:pt x="201" y="952"/>
                </a:lnTo>
                <a:lnTo>
                  <a:pt x="200" y="952"/>
                </a:lnTo>
                <a:lnTo>
                  <a:pt x="155" y="952"/>
                </a:lnTo>
                <a:lnTo>
                  <a:pt x="143" y="951"/>
                </a:lnTo>
                <a:lnTo>
                  <a:pt x="112" y="952"/>
                </a:lnTo>
                <a:lnTo>
                  <a:pt x="108" y="952"/>
                </a:lnTo>
                <a:lnTo>
                  <a:pt x="84" y="952"/>
                </a:lnTo>
                <a:lnTo>
                  <a:pt x="57" y="952"/>
                </a:lnTo>
                <a:lnTo>
                  <a:pt x="37" y="952"/>
                </a:lnTo>
                <a:lnTo>
                  <a:pt x="15" y="952"/>
                </a:lnTo>
                <a:lnTo>
                  <a:pt x="0" y="952"/>
                </a:lnTo>
                <a:lnTo>
                  <a:pt x="30" y="930"/>
                </a:lnTo>
                <a:lnTo>
                  <a:pt x="61" y="875"/>
                </a:lnTo>
                <a:lnTo>
                  <a:pt x="87" y="838"/>
                </a:lnTo>
                <a:lnTo>
                  <a:pt x="104" y="796"/>
                </a:lnTo>
                <a:lnTo>
                  <a:pt x="115" y="718"/>
                </a:lnTo>
                <a:lnTo>
                  <a:pt x="115" y="714"/>
                </a:lnTo>
                <a:lnTo>
                  <a:pt x="112" y="659"/>
                </a:lnTo>
                <a:lnTo>
                  <a:pt x="104" y="631"/>
                </a:lnTo>
                <a:lnTo>
                  <a:pt x="69" y="549"/>
                </a:lnTo>
                <a:lnTo>
                  <a:pt x="68" y="548"/>
                </a:lnTo>
                <a:lnTo>
                  <a:pt x="62" y="490"/>
                </a:lnTo>
                <a:lnTo>
                  <a:pt x="65" y="487"/>
                </a:lnTo>
                <a:lnTo>
                  <a:pt x="74" y="465"/>
                </a:lnTo>
                <a:lnTo>
                  <a:pt x="64" y="422"/>
                </a:lnTo>
                <a:lnTo>
                  <a:pt x="60" y="415"/>
                </a:lnTo>
                <a:lnTo>
                  <a:pt x="82" y="381"/>
                </a:lnTo>
                <a:lnTo>
                  <a:pt x="106" y="335"/>
                </a:lnTo>
                <a:lnTo>
                  <a:pt x="108" y="319"/>
                </a:lnTo>
                <a:lnTo>
                  <a:pt x="111" y="300"/>
                </a:lnTo>
                <a:lnTo>
                  <a:pt x="113" y="292"/>
                </a:lnTo>
                <a:lnTo>
                  <a:pt x="107" y="263"/>
                </a:lnTo>
                <a:lnTo>
                  <a:pt x="139" y="246"/>
                </a:lnTo>
                <a:lnTo>
                  <a:pt x="141" y="238"/>
                </a:lnTo>
                <a:lnTo>
                  <a:pt x="142" y="208"/>
                </a:lnTo>
                <a:lnTo>
                  <a:pt x="155" y="210"/>
                </a:lnTo>
                <a:lnTo>
                  <a:pt x="197" y="186"/>
                </a:lnTo>
                <a:lnTo>
                  <a:pt x="238" y="153"/>
                </a:lnTo>
                <a:lnTo>
                  <a:pt x="224" y="187"/>
                </a:lnTo>
                <a:lnTo>
                  <a:pt x="223" y="239"/>
                </a:lnTo>
                <a:lnTo>
                  <a:pt x="246" y="191"/>
                </a:lnTo>
                <a:lnTo>
                  <a:pt x="248" y="219"/>
                </a:lnTo>
                <a:lnTo>
                  <a:pt x="238" y="246"/>
                </a:lnTo>
                <a:lnTo>
                  <a:pt x="243" y="246"/>
                </a:lnTo>
                <a:lnTo>
                  <a:pt x="259" y="219"/>
                </a:lnTo>
                <a:lnTo>
                  <a:pt x="272" y="186"/>
                </a:lnTo>
                <a:lnTo>
                  <a:pt x="270" y="138"/>
                </a:lnTo>
                <a:lnTo>
                  <a:pt x="271" y="127"/>
                </a:lnTo>
                <a:lnTo>
                  <a:pt x="295" y="106"/>
                </a:lnTo>
                <a:lnTo>
                  <a:pt x="324" y="99"/>
                </a:lnTo>
                <a:lnTo>
                  <a:pt x="324" y="100"/>
                </a:lnTo>
                <a:lnTo>
                  <a:pt x="341" y="99"/>
                </a:lnTo>
                <a:lnTo>
                  <a:pt x="343" y="86"/>
                </a:lnTo>
                <a:lnTo>
                  <a:pt x="323" y="68"/>
                </a:lnTo>
                <a:lnTo>
                  <a:pt x="327" y="38"/>
                </a:lnTo>
                <a:lnTo>
                  <a:pt x="340" y="32"/>
                </a:lnTo>
                <a:lnTo>
                  <a:pt x="341" y="6"/>
                </a:lnTo>
                <a:lnTo>
                  <a:pt x="381" y="9"/>
                </a:lnTo>
                <a:lnTo>
                  <a:pt x="392" y="0"/>
                </a:lnTo>
                <a:lnTo>
                  <a:pt x="401" y="9"/>
                </a:lnTo>
                <a:lnTo>
                  <a:pt x="435" y="27"/>
                </a:lnTo>
                <a:lnTo>
                  <a:pt x="491" y="38"/>
                </a:lnTo>
                <a:lnTo>
                  <a:pt x="508" y="66"/>
                </a:lnTo>
                <a:lnTo>
                  <a:pt x="552" y="77"/>
                </a:lnTo>
                <a:lnTo>
                  <a:pt x="595" y="98"/>
                </a:lnTo>
                <a:lnTo>
                  <a:pt x="623" y="102"/>
                </a:lnTo>
                <a:lnTo>
                  <a:pt x="643" y="138"/>
                </a:lnTo>
                <a:lnTo>
                  <a:pt x="665" y="176"/>
                </a:lnTo>
                <a:lnTo>
                  <a:pt x="643" y="170"/>
                </a:lnTo>
                <a:lnTo>
                  <a:pt x="632" y="186"/>
                </a:lnTo>
                <a:lnTo>
                  <a:pt x="646" y="209"/>
                </a:lnTo>
                <a:lnTo>
                  <a:pt x="657" y="216"/>
                </a:lnTo>
                <a:lnTo>
                  <a:pt x="656" y="220"/>
                </a:lnTo>
                <a:lnTo>
                  <a:pt x="660" y="246"/>
                </a:lnTo>
                <a:lnTo>
                  <a:pt x="656" y="301"/>
                </a:lnTo>
                <a:close/>
              </a:path>
            </a:pathLst>
          </a:custGeom>
          <a:solidFill>
            <a:srgbClr val="FFFFFF"/>
          </a:solidFill>
          <a:ln>
            <a:solidFill>
              <a:schemeClr val="bg1">
                <a:lumMod val="85000"/>
              </a:schemeClr>
            </a:solidFill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</xdr:sp>
      <xdr:sp macro="" textlink="">
        <xdr:nvSpPr>
          <xdr:cNvPr id="81" name="S_MI1">
            <a:extLst>
              <a:ext uri="{FF2B5EF4-FFF2-40B4-BE49-F238E27FC236}">
                <a16:creationId xmlns:a16="http://schemas.microsoft.com/office/drawing/2014/main" id="{00000000-0008-0000-0400-000051000000}"/>
              </a:ext>
            </a:extLst>
          </xdr:cNvPr>
          <xdr:cNvSpPr>
            <a:spLocks/>
          </xdr:cNvSpPr>
        </xdr:nvSpPr>
        <xdr:spPr bwMode="auto">
          <a:xfrm>
            <a:off x="5628386" y="870762"/>
            <a:ext cx="983465" cy="415214"/>
          </a:xfrm>
          <a:custGeom>
            <a:avLst/>
            <a:gdLst>
              <a:gd name="T0" fmla="*/ 2147483647 w 1293"/>
              <a:gd name="T1" fmla="*/ 2147483647 h 563"/>
              <a:gd name="T2" fmla="*/ 2147483647 w 1293"/>
              <a:gd name="T3" fmla="*/ 2147483647 h 563"/>
              <a:gd name="T4" fmla="*/ 2147483647 w 1293"/>
              <a:gd name="T5" fmla="*/ 2147483647 h 563"/>
              <a:gd name="T6" fmla="*/ 2147483647 w 1293"/>
              <a:gd name="T7" fmla="*/ 2147483647 h 563"/>
              <a:gd name="T8" fmla="*/ 2147483647 w 1293"/>
              <a:gd name="T9" fmla="*/ 2147483647 h 563"/>
              <a:gd name="T10" fmla="*/ 2147483647 w 1293"/>
              <a:gd name="T11" fmla="*/ 2147483647 h 563"/>
              <a:gd name="T12" fmla="*/ 2147483647 w 1293"/>
              <a:gd name="T13" fmla="*/ 2147483647 h 563"/>
              <a:gd name="T14" fmla="*/ 2147483647 w 1293"/>
              <a:gd name="T15" fmla="*/ 2147483647 h 563"/>
              <a:gd name="T16" fmla="*/ 2147483647 w 1293"/>
              <a:gd name="T17" fmla="*/ 2147483647 h 563"/>
              <a:gd name="T18" fmla="*/ 2147483647 w 1293"/>
              <a:gd name="T19" fmla="*/ 2147483647 h 563"/>
              <a:gd name="T20" fmla="*/ 2147483647 w 1293"/>
              <a:gd name="T21" fmla="*/ 2147483647 h 563"/>
              <a:gd name="T22" fmla="*/ 2147483647 w 1293"/>
              <a:gd name="T23" fmla="*/ 2147483647 h 563"/>
              <a:gd name="T24" fmla="*/ 2147483647 w 1293"/>
              <a:gd name="T25" fmla="*/ 2147483647 h 563"/>
              <a:gd name="T26" fmla="*/ 2147483647 w 1293"/>
              <a:gd name="T27" fmla="*/ 2147483647 h 563"/>
              <a:gd name="T28" fmla="*/ 2147483647 w 1293"/>
              <a:gd name="T29" fmla="*/ 2147483647 h 563"/>
              <a:gd name="T30" fmla="*/ 2147483647 w 1293"/>
              <a:gd name="T31" fmla="*/ 2147483647 h 563"/>
              <a:gd name="T32" fmla="*/ 2147483647 w 1293"/>
              <a:gd name="T33" fmla="*/ 2147483647 h 563"/>
              <a:gd name="T34" fmla="*/ 2147483647 w 1293"/>
              <a:gd name="T35" fmla="*/ 2147483647 h 563"/>
              <a:gd name="T36" fmla="*/ 2147483647 w 1293"/>
              <a:gd name="T37" fmla="*/ 2147483647 h 563"/>
              <a:gd name="T38" fmla="*/ 2147483647 w 1293"/>
              <a:gd name="T39" fmla="*/ 2147483647 h 563"/>
              <a:gd name="T40" fmla="*/ 2147483647 w 1293"/>
              <a:gd name="T41" fmla="*/ 2147483647 h 563"/>
              <a:gd name="T42" fmla="*/ 2147483647 w 1293"/>
              <a:gd name="T43" fmla="*/ 2147483647 h 563"/>
              <a:gd name="T44" fmla="*/ 2147483647 w 1293"/>
              <a:gd name="T45" fmla="*/ 0 h 563"/>
              <a:gd name="T46" fmla="*/ 2147483647 w 1293"/>
              <a:gd name="T47" fmla="*/ 2147483647 h 563"/>
              <a:gd name="T48" fmla="*/ 2147483647 w 1293"/>
              <a:gd name="T49" fmla="*/ 2147483647 h 563"/>
              <a:gd name="T50" fmla="*/ 2147483647 w 1293"/>
              <a:gd name="T51" fmla="*/ 2147483647 h 563"/>
              <a:gd name="T52" fmla="*/ 2147483647 w 1293"/>
              <a:gd name="T53" fmla="*/ 2147483647 h 563"/>
              <a:gd name="T54" fmla="*/ 2147483647 w 1293"/>
              <a:gd name="T55" fmla="*/ 2147483647 h 563"/>
              <a:gd name="T56" fmla="*/ 2147483647 w 1293"/>
              <a:gd name="T57" fmla="*/ 2147483647 h 563"/>
              <a:gd name="T58" fmla="*/ 2147483647 w 1293"/>
              <a:gd name="T59" fmla="*/ 2147483647 h 563"/>
              <a:gd name="T60" fmla="*/ 2147483647 w 1293"/>
              <a:gd name="T61" fmla="*/ 2147483647 h 563"/>
              <a:gd name="T62" fmla="*/ 2147483647 w 1293"/>
              <a:gd name="T63" fmla="*/ 2147483647 h 563"/>
              <a:gd name="T64" fmla="*/ 2147483647 w 1293"/>
              <a:gd name="T65" fmla="*/ 2147483647 h 563"/>
              <a:gd name="T66" fmla="*/ 2147483647 w 1293"/>
              <a:gd name="T67" fmla="*/ 2147483647 h 563"/>
              <a:gd name="T68" fmla="*/ 2147483647 w 1293"/>
              <a:gd name="T69" fmla="*/ 2147483647 h 563"/>
              <a:gd name="T70" fmla="*/ 2147483647 w 1293"/>
              <a:gd name="T71" fmla="*/ 2147483647 h 563"/>
              <a:gd name="T72" fmla="*/ 2147483647 w 1293"/>
              <a:gd name="T73" fmla="*/ 2147483647 h 563"/>
              <a:gd name="T74" fmla="*/ 2147483647 w 1293"/>
              <a:gd name="T75" fmla="*/ 2147483647 h 563"/>
              <a:gd name="T76" fmla="*/ 2147483647 w 1293"/>
              <a:gd name="T77" fmla="*/ 2147483647 h 563"/>
              <a:gd name="T78" fmla="*/ 2147483647 w 1293"/>
              <a:gd name="T79" fmla="*/ 2147483647 h 563"/>
              <a:gd name="T80" fmla="*/ 2147483647 w 1293"/>
              <a:gd name="T81" fmla="*/ 2147483647 h 563"/>
              <a:gd name="T82" fmla="*/ 2147483647 w 1293"/>
              <a:gd name="T83" fmla="*/ 2147483647 h 563"/>
              <a:gd name="T84" fmla="*/ 2147483647 w 1293"/>
              <a:gd name="T85" fmla="*/ 2147483647 h 563"/>
              <a:gd name="T86" fmla="*/ 2147483647 w 1293"/>
              <a:gd name="T87" fmla="*/ 2147483647 h 563"/>
              <a:gd name="T88" fmla="*/ 2147483647 w 1293"/>
              <a:gd name="T89" fmla="*/ 2147483647 h 563"/>
              <a:gd name="T90" fmla="*/ 2147483647 w 1293"/>
              <a:gd name="T91" fmla="*/ 2147483647 h 563"/>
              <a:gd name="T92" fmla="*/ 2147483647 w 1293"/>
              <a:gd name="T93" fmla="*/ 2147483647 h 563"/>
              <a:gd name="T94" fmla="*/ 2147483647 w 1293"/>
              <a:gd name="T95" fmla="*/ 2147483647 h 563"/>
              <a:gd name="T96" fmla="*/ 2147483647 w 1293"/>
              <a:gd name="T97" fmla="*/ 2147483647 h 563"/>
              <a:gd name="T98" fmla="*/ 2147483647 w 1293"/>
              <a:gd name="T99" fmla="*/ 2147483647 h 563"/>
              <a:gd name="T100" fmla="*/ 2147483647 w 1293"/>
              <a:gd name="T101" fmla="*/ 2147483647 h 563"/>
              <a:gd name="T102" fmla="*/ 2147483647 w 1293"/>
              <a:gd name="T103" fmla="*/ 2147483647 h 563"/>
              <a:gd name="T104" fmla="*/ 2147483647 w 1293"/>
              <a:gd name="T105" fmla="*/ 2147483647 h 563"/>
              <a:gd name="T106" fmla="*/ 2147483647 w 1293"/>
              <a:gd name="T107" fmla="*/ 2147483647 h 563"/>
              <a:gd name="T108" fmla="*/ 2147483647 w 1293"/>
              <a:gd name="T109" fmla="*/ 2147483647 h 563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w 1293"/>
              <a:gd name="T166" fmla="*/ 0 h 563"/>
              <a:gd name="T167" fmla="*/ 1293 w 1293"/>
              <a:gd name="T168" fmla="*/ 563 h 563"/>
            </a:gdLst>
            <a:ahLst/>
            <a:cxnLst>
              <a:cxn ang="T110">
                <a:pos x="T0" y="T1"/>
              </a:cxn>
              <a:cxn ang="T111">
                <a:pos x="T2" y="T3"/>
              </a:cxn>
              <a:cxn ang="T112">
                <a:pos x="T4" y="T5"/>
              </a:cxn>
              <a:cxn ang="T113">
                <a:pos x="T6" y="T7"/>
              </a:cxn>
              <a:cxn ang="T114">
                <a:pos x="T8" y="T9"/>
              </a:cxn>
              <a:cxn ang="T115">
                <a:pos x="T10" y="T11"/>
              </a:cxn>
              <a:cxn ang="T116">
                <a:pos x="T12" y="T13"/>
              </a:cxn>
              <a:cxn ang="T117">
                <a:pos x="T14" y="T15"/>
              </a:cxn>
              <a:cxn ang="T118">
                <a:pos x="T16" y="T17"/>
              </a:cxn>
              <a:cxn ang="T119">
                <a:pos x="T18" y="T19"/>
              </a:cxn>
              <a:cxn ang="T120">
                <a:pos x="T20" y="T21"/>
              </a:cxn>
              <a:cxn ang="T121">
                <a:pos x="T22" y="T23"/>
              </a:cxn>
              <a:cxn ang="T122">
                <a:pos x="T24" y="T25"/>
              </a:cxn>
              <a:cxn ang="T123">
                <a:pos x="T26" y="T27"/>
              </a:cxn>
              <a:cxn ang="T124">
                <a:pos x="T28" y="T29"/>
              </a:cxn>
              <a:cxn ang="T125">
                <a:pos x="T30" y="T31"/>
              </a:cxn>
              <a:cxn ang="T126">
                <a:pos x="T32" y="T33"/>
              </a:cxn>
              <a:cxn ang="T127">
                <a:pos x="T34" y="T35"/>
              </a:cxn>
              <a:cxn ang="T128">
                <a:pos x="T36" y="T37"/>
              </a:cxn>
              <a:cxn ang="T129">
                <a:pos x="T38" y="T39"/>
              </a:cxn>
              <a:cxn ang="T130">
                <a:pos x="T40" y="T41"/>
              </a:cxn>
              <a:cxn ang="T131">
                <a:pos x="T42" y="T43"/>
              </a:cxn>
              <a:cxn ang="T132">
                <a:pos x="T44" y="T45"/>
              </a:cxn>
              <a:cxn ang="T133">
                <a:pos x="T46" y="T47"/>
              </a:cxn>
              <a:cxn ang="T134">
                <a:pos x="T48" y="T49"/>
              </a:cxn>
              <a:cxn ang="T135">
                <a:pos x="T50" y="T51"/>
              </a:cxn>
              <a:cxn ang="T136">
                <a:pos x="T52" y="T53"/>
              </a:cxn>
              <a:cxn ang="T137">
                <a:pos x="T54" y="T55"/>
              </a:cxn>
              <a:cxn ang="T138">
                <a:pos x="T56" y="T57"/>
              </a:cxn>
              <a:cxn ang="T139">
                <a:pos x="T58" y="T59"/>
              </a:cxn>
              <a:cxn ang="T140">
                <a:pos x="T60" y="T61"/>
              </a:cxn>
              <a:cxn ang="T141">
                <a:pos x="T62" y="T63"/>
              </a:cxn>
              <a:cxn ang="T142">
                <a:pos x="T64" y="T65"/>
              </a:cxn>
              <a:cxn ang="T143">
                <a:pos x="T66" y="T67"/>
              </a:cxn>
              <a:cxn ang="T144">
                <a:pos x="T68" y="T69"/>
              </a:cxn>
              <a:cxn ang="T145">
                <a:pos x="T70" y="T71"/>
              </a:cxn>
              <a:cxn ang="T146">
                <a:pos x="T72" y="T73"/>
              </a:cxn>
              <a:cxn ang="T147">
                <a:pos x="T74" y="T75"/>
              </a:cxn>
              <a:cxn ang="T148">
                <a:pos x="T76" y="T77"/>
              </a:cxn>
              <a:cxn ang="T149">
                <a:pos x="T78" y="T79"/>
              </a:cxn>
              <a:cxn ang="T150">
                <a:pos x="T80" y="T81"/>
              </a:cxn>
              <a:cxn ang="T151">
                <a:pos x="T82" y="T83"/>
              </a:cxn>
              <a:cxn ang="T152">
                <a:pos x="T84" y="T85"/>
              </a:cxn>
              <a:cxn ang="T153">
                <a:pos x="T86" y="T87"/>
              </a:cxn>
              <a:cxn ang="T154">
                <a:pos x="T88" y="T89"/>
              </a:cxn>
              <a:cxn ang="T155">
                <a:pos x="T90" y="T91"/>
              </a:cxn>
              <a:cxn ang="T156">
                <a:pos x="T92" y="T93"/>
              </a:cxn>
              <a:cxn ang="T157">
                <a:pos x="T94" y="T95"/>
              </a:cxn>
              <a:cxn ang="T158">
                <a:pos x="T96" y="T97"/>
              </a:cxn>
              <a:cxn ang="T159">
                <a:pos x="T98" y="T99"/>
              </a:cxn>
              <a:cxn ang="T160">
                <a:pos x="T100" y="T101"/>
              </a:cxn>
              <a:cxn ang="T161">
                <a:pos x="T102" y="T103"/>
              </a:cxn>
              <a:cxn ang="T162">
                <a:pos x="T104" y="T105"/>
              </a:cxn>
              <a:cxn ang="T163">
                <a:pos x="T106" y="T107"/>
              </a:cxn>
              <a:cxn ang="T164">
                <a:pos x="T108" y="T109"/>
              </a:cxn>
            </a:cxnLst>
            <a:rect l="T165" t="T166" r="T167" b="T168"/>
            <a:pathLst>
              <a:path w="1293" h="563">
                <a:moveTo>
                  <a:pt x="739" y="407"/>
                </a:moveTo>
                <a:lnTo>
                  <a:pt x="707" y="409"/>
                </a:lnTo>
                <a:lnTo>
                  <a:pt x="686" y="381"/>
                </a:lnTo>
                <a:lnTo>
                  <a:pt x="670" y="409"/>
                </a:lnTo>
                <a:lnTo>
                  <a:pt x="643" y="409"/>
                </a:lnTo>
                <a:lnTo>
                  <a:pt x="638" y="392"/>
                </a:lnTo>
                <a:lnTo>
                  <a:pt x="590" y="456"/>
                </a:lnTo>
                <a:lnTo>
                  <a:pt x="545" y="530"/>
                </a:lnTo>
                <a:lnTo>
                  <a:pt x="524" y="558"/>
                </a:lnTo>
                <a:lnTo>
                  <a:pt x="530" y="563"/>
                </a:lnTo>
                <a:lnTo>
                  <a:pt x="513" y="557"/>
                </a:lnTo>
                <a:lnTo>
                  <a:pt x="480" y="416"/>
                </a:lnTo>
                <a:lnTo>
                  <a:pt x="476" y="409"/>
                </a:lnTo>
                <a:lnTo>
                  <a:pt x="454" y="404"/>
                </a:lnTo>
                <a:lnTo>
                  <a:pt x="454" y="399"/>
                </a:lnTo>
                <a:lnTo>
                  <a:pt x="441" y="402"/>
                </a:lnTo>
                <a:lnTo>
                  <a:pt x="428" y="395"/>
                </a:lnTo>
                <a:lnTo>
                  <a:pt x="439" y="379"/>
                </a:lnTo>
                <a:lnTo>
                  <a:pt x="430" y="369"/>
                </a:lnTo>
                <a:lnTo>
                  <a:pt x="404" y="359"/>
                </a:lnTo>
                <a:lnTo>
                  <a:pt x="358" y="352"/>
                </a:lnTo>
                <a:lnTo>
                  <a:pt x="335" y="353"/>
                </a:lnTo>
                <a:lnTo>
                  <a:pt x="324" y="347"/>
                </a:lnTo>
                <a:lnTo>
                  <a:pt x="313" y="344"/>
                </a:lnTo>
                <a:lnTo>
                  <a:pt x="294" y="342"/>
                </a:lnTo>
                <a:lnTo>
                  <a:pt x="277" y="332"/>
                </a:lnTo>
                <a:lnTo>
                  <a:pt x="266" y="327"/>
                </a:lnTo>
                <a:lnTo>
                  <a:pt x="247" y="317"/>
                </a:lnTo>
                <a:lnTo>
                  <a:pt x="105" y="282"/>
                </a:lnTo>
                <a:lnTo>
                  <a:pt x="91" y="279"/>
                </a:lnTo>
                <a:lnTo>
                  <a:pt x="54" y="264"/>
                </a:lnTo>
                <a:lnTo>
                  <a:pt x="37" y="232"/>
                </a:lnTo>
                <a:lnTo>
                  <a:pt x="0" y="217"/>
                </a:lnTo>
                <a:lnTo>
                  <a:pt x="31" y="203"/>
                </a:lnTo>
                <a:lnTo>
                  <a:pt x="78" y="187"/>
                </a:lnTo>
                <a:lnTo>
                  <a:pt x="98" y="170"/>
                </a:lnTo>
                <a:lnTo>
                  <a:pt x="124" y="155"/>
                </a:lnTo>
                <a:lnTo>
                  <a:pt x="145" y="157"/>
                </a:lnTo>
                <a:lnTo>
                  <a:pt x="218" y="136"/>
                </a:lnTo>
                <a:lnTo>
                  <a:pt x="277" y="106"/>
                </a:lnTo>
                <a:lnTo>
                  <a:pt x="288" y="88"/>
                </a:lnTo>
                <a:lnTo>
                  <a:pt x="334" y="58"/>
                </a:lnTo>
                <a:lnTo>
                  <a:pt x="356" y="46"/>
                </a:lnTo>
                <a:lnTo>
                  <a:pt x="376" y="25"/>
                </a:lnTo>
                <a:lnTo>
                  <a:pt x="428" y="5"/>
                </a:lnTo>
                <a:lnTo>
                  <a:pt x="452" y="0"/>
                </a:lnTo>
                <a:lnTo>
                  <a:pt x="499" y="6"/>
                </a:lnTo>
                <a:lnTo>
                  <a:pt x="503" y="14"/>
                </a:lnTo>
                <a:lnTo>
                  <a:pt x="452" y="39"/>
                </a:lnTo>
                <a:lnTo>
                  <a:pt x="409" y="67"/>
                </a:lnTo>
                <a:lnTo>
                  <a:pt x="404" y="81"/>
                </a:lnTo>
                <a:lnTo>
                  <a:pt x="386" y="97"/>
                </a:lnTo>
                <a:lnTo>
                  <a:pt x="382" y="112"/>
                </a:lnTo>
                <a:lnTo>
                  <a:pt x="367" y="129"/>
                </a:lnTo>
                <a:lnTo>
                  <a:pt x="404" y="132"/>
                </a:lnTo>
                <a:lnTo>
                  <a:pt x="404" y="131"/>
                </a:lnTo>
                <a:lnTo>
                  <a:pt x="444" y="135"/>
                </a:lnTo>
                <a:lnTo>
                  <a:pt x="499" y="146"/>
                </a:lnTo>
                <a:lnTo>
                  <a:pt x="529" y="173"/>
                </a:lnTo>
                <a:lnTo>
                  <a:pt x="574" y="232"/>
                </a:lnTo>
                <a:lnTo>
                  <a:pt x="617" y="233"/>
                </a:lnTo>
                <a:lnTo>
                  <a:pt x="686" y="237"/>
                </a:lnTo>
                <a:lnTo>
                  <a:pt x="698" y="232"/>
                </a:lnTo>
                <a:lnTo>
                  <a:pt x="693" y="222"/>
                </a:lnTo>
                <a:lnTo>
                  <a:pt x="706" y="232"/>
                </a:lnTo>
                <a:lnTo>
                  <a:pt x="727" y="232"/>
                </a:lnTo>
                <a:lnTo>
                  <a:pt x="803" y="193"/>
                </a:lnTo>
                <a:lnTo>
                  <a:pt x="851" y="187"/>
                </a:lnTo>
                <a:lnTo>
                  <a:pt x="872" y="190"/>
                </a:lnTo>
                <a:lnTo>
                  <a:pt x="919" y="190"/>
                </a:lnTo>
                <a:lnTo>
                  <a:pt x="968" y="172"/>
                </a:lnTo>
                <a:lnTo>
                  <a:pt x="1012" y="168"/>
                </a:lnTo>
                <a:lnTo>
                  <a:pt x="1005" y="232"/>
                </a:lnTo>
                <a:lnTo>
                  <a:pt x="1012" y="237"/>
                </a:lnTo>
                <a:lnTo>
                  <a:pt x="1059" y="241"/>
                </a:lnTo>
                <a:lnTo>
                  <a:pt x="1083" y="237"/>
                </a:lnTo>
                <a:lnTo>
                  <a:pt x="1095" y="252"/>
                </a:lnTo>
                <a:lnTo>
                  <a:pt x="1121" y="232"/>
                </a:lnTo>
                <a:lnTo>
                  <a:pt x="1150" y="234"/>
                </a:lnTo>
                <a:lnTo>
                  <a:pt x="1163" y="223"/>
                </a:lnTo>
                <a:lnTo>
                  <a:pt x="1176" y="225"/>
                </a:lnTo>
                <a:lnTo>
                  <a:pt x="1179" y="231"/>
                </a:lnTo>
                <a:lnTo>
                  <a:pt x="1174" y="263"/>
                </a:lnTo>
                <a:lnTo>
                  <a:pt x="1186" y="305"/>
                </a:lnTo>
                <a:lnTo>
                  <a:pt x="1199" y="315"/>
                </a:lnTo>
                <a:lnTo>
                  <a:pt x="1208" y="337"/>
                </a:lnTo>
                <a:lnTo>
                  <a:pt x="1218" y="335"/>
                </a:lnTo>
                <a:lnTo>
                  <a:pt x="1233" y="323"/>
                </a:lnTo>
                <a:lnTo>
                  <a:pt x="1247" y="331"/>
                </a:lnTo>
                <a:lnTo>
                  <a:pt x="1270" y="326"/>
                </a:lnTo>
                <a:lnTo>
                  <a:pt x="1293" y="352"/>
                </a:lnTo>
                <a:lnTo>
                  <a:pt x="1270" y="366"/>
                </a:lnTo>
                <a:lnTo>
                  <a:pt x="1243" y="365"/>
                </a:lnTo>
                <a:lnTo>
                  <a:pt x="1223" y="359"/>
                </a:lnTo>
                <a:lnTo>
                  <a:pt x="1200" y="361"/>
                </a:lnTo>
                <a:lnTo>
                  <a:pt x="1178" y="355"/>
                </a:lnTo>
                <a:lnTo>
                  <a:pt x="1129" y="366"/>
                </a:lnTo>
                <a:lnTo>
                  <a:pt x="1083" y="341"/>
                </a:lnTo>
                <a:lnTo>
                  <a:pt x="1072" y="350"/>
                </a:lnTo>
                <a:lnTo>
                  <a:pt x="1059" y="389"/>
                </a:lnTo>
                <a:lnTo>
                  <a:pt x="1012" y="349"/>
                </a:lnTo>
                <a:lnTo>
                  <a:pt x="990" y="340"/>
                </a:lnTo>
                <a:lnTo>
                  <a:pt x="919" y="327"/>
                </a:lnTo>
                <a:lnTo>
                  <a:pt x="895" y="352"/>
                </a:lnTo>
                <a:lnTo>
                  <a:pt x="872" y="358"/>
                </a:lnTo>
                <a:lnTo>
                  <a:pt x="851" y="358"/>
                </a:lnTo>
                <a:lnTo>
                  <a:pt x="835" y="364"/>
                </a:lnTo>
                <a:lnTo>
                  <a:pt x="803" y="358"/>
                </a:lnTo>
                <a:lnTo>
                  <a:pt x="779" y="362"/>
                </a:lnTo>
                <a:lnTo>
                  <a:pt x="739" y="407"/>
                </a:lnTo>
                <a:close/>
              </a:path>
            </a:pathLst>
          </a:custGeom>
          <a:solidFill>
            <a:srgbClr val="FFFFFF"/>
          </a:solidFill>
          <a:ln>
            <a:solidFill>
              <a:schemeClr val="bg1">
                <a:lumMod val="85000"/>
              </a:schemeClr>
            </a:solidFill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</xdr:sp>
    </xdr:grpSp>
    <xdr:clientData/>
  </xdr:twoCellAnchor>
  <xdr:twoCellAnchor>
    <xdr:from>
      <xdr:col>23</xdr:col>
      <xdr:colOff>498312</xdr:colOff>
      <xdr:row>14</xdr:row>
      <xdr:rowOff>401</xdr:rowOff>
    </xdr:from>
    <xdr:to>
      <xdr:col>24</xdr:col>
      <xdr:colOff>291454</xdr:colOff>
      <xdr:row>15</xdr:row>
      <xdr:rowOff>162813</xdr:rowOff>
    </xdr:to>
    <xdr:grpSp>
      <xdr:nvGrpSpPr>
        <xdr:cNvPr id="82" name="S_MD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GrpSpPr>
          <a:grpSpLocks/>
        </xdr:cNvGrpSpPr>
      </xdr:nvGrpSpPr>
      <xdr:grpSpPr bwMode="auto">
        <a:xfrm>
          <a:off x="14550488" y="2667401"/>
          <a:ext cx="398260" cy="352912"/>
          <a:chOff x="7196318" y="2326697"/>
          <a:chExt cx="633617" cy="483258"/>
        </a:xfrm>
        <a:solidFill>
          <a:schemeClr val="accent1">
            <a:lumMod val="20000"/>
            <a:lumOff val="80000"/>
          </a:schemeClr>
        </a:solidFill>
      </xdr:grpSpPr>
      <xdr:sp macro="" textlink="">
        <xdr:nvSpPr>
          <xdr:cNvPr id="83" name="S_MD2">
            <a:extLst>
              <a:ext uri="{FF2B5EF4-FFF2-40B4-BE49-F238E27FC236}">
                <a16:creationId xmlns:a16="http://schemas.microsoft.com/office/drawing/2014/main" id="{00000000-0008-0000-0400-000053000000}"/>
              </a:ext>
            </a:extLst>
          </xdr:cNvPr>
          <xdr:cNvSpPr>
            <a:spLocks/>
          </xdr:cNvSpPr>
        </xdr:nvSpPr>
        <xdr:spPr bwMode="auto">
          <a:xfrm>
            <a:off x="7694160" y="2636285"/>
            <a:ext cx="105603" cy="173670"/>
          </a:xfrm>
          <a:custGeom>
            <a:avLst/>
            <a:gdLst>
              <a:gd name="T0" fmla="*/ 2147483647 w 145"/>
              <a:gd name="T1" fmla="*/ 2147483647 h 223"/>
              <a:gd name="T2" fmla="*/ 0 w 145"/>
              <a:gd name="T3" fmla="*/ 2147483647 h 223"/>
              <a:gd name="T4" fmla="*/ 2147483647 w 145"/>
              <a:gd name="T5" fmla="*/ 2147483647 h 223"/>
              <a:gd name="T6" fmla="*/ 2147483647 w 145"/>
              <a:gd name="T7" fmla="*/ 2147483647 h 223"/>
              <a:gd name="T8" fmla="*/ 2147483647 w 145"/>
              <a:gd name="T9" fmla="*/ 2147483647 h 223"/>
              <a:gd name="T10" fmla="*/ 2147483647 w 145"/>
              <a:gd name="T11" fmla="*/ 2147483647 h 223"/>
              <a:gd name="T12" fmla="*/ 2147483647 w 145"/>
              <a:gd name="T13" fmla="*/ 2147483647 h 223"/>
              <a:gd name="T14" fmla="*/ 2147483647 w 145"/>
              <a:gd name="T15" fmla="*/ 2147483647 h 223"/>
              <a:gd name="T16" fmla="*/ 2147483647 w 145"/>
              <a:gd name="T17" fmla="*/ 2147483647 h 223"/>
              <a:gd name="T18" fmla="*/ 2147483647 w 145"/>
              <a:gd name="T19" fmla="*/ 2147483647 h 223"/>
              <a:gd name="T20" fmla="*/ 2147483647 w 145"/>
              <a:gd name="T21" fmla="*/ 2147483647 h 223"/>
              <a:gd name="T22" fmla="*/ 2147483647 w 145"/>
              <a:gd name="T23" fmla="*/ 0 h 223"/>
              <a:gd name="T24" fmla="*/ 2147483647 w 145"/>
              <a:gd name="T25" fmla="*/ 0 h 223"/>
              <a:gd name="T26" fmla="*/ 2147483647 w 145"/>
              <a:gd name="T27" fmla="*/ 0 h 223"/>
              <a:gd name="T28" fmla="*/ 2147483647 w 145"/>
              <a:gd name="T29" fmla="*/ 2147483647 h 223"/>
              <a:gd name="T30" fmla="*/ 2147483647 w 145"/>
              <a:gd name="T31" fmla="*/ 2147483647 h 223"/>
              <a:gd name="T32" fmla="*/ 2147483647 w 145"/>
              <a:gd name="T33" fmla="*/ 2147483647 h 223"/>
              <a:gd name="T34" fmla="*/ 2147483647 w 145"/>
              <a:gd name="T35" fmla="*/ 2147483647 h 223"/>
              <a:gd name="T36" fmla="*/ 2147483647 w 145"/>
              <a:gd name="T37" fmla="*/ 2147483647 h 223"/>
              <a:gd name="T38" fmla="*/ 2147483647 w 145"/>
              <a:gd name="T39" fmla="*/ 2147483647 h 223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w 145"/>
              <a:gd name="T61" fmla="*/ 0 h 223"/>
              <a:gd name="T62" fmla="*/ 145 w 145"/>
              <a:gd name="T63" fmla="*/ 223 h 223"/>
            </a:gdLst>
            <a:ahLst/>
            <a:cxnLst>
              <a:cxn ang="T40">
                <a:pos x="T0" y="T1"/>
              </a:cxn>
              <a:cxn ang="T41">
                <a:pos x="T2" y="T3"/>
              </a:cxn>
              <a:cxn ang="T42">
                <a:pos x="T4" y="T5"/>
              </a:cxn>
              <a:cxn ang="T43">
                <a:pos x="T6" y="T7"/>
              </a:cxn>
              <a:cxn ang="T44">
                <a:pos x="T8" y="T9"/>
              </a:cxn>
              <a:cxn ang="T45">
                <a:pos x="T10" y="T11"/>
              </a:cxn>
              <a:cxn ang="T46">
                <a:pos x="T12" y="T13"/>
              </a:cxn>
              <a:cxn ang="T47">
                <a:pos x="T14" y="T15"/>
              </a:cxn>
              <a:cxn ang="T48">
                <a:pos x="T16" y="T17"/>
              </a:cxn>
              <a:cxn ang="T49">
                <a:pos x="T18" y="T19"/>
              </a:cxn>
              <a:cxn ang="T50">
                <a:pos x="T20" y="T21"/>
              </a:cxn>
              <a:cxn ang="T51">
                <a:pos x="T22" y="T23"/>
              </a:cxn>
              <a:cxn ang="T52">
                <a:pos x="T24" y="T25"/>
              </a:cxn>
              <a:cxn ang="T53">
                <a:pos x="T26" y="T27"/>
              </a:cxn>
              <a:cxn ang="T54">
                <a:pos x="T28" y="T29"/>
              </a:cxn>
              <a:cxn ang="T55">
                <a:pos x="T30" y="T31"/>
              </a:cxn>
              <a:cxn ang="T56">
                <a:pos x="T32" y="T33"/>
              </a:cxn>
              <a:cxn ang="T57">
                <a:pos x="T34" y="T35"/>
              </a:cxn>
              <a:cxn ang="T58">
                <a:pos x="T36" y="T37"/>
              </a:cxn>
              <a:cxn ang="T59">
                <a:pos x="T38" y="T39"/>
              </a:cxn>
            </a:cxnLst>
            <a:rect l="T60" t="T61" r="T62" b="T63"/>
            <a:pathLst>
              <a:path w="145" h="223">
                <a:moveTo>
                  <a:pt x="15" y="112"/>
                </a:moveTo>
                <a:lnTo>
                  <a:pt x="0" y="183"/>
                </a:lnTo>
                <a:lnTo>
                  <a:pt x="12" y="223"/>
                </a:lnTo>
                <a:lnTo>
                  <a:pt x="13" y="213"/>
                </a:lnTo>
                <a:lnTo>
                  <a:pt x="21" y="213"/>
                </a:lnTo>
                <a:lnTo>
                  <a:pt x="19" y="216"/>
                </a:lnTo>
                <a:lnTo>
                  <a:pt x="42" y="186"/>
                </a:lnTo>
                <a:lnTo>
                  <a:pt x="66" y="132"/>
                </a:lnTo>
                <a:lnTo>
                  <a:pt x="97" y="48"/>
                </a:lnTo>
                <a:lnTo>
                  <a:pt x="109" y="35"/>
                </a:lnTo>
                <a:lnTo>
                  <a:pt x="121" y="39"/>
                </a:lnTo>
                <a:lnTo>
                  <a:pt x="145" y="0"/>
                </a:lnTo>
                <a:lnTo>
                  <a:pt x="115" y="3"/>
                </a:lnTo>
                <a:lnTo>
                  <a:pt x="101" y="4"/>
                </a:lnTo>
                <a:lnTo>
                  <a:pt x="73" y="8"/>
                </a:lnTo>
                <a:lnTo>
                  <a:pt x="67" y="18"/>
                </a:lnTo>
                <a:lnTo>
                  <a:pt x="50" y="30"/>
                </a:lnTo>
                <a:lnTo>
                  <a:pt x="62" y="35"/>
                </a:lnTo>
                <a:lnTo>
                  <a:pt x="21" y="94"/>
                </a:lnTo>
                <a:lnTo>
                  <a:pt x="15" y="112"/>
                </a:lnTo>
                <a:close/>
              </a:path>
            </a:pathLst>
          </a:custGeom>
          <a:solidFill>
            <a:srgbClr val="FFFFFF"/>
          </a:solidFill>
          <a:ln>
            <a:solidFill>
              <a:schemeClr val="bg1">
                <a:lumMod val="85000"/>
              </a:schemeClr>
            </a:solidFill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</xdr:sp>
      <xdr:sp macro="" textlink="">
        <xdr:nvSpPr>
          <xdr:cNvPr id="84" name="S_MD1">
            <a:extLst>
              <a:ext uri="{FF2B5EF4-FFF2-40B4-BE49-F238E27FC236}">
                <a16:creationId xmlns:a16="http://schemas.microsoft.com/office/drawing/2014/main" id="{00000000-0008-0000-0400-000054000000}"/>
              </a:ext>
            </a:extLst>
          </xdr:cNvPr>
          <xdr:cNvSpPr>
            <a:spLocks/>
          </xdr:cNvSpPr>
        </xdr:nvSpPr>
        <xdr:spPr bwMode="auto">
          <a:xfrm>
            <a:off x="7196318" y="2326697"/>
            <a:ext cx="633617" cy="332239"/>
          </a:xfrm>
          <a:custGeom>
            <a:avLst/>
            <a:gdLst>
              <a:gd name="T0" fmla="*/ 2147483647 w 831"/>
              <a:gd name="T1" fmla="*/ 0 h 428"/>
              <a:gd name="T2" fmla="*/ 2147483647 w 831"/>
              <a:gd name="T3" fmla="*/ 2147483647 h 428"/>
              <a:gd name="T4" fmla="*/ 2147483647 w 831"/>
              <a:gd name="T5" fmla="*/ 2147483647 h 428"/>
              <a:gd name="T6" fmla="*/ 2147483647 w 831"/>
              <a:gd name="T7" fmla="*/ 2147483647 h 428"/>
              <a:gd name="T8" fmla="*/ 2147483647 w 831"/>
              <a:gd name="T9" fmla="*/ 2147483647 h 428"/>
              <a:gd name="T10" fmla="*/ 2147483647 w 831"/>
              <a:gd name="T11" fmla="*/ 2147483647 h 428"/>
              <a:gd name="T12" fmla="*/ 2147483647 w 831"/>
              <a:gd name="T13" fmla="*/ 2147483647 h 428"/>
              <a:gd name="T14" fmla="*/ 2147483647 w 831"/>
              <a:gd name="T15" fmla="*/ 2147483647 h 428"/>
              <a:gd name="T16" fmla="*/ 2147483647 w 831"/>
              <a:gd name="T17" fmla="*/ 0 h 428"/>
              <a:gd name="T18" fmla="*/ 2147483647 w 831"/>
              <a:gd name="T19" fmla="*/ 2147483647 h 428"/>
              <a:gd name="T20" fmla="*/ 2147483647 w 831"/>
              <a:gd name="T21" fmla="*/ 2147483647 h 428"/>
              <a:gd name="T22" fmla="*/ 2147483647 w 831"/>
              <a:gd name="T23" fmla="*/ 2147483647 h 428"/>
              <a:gd name="T24" fmla="*/ 2147483647 w 831"/>
              <a:gd name="T25" fmla="*/ 2147483647 h 428"/>
              <a:gd name="T26" fmla="*/ 2147483647 w 831"/>
              <a:gd name="T27" fmla="*/ 2147483647 h 428"/>
              <a:gd name="T28" fmla="*/ 2147483647 w 831"/>
              <a:gd name="T29" fmla="*/ 2147483647 h 428"/>
              <a:gd name="T30" fmla="*/ 2147483647 w 831"/>
              <a:gd name="T31" fmla="*/ 2147483647 h 428"/>
              <a:gd name="T32" fmla="*/ 2147483647 w 831"/>
              <a:gd name="T33" fmla="*/ 2147483647 h 428"/>
              <a:gd name="T34" fmla="*/ 2147483647 w 831"/>
              <a:gd name="T35" fmla="*/ 2147483647 h 428"/>
              <a:gd name="T36" fmla="*/ 2147483647 w 831"/>
              <a:gd name="T37" fmla="*/ 2147483647 h 428"/>
              <a:gd name="T38" fmla="*/ 2147483647 w 831"/>
              <a:gd name="T39" fmla="*/ 2147483647 h 428"/>
              <a:gd name="T40" fmla="*/ 2147483647 w 831"/>
              <a:gd name="T41" fmla="*/ 2147483647 h 428"/>
              <a:gd name="T42" fmla="*/ 2147483647 w 831"/>
              <a:gd name="T43" fmla="*/ 2147483647 h 428"/>
              <a:gd name="T44" fmla="*/ 2147483647 w 831"/>
              <a:gd name="T45" fmla="*/ 2147483647 h 428"/>
              <a:gd name="T46" fmla="*/ 2147483647 w 831"/>
              <a:gd name="T47" fmla="*/ 2147483647 h 428"/>
              <a:gd name="T48" fmla="*/ 2147483647 w 831"/>
              <a:gd name="T49" fmla="*/ 2147483647 h 428"/>
              <a:gd name="T50" fmla="*/ 2147483647 w 831"/>
              <a:gd name="T51" fmla="*/ 2147483647 h 428"/>
              <a:gd name="T52" fmla="*/ 2147483647 w 831"/>
              <a:gd name="T53" fmla="*/ 2147483647 h 428"/>
              <a:gd name="T54" fmla="*/ 2147483647 w 831"/>
              <a:gd name="T55" fmla="*/ 2147483647 h 428"/>
              <a:gd name="T56" fmla="*/ 2147483647 w 831"/>
              <a:gd name="T57" fmla="*/ 2147483647 h 428"/>
              <a:gd name="T58" fmla="*/ 2147483647 w 831"/>
              <a:gd name="T59" fmla="*/ 2147483647 h 428"/>
              <a:gd name="T60" fmla="*/ 2147483647 w 831"/>
              <a:gd name="T61" fmla="*/ 2147483647 h 428"/>
              <a:gd name="T62" fmla="*/ 2147483647 w 831"/>
              <a:gd name="T63" fmla="*/ 2147483647 h 428"/>
              <a:gd name="T64" fmla="*/ 2147483647 w 831"/>
              <a:gd name="T65" fmla="*/ 2147483647 h 428"/>
              <a:gd name="T66" fmla="*/ 2147483647 w 831"/>
              <a:gd name="T67" fmla="*/ 2147483647 h 428"/>
              <a:gd name="T68" fmla="*/ 2147483647 w 831"/>
              <a:gd name="T69" fmla="*/ 2147483647 h 428"/>
              <a:gd name="T70" fmla="*/ 2147483647 w 831"/>
              <a:gd name="T71" fmla="*/ 2147483647 h 428"/>
              <a:gd name="T72" fmla="*/ 2147483647 w 831"/>
              <a:gd name="T73" fmla="*/ 2147483647 h 428"/>
              <a:gd name="T74" fmla="*/ 2147483647 w 831"/>
              <a:gd name="T75" fmla="*/ 2147483647 h 428"/>
              <a:gd name="T76" fmla="*/ 2147483647 w 831"/>
              <a:gd name="T77" fmla="*/ 2147483647 h 428"/>
              <a:gd name="T78" fmla="*/ 2147483647 w 831"/>
              <a:gd name="T79" fmla="*/ 2147483647 h 428"/>
              <a:gd name="T80" fmla="*/ 2147483647 w 831"/>
              <a:gd name="T81" fmla="*/ 2147483647 h 428"/>
              <a:gd name="T82" fmla="*/ 2147483647 w 831"/>
              <a:gd name="T83" fmla="*/ 2147483647 h 428"/>
              <a:gd name="T84" fmla="*/ 2147483647 w 831"/>
              <a:gd name="T85" fmla="*/ 2147483647 h 428"/>
              <a:gd name="T86" fmla="*/ 2147483647 w 831"/>
              <a:gd name="T87" fmla="*/ 2147483647 h 428"/>
              <a:gd name="T88" fmla="*/ 2147483647 w 831"/>
              <a:gd name="T89" fmla="*/ 2147483647 h 428"/>
              <a:gd name="T90" fmla="*/ 2147483647 w 831"/>
              <a:gd name="T91" fmla="*/ 2147483647 h 428"/>
              <a:gd name="T92" fmla="*/ 2147483647 w 831"/>
              <a:gd name="T93" fmla="*/ 2147483647 h 428"/>
              <a:gd name="T94" fmla="*/ 2147483647 w 831"/>
              <a:gd name="T95" fmla="*/ 2147483647 h 428"/>
              <a:gd name="T96" fmla="*/ 2147483647 w 831"/>
              <a:gd name="T97" fmla="*/ 2147483647 h 428"/>
              <a:gd name="T98" fmla="*/ 2147483647 w 831"/>
              <a:gd name="T99" fmla="*/ 2147483647 h 428"/>
              <a:gd name="T100" fmla="*/ 2147483647 w 831"/>
              <a:gd name="T101" fmla="*/ 2147483647 h 428"/>
              <a:gd name="T102" fmla="*/ 2147483647 w 831"/>
              <a:gd name="T103" fmla="*/ 2147483647 h 428"/>
              <a:gd name="T104" fmla="*/ 2147483647 w 831"/>
              <a:gd name="T105" fmla="*/ 2147483647 h 428"/>
              <a:gd name="T106" fmla="*/ 2147483647 w 831"/>
              <a:gd name="T107" fmla="*/ 2147483647 h 428"/>
              <a:gd name="T108" fmla="*/ 2147483647 w 831"/>
              <a:gd name="T109" fmla="*/ 2147483647 h 428"/>
              <a:gd name="T110" fmla="*/ 2147483647 w 831"/>
              <a:gd name="T111" fmla="*/ 2147483647 h 428"/>
              <a:gd name="T112" fmla="*/ 2147483647 w 831"/>
              <a:gd name="T113" fmla="*/ 2147483647 h 428"/>
              <a:gd name="T114" fmla="*/ 2147483647 w 831"/>
              <a:gd name="T115" fmla="*/ 2147483647 h 428"/>
              <a:gd name="T116" fmla="*/ 0 w 831"/>
              <a:gd name="T117" fmla="*/ 2147483647 h 428"/>
              <a:gd name="T118" fmla="*/ 2147483647 w 831"/>
              <a:gd name="T119" fmla="*/ 2147483647 h 428"/>
              <a:gd name="T120" fmla="*/ 2147483647 w 831"/>
              <a:gd name="T121" fmla="*/ 0 h 428"/>
              <a:gd name="T122" fmla="*/ 2147483647 w 831"/>
              <a:gd name="T123" fmla="*/ 0 h 428"/>
              <a:gd name="T124" fmla="*/ 2147483647 w 831"/>
              <a:gd name="T125" fmla="*/ 0 h 428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831"/>
              <a:gd name="T190" fmla="*/ 0 h 428"/>
              <a:gd name="T191" fmla="*/ 831 w 831"/>
              <a:gd name="T192" fmla="*/ 428 h 428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831" h="428">
                <a:moveTo>
                  <a:pt x="214" y="0"/>
                </a:moveTo>
                <a:lnTo>
                  <a:pt x="231" y="0"/>
                </a:lnTo>
                <a:lnTo>
                  <a:pt x="232" y="0"/>
                </a:lnTo>
                <a:lnTo>
                  <a:pt x="260" y="0"/>
                </a:lnTo>
                <a:lnTo>
                  <a:pt x="278" y="0"/>
                </a:lnTo>
                <a:lnTo>
                  <a:pt x="371" y="1"/>
                </a:lnTo>
                <a:lnTo>
                  <a:pt x="378" y="1"/>
                </a:lnTo>
                <a:lnTo>
                  <a:pt x="380" y="1"/>
                </a:lnTo>
                <a:lnTo>
                  <a:pt x="385" y="1"/>
                </a:lnTo>
                <a:lnTo>
                  <a:pt x="406" y="1"/>
                </a:lnTo>
                <a:lnTo>
                  <a:pt x="425" y="1"/>
                </a:lnTo>
                <a:lnTo>
                  <a:pt x="455" y="1"/>
                </a:lnTo>
                <a:lnTo>
                  <a:pt x="466" y="1"/>
                </a:lnTo>
                <a:lnTo>
                  <a:pt x="481" y="1"/>
                </a:lnTo>
                <a:lnTo>
                  <a:pt x="485" y="1"/>
                </a:lnTo>
                <a:lnTo>
                  <a:pt x="505" y="1"/>
                </a:lnTo>
                <a:lnTo>
                  <a:pt x="516" y="1"/>
                </a:lnTo>
                <a:lnTo>
                  <a:pt x="539" y="1"/>
                </a:lnTo>
                <a:lnTo>
                  <a:pt x="546" y="1"/>
                </a:lnTo>
                <a:lnTo>
                  <a:pt x="555" y="1"/>
                </a:lnTo>
                <a:lnTo>
                  <a:pt x="559" y="1"/>
                </a:lnTo>
                <a:lnTo>
                  <a:pt x="608" y="1"/>
                </a:lnTo>
                <a:lnTo>
                  <a:pt x="609" y="1"/>
                </a:lnTo>
                <a:lnTo>
                  <a:pt x="627" y="1"/>
                </a:lnTo>
                <a:lnTo>
                  <a:pt x="656" y="1"/>
                </a:lnTo>
                <a:lnTo>
                  <a:pt x="675" y="0"/>
                </a:lnTo>
                <a:lnTo>
                  <a:pt x="692" y="0"/>
                </a:lnTo>
                <a:lnTo>
                  <a:pt x="692" y="15"/>
                </a:lnTo>
                <a:lnTo>
                  <a:pt x="692" y="18"/>
                </a:lnTo>
                <a:lnTo>
                  <a:pt x="696" y="82"/>
                </a:lnTo>
                <a:lnTo>
                  <a:pt x="697" y="90"/>
                </a:lnTo>
                <a:lnTo>
                  <a:pt x="698" y="100"/>
                </a:lnTo>
                <a:lnTo>
                  <a:pt x="698" y="107"/>
                </a:lnTo>
                <a:lnTo>
                  <a:pt x="698" y="110"/>
                </a:lnTo>
                <a:lnTo>
                  <a:pt x="698" y="112"/>
                </a:lnTo>
                <a:lnTo>
                  <a:pt x="698" y="113"/>
                </a:lnTo>
                <a:lnTo>
                  <a:pt x="699" y="131"/>
                </a:lnTo>
                <a:lnTo>
                  <a:pt x="699" y="133"/>
                </a:lnTo>
                <a:lnTo>
                  <a:pt x="700" y="137"/>
                </a:lnTo>
                <a:lnTo>
                  <a:pt x="702" y="171"/>
                </a:lnTo>
                <a:lnTo>
                  <a:pt x="704" y="209"/>
                </a:lnTo>
                <a:lnTo>
                  <a:pt x="704" y="211"/>
                </a:lnTo>
                <a:lnTo>
                  <a:pt x="705" y="227"/>
                </a:lnTo>
                <a:lnTo>
                  <a:pt x="706" y="250"/>
                </a:lnTo>
                <a:lnTo>
                  <a:pt x="707" y="257"/>
                </a:lnTo>
                <a:lnTo>
                  <a:pt x="707" y="260"/>
                </a:lnTo>
                <a:lnTo>
                  <a:pt x="707" y="267"/>
                </a:lnTo>
                <a:lnTo>
                  <a:pt x="709" y="275"/>
                </a:lnTo>
                <a:lnTo>
                  <a:pt x="710" y="298"/>
                </a:lnTo>
                <a:lnTo>
                  <a:pt x="746" y="299"/>
                </a:lnTo>
                <a:lnTo>
                  <a:pt x="776" y="300"/>
                </a:lnTo>
                <a:lnTo>
                  <a:pt x="797" y="300"/>
                </a:lnTo>
                <a:lnTo>
                  <a:pt x="817" y="300"/>
                </a:lnTo>
                <a:lnTo>
                  <a:pt x="831" y="300"/>
                </a:lnTo>
                <a:lnTo>
                  <a:pt x="827" y="319"/>
                </a:lnTo>
                <a:lnTo>
                  <a:pt x="794" y="401"/>
                </a:lnTo>
                <a:lnTo>
                  <a:pt x="764" y="404"/>
                </a:lnTo>
                <a:lnTo>
                  <a:pt x="750" y="405"/>
                </a:lnTo>
                <a:lnTo>
                  <a:pt x="722" y="409"/>
                </a:lnTo>
                <a:lnTo>
                  <a:pt x="716" y="419"/>
                </a:lnTo>
                <a:lnTo>
                  <a:pt x="699" y="414"/>
                </a:lnTo>
                <a:lnTo>
                  <a:pt x="671" y="428"/>
                </a:lnTo>
                <a:lnTo>
                  <a:pt x="683" y="377"/>
                </a:lnTo>
                <a:lnTo>
                  <a:pt x="662" y="377"/>
                </a:lnTo>
                <a:lnTo>
                  <a:pt x="676" y="353"/>
                </a:lnTo>
                <a:lnTo>
                  <a:pt x="668" y="344"/>
                </a:lnTo>
                <a:lnTo>
                  <a:pt x="666" y="343"/>
                </a:lnTo>
                <a:lnTo>
                  <a:pt x="662" y="350"/>
                </a:lnTo>
                <a:lnTo>
                  <a:pt x="653" y="339"/>
                </a:lnTo>
                <a:lnTo>
                  <a:pt x="653" y="322"/>
                </a:lnTo>
                <a:lnTo>
                  <a:pt x="645" y="348"/>
                </a:lnTo>
                <a:lnTo>
                  <a:pt x="620" y="348"/>
                </a:lnTo>
                <a:lnTo>
                  <a:pt x="606" y="333"/>
                </a:lnTo>
                <a:lnTo>
                  <a:pt x="589" y="289"/>
                </a:lnTo>
                <a:lnTo>
                  <a:pt x="606" y="283"/>
                </a:lnTo>
                <a:lnTo>
                  <a:pt x="598" y="260"/>
                </a:lnTo>
                <a:lnTo>
                  <a:pt x="624" y="258"/>
                </a:lnTo>
                <a:lnTo>
                  <a:pt x="606" y="233"/>
                </a:lnTo>
                <a:lnTo>
                  <a:pt x="589" y="248"/>
                </a:lnTo>
                <a:lnTo>
                  <a:pt x="589" y="228"/>
                </a:lnTo>
                <a:lnTo>
                  <a:pt x="614" y="206"/>
                </a:lnTo>
                <a:lnTo>
                  <a:pt x="606" y="185"/>
                </a:lnTo>
                <a:lnTo>
                  <a:pt x="606" y="193"/>
                </a:lnTo>
                <a:lnTo>
                  <a:pt x="590" y="200"/>
                </a:lnTo>
                <a:lnTo>
                  <a:pt x="595" y="161"/>
                </a:lnTo>
                <a:lnTo>
                  <a:pt x="606" y="175"/>
                </a:lnTo>
                <a:lnTo>
                  <a:pt x="622" y="171"/>
                </a:lnTo>
                <a:lnTo>
                  <a:pt x="624" y="148"/>
                </a:lnTo>
                <a:lnTo>
                  <a:pt x="606" y="141"/>
                </a:lnTo>
                <a:lnTo>
                  <a:pt x="606" y="123"/>
                </a:lnTo>
                <a:lnTo>
                  <a:pt x="628" y="87"/>
                </a:lnTo>
                <a:lnTo>
                  <a:pt x="653" y="82"/>
                </a:lnTo>
                <a:lnTo>
                  <a:pt x="653" y="38"/>
                </a:lnTo>
                <a:lnTo>
                  <a:pt x="652" y="38"/>
                </a:lnTo>
                <a:lnTo>
                  <a:pt x="638" y="43"/>
                </a:lnTo>
                <a:lnTo>
                  <a:pt x="629" y="71"/>
                </a:lnTo>
                <a:lnTo>
                  <a:pt x="606" y="85"/>
                </a:lnTo>
                <a:lnTo>
                  <a:pt x="599" y="100"/>
                </a:lnTo>
                <a:lnTo>
                  <a:pt x="591" y="87"/>
                </a:lnTo>
                <a:lnTo>
                  <a:pt x="582" y="99"/>
                </a:lnTo>
                <a:lnTo>
                  <a:pt x="580" y="112"/>
                </a:lnTo>
                <a:lnTo>
                  <a:pt x="553" y="121"/>
                </a:lnTo>
                <a:lnTo>
                  <a:pt x="552" y="122"/>
                </a:lnTo>
                <a:lnTo>
                  <a:pt x="572" y="141"/>
                </a:lnTo>
                <a:lnTo>
                  <a:pt x="575" y="171"/>
                </a:lnTo>
                <a:lnTo>
                  <a:pt x="548" y="227"/>
                </a:lnTo>
                <a:lnTo>
                  <a:pt x="553" y="239"/>
                </a:lnTo>
                <a:lnTo>
                  <a:pt x="559" y="289"/>
                </a:lnTo>
                <a:lnTo>
                  <a:pt x="579" y="319"/>
                </a:lnTo>
                <a:lnTo>
                  <a:pt x="574" y="334"/>
                </a:lnTo>
                <a:lnTo>
                  <a:pt x="582" y="337"/>
                </a:lnTo>
                <a:lnTo>
                  <a:pt x="578" y="348"/>
                </a:lnTo>
                <a:lnTo>
                  <a:pt x="590" y="377"/>
                </a:lnTo>
                <a:lnTo>
                  <a:pt x="592" y="399"/>
                </a:lnTo>
                <a:lnTo>
                  <a:pt x="572" y="377"/>
                </a:lnTo>
                <a:lnTo>
                  <a:pt x="564" y="383"/>
                </a:lnTo>
                <a:lnTo>
                  <a:pt x="535" y="354"/>
                </a:lnTo>
                <a:lnTo>
                  <a:pt x="503" y="351"/>
                </a:lnTo>
                <a:lnTo>
                  <a:pt x="494" y="331"/>
                </a:lnTo>
                <a:lnTo>
                  <a:pt x="489" y="342"/>
                </a:lnTo>
                <a:lnTo>
                  <a:pt x="479" y="338"/>
                </a:lnTo>
                <a:lnTo>
                  <a:pt x="466" y="309"/>
                </a:lnTo>
                <a:lnTo>
                  <a:pt x="442" y="311"/>
                </a:lnTo>
                <a:lnTo>
                  <a:pt x="433" y="319"/>
                </a:lnTo>
                <a:lnTo>
                  <a:pt x="418" y="316"/>
                </a:lnTo>
                <a:lnTo>
                  <a:pt x="418" y="282"/>
                </a:lnTo>
                <a:lnTo>
                  <a:pt x="441" y="257"/>
                </a:lnTo>
                <a:lnTo>
                  <a:pt x="441" y="248"/>
                </a:lnTo>
                <a:lnTo>
                  <a:pt x="442" y="246"/>
                </a:lnTo>
                <a:lnTo>
                  <a:pt x="450" y="240"/>
                </a:lnTo>
                <a:lnTo>
                  <a:pt x="457" y="230"/>
                </a:lnTo>
                <a:lnTo>
                  <a:pt x="458" y="224"/>
                </a:lnTo>
                <a:lnTo>
                  <a:pt x="458" y="221"/>
                </a:lnTo>
                <a:lnTo>
                  <a:pt x="458" y="220"/>
                </a:lnTo>
                <a:lnTo>
                  <a:pt x="472" y="206"/>
                </a:lnTo>
                <a:lnTo>
                  <a:pt x="483" y="196"/>
                </a:lnTo>
                <a:lnTo>
                  <a:pt x="463" y="177"/>
                </a:lnTo>
                <a:lnTo>
                  <a:pt x="458" y="172"/>
                </a:lnTo>
                <a:lnTo>
                  <a:pt x="453" y="176"/>
                </a:lnTo>
                <a:lnTo>
                  <a:pt x="447" y="182"/>
                </a:lnTo>
                <a:lnTo>
                  <a:pt x="443" y="186"/>
                </a:lnTo>
                <a:lnTo>
                  <a:pt x="438" y="179"/>
                </a:lnTo>
                <a:lnTo>
                  <a:pt x="418" y="172"/>
                </a:lnTo>
                <a:lnTo>
                  <a:pt x="418" y="165"/>
                </a:lnTo>
                <a:lnTo>
                  <a:pt x="403" y="157"/>
                </a:lnTo>
                <a:lnTo>
                  <a:pt x="395" y="156"/>
                </a:lnTo>
                <a:lnTo>
                  <a:pt x="367" y="141"/>
                </a:lnTo>
                <a:lnTo>
                  <a:pt x="380" y="118"/>
                </a:lnTo>
                <a:lnTo>
                  <a:pt x="374" y="112"/>
                </a:lnTo>
                <a:lnTo>
                  <a:pt x="345" y="98"/>
                </a:lnTo>
                <a:lnTo>
                  <a:pt x="338" y="94"/>
                </a:lnTo>
                <a:lnTo>
                  <a:pt x="331" y="95"/>
                </a:lnTo>
                <a:lnTo>
                  <a:pt x="325" y="92"/>
                </a:lnTo>
                <a:lnTo>
                  <a:pt x="325" y="72"/>
                </a:lnTo>
                <a:lnTo>
                  <a:pt x="311" y="54"/>
                </a:lnTo>
                <a:lnTo>
                  <a:pt x="302" y="25"/>
                </a:lnTo>
                <a:lnTo>
                  <a:pt x="278" y="29"/>
                </a:lnTo>
                <a:lnTo>
                  <a:pt x="274" y="24"/>
                </a:lnTo>
                <a:lnTo>
                  <a:pt x="255" y="8"/>
                </a:lnTo>
                <a:lnTo>
                  <a:pt x="229" y="23"/>
                </a:lnTo>
                <a:lnTo>
                  <a:pt x="216" y="20"/>
                </a:lnTo>
                <a:lnTo>
                  <a:pt x="208" y="22"/>
                </a:lnTo>
                <a:lnTo>
                  <a:pt x="208" y="28"/>
                </a:lnTo>
                <a:lnTo>
                  <a:pt x="191" y="49"/>
                </a:lnTo>
                <a:lnTo>
                  <a:pt x="185" y="48"/>
                </a:lnTo>
                <a:lnTo>
                  <a:pt x="162" y="44"/>
                </a:lnTo>
                <a:lnTo>
                  <a:pt x="155" y="45"/>
                </a:lnTo>
                <a:lnTo>
                  <a:pt x="128" y="22"/>
                </a:lnTo>
                <a:lnTo>
                  <a:pt x="91" y="63"/>
                </a:lnTo>
                <a:lnTo>
                  <a:pt x="78" y="57"/>
                </a:lnTo>
                <a:lnTo>
                  <a:pt x="52" y="82"/>
                </a:lnTo>
                <a:lnTo>
                  <a:pt x="44" y="86"/>
                </a:lnTo>
                <a:lnTo>
                  <a:pt x="41" y="93"/>
                </a:lnTo>
                <a:lnTo>
                  <a:pt x="20" y="107"/>
                </a:lnTo>
                <a:lnTo>
                  <a:pt x="3" y="123"/>
                </a:lnTo>
                <a:lnTo>
                  <a:pt x="0" y="122"/>
                </a:lnTo>
                <a:lnTo>
                  <a:pt x="1" y="45"/>
                </a:lnTo>
                <a:lnTo>
                  <a:pt x="2" y="1"/>
                </a:lnTo>
                <a:lnTo>
                  <a:pt x="8" y="1"/>
                </a:lnTo>
                <a:lnTo>
                  <a:pt x="14" y="1"/>
                </a:lnTo>
                <a:lnTo>
                  <a:pt x="18" y="1"/>
                </a:lnTo>
                <a:lnTo>
                  <a:pt x="75" y="0"/>
                </a:lnTo>
                <a:lnTo>
                  <a:pt x="82" y="0"/>
                </a:lnTo>
                <a:lnTo>
                  <a:pt x="107" y="0"/>
                </a:lnTo>
                <a:lnTo>
                  <a:pt x="115" y="0"/>
                </a:lnTo>
                <a:lnTo>
                  <a:pt x="120" y="0"/>
                </a:lnTo>
                <a:lnTo>
                  <a:pt x="127" y="0"/>
                </a:lnTo>
                <a:lnTo>
                  <a:pt x="178" y="0"/>
                </a:lnTo>
                <a:lnTo>
                  <a:pt x="185" y="0"/>
                </a:lnTo>
                <a:lnTo>
                  <a:pt x="208" y="0"/>
                </a:lnTo>
                <a:lnTo>
                  <a:pt x="214" y="0"/>
                </a:lnTo>
                <a:close/>
              </a:path>
            </a:pathLst>
          </a:custGeom>
          <a:solidFill>
            <a:srgbClr val="FFFFFF"/>
          </a:solidFill>
          <a:ln>
            <a:solidFill>
              <a:schemeClr val="bg1">
                <a:lumMod val="85000"/>
              </a:schemeClr>
            </a:solidFill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</xdr:sp>
    </xdr:grpSp>
    <xdr:clientData/>
  </xdr:twoCellAnchor>
  <xdr:twoCellAnchor>
    <xdr:from>
      <xdr:col>25</xdr:col>
      <xdr:colOff>58797</xdr:colOff>
      <xdr:row>8</xdr:row>
      <xdr:rowOff>93025</xdr:rowOff>
    </xdr:from>
    <xdr:to>
      <xdr:col>25</xdr:col>
      <xdr:colOff>329260</xdr:colOff>
      <xdr:row>11</xdr:row>
      <xdr:rowOff>97508</xdr:rowOff>
    </xdr:to>
    <xdr:grpSp>
      <xdr:nvGrpSpPr>
        <xdr:cNvPr id="85" name="S_ME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GrpSpPr>
          <a:grpSpLocks/>
        </xdr:cNvGrpSpPr>
      </xdr:nvGrpSpPr>
      <xdr:grpSpPr bwMode="auto">
        <a:xfrm>
          <a:off x="15321209" y="1617025"/>
          <a:ext cx="270463" cy="575983"/>
          <a:chOff x="8333982" y="910524"/>
          <a:chExt cx="587813" cy="805423"/>
        </a:xfrm>
        <a:solidFill>
          <a:schemeClr val="accent1">
            <a:lumMod val="20000"/>
            <a:lumOff val="80000"/>
          </a:schemeClr>
        </a:solidFill>
      </xdr:grpSpPr>
      <xdr:sp macro="" textlink="">
        <xdr:nvSpPr>
          <xdr:cNvPr id="86" name="S_ME2">
            <a:extLst>
              <a:ext uri="{FF2B5EF4-FFF2-40B4-BE49-F238E27FC236}">
                <a16:creationId xmlns:a16="http://schemas.microsoft.com/office/drawing/2014/main" id="{00000000-0008-0000-0400-000056000000}"/>
              </a:ext>
            </a:extLst>
          </xdr:cNvPr>
          <xdr:cNvSpPr>
            <a:spLocks/>
          </xdr:cNvSpPr>
        </xdr:nvSpPr>
        <xdr:spPr bwMode="auto">
          <a:xfrm>
            <a:off x="8333982" y="910524"/>
            <a:ext cx="587813" cy="805423"/>
          </a:xfrm>
          <a:custGeom>
            <a:avLst/>
            <a:gdLst>
              <a:gd name="T0" fmla="*/ 2147483647 w 772"/>
              <a:gd name="T1" fmla="*/ 2147483647 h 1040"/>
              <a:gd name="T2" fmla="*/ 2147483647 w 772"/>
              <a:gd name="T3" fmla="*/ 2147483647 h 1040"/>
              <a:gd name="T4" fmla="*/ 0 w 772"/>
              <a:gd name="T5" fmla="*/ 2147483647 h 1040"/>
              <a:gd name="T6" fmla="*/ 2147483647 w 772"/>
              <a:gd name="T7" fmla="*/ 2147483647 h 1040"/>
              <a:gd name="T8" fmla="*/ 2147483647 w 772"/>
              <a:gd name="T9" fmla="*/ 2147483647 h 1040"/>
              <a:gd name="T10" fmla="*/ 2147483647 w 772"/>
              <a:gd name="T11" fmla="*/ 2147483647 h 1040"/>
              <a:gd name="T12" fmla="*/ 2147483647 w 772"/>
              <a:gd name="T13" fmla="*/ 2147483647 h 1040"/>
              <a:gd name="T14" fmla="*/ 2147483647 w 772"/>
              <a:gd name="T15" fmla="*/ 2147483647 h 1040"/>
              <a:gd name="T16" fmla="*/ 2147483647 w 772"/>
              <a:gd name="T17" fmla="*/ 2147483647 h 1040"/>
              <a:gd name="T18" fmla="*/ 2147483647 w 772"/>
              <a:gd name="T19" fmla="*/ 2147483647 h 1040"/>
              <a:gd name="T20" fmla="*/ 2147483647 w 772"/>
              <a:gd name="T21" fmla="*/ 2147483647 h 1040"/>
              <a:gd name="T22" fmla="*/ 2147483647 w 772"/>
              <a:gd name="T23" fmla="*/ 2147483647 h 1040"/>
              <a:gd name="T24" fmla="*/ 2147483647 w 772"/>
              <a:gd name="T25" fmla="*/ 2147483647 h 1040"/>
              <a:gd name="T26" fmla="*/ 2147483647 w 772"/>
              <a:gd name="T27" fmla="*/ 2147483647 h 1040"/>
              <a:gd name="T28" fmla="*/ 2147483647 w 772"/>
              <a:gd name="T29" fmla="*/ 2147483647 h 1040"/>
              <a:gd name="T30" fmla="*/ 2147483647 w 772"/>
              <a:gd name="T31" fmla="*/ 2147483647 h 1040"/>
              <a:gd name="T32" fmla="*/ 2147483647 w 772"/>
              <a:gd name="T33" fmla="*/ 2147483647 h 1040"/>
              <a:gd name="T34" fmla="*/ 2147483647 w 772"/>
              <a:gd name="T35" fmla="*/ 2147483647 h 1040"/>
              <a:gd name="T36" fmla="*/ 2147483647 w 772"/>
              <a:gd name="T37" fmla="*/ 2147483647 h 1040"/>
              <a:gd name="T38" fmla="*/ 2147483647 w 772"/>
              <a:gd name="T39" fmla="*/ 2147483647 h 1040"/>
              <a:gd name="T40" fmla="*/ 2147483647 w 772"/>
              <a:gd name="T41" fmla="*/ 2147483647 h 1040"/>
              <a:gd name="T42" fmla="*/ 2147483647 w 772"/>
              <a:gd name="T43" fmla="*/ 2147483647 h 1040"/>
              <a:gd name="T44" fmla="*/ 2147483647 w 772"/>
              <a:gd name="T45" fmla="*/ 2147483647 h 1040"/>
              <a:gd name="T46" fmla="*/ 2147483647 w 772"/>
              <a:gd name="T47" fmla="*/ 2147483647 h 1040"/>
              <a:gd name="T48" fmla="*/ 2147483647 w 772"/>
              <a:gd name="T49" fmla="*/ 2147483647 h 1040"/>
              <a:gd name="T50" fmla="*/ 2147483647 w 772"/>
              <a:gd name="T51" fmla="*/ 2147483647 h 1040"/>
              <a:gd name="T52" fmla="*/ 2147483647 w 772"/>
              <a:gd name="T53" fmla="*/ 2147483647 h 1040"/>
              <a:gd name="T54" fmla="*/ 2147483647 w 772"/>
              <a:gd name="T55" fmla="*/ 2147483647 h 1040"/>
              <a:gd name="T56" fmla="*/ 2147483647 w 772"/>
              <a:gd name="T57" fmla="*/ 2147483647 h 1040"/>
              <a:gd name="T58" fmla="*/ 2147483647 w 772"/>
              <a:gd name="T59" fmla="*/ 2147483647 h 1040"/>
              <a:gd name="T60" fmla="*/ 2147483647 w 772"/>
              <a:gd name="T61" fmla="*/ 2147483647 h 1040"/>
              <a:gd name="T62" fmla="*/ 2147483647 w 772"/>
              <a:gd name="T63" fmla="*/ 2147483647 h 1040"/>
              <a:gd name="T64" fmla="*/ 2147483647 w 772"/>
              <a:gd name="T65" fmla="*/ 2147483647 h 1040"/>
              <a:gd name="T66" fmla="*/ 2147483647 w 772"/>
              <a:gd name="T67" fmla="*/ 2147483647 h 1040"/>
              <a:gd name="T68" fmla="*/ 2147483647 w 772"/>
              <a:gd name="T69" fmla="*/ 2147483647 h 1040"/>
              <a:gd name="T70" fmla="*/ 2147483647 w 772"/>
              <a:gd name="T71" fmla="*/ 2147483647 h 1040"/>
              <a:gd name="T72" fmla="*/ 2147483647 w 772"/>
              <a:gd name="T73" fmla="*/ 2147483647 h 1040"/>
              <a:gd name="T74" fmla="*/ 2147483647 w 772"/>
              <a:gd name="T75" fmla="*/ 2147483647 h 1040"/>
              <a:gd name="T76" fmla="*/ 2147483647 w 772"/>
              <a:gd name="T77" fmla="*/ 2147483647 h 1040"/>
              <a:gd name="T78" fmla="*/ 2147483647 w 772"/>
              <a:gd name="T79" fmla="*/ 2147483647 h 1040"/>
              <a:gd name="T80" fmla="*/ 2147483647 w 772"/>
              <a:gd name="T81" fmla="*/ 2147483647 h 1040"/>
              <a:gd name="T82" fmla="*/ 2147483647 w 772"/>
              <a:gd name="T83" fmla="*/ 2147483647 h 1040"/>
              <a:gd name="T84" fmla="*/ 2147483647 w 772"/>
              <a:gd name="T85" fmla="*/ 2147483647 h 1040"/>
              <a:gd name="T86" fmla="*/ 2147483647 w 772"/>
              <a:gd name="T87" fmla="*/ 2147483647 h 1040"/>
              <a:gd name="T88" fmla="*/ 2147483647 w 772"/>
              <a:gd name="T89" fmla="*/ 2147483647 h 1040"/>
              <a:gd name="T90" fmla="*/ 2147483647 w 772"/>
              <a:gd name="T91" fmla="*/ 2147483647 h 1040"/>
              <a:gd name="T92" fmla="*/ 2147483647 w 772"/>
              <a:gd name="T93" fmla="*/ 2147483647 h 1040"/>
              <a:gd name="T94" fmla="*/ 2147483647 w 772"/>
              <a:gd name="T95" fmla="*/ 2147483647 h 1040"/>
              <a:gd name="T96" fmla="*/ 2147483647 w 772"/>
              <a:gd name="T97" fmla="*/ 2147483647 h 1040"/>
              <a:gd name="T98" fmla="*/ 2147483647 w 772"/>
              <a:gd name="T99" fmla="*/ 2147483647 h 1040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w 772"/>
              <a:gd name="T151" fmla="*/ 0 h 1040"/>
              <a:gd name="T152" fmla="*/ 772 w 772"/>
              <a:gd name="T153" fmla="*/ 1040 h 1040"/>
            </a:gdLst>
            <a:ahLst/>
            <a:cxnLst>
              <a:cxn ang="T100">
                <a:pos x="T0" y="T1"/>
              </a:cxn>
              <a:cxn ang="T101">
                <a:pos x="T2" y="T3"/>
              </a:cxn>
              <a:cxn ang="T102">
                <a:pos x="T4" y="T5"/>
              </a:cxn>
              <a:cxn ang="T103">
                <a:pos x="T6" y="T7"/>
              </a:cxn>
              <a:cxn ang="T104">
                <a:pos x="T8" y="T9"/>
              </a:cxn>
              <a:cxn ang="T105">
                <a:pos x="T10" y="T11"/>
              </a:cxn>
              <a:cxn ang="T106">
                <a:pos x="T12" y="T13"/>
              </a:cxn>
              <a:cxn ang="T107">
                <a:pos x="T14" y="T15"/>
              </a:cxn>
              <a:cxn ang="T108">
                <a:pos x="T16" y="T17"/>
              </a:cxn>
              <a:cxn ang="T109">
                <a:pos x="T18" y="T19"/>
              </a:cxn>
              <a:cxn ang="T110">
                <a:pos x="T20" y="T21"/>
              </a:cxn>
              <a:cxn ang="T111">
                <a:pos x="T22" y="T23"/>
              </a:cxn>
              <a:cxn ang="T112">
                <a:pos x="T24" y="T25"/>
              </a:cxn>
              <a:cxn ang="T113">
                <a:pos x="T26" y="T27"/>
              </a:cxn>
              <a:cxn ang="T114">
                <a:pos x="T28" y="T29"/>
              </a:cxn>
              <a:cxn ang="T115">
                <a:pos x="T30" y="T31"/>
              </a:cxn>
              <a:cxn ang="T116">
                <a:pos x="T32" y="T33"/>
              </a:cxn>
              <a:cxn ang="T117">
                <a:pos x="T34" y="T35"/>
              </a:cxn>
              <a:cxn ang="T118">
                <a:pos x="T36" y="T37"/>
              </a:cxn>
              <a:cxn ang="T119">
                <a:pos x="T38" y="T39"/>
              </a:cxn>
              <a:cxn ang="T120">
                <a:pos x="T40" y="T41"/>
              </a:cxn>
              <a:cxn ang="T121">
                <a:pos x="T42" y="T43"/>
              </a:cxn>
              <a:cxn ang="T122">
                <a:pos x="T44" y="T45"/>
              </a:cxn>
              <a:cxn ang="T123">
                <a:pos x="T46" y="T47"/>
              </a:cxn>
              <a:cxn ang="T124">
                <a:pos x="T48" y="T49"/>
              </a:cxn>
              <a:cxn ang="T125">
                <a:pos x="T50" y="T51"/>
              </a:cxn>
              <a:cxn ang="T126">
                <a:pos x="T52" y="T53"/>
              </a:cxn>
              <a:cxn ang="T127">
                <a:pos x="T54" y="T55"/>
              </a:cxn>
              <a:cxn ang="T128">
                <a:pos x="T56" y="T57"/>
              </a:cxn>
              <a:cxn ang="T129">
                <a:pos x="T58" y="T59"/>
              </a:cxn>
              <a:cxn ang="T130">
                <a:pos x="T60" y="T61"/>
              </a:cxn>
              <a:cxn ang="T131">
                <a:pos x="T62" y="T63"/>
              </a:cxn>
              <a:cxn ang="T132">
                <a:pos x="T64" y="T65"/>
              </a:cxn>
              <a:cxn ang="T133">
                <a:pos x="T66" y="T67"/>
              </a:cxn>
              <a:cxn ang="T134">
                <a:pos x="T68" y="T69"/>
              </a:cxn>
              <a:cxn ang="T135">
                <a:pos x="T70" y="T71"/>
              </a:cxn>
              <a:cxn ang="T136">
                <a:pos x="T72" y="T73"/>
              </a:cxn>
              <a:cxn ang="T137">
                <a:pos x="T74" y="T75"/>
              </a:cxn>
              <a:cxn ang="T138">
                <a:pos x="T76" y="T77"/>
              </a:cxn>
              <a:cxn ang="T139">
                <a:pos x="T78" y="T79"/>
              </a:cxn>
              <a:cxn ang="T140">
                <a:pos x="T80" y="T81"/>
              </a:cxn>
              <a:cxn ang="T141">
                <a:pos x="T82" y="T83"/>
              </a:cxn>
              <a:cxn ang="T142">
                <a:pos x="T84" y="T85"/>
              </a:cxn>
              <a:cxn ang="T143">
                <a:pos x="T86" y="T87"/>
              </a:cxn>
              <a:cxn ang="T144">
                <a:pos x="T88" y="T89"/>
              </a:cxn>
              <a:cxn ang="T145">
                <a:pos x="T90" y="T91"/>
              </a:cxn>
              <a:cxn ang="T146">
                <a:pos x="T92" y="T93"/>
              </a:cxn>
              <a:cxn ang="T147">
                <a:pos x="T94" y="T95"/>
              </a:cxn>
              <a:cxn ang="T148">
                <a:pos x="T96" y="T97"/>
              </a:cxn>
              <a:cxn ang="T149">
                <a:pos x="T98" y="T99"/>
              </a:cxn>
            </a:cxnLst>
            <a:rect l="T150" t="T151" r="T152" b="T153"/>
            <a:pathLst>
              <a:path w="772" h="1040">
                <a:moveTo>
                  <a:pt x="16" y="867"/>
                </a:moveTo>
                <a:lnTo>
                  <a:pt x="15" y="817"/>
                </a:lnTo>
                <a:lnTo>
                  <a:pt x="13" y="759"/>
                </a:lnTo>
                <a:lnTo>
                  <a:pt x="13" y="750"/>
                </a:lnTo>
                <a:lnTo>
                  <a:pt x="8" y="641"/>
                </a:lnTo>
                <a:lnTo>
                  <a:pt x="0" y="533"/>
                </a:lnTo>
                <a:lnTo>
                  <a:pt x="0" y="522"/>
                </a:lnTo>
                <a:lnTo>
                  <a:pt x="14" y="501"/>
                </a:lnTo>
                <a:lnTo>
                  <a:pt x="42" y="526"/>
                </a:lnTo>
                <a:lnTo>
                  <a:pt x="45" y="516"/>
                </a:lnTo>
                <a:lnTo>
                  <a:pt x="61" y="481"/>
                </a:lnTo>
                <a:lnTo>
                  <a:pt x="84" y="487"/>
                </a:lnTo>
                <a:lnTo>
                  <a:pt x="85" y="436"/>
                </a:lnTo>
                <a:lnTo>
                  <a:pt x="99" y="424"/>
                </a:lnTo>
                <a:lnTo>
                  <a:pt x="129" y="404"/>
                </a:lnTo>
                <a:lnTo>
                  <a:pt x="158" y="358"/>
                </a:lnTo>
                <a:lnTo>
                  <a:pt x="145" y="345"/>
                </a:lnTo>
                <a:lnTo>
                  <a:pt x="154" y="317"/>
                </a:lnTo>
                <a:lnTo>
                  <a:pt x="154" y="285"/>
                </a:lnTo>
                <a:lnTo>
                  <a:pt x="191" y="247"/>
                </a:lnTo>
                <a:lnTo>
                  <a:pt x="197" y="210"/>
                </a:lnTo>
                <a:lnTo>
                  <a:pt x="203" y="181"/>
                </a:lnTo>
                <a:lnTo>
                  <a:pt x="347" y="0"/>
                </a:lnTo>
                <a:lnTo>
                  <a:pt x="377" y="39"/>
                </a:lnTo>
                <a:lnTo>
                  <a:pt x="389" y="55"/>
                </a:lnTo>
                <a:lnTo>
                  <a:pt x="463" y="50"/>
                </a:lnTo>
                <a:lnTo>
                  <a:pt x="511" y="24"/>
                </a:lnTo>
                <a:lnTo>
                  <a:pt x="527" y="25"/>
                </a:lnTo>
                <a:lnTo>
                  <a:pt x="586" y="63"/>
                </a:lnTo>
                <a:lnTo>
                  <a:pt x="597" y="83"/>
                </a:lnTo>
                <a:lnTo>
                  <a:pt x="612" y="92"/>
                </a:lnTo>
                <a:lnTo>
                  <a:pt x="612" y="420"/>
                </a:lnTo>
                <a:lnTo>
                  <a:pt x="667" y="443"/>
                </a:lnTo>
                <a:lnTo>
                  <a:pt x="678" y="439"/>
                </a:lnTo>
                <a:lnTo>
                  <a:pt x="676" y="522"/>
                </a:lnTo>
                <a:lnTo>
                  <a:pt x="696" y="550"/>
                </a:lnTo>
                <a:lnTo>
                  <a:pt x="703" y="549"/>
                </a:lnTo>
                <a:lnTo>
                  <a:pt x="709" y="537"/>
                </a:lnTo>
                <a:lnTo>
                  <a:pt x="740" y="551"/>
                </a:lnTo>
                <a:lnTo>
                  <a:pt x="763" y="598"/>
                </a:lnTo>
                <a:lnTo>
                  <a:pt x="772" y="624"/>
                </a:lnTo>
                <a:lnTo>
                  <a:pt x="718" y="671"/>
                </a:lnTo>
                <a:lnTo>
                  <a:pt x="713" y="670"/>
                </a:lnTo>
                <a:lnTo>
                  <a:pt x="713" y="675"/>
                </a:lnTo>
                <a:lnTo>
                  <a:pt x="707" y="670"/>
                </a:lnTo>
                <a:lnTo>
                  <a:pt x="693" y="671"/>
                </a:lnTo>
                <a:lnTo>
                  <a:pt x="693" y="677"/>
                </a:lnTo>
                <a:lnTo>
                  <a:pt x="669" y="687"/>
                </a:lnTo>
                <a:lnTo>
                  <a:pt x="667" y="701"/>
                </a:lnTo>
                <a:lnTo>
                  <a:pt x="650" y="714"/>
                </a:lnTo>
                <a:lnTo>
                  <a:pt x="648" y="703"/>
                </a:lnTo>
                <a:lnTo>
                  <a:pt x="612" y="700"/>
                </a:lnTo>
                <a:lnTo>
                  <a:pt x="600" y="721"/>
                </a:lnTo>
                <a:lnTo>
                  <a:pt x="587" y="722"/>
                </a:lnTo>
                <a:lnTo>
                  <a:pt x="574" y="725"/>
                </a:lnTo>
                <a:lnTo>
                  <a:pt x="570" y="740"/>
                </a:lnTo>
                <a:lnTo>
                  <a:pt x="529" y="762"/>
                </a:lnTo>
                <a:lnTo>
                  <a:pt x="501" y="759"/>
                </a:lnTo>
                <a:lnTo>
                  <a:pt x="482" y="720"/>
                </a:lnTo>
                <a:lnTo>
                  <a:pt x="483" y="741"/>
                </a:lnTo>
                <a:lnTo>
                  <a:pt x="445" y="791"/>
                </a:lnTo>
                <a:lnTo>
                  <a:pt x="423" y="744"/>
                </a:lnTo>
                <a:lnTo>
                  <a:pt x="430" y="700"/>
                </a:lnTo>
                <a:lnTo>
                  <a:pt x="427" y="698"/>
                </a:lnTo>
                <a:lnTo>
                  <a:pt x="412" y="716"/>
                </a:lnTo>
                <a:lnTo>
                  <a:pt x="396" y="730"/>
                </a:lnTo>
                <a:lnTo>
                  <a:pt x="383" y="759"/>
                </a:lnTo>
                <a:lnTo>
                  <a:pt x="374" y="789"/>
                </a:lnTo>
                <a:lnTo>
                  <a:pt x="379" y="817"/>
                </a:lnTo>
                <a:lnTo>
                  <a:pt x="330" y="847"/>
                </a:lnTo>
                <a:lnTo>
                  <a:pt x="316" y="841"/>
                </a:lnTo>
                <a:lnTo>
                  <a:pt x="298" y="847"/>
                </a:lnTo>
                <a:lnTo>
                  <a:pt x="292" y="857"/>
                </a:lnTo>
                <a:lnTo>
                  <a:pt x="271" y="863"/>
                </a:lnTo>
                <a:lnTo>
                  <a:pt x="258" y="860"/>
                </a:lnTo>
                <a:lnTo>
                  <a:pt x="249" y="876"/>
                </a:lnTo>
                <a:lnTo>
                  <a:pt x="233" y="889"/>
                </a:lnTo>
                <a:lnTo>
                  <a:pt x="223" y="877"/>
                </a:lnTo>
                <a:lnTo>
                  <a:pt x="216" y="872"/>
                </a:lnTo>
                <a:lnTo>
                  <a:pt x="201" y="886"/>
                </a:lnTo>
                <a:lnTo>
                  <a:pt x="177" y="890"/>
                </a:lnTo>
                <a:lnTo>
                  <a:pt x="163" y="906"/>
                </a:lnTo>
                <a:lnTo>
                  <a:pt x="165" y="920"/>
                </a:lnTo>
                <a:lnTo>
                  <a:pt x="159" y="927"/>
                </a:lnTo>
                <a:lnTo>
                  <a:pt x="152" y="923"/>
                </a:lnTo>
                <a:lnTo>
                  <a:pt x="136" y="928"/>
                </a:lnTo>
                <a:lnTo>
                  <a:pt x="130" y="936"/>
                </a:lnTo>
                <a:lnTo>
                  <a:pt x="132" y="945"/>
                </a:lnTo>
                <a:lnTo>
                  <a:pt x="140" y="946"/>
                </a:lnTo>
                <a:lnTo>
                  <a:pt x="90" y="995"/>
                </a:lnTo>
                <a:lnTo>
                  <a:pt x="91" y="1014"/>
                </a:lnTo>
                <a:lnTo>
                  <a:pt x="70" y="1040"/>
                </a:lnTo>
                <a:lnTo>
                  <a:pt x="61" y="1036"/>
                </a:lnTo>
                <a:lnTo>
                  <a:pt x="61" y="1035"/>
                </a:lnTo>
                <a:lnTo>
                  <a:pt x="48" y="1025"/>
                </a:lnTo>
                <a:lnTo>
                  <a:pt x="44" y="995"/>
                </a:lnTo>
                <a:lnTo>
                  <a:pt x="22" y="973"/>
                </a:lnTo>
                <a:lnTo>
                  <a:pt x="22" y="927"/>
                </a:lnTo>
                <a:lnTo>
                  <a:pt x="22" y="925"/>
                </a:lnTo>
                <a:lnTo>
                  <a:pt x="17" y="876"/>
                </a:lnTo>
                <a:lnTo>
                  <a:pt x="16" y="867"/>
                </a:lnTo>
                <a:close/>
              </a:path>
            </a:pathLst>
          </a:custGeom>
          <a:solidFill>
            <a:srgbClr val="FFFFFF"/>
          </a:solidFill>
          <a:ln>
            <a:solidFill>
              <a:schemeClr val="bg1">
                <a:lumMod val="85000"/>
              </a:schemeClr>
            </a:solidFill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</xdr:sp>
      <xdr:sp macro="" textlink="">
        <xdr:nvSpPr>
          <xdr:cNvPr id="87" name="S_ME1">
            <a:extLst>
              <a:ext uri="{FF2B5EF4-FFF2-40B4-BE49-F238E27FC236}">
                <a16:creationId xmlns:a16="http://schemas.microsoft.com/office/drawing/2014/main" id="{00000000-0008-0000-0400-000057000000}"/>
              </a:ext>
            </a:extLst>
          </xdr:cNvPr>
          <xdr:cNvSpPr>
            <a:spLocks/>
          </xdr:cNvSpPr>
        </xdr:nvSpPr>
        <xdr:spPr bwMode="auto">
          <a:xfrm>
            <a:off x="8764330" y="1516509"/>
            <a:ext cx="22902" cy="7671"/>
          </a:xfrm>
          <a:custGeom>
            <a:avLst/>
            <a:gdLst>
              <a:gd name="T0" fmla="*/ 0 w 30"/>
              <a:gd name="T1" fmla="*/ 2147483647 h 15"/>
              <a:gd name="T2" fmla="*/ 2147483647 w 30"/>
              <a:gd name="T3" fmla="*/ 2147483647 h 15"/>
              <a:gd name="T4" fmla="*/ 2147483647 w 30"/>
              <a:gd name="T5" fmla="*/ 0 h 15"/>
              <a:gd name="T6" fmla="*/ 0 w 30"/>
              <a:gd name="T7" fmla="*/ 2147483647 h 15"/>
              <a:gd name="T8" fmla="*/ 0 w 30"/>
              <a:gd name="T9" fmla="*/ 2147483647 h 1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30"/>
              <a:gd name="T16" fmla="*/ 0 h 15"/>
              <a:gd name="T17" fmla="*/ 30 w 30"/>
              <a:gd name="T18" fmla="*/ 15 h 15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30" h="15">
                <a:moveTo>
                  <a:pt x="0" y="14"/>
                </a:moveTo>
                <a:lnTo>
                  <a:pt x="30" y="15"/>
                </a:lnTo>
                <a:lnTo>
                  <a:pt x="19" y="0"/>
                </a:lnTo>
                <a:lnTo>
                  <a:pt x="0" y="1"/>
                </a:lnTo>
                <a:lnTo>
                  <a:pt x="0" y="14"/>
                </a:lnTo>
                <a:close/>
              </a:path>
            </a:pathLst>
          </a:custGeom>
          <a:solidFill>
            <a:srgbClr val="FFFFFF"/>
          </a:solidFill>
          <a:ln>
            <a:solidFill>
              <a:schemeClr val="bg1">
                <a:lumMod val="85000"/>
              </a:schemeClr>
            </a:solidFill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</xdr:sp>
    </xdr:grpSp>
    <xdr:clientData/>
  </xdr:twoCellAnchor>
  <xdr:twoCellAnchor>
    <xdr:from>
      <xdr:col>24</xdr:col>
      <xdr:colOff>440564</xdr:colOff>
      <xdr:row>11</xdr:row>
      <xdr:rowOff>147994</xdr:rowOff>
    </xdr:from>
    <xdr:to>
      <xdr:col>25</xdr:col>
      <xdr:colOff>151484</xdr:colOff>
      <xdr:row>12</xdr:row>
      <xdr:rowOff>149359</xdr:rowOff>
    </xdr:to>
    <xdr:sp macro="" textlink="">
      <xdr:nvSpPr>
        <xdr:cNvPr id="88" name="S_MA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>
          <a:spLocks/>
        </xdr:cNvSpPr>
      </xdr:nvSpPr>
      <xdr:spPr bwMode="auto">
        <a:xfrm>
          <a:off x="5079239" y="2357794"/>
          <a:ext cx="320520" cy="229965"/>
        </a:xfrm>
        <a:custGeom>
          <a:avLst/>
          <a:gdLst>
            <a:gd name="T0" fmla="*/ 2147483647 w 669"/>
            <a:gd name="T1" fmla="*/ 2147483647 h 345"/>
            <a:gd name="T2" fmla="*/ 2147483647 w 669"/>
            <a:gd name="T3" fmla="*/ 2147483647 h 345"/>
            <a:gd name="T4" fmla="*/ 2147483647 w 669"/>
            <a:gd name="T5" fmla="*/ 2147483647 h 345"/>
            <a:gd name="T6" fmla="*/ 2147483647 w 669"/>
            <a:gd name="T7" fmla="*/ 2147483647 h 345"/>
            <a:gd name="T8" fmla="*/ 2147483647 w 669"/>
            <a:gd name="T9" fmla="*/ 2147483647 h 345"/>
            <a:gd name="T10" fmla="*/ 2147483647 w 669"/>
            <a:gd name="T11" fmla="*/ 2147483647 h 345"/>
            <a:gd name="T12" fmla="*/ 2147483647 w 669"/>
            <a:gd name="T13" fmla="*/ 2147483647 h 345"/>
            <a:gd name="T14" fmla="*/ 2147483647 w 669"/>
            <a:gd name="T15" fmla="*/ 2147483647 h 345"/>
            <a:gd name="T16" fmla="*/ 2147483647 w 669"/>
            <a:gd name="T17" fmla="*/ 2147483647 h 345"/>
            <a:gd name="T18" fmla="*/ 2147483647 w 669"/>
            <a:gd name="T19" fmla="*/ 2147483647 h 345"/>
            <a:gd name="T20" fmla="*/ 2147483647 w 669"/>
            <a:gd name="T21" fmla="*/ 2147483647 h 345"/>
            <a:gd name="T22" fmla="*/ 2147483647 w 669"/>
            <a:gd name="T23" fmla="*/ 2147483647 h 345"/>
            <a:gd name="T24" fmla="*/ 2147483647 w 669"/>
            <a:gd name="T25" fmla="*/ 2147483647 h 345"/>
            <a:gd name="T26" fmla="*/ 2147483647 w 669"/>
            <a:gd name="T27" fmla="*/ 2147483647 h 345"/>
            <a:gd name="T28" fmla="*/ 2147483647 w 669"/>
            <a:gd name="T29" fmla="*/ 2147483647 h 345"/>
            <a:gd name="T30" fmla="*/ 2147483647 w 669"/>
            <a:gd name="T31" fmla="*/ 2147483647 h 345"/>
            <a:gd name="T32" fmla="*/ 2147483647 w 669"/>
            <a:gd name="T33" fmla="*/ 2147483647 h 345"/>
            <a:gd name="T34" fmla="*/ 2147483647 w 669"/>
            <a:gd name="T35" fmla="*/ 2147483647 h 345"/>
            <a:gd name="T36" fmla="*/ 2147483647 w 669"/>
            <a:gd name="T37" fmla="*/ 2147483647 h 345"/>
            <a:gd name="T38" fmla="*/ 2147483647 w 669"/>
            <a:gd name="T39" fmla="*/ 2147483647 h 345"/>
            <a:gd name="T40" fmla="*/ 2147483647 w 669"/>
            <a:gd name="T41" fmla="*/ 2147483647 h 345"/>
            <a:gd name="T42" fmla="*/ 2147483647 w 669"/>
            <a:gd name="T43" fmla="*/ 2147483647 h 345"/>
            <a:gd name="T44" fmla="*/ 2147483647 w 669"/>
            <a:gd name="T45" fmla="*/ 2147483647 h 345"/>
            <a:gd name="T46" fmla="*/ 2147483647 w 669"/>
            <a:gd name="T47" fmla="*/ 2147483647 h 345"/>
            <a:gd name="T48" fmla="*/ 2147483647 w 669"/>
            <a:gd name="T49" fmla="*/ 2147483647 h 345"/>
            <a:gd name="T50" fmla="*/ 2147483647 w 669"/>
            <a:gd name="T51" fmla="*/ 2147483647 h 345"/>
            <a:gd name="T52" fmla="*/ 2147483647 w 669"/>
            <a:gd name="T53" fmla="*/ 2147483647 h 345"/>
            <a:gd name="T54" fmla="*/ 2147483647 w 669"/>
            <a:gd name="T55" fmla="*/ 2147483647 h 345"/>
            <a:gd name="T56" fmla="*/ 2147483647 w 669"/>
            <a:gd name="T57" fmla="*/ 2147483647 h 345"/>
            <a:gd name="T58" fmla="*/ 2147483647 w 669"/>
            <a:gd name="T59" fmla="*/ 2147483647 h 345"/>
            <a:gd name="T60" fmla="*/ 2147483647 w 669"/>
            <a:gd name="T61" fmla="*/ 2147483647 h 345"/>
            <a:gd name="T62" fmla="*/ 2147483647 w 669"/>
            <a:gd name="T63" fmla="*/ 2147483647 h 345"/>
            <a:gd name="T64" fmla="*/ 2147483647 w 669"/>
            <a:gd name="T65" fmla="*/ 2147483647 h 345"/>
            <a:gd name="T66" fmla="*/ 2147483647 w 669"/>
            <a:gd name="T67" fmla="*/ 2147483647 h 345"/>
            <a:gd name="T68" fmla="*/ 2147483647 w 669"/>
            <a:gd name="T69" fmla="*/ 0 h 345"/>
            <a:gd name="T70" fmla="*/ 2147483647 w 669"/>
            <a:gd name="T71" fmla="*/ 2147483647 h 345"/>
            <a:gd name="T72" fmla="*/ 2147483647 w 669"/>
            <a:gd name="T73" fmla="*/ 2147483647 h 345"/>
            <a:gd name="T74" fmla="*/ 2147483647 w 669"/>
            <a:gd name="T75" fmla="*/ 2147483647 h 345"/>
            <a:gd name="T76" fmla="*/ 2147483647 w 669"/>
            <a:gd name="T77" fmla="*/ 2147483647 h 345"/>
            <a:gd name="T78" fmla="*/ 2147483647 w 669"/>
            <a:gd name="T79" fmla="*/ 2147483647 h 345"/>
            <a:gd name="T80" fmla="*/ 2147483647 w 669"/>
            <a:gd name="T81" fmla="*/ 2147483647 h 345"/>
            <a:gd name="T82" fmla="*/ 2147483647 w 669"/>
            <a:gd name="T83" fmla="*/ 2147483647 h 345"/>
            <a:gd name="T84" fmla="*/ 2147483647 w 669"/>
            <a:gd name="T85" fmla="*/ 2147483647 h 345"/>
            <a:gd name="T86" fmla="*/ 2147483647 w 669"/>
            <a:gd name="T87" fmla="*/ 2147483647 h 345"/>
            <a:gd name="T88" fmla="*/ 2147483647 w 669"/>
            <a:gd name="T89" fmla="*/ 2147483647 h 345"/>
            <a:gd name="T90" fmla="*/ 2147483647 w 669"/>
            <a:gd name="T91" fmla="*/ 2147483647 h 345"/>
            <a:gd name="T92" fmla="*/ 2147483647 w 669"/>
            <a:gd name="T93" fmla="*/ 2147483647 h 345"/>
            <a:gd name="T94" fmla="*/ 2147483647 w 669"/>
            <a:gd name="T95" fmla="*/ 2147483647 h 345"/>
            <a:gd name="T96" fmla="*/ 2147483647 w 669"/>
            <a:gd name="T97" fmla="*/ 2147483647 h 345"/>
            <a:gd name="T98" fmla="*/ 2147483647 w 669"/>
            <a:gd name="T99" fmla="*/ 2147483647 h 345"/>
            <a:gd name="T100" fmla="*/ 2147483647 w 669"/>
            <a:gd name="T101" fmla="*/ 2147483647 h 345"/>
            <a:gd name="T102" fmla="*/ 2147483647 w 669"/>
            <a:gd name="T103" fmla="*/ 2147483647 h 345"/>
            <a:gd name="T104" fmla="*/ 2147483647 w 669"/>
            <a:gd name="T105" fmla="*/ 2147483647 h 345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w 669"/>
            <a:gd name="T160" fmla="*/ 0 h 345"/>
            <a:gd name="T161" fmla="*/ 669 w 669"/>
            <a:gd name="T162" fmla="*/ 345 h 345"/>
          </a:gdLst>
          <a:ahLst/>
          <a:cxnLst>
            <a:cxn ang="T106">
              <a:pos x="T0" y="T1"/>
            </a:cxn>
            <a:cxn ang="T107">
              <a:pos x="T2" y="T3"/>
            </a:cxn>
            <a:cxn ang="T108">
              <a:pos x="T4" y="T5"/>
            </a:cxn>
            <a:cxn ang="T109">
              <a:pos x="T6" y="T7"/>
            </a:cxn>
            <a:cxn ang="T110">
              <a:pos x="T8" y="T9"/>
            </a:cxn>
            <a:cxn ang="T111">
              <a:pos x="T10" y="T11"/>
            </a:cxn>
            <a:cxn ang="T112">
              <a:pos x="T12" y="T13"/>
            </a:cxn>
            <a:cxn ang="T113">
              <a:pos x="T14" y="T15"/>
            </a:cxn>
            <a:cxn ang="T114">
              <a:pos x="T16" y="T17"/>
            </a:cxn>
            <a:cxn ang="T115">
              <a:pos x="T18" y="T19"/>
            </a:cxn>
            <a:cxn ang="T116">
              <a:pos x="T20" y="T21"/>
            </a:cxn>
            <a:cxn ang="T117">
              <a:pos x="T22" y="T23"/>
            </a:cxn>
            <a:cxn ang="T118">
              <a:pos x="T24" y="T25"/>
            </a:cxn>
            <a:cxn ang="T119">
              <a:pos x="T26" y="T27"/>
            </a:cxn>
            <a:cxn ang="T120">
              <a:pos x="T28" y="T29"/>
            </a:cxn>
            <a:cxn ang="T121">
              <a:pos x="T30" y="T31"/>
            </a:cxn>
            <a:cxn ang="T122">
              <a:pos x="T32" y="T33"/>
            </a:cxn>
            <a:cxn ang="T123">
              <a:pos x="T34" y="T35"/>
            </a:cxn>
            <a:cxn ang="T124">
              <a:pos x="T36" y="T37"/>
            </a:cxn>
            <a:cxn ang="T125">
              <a:pos x="T38" y="T39"/>
            </a:cxn>
            <a:cxn ang="T126">
              <a:pos x="T40" y="T41"/>
            </a:cxn>
            <a:cxn ang="T127">
              <a:pos x="T42" y="T43"/>
            </a:cxn>
            <a:cxn ang="T128">
              <a:pos x="T44" y="T45"/>
            </a:cxn>
            <a:cxn ang="T129">
              <a:pos x="T46" y="T47"/>
            </a:cxn>
            <a:cxn ang="T130">
              <a:pos x="T48" y="T49"/>
            </a:cxn>
            <a:cxn ang="T131">
              <a:pos x="T50" y="T51"/>
            </a:cxn>
            <a:cxn ang="T132">
              <a:pos x="T52" y="T53"/>
            </a:cxn>
            <a:cxn ang="T133">
              <a:pos x="T54" y="T55"/>
            </a:cxn>
            <a:cxn ang="T134">
              <a:pos x="T56" y="T57"/>
            </a:cxn>
            <a:cxn ang="T135">
              <a:pos x="T58" y="T59"/>
            </a:cxn>
            <a:cxn ang="T136">
              <a:pos x="T60" y="T61"/>
            </a:cxn>
            <a:cxn ang="T137">
              <a:pos x="T62" y="T63"/>
            </a:cxn>
            <a:cxn ang="T138">
              <a:pos x="T64" y="T65"/>
            </a:cxn>
            <a:cxn ang="T139">
              <a:pos x="T66" y="T67"/>
            </a:cxn>
            <a:cxn ang="T140">
              <a:pos x="T68" y="T69"/>
            </a:cxn>
            <a:cxn ang="T141">
              <a:pos x="T70" y="T71"/>
            </a:cxn>
            <a:cxn ang="T142">
              <a:pos x="T72" y="T73"/>
            </a:cxn>
            <a:cxn ang="T143">
              <a:pos x="T74" y="T75"/>
            </a:cxn>
            <a:cxn ang="T144">
              <a:pos x="T76" y="T77"/>
            </a:cxn>
            <a:cxn ang="T145">
              <a:pos x="T78" y="T79"/>
            </a:cxn>
            <a:cxn ang="T146">
              <a:pos x="T80" y="T81"/>
            </a:cxn>
            <a:cxn ang="T147">
              <a:pos x="T82" y="T83"/>
            </a:cxn>
            <a:cxn ang="T148">
              <a:pos x="T84" y="T85"/>
            </a:cxn>
            <a:cxn ang="T149">
              <a:pos x="T86" y="T87"/>
            </a:cxn>
            <a:cxn ang="T150">
              <a:pos x="T88" y="T89"/>
            </a:cxn>
            <a:cxn ang="T151">
              <a:pos x="T90" y="T91"/>
            </a:cxn>
            <a:cxn ang="T152">
              <a:pos x="T92" y="T93"/>
            </a:cxn>
            <a:cxn ang="T153">
              <a:pos x="T94" y="T95"/>
            </a:cxn>
            <a:cxn ang="T154">
              <a:pos x="T96" y="T97"/>
            </a:cxn>
            <a:cxn ang="T155">
              <a:pos x="T98" y="T99"/>
            </a:cxn>
            <a:cxn ang="T156">
              <a:pos x="T100" y="T101"/>
            </a:cxn>
            <a:cxn ang="T157">
              <a:pos x="T102" y="T103"/>
            </a:cxn>
            <a:cxn ang="T158">
              <a:pos x="T104" y="T105"/>
            </a:cxn>
          </a:cxnLst>
          <a:rect l="T159" t="T160" r="T161" b="T162"/>
          <a:pathLst>
            <a:path w="669" h="345">
              <a:moveTo>
                <a:pt x="531" y="279"/>
              </a:moveTo>
              <a:lnTo>
                <a:pt x="515" y="287"/>
              </a:lnTo>
              <a:lnTo>
                <a:pt x="500" y="296"/>
              </a:lnTo>
              <a:lnTo>
                <a:pt x="500" y="297"/>
              </a:lnTo>
              <a:lnTo>
                <a:pt x="490" y="294"/>
              </a:lnTo>
              <a:lnTo>
                <a:pt x="479" y="318"/>
              </a:lnTo>
              <a:lnTo>
                <a:pt x="463" y="328"/>
              </a:lnTo>
              <a:lnTo>
                <a:pt x="447" y="325"/>
              </a:lnTo>
              <a:lnTo>
                <a:pt x="446" y="302"/>
              </a:lnTo>
              <a:lnTo>
                <a:pt x="445" y="287"/>
              </a:lnTo>
              <a:lnTo>
                <a:pt x="431" y="279"/>
              </a:lnTo>
              <a:lnTo>
                <a:pt x="423" y="267"/>
              </a:lnTo>
              <a:lnTo>
                <a:pt x="421" y="264"/>
              </a:lnTo>
              <a:lnTo>
                <a:pt x="410" y="259"/>
              </a:lnTo>
              <a:lnTo>
                <a:pt x="406" y="230"/>
              </a:lnTo>
              <a:lnTo>
                <a:pt x="399" y="231"/>
              </a:lnTo>
              <a:lnTo>
                <a:pt x="399" y="210"/>
              </a:lnTo>
              <a:lnTo>
                <a:pt x="399" y="201"/>
              </a:lnTo>
              <a:lnTo>
                <a:pt x="387" y="202"/>
              </a:lnTo>
              <a:lnTo>
                <a:pt x="376" y="202"/>
              </a:lnTo>
              <a:lnTo>
                <a:pt x="370" y="202"/>
              </a:lnTo>
              <a:lnTo>
                <a:pt x="328" y="203"/>
              </a:lnTo>
              <a:lnTo>
                <a:pt x="320" y="204"/>
              </a:lnTo>
              <a:lnTo>
                <a:pt x="319" y="200"/>
              </a:lnTo>
              <a:lnTo>
                <a:pt x="269" y="200"/>
              </a:lnTo>
              <a:lnTo>
                <a:pt x="264" y="199"/>
              </a:lnTo>
              <a:lnTo>
                <a:pt x="262" y="199"/>
              </a:lnTo>
              <a:lnTo>
                <a:pt x="259" y="199"/>
              </a:lnTo>
              <a:lnTo>
                <a:pt x="257" y="199"/>
              </a:lnTo>
              <a:lnTo>
                <a:pt x="223" y="199"/>
              </a:lnTo>
              <a:lnTo>
                <a:pt x="213" y="198"/>
              </a:lnTo>
              <a:lnTo>
                <a:pt x="188" y="198"/>
              </a:lnTo>
              <a:lnTo>
                <a:pt x="130" y="206"/>
              </a:lnTo>
              <a:lnTo>
                <a:pt x="130" y="198"/>
              </a:lnTo>
              <a:lnTo>
                <a:pt x="94" y="197"/>
              </a:lnTo>
              <a:lnTo>
                <a:pt x="86" y="197"/>
              </a:lnTo>
              <a:lnTo>
                <a:pt x="25" y="195"/>
              </a:lnTo>
              <a:lnTo>
                <a:pt x="14" y="194"/>
              </a:lnTo>
              <a:lnTo>
                <a:pt x="5" y="195"/>
              </a:lnTo>
              <a:lnTo>
                <a:pt x="3" y="195"/>
              </a:lnTo>
              <a:lnTo>
                <a:pt x="0" y="186"/>
              </a:lnTo>
              <a:lnTo>
                <a:pt x="4" y="176"/>
              </a:lnTo>
              <a:lnTo>
                <a:pt x="29" y="86"/>
              </a:lnTo>
              <a:lnTo>
                <a:pt x="38" y="59"/>
              </a:lnTo>
              <a:lnTo>
                <a:pt x="41" y="46"/>
              </a:lnTo>
              <a:lnTo>
                <a:pt x="46" y="30"/>
              </a:lnTo>
              <a:lnTo>
                <a:pt x="82" y="31"/>
              </a:lnTo>
              <a:lnTo>
                <a:pt x="88" y="31"/>
              </a:lnTo>
              <a:lnTo>
                <a:pt x="91" y="31"/>
              </a:lnTo>
              <a:lnTo>
                <a:pt x="94" y="31"/>
              </a:lnTo>
              <a:lnTo>
                <a:pt x="96" y="31"/>
              </a:lnTo>
              <a:lnTo>
                <a:pt x="109" y="31"/>
              </a:lnTo>
              <a:lnTo>
                <a:pt x="143" y="32"/>
              </a:lnTo>
              <a:lnTo>
                <a:pt x="189" y="34"/>
              </a:lnTo>
              <a:lnTo>
                <a:pt x="197" y="34"/>
              </a:lnTo>
              <a:lnTo>
                <a:pt x="213" y="35"/>
              </a:lnTo>
              <a:lnTo>
                <a:pt x="218" y="35"/>
              </a:lnTo>
              <a:lnTo>
                <a:pt x="229" y="35"/>
              </a:lnTo>
              <a:lnTo>
                <a:pt x="270" y="37"/>
              </a:lnTo>
              <a:lnTo>
                <a:pt x="289" y="37"/>
              </a:lnTo>
              <a:lnTo>
                <a:pt x="296" y="37"/>
              </a:lnTo>
              <a:lnTo>
                <a:pt x="301" y="38"/>
              </a:lnTo>
              <a:lnTo>
                <a:pt x="415" y="42"/>
              </a:lnTo>
              <a:lnTo>
                <a:pt x="420" y="34"/>
              </a:lnTo>
              <a:lnTo>
                <a:pt x="422" y="32"/>
              </a:lnTo>
              <a:lnTo>
                <a:pt x="423" y="31"/>
              </a:lnTo>
              <a:lnTo>
                <a:pt x="424" y="31"/>
              </a:lnTo>
              <a:lnTo>
                <a:pt x="457" y="16"/>
              </a:lnTo>
              <a:lnTo>
                <a:pt x="464" y="3"/>
              </a:lnTo>
              <a:lnTo>
                <a:pt x="504" y="0"/>
              </a:lnTo>
              <a:lnTo>
                <a:pt x="516" y="45"/>
              </a:lnTo>
              <a:lnTo>
                <a:pt x="541" y="44"/>
              </a:lnTo>
              <a:lnTo>
                <a:pt x="540" y="62"/>
              </a:lnTo>
              <a:lnTo>
                <a:pt x="514" y="74"/>
              </a:lnTo>
              <a:lnTo>
                <a:pt x="482" y="108"/>
              </a:lnTo>
              <a:lnTo>
                <a:pt x="479" y="102"/>
              </a:lnTo>
              <a:lnTo>
                <a:pt x="476" y="118"/>
              </a:lnTo>
              <a:lnTo>
                <a:pt x="485" y="132"/>
              </a:lnTo>
              <a:lnTo>
                <a:pt x="485" y="133"/>
              </a:lnTo>
              <a:lnTo>
                <a:pt x="502" y="143"/>
              </a:lnTo>
              <a:lnTo>
                <a:pt x="511" y="145"/>
              </a:lnTo>
              <a:lnTo>
                <a:pt x="545" y="205"/>
              </a:lnTo>
              <a:lnTo>
                <a:pt x="526" y="206"/>
              </a:lnTo>
              <a:lnTo>
                <a:pt x="540" y="219"/>
              </a:lnTo>
              <a:lnTo>
                <a:pt x="548" y="218"/>
              </a:lnTo>
              <a:lnTo>
                <a:pt x="556" y="250"/>
              </a:lnTo>
              <a:lnTo>
                <a:pt x="564" y="260"/>
              </a:lnTo>
              <a:lnTo>
                <a:pt x="610" y="272"/>
              </a:lnTo>
              <a:lnTo>
                <a:pt x="649" y="258"/>
              </a:lnTo>
              <a:lnTo>
                <a:pt x="655" y="235"/>
              </a:lnTo>
              <a:lnTo>
                <a:pt x="644" y="234"/>
              </a:lnTo>
              <a:lnTo>
                <a:pt x="633" y="189"/>
              </a:lnTo>
              <a:lnTo>
                <a:pt x="654" y="209"/>
              </a:lnTo>
              <a:lnTo>
                <a:pt x="669" y="282"/>
              </a:lnTo>
              <a:lnTo>
                <a:pt x="656" y="313"/>
              </a:lnTo>
              <a:lnTo>
                <a:pt x="662" y="289"/>
              </a:lnTo>
              <a:lnTo>
                <a:pt x="656" y="285"/>
              </a:lnTo>
              <a:lnTo>
                <a:pt x="587" y="297"/>
              </a:lnTo>
              <a:lnTo>
                <a:pt x="563" y="312"/>
              </a:lnTo>
              <a:lnTo>
                <a:pt x="540" y="315"/>
              </a:lnTo>
              <a:lnTo>
                <a:pt x="531" y="321"/>
              </a:lnTo>
              <a:lnTo>
                <a:pt x="479" y="345"/>
              </a:lnTo>
              <a:lnTo>
                <a:pt x="484" y="337"/>
              </a:lnTo>
              <a:lnTo>
                <a:pt x="527" y="319"/>
              </a:lnTo>
              <a:lnTo>
                <a:pt x="537" y="294"/>
              </a:lnTo>
              <a:lnTo>
                <a:pt x="532" y="281"/>
              </a:lnTo>
              <a:lnTo>
                <a:pt x="531" y="279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pPr algn="ctr"/>
          <a:endParaRPr lang="en-US" sz="800" b="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21</xdr:col>
      <xdr:colOff>414163</xdr:colOff>
      <xdr:row>18</xdr:row>
      <xdr:rowOff>115429</xdr:rowOff>
    </xdr:from>
    <xdr:to>
      <xdr:col>22</xdr:col>
      <xdr:colOff>259367</xdr:colOff>
      <xdr:row>21</xdr:row>
      <xdr:rowOff>82085</xdr:rowOff>
    </xdr:to>
    <xdr:sp macro="" textlink="">
      <xdr:nvSpPr>
        <xdr:cNvPr id="89" name="S_LA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>
          <a:spLocks/>
        </xdr:cNvSpPr>
      </xdr:nvSpPr>
      <xdr:spPr bwMode="auto">
        <a:xfrm>
          <a:off x="3224038" y="3773029"/>
          <a:ext cx="454804" cy="652456"/>
        </a:xfrm>
        <a:custGeom>
          <a:avLst/>
          <a:gdLst>
            <a:gd name="T0" fmla="*/ 2147483647 w 940"/>
            <a:gd name="T1" fmla="*/ 2147483647 h 959"/>
            <a:gd name="T2" fmla="*/ 2147483647 w 940"/>
            <a:gd name="T3" fmla="*/ 2147483647 h 959"/>
            <a:gd name="T4" fmla="*/ 2147483647 w 940"/>
            <a:gd name="T5" fmla="*/ 2147483647 h 959"/>
            <a:gd name="T6" fmla="*/ 2147483647 w 940"/>
            <a:gd name="T7" fmla="*/ 2147483647 h 959"/>
            <a:gd name="T8" fmla="*/ 2147483647 w 940"/>
            <a:gd name="T9" fmla="*/ 2147483647 h 959"/>
            <a:gd name="T10" fmla="*/ 2147483647 w 940"/>
            <a:gd name="T11" fmla="*/ 2147483647 h 959"/>
            <a:gd name="T12" fmla="*/ 2147483647 w 940"/>
            <a:gd name="T13" fmla="*/ 2147483647 h 959"/>
            <a:gd name="T14" fmla="*/ 2147483647 w 940"/>
            <a:gd name="T15" fmla="*/ 2147483647 h 959"/>
            <a:gd name="T16" fmla="*/ 2147483647 w 940"/>
            <a:gd name="T17" fmla="*/ 2147483647 h 959"/>
            <a:gd name="T18" fmla="*/ 2147483647 w 940"/>
            <a:gd name="T19" fmla="*/ 2147483647 h 959"/>
            <a:gd name="T20" fmla="*/ 2147483647 w 940"/>
            <a:gd name="T21" fmla="*/ 2147483647 h 959"/>
            <a:gd name="T22" fmla="*/ 2147483647 w 940"/>
            <a:gd name="T23" fmla="*/ 2147483647 h 959"/>
            <a:gd name="T24" fmla="*/ 2147483647 w 940"/>
            <a:gd name="T25" fmla="*/ 2147483647 h 959"/>
            <a:gd name="T26" fmla="*/ 2147483647 w 940"/>
            <a:gd name="T27" fmla="*/ 2147483647 h 959"/>
            <a:gd name="T28" fmla="*/ 2147483647 w 940"/>
            <a:gd name="T29" fmla="*/ 2147483647 h 959"/>
            <a:gd name="T30" fmla="*/ 2147483647 w 940"/>
            <a:gd name="T31" fmla="*/ 2147483647 h 959"/>
            <a:gd name="T32" fmla="*/ 2147483647 w 940"/>
            <a:gd name="T33" fmla="*/ 2147483647 h 959"/>
            <a:gd name="T34" fmla="*/ 2147483647 w 940"/>
            <a:gd name="T35" fmla="*/ 2147483647 h 959"/>
            <a:gd name="T36" fmla="*/ 2147483647 w 940"/>
            <a:gd name="T37" fmla="*/ 2147483647 h 959"/>
            <a:gd name="T38" fmla="*/ 2147483647 w 940"/>
            <a:gd name="T39" fmla="*/ 2147483647 h 959"/>
            <a:gd name="T40" fmla="*/ 2147483647 w 940"/>
            <a:gd name="T41" fmla="*/ 2147483647 h 959"/>
            <a:gd name="T42" fmla="*/ 2147483647 w 940"/>
            <a:gd name="T43" fmla="*/ 2147483647 h 959"/>
            <a:gd name="T44" fmla="*/ 2147483647 w 940"/>
            <a:gd name="T45" fmla="*/ 2147483647 h 959"/>
            <a:gd name="T46" fmla="*/ 2147483647 w 940"/>
            <a:gd name="T47" fmla="*/ 2147483647 h 959"/>
            <a:gd name="T48" fmla="*/ 2147483647 w 940"/>
            <a:gd name="T49" fmla="*/ 2147483647 h 959"/>
            <a:gd name="T50" fmla="*/ 2147483647 w 940"/>
            <a:gd name="T51" fmla="*/ 2147483647 h 959"/>
            <a:gd name="T52" fmla="*/ 2147483647 w 940"/>
            <a:gd name="T53" fmla="*/ 2147483647 h 959"/>
            <a:gd name="T54" fmla="*/ 2147483647 w 940"/>
            <a:gd name="T55" fmla="*/ 2147483647 h 959"/>
            <a:gd name="T56" fmla="*/ 2147483647 w 940"/>
            <a:gd name="T57" fmla="*/ 2147483647 h 959"/>
            <a:gd name="T58" fmla="*/ 2147483647 w 940"/>
            <a:gd name="T59" fmla="*/ 2147483647 h 959"/>
            <a:gd name="T60" fmla="*/ 2147483647 w 940"/>
            <a:gd name="T61" fmla="*/ 2147483647 h 959"/>
            <a:gd name="T62" fmla="*/ 2147483647 w 940"/>
            <a:gd name="T63" fmla="*/ 2147483647 h 959"/>
            <a:gd name="T64" fmla="*/ 2147483647 w 940"/>
            <a:gd name="T65" fmla="*/ 2147483647 h 959"/>
            <a:gd name="T66" fmla="*/ 2147483647 w 940"/>
            <a:gd name="T67" fmla="*/ 2147483647 h 959"/>
            <a:gd name="T68" fmla="*/ 0 w 940"/>
            <a:gd name="T69" fmla="*/ 2147483647 h 959"/>
            <a:gd name="T70" fmla="*/ 0 w 940"/>
            <a:gd name="T71" fmla="*/ 2147483647 h 959"/>
            <a:gd name="T72" fmla="*/ 0 w 940"/>
            <a:gd name="T73" fmla="*/ 2147483647 h 959"/>
            <a:gd name="T74" fmla="*/ 0 w 940"/>
            <a:gd name="T75" fmla="*/ 0 h 959"/>
            <a:gd name="T76" fmla="*/ 2147483647 w 940"/>
            <a:gd name="T77" fmla="*/ 0 h 959"/>
            <a:gd name="T78" fmla="*/ 2147483647 w 940"/>
            <a:gd name="T79" fmla="*/ 0 h 959"/>
            <a:gd name="T80" fmla="*/ 2147483647 w 940"/>
            <a:gd name="T81" fmla="*/ 0 h 959"/>
            <a:gd name="T82" fmla="*/ 2147483647 w 940"/>
            <a:gd name="T83" fmla="*/ 0 h 959"/>
            <a:gd name="T84" fmla="*/ 2147483647 w 940"/>
            <a:gd name="T85" fmla="*/ 0 h 959"/>
            <a:gd name="T86" fmla="*/ 2147483647 w 940"/>
            <a:gd name="T87" fmla="*/ 0 h 959"/>
            <a:gd name="T88" fmla="*/ 2147483647 w 940"/>
            <a:gd name="T89" fmla="*/ 0 h 959"/>
            <a:gd name="T90" fmla="*/ 2147483647 w 940"/>
            <a:gd name="T91" fmla="*/ 2147483647 h 959"/>
            <a:gd name="T92" fmla="*/ 2147483647 w 940"/>
            <a:gd name="T93" fmla="*/ 2147483647 h 959"/>
            <a:gd name="T94" fmla="*/ 2147483647 w 940"/>
            <a:gd name="T95" fmla="*/ 2147483647 h 959"/>
            <a:gd name="T96" fmla="*/ 2147483647 w 940"/>
            <a:gd name="T97" fmla="*/ 2147483647 h 959"/>
            <a:gd name="T98" fmla="*/ 2147483647 w 940"/>
            <a:gd name="T99" fmla="*/ 2147483647 h 959"/>
            <a:gd name="T100" fmla="*/ 2147483647 w 940"/>
            <a:gd name="T101" fmla="*/ 2147483647 h 959"/>
            <a:gd name="T102" fmla="*/ 2147483647 w 940"/>
            <a:gd name="T103" fmla="*/ 2147483647 h 959"/>
            <a:gd name="T104" fmla="*/ 2147483647 w 940"/>
            <a:gd name="T105" fmla="*/ 2147483647 h 959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w 940"/>
            <a:gd name="T160" fmla="*/ 0 h 959"/>
            <a:gd name="T161" fmla="*/ 940 w 940"/>
            <a:gd name="T162" fmla="*/ 959 h 959"/>
          </a:gdLst>
          <a:ahLst/>
          <a:cxnLst>
            <a:cxn ang="T106">
              <a:pos x="T0" y="T1"/>
            </a:cxn>
            <a:cxn ang="T107">
              <a:pos x="T2" y="T3"/>
            </a:cxn>
            <a:cxn ang="T108">
              <a:pos x="T4" y="T5"/>
            </a:cxn>
            <a:cxn ang="T109">
              <a:pos x="T6" y="T7"/>
            </a:cxn>
            <a:cxn ang="T110">
              <a:pos x="T8" y="T9"/>
            </a:cxn>
            <a:cxn ang="T111">
              <a:pos x="T10" y="T11"/>
            </a:cxn>
            <a:cxn ang="T112">
              <a:pos x="T12" y="T13"/>
            </a:cxn>
            <a:cxn ang="T113">
              <a:pos x="T14" y="T15"/>
            </a:cxn>
            <a:cxn ang="T114">
              <a:pos x="T16" y="T17"/>
            </a:cxn>
            <a:cxn ang="T115">
              <a:pos x="T18" y="T19"/>
            </a:cxn>
            <a:cxn ang="T116">
              <a:pos x="T20" y="T21"/>
            </a:cxn>
            <a:cxn ang="T117">
              <a:pos x="T22" y="T23"/>
            </a:cxn>
            <a:cxn ang="T118">
              <a:pos x="T24" y="T25"/>
            </a:cxn>
            <a:cxn ang="T119">
              <a:pos x="T26" y="T27"/>
            </a:cxn>
            <a:cxn ang="T120">
              <a:pos x="T28" y="T29"/>
            </a:cxn>
            <a:cxn ang="T121">
              <a:pos x="T30" y="T31"/>
            </a:cxn>
            <a:cxn ang="T122">
              <a:pos x="T32" y="T33"/>
            </a:cxn>
            <a:cxn ang="T123">
              <a:pos x="T34" y="T35"/>
            </a:cxn>
            <a:cxn ang="T124">
              <a:pos x="T36" y="T37"/>
            </a:cxn>
            <a:cxn ang="T125">
              <a:pos x="T38" y="T39"/>
            </a:cxn>
            <a:cxn ang="T126">
              <a:pos x="T40" y="T41"/>
            </a:cxn>
            <a:cxn ang="T127">
              <a:pos x="T42" y="T43"/>
            </a:cxn>
            <a:cxn ang="T128">
              <a:pos x="T44" y="T45"/>
            </a:cxn>
            <a:cxn ang="T129">
              <a:pos x="T46" y="T47"/>
            </a:cxn>
            <a:cxn ang="T130">
              <a:pos x="T48" y="T49"/>
            </a:cxn>
            <a:cxn ang="T131">
              <a:pos x="T50" y="T51"/>
            </a:cxn>
            <a:cxn ang="T132">
              <a:pos x="T52" y="T53"/>
            </a:cxn>
            <a:cxn ang="T133">
              <a:pos x="T54" y="T55"/>
            </a:cxn>
            <a:cxn ang="T134">
              <a:pos x="T56" y="T57"/>
            </a:cxn>
            <a:cxn ang="T135">
              <a:pos x="T58" y="T59"/>
            </a:cxn>
            <a:cxn ang="T136">
              <a:pos x="T60" y="T61"/>
            </a:cxn>
            <a:cxn ang="T137">
              <a:pos x="T62" y="T63"/>
            </a:cxn>
            <a:cxn ang="T138">
              <a:pos x="T64" y="T65"/>
            </a:cxn>
            <a:cxn ang="T139">
              <a:pos x="T66" y="T67"/>
            </a:cxn>
            <a:cxn ang="T140">
              <a:pos x="T68" y="T69"/>
            </a:cxn>
            <a:cxn ang="T141">
              <a:pos x="T70" y="T71"/>
            </a:cxn>
            <a:cxn ang="T142">
              <a:pos x="T72" y="T73"/>
            </a:cxn>
            <a:cxn ang="T143">
              <a:pos x="T74" y="T75"/>
            </a:cxn>
            <a:cxn ang="T144">
              <a:pos x="T76" y="T77"/>
            </a:cxn>
            <a:cxn ang="T145">
              <a:pos x="T78" y="T79"/>
            </a:cxn>
            <a:cxn ang="T146">
              <a:pos x="T80" y="T81"/>
            </a:cxn>
            <a:cxn ang="T147">
              <a:pos x="T82" y="T83"/>
            </a:cxn>
            <a:cxn ang="T148">
              <a:pos x="T84" y="T85"/>
            </a:cxn>
            <a:cxn ang="T149">
              <a:pos x="T86" y="T87"/>
            </a:cxn>
            <a:cxn ang="T150">
              <a:pos x="T88" y="T89"/>
            </a:cxn>
            <a:cxn ang="T151">
              <a:pos x="T90" y="T91"/>
            </a:cxn>
            <a:cxn ang="T152">
              <a:pos x="T92" y="T93"/>
            </a:cxn>
            <a:cxn ang="T153">
              <a:pos x="T94" y="T95"/>
            </a:cxn>
            <a:cxn ang="T154">
              <a:pos x="T96" y="T97"/>
            </a:cxn>
            <a:cxn ang="T155">
              <a:pos x="T98" y="T99"/>
            </a:cxn>
            <a:cxn ang="T156">
              <a:pos x="T100" y="T101"/>
            </a:cxn>
            <a:cxn ang="T157">
              <a:pos x="T102" y="T103"/>
            </a:cxn>
            <a:cxn ang="T158">
              <a:pos x="T104" y="T105"/>
            </a:cxn>
          </a:cxnLst>
          <a:rect l="T159" t="T160" r="T161" b="T162"/>
          <a:pathLst>
            <a:path w="940" h="959">
              <a:moveTo>
                <a:pt x="537" y="477"/>
              </a:moveTo>
              <a:lnTo>
                <a:pt x="559" y="477"/>
              </a:lnTo>
              <a:lnTo>
                <a:pt x="570" y="477"/>
              </a:lnTo>
              <a:lnTo>
                <a:pt x="602" y="477"/>
              </a:lnTo>
              <a:lnTo>
                <a:pt x="616" y="477"/>
              </a:lnTo>
              <a:lnTo>
                <a:pt x="624" y="477"/>
              </a:lnTo>
              <a:lnTo>
                <a:pt x="650" y="477"/>
              </a:lnTo>
              <a:lnTo>
                <a:pt x="654" y="477"/>
              </a:lnTo>
              <a:lnTo>
                <a:pt x="663" y="477"/>
              </a:lnTo>
              <a:lnTo>
                <a:pt x="686" y="477"/>
              </a:lnTo>
              <a:lnTo>
                <a:pt x="692" y="477"/>
              </a:lnTo>
              <a:lnTo>
                <a:pt x="708" y="477"/>
              </a:lnTo>
              <a:lnTo>
                <a:pt x="710" y="477"/>
              </a:lnTo>
              <a:lnTo>
                <a:pt x="733" y="476"/>
              </a:lnTo>
              <a:lnTo>
                <a:pt x="787" y="476"/>
              </a:lnTo>
              <a:lnTo>
                <a:pt x="803" y="476"/>
              </a:lnTo>
              <a:lnTo>
                <a:pt x="803" y="477"/>
              </a:lnTo>
              <a:lnTo>
                <a:pt x="807" y="476"/>
              </a:lnTo>
              <a:lnTo>
                <a:pt x="803" y="494"/>
              </a:lnTo>
              <a:lnTo>
                <a:pt x="789" y="536"/>
              </a:lnTo>
              <a:lnTo>
                <a:pt x="786" y="555"/>
              </a:lnTo>
              <a:lnTo>
                <a:pt x="802" y="595"/>
              </a:lnTo>
              <a:lnTo>
                <a:pt x="803" y="595"/>
              </a:lnTo>
              <a:lnTo>
                <a:pt x="815" y="604"/>
              </a:lnTo>
              <a:lnTo>
                <a:pt x="827" y="654"/>
              </a:lnTo>
              <a:lnTo>
                <a:pt x="846" y="671"/>
              </a:lnTo>
              <a:lnTo>
                <a:pt x="827" y="677"/>
              </a:lnTo>
              <a:lnTo>
                <a:pt x="803" y="704"/>
              </a:lnTo>
              <a:lnTo>
                <a:pt x="783" y="711"/>
              </a:lnTo>
              <a:lnTo>
                <a:pt x="803" y="726"/>
              </a:lnTo>
              <a:lnTo>
                <a:pt x="812" y="742"/>
              </a:lnTo>
              <a:lnTo>
                <a:pt x="827" y="745"/>
              </a:lnTo>
              <a:lnTo>
                <a:pt x="839" y="712"/>
              </a:lnTo>
              <a:lnTo>
                <a:pt x="850" y="705"/>
              </a:lnTo>
              <a:lnTo>
                <a:pt x="874" y="701"/>
              </a:lnTo>
              <a:lnTo>
                <a:pt x="910" y="675"/>
              </a:lnTo>
              <a:lnTo>
                <a:pt x="906" y="727"/>
              </a:lnTo>
              <a:lnTo>
                <a:pt x="895" y="733"/>
              </a:lnTo>
              <a:lnTo>
                <a:pt x="897" y="745"/>
              </a:lnTo>
              <a:lnTo>
                <a:pt x="866" y="772"/>
              </a:lnTo>
              <a:lnTo>
                <a:pt x="862" y="793"/>
              </a:lnTo>
              <a:lnTo>
                <a:pt x="850" y="780"/>
              </a:lnTo>
              <a:lnTo>
                <a:pt x="850" y="798"/>
              </a:lnTo>
              <a:lnTo>
                <a:pt x="827" y="788"/>
              </a:lnTo>
              <a:lnTo>
                <a:pt x="850" y="800"/>
              </a:lnTo>
              <a:lnTo>
                <a:pt x="825" y="801"/>
              </a:lnTo>
              <a:lnTo>
                <a:pt x="844" y="831"/>
              </a:lnTo>
              <a:lnTo>
                <a:pt x="832" y="829"/>
              </a:lnTo>
              <a:lnTo>
                <a:pt x="849" y="858"/>
              </a:lnTo>
              <a:lnTo>
                <a:pt x="874" y="858"/>
              </a:lnTo>
              <a:lnTo>
                <a:pt x="898" y="876"/>
              </a:lnTo>
              <a:lnTo>
                <a:pt x="911" y="873"/>
              </a:lnTo>
              <a:lnTo>
                <a:pt x="928" y="892"/>
              </a:lnTo>
              <a:lnTo>
                <a:pt x="940" y="898"/>
              </a:lnTo>
              <a:lnTo>
                <a:pt x="934" y="934"/>
              </a:lnTo>
              <a:lnTo>
                <a:pt x="919" y="935"/>
              </a:lnTo>
              <a:lnTo>
                <a:pt x="915" y="956"/>
              </a:lnTo>
              <a:lnTo>
                <a:pt x="915" y="949"/>
              </a:lnTo>
              <a:lnTo>
                <a:pt x="898" y="930"/>
              </a:lnTo>
              <a:lnTo>
                <a:pt x="874" y="959"/>
              </a:lnTo>
              <a:lnTo>
                <a:pt x="869" y="954"/>
              </a:lnTo>
              <a:lnTo>
                <a:pt x="875" y="949"/>
              </a:lnTo>
              <a:lnTo>
                <a:pt x="874" y="930"/>
              </a:lnTo>
              <a:lnTo>
                <a:pt x="868" y="929"/>
              </a:lnTo>
              <a:lnTo>
                <a:pt x="852" y="898"/>
              </a:lnTo>
              <a:lnTo>
                <a:pt x="803" y="876"/>
              </a:lnTo>
              <a:lnTo>
                <a:pt x="774" y="879"/>
              </a:lnTo>
              <a:lnTo>
                <a:pt x="740" y="910"/>
              </a:lnTo>
              <a:lnTo>
                <a:pt x="710" y="930"/>
              </a:lnTo>
              <a:lnTo>
                <a:pt x="686" y="935"/>
              </a:lnTo>
              <a:lnTo>
                <a:pt x="705" y="930"/>
              </a:lnTo>
              <a:lnTo>
                <a:pt x="713" y="920"/>
              </a:lnTo>
              <a:lnTo>
                <a:pt x="698" y="890"/>
              </a:lnTo>
              <a:lnTo>
                <a:pt x="686" y="887"/>
              </a:lnTo>
              <a:lnTo>
                <a:pt x="680" y="903"/>
              </a:lnTo>
              <a:lnTo>
                <a:pt x="663" y="898"/>
              </a:lnTo>
              <a:lnTo>
                <a:pt x="631" y="920"/>
              </a:lnTo>
              <a:lnTo>
                <a:pt x="607" y="939"/>
              </a:lnTo>
              <a:lnTo>
                <a:pt x="600" y="939"/>
              </a:lnTo>
              <a:lnTo>
                <a:pt x="583" y="914"/>
              </a:lnTo>
              <a:lnTo>
                <a:pt x="549" y="915"/>
              </a:lnTo>
              <a:lnTo>
                <a:pt x="500" y="871"/>
              </a:lnTo>
              <a:lnTo>
                <a:pt x="512" y="876"/>
              </a:lnTo>
              <a:lnTo>
                <a:pt x="526" y="861"/>
              </a:lnTo>
              <a:lnTo>
                <a:pt x="519" y="837"/>
              </a:lnTo>
              <a:lnTo>
                <a:pt x="476" y="823"/>
              </a:lnTo>
              <a:lnTo>
                <a:pt x="467" y="827"/>
              </a:lnTo>
              <a:lnTo>
                <a:pt x="467" y="801"/>
              </a:lnTo>
              <a:lnTo>
                <a:pt x="453" y="801"/>
              </a:lnTo>
              <a:lnTo>
                <a:pt x="453" y="776"/>
              </a:lnTo>
              <a:lnTo>
                <a:pt x="430" y="772"/>
              </a:lnTo>
              <a:lnTo>
                <a:pt x="406" y="780"/>
              </a:lnTo>
              <a:lnTo>
                <a:pt x="409" y="774"/>
              </a:lnTo>
              <a:lnTo>
                <a:pt x="405" y="772"/>
              </a:lnTo>
              <a:lnTo>
                <a:pt x="406" y="752"/>
              </a:lnTo>
              <a:lnTo>
                <a:pt x="388" y="752"/>
              </a:lnTo>
              <a:lnTo>
                <a:pt x="382" y="762"/>
              </a:lnTo>
              <a:lnTo>
                <a:pt x="352" y="773"/>
              </a:lnTo>
              <a:lnTo>
                <a:pt x="382" y="804"/>
              </a:lnTo>
              <a:lnTo>
                <a:pt x="412" y="801"/>
              </a:lnTo>
              <a:lnTo>
                <a:pt x="430" y="813"/>
              </a:lnTo>
              <a:lnTo>
                <a:pt x="426" y="833"/>
              </a:lnTo>
              <a:lnTo>
                <a:pt x="405" y="830"/>
              </a:lnTo>
              <a:lnTo>
                <a:pt x="375" y="812"/>
              </a:lnTo>
              <a:lnTo>
                <a:pt x="356" y="811"/>
              </a:lnTo>
              <a:lnTo>
                <a:pt x="335" y="822"/>
              </a:lnTo>
              <a:lnTo>
                <a:pt x="267" y="812"/>
              </a:lnTo>
              <a:lnTo>
                <a:pt x="203" y="782"/>
              </a:lnTo>
              <a:lnTo>
                <a:pt x="146" y="766"/>
              </a:lnTo>
              <a:lnTo>
                <a:pt x="55" y="776"/>
              </a:lnTo>
              <a:lnTo>
                <a:pt x="41" y="797"/>
              </a:lnTo>
              <a:lnTo>
                <a:pt x="31" y="774"/>
              </a:lnTo>
              <a:lnTo>
                <a:pt x="29" y="750"/>
              </a:lnTo>
              <a:lnTo>
                <a:pt x="36" y="745"/>
              </a:lnTo>
              <a:lnTo>
                <a:pt x="52" y="712"/>
              </a:lnTo>
              <a:lnTo>
                <a:pt x="57" y="706"/>
              </a:lnTo>
              <a:lnTo>
                <a:pt x="60" y="701"/>
              </a:lnTo>
              <a:lnTo>
                <a:pt x="65" y="684"/>
              </a:lnTo>
              <a:lnTo>
                <a:pt x="63" y="655"/>
              </a:lnTo>
              <a:lnTo>
                <a:pt x="55" y="637"/>
              </a:lnTo>
              <a:lnTo>
                <a:pt x="55" y="619"/>
              </a:lnTo>
              <a:lnTo>
                <a:pt x="57" y="618"/>
              </a:lnTo>
              <a:lnTo>
                <a:pt x="62" y="595"/>
              </a:lnTo>
              <a:lnTo>
                <a:pt x="82" y="536"/>
              </a:lnTo>
              <a:lnTo>
                <a:pt x="91" y="508"/>
              </a:lnTo>
              <a:lnTo>
                <a:pt x="91" y="507"/>
              </a:lnTo>
              <a:lnTo>
                <a:pt x="87" y="477"/>
              </a:lnTo>
              <a:lnTo>
                <a:pt x="92" y="433"/>
              </a:lnTo>
              <a:lnTo>
                <a:pt x="83" y="435"/>
              </a:lnTo>
              <a:lnTo>
                <a:pt x="55" y="362"/>
              </a:lnTo>
              <a:lnTo>
                <a:pt x="60" y="358"/>
              </a:lnTo>
              <a:lnTo>
                <a:pt x="39" y="338"/>
              </a:lnTo>
              <a:lnTo>
                <a:pt x="39" y="299"/>
              </a:lnTo>
              <a:lnTo>
                <a:pt x="30" y="277"/>
              </a:lnTo>
              <a:lnTo>
                <a:pt x="31" y="277"/>
              </a:lnTo>
              <a:lnTo>
                <a:pt x="8" y="250"/>
              </a:lnTo>
              <a:lnTo>
                <a:pt x="7" y="247"/>
              </a:lnTo>
              <a:lnTo>
                <a:pt x="6" y="246"/>
              </a:lnTo>
              <a:lnTo>
                <a:pt x="5" y="243"/>
              </a:lnTo>
              <a:lnTo>
                <a:pt x="0" y="240"/>
              </a:lnTo>
              <a:lnTo>
                <a:pt x="0" y="194"/>
              </a:lnTo>
              <a:lnTo>
                <a:pt x="0" y="182"/>
              </a:lnTo>
              <a:lnTo>
                <a:pt x="0" y="152"/>
              </a:lnTo>
              <a:lnTo>
                <a:pt x="0" y="147"/>
              </a:lnTo>
              <a:lnTo>
                <a:pt x="0" y="123"/>
              </a:lnTo>
              <a:lnTo>
                <a:pt x="0" y="93"/>
              </a:lnTo>
              <a:lnTo>
                <a:pt x="0" y="77"/>
              </a:lnTo>
              <a:lnTo>
                <a:pt x="0" y="67"/>
              </a:lnTo>
              <a:lnTo>
                <a:pt x="0" y="63"/>
              </a:lnTo>
              <a:lnTo>
                <a:pt x="0" y="33"/>
              </a:lnTo>
              <a:lnTo>
                <a:pt x="0" y="4"/>
              </a:lnTo>
              <a:lnTo>
                <a:pt x="0" y="0"/>
              </a:lnTo>
              <a:lnTo>
                <a:pt x="8" y="0"/>
              </a:lnTo>
              <a:lnTo>
                <a:pt x="22" y="0"/>
              </a:lnTo>
              <a:lnTo>
                <a:pt x="44" y="0"/>
              </a:lnTo>
              <a:lnTo>
                <a:pt x="68" y="0"/>
              </a:lnTo>
              <a:lnTo>
                <a:pt x="70" y="0"/>
              </a:lnTo>
              <a:lnTo>
                <a:pt x="98" y="0"/>
              </a:lnTo>
              <a:lnTo>
                <a:pt x="102" y="0"/>
              </a:lnTo>
              <a:lnTo>
                <a:pt x="103" y="0"/>
              </a:lnTo>
              <a:lnTo>
                <a:pt x="132" y="0"/>
              </a:lnTo>
              <a:lnTo>
                <a:pt x="148" y="0"/>
              </a:lnTo>
              <a:lnTo>
                <a:pt x="150" y="0"/>
              </a:lnTo>
              <a:lnTo>
                <a:pt x="156" y="0"/>
              </a:lnTo>
              <a:lnTo>
                <a:pt x="161" y="0"/>
              </a:lnTo>
              <a:lnTo>
                <a:pt x="197" y="0"/>
              </a:lnTo>
              <a:lnTo>
                <a:pt x="232" y="1"/>
              </a:lnTo>
              <a:lnTo>
                <a:pt x="246" y="1"/>
              </a:lnTo>
              <a:lnTo>
                <a:pt x="289" y="2"/>
              </a:lnTo>
              <a:lnTo>
                <a:pt x="351" y="2"/>
              </a:lnTo>
              <a:lnTo>
                <a:pt x="370" y="2"/>
              </a:lnTo>
              <a:lnTo>
                <a:pt x="459" y="3"/>
              </a:lnTo>
              <a:lnTo>
                <a:pt x="462" y="3"/>
              </a:lnTo>
              <a:lnTo>
                <a:pt x="483" y="3"/>
              </a:lnTo>
              <a:lnTo>
                <a:pt x="488" y="3"/>
              </a:lnTo>
              <a:lnTo>
                <a:pt x="493" y="3"/>
              </a:lnTo>
              <a:lnTo>
                <a:pt x="494" y="3"/>
              </a:lnTo>
              <a:lnTo>
                <a:pt x="520" y="3"/>
              </a:lnTo>
              <a:lnTo>
                <a:pt x="528" y="3"/>
              </a:lnTo>
              <a:lnTo>
                <a:pt x="532" y="3"/>
              </a:lnTo>
              <a:lnTo>
                <a:pt x="539" y="3"/>
              </a:lnTo>
              <a:lnTo>
                <a:pt x="546" y="102"/>
              </a:lnTo>
              <a:lnTo>
                <a:pt x="569" y="93"/>
              </a:lnTo>
              <a:lnTo>
                <a:pt x="561" y="105"/>
              </a:lnTo>
              <a:lnTo>
                <a:pt x="556" y="108"/>
              </a:lnTo>
              <a:lnTo>
                <a:pt x="570" y="127"/>
              </a:lnTo>
              <a:lnTo>
                <a:pt x="547" y="123"/>
              </a:lnTo>
              <a:lnTo>
                <a:pt x="570" y="134"/>
              </a:lnTo>
              <a:lnTo>
                <a:pt x="570" y="195"/>
              </a:lnTo>
              <a:lnTo>
                <a:pt x="546" y="190"/>
              </a:lnTo>
              <a:lnTo>
                <a:pt x="546" y="210"/>
              </a:lnTo>
              <a:lnTo>
                <a:pt x="559" y="210"/>
              </a:lnTo>
              <a:lnTo>
                <a:pt x="560" y="212"/>
              </a:lnTo>
              <a:lnTo>
                <a:pt x="560" y="210"/>
              </a:lnTo>
              <a:lnTo>
                <a:pt x="566" y="210"/>
              </a:lnTo>
              <a:lnTo>
                <a:pt x="563" y="212"/>
              </a:lnTo>
              <a:lnTo>
                <a:pt x="563" y="214"/>
              </a:lnTo>
              <a:lnTo>
                <a:pt x="546" y="223"/>
              </a:lnTo>
              <a:lnTo>
                <a:pt x="553" y="240"/>
              </a:lnTo>
              <a:lnTo>
                <a:pt x="525" y="270"/>
              </a:lnTo>
              <a:lnTo>
                <a:pt x="523" y="271"/>
              </a:lnTo>
              <a:lnTo>
                <a:pt x="519" y="299"/>
              </a:lnTo>
              <a:lnTo>
                <a:pt x="510" y="299"/>
              </a:lnTo>
              <a:lnTo>
                <a:pt x="503" y="299"/>
              </a:lnTo>
              <a:lnTo>
                <a:pt x="499" y="303"/>
              </a:lnTo>
              <a:lnTo>
                <a:pt x="498" y="304"/>
              </a:lnTo>
              <a:lnTo>
                <a:pt x="476" y="324"/>
              </a:lnTo>
              <a:lnTo>
                <a:pt x="476" y="390"/>
              </a:lnTo>
              <a:lnTo>
                <a:pt x="459" y="431"/>
              </a:lnTo>
              <a:lnTo>
                <a:pt x="453" y="446"/>
              </a:lnTo>
              <a:lnTo>
                <a:pt x="455" y="475"/>
              </a:lnTo>
              <a:lnTo>
                <a:pt x="450" y="477"/>
              </a:lnTo>
              <a:lnTo>
                <a:pt x="499" y="477"/>
              </a:lnTo>
              <a:lnTo>
                <a:pt x="523" y="477"/>
              </a:lnTo>
              <a:lnTo>
                <a:pt x="537" y="477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pPr algn="l"/>
          <a:endParaRPr lang="en-US" sz="800" b="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22</xdr:col>
      <xdr:colOff>221340</xdr:colOff>
      <xdr:row>14</xdr:row>
      <xdr:rowOff>77604</xdr:rowOff>
    </xdr:from>
    <xdr:to>
      <xdr:col>23</xdr:col>
      <xdr:colOff>287351</xdr:colOff>
      <xdr:row>16</xdr:row>
      <xdr:rowOff>38216</xdr:rowOff>
    </xdr:to>
    <xdr:sp macro="" textlink="">
      <xdr:nvSpPr>
        <xdr:cNvPr id="90" name="S_KY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>
          <a:spLocks/>
        </xdr:cNvSpPr>
      </xdr:nvSpPr>
      <xdr:spPr bwMode="auto">
        <a:xfrm>
          <a:off x="3640815" y="2935104"/>
          <a:ext cx="675611" cy="341612"/>
        </a:xfrm>
        <a:custGeom>
          <a:avLst/>
          <a:gdLst>
            <a:gd name="T0" fmla="*/ 2147483647 w 1394"/>
            <a:gd name="T1" fmla="*/ 2147483647 h 626"/>
            <a:gd name="T2" fmla="*/ 2147483647 w 1394"/>
            <a:gd name="T3" fmla="*/ 2147483647 h 626"/>
            <a:gd name="T4" fmla="*/ 2147483647 w 1394"/>
            <a:gd name="T5" fmla="*/ 2147483647 h 626"/>
            <a:gd name="T6" fmla="*/ 2147483647 w 1394"/>
            <a:gd name="T7" fmla="*/ 2147483647 h 626"/>
            <a:gd name="T8" fmla="*/ 2147483647 w 1394"/>
            <a:gd name="T9" fmla="*/ 2147483647 h 626"/>
            <a:gd name="T10" fmla="*/ 2147483647 w 1394"/>
            <a:gd name="T11" fmla="*/ 2147483647 h 626"/>
            <a:gd name="T12" fmla="*/ 2147483647 w 1394"/>
            <a:gd name="T13" fmla="*/ 2147483647 h 626"/>
            <a:gd name="T14" fmla="*/ 2147483647 w 1394"/>
            <a:gd name="T15" fmla="*/ 2147483647 h 626"/>
            <a:gd name="T16" fmla="*/ 2147483647 w 1394"/>
            <a:gd name="T17" fmla="*/ 2147483647 h 626"/>
            <a:gd name="T18" fmla="*/ 2147483647 w 1394"/>
            <a:gd name="T19" fmla="*/ 2147483647 h 626"/>
            <a:gd name="T20" fmla="*/ 2147483647 w 1394"/>
            <a:gd name="T21" fmla="*/ 2147483647 h 626"/>
            <a:gd name="T22" fmla="*/ 2147483647 w 1394"/>
            <a:gd name="T23" fmla="*/ 2147483647 h 626"/>
            <a:gd name="T24" fmla="*/ 2147483647 w 1394"/>
            <a:gd name="T25" fmla="*/ 2147483647 h 626"/>
            <a:gd name="T26" fmla="*/ 2147483647 w 1394"/>
            <a:gd name="T27" fmla="*/ 2147483647 h 626"/>
            <a:gd name="T28" fmla="*/ 2147483647 w 1394"/>
            <a:gd name="T29" fmla="*/ 2147483647 h 626"/>
            <a:gd name="T30" fmla="*/ 2147483647 w 1394"/>
            <a:gd name="T31" fmla="*/ 2147483647 h 626"/>
            <a:gd name="T32" fmla="*/ 2147483647 w 1394"/>
            <a:gd name="T33" fmla="*/ 2147483647 h 626"/>
            <a:gd name="T34" fmla="*/ 2147483647 w 1394"/>
            <a:gd name="T35" fmla="*/ 2147483647 h 626"/>
            <a:gd name="T36" fmla="*/ 2147483647 w 1394"/>
            <a:gd name="T37" fmla="*/ 2147483647 h 626"/>
            <a:gd name="T38" fmla="*/ 2147483647 w 1394"/>
            <a:gd name="T39" fmla="*/ 2147483647 h 626"/>
            <a:gd name="T40" fmla="*/ 2147483647 w 1394"/>
            <a:gd name="T41" fmla="*/ 2147483647 h 626"/>
            <a:gd name="T42" fmla="*/ 2147483647 w 1394"/>
            <a:gd name="T43" fmla="*/ 2147483647 h 626"/>
            <a:gd name="T44" fmla="*/ 2147483647 w 1394"/>
            <a:gd name="T45" fmla="*/ 2147483647 h 626"/>
            <a:gd name="T46" fmla="*/ 2147483647 w 1394"/>
            <a:gd name="T47" fmla="*/ 2147483647 h 626"/>
            <a:gd name="T48" fmla="*/ 2147483647 w 1394"/>
            <a:gd name="T49" fmla="*/ 2147483647 h 626"/>
            <a:gd name="T50" fmla="*/ 2147483647 w 1394"/>
            <a:gd name="T51" fmla="*/ 2147483647 h 626"/>
            <a:gd name="T52" fmla="*/ 2147483647 w 1394"/>
            <a:gd name="T53" fmla="*/ 2147483647 h 626"/>
            <a:gd name="T54" fmla="*/ 2147483647 w 1394"/>
            <a:gd name="T55" fmla="*/ 2147483647 h 626"/>
            <a:gd name="T56" fmla="*/ 2147483647 w 1394"/>
            <a:gd name="T57" fmla="*/ 2147483647 h 626"/>
            <a:gd name="T58" fmla="*/ 2147483647 w 1394"/>
            <a:gd name="T59" fmla="*/ 2147483647 h 626"/>
            <a:gd name="T60" fmla="*/ 2147483647 w 1394"/>
            <a:gd name="T61" fmla="*/ 2147483647 h 626"/>
            <a:gd name="T62" fmla="*/ 2147483647 w 1394"/>
            <a:gd name="T63" fmla="*/ 2147483647 h 626"/>
            <a:gd name="T64" fmla="*/ 2147483647 w 1394"/>
            <a:gd name="T65" fmla="*/ 2147483647 h 626"/>
            <a:gd name="T66" fmla="*/ 2147483647 w 1394"/>
            <a:gd name="T67" fmla="*/ 2147483647 h 626"/>
            <a:gd name="T68" fmla="*/ 2147483647 w 1394"/>
            <a:gd name="T69" fmla="*/ 2147483647 h 626"/>
            <a:gd name="T70" fmla="*/ 2147483647 w 1394"/>
            <a:gd name="T71" fmla="*/ 2147483647 h 626"/>
            <a:gd name="T72" fmla="*/ 2147483647 w 1394"/>
            <a:gd name="T73" fmla="*/ 2147483647 h 626"/>
            <a:gd name="T74" fmla="*/ 2147483647 w 1394"/>
            <a:gd name="T75" fmla="*/ 2147483647 h 626"/>
            <a:gd name="T76" fmla="*/ 2147483647 w 1394"/>
            <a:gd name="T77" fmla="*/ 2147483647 h 626"/>
            <a:gd name="T78" fmla="*/ 2147483647 w 1394"/>
            <a:gd name="T79" fmla="*/ 2147483647 h 626"/>
            <a:gd name="T80" fmla="*/ 2147483647 w 1394"/>
            <a:gd name="T81" fmla="*/ 2147483647 h 626"/>
            <a:gd name="T82" fmla="*/ 2147483647 w 1394"/>
            <a:gd name="T83" fmla="*/ 2147483647 h 626"/>
            <a:gd name="T84" fmla="*/ 2147483647 w 1394"/>
            <a:gd name="T85" fmla="*/ 2147483647 h 626"/>
            <a:gd name="T86" fmla="*/ 2147483647 w 1394"/>
            <a:gd name="T87" fmla="*/ 2147483647 h 626"/>
            <a:gd name="T88" fmla="*/ 2147483647 w 1394"/>
            <a:gd name="T89" fmla="*/ 2147483647 h 626"/>
            <a:gd name="T90" fmla="*/ 2147483647 w 1394"/>
            <a:gd name="T91" fmla="*/ 2147483647 h 626"/>
            <a:gd name="T92" fmla="*/ 2147483647 w 1394"/>
            <a:gd name="T93" fmla="*/ 2147483647 h 626"/>
            <a:gd name="T94" fmla="*/ 2147483647 w 1394"/>
            <a:gd name="T95" fmla="*/ 2147483647 h 626"/>
            <a:gd name="T96" fmla="*/ 2147483647 w 1394"/>
            <a:gd name="T97" fmla="*/ 2147483647 h 626"/>
            <a:gd name="T98" fmla="*/ 2147483647 w 1394"/>
            <a:gd name="T99" fmla="*/ 2147483647 h 626"/>
            <a:gd name="T100" fmla="*/ 2147483647 w 1394"/>
            <a:gd name="T101" fmla="*/ 2147483647 h 626"/>
            <a:gd name="T102" fmla="*/ 2147483647 w 1394"/>
            <a:gd name="T103" fmla="*/ 2147483647 h 626"/>
            <a:gd name="T104" fmla="*/ 2147483647 w 1394"/>
            <a:gd name="T105" fmla="*/ 2147483647 h 626"/>
            <a:gd name="T106" fmla="*/ 2147483647 w 1394"/>
            <a:gd name="T107" fmla="*/ 2147483647 h 626"/>
            <a:gd name="T108" fmla="*/ 2147483647 w 1394"/>
            <a:gd name="T109" fmla="*/ 2147483647 h 626"/>
            <a:gd name="T110" fmla="*/ 2147483647 w 1394"/>
            <a:gd name="T111" fmla="*/ 2147483647 h 626"/>
            <a:gd name="T112" fmla="*/ 2147483647 w 1394"/>
            <a:gd name="T113" fmla="*/ 2147483647 h 626"/>
            <a:gd name="T114" fmla="*/ 2147483647 w 1394"/>
            <a:gd name="T115" fmla="*/ 2147483647 h 626"/>
            <a:gd name="T116" fmla="*/ 2147483647 w 1394"/>
            <a:gd name="T117" fmla="*/ 2147483647 h 626"/>
            <a:gd name="T118" fmla="*/ 2147483647 w 1394"/>
            <a:gd name="T119" fmla="*/ 2147483647 h 626"/>
            <a:gd name="T120" fmla="*/ 2147483647 w 1394"/>
            <a:gd name="T121" fmla="*/ 2147483647 h 626"/>
            <a:gd name="T122" fmla="*/ 2147483647 w 1394"/>
            <a:gd name="T123" fmla="*/ 2147483647 h 62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60000 65536"/>
            <a:gd name="T184" fmla="*/ 0 60000 65536"/>
            <a:gd name="T185" fmla="*/ 0 60000 65536"/>
            <a:gd name="T186" fmla="*/ 0 w 1394"/>
            <a:gd name="T187" fmla="*/ 0 h 626"/>
            <a:gd name="T188" fmla="*/ 1394 w 1394"/>
            <a:gd name="T189" fmla="*/ 626 h 626"/>
          </a:gdLst>
          <a:ahLst/>
          <a:cxnLst>
            <a:cxn ang="T124">
              <a:pos x="T0" y="T1"/>
            </a:cxn>
            <a:cxn ang="T125">
              <a:pos x="T2" y="T3"/>
            </a:cxn>
            <a:cxn ang="T126">
              <a:pos x="T4" y="T5"/>
            </a:cxn>
            <a:cxn ang="T127">
              <a:pos x="T6" y="T7"/>
            </a:cxn>
            <a:cxn ang="T128">
              <a:pos x="T8" y="T9"/>
            </a:cxn>
            <a:cxn ang="T129">
              <a:pos x="T10" y="T11"/>
            </a:cxn>
            <a:cxn ang="T130">
              <a:pos x="T12" y="T13"/>
            </a:cxn>
            <a:cxn ang="T131">
              <a:pos x="T14" y="T15"/>
            </a:cxn>
            <a:cxn ang="T132">
              <a:pos x="T16" y="T17"/>
            </a:cxn>
            <a:cxn ang="T133">
              <a:pos x="T18" y="T19"/>
            </a:cxn>
            <a:cxn ang="T134">
              <a:pos x="T20" y="T21"/>
            </a:cxn>
            <a:cxn ang="T135">
              <a:pos x="T22" y="T23"/>
            </a:cxn>
            <a:cxn ang="T136">
              <a:pos x="T24" y="T25"/>
            </a:cxn>
            <a:cxn ang="T137">
              <a:pos x="T26" y="T27"/>
            </a:cxn>
            <a:cxn ang="T138">
              <a:pos x="T28" y="T29"/>
            </a:cxn>
            <a:cxn ang="T139">
              <a:pos x="T30" y="T31"/>
            </a:cxn>
            <a:cxn ang="T140">
              <a:pos x="T32" y="T33"/>
            </a:cxn>
            <a:cxn ang="T141">
              <a:pos x="T34" y="T35"/>
            </a:cxn>
            <a:cxn ang="T142">
              <a:pos x="T36" y="T37"/>
            </a:cxn>
            <a:cxn ang="T143">
              <a:pos x="T38" y="T39"/>
            </a:cxn>
            <a:cxn ang="T144">
              <a:pos x="T40" y="T41"/>
            </a:cxn>
            <a:cxn ang="T145">
              <a:pos x="T42" y="T43"/>
            </a:cxn>
            <a:cxn ang="T146">
              <a:pos x="T44" y="T45"/>
            </a:cxn>
            <a:cxn ang="T147">
              <a:pos x="T46" y="T47"/>
            </a:cxn>
            <a:cxn ang="T148">
              <a:pos x="T48" y="T49"/>
            </a:cxn>
            <a:cxn ang="T149">
              <a:pos x="T50" y="T51"/>
            </a:cxn>
            <a:cxn ang="T150">
              <a:pos x="T52" y="T53"/>
            </a:cxn>
            <a:cxn ang="T151">
              <a:pos x="T54" y="T55"/>
            </a:cxn>
            <a:cxn ang="T152">
              <a:pos x="T56" y="T57"/>
            </a:cxn>
            <a:cxn ang="T153">
              <a:pos x="T58" y="T59"/>
            </a:cxn>
            <a:cxn ang="T154">
              <a:pos x="T60" y="T61"/>
            </a:cxn>
            <a:cxn ang="T155">
              <a:pos x="T62" y="T63"/>
            </a:cxn>
            <a:cxn ang="T156">
              <a:pos x="T64" y="T65"/>
            </a:cxn>
            <a:cxn ang="T157">
              <a:pos x="T66" y="T67"/>
            </a:cxn>
            <a:cxn ang="T158">
              <a:pos x="T68" y="T69"/>
            </a:cxn>
            <a:cxn ang="T159">
              <a:pos x="T70" y="T71"/>
            </a:cxn>
            <a:cxn ang="T160">
              <a:pos x="T72" y="T73"/>
            </a:cxn>
            <a:cxn ang="T161">
              <a:pos x="T74" y="T75"/>
            </a:cxn>
            <a:cxn ang="T162">
              <a:pos x="T76" y="T77"/>
            </a:cxn>
            <a:cxn ang="T163">
              <a:pos x="T78" y="T79"/>
            </a:cxn>
            <a:cxn ang="T164">
              <a:pos x="T80" y="T81"/>
            </a:cxn>
            <a:cxn ang="T165">
              <a:pos x="T82" y="T83"/>
            </a:cxn>
            <a:cxn ang="T166">
              <a:pos x="T84" y="T85"/>
            </a:cxn>
            <a:cxn ang="T167">
              <a:pos x="T86" y="T87"/>
            </a:cxn>
            <a:cxn ang="T168">
              <a:pos x="T88" y="T89"/>
            </a:cxn>
            <a:cxn ang="T169">
              <a:pos x="T90" y="T91"/>
            </a:cxn>
            <a:cxn ang="T170">
              <a:pos x="T92" y="T93"/>
            </a:cxn>
            <a:cxn ang="T171">
              <a:pos x="T94" y="T95"/>
            </a:cxn>
            <a:cxn ang="T172">
              <a:pos x="T96" y="T97"/>
            </a:cxn>
            <a:cxn ang="T173">
              <a:pos x="T98" y="T99"/>
            </a:cxn>
            <a:cxn ang="T174">
              <a:pos x="T100" y="T101"/>
            </a:cxn>
            <a:cxn ang="T175">
              <a:pos x="T102" y="T103"/>
            </a:cxn>
            <a:cxn ang="T176">
              <a:pos x="T104" y="T105"/>
            </a:cxn>
            <a:cxn ang="T177">
              <a:pos x="T106" y="T107"/>
            </a:cxn>
            <a:cxn ang="T178">
              <a:pos x="T108" y="T109"/>
            </a:cxn>
            <a:cxn ang="T179">
              <a:pos x="T110" y="T111"/>
            </a:cxn>
            <a:cxn ang="T180">
              <a:pos x="T112" y="T113"/>
            </a:cxn>
            <a:cxn ang="T181">
              <a:pos x="T114" y="T115"/>
            </a:cxn>
            <a:cxn ang="T182">
              <a:pos x="T116" y="T117"/>
            </a:cxn>
            <a:cxn ang="T183">
              <a:pos x="T118" y="T119"/>
            </a:cxn>
            <a:cxn ang="T184">
              <a:pos x="T120" y="T121"/>
            </a:cxn>
            <a:cxn ang="T185">
              <a:pos x="T122" y="T123"/>
            </a:cxn>
          </a:cxnLst>
          <a:rect l="T186" t="T187" r="T188" b="T189"/>
          <a:pathLst>
            <a:path w="1394" h="626">
              <a:moveTo>
                <a:pt x="972" y="603"/>
              </a:moveTo>
              <a:lnTo>
                <a:pt x="969" y="603"/>
              </a:lnTo>
              <a:lnTo>
                <a:pt x="965" y="603"/>
              </a:lnTo>
              <a:lnTo>
                <a:pt x="931" y="602"/>
              </a:lnTo>
              <a:lnTo>
                <a:pt x="912" y="602"/>
              </a:lnTo>
              <a:lnTo>
                <a:pt x="868" y="601"/>
              </a:lnTo>
              <a:lnTo>
                <a:pt x="867" y="601"/>
              </a:lnTo>
              <a:lnTo>
                <a:pt x="850" y="600"/>
              </a:lnTo>
              <a:lnTo>
                <a:pt x="837" y="599"/>
              </a:lnTo>
              <a:lnTo>
                <a:pt x="832" y="598"/>
              </a:lnTo>
              <a:lnTo>
                <a:pt x="826" y="598"/>
              </a:lnTo>
              <a:lnTo>
                <a:pt x="804" y="596"/>
              </a:lnTo>
              <a:lnTo>
                <a:pt x="775" y="596"/>
              </a:lnTo>
              <a:lnTo>
                <a:pt x="772" y="596"/>
              </a:lnTo>
              <a:lnTo>
                <a:pt x="771" y="596"/>
              </a:lnTo>
              <a:lnTo>
                <a:pt x="764" y="597"/>
              </a:lnTo>
              <a:lnTo>
                <a:pt x="745" y="597"/>
              </a:lnTo>
              <a:lnTo>
                <a:pt x="733" y="598"/>
              </a:lnTo>
              <a:lnTo>
                <a:pt x="710" y="598"/>
              </a:lnTo>
              <a:lnTo>
                <a:pt x="680" y="597"/>
              </a:lnTo>
              <a:lnTo>
                <a:pt x="672" y="597"/>
              </a:lnTo>
              <a:lnTo>
                <a:pt x="658" y="596"/>
              </a:lnTo>
              <a:lnTo>
                <a:pt x="644" y="595"/>
              </a:lnTo>
              <a:lnTo>
                <a:pt x="640" y="595"/>
              </a:lnTo>
              <a:lnTo>
                <a:pt x="617" y="594"/>
              </a:lnTo>
              <a:lnTo>
                <a:pt x="602" y="593"/>
              </a:lnTo>
              <a:lnTo>
                <a:pt x="584" y="591"/>
              </a:lnTo>
              <a:lnTo>
                <a:pt x="577" y="590"/>
              </a:lnTo>
              <a:lnTo>
                <a:pt x="563" y="589"/>
              </a:lnTo>
              <a:lnTo>
                <a:pt x="546" y="589"/>
              </a:lnTo>
              <a:lnTo>
                <a:pt x="537" y="591"/>
              </a:lnTo>
              <a:lnTo>
                <a:pt x="534" y="594"/>
              </a:lnTo>
              <a:lnTo>
                <a:pt x="530" y="589"/>
              </a:lnTo>
              <a:lnTo>
                <a:pt x="510" y="590"/>
              </a:lnTo>
              <a:lnTo>
                <a:pt x="497" y="590"/>
              </a:lnTo>
              <a:lnTo>
                <a:pt x="484" y="590"/>
              </a:lnTo>
              <a:lnTo>
                <a:pt x="476" y="590"/>
              </a:lnTo>
              <a:lnTo>
                <a:pt x="441" y="591"/>
              </a:lnTo>
              <a:lnTo>
                <a:pt x="431" y="591"/>
              </a:lnTo>
              <a:lnTo>
                <a:pt x="429" y="591"/>
              </a:lnTo>
              <a:lnTo>
                <a:pt x="406" y="591"/>
              </a:lnTo>
              <a:lnTo>
                <a:pt x="390" y="591"/>
              </a:lnTo>
              <a:lnTo>
                <a:pt x="366" y="593"/>
              </a:lnTo>
              <a:lnTo>
                <a:pt x="348" y="593"/>
              </a:lnTo>
              <a:lnTo>
                <a:pt x="333" y="593"/>
              </a:lnTo>
              <a:lnTo>
                <a:pt x="323" y="593"/>
              </a:lnTo>
              <a:lnTo>
                <a:pt x="293" y="594"/>
              </a:lnTo>
              <a:lnTo>
                <a:pt x="293" y="587"/>
              </a:lnTo>
              <a:lnTo>
                <a:pt x="253" y="583"/>
              </a:lnTo>
              <a:lnTo>
                <a:pt x="254" y="589"/>
              </a:lnTo>
              <a:lnTo>
                <a:pt x="256" y="596"/>
              </a:lnTo>
              <a:lnTo>
                <a:pt x="256" y="626"/>
              </a:lnTo>
              <a:lnTo>
                <a:pt x="213" y="626"/>
              </a:lnTo>
              <a:lnTo>
                <a:pt x="196" y="626"/>
              </a:lnTo>
              <a:lnTo>
                <a:pt x="175" y="625"/>
              </a:lnTo>
              <a:lnTo>
                <a:pt x="172" y="625"/>
              </a:lnTo>
              <a:lnTo>
                <a:pt x="169" y="625"/>
              </a:lnTo>
              <a:lnTo>
                <a:pt x="164" y="625"/>
              </a:lnTo>
              <a:lnTo>
                <a:pt x="123" y="625"/>
              </a:lnTo>
              <a:lnTo>
                <a:pt x="112" y="625"/>
              </a:lnTo>
              <a:lnTo>
                <a:pt x="111" y="625"/>
              </a:lnTo>
              <a:lnTo>
                <a:pt x="109" y="625"/>
              </a:lnTo>
              <a:lnTo>
                <a:pt x="84" y="625"/>
              </a:lnTo>
              <a:lnTo>
                <a:pt x="23" y="624"/>
              </a:lnTo>
              <a:lnTo>
                <a:pt x="14" y="625"/>
              </a:lnTo>
              <a:lnTo>
                <a:pt x="0" y="626"/>
              </a:lnTo>
              <a:lnTo>
                <a:pt x="9" y="598"/>
              </a:lnTo>
              <a:lnTo>
                <a:pt x="10" y="596"/>
              </a:lnTo>
              <a:lnTo>
                <a:pt x="17" y="594"/>
              </a:lnTo>
              <a:lnTo>
                <a:pt x="32" y="610"/>
              </a:lnTo>
              <a:lnTo>
                <a:pt x="46" y="589"/>
              </a:lnTo>
              <a:lnTo>
                <a:pt x="43" y="567"/>
              </a:lnTo>
              <a:lnTo>
                <a:pt x="56" y="566"/>
              </a:lnTo>
              <a:lnTo>
                <a:pt x="56" y="558"/>
              </a:lnTo>
              <a:lnTo>
                <a:pt x="55" y="537"/>
              </a:lnTo>
              <a:lnTo>
                <a:pt x="57" y="534"/>
              </a:lnTo>
              <a:lnTo>
                <a:pt x="60" y="521"/>
              </a:lnTo>
              <a:lnTo>
                <a:pt x="60" y="519"/>
              </a:lnTo>
              <a:lnTo>
                <a:pt x="56" y="511"/>
              </a:lnTo>
              <a:lnTo>
                <a:pt x="48" y="507"/>
              </a:lnTo>
              <a:lnTo>
                <a:pt x="45" y="496"/>
              </a:lnTo>
              <a:lnTo>
                <a:pt x="46" y="491"/>
              </a:lnTo>
              <a:lnTo>
                <a:pt x="53" y="483"/>
              </a:lnTo>
              <a:lnTo>
                <a:pt x="78" y="454"/>
              </a:lnTo>
              <a:lnTo>
                <a:pt x="91" y="454"/>
              </a:lnTo>
              <a:lnTo>
                <a:pt x="92" y="453"/>
              </a:lnTo>
              <a:lnTo>
                <a:pt x="125" y="471"/>
              </a:lnTo>
              <a:lnTo>
                <a:pt x="149" y="479"/>
              </a:lnTo>
              <a:lnTo>
                <a:pt x="160" y="490"/>
              </a:lnTo>
              <a:lnTo>
                <a:pt x="172" y="492"/>
              </a:lnTo>
              <a:lnTo>
                <a:pt x="173" y="491"/>
              </a:lnTo>
              <a:lnTo>
                <a:pt x="184" y="478"/>
              </a:lnTo>
              <a:lnTo>
                <a:pt x="172" y="447"/>
              </a:lnTo>
              <a:lnTo>
                <a:pt x="188" y="407"/>
              </a:lnTo>
              <a:lnTo>
                <a:pt x="196" y="412"/>
              </a:lnTo>
              <a:lnTo>
                <a:pt x="197" y="413"/>
              </a:lnTo>
              <a:lnTo>
                <a:pt x="199" y="412"/>
              </a:lnTo>
              <a:lnTo>
                <a:pt x="218" y="399"/>
              </a:lnTo>
              <a:lnTo>
                <a:pt x="242" y="396"/>
              </a:lnTo>
              <a:lnTo>
                <a:pt x="254" y="388"/>
              </a:lnTo>
              <a:lnTo>
                <a:pt x="242" y="372"/>
              </a:lnTo>
              <a:lnTo>
                <a:pt x="241" y="372"/>
              </a:lnTo>
              <a:lnTo>
                <a:pt x="237" y="359"/>
              </a:lnTo>
              <a:lnTo>
                <a:pt x="242" y="340"/>
              </a:lnTo>
              <a:lnTo>
                <a:pt x="260" y="319"/>
              </a:lnTo>
              <a:lnTo>
                <a:pt x="266" y="319"/>
              </a:lnTo>
              <a:lnTo>
                <a:pt x="277" y="301"/>
              </a:lnTo>
              <a:lnTo>
                <a:pt x="279" y="294"/>
              </a:lnTo>
              <a:lnTo>
                <a:pt x="289" y="290"/>
              </a:lnTo>
              <a:lnTo>
                <a:pt x="312" y="296"/>
              </a:lnTo>
              <a:lnTo>
                <a:pt x="322" y="295"/>
              </a:lnTo>
              <a:lnTo>
                <a:pt x="336" y="311"/>
              </a:lnTo>
              <a:lnTo>
                <a:pt x="336" y="289"/>
              </a:lnTo>
              <a:lnTo>
                <a:pt x="368" y="285"/>
              </a:lnTo>
              <a:lnTo>
                <a:pt x="378" y="285"/>
              </a:lnTo>
              <a:lnTo>
                <a:pt x="380" y="285"/>
              </a:lnTo>
              <a:lnTo>
                <a:pt x="396" y="295"/>
              </a:lnTo>
              <a:lnTo>
                <a:pt x="403" y="300"/>
              </a:lnTo>
              <a:lnTo>
                <a:pt x="429" y="322"/>
              </a:lnTo>
              <a:lnTo>
                <a:pt x="453" y="289"/>
              </a:lnTo>
              <a:lnTo>
                <a:pt x="457" y="288"/>
              </a:lnTo>
              <a:lnTo>
                <a:pt x="476" y="277"/>
              </a:lnTo>
              <a:lnTo>
                <a:pt x="487" y="271"/>
              </a:lnTo>
              <a:lnTo>
                <a:pt x="500" y="292"/>
              </a:lnTo>
              <a:lnTo>
                <a:pt x="517" y="300"/>
              </a:lnTo>
              <a:lnTo>
                <a:pt x="517" y="308"/>
              </a:lnTo>
              <a:lnTo>
                <a:pt x="528" y="300"/>
              </a:lnTo>
              <a:lnTo>
                <a:pt x="544" y="261"/>
              </a:lnTo>
              <a:lnTo>
                <a:pt x="548" y="260"/>
              </a:lnTo>
              <a:lnTo>
                <a:pt x="553" y="248"/>
              </a:lnTo>
              <a:lnTo>
                <a:pt x="552" y="245"/>
              </a:lnTo>
              <a:lnTo>
                <a:pt x="553" y="243"/>
              </a:lnTo>
              <a:lnTo>
                <a:pt x="569" y="240"/>
              </a:lnTo>
              <a:lnTo>
                <a:pt x="569" y="225"/>
              </a:lnTo>
              <a:lnTo>
                <a:pt x="578" y="228"/>
              </a:lnTo>
              <a:lnTo>
                <a:pt x="589" y="241"/>
              </a:lnTo>
              <a:lnTo>
                <a:pt x="593" y="260"/>
              </a:lnTo>
              <a:lnTo>
                <a:pt x="640" y="271"/>
              </a:lnTo>
              <a:lnTo>
                <a:pt x="649" y="270"/>
              </a:lnTo>
              <a:lnTo>
                <a:pt x="650" y="269"/>
              </a:lnTo>
              <a:lnTo>
                <a:pt x="657" y="241"/>
              </a:lnTo>
              <a:lnTo>
                <a:pt x="657" y="240"/>
              </a:lnTo>
              <a:lnTo>
                <a:pt x="658" y="229"/>
              </a:lnTo>
              <a:lnTo>
                <a:pt x="670" y="212"/>
              </a:lnTo>
              <a:lnTo>
                <a:pt x="679" y="203"/>
              </a:lnTo>
              <a:lnTo>
                <a:pt x="684" y="205"/>
              </a:lnTo>
              <a:lnTo>
                <a:pt x="686" y="207"/>
              </a:lnTo>
              <a:lnTo>
                <a:pt x="708" y="182"/>
              </a:lnTo>
              <a:lnTo>
                <a:pt x="710" y="174"/>
              </a:lnTo>
              <a:lnTo>
                <a:pt x="734" y="160"/>
              </a:lnTo>
              <a:lnTo>
                <a:pt x="746" y="147"/>
              </a:lnTo>
              <a:lnTo>
                <a:pt x="747" y="133"/>
              </a:lnTo>
              <a:lnTo>
                <a:pt x="747" y="132"/>
              </a:lnTo>
              <a:lnTo>
                <a:pt x="745" y="124"/>
              </a:lnTo>
              <a:lnTo>
                <a:pt x="757" y="98"/>
              </a:lnTo>
              <a:lnTo>
                <a:pt x="764" y="97"/>
              </a:lnTo>
              <a:lnTo>
                <a:pt x="778" y="97"/>
              </a:lnTo>
              <a:lnTo>
                <a:pt x="780" y="98"/>
              </a:lnTo>
              <a:lnTo>
                <a:pt x="789" y="108"/>
              </a:lnTo>
              <a:lnTo>
                <a:pt x="804" y="103"/>
              </a:lnTo>
              <a:lnTo>
                <a:pt x="816" y="95"/>
              </a:lnTo>
              <a:lnTo>
                <a:pt x="822" y="91"/>
              </a:lnTo>
              <a:lnTo>
                <a:pt x="826" y="88"/>
              </a:lnTo>
              <a:lnTo>
                <a:pt x="850" y="84"/>
              </a:lnTo>
              <a:lnTo>
                <a:pt x="865" y="68"/>
              </a:lnTo>
              <a:lnTo>
                <a:pt x="867" y="64"/>
              </a:lnTo>
              <a:lnTo>
                <a:pt x="851" y="58"/>
              </a:lnTo>
              <a:lnTo>
                <a:pt x="850" y="53"/>
              </a:lnTo>
              <a:lnTo>
                <a:pt x="855" y="34"/>
              </a:lnTo>
              <a:lnTo>
                <a:pt x="850" y="27"/>
              </a:lnTo>
              <a:lnTo>
                <a:pt x="850" y="18"/>
              </a:lnTo>
              <a:lnTo>
                <a:pt x="861" y="10"/>
              </a:lnTo>
              <a:lnTo>
                <a:pt x="868" y="5"/>
              </a:lnTo>
              <a:lnTo>
                <a:pt x="873" y="0"/>
              </a:lnTo>
              <a:lnTo>
                <a:pt x="897" y="17"/>
              </a:lnTo>
              <a:lnTo>
                <a:pt x="898" y="18"/>
              </a:lnTo>
              <a:lnTo>
                <a:pt x="919" y="12"/>
              </a:lnTo>
              <a:lnTo>
                <a:pt x="923" y="9"/>
              </a:lnTo>
              <a:lnTo>
                <a:pt x="944" y="24"/>
              </a:lnTo>
              <a:lnTo>
                <a:pt x="954" y="30"/>
              </a:lnTo>
              <a:lnTo>
                <a:pt x="962" y="48"/>
              </a:lnTo>
              <a:lnTo>
                <a:pt x="965" y="53"/>
              </a:lnTo>
              <a:lnTo>
                <a:pt x="971" y="64"/>
              </a:lnTo>
              <a:lnTo>
                <a:pt x="971" y="76"/>
              </a:lnTo>
              <a:lnTo>
                <a:pt x="991" y="85"/>
              </a:lnTo>
              <a:lnTo>
                <a:pt x="1004" y="88"/>
              </a:lnTo>
              <a:lnTo>
                <a:pt x="1014" y="86"/>
              </a:lnTo>
              <a:lnTo>
                <a:pt x="1015" y="86"/>
              </a:lnTo>
              <a:lnTo>
                <a:pt x="1032" y="90"/>
              </a:lnTo>
              <a:lnTo>
                <a:pt x="1041" y="94"/>
              </a:lnTo>
              <a:lnTo>
                <a:pt x="1061" y="117"/>
              </a:lnTo>
              <a:lnTo>
                <a:pt x="1069" y="119"/>
              </a:lnTo>
              <a:lnTo>
                <a:pt x="1070" y="121"/>
              </a:lnTo>
              <a:lnTo>
                <a:pt x="1072" y="122"/>
              </a:lnTo>
              <a:lnTo>
                <a:pt x="1080" y="121"/>
              </a:lnTo>
              <a:lnTo>
                <a:pt x="1084" y="111"/>
              </a:lnTo>
              <a:lnTo>
                <a:pt x="1102" y="104"/>
              </a:lnTo>
              <a:lnTo>
                <a:pt x="1131" y="115"/>
              </a:lnTo>
              <a:lnTo>
                <a:pt x="1146" y="130"/>
              </a:lnTo>
              <a:lnTo>
                <a:pt x="1151" y="125"/>
              </a:lnTo>
              <a:lnTo>
                <a:pt x="1157" y="123"/>
              </a:lnTo>
              <a:lnTo>
                <a:pt x="1174" y="124"/>
              </a:lnTo>
              <a:lnTo>
                <a:pt x="1196" y="99"/>
              </a:lnTo>
              <a:lnTo>
                <a:pt x="1223" y="94"/>
              </a:lnTo>
              <a:lnTo>
                <a:pt x="1228" y="124"/>
              </a:lnTo>
              <a:lnTo>
                <a:pt x="1235" y="137"/>
              </a:lnTo>
              <a:lnTo>
                <a:pt x="1248" y="139"/>
              </a:lnTo>
              <a:lnTo>
                <a:pt x="1264" y="152"/>
              </a:lnTo>
              <a:lnTo>
                <a:pt x="1272" y="158"/>
              </a:lnTo>
              <a:lnTo>
                <a:pt x="1277" y="171"/>
              </a:lnTo>
              <a:lnTo>
                <a:pt x="1277" y="183"/>
              </a:lnTo>
              <a:lnTo>
                <a:pt x="1279" y="212"/>
              </a:lnTo>
              <a:lnTo>
                <a:pt x="1275" y="213"/>
              </a:lnTo>
              <a:lnTo>
                <a:pt x="1272" y="239"/>
              </a:lnTo>
              <a:lnTo>
                <a:pt x="1296" y="271"/>
              </a:lnTo>
              <a:lnTo>
                <a:pt x="1295" y="284"/>
              </a:lnTo>
              <a:lnTo>
                <a:pt x="1294" y="288"/>
              </a:lnTo>
              <a:lnTo>
                <a:pt x="1310" y="300"/>
              </a:lnTo>
              <a:lnTo>
                <a:pt x="1310" y="305"/>
              </a:lnTo>
              <a:lnTo>
                <a:pt x="1318" y="317"/>
              </a:lnTo>
              <a:lnTo>
                <a:pt x="1327" y="330"/>
              </a:lnTo>
              <a:lnTo>
                <a:pt x="1326" y="332"/>
              </a:lnTo>
              <a:lnTo>
                <a:pt x="1365" y="371"/>
              </a:lnTo>
              <a:lnTo>
                <a:pt x="1365" y="377"/>
              </a:lnTo>
              <a:lnTo>
                <a:pt x="1394" y="381"/>
              </a:lnTo>
              <a:lnTo>
                <a:pt x="1373" y="399"/>
              </a:lnTo>
              <a:lnTo>
                <a:pt x="1351" y="418"/>
              </a:lnTo>
              <a:lnTo>
                <a:pt x="1329" y="437"/>
              </a:lnTo>
              <a:lnTo>
                <a:pt x="1318" y="446"/>
              </a:lnTo>
              <a:lnTo>
                <a:pt x="1306" y="449"/>
              </a:lnTo>
              <a:lnTo>
                <a:pt x="1284" y="460"/>
              </a:lnTo>
              <a:lnTo>
                <a:pt x="1282" y="461"/>
              </a:lnTo>
              <a:lnTo>
                <a:pt x="1255" y="478"/>
              </a:lnTo>
              <a:lnTo>
                <a:pt x="1248" y="502"/>
              </a:lnTo>
              <a:lnTo>
                <a:pt x="1226" y="513"/>
              </a:lnTo>
              <a:lnTo>
                <a:pt x="1224" y="532"/>
              </a:lnTo>
              <a:lnTo>
                <a:pt x="1223" y="533"/>
              </a:lnTo>
              <a:lnTo>
                <a:pt x="1177" y="557"/>
              </a:lnTo>
              <a:lnTo>
                <a:pt x="1176" y="566"/>
              </a:lnTo>
              <a:lnTo>
                <a:pt x="1114" y="586"/>
              </a:lnTo>
              <a:lnTo>
                <a:pt x="1108" y="585"/>
              </a:lnTo>
              <a:lnTo>
                <a:pt x="1083" y="596"/>
              </a:lnTo>
              <a:lnTo>
                <a:pt x="1075" y="601"/>
              </a:lnTo>
              <a:lnTo>
                <a:pt x="1071" y="605"/>
              </a:lnTo>
              <a:lnTo>
                <a:pt x="1053" y="605"/>
              </a:lnTo>
              <a:lnTo>
                <a:pt x="1026" y="604"/>
              </a:lnTo>
              <a:lnTo>
                <a:pt x="1014" y="604"/>
              </a:lnTo>
              <a:lnTo>
                <a:pt x="1011" y="604"/>
              </a:lnTo>
              <a:lnTo>
                <a:pt x="998" y="604"/>
              </a:lnTo>
              <a:lnTo>
                <a:pt x="974" y="603"/>
              </a:lnTo>
              <a:lnTo>
                <a:pt x="972" y="603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endParaRPr lang="en-US" sz="800"/>
        </a:p>
      </xdr:txBody>
    </xdr:sp>
    <xdr:clientData/>
  </xdr:twoCellAnchor>
  <xdr:twoCellAnchor>
    <xdr:from>
      <xdr:col>20</xdr:col>
      <xdr:colOff>300391</xdr:colOff>
      <xdr:row>13</xdr:row>
      <xdr:rowOff>146043</xdr:rowOff>
    </xdr:from>
    <xdr:to>
      <xdr:col>21</xdr:col>
      <xdr:colOff>363913</xdr:colOff>
      <xdr:row>15</xdr:row>
      <xdr:rowOff>172171</xdr:rowOff>
    </xdr:to>
    <xdr:sp macro="" textlink="">
      <xdr:nvSpPr>
        <xdr:cNvPr id="91" name="S_KS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>
          <a:spLocks/>
        </xdr:cNvSpPr>
      </xdr:nvSpPr>
      <xdr:spPr bwMode="auto">
        <a:xfrm>
          <a:off x="2500666" y="2813043"/>
          <a:ext cx="673122" cy="407128"/>
        </a:xfrm>
        <a:custGeom>
          <a:avLst/>
          <a:gdLst>
            <a:gd name="T0" fmla="*/ 2147483647 w 1393"/>
            <a:gd name="T1" fmla="*/ 2147483647 h 712"/>
            <a:gd name="T2" fmla="*/ 2147483647 w 1393"/>
            <a:gd name="T3" fmla="*/ 2147483647 h 712"/>
            <a:gd name="T4" fmla="*/ 2147483647 w 1393"/>
            <a:gd name="T5" fmla="*/ 2147483647 h 712"/>
            <a:gd name="T6" fmla="*/ 2147483647 w 1393"/>
            <a:gd name="T7" fmla="*/ 2147483647 h 712"/>
            <a:gd name="T8" fmla="*/ 2147483647 w 1393"/>
            <a:gd name="T9" fmla="*/ 2147483647 h 712"/>
            <a:gd name="T10" fmla="*/ 2147483647 w 1393"/>
            <a:gd name="T11" fmla="*/ 2147483647 h 712"/>
            <a:gd name="T12" fmla="*/ 2147483647 w 1393"/>
            <a:gd name="T13" fmla="*/ 2147483647 h 712"/>
            <a:gd name="T14" fmla="*/ 2147483647 w 1393"/>
            <a:gd name="T15" fmla="*/ 2147483647 h 712"/>
            <a:gd name="T16" fmla="*/ 2147483647 w 1393"/>
            <a:gd name="T17" fmla="*/ 2147483647 h 712"/>
            <a:gd name="T18" fmla="*/ 2147483647 w 1393"/>
            <a:gd name="T19" fmla="*/ 2147483647 h 712"/>
            <a:gd name="T20" fmla="*/ 2147483647 w 1393"/>
            <a:gd name="T21" fmla="*/ 2147483647 h 712"/>
            <a:gd name="T22" fmla="*/ 2147483647 w 1393"/>
            <a:gd name="T23" fmla="*/ 2147483647 h 712"/>
            <a:gd name="T24" fmla="*/ 2147483647 w 1393"/>
            <a:gd name="T25" fmla="*/ 2147483647 h 712"/>
            <a:gd name="T26" fmla="*/ 2147483647 w 1393"/>
            <a:gd name="T27" fmla="*/ 2147483647 h 712"/>
            <a:gd name="T28" fmla="*/ 2147483647 w 1393"/>
            <a:gd name="T29" fmla="*/ 2147483647 h 712"/>
            <a:gd name="T30" fmla="*/ 2147483647 w 1393"/>
            <a:gd name="T31" fmla="*/ 2147483647 h 712"/>
            <a:gd name="T32" fmla="*/ 2147483647 w 1393"/>
            <a:gd name="T33" fmla="*/ 2147483647 h 712"/>
            <a:gd name="T34" fmla="*/ 2147483647 w 1393"/>
            <a:gd name="T35" fmla="*/ 2147483647 h 712"/>
            <a:gd name="T36" fmla="*/ 2147483647 w 1393"/>
            <a:gd name="T37" fmla="*/ 2147483647 h 712"/>
            <a:gd name="T38" fmla="*/ 2147483647 w 1393"/>
            <a:gd name="T39" fmla="*/ 2147483647 h 712"/>
            <a:gd name="T40" fmla="*/ 2147483647 w 1393"/>
            <a:gd name="T41" fmla="*/ 2147483647 h 712"/>
            <a:gd name="T42" fmla="*/ 2147483647 w 1393"/>
            <a:gd name="T43" fmla="*/ 2147483647 h 712"/>
            <a:gd name="T44" fmla="*/ 0 w 1393"/>
            <a:gd name="T45" fmla="*/ 2147483647 h 712"/>
            <a:gd name="T46" fmla="*/ 0 w 1393"/>
            <a:gd name="T47" fmla="*/ 2147483647 h 712"/>
            <a:gd name="T48" fmla="*/ 0 w 1393"/>
            <a:gd name="T49" fmla="*/ 2147483647 h 712"/>
            <a:gd name="T50" fmla="*/ 0 w 1393"/>
            <a:gd name="T51" fmla="*/ 2147483647 h 712"/>
            <a:gd name="T52" fmla="*/ 0 w 1393"/>
            <a:gd name="T53" fmla="*/ 2147483647 h 712"/>
            <a:gd name="T54" fmla="*/ 0 w 1393"/>
            <a:gd name="T55" fmla="*/ 2147483647 h 712"/>
            <a:gd name="T56" fmla="*/ 0 w 1393"/>
            <a:gd name="T57" fmla="*/ 2147483647 h 712"/>
            <a:gd name="T58" fmla="*/ 2147483647 w 1393"/>
            <a:gd name="T59" fmla="*/ 2147483647 h 712"/>
            <a:gd name="T60" fmla="*/ 2147483647 w 1393"/>
            <a:gd name="T61" fmla="*/ 2147483647 h 712"/>
            <a:gd name="T62" fmla="*/ 2147483647 w 1393"/>
            <a:gd name="T63" fmla="*/ 2147483647 h 712"/>
            <a:gd name="T64" fmla="*/ 2147483647 w 1393"/>
            <a:gd name="T65" fmla="*/ 2147483647 h 712"/>
            <a:gd name="T66" fmla="*/ 2147483647 w 1393"/>
            <a:gd name="T67" fmla="*/ 2147483647 h 712"/>
            <a:gd name="T68" fmla="*/ 2147483647 w 1393"/>
            <a:gd name="T69" fmla="*/ 2147483647 h 712"/>
            <a:gd name="T70" fmla="*/ 2147483647 w 1393"/>
            <a:gd name="T71" fmla="*/ 2147483647 h 712"/>
            <a:gd name="T72" fmla="*/ 2147483647 w 1393"/>
            <a:gd name="T73" fmla="*/ 2147483647 h 712"/>
            <a:gd name="T74" fmla="*/ 2147483647 w 1393"/>
            <a:gd name="T75" fmla="*/ 2147483647 h 712"/>
            <a:gd name="T76" fmla="*/ 2147483647 w 1393"/>
            <a:gd name="T77" fmla="*/ 2147483647 h 712"/>
            <a:gd name="T78" fmla="*/ 2147483647 w 1393"/>
            <a:gd name="T79" fmla="*/ 2147483647 h 712"/>
            <a:gd name="T80" fmla="*/ 2147483647 w 1393"/>
            <a:gd name="T81" fmla="*/ 2147483647 h 712"/>
            <a:gd name="T82" fmla="*/ 2147483647 w 1393"/>
            <a:gd name="T83" fmla="*/ 2147483647 h 712"/>
            <a:gd name="T84" fmla="*/ 2147483647 w 1393"/>
            <a:gd name="T85" fmla="*/ 2147483647 h 712"/>
            <a:gd name="T86" fmla="*/ 2147483647 w 1393"/>
            <a:gd name="T87" fmla="*/ 2147483647 h 712"/>
            <a:gd name="T88" fmla="*/ 2147483647 w 1393"/>
            <a:gd name="T89" fmla="*/ 2147483647 h 712"/>
            <a:gd name="T90" fmla="*/ 2147483647 w 1393"/>
            <a:gd name="T91" fmla="*/ 2147483647 h 712"/>
            <a:gd name="T92" fmla="*/ 2147483647 w 1393"/>
            <a:gd name="T93" fmla="*/ 2147483647 h 712"/>
            <a:gd name="T94" fmla="*/ 2147483647 w 1393"/>
            <a:gd name="T95" fmla="*/ 2147483647 h 712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w 1393"/>
            <a:gd name="T145" fmla="*/ 0 h 712"/>
            <a:gd name="T146" fmla="*/ 1393 w 1393"/>
            <a:gd name="T147" fmla="*/ 712 h 712"/>
          </a:gdLst>
          <a:ahLst/>
          <a:cxnLst>
            <a:cxn ang="T96">
              <a:pos x="T0" y="T1"/>
            </a:cxn>
            <a:cxn ang="T97">
              <a:pos x="T2" y="T3"/>
            </a:cxn>
            <a:cxn ang="T98">
              <a:pos x="T4" y="T5"/>
            </a:cxn>
            <a:cxn ang="T99">
              <a:pos x="T6" y="T7"/>
            </a:cxn>
            <a:cxn ang="T100">
              <a:pos x="T8" y="T9"/>
            </a:cxn>
            <a:cxn ang="T101">
              <a:pos x="T10" y="T11"/>
            </a:cxn>
            <a:cxn ang="T102">
              <a:pos x="T12" y="T13"/>
            </a:cxn>
            <a:cxn ang="T103">
              <a:pos x="T14" y="T15"/>
            </a:cxn>
            <a:cxn ang="T104">
              <a:pos x="T16" y="T17"/>
            </a:cxn>
            <a:cxn ang="T105">
              <a:pos x="T18" y="T19"/>
            </a:cxn>
            <a:cxn ang="T106">
              <a:pos x="T20" y="T21"/>
            </a:cxn>
            <a:cxn ang="T107">
              <a:pos x="T22" y="T23"/>
            </a:cxn>
            <a:cxn ang="T108">
              <a:pos x="T24" y="T25"/>
            </a:cxn>
            <a:cxn ang="T109">
              <a:pos x="T26" y="T27"/>
            </a:cxn>
            <a:cxn ang="T110">
              <a:pos x="T28" y="T29"/>
            </a:cxn>
            <a:cxn ang="T111">
              <a:pos x="T30" y="T31"/>
            </a:cxn>
            <a:cxn ang="T112">
              <a:pos x="T32" y="T33"/>
            </a:cxn>
            <a:cxn ang="T113">
              <a:pos x="T34" y="T35"/>
            </a:cxn>
            <a:cxn ang="T114">
              <a:pos x="T36" y="T37"/>
            </a:cxn>
            <a:cxn ang="T115">
              <a:pos x="T38" y="T39"/>
            </a:cxn>
            <a:cxn ang="T116">
              <a:pos x="T40" y="T41"/>
            </a:cxn>
            <a:cxn ang="T117">
              <a:pos x="T42" y="T43"/>
            </a:cxn>
            <a:cxn ang="T118">
              <a:pos x="T44" y="T45"/>
            </a:cxn>
            <a:cxn ang="T119">
              <a:pos x="T46" y="T47"/>
            </a:cxn>
            <a:cxn ang="T120">
              <a:pos x="T48" y="T49"/>
            </a:cxn>
            <a:cxn ang="T121">
              <a:pos x="T50" y="T51"/>
            </a:cxn>
            <a:cxn ang="T122">
              <a:pos x="T52" y="T53"/>
            </a:cxn>
            <a:cxn ang="T123">
              <a:pos x="T54" y="T55"/>
            </a:cxn>
            <a:cxn ang="T124">
              <a:pos x="T56" y="T57"/>
            </a:cxn>
            <a:cxn ang="T125">
              <a:pos x="T58" y="T59"/>
            </a:cxn>
            <a:cxn ang="T126">
              <a:pos x="T60" y="T61"/>
            </a:cxn>
            <a:cxn ang="T127">
              <a:pos x="T62" y="T63"/>
            </a:cxn>
            <a:cxn ang="T128">
              <a:pos x="T64" y="T65"/>
            </a:cxn>
            <a:cxn ang="T129">
              <a:pos x="T66" y="T67"/>
            </a:cxn>
            <a:cxn ang="T130">
              <a:pos x="T68" y="T69"/>
            </a:cxn>
            <a:cxn ang="T131">
              <a:pos x="T70" y="T71"/>
            </a:cxn>
            <a:cxn ang="T132">
              <a:pos x="T72" y="T73"/>
            </a:cxn>
            <a:cxn ang="T133">
              <a:pos x="T74" y="T75"/>
            </a:cxn>
            <a:cxn ang="T134">
              <a:pos x="T76" y="T77"/>
            </a:cxn>
            <a:cxn ang="T135">
              <a:pos x="T78" y="T79"/>
            </a:cxn>
            <a:cxn ang="T136">
              <a:pos x="T80" y="T81"/>
            </a:cxn>
            <a:cxn ang="T137">
              <a:pos x="T82" y="T83"/>
            </a:cxn>
            <a:cxn ang="T138">
              <a:pos x="T84" y="T85"/>
            </a:cxn>
            <a:cxn ang="T139">
              <a:pos x="T86" y="T87"/>
            </a:cxn>
            <a:cxn ang="T140">
              <a:pos x="T88" y="T89"/>
            </a:cxn>
            <a:cxn ang="T141">
              <a:pos x="T90" y="T91"/>
            </a:cxn>
            <a:cxn ang="T142">
              <a:pos x="T92" y="T93"/>
            </a:cxn>
            <a:cxn ang="T143">
              <a:pos x="T94" y="T95"/>
            </a:cxn>
          </a:cxnLst>
          <a:rect l="T144" t="T145" r="T146" b="T147"/>
          <a:pathLst>
            <a:path w="1393" h="712">
              <a:moveTo>
                <a:pt x="1392" y="227"/>
              </a:moveTo>
              <a:lnTo>
                <a:pt x="1392" y="243"/>
              </a:lnTo>
              <a:lnTo>
                <a:pt x="1392" y="260"/>
              </a:lnTo>
              <a:lnTo>
                <a:pt x="1392" y="273"/>
              </a:lnTo>
              <a:lnTo>
                <a:pt x="1392" y="297"/>
              </a:lnTo>
              <a:lnTo>
                <a:pt x="1392" y="300"/>
              </a:lnTo>
              <a:lnTo>
                <a:pt x="1392" y="327"/>
              </a:lnTo>
              <a:lnTo>
                <a:pt x="1391" y="356"/>
              </a:lnTo>
              <a:lnTo>
                <a:pt x="1391" y="361"/>
              </a:lnTo>
              <a:lnTo>
                <a:pt x="1391" y="382"/>
              </a:lnTo>
              <a:lnTo>
                <a:pt x="1391" y="415"/>
              </a:lnTo>
              <a:lnTo>
                <a:pt x="1391" y="438"/>
              </a:lnTo>
              <a:lnTo>
                <a:pt x="1391" y="459"/>
              </a:lnTo>
              <a:lnTo>
                <a:pt x="1391" y="465"/>
              </a:lnTo>
              <a:lnTo>
                <a:pt x="1391" y="489"/>
              </a:lnTo>
              <a:lnTo>
                <a:pt x="1391" y="525"/>
              </a:lnTo>
              <a:lnTo>
                <a:pt x="1390" y="552"/>
              </a:lnTo>
              <a:lnTo>
                <a:pt x="1390" y="556"/>
              </a:lnTo>
              <a:lnTo>
                <a:pt x="1391" y="592"/>
              </a:lnTo>
              <a:lnTo>
                <a:pt x="1390" y="621"/>
              </a:lnTo>
              <a:lnTo>
                <a:pt x="1390" y="624"/>
              </a:lnTo>
              <a:lnTo>
                <a:pt x="1390" y="631"/>
              </a:lnTo>
              <a:lnTo>
                <a:pt x="1390" y="671"/>
              </a:lnTo>
              <a:lnTo>
                <a:pt x="1390" y="690"/>
              </a:lnTo>
              <a:lnTo>
                <a:pt x="1390" y="697"/>
              </a:lnTo>
              <a:lnTo>
                <a:pt x="1390" y="702"/>
              </a:lnTo>
              <a:lnTo>
                <a:pt x="1390" y="710"/>
              </a:lnTo>
              <a:lnTo>
                <a:pt x="1390" y="711"/>
              </a:lnTo>
              <a:lnTo>
                <a:pt x="1389" y="711"/>
              </a:lnTo>
              <a:lnTo>
                <a:pt x="1366" y="711"/>
              </a:lnTo>
              <a:lnTo>
                <a:pt x="1317" y="710"/>
              </a:lnTo>
              <a:lnTo>
                <a:pt x="1306" y="710"/>
              </a:lnTo>
              <a:lnTo>
                <a:pt x="1273" y="710"/>
              </a:lnTo>
              <a:lnTo>
                <a:pt x="1260" y="710"/>
              </a:lnTo>
              <a:lnTo>
                <a:pt x="1243" y="710"/>
              </a:lnTo>
              <a:lnTo>
                <a:pt x="1225" y="710"/>
              </a:lnTo>
              <a:lnTo>
                <a:pt x="1221" y="710"/>
              </a:lnTo>
              <a:lnTo>
                <a:pt x="1202" y="710"/>
              </a:lnTo>
              <a:lnTo>
                <a:pt x="1193" y="710"/>
              </a:lnTo>
              <a:lnTo>
                <a:pt x="1172" y="710"/>
              </a:lnTo>
              <a:lnTo>
                <a:pt x="1156" y="710"/>
              </a:lnTo>
              <a:lnTo>
                <a:pt x="1139" y="710"/>
              </a:lnTo>
              <a:lnTo>
                <a:pt x="1132" y="710"/>
              </a:lnTo>
              <a:lnTo>
                <a:pt x="1109" y="710"/>
              </a:lnTo>
              <a:lnTo>
                <a:pt x="1050" y="710"/>
              </a:lnTo>
              <a:lnTo>
                <a:pt x="1034" y="710"/>
              </a:lnTo>
              <a:lnTo>
                <a:pt x="1016" y="710"/>
              </a:lnTo>
              <a:lnTo>
                <a:pt x="992" y="710"/>
              </a:lnTo>
              <a:lnTo>
                <a:pt x="969" y="710"/>
              </a:lnTo>
              <a:lnTo>
                <a:pt x="945" y="710"/>
              </a:lnTo>
              <a:lnTo>
                <a:pt x="917" y="710"/>
              </a:lnTo>
              <a:lnTo>
                <a:pt x="886" y="711"/>
              </a:lnTo>
              <a:lnTo>
                <a:pt x="874" y="710"/>
              </a:lnTo>
              <a:lnTo>
                <a:pt x="858" y="711"/>
              </a:lnTo>
              <a:lnTo>
                <a:pt x="852" y="710"/>
              </a:lnTo>
              <a:lnTo>
                <a:pt x="817" y="710"/>
              </a:lnTo>
              <a:lnTo>
                <a:pt x="795" y="711"/>
              </a:lnTo>
              <a:lnTo>
                <a:pt x="758" y="711"/>
              </a:lnTo>
              <a:lnTo>
                <a:pt x="749" y="711"/>
              </a:lnTo>
              <a:lnTo>
                <a:pt x="737" y="711"/>
              </a:lnTo>
              <a:lnTo>
                <a:pt x="734" y="711"/>
              </a:lnTo>
              <a:lnTo>
                <a:pt x="703" y="711"/>
              </a:lnTo>
              <a:lnTo>
                <a:pt x="694" y="711"/>
              </a:lnTo>
              <a:lnTo>
                <a:pt x="688" y="711"/>
              </a:lnTo>
              <a:lnTo>
                <a:pt x="665" y="711"/>
              </a:lnTo>
              <a:lnTo>
                <a:pt x="656" y="710"/>
              </a:lnTo>
              <a:lnTo>
                <a:pt x="618" y="710"/>
              </a:lnTo>
              <a:lnTo>
                <a:pt x="606" y="710"/>
              </a:lnTo>
              <a:lnTo>
                <a:pt x="572" y="710"/>
              </a:lnTo>
              <a:lnTo>
                <a:pt x="507" y="710"/>
              </a:lnTo>
              <a:lnTo>
                <a:pt x="501" y="710"/>
              </a:lnTo>
              <a:lnTo>
                <a:pt x="486" y="710"/>
              </a:lnTo>
              <a:lnTo>
                <a:pt x="477" y="710"/>
              </a:lnTo>
              <a:lnTo>
                <a:pt x="470" y="710"/>
              </a:lnTo>
              <a:lnTo>
                <a:pt x="397" y="710"/>
              </a:lnTo>
              <a:lnTo>
                <a:pt x="384" y="710"/>
              </a:lnTo>
              <a:lnTo>
                <a:pt x="383" y="710"/>
              </a:lnTo>
              <a:lnTo>
                <a:pt x="376" y="710"/>
              </a:lnTo>
              <a:lnTo>
                <a:pt x="367" y="710"/>
              </a:lnTo>
              <a:lnTo>
                <a:pt x="361" y="710"/>
              </a:lnTo>
              <a:lnTo>
                <a:pt x="278" y="710"/>
              </a:lnTo>
              <a:lnTo>
                <a:pt x="265" y="710"/>
              </a:lnTo>
              <a:lnTo>
                <a:pt x="207" y="711"/>
              </a:lnTo>
              <a:lnTo>
                <a:pt x="197" y="711"/>
              </a:lnTo>
              <a:lnTo>
                <a:pt x="184" y="711"/>
              </a:lnTo>
              <a:lnTo>
                <a:pt x="173" y="711"/>
              </a:lnTo>
              <a:lnTo>
                <a:pt x="126" y="711"/>
              </a:lnTo>
              <a:lnTo>
                <a:pt x="93" y="711"/>
              </a:lnTo>
              <a:lnTo>
                <a:pt x="57" y="712"/>
              </a:lnTo>
              <a:lnTo>
                <a:pt x="46" y="712"/>
              </a:lnTo>
              <a:lnTo>
                <a:pt x="4" y="712"/>
              </a:lnTo>
              <a:lnTo>
                <a:pt x="2" y="712"/>
              </a:lnTo>
              <a:lnTo>
                <a:pt x="2" y="681"/>
              </a:lnTo>
              <a:lnTo>
                <a:pt x="2" y="651"/>
              </a:lnTo>
              <a:lnTo>
                <a:pt x="2" y="619"/>
              </a:lnTo>
              <a:lnTo>
                <a:pt x="2" y="592"/>
              </a:lnTo>
              <a:lnTo>
                <a:pt x="2" y="562"/>
              </a:lnTo>
              <a:lnTo>
                <a:pt x="2" y="558"/>
              </a:lnTo>
              <a:lnTo>
                <a:pt x="2" y="535"/>
              </a:lnTo>
              <a:lnTo>
                <a:pt x="1" y="474"/>
              </a:lnTo>
              <a:lnTo>
                <a:pt x="1" y="444"/>
              </a:lnTo>
              <a:lnTo>
                <a:pt x="1" y="412"/>
              </a:lnTo>
              <a:lnTo>
                <a:pt x="1" y="410"/>
              </a:lnTo>
              <a:lnTo>
                <a:pt x="1" y="386"/>
              </a:lnTo>
              <a:lnTo>
                <a:pt x="1" y="370"/>
              </a:lnTo>
              <a:lnTo>
                <a:pt x="1" y="329"/>
              </a:lnTo>
              <a:lnTo>
                <a:pt x="1" y="327"/>
              </a:lnTo>
              <a:lnTo>
                <a:pt x="1" y="310"/>
              </a:lnTo>
              <a:lnTo>
                <a:pt x="1" y="285"/>
              </a:lnTo>
              <a:lnTo>
                <a:pt x="1" y="238"/>
              </a:lnTo>
              <a:lnTo>
                <a:pt x="1" y="226"/>
              </a:lnTo>
              <a:lnTo>
                <a:pt x="1" y="220"/>
              </a:lnTo>
              <a:lnTo>
                <a:pt x="1" y="208"/>
              </a:lnTo>
              <a:lnTo>
                <a:pt x="1" y="206"/>
              </a:lnTo>
              <a:lnTo>
                <a:pt x="1" y="149"/>
              </a:lnTo>
              <a:lnTo>
                <a:pt x="1" y="119"/>
              </a:lnTo>
              <a:lnTo>
                <a:pt x="0" y="103"/>
              </a:lnTo>
              <a:lnTo>
                <a:pt x="0" y="102"/>
              </a:lnTo>
              <a:lnTo>
                <a:pt x="0" y="0"/>
              </a:lnTo>
              <a:lnTo>
                <a:pt x="120" y="1"/>
              </a:lnTo>
              <a:lnTo>
                <a:pt x="126" y="0"/>
              </a:lnTo>
              <a:lnTo>
                <a:pt x="136" y="0"/>
              </a:lnTo>
              <a:lnTo>
                <a:pt x="173" y="0"/>
              </a:lnTo>
              <a:lnTo>
                <a:pt x="220" y="1"/>
              </a:lnTo>
              <a:lnTo>
                <a:pt x="242" y="1"/>
              </a:lnTo>
              <a:lnTo>
                <a:pt x="244" y="1"/>
              </a:lnTo>
              <a:lnTo>
                <a:pt x="246" y="1"/>
              </a:lnTo>
              <a:lnTo>
                <a:pt x="279" y="1"/>
              </a:lnTo>
              <a:lnTo>
                <a:pt x="314" y="1"/>
              </a:lnTo>
              <a:lnTo>
                <a:pt x="348" y="1"/>
              </a:lnTo>
              <a:lnTo>
                <a:pt x="351" y="1"/>
              </a:lnTo>
              <a:lnTo>
                <a:pt x="361" y="1"/>
              </a:lnTo>
              <a:lnTo>
                <a:pt x="418" y="1"/>
              </a:lnTo>
              <a:lnTo>
                <a:pt x="454" y="1"/>
              </a:lnTo>
              <a:lnTo>
                <a:pt x="501" y="1"/>
              </a:lnTo>
              <a:lnTo>
                <a:pt x="513" y="1"/>
              </a:lnTo>
              <a:lnTo>
                <a:pt x="537" y="1"/>
              </a:lnTo>
              <a:lnTo>
                <a:pt x="548" y="1"/>
              </a:lnTo>
              <a:lnTo>
                <a:pt x="559" y="1"/>
              </a:lnTo>
              <a:lnTo>
                <a:pt x="594" y="1"/>
              </a:lnTo>
              <a:lnTo>
                <a:pt x="618" y="1"/>
              </a:lnTo>
              <a:lnTo>
                <a:pt x="622" y="1"/>
              </a:lnTo>
              <a:lnTo>
                <a:pt x="641" y="1"/>
              </a:lnTo>
              <a:lnTo>
                <a:pt x="664" y="1"/>
              </a:lnTo>
              <a:lnTo>
                <a:pt x="665" y="1"/>
              </a:lnTo>
              <a:lnTo>
                <a:pt x="688" y="1"/>
              </a:lnTo>
              <a:lnTo>
                <a:pt x="707" y="1"/>
              </a:lnTo>
              <a:lnTo>
                <a:pt x="734" y="1"/>
              </a:lnTo>
              <a:lnTo>
                <a:pt x="758" y="1"/>
              </a:lnTo>
              <a:lnTo>
                <a:pt x="771" y="1"/>
              </a:lnTo>
              <a:lnTo>
                <a:pt x="781" y="1"/>
              </a:lnTo>
              <a:lnTo>
                <a:pt x="792" y="1"/>
              </a:lnTo>
              <a:lnTo>
                <a:pt x="828" y="1"/>
              </a:lnTo>
              <a:lnTo>
                <a:pt x="874" y="1"/>
              </a:lnTo>
              <a:lnTo>
                <a:pt x="877" y="1"/>
              </a:lnTo>
              <a:lnTo>
                <a:pt x="898" y="1"/>
              </a:lnTo>
              <a:lnTo>
                <a:pt x="921" y="1"/>
              </a:lnTo>
              <a:lnTo>
                <a:pt x="961" y="1"/>
              </a:lnTo>
              <a:lnTo>
                <a:pt x="969" y="1"/>
              </a:lnTo>
              <a:lnTo>
                <a:pt x="981" y="1"/>
              </a:lnTo>
              <a:lnTo>
                <a:pt x="992" y="1"/>
              </a:lnTo>
              <a:lnTo>
                <a:pt x="1038" y="1"/>
              </a:lnTo>
              <a:lnTo>
                <a:pt x="1046" y="1"/>
              </a:lnTo>
              <a:lnTo>
                <a:pt x="1062" y="1"/>
              </a:lnTo>
              <a:lnTo>
                <a:pt x="1085" y="1"/>
              </a:lnTo>
              <a:lnTo>
                <a:pt x="1087" y="1"/>
              </a:lnTo>
              <a:lnTo>
                <a:pt x="1109" y="1"/>
              </a:lnTo>
              <a:lnTo>
                <a:pt x="1130" y="1"/>
              </a:lnTo>
              <a:lnTo>
                <a:pt x="1132" y="1"/>
              </a:lnTo>
              <a:lnTo>
                <a:pt x="1156" y="1"/>
              </a:lnTo>
              <a:lnTo>
                <a:pt x="1172" y="1"/>
              </a:lnTo>
              <a:lnTo>
                <a:pt x="1255" y="1"/>
              </a:lnTo>
              <a:lnTo>
                <a:pt x="1262" y="1"/>
              </a:lnTo>
              <a:lnTo>
                <a:pt x="1296" y="31"/>
              </a:lnTo>
              <a:lnTo>
                <a:pt x="1314" y="31"/>
              </a:lnTo>
              <a:lnTo>
                <a:pt x="1321" y="26"/>
              </a:lnTo>
              <a:lnTo>
                <a:pt x="1332" y="31"/>
              </a:lnTo>
              <a:lnTo>
                <a:pt x="1342" y="44"/>
              </a:lnTo>
              <a:lnTo>
                <a:pt x="1342" y="66"/>
              </a:lnTo>
              <a:lnTo>
                <a:pt x="1320" y="77"/>
              </a:lnTo>
              <a:lnTo>
                <a:pt x="1309" y="90"/>
              </a:lnTo>
              <a:lnTo>
                <a:pt x="1300" y="112"/>
              </a:lnTo>
              <a:lnTo>
                <a:pt x="1310" y="119"/>
              </a:lnTo>
              <a:lnTo>
                <a:pt x="1316" y="131"/>
              </a:lnTo>
              <a:lnTo>
                <a:pt x="1325" y="138"/>
              </a:lnTo>
              <a:lnTo>
                <a:pt x="1342" y="149"/>
              </a:lnTo>
              <a:lnTo>
                <a:pt x="1342" y="172"/>
              </a:lnTo>
              <a:lnTo>
                <a:pt x="1361" y="190"/>
              </a:lnTo>
              <a:lnTo>
                <a:pt x="1366" y="197"/>
              </a:lnTo>
              <a:lnTo>
                <a:pt x="1389" y="200"/>
              </a:lnTo>
              <a:lnTo>
                <a:pt x="1393" y="200"/>
              </a:lnTo>
              <a:lnTo>
                <a:pt x="1393" y="208"/>
              </a:lnTo>
              <a:lnTo>
                <a:pt x="1392" y="209"/>
              </a:lnTo>
              <a:lnTo>
                <a:pt x="1392" y="211"/>
              </a:lnTo>
              <a:lnTo>
                <a:pt x="1392" y="227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pPr algn="ctr"/>
          <a:endParaRPr lang="en-US" sz="800" b="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22</xdr:col>
      <xdr:colOff>340175</xdr:colOff>
      <xdr:row>12</xdr:row>
      <xdr:rowOff>107633</xdr:rowOff>
    </xdr:from>
    <xdr:to>
      <xdr:col>23</xdr:col>
      <xdr:colOff>35477</xdr:colOff>
      <xdr:row>15</xdr:row>
      <xdr:rowOff>69609</xdr:rowOff>
    </xdr:to>
    <xdr:sp macro="" textlink="">
      <xdr:nvSpPr>
        <xdr:cNvPr id="92" name="S_IN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>
          <a:spLocks/>
        </xdr:cNvSpPr>
      </xdr:nvSpPr>
      <xdr:spPr bwMode="auto">
        <a:xfrm>
          <a:off x="3759650" y="2546033"/>
          <a:ext cx="304902" cy="571576"/>
        </a:xfrm>
        <a:custGeom>
          <a:avLst/>
          <a:gdLst>
            <a:gd name="T0" fmla="*/ 2147483647 w 619"/>
            <a:gd name="T1" fmla="*/ 2147483647 h 940"/>
            <a:gd name="T2" fmla="*/ 2147483647 w 619"/>
            <a:gd name="T3" fmla="*/ 2147483647 h 940"/>
            <a:gd name="T4" fmla="*/ 2147483647 w 619"/>
            <a:gd name="T5" fmla="*/ 2147483647 h 940"/>
            <a:gd name="T6" fmla="*/ 2147483647 w 619"/>
            <a:gd name="T7" fmla="*/ 2147483647 h 940"/>
            <a:gd name="T8" fmla="*/ 2147483647 w 619"/>
            <a:gd name="T9" fmla="*/ 2147483647 h 940"/>
            <a:gd name="T10" fmla="*/ 2147483647 w 619"/>
            <a:gd name="T11" fmla="*/ 2147483647 h 940"/>
            <a:gd name="T12" fmla="*/ 2147483647 w 619"/>
            <a:gd name="T13" fmla="*/ 2147483647 h 940"/>
            <a:gd name="T14" fmla="*/ 2147483647 w 619"/>
            <a:gd name="T15" fmla="*/ 2147483647 h 940"/>
            <a:gd name="T16" fmla="*/ 2147483647 w 619"/>
            <a:gd name="T17" fmla="*/ 2147483647 h 940"/>
            <a:gd name="T18" fmla="*/ 2147483647 w 619"/>
            <a:gd name="T19" fmla="*/ 2147483647 h 940"/>
            <a:gd name="T20" fmla="*/ 2147483647 w 619"/>
            <a:gd name="T21" fmla="*/ 2147483647 h 940"/>
            <a:gd name="T22" fmla="*/ 2147483647 w 619"/>
            <a:gd name="T23" fmla="*/ 2147483647 h 940"/>
            <a:gd name="T24" fmla="*/ 2147483647 w 619"/>
            <a:gd name="T25" fmla="*/ 2147483647 h 940"/>
            <a:gd name="T26" fmla="*/ 2147483647 w 619"/>
            <a:gd name="T27" fmla="*/ 2147483647 h 940"/>
            <a:gd name="T28" fmla="*/ 2147483647 w 619"/>
            <a:gd name="T29" fmla="*/ 2147483647 h 940"/>
            <a:gd name="T30" fmla="*/ 2147483647 w 619"/>
            <a:gd name="T31" fmla="*/ 2147483647 h 940"/>
            <a:gd name="T32" fmla="*/ 2147483647 w 619"/>
            <a:gd name="T33" fmla="*/ 2147483647 h 940"/>
            <a:gd name="T34" fmla="*/ 2147483647 w 619"/>
            <a:gd name="T35" fmla="*/ 2147483647 h 940"/>
            <a:gd name="T36" fmla="*/ 2147483647 w 619"/>
            <a:gd name="T37" fmla="*/ 2147483647 h 940"/>
            <a:gd name="T38" fmla="*/ 2147483647 w 619"/>
            <a:gd name="T39" fmla="*/ 2147483647 h 940"/>
            <a:gd name="T40" fmla="*/ 2147483647 w 619"/>
            <a:gd name="T41" fmla="*/ 2147483647 h 940"/>
            <a:gd name="T42" fmla="*/ 2147483647 w 619"/>
            <a:gd name="T43" fmla="*/ 2147483647 h 940"/>
            <a:gd name="T44" fmla="*/ 0 w 619"/>
            <a:gd name="T45" fmla="*/ 2147483647 h 940"/>
            <a:gd name="T46" fmla="*/ 2147483647 w 619"/>
            <a:gd name="T47" fmla="*/ 2147483647 h 940"/>
            <a:gd name="T48" fmla="*/ 2147483647 w 619"/>
            <a:gd name="T49" fmla="*/ 2147483647 h 940"/>
            <a:gd name="T50" fmla="*/ 2147483647 w 619"/>
            <a:gd name="T51" fmla="*/ 2147483647 h 940"/>
            <a:gd name="T52" fmla="*/ 2147483647 w 619"/>
            <a:gd name="T53" fmla="*/ 2147483647 h 940"/>
            <a:gd name="T54" fmla="*/ 2147483647 w 619"/>
            <a:gd name="T55" fmla="*/ 2147483647 h 940"/>
            <a:gd name="T56" fmla="*/ 2147483647 w 619"/>
            <a:gd name="T57" fmla="*/ 2147483647 h 940"/>
            <a:gd name="T58" fmla="*/ 2147483647 w 619"/>
            <a:gd name="T59" fmla="*/ 2147483647 h 940"/>
            <a:gd name="T60" fmla="*/ 2147483647 w 619"/>
            <a:gd name="T61" fmla="*/ 2147483647 h 940"/>
            <a:gd name="T62" fmla="*/ 2147483647 w 619"/>
            <a:gd name="T63" fmla="*/ 2147483647 h 940"/>
            <a:gd name="T64" fmla="*/ 2147483647 w 619"/>
            <a:gd name="T65" fmla="*/ 2147483647 h 940"/>
            <a:gd name="T66" fmla="*/ 2147483647 w 619"/>
            <a:gd name="T67" fmla="*/ 2147483647 h 940"/>
            <a:gd name="T68" fmla="*/ 2147483647 w 619"/>
            <a:gd name="T69" fmla="*/ 2147483647 h 940"/>
            <a:gd name="T70" fmla="*/ 2147483647 w 619"/>
            <a:gd name="T71" fmla="*/ 2147483647 h 940"/>
            <a:gd name="T72" fmla="*/ 2147483647 w 619"/>
            <a:gd name="T73" fmla="*/ 2147483647 h 940"/>
            <a:gd name="T74" fmla="*/ 2147483647 w 619"/>
            <a:gd name="T75" fmla="*/ 2147483647 h 940"/>
            <a:gd name="T76" fmla="*/ 2147483647 w 619"/>
            <a:gd name="T77" fmla="*/ 2147483647 h 940"/>
            <a:gd name="T78" fmla="*/ 2147483647 w 619"/>
            <a:gd name="T79" fmla="*/ 2147483647 h 940"/>
            <a:gd name="T80" fmla="*/ 2147483647 w 619"/>
            <a:gd name="T81" fmla="*/ 2147483647 h 940"/>
            <a:gd name="T82" fmla="*/ 2147483647 w 619"/>
            <a:gd name="T83" fmla="*/ 2147483647 h 940"/>
            <a:gd name="T84" fmla="*/ 2147483647 w 619"/>
            <a:gd name="T85" fmla="*/ 2147483647 h 940"/>
            <a:gd name="T86" fmla="*/ 2147483647 w 619"/>
            <a:gd name="T87" fmla="*/ 2147483647 h 940"/>
            <a:gd name="T88" fmla="*/ 2147483647 w 619"/>
            <a:gd name="T89" fmla="*/ 2147483647 h 940"/>
            <a:gd name="T90" fmla="*/ 2147483647 w 619"/>
            <a:gd name="T91" fmla="*/ 2147483647 h 940"/>
            <a:gd name="T92" fmla="*/ 2147483647 w 619"/>
            <a:gd name="T93" fmla="*/ 2147483647 h 940"/>
            <a:gd name="T94" fmla="*/ 2147483647 w 619"/>
            <a:gd name="T95" fmla="*/ 2147483647 h 940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w 619"/>
            <a:gd name="T145" fmla="*/ 0 h 940"/>
            <a:gd name="T146" fmla="*/ 619 w 619"/>
            <a:gd name="T147" fmla="*/ 940 h 940"/>
          </a:gdLst>
          <a:ahLst/>
          <a:cxnLst>
            <a:cxn ang="T96">
              <a:pos x="T0" y="T1"/>
            </a:cxn>
            <a:cxn ang="T97">
              <a:pos x="T2" y="T3"/>
            </a:cxn>
            <a:cxn ang="T98">
              <a:pos x="T4" y="T5"/>
            </a:cxn>
            <a:cxn ang="T99">
              <a:pos x="T6" y="T7"/>
            </a:cxn>
            <a:cxn ang="T100">
              <a:pos x="T8" y="T9"/>
            </a:cxn>
            <a:cxn ang="T101">
              <a:pos x="T10" y="T11"/>
            </a:cxn>
            <a:cxn ang="T102">
              <a:pos x="T12" y="T13"/>
            </a:cxn>
            <a:cxn ang="T103">
              <a:pos x="T14" y="T15"/>
            </a:cxn>
            <a:cxn ang="T104">
              <a:pos x="T16" y="T17"/>
            </a:cxn>
            <a:cxn ang="T105">
              <a:pos x="T18" y="T19"/>
            </a:cxn>
            <a:cxn ang="T106">
              <a:pos x="T20" y="T21"/>
            </a:cxn>
            <a:cxn ang="T107">
              <a:pos x="T22" y="T23"/>
            </a:cxn>
            <a:cxn ang="T108">
              <a:pos x="T24" y="T25"/>
            </a:cxn>
            <a:cxn ang="T109">
              <a:pos x="T26" y="T27"/>
            </a:cxn>
            <a:cxn ang="T110">
              <a:pos x="T28" y="T29"/>
            </a:cxn>
            <a:cxn ang="T111">
              <a:pos x="T30" y="T31"/>
            </a:cxn>
            <a:cxn ang="T112">
              <a:pos x="T32" y="T33"/>
            </a:cxn>
            <a:cxn ang="T113">
              <a:pos x="T34" y="T35"/>
            </a:cxn>
            <a:cxn ang="T114">
              <a:pos x="T36" y="T37"/>
            </a:cxn>
            <a:cxn ang="T115">
              <a:pos x="T38" y="T39"/>
            </a:cxn>
            <a:cxn ang="T116">
              <a:pos x="T40" y="T41"/>
            </a:cxn>
            <a:cxn ang="T117">
              <a:pos x="T42" y="T43"/>
            </a:cxn>
            <a:cxn ang="T118">
              <a:pos x="T44" y="T45"/>
            </a:cxn>
            <a:cxn ang="T119">
              <a:pos x="T46" y="T47"/>
            </a:cxn>
            <a:cxn ang="T120">
              <a:pos x="T48" y="T49"/>
            </a:cxn>
            <a:cxn ang="T121">
              <a:pos x="T50" y="T51"/>
            </a:cxn>
            <a:cxn ang="T122">
              <a:pos x="T52" y="T53"/>
            </a:cxn>
            <a:cxn ang="T123">
              <a:pos x="T54" y="T55"/>
            </a:cxn>
            <a:cxn ang="T124">
              <a:pos x="T56" y="T57"/>
            </a:cxn>
            <a:cxn ang="T125">
              <a:pos x="T58" y="T59"/>
            </a:cxn>
            <a:cxn ang="T126">
              <a:pos x="T60" y="T61"/>
            </a:cxn>
            <a:cxn ang="T127">
              <a:pos x="T62" y="T63"/>
            </a:cxn>
            <a:cxn ang="T128">
              <a:pos x="T64" y="T65"/>
            </a:cxn>
            <a:cxn ang="T129">
              <a:pos x="T66" y="T67"/>
            </a:cxn>
            <a:cxn ang="T130">
              <a:pos x="T68" y="T69"/>
            </a:cxn>
            <a:cxn ang="T131">
              <a:pos x="T70" y="T71"/>
            </a:cxn>
            <a:cxn ang="T132">
              <a:pos x="T72" y="T73"/>
            </a:cxn>
            <a:cxn ang="T133">
              <a:pos x="T74" y="T75"/>
            </a:cxn>
            <a:cxn ang="T134">
              <a:pos x="T76" y="T77"/>
            </a:cxn>
            <a:cxn ang="T135">
              <a:pos x="T78" y="T79"/>
            </a:cxn>
            <a:cxn ang="T136">
              <a:pos x="T80" y="T81"/>
            </a:cxn>
            <a:cxn ang="T137">
              <a:pos x="T82" y="T83"/>
            </a:cxn>
            <a:cxn ang="T138">
              <a:pos x="T84" y="T85"/>
            </a:cxn>
            <a:cxn ang="T139">
              <a:pos x="T86" y="T87"/>
            </a:cxn>
            <a:cxn ang="T140">
              <a:pos x="T88" y="T89"/>
            </a:cxn>
            <a:cxn ang="T141">
              <a:pos x="T90" y="T91"/>
            </a:cxn>
            <a:cxn ang="T142">
              <a:pos x="T92" y="T93"/>
            </a:cxn>
            <a:cxn ang="T143">
              <a:pos x="T94" y="T95"/>
            </a:cxn>
          </a:cxnLst>
          <a:rect l="T144" t="T145" r="T146" b="T147"/>
          <a:pathLst>
            <a:path w="619" h="940">
              <a:moveTo>
                <a:pt x="616" y="282"/>
              </a:moveTo>
              <a:lnTo>
                <a:pt x="616" y="299"/>
              </a:lnTo>
              <a:lnTo>
                <a:pt x="616" y="319"/>
              </a:lnTo>
              <a:lnTo>
                <a:pt x="616" y="333"/>
              </a:lnTo>
              <a:lnTo>
                <a:pt x="616" y="344"/>
              </a:lnTo>
              <a:lnTo>
                <a:pt x="616" y="358"/>
              </a:lnTo>
              <a:lnTo>
                <a:pt x="615" y="386"/>
              </a:lnTo>
              <a:lnTo>
                <a:pt x="615" y="415"/>
              </a:lnTo>
              <a:lnTo>
                <a:pt x="615" y="416"/>
              </a:lnTo>
              <a:lnTo>
                <a:pt x="614" y="436"/>
              </a:lnTo>
              <a:lnTo>
                <a:pt x="614" y="446"/>
              </a:lnTo>
              <a:lnTo>
                <a:pt x="614" y="458"/>
              </a:lnTo>
              <a:lnTo>
                <a:pt x="614" y="482"/>
              </a:lnTo>
              <a:lnTo>
                <a:pt x="614" y="508"/>
              </a:lnTo>
              <a:lnTo>
                <a:pt x="614" y="513"/>
              </a:lnTo>
              <a:lnTo>
                <a:pt x="614" y="519"/>
              </a:lnTo>
              <a:lnTo>
                <a:pt x="614" y="529"/>
              </a:lnTo>
              <a:lnTo>
                <a:pt x="614" y="534"/>
              </a:lnTo>
              <a:lnTo>
                <a:pt x="614" y="544"/>
              </a:lnTo>
              <a:lnTo>
                <a:pt x="613" y="580"/>
              </a:lnTo>
              <a:lnTo>
                <a:pt x="613" y="611"/>
              </a:lnTo>
              <a:lnTo>
                <a:pt x="613" y="623"/>
              </a:lnTo>
              <a:lnTo>
                <a:pt x="613" y="628"/>
              </a:lnTo>
              <a:lnTo>
                <a:pt x="602" y="636"/>
              </a:lnTo>
              <a:lnTo>
                <a:pt x="602" y="645"/>
              </a:lnTo>
              <a:lnTo>
                <a:pt x="607" y="652"/>
              </a:lnTo>
              <a:lnTo>
                <a:pt x="602" y="671"/>
              </a:lnTo>
              <a:lnTo>
                <a:pt x="603" y="676"/>
              </a:lnTo>
              <a:lnTo>
                <a:pt x="619" y="682"/>
              </a:lnTo>
              <a:lnTo>
                <a:pt x="617" y="686"/>
              </a:lnTo>
              <a:lnTo>
                <a:pt x="602" y="702"/>
              </a:lnTo>
              <a:lnTo>
                <a:pt x="578" y="706"/>
              </a:lnTo>
              <a:lnTo>
                <a:pt x="574" y="709"/>
              </a:lnTo>
              <a:lnTo>
                <a:pt x="568" y="713"/>
              </a:lnTo>
              <a:lnTo>
                <a:pt x="556" y="721"/>
              </a:lnTo>
              <a:lnTo>
                <a:pt x="541" y="726"/>
              </a:lnTo>
              <a:lnTo>
                <a:pt x="532" y="716"/>
              </a:lnTo>
              <a:lnTo>
                <a:pt x="530" y="715"/>
              </a:lnTo>
              <a:lnTo>
                <a:pt x="516" y="715"/>
              </a:lnTo>
              <a:lnTo>
                <a:pt x="509" y="716"/>
              </a:lnTo>
              <a:lnTo>
                <a:pt x="497" y="742"/>
              </a:lnTo>
              <a:lnTo>
                <a:pt x="499" y="750"/>
              </a:lnTo>
              <a:lnTo>
                <a:pt x="499" y="751"/>
              </a:lnTo>
              <a:lnTo>
                <a:pt x="498" y="765"/>
              </a:lnTo>
              <a:lnTo>
                <a:pt x="486" y="778"/>
              </a:lnTo>
              <a:lnTo>
                <a:pt x="462" y="792"/>
              </a:lnTo>
              <a:lnTo>
                <a:pt x="460" y="800"/>
              </a:lnTo>
              <a:lnTo>
                <a:pt x="438" y="825"/>
              </a:lnTo>
              <a:lnTo>
                <a:pt x="436" y="823"/>
              </a:lnTo>
              <a:lnTo>
                <a:pt x="431" y="821"/>
              </a:lnTo>
              <a:lnTo>
                <a:pt x="422" y="830"/>
              </a:lnTo>
              <a:lnTo>
                <a:pt x="410" y="847"/>
              </a:lnTo>
              <a:lnTo>
                <a:pt x="409" y="858"/>
              </a:lnTo>
              <a:lnTo>
                <a:pt x="409" y="859"/>
              </a:lnTo>
              <a:lnTo>
                <a:pt x="402" y="887"/>
              </a:lnTo>
              <a:lnTo>
                <a:pt x="401" y="888"/>
              </a:lnTo>
              <a:lnTo>
                <a:pt x="392" y="889"/>
              </a:lnTo>
              <a:lnTo>
                <a:pt x="345" y="878"/>
              </a:lnTo>
              <a:lnTo>
                <a:pt x="341" y="859"/>
              </a:lnTo>
              <a:lnTo>
                <a:pt x="330" y="846"/>
              </a:lnTo>
              <a:lnTo>
                <a:pt x="321" y="843"/>
              </a:lnTo>
              <a:lnTo>
                <a:pt x="321" y="858"/>
              </a:lnTo>
              <a:lnTo>
                <a:pt x="305" y="861"/>
              </a:lnTo>
              <a:lnTo>
                <a:pt x="304" y="863"/>
              </a:lnTo>
              <a:lnTo>
                <a:pt x="305" y="866"/>
              </a:lnTo>
              <a:lnTo>
                <a:pt x="300" y="878"/>
              </a:lnTo>
              <a:lnTo>
                <a:pt x="296" y="879"/>
              </a:lnTo>
              <a:lnTo>
                <a:pt x="280" y="918"/>
              </a:lnTo>
              <a:lnTo>
                <a:pt x="269" y="926"/>
              </a:lnTo>
              <a:lnTo>
                <a:pt x="269" y="918"/>
              </a:lnTo>
              <a:lnTo>
                <a:pt x="252" y="910"/>
              </a:lnTo>
              <a:lnTo>
                <a:pt x="239" y="889"/>
              </a:lnTo>
              <a:lnTo>
                <a:pt x="228" y="895"/>
              </a:lnTo>
              <a:lnTo>
                <a:pt x="209" y="906"/>
              </a:lnTo>
              <a:lnTo>
                <a:pt x="205" y="907"/>
              </a:lnTo>
              <a:lnTo>
                <a:pt x="181" y="940"/>
              </a:lnTo>
              <a:lnTo>
                <a:pt x="155" y="918"/>
              </a:lnTo>
              <a:lnTo>
                <a:pt x="148" y="913"/>
              </a:lnTo>
              <a:lnTo>
                <a:pt x="132" y="903"/>
              </a:lnTo>
              <a:lnTo>
                <a:pt x="130" y="903"/>
              </a:lnTo>
              <a:lnTo>
                <a:pt x="120" y="903"/>
              </a:lnTo>
              <a:lnTo>
                <a:pt x="88" y="907"/>
              </a:lnTo>
              <a:lnTo>
                <a:pt x="88" y="929"/>
              </a:lnTo>
              <a:lnTo>
                <a:pt x="74" y="913"/>
              </a:lnTo>
              <a:lnTo>
                <a:pt x="64" y="914"/>
              </a:lnTo>
              <a:lnTo>
                <a:pt x="41" y="908"/>
              </a:lnTo>
              <a:lnTo>
                <a:pt x="31" y="912"/>
              </a:lnTo>
              <a:lnTo>
                <a:pt x="29" y="919"/>
              </a:lnTo>
              <a:lnTo>
                <a:pt x="18" y="937"/>
              </a:lnTo>
              <a:lnTo>
                <a:pt x="12" y="937"/>
              </a:lnTo>
              <a:lnTo>
                <a:pt x="4" y="918"/>
              </a:lnTo>
              <a:lnTo>
                <a:pt x="0" y="915"/>
              </a:lnTo>
              <a:lnTo>
                <a:pt x="18" y="877"/>
              </a:lnTo>
              <a:lnTo>
                <a:pt x="23" y="859"/>
              </a:lnTo>
              <a:lnTo>
                <a:pt x="21" y="835"/>
              </a:lnTo>
              <a:lnTo>
                <a:pt x="21" y="830"/>
              </a:lnTo>
              <a:lnTo>
                <a:pt x="20" y="828"/>
              </a:lnTo>
              <a:lnTo>
                <a:pt x="26" y="830"/>
              </a:lnTo>
              <a:lnTo>
                <a:pt x="58" y="802"/>
              </a:lnTo>
              <a:lnTo>
                <a:pt x="66" y="791"/>
              </a:lnTo>
              <a:lnTo>
                <a:pt x="65" y="778"/>
              </a:lnTo>
              <a:lnTo>
                <a:pt x="79" y="771"/>
              </a:lnTo>
              <a:lnTo>
                <a:pt x="83" y="755"/>
              </a:lnTo>
              <a:lnTo>
                <a:pt x="88" y="750"/>
              </a:lnTo>
              <a:lnTo>
                <a:pt x="111" y="715"/>
              </a:lnTo>
              <a:lnTo>
                <a:pt x="105" y="687"/>
              </a:lnTo>
              <a:lnTo>
                <a:pt x="102" y="682"/>
              </a:lnTo>
              <a:lnTo>
                <a:pt x="103" y="679"/>
              </a:lnTo>
              <a:lnTo>
                <a:pt x="107" y="675"/>
              </a:lnTo>
              <a:lnTo>
                <a:pt x="97" y="653"/>
              </a:lnTo>
              <a:lnTo>
                <a:pt x="88" y="628"/>
              </a:lnTo>
              <a:lnTo>
                <a:pt x="87" y="615"/>
              </a:lnTo>
              <a:lnTo>
                <a:pt x="97" y="592"/>
              </a:lnTo>
              <a:lnTo>
                <a:pt x="93" y="594"/>
              </a:lnTo>
              <a:lnTo>
                <a:pt x="91" y="592"/>
              </a:lnTo>
              <a:lnTo>
                <a:pt x="105" y="571"/>
              </a:lnTo>
              <a:lnTo>
                <a:pt x="105" y="541"/>
              </a:lnTo>
              <a:lnTo>
                <a:pt x="105" y="534"/>
              </a:lnTo>
              <a:lnTo>
                <a:pt x="105" y="510"/>
              </a:lnTo>
              <a:lnTo>
                <a:pt x="105" y="489"/>
              </a:lnTo>
              <a:lnTo>
                <a:pt x="105" y="461"/>
              </a:lnTo>
              <a:lnTo>
                <a:pt x="105" y="444"/>
              </a:lnTo>
              <a:lnTo>
                <a:pt x="105" y="401"/>
              </a:lnTo>
              <a:lnTo>
                <a:pt x="105" y="386"/>
              </a:lnTo>
              <a:lnTo>
                <a:pt x="105" y="381"/>
              </a:lnTo>
              <a:lnTo>
                <a:pt x="105" y="341"/>
              </a:lnTo>
              <a:lnTo>
                <a:pt x="106" y="321"/>
              </a:lnTo>
              <a:lnTo>
                <a:pt x="106" y="304"/>
              </a:lnTo>
              <a:lnTo>
                <a:pt x="106" y="301"/>
              </a:lnTo>
              <a:lnTo>
                <a:pt x="106" y="283"/>
              </a:lnTo>
              <a:lnTo>
                <a:pt x="106" y="269"/>
              </a:lnTo>
              <a:lnTo>
                <a:pt x="106" y="242"/>
              </a:lnTo>
              <a:lnTo>
                <a:pt x="106" y="193"/>
              </a:lnTo>
              <a:lnTo>
                <a:pt x="106" y="180"/>
              </a:lnTo>
              <a:lnTo>
                <a:pt x="106" y="178"/>
              </a:lnTo>
              <a:lnTo>
                <a:pt x="106" y="160"/>
              </a:lnTo>
              <a:lnTo>
                <a:pt x="106" y="151"/>
              </a:lnTo>
              <a:lnTo>
                <a:pt x="106" y="141"/>
              </a:lnTo>
              <a:lnTo>
                <a:pt x="106" y="121"/>
              </a:lnTo>
              <a:lnTo>
                <a:pt x="106" y="115"/>
              </a:lnTo>
              <a:lnTo>
                <a:pt x="106" y="110"/>
              </a:lnTo>
              <a:lnTo>
                <a:pt x="106" y="102"/>
              </a:lnTo>
              <a:lnTo>
                <a:pt x="106" y="92"/>
              </a:lnTo>
              <a:lnTo>
                <a:pt x="106" y="70"/>
              </a:lnTo>
              <a:lnTo>
                <a:pt x="106" y="55"/>
              </a:lnTo>
              <a:lnTo>
                <a:pt x="106" y="48"/>
              </a:lnTo>
              <a:lnTo>
                <a:pt x="106" y="12"/>
              </a:lnTo>
              <a:lnTo>
                <a:pt x="108" y="14"/>
              </a:lnTo>
              <a:lnTo>
                <a:pt x="134" y="31"/>
              </a:lnTo>
              <a:lnTo>
                <a:pt x="163" y="33"/>
              </a:lnTo>
              <a:lnTo>
                <a:pt x="171" y="31"/>
              </a:lnTo>
              <a:lnTo>
                <a:pt x="175" y="30"/>
              </a:lnTo>
              <a:lnTo>
                <a:pt x="218" y="13"/>
              </a:lnTo>
              <a:lnTo>
                <a:pt x="226" y="8"/>
              </a:lnTo>
              <a:lnTo>
                <a:pt x="226" y="7"/>
              </a:lnTo>
              <a:lnTo>
                <a:pt x="237" y="1"/>
              </a:lnTo>
              <a:lnTo>
                <a:pt x="252" y="1"/>
              </a:lnTo>
              <a:lnTo>
                <a:pt x="274" y="1"/>
              </a:lnTo>
              <a:lnTo>
                <a:pt x="294" y="1"/>
              </a:lnTo>
              <a:lnTo>
                <a:pt x="321" y="1"/>
              </a:lnTo>
              <a:lnTo>
                <a:pt x="345" y="1"/>
              </a:lnTo>
              <a:lnTo>
                <a:pt x="349" y="1"/>
              </a:lnTo>
              <a:lnTo>
                <a:pt x="380" y="0"/>
              </a:lnTo>
              <a:lnTo>
                <a:pt x="392" y="1"/>
              </a:lnTo>
              <a:lnTo>
                <a:pt x="437" y="1"/>
              </a:lnTo>
              <a:lnTo>
                <a:pt x="438" y="1"/>
              </a:lnTo>
              <a:lnTo>
                <a:pt x="455" y="1"/>
              </a:lnTo>
              <a:lnTo>
                <a:pt x="485" y="1"/>
              </a:lnTo>
              <a:lnTo>
                <a:pt x="509" y="1"/>
              </a:lnTo>
              <a:lnTo>
                <a:pt x="524" y="1"/>
              </a:lnTo>
              <a:lnTo>
                <a:pt x="532" y="1"/>
              </a:lnTo>
              <a:lnTo>
                <a:pt x="537" y="1"/>
              </a:lnTo>
              <a:lnTo>
                <a:pt x="542" y="1"/>
              </a:lnTo>
              <a:lnTo>
                <a:pt x="556" y="1"/>
              </a:lnTo>
              <a:lnTo>
                <a:pt x="578" y="1"/>
              </a:lnTo>
              <a:lnTo>
                <a:pt x="611" y="1"/>
              </a:lnTo>
              <a:lnTo>
                <a:pt x="615" y="1"/>
              </a:lnTo>
              <a:lnTo>
                <a:pt x="615" y="16"/>
              </a:lnTo>
              <a:lnTo>
                <a:pt x="616" y="55"/>
              </a:lnTo>
              <a:lnTo>
                <a:pt x="616" y="79"/>
              </a:lnTo>
              <a:lnTo>
                <a:pt x="616" y="92"/>
              </a:lnTo>
              <a:lnTo>
                <a:pt x="616" y="95"/>
              </a:lnTo>
              <a:lnTo>
                <a:pt x="616" y="117"/>
              </a:lnTo>
              <a:lnTo>
                <a:pt x="616" y="121"/>
              </a:lnTo>
              <a:lnTo>
                <a:pt x="616" y="151"/>
              </a:lnTo>
              <a:lnTo>
                <a:pt x="616" y="180"/>
              </a:lnTo>
              <a:lnTo>
                <a:pt x="616" y="183"/>
              </a:lnTo>
              <a:lnTo>
                <a:pt x="616" y="198"/>
              </a:lnTo>
              <a:lnTo>
                <a:pt x="616" y="210"/>
              </a:lnTo>
              <a:lnTo>
                <a:pt x="616" y="240"/>
              </a:lnTo>
              <a:lnTo>
                <a:pt x="616" y="244"/>
              </a:lnTo>
              <a:lnTo>
                <a:pt x="616" y="269"/>
              </a:lnTo>
              <a:lnTo>
                <a:pt x="616" y="282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pPr algn="ctr"/>
          <a:endParaRPr lang="en-US" sz="800" b="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22</xdr:col>
      <xdr:colOff>34599</xdr:colOff>
      <xdr:row>12</xdr:row>
      <xdr:rowOff>13205</xdr:rowOff>
    </xdr:from>
    <xdr:to>
      <xdr:col>22</xdr:col>
      <xdr:colOff>392123</xdr:colOff>
      <xdr:row>15</xdr:row>
      <xdr:rowOff>167492</xdr:rowOff>
    </xdr:to>
    <xdr:sp macro="" textlink="">
      <xdr:nvSpPr>
        <xdr:cNvPr id="93" name="S_IL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>
          <a:spLocks/>
        </xdr:cNvSpPr>
      </xdr:nvSpPr>
      <xdr:spPr bwMode="auto">
        <a:xfrm>
          <a:off x="3454074" y="2451605"/>
          <a:ext cx="357524" cy="763887"/>
        </a:xfrm>
        <a:custGeom>
          <a:avLst/>
          <a:gdLst>
            <a:gd name="T0" fmla="*/ 2147483647 w 750"/>
            <a:gd name="T1" fmla="*/ 2147483647 h 1301"/>
            <a:gd name="T2" fmla="*/ 2147483647 w 750"/>
            <a:gd name="T3" fmla="*/ 2147483647 h 1301"/>
            <a:gd name="T4" fmla="*/ 2147483647 w 750"/>
            <a:gd name="T5" fmla="*/ 2147483647 h 1301"/>
            <a:gd name="T6" fmla="*/ 2147483647 w 750"/>
            <a:gd name="T7" fmla="*/ 2147483647 h 1301"/>
            <a:gd name="T8" fmla="*/ 2147483647 w 750"/>
            <a:gd name="T9" fmla="*/ 2147483647 h 1301"/>
            <a:gd name="T10" fmla="*/ 2147483647 w 750"/>
            <a:gd name="T11" fmla="*/ 2147483647 h 1301"/>
            <a:gd name="T12" fmla="*/ 2147483647 w 750"/>
            <a:gd name="T13" fmla="*/ 2147483647 h 1301"/>
            <a:gd name="T14" fmla="*/ 2147483647 w 750"/>
            <a:gd name="T15" fmla="*/ 2147483647 h 1301"/>
            <a:gd name="T16" fmla="*/ 2147483647 w 750"/>
            <a:gd name="T17" fmla="*/ 2147483647 h 1301"/>
            <a:gd name="T18" fmla="*/ 2147483647 w 750"/>
            <a:gd name="T19" fmla="*/ 0 h 1301"/>
            <a:gd name="T20" fmla="*/ 2147483647 w 750"/>
            <a:gd name="T21" fmla="*/ 0 h 1301"/>
            <a:gd name="T22" fmla="*/ 2147483647 w 750"/>
            <a:gd name="T23" fmla="*/ 0 h 1301"/>
            <a:gd name="T24" fmla="*/ 2147483647 w 750"/>
            <a:gd name="T25" fmla="*/ 0 h 1301"/>
            <a:gd name="T26" fmla="*/ 2147483647 w 750"/>
            <a:gd name="T27" fmla="*/ 0 h 1301"/>
            <a:gd name="T28" fmla="*/ 2147483647 w 750"/>
            <a:gd name="T29" fmla="*/ 0 h 1301"/>
            <a:gd name="T30" fmla="*/ 2147483647 w 750"/>
            <a:gd name="T31" fmla="*/ 0 h 1301"/>
            <a:gd name="T32" fmla="*/ 2147483647 w 750"/>
            <a:gd name="T33" fmla="*/ 0 h 1301"/>
            <a:gd name="T34" fmla="*/ 2147483647 w 750"/>
            <a:gd name="T35" fmla="*/ 0 h 1301"/>
            <a:gd name="T36" fmla="*/ 2147483647 w 750"/>
            <a:gd name="T37" fmla="*/ 2147483647 h 1301"/>
            <a:gd name="T38" fmla="*/ 2147483647 w 750"/>
            <a:gd name="T39" fmla="*/ 2147483647 h 1301"/>
            <a:gd name="T40" fmla="*/ 2147483647 w 750"/>
            <a:gd name="T41" fmla="*/ 2147483647 h 1301"/>
            <a:gd name="T42" fmla="*/ 2147483647 w 750"/>
            <a:gd name="T43" fmla="*/ 2147483647 h 1301"/>
            <a:gd name="T44" fmla="*/ 2147483647 w 750"/>
            <a:gd name="T45" fmla="*/ 2147483647 h 1301"/>
            <a:gd name="T46" fmla="*/ 2147483647 w 750"/>
            <a:gd name="T47" fmla="*/ 2147483647 h 1301"/>
            <a:gd name="T48" fmla="*/ 2147483647 w 750"/>
            <a:gd name="T49" fmla="*/ 2147483647 h 1301"/>
            <a:gd name="T50" fmla="*/ 2147483647 w 750"/>
            <a:gd name="T51" fmla="*/ 2147483647 h 1301"/>
            <a:gd name="T52" fmla="*/ 2147483647 w 750"/>
            <a:gd name="T53" fmla="*/ 2147483647 h 1301"/>
            <a:gd name="T54" fmla="*/ 2147483647 w 750"/>
            <a:gd name="T55" fmla="*/ 2147483647 h 1301"/>
            <a:gd name="T56" fmla="*/ 2147483647 w 750"/>
            <a:gd name="T57" fmla="*/ 2147483647 h 1301"/>
            <a:gd name="T58" fmla="*/ 2147483647 w 750"/>
            <a:gd name="T59" fmla="*/ 2147483647 h 1301"/>
            <a:gd name="T60" fmla="*/ 2147483647 w 750"/>
            <a:gd name="T61" fmla="*/ 2147483647 h 1301"/>
            <a:gd name="T62" fmla="*/ 2147483647 w 750"/>
            <a:gd name="T63" fmla="*/ 2147483647 h 1301"/>
            <a:gd name="T64" fmla="*/ 2147483647 w 750"/>
            <a:gd name="T65" fmla="*/ 2147483647 h 1301"/>
            <a:gd name="T66" fmla="*/ 2147483647 w 750"/>
            <a:gd name="T67" fmla="*/ 2147483647 h 1301"/>
            <a:gd name="T68" fmla="*/ 2147483647 w 750"/>
            <a:gd name="T69" fmla="*/ 2147483647 h 1301"/>
            <a:gd name="T70" fmla="*/ 2147483647 w 750"/>
            <a:gd name="T71" fmla="*/ 2147483647 h 1301"/>
            <a:gd name="T72" fmla="*/ 2147483647 w 750"/>
            <a:gd name="T73" fmla="*/ 2147483647 h 1301"/>
            <a:gd name="T74" fmla="*/ 2147483647 w 750"/>
            <a:gd name="T75" fmla="*/ 2147483647 h 1301"/>
            <a:gd name="T76" fmla="*/ 2147483647 w 750"/>
            <a:gd name="T77" fmla="*/ 2147483647 h 1301"/>
            <a:gd name="T78" fmla="*/ 2147483647 w 750"/>
            <a:gd name="T79" fmla="*/ 2147483647 h 1301"/>
            <a:gd name="T80" fmla="*/ 2147483647 w 750"/>
            <a:gd name="T81" fmla="*/ 2147483647 h 1301"/>
            <a:gd name="T82" fmla="*/ 2147483647 w 750"/>
            <a:gd name="T83" fmla="*/ 2147483647 h 1301"/>
            <a:gd name="T84" fmla="*/ 2147483647 w 750"/>
            <a:gd name="T85" fmla="*/ 2147483647 h 1301"/>
            <a:gd name="T86" fmla="*/ 2147483647 w 750"/>
            <a:gd name="T87" fmla="*/ 2147483647 h 1301"/>
            <a:gd name="T88" fmla="*/ 2147483647 w 750"/>
            <a:gd name="T89" fmla="*/ 2147483647 h 1301"/>
            <a:gd name="T90" fmla="*/ 2147483647 w 750"/>
            <a:gd name="T91" fmla="*/ 2147483647 h 1301"/>
            <a:gd name="T92" fmla="*/ 2147483647 w 750"/>
            <a:gd name="T93" fmla="*/ 2147483647 h 1301"/>
            <a:gd name="T94" fmla="*/ 2147483647 w 750"/>
            <a:gd name="T95" fmla="*/ 2147483647 h 1301"/>
            <a:gd name="T96" fmla="*/ 2147483647 w 750"/>
            <a:gd name="T97" fmla="*/ 2147483647 h 1301"/>
            <a:gd name="T98" fmla="*/ 2147483647 w 750"/>
            <a:gd name="T99" fmla="*/ 2147483647 h 1301"/>
            <a:gd name="T100" fmla="*/ 2147483647 w 750"/>
            <a:gd name="T101" fmla="*/ 2147483647 h 1301"/>
            <a:gd name="T102" fmla="*/ 2147483647 w 750"/>
            <a:gd name="T103" fmla="*/ 2147483647 h 1301"/>
            <a:gd name="T104" fmla="*/ 2147483647 w 750"/>
            <a:gd name="T105" fmla="*/ 2147483647 h 1301"/>
            <a:gd name="T106" fmla="*/ 2147483647 w 750"/>
            <a:gd name="T107" fmla="*/ 2147483647 h 1301"/>
            <a:gd name="T108" fmla="*/ 2147483647 w 750"/>
            <a:gd name="T109" fmla="*/ 2147483647 h 1301"/>
            <a:gd name="T110" fmla="*/ 2147483647 w 750"/>
            <a:gd name="T111" fmla="*/ 2147483647 h 1301"/>
            <a:gd name="T112" fmla="*/ 2147483647 w 750"/>
            <a:gd name="T113" fmla="*/ 2147483647 h 1301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w 750"/>
            <a:gd name="T172" fmla="*/ 0 h 1301"/>
            <a:gd name="T173" fmla="*/ 750 w 750"/>
            <a:gd name="T174" fmla="*/ 1301 h 1301"/>
          </a:gdLst>
          <a:ahLst/>
          <a:cxnLst>
            <a:cxn ang="T114">
              <a:pos x="T0" y="T1"/>
            </a:cxn>
            <a:cxn ang="T115">
              <a:pos x="T2" y="T3"/>
            </a:cxn>
            <a:cxn ang="T116">
              <a:pos x="T4" y="T5"/>
            </a:cxn>
            <a:cxn ang="T117">
              <a:pos x="T6" y="T7"/>
            </a:cxn>
            <a:cxn ang="T118">
              <a:pos x="T8" y="T9"/>
            </a:cxn>
            <a:cxn ang="T119">
              <a:pos x="T10" y="T11"/>
            </a:cxn>
            <a:cxn ang="T120">
              <a:pos x="T12" y="T13"/>
            </a:cxn>
            <a:cxn ang="T121">
              <a:pos x="T14" y="T15"/>
            </a:cxn>
            <a:cxn ang="T122">
              <a:pos x="T16" y="T17"/>
            </a:cxn>
            <a:cxn ang="T123">
              <a:pos x="T18" y="T19"/>
            </a:cxn>
            <a:cxn ang="T124">
              <a:pos x="T20" y="T21"/>
            </a:cxn>
            <a:cxn ang="T125">
              <a:pos x="T22" y="T23"/>
            </a:cxn>
            <a:cxn ang="T126">
              <a:pos x="T24" y="T25"/>
            </a:cxn>
            <a:cxn ang="T127">
              <a:pos x="T26" y="T27"/>
            </a:cxn>
            <a:cxn ang="T128">
              <a:pos x="T28" y="T29"/>
            </a:cxn>
            <a:cxn ang="T129">
              <a:pos x="T30" y="T31"/>
            </a:cxn>
            <a:cxn ang="T130">
              <a:pos x="T32" y="T33"/>
            </a:cxn>
            <a:cxn ang="T131">
              <a:pos x="T34" y="T35"/>
            </a:cxn>
            <a:cxn ang="T132">
              <a:pos x="T36" y="T37"/>
            </a:cxn>
            <a:cxn ang="T133">
              <a:pos x="T38" y="T39"/>
            </a:cxn>
            <a:cxn ang="T134">
              <a:pos x="T40" y="T41"/>
            </a:cxn>
            <a:cxn ang="T135">
              <a:pos x="T42" y="T43"/>
            </a:cxn>
            <a:cxn ang="T136">
              <a:pos x="T44" y="T45"/>
            </a:cxn>
            <a:cxn ang="T137">
              <a:pos x="T46" y="T47"/>
            </a:cxn>
            <a:cxn ang="T138">
              <a:pos x="T48" y="T49"/>
            </a:cxn>
            <a:cxn ang="T139">
              <a:pos x="T50" y="T51"/>
            </a:cxn>
            <a:cxn ang="T140">
              <a:pos x="T52" y="T53"/>
            </a:cxn>
            <a:cxn ang="T141">
              <a:pos x="T54" y="T55"/>
            </a:cxn>
            <a:cxn ang="T142">
              <a:pos x="T56" y="T57"/>
            </a:cxn>
            <a:cxn ang="T143">
              <a:pos x="T58" y="T59"/>
            </a:cxn>
            <a:cxn ang="T144">
              <a:pos x="T60" y="T61"/>
            </a:cxn>
            <a:cxn ang="T145">
              <a:pos x="T62" y="T63"/>
            </a:cxn>
            <a:cxn ang="T146">
              <a:pos x="T64" y="T65"/>
            </a:cxn>
            <a:cxn ang="T147">
              <a:pos x="T66" y="T67"/>
            </a:cxn>
            <a:cxn ang="T148">
              <a:pos x="T68" y="T69"/>
            </a:cxn>
            <a:cxn ang="T149">
              <a:pos x="T70" y="T71"/>
            </a:cxn>
            <a:cxn ang="T150">
              <a:pos x="T72" y="T73"/>
            </a:cxn>
            <a:cxn ang="T151">
              <a:pos x="T74" y="T75"/>
            </a:cxn>
            <a:cxn ang="T152">
              <a:pos x="T76" y="T77"/>
            </a:cxn>
            <a:cxn ang="T153">
              <a:pos x="T78" y="T79"/>
            </a:cxn>
            <a:cxn ang="T154">
              <a:pos x="T80" y="T81"/>
            </a:cxn>
            <a:cxn ang="T155">
              <a:pos x="T82" y="T83"/>
            </a:cxn>
            <a:cxn ang="T156">
              <a:pos x="T84" y="T85"/>
            </a:cxn>
            <a:cxn ang="T157">
              <a:pos x="T86" y="T87"/>
            </a:cxn>
            <a:cxn ang="T158">
              <a:pos x="T88" y="T89"/>
            </a:cxn>
            <a:cxn ang="T159">
              <a:pos x="T90" y="T91"/>
            </a:cxn>
            <a:cxn ang="T160">
              <a:pos x="T92" y="T93"/>
            </a:cxn>
            <a:cxn ang="T161">
              <a:pos x="T94" y="T95"/>
            </a:cxn>
            <a:cxn ang="T162">
              <a:pos x="T96" y="T97"/>
            </a:cxn>
            <a:cxn ang="T163">
              <a:pos x="T98" y="T99"/>
            </a:cxn>
            <a:cxn ang="T164">
              <a:pos x="T100" y="T101"/>
            </a:cxn>
            <a:cxn ang="T165">
              <a:pos x="T102" y="T103"/>
            </a:cxn>
            <a:cxn ang="T166">
              <a:pos x="T104" y="T105"/>
            </a:cxn>
            <a:cxn ang="T167">
              <a:pos x="T106" y="T107"/>
            </a:cxn>
            <a:cxn ang="T168">
              <a:pos x="T108" y="T109"/>
            </a:cxn>
            <a:cxn ang="T169">
              <a:pos x="T110" y="T111"/>
            </a:cxn>
            <a:cxn ang="T170">
              <a:pos x="T112" y="T113"/>
            </a:cxn>
          </a:cxnLst>
          <a:rect l="T171" t="T172" r="T173" b="T174"/>
          <a:pathLst>
            <a:path w="750" h="1301">
              <a:moveTo>
                <a:pt x="0" y="545"/>
              </a:moveTo>
              <a:lnTo>
                <a:pt x="2" y="535"/>
              </a:lnTo>
              <a:lnTo>
                <a:pt x="3" y="534"/>
              </a:lnTo>
              <a:lnTo>
                <a:pt x="12" y="507"/>
              </a:lnTo>
              <a:lnTo>
                <a:pt x="15" y="505"/>
              </a:lnTo>
              <a:lnTo>
                <a:pt x="18" y="504"/>
              </a:lnTo>
              <a:lnTo>
                <a:pt x="25" y="499"/>
              </a:lnTo>
              <a:lnTo>
                <a:pt x="25" y="455"/>
              </a:lnTo>
              <a:lnTo>
                <a:pt x="60" y="442"/>
              </a:lnTo>
              <a:lnTo>
                <a:pt x="69" y="436"/>
              </a:lnTo>
              <a:lnTo>
                <a:pt x="72" y="435"/>
              </a:lnTo>
              <a:lnTo>
                <a:pt x="74" y="428"/>
              </a:lnTo>
              <a:lnTo>
                <a:pt x="75" y="416"/>
              </a:lnTo>
              <a:lnTo>
                <a:pt x="105" y="356"/>
              </a:lnTo>
              <a:lnTo>
                <a:pt x="105" y="339"/>
              </a:lnTo>
              <a:lnTo>
                <a:pt x="96" y="317"/>
              </a:lnTo>
              <a:lnTo>
                <a:pt x="74" y="297"/>
              </a:lnTo>
              <a:lnTo>
                <a:pt x="82" y="278"/>
              </a:lnTo>
              <a:lnTo>
                <a:pt x="84" y="268"/>
              </a:lnTo>
              <a:lnTo>
                <a:pt x="96" y="255"/>
              </a:lnTo>
              <a:lnTo>
                <a:pt x="135" y="249"/>
              </a:lnTo>
              <a:lnTo>
                <a:pt x="189" y="234"/>
              </a:lnTo>
              <a:lnTo>
                <a:pt x="212" y="220"/>
              </a:lnTo>
              <a:lnTo>
                <a:pt x="223" y="184"/>
              </a:lnTo>
              <a:lnTo>
                <a:pt x="226" y="179"/>
              </a:lnTo>
              <a:lnTo>
                <a:pt x="236" y="172"/>
              </a:lnTo>
              <a:lnTo>
                <a:pt x="237" y="172"/>
              </a:lnTo>
              <a:lnTo>
                <a:pt x="251" y="149"/>
              </a:lnTo>
              <a:lnTo>
                <a:pt x="254" y="136"/>
              </a:lnTo>
              <a:lnTo>
                <a:pt x="256" y="120"/>
              </a:lnTo>
              <a:lnTo>
                <a:pt x="256" y="118"/>
              </a:lnTo>
              <a:lnTo>
                <a:pt x="254" y="112"/>
              </a:lnTo>
              <a:lnTo>
                <a:pt x="251" y="90"/>
              </a:lnTo>
              <a:lnTo>
                <a:pt x="231" y="79"/>
              </a:lnTo>
              <a:lnTo>
                <a:pt x="222" y="74"/>
              </a:lnTo>
              <a:lnTo>
                <a:pt x="210" y="68"/>
              </a:lnTo>
              <a:lnTo>
                <a:pt x="205" y="62"/>
              </a:lnTo>
              <a:lnTo>
                <a:pt x="194" y="29"/>
              </a:lnTo>
              <a:lnTo>
                <a:pt x="165" y="11"/>
              </a:lnTo>
              <a:lnTo>
                <a:pt x="161" y="2"/>
              </a:lnTo>
              <a:lnTo>
                <a:pt x="163" y="1"/>
              </a:lnTo>
              <a:lnTo>
                <a:pt x="173" y="1"/>
              </a:lnTo>
              <a:lnTo>
                <a:pt x="193" y="1"/>
              </a:lnTo>
              <a:lnTo>
                <a:pt x="203" y="1"/>
              </a:lnTo>
              <a:lnTo>
                <a:pt x="257" y="0"/>
              </a:lnTo>
              <a:lnTo>
                <a:pt x="273" y="1"/>
              </a:lnTo>
              <a:lnTo>
                <a:pt x="296" y="1"/>
              </a:lnTo>
              <a:lnTo>
                <a:pt x="305" y="1"/>
              </a:lnTo>
              <a:lnTo>
                <a:pt x="313" y="1"/>
              </a:lnTo>
              <a:lnTo>
                <a:pt x="353" y="1"/>
              </a:lnTo>
              <a:lnTo>
                <a:pt x="376" y="2"/>
              </a:lnTo>
              <a:lnTo>
                <a:pt x="394" y="2"/>
              </a:lnTo>
              <a:lnTo>
                <a:pt x="395" y="2"/>
              </a:lnTo>
              <a:lnTo>
                <a:pt x="400" y="2"/>
              </a:lnTo>
              <a:lnTo>
                <a:pt x="401" y="2"/>
              </a:lnTo>
              <a:lnTo>
                <a:pt x="423" y="3"/>
              </a:lnTo>
              <a:lnTo>
                <a:pt x="462" y="3"/>
              </a:lnTo>
              <a:lnTo>
                <a:pt x="481" y="3"/>
              </a:lnTo>
              <a:lnTo>
                <a:pt x="493" y="4"/>
              </a:lnTo>
              <a:lnTo>
                <a:pt x="507" y="4"/>
              </a:lnTo>
              <a:lnTo>
                <a:pt x="511" y="4"/>
              </a:lnTo>
              <a:lnTo>
                <a:pt x="514" y="4"/>
              </a:lnTo>
              <a:lnTo>
                <a:pt x="516" y="4"/>
              </a:lnTo>
              <a:lnTo>
                <a:pt x="524" y="4"/>
              </a:lnTo>
              <a:lnTo>
                <a:pt x="530" y="4"/>
              </a:lnTo>
              <a:lnTo>
                <a:pt x="540" y="3"/>
              </a:lnTo>
              <a:lnTo>
                <a:pt x="600" y="3"/>
              </a:lnTo>
              <a:lnTo>
                <a:pt x="607" y="3"/>
              </a:lnTo>
              <a:lnTo>
                <a:pt x="609" y="3"/>
              </a:lnTo>
              <a:lnTo>
                <a:pt x="619" y="3"/>
              </a:lnTo>
              <a:lnTo>
                <a:pt x="633" y="3"/>
              </a:lnTo>
              <a:lnTo>
                <a:pt x="657" y="3"/>
              </a:lnTo>
              <a:lnTo>
                <a:pt x="694" y="4"/>
              </a:lnTo>
              <a:lnTo>
                <a:pt x="692" y="32"/>
              </a:lnTo>
              <a:lnTo>
                <a:pt x="691" y="61"/>
              </a:lnTo>
              <a:lnTo>
                <a:pt x="701" y="84"/>
              </a:lnTo>
              <a:lnTo>
                <a:pt x="722" y="120"/>
              </a:lnTo>
              <a:lnTo>
                <a:pt x="730" y="149"/>
              </a:lnTo>
              <a:lnTo>
                <a:pt x="745" y="188"/>
              </a:lnTo>
              <a:lnTo>
                <a:pt x="745" y="224"/>
              </a:lnTo>
              <a:lnTo>
                <a:pt x="745" y="231"/>
              </a:lnTo>
              <a:lnTo>
                <a:pt x="745" y="246"/>
              </a:lnTo>
              <a:lnTo>
                <a:pt x="745" y="268"/>
              </a:lnTo>
              <a:lnTo>
                <a:pt x="745" y="278"/>
              </a:lnTo>
              <a:lnTo>
                <a:pt x="745" y="286"/>
              </a:lnTo>
              <a:lnTo>
                <a:pt x="745" y="291"/>
              </a:lnTo>
              <a:lnTo>
                <a:pt x="745" y="297"/>
              </a:lnTo>
              <a:lnTo>
                <a:pt x="745" y="317"/>
              </a:lnTo>
              <a:lnTo>
                <a:pt x="745" y="327"/>
              </a:lnTo>
              <a:lnTo>
                <a:pt x="745" y="336"/>
              </a:lnTo>
              <a:lnTo>
                <a:pt x="745" y="354"/>
              </a:lnTo>
              <a:lnTo>
                <a:pt x="745" y="356"/>
              </a:lnTo>
              <a:lnTo>
                <a:pt x="745" y="369"/>
              </a:lnTo>
              <a:lnTo>
                <a:pt x="745" y="418"/>
              </a:lnTo>
              <a:lnTo>
                <a:pt x="745" y="445"/>
              </a:lnTo>
              <a:lnTo>
                <a:pt x="745" y="459"/>
              </a:lnTo>
              <a:lnTo>
                <a:pt x="745" y="477"/>
              </a:lnTo>
              <a:lnTo>
                <a:pt x="745" y="480"/>
              </a:lnTo>
              <a:lnTo>
                <a:pt x="745" y="497"/>
              </a:lnTo>
              <a:lnTo>
                <a:pt x="744" y="517"/>
              </a:lnTo>
              <a:lnTo>
                <a:pt x="744" y="557"/>
              </a:lnTo>
              <a:lnTo>
                <a:pt x="744" y="562"/>
              </a:lnTo>
              <a:lnTo>
                <a:pt x="744" y="577"/>
              </a:lnTo>
              <a:lnTo>
                <a:pt x="744" y="620"/>
              </a:lnTo>
              <a:lnTo>
                <a:pt x="744" y="637"/>
              </a:lnTo>
              <a:lnTo>
                <a:pt x="744" y="665"/>
              </a:lnTo>
              <a:lnTo>
                <a:pt x="744" y="686"/>
              </a:lnTo>
              <a:lnTo>
                <a:pt x="744" y="710"/>
              </a:lnTo>
              <a:lnTo>
                <a:pt x="744" y="717"/>
              </a:lnTo>
              <a:lnTo>
                <a:pt x="744" y="747"/>
              </a:lnTo>
              <a:lnTo>
                <a:pt x="730" y="768"/>
              </a:lnTo>
              <a:lnTo>
                <a:pt x="732" y="770"/>
              </a:lnTo>
              <a:lnTo>
                <a:pt x="736" y="768"/>
              </a:lnTo>
              <a:lnTo>
                <a:pt x="726" y="791"/>
              </a:lnTo>
              <a:lnTo>
                <a:pt x="727" y="804"/>
              </a:lnTo>
              <a:lnTo>
                <a:pt x="736" y="829"/>
              </a:lnTo>
              <a:lnTo>
                <a:pt x="746" y="851"/>
              </a:lnTo>
              <a:lnTo>
                <a:pt x="742" y="855"/>
              </a:lnTo>
              <a:lnTo>
                <a:pt x="741" y="858"/>
              </a:lnTo>
              <a:lnTo>
                <a:pt x="744" y="863"/>
              </a:lnTo>
              <a:lnTo>
                <a:pt x="750" y="891"/>
              </a:lnTo>
              <a:lnTo>
                <a:pt x="727" y="926"/>
              </a:lnTo>
              <a:lnTo>
                <a:pt x="722" y="931"/>
              </a:lnTo>
              <a:lnTo>
                <a:pt x="718" y="947"/>
              </a:lnTo>
              <a:lnTo>
                <a:pt x="704" y="954"/>
              </a:lnTo>
              <a:lnTo>
                <a:pt x="705" y="967"/>
              </a:lnTo>
              <a:lnTo>
                <a:pt x="697" y="978"/>
              </a:lnTo>
              <a:lnTo>
                <a:pt x="665" y="1006"/>
              </a:lnTo>
              <a:lnTo>
                <a:pt x="659" y="1004"/>
              </a:lnTo>
              <a:lnTo>
                <a:pt x="660" y="1006"/>
              </a:lnTo>
              <a:lnTo>
                <a:pt x="660" y="1011"/>
              </a:lnTo>
              <a:lnTo>
                <a:pt x="662" y="1035"/>
              </a:lnTo>
              <a:lnTo>
                <a:pt x="657" y="1053"/>
              </a:lnTo>
              <a:lnTo>
                <a:pt x="639" y="1091"/>
              </a:lnTo>
              <a:lnTo>
                <a:pt x="643" y="1094"/>
              </a:lnTo>
              <a:lnTo>
                <a:pt x="651" y="1113"/>
              </a:lnTo>
              <a:lnTo>
                <a:pt x="633" y="1134"/>
              </a:lnTo>
              <a:lnTo>
                <a:pt x="628" y="1153"/>
              </a:lnTo>
              <a:lnTo>
                <a:pt x="632" y="1166"/>
              </a:lnTo>
              <a:lnTo>
                <a:pt x="633" y="1166"/>
              </a:lnTo>
              <a:lnTo>
                <a:pt x="645" y="1182"/>
              </a:lnTo>
              <a:lnTo>
                <a:pt x="633" y="1190"/>
              </a:lnTo>
              <a:lnTo>
                <a:pt x="609" y="1193"/>
              </a:lnTo>
              <a:lnTo>
                <a:pt x="590" y="1206"/>
              </a:lnTo>
              <a:lnTo>
                <a:pt x="588" y="1207"/>
              </a:lnTo>
              <a:lnTo>
                <a:pt x="587" y="1206"/>
              </a:lnTo>
              <a:lnTo>
                <a:pt x="579" y="1201"/>
              </a:lnTo>
              <a:lnTo>
                <a:pt x="563" y="1241"/>
              </a:lnTo>
              <a:lnTo>
                <a:pt x="575" y="1272"/>
              </a:lnTo>
              <a:lnTo>
                <a:pt x="564" y="1285"/>
              </a:lnTo>
              <a:lnTo>
                <a:pt x="563" y="1286"/>
              </a:lnTo>
              <a:lnTo>
                <a:pt x="551" y="1284"/>
              </a:lnTo>
              <a:lnTo>
                <a:pt x="540" y="1273"/>
              </a:lnTo>
              <a:lnTo>
                <a:pt x="516" y="1265"/>
              </a:lnTo>
              <a:lnTo>
                <a:pt x="483" y="1247"/>
              </a:lnTo>
              <a:lnTo>
                <a:pt x="482" y="1248"/>
              </a:lnTo>
              <a:lnTo>
                <a:pt x="469" y="1248"/>
              </a:lnTo>
              <a:lnTo>
                <a:pt x="444" y="1277"/>
              </a:lnTo>
              <a:lnTo>
                <a:pt x="437" y="1285"/>
              </a:lnTo>
              <a:lnTo>
                <a:pt x="436" y="1290"/>
              </a:lnTo>
              <a:lnTo>
                <a:pt x="439" y="1301"/>
              </a:lnTo>
              <a:lnTo>
                <a:pt x="422" y="1284"/>
              </a:lnTo>
              <a:lnTo>
                <a:pt x="420" y="1301"/>
              </a:lnTo>
              <a:lnTo>
                <a:pt x="411" y="1299"/>
              </a:lnTo>
              <a:lnTo>
                <a:pt x="400" y="1292"/>
              </a:lnTo>
              <a:lnTo>
                <a:pt x="384" y="1242"/>
              </a:lnTo>
              <a:lnTo>
                <a:pt x="378" y="1242"/>
              </a:lnTo>
              <a:lnTo>
                <a:pt x="376" y="1242"/>
              </a:lnTo>
              <a:lnTo>
                <a:pt x="374" y="1227"/>
              </a:lnTo>
              <a:lnTo>
                <a:pt x="378" y="1222"/>
              </a:lnTo>
              <a:lnTo>
                <a:pt x="385" y="1221"/>
              </a:lnTo>
              <a:lnTo>
                <a:pt x="390" y="1212"/>
              </a:lnTo>
              <a:lnTo>
                <a:pt x="372" y="1167"/>
              </a:lnTo>
              <a:lnTo>
                <a:pt x="372" y="1166"/>
              </a:lnTo>
              <a:lnTo>
                <a:pt x="376" y="1155"/>
              </a:lnTo>
              <a:lnTo>
                <a:pt x="345" y="1124"/>
              </a:lnTo>
              <a:lnTo>
                <a:pt x="344" y="1111"/>
              </a:lnTo>
              <a:lnTo>
                <a:pt x="320" y="1094"/>
              </a:lnTo>
              <a:lnTo>
                <a:pt x="305" y="1092"/>
              </a:lnTo>
              <a:lnTo>
                <a:pt x="294" y="1094"/>
              </a:lnTo>
              <a:lnTo>
                <a:pt x="283" y="1073"/>
              </a:lnTo>
              <a:lnTo>
                <a:pt x="259" y="1050"/>
              </a:lnTo>
              <a:lnTo>
                <a:pt x="243" y="1044"/>
              </a:lnTo>
              <a:lnTo>
                <a:pt x="236" y="1038"/>
              </a:lnTo>
              <a:lnTo>
                <a:pt x="236" y="1035"/>
              </a:lnTo>
              <a:lnTo>
                <a:pt x="235" y="1034"/>
              </a:lnTo>
              <a:lnTo>
                <a:pt x="216" y="1012"/>
              </a:lnTo>
              <a:lnTo>
                <a:pt x="213" y="1006"/>
              </a:lnTo>
              <a:lnTo>
                <a:pt x="219" y="974"/>
              </a:lnTo>
              <a:lnTo>
                <a:pt x="232" y="947"/>
              </a:lnTo>
              <a:lnTo>
                <a:pt x="233" y="942"/>
              </a:lnTo>
              <a:lnTo>
                <a:pt x="235" y="939"/>
              </a:lnTo>
              <a:lnTo>
                <a:pt x="236" y="937"/>
              </a:lnTo>
              <a:lnTo>
                <a:pt x="249" y="918"/>
              </a:lnTo>
              <a:lnTo>
                <a:pt x="249" y="909"/>
              </a:lnTo>
              <a:lnTo>
                <a:pt x="249" y="888"/>
              </a:lnTo>
              <a:lnTo>
                <a:pt x="251" y="882"/>
              </a:lnTo>
              <a:lnTo>
                <a:pt x="259" y="877"/>
              </a:lnTo>
              <a:lnTo>
                <a:pt x="259" y="876"/>
              </a:lnTo>
              <a:lnTo>
                <a:pt x="261" y="875"/>
              </a:lnTo>
              <a:lnTo>
                <a:pt x="259" y="863"/>
              </a:lnTo>
              <a:lnTo>
                <a:pt x="236" y="848"/>
              </a:lnTo>
              <a:lnTo>
                <a:pt x="231" y="847"/>
              </a:lnTo>
              <a:lnTo>
                <a:pt x="220" y="844"/>
              </a:lnTo>
              <a:lnTo>
                <a:pt x="212" y="840"/>
              </a:lnTo>
              <a:lnTo>
                <a:pt x="198" y="836"/>
              </a:lnTo>
              <a:lnTo>
                <a:pt x="180" y="858"/>
              </a:lnTo>
              <a:lnTo>
                <a:pt x="174" y="860"/>
              </a:lnTo>
              <a:lnTo>
                <a:pt x="159" y="844"/>
              </a:lnTo>
              <a:lnTo>
                <a:pt x="155" y="829"/>
              </a:lnTo>
              <a:lnTo>
                <a:pt x="154" y="799"/>
              </a:lnTo>
              <a:lnTo>
                <a:pt x="147" y="775"/>
              </a:lnTo>
              <a:lnTo>
                <a:pt x="142" y="766"/>
              </a:lnTo>
              <a:lnTo>
                <a:pt x="125" y="748"/>
              </a:lnTo>
              <a:lnTo>
                <a:pt x="107" y="735"/>
              </a:lnTo>
              <a:lnTo>
                <a:pt x="96" y="728"/>
              </a:lnTo>
              <a:lnTo>
                <a:pt x="75" y="702"/>
              </a:lnTo>
              <a:lnTo>
                <a:pt x="67" y="699"/>
              </a:lnTo>
              <a:lnTo>
                <a:pt x="63" y="688"/>
              </a:lnTo>
              <a:lnTo>
                <a:pt x="46" y="676"/>
              </a:lnTo>
              <a:lnTo>
                <a:pt x="44" y="672"/>
              </a:lnTo>
              <a:lnTo>
                <a:pt x="38" y="667"/>
              </a:lnTo>
              <a:lnTo>
                <a:pt x="37" y="666"/>
              </a:lnTo>
              <a:lnTo>
                <a:pt x="26" y="651"/>
              </a:lnTo>
              <a:lnTo>
                <a:pt x="27" y="649"/>
              </a:lnTo>
              <a:lnTo>
                <a:pt x="25" y="637"/>
              </a:lnTo>
              <a:lnTo>
                <a:pt x="12" y="622"/>
              </a:lnTo>
              <a:lnTo>
                <a:pt x="14" y="605"/>
              </a:lnTo>
              <a:lnTo>
                <a:pt x="7" y="592"/>
              </a:lnTo>
              <a:lnTo>
                <a:pt x="0" y="562"/>
              </a:lnTo>
              <a:lnTo>
                <a:pt x="0" y="545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pPr algn="ctr"/>
          <a:endParaRPr lang="en-US" sz="800" b="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18</xdr:col>
      <xdr:colOff>145565</xdr:colOff>
      <xdr:row>7</xdr:row>
      <xdr:rowOff>110169</xdr:rowOff>
    </xdr:from>
    <xdr:to>
      <xdr:col>19</xdr:col>
      <xdr:colOff>93533</xdr:colOff>
      <xdr:row>12</xdr:row>
      <xdr:rowOff>83399</xdr:rowOff>
    </xdr:to>
    <xdr:sp macro="" textlink="">
      <xdr:nvSpPr>
        <xdr:cNvPr id="94" name="S_ID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>
          <a:spLocks/>
        </xdr:cNvSpPr>
      </xdr:nvSpPr>
      <xdr:spPr bwMode="auto">
        <a:xfrm>
          <a:off x="1126640" y="1443669"/>
          <a:ext cx="557568" cy="1078130"/>
        </a:xfrm>
        <a:custGeom>
          <a:avLst/>
          <a:gdLst>
            <a:gd name="T0" fmla="*/ 2147483647 w 1159"/>
            <a:gd name="T1" fmla="*/ 2147483647 h 1657"/>
            <a:gd name="T2" fmla="*/ 2147483647 w 1159"/>
            <a:gd name="T3" fmla="*/ 2147483647 h 1657"/>
            <a:gd name="T4" fmla="*/ 2147483647 w 1159"/>
            <a:gd name="T5" fmla="*/ 2147483647 h 1657"/>
            <a:gd name="T6" fmla="*/ 2147483647 w 1159"/>
            <a:gd name="T7" fmla="*/ 2147483647 h 1657"/>
            <a:gd name="T8" fmla="*/ 2147483647 w 1159"/>
            <a:gd name="T9" fmla="*/ 2147483647 h 1657"/>
            <a:gd name="T10" fmla="*/ 2147483647 w 1159"/>
            <a:gd name="T11" fmla="*/ 2147483647 h 1657"/>
            <a:gd name="T12" fmla="*/ 2147483647 w 1159"/>
            <a:gd name="T13" fmla="*/ 2147483647 h 1657"/>
            <a:gd name="T14" fmla="*/ 2147483647 w 1159"/>
            <a:gd name="T15" fmla="*/ 2147483647 h 1657"/>
            <a:gd name="T16" fmla="*/ 2147483647 w 1159"/>
            <a:gd name="T17" fmla="*/ 2147483647 h 1657"/>
            <a:gd name="T18" fmla="*/ 2147483647 w 1159"/>
            <a:gd name="T19" fmla="*/ 2147483647 h 1657"/>
            <a:gd name="T20" fmla="*/ 2147483647 w 1159"/>
            <a:gd name="T21" fmla="*/ 2147483647 h 1657"/>
            <a:gd name="T22" fmla="*/ 2147483647 w 1159"/>
            <a:gd name="T23" fmla="*/ 2147483647 h 1657"/>
            <a:gd name="T24" fmla="*/ 2147483647 w 1159"/>
            <a:gd name="T25" fmla="*/ 2147483647 h 1657"/>
            <a:gd name="T26" fmla="*/ 2147483647 w 1159"/>
            <a:gd name="T27" fmla="*/ 2147483647 h 1657"/>
            <a:gd name="T28" fmla="*/ 2147483647 w 1159"/>
            <a:gd name="T29" fmla="*/ 2147483647 h 1657"/>
            <a:gd name="T30" fmla="*/ 2147483647 w 1159"/>
            <a:gd name="T31" fmla="*/ 2147483647 h 1657"/>
            <a:gd name="T32" fmla="*/ 2147483647 w 1159"/>
            <a:gd name="T33" fmla="*/ 2147483647 h 1657"/>
            <a:gd name="T34" fmla="*/ 2147483647 w 1159"/>
            <a:gd name="T35" fmla="*/ 2147483647 h 1657"/>
            <a:gd name="T36" fmla="*/ 2147483647 w 1159"/>
            <a:gd name="T37" fmla="*/ 2147483647 h 1657"/>
            <a:gd name="T38" fmla="*/ 2147483647 w 1159"/>
            <a:gd name="T39" fmla="*/ 2147483647 h 1657"/>
            <a:gd name="T40" fmla="*/ 2147483647 w 1159"/>
            <a:gd name="T41" fmla="*/ 2147483647 h 1657"/>
            <a:gd name="T42" fmla="*/ 2147483647 w 1159"/>
            <a:gd name="T43" fmla="*/ 2147483647 h 1657"/>
            <a:gd name="T44" fmla="*/ 2147483647 w 1159"/>
            <a:gd name="T45" fmla="*/ 2147483647 h 1657"/>
            <a:gd name="T46" fmla="*/ 2147483647 w 1159"/>
            <a:gd name="T47" fmla="*/ 2147483647 h 1657"/>
            <a:gd name="T48" fmla="*/ 2147483647 w 1159"/>
            <a:gd name="T49" fmla="*/ 2147483647 h 1657"/>
            <a:gd name="T50" fmla="*/ 2147483647 w 1159"/>
            <a:gd name="T51" fmla="*/ 2147483647 h 1657"/>
            <a:gd name="T52" fmla="*/ 2147483647 w 1159"/>
            <a:gd name="T53" fmla="*/ 2147483647 h 1657"/>
            <a:gd name="T54" fmla="*/ 2147483647 w 1159"/>
            <a:gd name="T55" fmla="*/ 2147483647 h 1657"/>
            <a:gd name="T56" fmla="*/ 2147483647 w 1159"/>
            <a:gd name="T57" fmla="*/ 2147483647 h 1657"/>
            <a:gd name="T58" fmla="*/ 2147483647 w 1159"/>
            <a:gd name="T59" fmla="*/ 2147483647 h 1657"/>
            <a:gd name="T60" fmla="*/ 2147483647 w 1159"/>
            <a:gd name="T61" fmla="*/ 2147483647 h 1657"/>
            <a:gd name="T62" fmla="*/ 2147483647 w 1159"/>
            <a:gd name="T63" fmla="*/ 2147483647 h 1657"/>
            <a:gd name="T64" fmla="*/ 2147483647 w 1159"/>
            <a:gd name="T65" fmla="*/ 2147483647 h 1657"/>
            <a:gd name="T66" fmla="*/ 2147483647 w 1159"/>
            <a:gd name="T67" fmla="*/ 2147483647 h 1657"/>
            <a:gd name="T68" fmla="*/ 2147483647 w 1159"/>
            <a:gd name="T69" fmla="*/ 2147483647 h 1657"/>
            <a:gd name="T70" fmla="*/ 2147483647 w 1159"/>
            <a:gd name="T71" fmla="*/ 0 h 1657"/>
            <a:gd name="T72" fmla="*/ 2147483647 w 1159"/>
            <a:gd name="T73" fmla="*/ 2147483647 h 1657"/>
            <a:gd name="T74" fmla="*/ 2147483647 w 1159"/>
            <a:gd name="T75" fmla="*/ 2147483647 h 1657"/>
            <a:gd name="T76" fmla="*/ 2147483647 w 1159"/>
            <a:gd name="T77" fmla="*/ 2147483647 h 1657"/>
            <a:gd name="T78" fmla="*/ 2147483647 w 1159"/>
            <a:gd name="T79" fmla="*/ 2147483647 h 1657"/>
            <a:gd name="T80" fmla="*/ 2147483647 w 1159"/>
            <a:gd name="T81" fmla="*/ 2147483647 h 1657"/>
            <a:gd name="T82" fmla="*/ 2147483647 w 1159"/>
            <a:gd name="T83" fmla="*/ 2147483647 h 1657"/>
            <a:gd name="T84" fmla="*/ 2147483647 w 1159"/>
            <a:gd name="T85" fmla="*/ 2147483647 h 1657"/>
            <a:gd name="T86" fmla="*/ 2147483647 w 1159"/>
            <a:gd name="T87" fmla="*/ 2147483647 h 1657"/>
            <a:gd name="T88" fmla="*/ 2147483647 w 1159"/>
            <a:gd name="T89" fmla="*/ 2147483647 h 1657"/>
            <a:gd name="T90" fmla="*/ 2147483647 w 1159"/>
            <a:gd name="T91" fmla="*/ 2147483647 h 1657"/>
            <a:gd name="T92" fmla="*/ 2147483647 w 1159"/>
            <a:gd name="T93" fmla="*/ 2147483647 h 1657"/>
            <a:gd name="T94" fmla="*/ 0 w 1159"/>
            <a:gd name="T95" fmla="*/ 2147483647 h 1657"/>
            <a:gd name="T96" fmla="*/ 2147483647 w 1159"/>
            <a:gd name="T97" fmla="*/ 2147483647 h 1657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w 1159"/>
            <a:gd name="T148" fmla="*/ 0 h 1657"/>
            <a:gd name="T149" fmla="*/ 1159 w 1159"/>
            <a:gd name="T150" fmla="*/ 1657 h 1657"/>
          </a:gdLst>
          <a:ahLst/>
          <a:cxnLst>
            <a:cxn ang="T98">
              <a:pos x="T0" y="T1"/>
            </a:cxn>
            <a:cxn ang="T99">
              <a:pos x="T2" y="T3"/>
            </a:cxn>
            <a:cxn ang="T100">
              <a:pos x="T4" y="T5"/>
            </a:cxn>
            <a:cxn ang="T101">
              <a:pos x="T6" y="T7"/>
            </a:cxn>
            <a:cxn ang="T102">
              <a:pos x="T8" y="T9"/>
            </a:cxn>
            <a:cxn ang="T103">
              <a:pos x="T10" y="T11"/>
            </a:cxn>
            <a:cxn ang="T104">
              <a:pos x="T12" y="T13"/>
            </a:cxn>
            <a:cxn ang="T105">
              <a:pos x="T14" y="T15"/>
            </a:cxn>
            <a:cxn ang="T106">
              <a:pos x="T16" y="T17"/>
            </a:cxn>
            <a:cxn ang="T107">
              <a:pos x="T18" y="T19"/>
            </a:cxn>
            <a:cxn ang="T108">
              <a:pos x="T20" y="T21"/>
            </a:cxn>
            <a:cxn ang="T109">
              <a:pos x="T22" y="T23"/>
            </a:cxn>
            <a:cxn ang="T110">
              <a:pos x="T24" y="T25"/>
            </a:cxn>
            <a:cxn ang="T111">
              <a:pos x="T26" y="T27"/>
            </a:cxn>
            <a:cxn ang="T112">
              <a:pos x="T28" y="T29"/>
            </a:cxn>
            <a:cxn ang="T113">
              <a:pos x="T30" y="T31"/>
            </a:cxn>
            <a:cxn ang="T114">
              <a:pos x="T32" y="T33"/>
            </a:cxn>
            <a:cxn ang="T115">
              <a:pos x="T34" y="T35"/>
            </a:cxn>
            <a:cxn ang="T116">
              <a:pos x="T36" y="T37"/>
            </a:cxn>
            <a:cxn ang="T117">
              <a:pos x="T38" y="T39"/>
            </a:cxn>
            <a:cxn ang="T118">
              <a:pos x="T40" y="T41"/>
            </a:cxn>
            <a:cxn ang="T119">
              <a:pos x="T42" y="T43"/>
            </a:cxn>
            <a:cxn ang="T120">
              <a:pos x="T44" y="T45"/>
            </a:cxn>
            <a:cxn ang="T121">
              <a:pos x="T46" y="T47"/>
            </a:cxn>
            <a:cxn ang="T122">
              <a:pos x="T48" y="T49"/>
            </a:cxn>
            <a:cxn ang="T123">
              <a:pos x="T50" y="T51"/>
            </a:cxn>
            <a:cxn ang="T124">
              <a:pos x="T52" y="T53"/>
            </a:cxn>
            <a:cxn ang="T125">
              <a:pos x="T54" y="T55"/>
            </a:cxn>
            <a:cxn ang="T126">
              <a:pos x="T56" y="T57"/>
            </a:cxn>
            <a:cxn ang="T127">
              <a:pos x="T58" y="T59"/>
            </a:cxn>
            <a:cxn ang="T128">
              <a:pos x="T60" y="T61"/>
            </a:cxn>
            <a:cxn ang="T129">
              <a:pos x="T62" y="T63"/>
            </a:cxn>
            <a:cxn ang="T130">
              <a:pos x="T64" y="T65"/>
            </a:cxn>
            <a:cxn ang="T131">
              <a:pos x="T66" y="T67"/>
            </a:cxn>
            <a:cxn ang="T132">
              <a:pos x="T68" y="T69"/>
            </a:cxn>
            <a:cxn ang="T133">
              <a:pos x="T70" y="T71"/>
            </a:cxn>
            <a:cxn ang="T134">
              <a:pos x="T72" y="T73"/>
            </a:cxn>
            <a:cxn ang="T135">
              <a:pos x="T74" y="T75"/>
            </a:cxn>
            <a:cxn ang="T136">
              <a:pos x="T76" y="T77"/>
            </a:cxn>
            <a:cxn ang="T137">
              <a:pos x="T78" y="T79"/>
            </a:cxn>
            <a:cxn ang="T138">
              <a:pos x="T80" y="T81"/>
            </a:cxn>
            <a:cxn ang="T139">
              <a:pos x="T82" y="T83"/>
            </a:cxn>
            <a:cxn ang="T140">
              <a:pos x="T84" y="T85"/>
            </a:cxn>
            <a:cxn ang="T141">
              <a:pos x="T86" y="T87"/>
            </a:cxn>
            <a:cxn ang="T142">
              <a:pos x="T88" y="T89"/>
            </a:cxn>
            <a:cxn ang="T143">
              <a:pos x="T90" y="T91"/>
            </a:cxn>
            <a:cxn ang="T144">
              <a:pos x="T92" y="T93"/>
            </a:cxn>
            <a:cxn ang="T145">
              <a:pos x="T94" y="T95"/>
            </a:cxn>
            <a:cxn ang="T146">
              <a:pos x="T96" y="T97"/>
            </a:cxn>
          </a:cxnLst>
          <a:rect l="T147" t="T148" r="T149" b="T150"/>
          <a:pathLst>
            <a:path w="1159" h="1657">
              <a:moveTo>
                <a:pt x="63" y="1145"/>
              </a:moveTo>
              <a:lnTo>
                <a:pt x="60" y="1153"/>
              </a:lnTo>
              <a:lnTo>
                <a:pt x="57" y="1154"/>
              </a:lnTo>
              <a:lnTo>
                <a:pt x="47" y="1210"/>
              </a:lnTo>
              <a:lnTo>
                <a:pt x="43" y="1214"/>
              </a:lnTo>
              <a:lnTo>
                <a:pt x="39" y="1227"/>
              </a:lnTo>
              <a:lnTo>
                <a:pt x="39" y="1257"/>
              </a:lnTo>
              <a:lnTo>
                <a:pt x="39" y="1281"/>
              </a:lnTo>
              <a:lnTo>
                <a:pt x="39" y="1379"/>
              </a:lnTo>
              <a:lnTo>
                <a:pt x="39" y="1653"/>
              </a:lnTo>
              <a:lnTo>
                <a:pt x="50" y="1654"/>
              </a:lnTo>
              <a:lnTo>
                <a:pt x="222" y="1654"/>
              </a:lnTo>
              <a:lnTo>
                <a:pt x="412" y="1654"/>
              </a:lnTo>
              <a:lnTo>
                <a:pt x="465" y="1654"/>
              </a:lnTo>
              <a:lnTo>
                <a:pt x="493" y="1656"/>
              </a:lnTo>
              <a:lnTo>
                <a:pt x="553" y="1656"/>
              </a:lnTo>
              <a:lnTo>
                <a:pt x="558" y="1656"/>
              </a:lnTo>
              <a:lnTo>
                <a:pt x="561" y="1656"/>
              </a:lnTo>
              <a:lnTo>
                <a:pt x="598" y="1656"/>
              </a:lnTo>
              <a:lnTo>
                <a:pt x="651" y="1657"/>
              </a:lnTo>
              <a:lnTo>
                <a:pt x="746" y="1654"/>
              </a:lnTo>
              <a:lnTo>
                <a:pt x="792" y="1654"/>
              </a:lnTo>
              <a:lnTo>
                <a:pt x="944" y="1653"/>
              </a:lnTo>
              <a:lnTo>
                <a:pt x="947" y="1654"/>
              </a:lnTo>
              <a:lnTo>
                <a:pt x="949" y="1654"/>
              </a:lnTo>
              <a:lnTo>
                <a:pt x="955" y="1654"/>
              </a:lnTo>
              <a:lnTo>
                <a:pt x="959" y="1654"/>
              </a:lnTo>
              <a:lnTo>
                <a:pt x="979" y="1654"/>
              </a:lnTo>
              <a:lnTo>
                <a:pt x="1026" y="1654"/>
              </a:lnTo>
              <a:lnTo>
                <a:pt x="1071" y="1654"/>
              </a:lnTo>
              <a:lnTo>
                <a:pt x="1081" y="1654"/>
              </a:lnTo>
              <a:lnTo>
                <a:pt x="1087" y="1653"/>
              </a:lnTo>
              <a:lnTo>
                <a:pt x="1158" y="1653"/>
              </a:lnTo>
              <a:lnTo>
                <a:pt x="1158" y="1624"/>
              </a:lnTo>
              <a:lnTo>
                <a:pt x="1158" y="1542"/>
              </a:lnTo>
              <a:lnTo>
                <a:pt x="1158" y="1534"/>
              </a:lnTo>
              <a:lnTo>
                <a:pt x="1159" y="1477"/>
              </a:lnTo>
              <a:lnTo>
                <a:pt x="1158" y="1418"/>
              </a:lnTo>
              <a:lnTo>
                <a:pt x="1158" y="1414"/>
              </a:lnTo>
              <a:lnTo>
                <a:pt x="1158" y="1403"/>
              </a:lnTo>
              <a:lnTo>
                <a:pt x="1158" y="1359"/>
              </a:lnTo>
              <a:lnTo>
                <a:pt x="1158" y="1343"/>
              </a:lnTo>
              <a:lnTo>
                <a:pt x="1158" y="1311"/>
              </a:lnTo>
              <a:lnTo>
                <a:pt x="1158" y="1300"/>
              </a:lnTo>
              <a:lnTo>
                <a:pt x="1158" y="1299"/>
              </a:lnTo>
              <a:lnTo>
                <a:pt x="1158" y="1240"/>
              </a:lnTo>
              <a:lnTo>
                <a:pt x="1158" y="1211"/>
              </a:lnTo>
              <a:lnTo>
                <a:pt x="1158" y="1186"/>
              </a:lnTo>
              <a:lnTo>
                <a:pt x="1158" y="1150"/>
              </a:lnTo>
              <a:lnTo>
                <a:pt x="1158" y="1123"/>
              </a:lnTo>
              <a:lnTo>
                <a:pt x="1157" y="1069"/>
              </a:lnTo>
              <a:lnTo>
                <a:pt x="1149" y="1067"/>
              </a:lnTo>
              <a:lnTo>
                <a:pt x="1148" y="1067"/>
              </a:lnTo>
              <a:lnTo>
                <a:pt x="1142" y="1064"/>
              </a:lnTo>
              <a:lnTo>
                <a:pt x="1119" y="1028"/>
              </a:lnTo>
              <a:lnTo>
                <a:pt x="1096" y="1004"/>
              </a:lnTo>
              <a:lnTo>
                <a:pt x="1092" y="1005"/>
              </a:lnTo>
              <a:lnTo>
                <a:pt x="1077" y="1014"/>
              </a:lnTo>
              <a:lnTo>
                <a:pt x="1070" y="1029"/>
              </a:lnTo>
              <a:lnTo>
                <a:pt x="1073" y="1054"/>
              </a:lnTo>
              <a:lnTo>
                <a:pt x="1051" y="1052"/>
              </a:lnTo>
              <a:lnTo>
                <a:pt x="955" y="1056"/>
              </a:lnTo>
              <a:lnTo>
                <a:pt x="933" y="1048"/>
              </a:lnTo>
              <a:lnTo>
                <a:pt x="913" y="1064"/>
              </a:lnTo>
              <a:lnTo>
                <a:pt x="886" y="1072"/>
              </a:lnTo>
              <a:lnTo>
                <a:pt x="842" y="1064"/>
              </a:lnTo>
              <a:lnTo>
                <a:pt x="823" y="1081"/>
              </a:lnTo>
              <a:lnTo>
                <a:pt x="827" y="1093"/>
              </a:lnTo>
              <a:lnTo>
                <a:pt x="822" y="1097"/>
              </a:lnTo>
              <a:lnTo>
                <a:pt x="792" y="1075"/>
              </a:lnTo>
              <a:lnTo>
                <a:pt x="767" y="1003"/>
              </a:lnTo>
              <a:lnTo>
                <a:pt x="707" y="975"/>
              </a:lnTo>
              <a:lnTo>
                <a:pt x="709" y="945"/>
              </a:lnTo>
              <a:lnTo>
                <a:pt x="617" y="781"/>
              </a:lnTo>
              <a:lnTo>
                <a:pt x="558" y="823"/>
              </a:lnTo>
              <a:lnTo>
                <a:pt x="534" y="827"/>
              </a:lnTo>
              <a:lnTo>
                <a:pt x="499" y="813"/>
              </a:lnTo>
              <a:lnTo>
                <a:pt x="529" y="591"/>
              </a:lnTo>
              <a:lnTo>
                <a:pt x="535" y="591"/>
              </a:lnTo>
              <a:lnTo>
                <a:pt x="544" y="562"/>
              </a:lnTo>
              <a:lnTo>
                <a:pt x="543" y="553"/>
              </a:lnTo>
              <a:lnTo>
                <a:pt x="535" y="551"/>
              </a:lnTo>
              <a:lnTo>
                <a:pt x="511" y="557"/>
              </a:lnTo>
              <a:lnTo>
                <a:pt x="494" y="560"/>
              </a:lnTo>
              <a:lnTo>
                <a:pt x="488" y="553"/>
              </a:lnTo>
              <a:lnTo>
                <a:pt x="488" y="540"/>
              </a:lnTo>
              <a:lnTo>
                <a:pt x="479" y="535"/>
              </a:lnTo>
              <a:lnTo>
                <a:pt x="462" y="545"/>
              </a:lnTo>
              <a:lnTo>
                <a:pt x="458" y="540"/>
              </a:lnTo>
              <a:lnTo>
                <a:pt x="462" y="532"/>
              </a:lnTo>
              <a:lnTo>
                <a:pt x="426" y="489"/>
              </a:lnTo>
              <a:lnTo>
                <a:pt x="406" y="473"/>
              </a:lnTo>
              <a:lnTo>
                <a:pt x="357" y="415"/>
              </a:lnTo>
              <a:lnTo>
                <a:pt x="328" y="407"/>
              </a:lnTo>
              <a:lnTo>
                <a:pt x="278" y="369"/>
              </a:lnTo>
              <a:lnTo>
                <a:pt x="300" y="359"/>
              </a:lnTo>
              <a:lnTo>
                <a:pt x="278" y="344"/>
              </a:lnTo>
              <a:lnTo>
                <a:pt x="278" y="304"/>
              </a:lnTo>
              <a:lnTo>
                <a:pt x="222" y="242"/>
              </a:lnTo>
              <a:lnTo>
                <a:pt x="222" y="236"/>
              </a:lnTo>
              <a:lnTo>
                <a:pt x="222" y="186"/>
              </a:lnTo>
              <a:lnTo>
                <a:pt x="222" y="127"/>
              </a:lnTo>
              <a:lnTo>
                <a:pt x="222" y="119"/>
              </a:lnTo>
              <a:lnTo>
                <a:pt x="222" y="118"/>
              </a:lnTo>
              <a:lnTo>
                <a:pt x="222" y="30"/>
              </a:lnTo>
              <a:lnTo>
                <a:pt x="222" y="6"/>
              </a:lnTo>
              <a:lnTo>
                <a:pt x="222" y="0"/>
              </a:lnTo>
              <a:lnTo>
                <a:pt x="38" y="1"/>
              </a:lnTo>
              <a:lnTo>
                <a:pt x="38" y="10"/>
              </a:lnTo>
              <a:lnTo>
                <a:pt x="38" y="20"/>
              </a:lnTo>
              <a:lnTo>
                <a:pt x="38" y="36"/>
              </a:lnTo>
              <a:lnTo>
                <a:pt x="37" y="170"/>
              </a:lnTo>
              <a:lnTo>
                <a:pt x="36" y="207"/>
              </a:lnTo>
              <a:lnTo>
                <a:pt x="36" y="226"/>
              </a:lnTo>
              <a:lnTo>
                <a:pt x="36" y="233"/>
              </a:lnTo>
              <a:lnTo>
                <a:pt x="36" y="236"/>
              </a:lnTo>
              <a:lnTo>
                <a:pt x="36" y="242"/>
              </a:lnTo>
              <a:lnTo>
                <a:pt x="36" y="295"/>
              </a:lnTo>
              <a:lnTo>
                <a:pt x="36" y="325"/>
              </a:lnTo>
              <a:lnTo>
                <a:pt x="36" y="386"/>
              </a:lnTo>
              <a:lnTo>
                <a:pt x="37" y="412"/>
              </a:lnTo>
              <a:lnTo>
                <a:pt x="37" y="414"/>
              </a:lnTo>
              <a:lnTo>
                <a:pt x="37" y="443"/>
              </a:lnTo>
              <a:lnTo>
                <a:pt x="36" y="532"/>
              </a:lnTo>
              <a:lnTo>
                <a:pt x="37" y="544"/>
              </a:lnTo>
              <a:lnTo>
                <a:pt x="37" y="581"/>
              </a:lnTo>
              <a:lnTo>
                <a:pt x="37" y="591"/>
              </a:lnTo>
              <a:lnTo>
                <a:pt x="36" y="609"/>
              </a:lnTo>
              <a:lnTo>
                <a:pt x="34" y="621"/>
              </a:lnTo>
              <a:lnTo>
                <a:pt x="51" y="649"/>
              </a:lnTo>
              <a:lnTo>
                <a:pt x="60" y="711"/>
              </a:lnTo>
              <a:lnTo>
                <a:pt x="67" y="720"/>
              </a:lnTo>
              <a:lnTo>
                <a:pt x="79" y="738"/>
              </a:lnTo>
              <a:lnTo>
                <a:pt x="82" y="743"/>
              </a:lnTo>
              <a:lnTo>
                <a:pt x="129" y="768"/>
              </a:lnTo>
              <a:lnTo>
                <a:pt x="143" y="797"/>
              </a:lnTo>
              <a:lnTo>
                <a:pt x="102" y="882"/>
              </a:lnTo>
              <a:lnTo>
                <a:pt x="101" y="884"/>
              </a:lnTo>
              <a:lnTo>
                <a:pt x="91" y="916"/>
              </a:lnTo>
              <a:lnTo>
                <a:pt x="84" y="927"/>
              </a:lnTo>
              <a:lnTo>
                <a:pt x="72" y="946"/>
              </a:lnTo>
              <a:lnTo>
                <a:pt x="63" y="983"/>
              </a:lnTo>
              <a:lnTo>
                <a:pt x="38" y="1005"/>
              </a:lnTo>
              <a:lnTo>
                <a:pt x="0" y="1093"/>
              </a:lnTo>
              <a:lnTo>
                <a:pt x="3" y="1111"/>
              </a:lnTo>
              <a:lnTo>
                <a:pt x="30" y="1123"/>
              </a:lnTo>
              <a:lnTo>
                <a:pt x="43" y="1124"/>
              </a:lnTo>
              <a:lnTo>
                <a:pt x="63" y="1145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pPr algn="ctr"/>
          <a:endParaRPr lang="en-US" sz="800" b="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21</xdr:col>
      <xdr:colOff>183283</xdr:colOff>
      <xdr:row>11</xdr:row>
      <xdr:rowOff>63762</xdr:rowOff>
    </xdr:from>
    <xdr:to>
      <xdr:col>22</xdr:col>
      <xdr:colOff>156150</xdr:colOff>
      <xdr:row>13</xdr:row>
      <xdr:rowOff>104317</xdr:rowOff>
    </xdr:to>
    <xdr:sp macro="" textlink="">
      <xdr:nvSpPr>
        <xdr:cNvPr id="95" name="S_IA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>
          <a:spLocks/>
        </xdr:cNvSpPr>
      </xdr:nvSpPr>
      <xdr:spPr bwMode="auto">
        <a:xfrm>
          <a:off x="2993158" y="2273562"/>
          <a:ext cx="582467" cy="497755"/>
        </a:xfrm>
        <a:custGeom>
          <a:avLst/>
          <a:gdLst>
            <a:gd name="T0" fmla="*/ 2147483647 w 1212"/>
            <a:gd name="T1" fmla="*/ 0 h 739"/>
            <a:gd name="T2" fmla="*/ 2147483647 w 1212"/>
            <a:gd name="T3" fmla="*/ 0 h 739"/>
            <a:gd name="T4" fmla="*/ 2147483647 w 1212"/>
            <a:gd name="T5" fmla="*/ 0 h 739"/>
            <a:gd name="T6" fmla="*/ 2147483647 w 1212"/>
            <a:gd name="T7" fmla="*/ 0 h 739"/>
            <a:gd name="T8" fmla="*/ 2147483647 w 1212"/>
            <a:gd name="T9" fmla="*/ 0 h 739"/>
            <a:gd name="T10" fmla="*/ 2147483647 w 1212"/>
            <a:gd name="T11" fmla="*/ 0 h 739"/>
            <a:gd name="T12" fmla="*/ 2147483647 w 1212"/>
            <a:gd name="T13" fmla="*/ 0 h 739"/>
            <a:gd name="T14" fmla="*/ 2147483647 w 1212"/>
            <a:gd name="T15" fmla="*/ 0 h 739"/>
            <a:gd name="T16" fmla="*/ 2147483647 w 1212"/>
            <a:gd name="T17" fmla="*/ 0 h 739"/>
            <a:gd name="T18" fmla="*/ 2147483647 w 1212"/>
            <a:gd name="T19" fmla="*/ 0 h 739"/>
            <a:gd name="T20" fmla="*/ 2147483647 w 1212"/>
            <a:gd name="T21" fmla="*/ 2147483647 h 739"/>
            <a:gd name="T22" fmla="*/ 2147483647 w 1212"/>
            <a:gd name="T23" fmla="*/ 2147483647 h 739"/>
            <a:gd name="T24" fmla="*/ 2147483647 w 1212"/>
            <a:gd name="T25" fmla="*/ 2147483647 h 739"/>
            <a:gd name="T26" fmla="*/ 2147483647 w 1212"/>
            <a:gd name="T27" fmla="*/ 2147483647 h 739"/>
            <a:gd name="T28" fmla="*/ 2147483647 w 1212"/>
            <a:gd name="T29" fmla="*/ 2147483647 h 739"/>
            <a:gd name="T30" fmla="*/ 2147483647 w 1212"/>
            <a:gd name="T31" fmla="*/ 2147483647 h 739"/>
            <a:gd name="T32" fmla="*/ 2147483647 w 1212"/>
            <a:gd name="T33" fmla="*/ 2147483647 h 739"/>
            <a:gd name="T34" fmla="*/ 2147483647 w 1212"/>
            <a:gd name="T35" fmla="*/ 2147483647 h 739"/>
            <a:gd name="T36" fmla="*/ 2147483647 w 1212"/>
            <a:gd name="T37" fmla="*/ 2147483647 h 739"/>
            <a:gd name="T38" fmla="*/ 2147483647 w 1212"/>
            <a:gd name="T39" fmla="*/ 2147483647 h 739"/>
            <a:gd name="T40" fmla="*/ 2147483647 w 1212"/>
            <a:gd name="T41" fmla="*/ 2147483647 h 739"/>
            <a:gd name="T42" fmla="*/ 2147483647 w 1212"/>
            <a:gd name="T43" fmla="*/ 2147483647 h 739"/>
            <a:gd name="T44" fmla="*/ 2147483647 w 1212"/>
            <a:gd name="T45" fmla="*/ 2147483647 h 739"/>
            <a:gd name="T46" fmla="*/ 2147483647 w 1212"/>
            <a:gd name="T47" fmla="*/ 2147483647 h 739"/>
            <a:gd name="T48" fmla="*/ 2147483647 w 1212"/>
            <a:gd name="T49" fmla="*/ 2147483647 h 739"/>
            <a:gd name="T50" fmla="*/ 2147483647 w 1212"/>
            <a:gd name="T51" fmla="*/ 2147483647 h 739"/>
            <a:gd name="T52" fmla="*/ 2147483647 w 1212"/>
            <a:gd name="T53" fmla="*/ 2147483647 h 739"/>
            <a:gd name="T54" fmla="*/ 2147483647 w 1212"/>
            <a:gd name="T55" fmla="*/ 2147483647 h 739"/>
            <a:gd name="T56" fmla="*/ 2147483647 w 1212"/>
            <a:gd name="T57" fmla="*/ 2147483647 h 739"/>
            <a:gd name="T58" fmla="*/ 2147483647 w 1212"/>
            <a:gd name="T59" fmla="*/ 2147483647 h 739"/>
            <a:gd name="T60" fmla="*/ 2147483647 w 1212"/>
            <a:gd name="T61" fmla="*/ 2147483647 h 739"/>
            <a:gd name="T62" fmla="*/ 2147483647 w 1212"/>
            <a:gd name="T63" fmla="*/ 2147483647 h 739"/>
            <a:gd name="T64" fmla="*/ 2147483647 w 1212"/>
            <a:gd name="T65" fmla="*/ 2147483647 h 739"/>
            <a:gd name="T66" fmla="*/ 2147483647 w 1212"/>
            <a:gd name="T67" fmla="*/ 2147483647 h 739"/>
            <a:gd name="T68" fmla="*/ 2147483647 w 1212"/>
            <a:gd name="T69" fmla="*/ 2147483647 h 739"/>
            <a:gd name="T70" fmla="*/ 2147483647 w 1212"/>
            <a:gd name="T71" fmla="*/ 2147483647 h 739"/>
            <a:gd name="T72" fmla="*/ 2147483647 w 1212"/>
            <a:gd name="T73" fmla="*/ 2147483647 h 739"/>
            <a:gd name="T74" fmla="*/ 2147483647 w 1212"/>
            <a:gd name="T75" fmla="*/ 2147483647 h 739"/>
            <a:gd name="T76" fmla="*/ 2147483647 w 1212"/>
            <a:gd name="T77" fmla="*/ 2147483647 h 739"/>
            <a:gd name="T78" fmla="*/ 2147483647 w 1212"/>
            <a:gd name="T79" fmla="*/ 2147483647 h 739"/>
            <a:gd name="T80" fmla="*/ 2147483647 w 1212"/>
            <a:gd name="T81" fmla="*/ 2147483647 h 739"/>
            <a:gd name="T82" fmla="*/ 2147483647 w 1212"/>
            <a:gd name="T83" fmla="*/ 2147483647 h 739"/>
            <a:gd name="T84" fmla="*/ 2147483647 w 1212"/>
            <a:gd name="T85" fmla="*/ 2147483647 h 739"/>
            <a:gd name="T86" fmla="*/ 2147483647 w 1212"/>
            <a:gd name="T87" fmla="*/ 2147483647 h 739"/>
            <a:gd name="T88" fmla="*/ 2147483647 w 1212"/>
            <a:gd name="T89" fmla="*/ 2147483647 h 739"/>
            <a:gd name="T90" fmla="*/ 2147483647 w 1212"/>
            <a:gd name="T91" fmla="*/ 2147483647 h 739"/>
            <a:gd name="T92" fmla="*/ 2147483647 w 1212"/>
            <a:gd name="T93" fmla="*/ 2147483647 h 739"/>
            <a:gd name="T94" fmla="*/ 2147483647 w 1212"/>
            <a:gd name="T95" fmla="*/ 2147483647 h 739"/>
            <a:gd name="T96" fmla="*/ 2147483647 w 1212"/>
            <a:gd name="T97" fmla="*/ 2147483647 h 739"/>
            <a:gd name="T98" fmla="*/ 2147483647 w 1212"/>
            <a:gd name="T99" fmla="*/ 2147483647 h 739"/>
            <a:gd name="T100" fmla="*/ 2147483647 w 1212"/>
            <a:gd name="T101" fmla="*/ 2147483647 h 739"/>
            <a:gd name="T102" fmla="*/ 2147483647 w 1212"/>
            <a:gd name="T103" fmla="*/ 2147483647 h 739"/>
            <a:gd name="T104" fmla="*/ 2147483647 w 1212"/>
            <a:gd name="T105" fmla="*/ 2147483647 h 739"/>
            <a:gd name="T106" fmla="*/ 2147483647 w 1212"/>
            <a:gd name="T107" fmla="*/ 2147483647 h 739"/>
            <a:gd name="T108" fmla="*/ 2147483647 w 1212"/>
            <a:gd name="T109" fmla="*/ 2147483647 h 739"/>
            <a:gd name="T110" fmla="*/ 2147483647 w 1212"/>
            <a:gd name="T111" fmla="*/ 2147483647 h 739"/>
            <a:gd name="T112" fmla="*/ 2147483647 w 1212"/>
            <a:gd name="T113" fmla="*/ 0 h 739"/>
            <a:gd name="T114" fmla="*/ 2147483647 w 1212"/>
            <a:gd name="T115" fmla="*/ 0 h 739"/>
            <a:gd name="T116" fmla="*/ 2147483647 w 1212"/>
            <a:gd name="T117" fmla="*/ 0 h 739"/>
            <a:gd name="T118" fmla="*/ 2147483647 w 1212"/>
            <a:gd name="T119" fmla="*/ 0 h 739"/>
            <a:gd name="T120" fmla="*/ 2147483647 w 1212"/>
            <a:gd name="T121" fmla="*/ 0 h 739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w 1212"/>
            <a:gd name="T184" fmla="*/ 0 h 739"/>
            <a:gd name="T185" fmla="*/ 1212 w 1212"/>
            <a:gd name="T186" fmla="*/ 739 h 739"/>
          </a:gdLst>
          <a:ahLst/>
          <a:cxnLst>
            <a:cxn ang="T122">
              <a:pos x="T0" y="T1"/>
            </a:cxn>
            <a:cxn ang="T123">
              <a:pos x="T2" y="T3"/>
            </a:cxn>
            <a:cxn ang="T124">
              <a:pos x="T4" y="T5"/>
            </a:cxn>
            <a:cxn ang="T125">
              <a:pos x="T6" y="T7"/>
            </a:cxn>
            <a:cxn ang="T126">
              <a:pos x="T8" y="T9"/>
            </a:cxn>
            <a:cxn ang="T127">
              <a:pos x="T10" y="T11"/>
            </a:cxn>
            <a:cxn ang="T128">
              <a:pos x="T12" y="T13"/>
            </a:cxn>
            <a:cxn ang="T129">
              <a:pos x="T14" y="T15"/>
            </a:cxn>
            <a:cxn ang="T130">
              <a:pos x="T16" y="T17"/>
            </a:cxn>
            <a:cxn ang="T131">
              <a:pos x="T18" y="T19"/>
            </a:cxn>
            <a:cxn ang="T132">
              <a:pos x="T20" y="T21"/>
            </a:cxn>
            <a:cxn ang="T133">
              <a:pos x="T22" y="T23"/>
            </a:cxn>
            <a:cxn ang="T134">
              <a:pos x="T24" y="T25"/>
            </a:cxn>
            <a:cxn ang="T135">
              <a:pos x="T26" y="T27"/>
            </a:cxn>
            <a:cxn ang="T136">
              <a:pos x="T28" y="T29"/>
            </a:cxn>
            <a:cxn ang="T137">
              <a:pos x="T30" y="T31"/>
            </a:cxn>
            <a:cxn ang="T138">
              <a:pos x="T32" y="T33"/>
            </a:cxn>
            <a:cxn ang="T139">
              <a:pos x="T34" y="T35"/>
            </a:cxn>
            <a:cxn ang="T140">
              <a:pos x="T36" y="T37"/>
            </a:cxn>
            <a:cxn ang="T141">
              <a:pos x="T38" y="T39"/>
            </a:cxn>
            <a:cxn ang="T142">
              <a:pos x="T40" y="T41"/>
            </a:cxn>
            <a:cxn ang="T143">
              <a:pos x="T42" y="T43"/>
            </a:cxn>
            <a:cxn ang="T144">
              <a:pos x="T44" y="T45"/>
            </a:cxn>
            <a:cxn ang="T145">
              <a:pos x="T46" y="T47"/>
            </a:cxn>
            <a:cxn ang="T146">
              <a:pos x="T48" y="T49"/>
            </a:cxn>
            <a:cxn ang="T147">
              <a:pos x="T50" y="T51"/>
            </a:cxn>
            <a:cxn ang="T148">
              <a:pos x="T52" y="T53"/>
            </a:cxn>
            <a:cxn ang="T149">
              <a:pos x="T54" y="T55"/>
            </a:cxn>
            <a:cxn ang="T150">
              <a:pos x="T56" y="T57"/>
            </a:cxn>
            <a:cxn ang="T151">
              <a:pos x="T58" y="T59"/>
            </a:cxn>
            <a:cxn ang="T152">
              <a:pos x="T60" y="T61"/>
            </a:cxn>
            <a:cxn ang="T153">
              <a:pos x="T62" y="T63"/>
            </a:cxn>
            <a:cxn ang="T154">
              <a:pos x="T64" y="T65"/>
            </a:cxn>
            <a:cxn ang="T155">
              <a:pos x="T66" y="T67"/>
            </a:cxn>
            <a:cxn ang="T156">
              <a:pos x="T68" y="T69"/>
            </a:cxn>
            <a:cxn ang="T157">
              <a:pos x="T70" y="T71"/>
            </a:cxn>
            <a:cxn ang="T158">
              <a:pos x="T72" y="T73"/>
            </a:cxn>
            <a:cxn ang="T159">
              <a:pos x="T74" y="T75"/>
            </a:cxn>
            <a:cxn ang="T160">
              <a:pos x="T76" y="T77"/>
            </a:cxn>
            <a:cxn ang="T161">
              <a:pos x="T78" y="T79"/>
            </a:cxn>
            <a:cxn ang="T162">
              <a:pos x="T80" y="T81"/>
            </a:cxn>
            <a:cxn ang="T163">
              <a:pos x="T82" y="T83"/>
            </a:cxn>
            <a:cxn ang="T164">
              <a:pos x="T84" y="T85"/>
            </a:cxn>
            <a:cxn ang="T165">
              <a:pos x="T86" y="T87"/>
            </a:cxn>
            <a:cxn ang="T166">
              <a:pos x="T88" y="T89"/>
            </a:cxn>
            <a:cxn ang="T167">
              <a:pos x="T90" y="T91"/>
            </a:cxn>
            <a:cxn ang="T168">
              <a:pos x="T92" y="T93"/>
            </a:cxn>
            <a:cxn ang="T169">
              <a:pos x="T94" y="T95"/>
            </a:cxn>
            <a:cxn ang="T170">
              <a:pos x="T96" y="T97"/>
            </a:cxn>
            <a:cxn ang="T171">
              <a:pos x="T98" y="T99"/>
            </a:cxn>
            <a:cxn ang="T172">
              <a:pos x="T100" y="T101"/>
            </a:cxn>
            <a:cxn ang="T173">
              <a:pos x="T102" y="T103"/>
            </a:cxn>
            <a:cxn ang="T174">
              <a:pos x="T104" y="T105"/>
            </a:cxn>
            <a:cxn ang="T175">
              <a:pos x="T106" y="T107"/>
            </a:cxn>
            <a:cxn ang="T176">
              <a:pos x="T108" y="T109"/>
            </a:cxn>
            <a:cxn ang="T177">
              <a:pos x="T110" y="T111"/>
            </a:cxn>
            <a:cxn ang="T178">
              <a:pos x="T112" y="T113"/>
            </a:cxn>
            <a:cxn ang="T179">
              <a:pos x="T114" y="T115"/>
            </a:cxn>
            <a:cxn ang="T180">
              <a:pos x="T116" y="T117"/>
            </a:cxn>
            <a:cxn ang="T181">
              <a:pos x="T118" y="T119"/>
            </a:cxn>
            <a:cxn ang="T182">
              <a:pos x="T120" y="T121"/>
            </a:cxn>
          </a:cxnLst>
          <a:rect l="T183" t="T184" r="T185" b="T186"/>
          <a:pathLst>
            <a:path w="1212" h="739">
              <a:moveTo>
                <a:pt x="584" y="1"/>
              </a:moveTo>
              <a:lnTo>
                <a:pt x="556" y="1"/>
              </a:lnTo>
              <a:lnTo>
                <a:pt x="518" y="1"/>
              </a:lnTo>
              <a:lnTo>
                <a:pt x="513" y="1"/>
              </a:lnTo>
              <a:lnTo>
                <a:pt x="496" y="1"/>
              </a:lnTo>
              <a:lnTo>
                <a:pt x="494" y="1"/>
              </a:lnTo>
              <a:lnTo>
                <a:pt x="490" y="1"/>
              </a:lnTo>
              <a:lnTo>
                <a:pt x="444" y="0"/>
              </a:lnTo>
              <a:lnTo>
                <a:pt x="420" y="0"/>
              </a:lnTo>
              <a:lnTo>
                <a:pt x="407" y="0"/>
              </a:lnTo>
              <a:lnTo>
                <a:pt x="368" y="0"/>
              </a:lnTo>
              <a:lnTo>
                <a:pt x="350" y="0"/>
              </a:lnTo>
              <a:lnTo>
                <a:pt x="330" y="0"/>
              </a:lnTo>
              <a:lnTo>
                <a:pt x="326" y="0"/>
              </a:lnTo>
              <a:lnTo>
                <a:pt x="320" y="0"/>
              </a:lnTo>
              <a:lnTo>
                <a:pt x="280" y="0"/>
              </a:lnTo>
              <a:lnTo>
                <a:pt x="257" y="0"/>
              </a:lnTo>
              <a:lnTo>
                <a:pt x="231" y="0"/>
              </a:lnTo>
              <a:lnTo>
                <a:pt x="218" y="1"/>
              </a:lnTo>
              <a:lnTo>
                <a:pt x="169" y="1"/>
              </a:lnTo>
              <a:lnTo>
                <a:pt x="163" y="0"/>
              </a:lnTo>
              <a:lnTo>
                <a:pt x="142" y="0"/>
              </a:lnTo>
              <a:lnTo>
                <a:pt x="128" y="0"/>
              </a:lnTo>
              <a:lnTo>
                <a:pt x="116" y="0"/>
              </a:lnTo>
              <a:lnTo>
                <a:pt x="107" y="0"/>
              </a:lnTo>
              <a:lnTo>
                <a:pt x="69" y="0"/>
              </a:lnTo>
              <a:lnTo>
                <a:pt x="46" y="0"/>
              </a:lnTo>
              <a:lnTo>
                <a:pt x="32" y="0"/>
              </a:lnTo>
              <a:lnTo>
                <a:pt x="22" y="0"/>
              </a:lnTo>
              <a:lnTo>
                <a:pt x="4" y="0"/>
              </a:lnTo>
              <a:lnTo>
                <a:pt x="4" y="1"/>
              </a:lnTo>
              <a:lnTo>
                <a:pt x="19" y="30"/>
              </a:lnTo>
              <a:lnTo>
                <a:pt x="13" y="58"/>
              </a:lnTo>
              <a:lnTo>
                <a:pt x="22" y="66"/>
              </a:lnTo>
              <a:lnTo>
                <a:pt x="34" y="89"/>
              </a:lnTo>
              <a:lnTo>
                <a:pt x="31" y="99"/>
              </a:lnTo>
              <a:lnTo>
                <a:pt x="22" y="107"/>
              </a:lnTo>
              <a:lnTo>
                <a:pt x="22" y="129"/>
              </a:lnTo>
              <a:lnTo>
                <a:pt x="16" y="140"/>
              </a:lnTo>
              <a:lnTo>
                <a:pt x="0" y="188"/>
              </a:lnTo>
              <a:lnTo>
                <a:pt x="22" y="214"/>
              </a:lnTo>
              <a:lnTo>
                <a:pt x="23" y="223"/>
              </a:lnTo>
              <a:lnTo>
                <a:pt x="27" y="237"/>
              </a:lnTo>
              <a:lnTo>
                <a:pt x="33" y="240"/>
              </a:lnTo>
              <a:lnTo>
                <a:pt x="49" y="290"/>
              </a:lnTo>
              <a:lnTo>
                <a:pt x="55" y="296"/>
              </a:lnTo>
              <a:lnTo>
                <a:pt x="54" y="298"/>
              </a:lnTo>
              <a:lnTo>
                <a:pt x="50" y="304"/>
              </a:lnTo>
              <a:lnTo>
                <a:pt x="63" y="325"/>
              </a:lnTo>
              <a:lnTo>
                <a:pt x="65" y="344"/>
              </a:lnTo>
              <a:lnTo>
                <a:pt x="71" y="355"/>
              </a:lnTo>
              <a:lnTo>
                <a:pt x="82" y="355"/>
              </a:lnTo>
              <a:lnTo>
                <a:pt x="91" y="386"/>
              </a:lnTo>
              <a:lnTo>
                <a:pt x="93" y="389"/>
              </a:lnTo>
              <a:lnTo>
                <a:pt x="99" y="414"/>
              </a:lnTo>
              <a:lnTo>
                <a:pt x="94" y="430"/>
              </a:lnTo>
              <a:lnTo>
                <a:pt x="95" y="444"/>
              </a:lnTo>
              <a:lnTo>
                <a:pt x="116" y="464"/>
              </a:lnTo>
              <a:lnTo>
                <a:pt x="117" y="471"/>
              </a:lnTo>
              <a:lnTo>
                <a:pt x="115" y="473"/>
              </a:lnTo>
              <a:lnTo>
                <a:pt x="116" y="480"/>
              </a:lnTo>
              <a:lnTo>
                <a:pt x="128" y="499"/>
              </a:lnTo>
              <a:lnTo>
                <a:pt x="140" y="523"/>
              </a:lnTo>
              <a:lnTo>
                <a:pt x="131" y="532"/>
              </a:lnTo>
              <a:lnTo>
                <a:pt x="130" y="546"/>
              </a:lnTo>
              <a:lnTo>
                <a:pt x="140" y="547"/>
              </a:lnTo>
              <a:lnTo>
                <a:pt x="141" y="551"/>
              </a:lnTo>
              <a:lnTo>
                <a:pt x="139" y="553"/>
              </a:lnTo>
              <a:lnTo>
                <a:pt x="141" y="562"/>
              </a:lnTo>
              <a:lnTo>
                <a:pt x="138" y="577"/>
              </a:lnTo>
              <a:lnTo>
                <a:pt x="139" y="579"/>
              </a:lnTo>
              <a:lnTo>
                <a:pt x="140" y="579"/>
              </a:lnTo>
              <a:lnTo>
                <a:pt x="141" y="591"/>
              </a:lnTo>
              <a:lnTo>
                <a:pt x="152" y="614"/>
              </a:lnTo>
              <a:lnTo>
                <a:pt x="152" y="616"/>
              </a:lnTo>
              <a:lnTo>
                <a:pt x="148" y="621"/>
              </a:lnTo>
              <a:lnTo>
                <a:pt x="147" y="642"/>
              </a:lnTo>
              <a:lnTo>
                <a:pt x="139" y="651"/>
              </a:lnTo>
              <a:lnTo>
                <a:pt x="163" y="684"/>
              </a:lnTo>
              <a:lnTo>
                <a:pt x="160" y="689"/>
              </a:lnTo>
              <a:lnTo>
                <a:pt x="163" y="689"/>
              </a:lnTo>
              <a:lnTo>
                <a:pt x="209" y="690"/>
              </a:lnTo>
              <a:lnTo>
                <a:pt x="233" y="690"/>
              </a:lnTo>
              <a:lnTo>
                <a:pt x="257" y="690"/>
              </a:lnTo>
              <a:lnTo>
                <a:pt x="265" y="691"/>
              </a:lnTo>
              <a:lnTo>
                <a:pt x="304" y="691"/>
              </a:lnTo>
              <a:lnTo>
                <a:pt x="319" y="691"/>
              </a:lnTo>
              <a:lnTo>
                <a:pt x="350" y="693"/>
              </a:lnTo>
              <a:lnTo>
                <a:pt x="372" y="693"/>
              </a:lnTo>
              <a:lnTo>
                <a:pt x="397" y="693"/>
              </a:lnTo>
              <a:lnTo>
                <a:pt x="402" y="693"/>
              </a:lnTo>
              <a:lnTo>
                <a:pt x="444" y="693"/>
              </a:lnTo>
              <a:lnTo>
                <a:pt x="447" y="693"/>
              </a:lnTo>
              <a:lnTo>
                <a:pt x="488" y="693"/>
              </a:lnTo>
              <a:lnTo>
                <a:pt x="490" y="691"/>
              </a:lnTo>
              <a:lnTo>
                <a:pt x="533" y="691"/>
              </a:lnTo>
              <a:lnTo>
                <a:pt x="534" y="690"/>
              </a:lnTo>
              <a:lnTo>
                <a:pt x="537" y="691"/>
              </a:lnTo>
              <a:lnTo>
                <a:pt x="573" y="690"/>
              </a:lnTo>
              <a:lnTo>
                <a:pt x="584" y="690"/>
              </a:lnTo>
              <a:lnTo>
                <a:pt x="595" y="690"/>
              </a:lnTo>
              <a:lnTo>
                <a:pt x="608" y="690"/>
              </a:lnTo>
              <a:lnTo>
                <a:pt x="631" y="690"/>
              </a:lnTo>
              <a:lnTo>
                <a:pt x="659" y="689"/>
              </a:lnTo>
              <a:lnTo>
                <a:pt x="677" y="689"/>
              </a:lnTo>
              <a:lnTo>
                <a:pt x="724" y="688"/>
              </a:lnTo>
              <a:lnTo>
                <a:pt x="731" y="688"/>
              </a:lnTo>
              <a:lnTo>
                <a:pt x="746" y="687"/>
              </a:lnTo>
              <a:lnTo>
                <a:pt x="771" y="687"/>
              </a:lnTo>
              <a:lnTo>
                <a:pt x="799" y="686"/>
              </a:lnTo>
              <a:lnTo>
                <a:pt x="817" y="686"/>
              </a:lnTo>
              <a:lnTo>
                <a:pt x="821" y="686"/>
              </a:lnTo>
              <a:lnTo>
                <a:pt x="831" y="686"/>
              </a:lnTo>
              <a:lnTo>
                <a:pt x="853" y="685"/>
              </a:lnTo>
              <a:lnTo>
                <a:pt x="860" y="685"/>
              </a:lnTo>
              <a:lnTo>
                <a:pt x="875" y="684"/>
              </a:lnTo>
              <a:lnTo>
                <a:pt x="915" y="683"/>
              </a:lnTo>
              <a:lnTo>
                <a:pt x="917" y="685"/>
              </a:lnTo>
              <a:lnTo>
                <a:pt x="918" y="686"/>
              </a:lnTo>
              <a:lnTo>
                <a:pt x="935" y="699"/>
              </a:lnTo>
              <a:lnTo>
                <a:pt x="958" y="732"/>
              </a:lnTo>
              <a:lnTo>
                <a:pt x="974" y="739"/>
              </a:lnTo>
              <a:lnTo>
                <a:pt x="981" y="734"/>
              </a:lnTo>
              <a:lnTo>
                <a:pt x="981" y="690"/>
              </a:lnTo>
              <a:lnTo>
                <a:pt x="1016" y="677"/>
              </a:lnTo>
              <a:lnTo>
                <a:pt x="1025" y="671"/>
              </a:lnTo>
              <a:lnTo>
                <a:pt x="1028" y="670"/>
              </a:lnTo>
              <a:lnTo>
                <a:pt x="1030" y="663"/>
              </a:lnTo>
              <a:lnTo>
                <a:pt x="1031" y="651"/>
              </a:lnTo>
              <a:lnTo>
                <a:pt x="1061" y="591"/>
              </a:lnTo>
              <a:lnTo>
                <a:pt x="1061" y="574"/>
              </a:lnTo>
              <a:lnTo>
                <a:pt x="1052" y="552"/>
              </a:lnTo>
              <a:lnTo>
                <a:pt x="1030" y="532"/>
              </a:lnTo>
              <a:lnTo>
                <a:pt x="1038" y="513"/>
              </a:lnTo>
              <a:lnTo>
                <a:pt x="1040" y="503"/>
              </a:lnTo>
              <a:lnTo>
                <a:pt x="1052" y="490"/>
              </a:lnTo>
              <a:lnTo>
                <a:pt x="1091" y="484"/>
              </a:lnTo>
              <a:lnTo>
                <a:pt x="1145" y="469"/>
              </a:lnTo>
              <a:lnTo>
                <a:pt x="1168" y="455"/>
              </a:lnTo>
              <a:lnTo>
                <a:pt x="1179" y="419"/>
              </a:lnTo>
              <a:lnTo>
                <a:pt x="1182" y="414"/>
              </a:lnTo>
              <a:lnTo>
                <a:pt x="1192" y="407"/>
              </a:lnTo>
              <a:lnTo>
                <a:pt x="1193" y="407"/>
              </a:lnTo>
              <a:lnTo>
                <a:pt x="1207" y="384"/>
              </a:lnTo>
              <a:lnTo>
                <a:pt x="1210" y="371"/>
              </a:lnTo>
              <a:lnTo>
                <a:pt x="1212" y="355"/>
              </a:lnTo>
              <a:lnTo>
                <a:pt x="1212" y="353"/>
              </a:lnTo>
              <a:lnTo>
                <a:pt x="1210" y="347"/>
              </a:lnTo>
              <a:lnTo>
                <a:pt x="1207" y="325"/>
              </a:lnTo>
              <a:lnTo>
                <a:pt x="1187" y="314"/>
              </a:lnTo>
              <a:lnTo>
                <a:pt x="1178" y="309"/>
              </a:lnTo>
              <a:lnTo>
                <a:pt x="1166" y="303"/>
              </a:lnTo>
              <a:lnTo>
                <a:pt x="1161" y="297"/>
              </a:lnTo>
              <a:lnTo>
                <a:pt x="1150" y="264"/>
              </a:lnTo>
              <a:lnTo>
                <a:pt x="1121" y="246"/>
              </a:lnTo>
              <a:lnTo>
                <a:pt x="1117" y="237"/>
              </a:lnTo>
              <a:lnTo>
                <a:pt x="1119" y="236"/>
              </a:lnTo>
              <a:lnTo>
                <a:pt x="1107" y="208"/>
              </a:lnTo>
              <a:lnTo>
                <a:pt x="1098" y="202"/>
              </a:lnTo>
              <a:lnTo>
                <a:pt x="1071" y="196"/>
              </a:lnTo>
              <a:lnTo>
                <a:pt x="1040" y="178"/>
              </a:lnTo>
              <a:lnTo>
                <a:pt x="1036" y="148"/>
              </a:lnTo>
              <a:lnTo>
                <a:pt x="1022" y="122"/>
              </a:lnTo>
              <a:lnTo>
                <a:pt x="1022" y="119"/>
              </a:lnTo>
              <a:lnTo>
                <a:pt x="1019" y="101"/>
              </a:lnTo>
              <a:lnTo>
                <a:pt x="1019" y="100"/>
              </a:lnTo>
              <a:lnTo>
                <a:pt x="1041" y="60"/>
              </a:lnTo>
              <a:lnTo>
                <a:pt x="1014" y="23"/>
              </a:lnTo>
              <a:lnTo>
                <a:pt x="1013" y="19"/>
              </a:lnTo>
              <a:lnTo>
                <a:pt x="1011" y="1"/>
              </a:lnTo>
              <a:lnTo>
                <a:pt x="1011" y="0"/>
              </a:lnTo>
              <a:lnTo>
                <a:pt x="1005" y="0"/>
              </a:lnTo>
              <a:lnTo>
                <a:pt x="991" y="0"/>
              </a:lnTo>
              <a:lnTo>
                <a:pt x="937" y="0"/>
              </a:lnTo>
              <a:lnTo>
                <a:pt x="935" y="0"/>
              </a:lnTo>
              <a:lnTo>
                <a:pt x="915" y="0"/>
              </a:lnTo>
              <a:lnTo>
                <a:pt x="849" y="0"/>
              </a:lnTo>
              <a:lnTo>
                <a:pt x="781" y="0"/>
              </a:lnTo>
              <a:lnTo>
                <a:pt x="761" y="0"/>
              </a:lnTo>
              <a:lnTo>
                <a:pt x="677" y="1"/>
              </a:lnTo>
              <a:lnTo>
                <a:pt x="673" y="1"/>
              </a:lnTo>
              <a:lnTo>
                <a:pt x="669" y="1"/>
              </a:lnTo>
              <a:lnTo>
                <a:pt x="608" y="1"/>
              </a:lnTo>
              <a:lnTo>
                <a:pt x="603" y="1"/>
              </a:lnTo>
              <a:lnTo>
                <a:pt x="584" y="1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endParaRPr lang="en-US" sz="800"/>
        </a:p>
      </xdr:txBody>
    </xdr:sp>
    <xdr:clientData/>
  </xdr:twoCellAnchor>
  <xdr:twoCellAnchor>
    <xdr:from>
      <xdr:col>22</xdr:col>
      <xdr:colOff>566641</xdr:colOff>
      <xdr:row>17</xdr:row>
      <xdr:rowOff>43870</xdr:rowOff>
    </xdr:from>
    <xdr:to>
      <xdr:col>23</xdr:col>
      <xdr:colOff>388248</xdr:colOff>
      <xdr:row>20</xdr:row>
      <xdr:rowOff>85401</xdr:rowOff>
    </xdr:to>
    <xdr:sp macro="" textlink="">
      <xdr:nvSpPr>
        <xdr:cNvPr id="96" name="S_GA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>
          <a:spLocks/>
        </xdr:cNvSpPr>
      </xdr:nvSpPr>
      <xdr:spPr bwMode="auto">
        <a:xfrm>
          <a:off x="3986116" y="3472870"/>
          <a:ext cx="431207" cy="727331"/>
        </a:xfrm>
        <a:custGeom>
          <a:avLst/>
          <a:gdLst>
            <a:gd name="T0" fmla="*/ 2147483647 w 890"/>
            <a:gd name="T1" fmla="*/ 0 h 1095"/>
            <a:gd name="T2" fmla="*/ 2147483647 w 890"/>
            <a:gd name="T3" fmla="*/ 0 h 1095"/>
            <a:gd name="T4" fmla="*/ 2147483647 w 890"/>
            <a:gd name="T5" fmla="*/ 0 h 1095"/>
            <a:gd name="T6" fmla="*/ 2147483647 w 890"/>
            <a:gd name="T7" fmla="*/ 0 h 1095"/>
            <a:gd name="T8" fmla="*/ 2147483647 w 890"/>
            <a:gd name="T9" fmla="*/ 0 h 1095"/>
            <a:gd name="T10" fmla="*/ 2147483647 w 890"/>
            <a:gd name="T11" fmla="*/ 2147483647 h 1095"/>
            <a:gd name="T12" fmla="*/ 2147483647 w 890"/>
            <a:gd name="T13" fmla="*/ 2147483647 h 1095"/>
            <a:gd name="T14" fmla="*/ 2147483647 w 890"/>
            <a:gd name="T15" fmla="*/ 2147483647 h 1095"/>
            <a:gd name="T16" fmla="*/ 2147483647 w 890"/>
            <a:gd name="T17" fmla="*/ 2147483647 h 1095"/>
            <a:gd name="T18" fmla="*/ 2147483647 w 890"/>
            <a:gd name="T19" fmla="*/ 2147483647 h 1095"/>
            <a:gd name="T20" fmla="*/ 2147483647 w 890"/>
            <a:gd name="T21" fmla="*/ 2147483647 h 1095"/>
            <a:gd name="T22" fmla="*/ 2147483647 w 890"/>
            <a:gd name="T23" fmla="*/ 2147483647 h 1095"/>
            <a:gd name="T24" fmla="*/ 2147483647 w 890"/>
            <a:gd name="T25" fmla="*/ 2147483647 h 1095"/>
            <a:gd name="T26" fmla="*/ 2147483647 w 890"/>
            <a:gd name="T27" fmla="*/ 2147483647 h 1095"/>
            <a:gd name="T28" fmla="*/ 2147483647 w 890"/>
            <a:gd name="T29" fmla="*/ 2147483647 h 1095"/>
            <a:gd name="T30" fmla="*/ 2147483647 w 890"/>
            <a:gd name="T31" fmla="*/ 2147483647 h 1095"/>
            <a:gd name="T32" fmla="*/ 2147483647 w 890"/>
            <a:gd name="T33" fmla="*/ 2147483647 h 1095"/>
            <a:gd name="T34" fmla="*/ 2147483647 w 890"/>
            <a:gd name="T35" fmla="*/ 2147483647 h 1095"/>
            <a:gd name="T36" fmla="*/ 2147483647 w 890"/>
            <a:gd name="T37" fmla="*/ 2147483647 h 1095"/>
            <a:gd name="T38" fmla="*/ 2147483647 w 890"/>
            <a:gd name="T39" fmla="*/ 2147483647 h 1095"/>
            <a:gd name="T40" fmla="*/ 2147483647 w 890"/>
            <a:gd name="T41" fmla="*/ 2147483647 h 1095"/>
            <a:gd name="T42" fmla="*/ 2147483647 w 890"/>
            <a:gd name="T43" fmla="*/ 2147483647 h 1095"/>
            <a:gd name="T44" fmla="*/ 2147483647 w 890"/>
            <a:gd name="T45" fmla="*/ 2147483647 h 1095"/>
            <a:gd name="T46" fmla="*/ 2147483647 w 890"/>
            <a:gd name="T47" fmla="*/ 2147483647 h 1095"/>
            <a:gd name="T48" fmla="*/ 2147483647 w 890"/>
            <a:gd name="T49" fmla="*/ 2147483647 h 1095"/>
            <a:gd name="T50" fmla="*/ 2147483647 w 890"/>
            <a:gd name="T51" fmla="*/ 2147483647 h 1095"/>
            <a:gd name="T52" fmla="*/ 2147483647 w 890"/>
            <a:gd name="T53" fmla="*/ 2147483647 h 1095"/>
            <a:gd name="T54" fmla="*/ 2147483647 w 890"/>
            <a:gd name="T55" fmla="*/ 2147483647 h 1095"/>
            <a:gd name="T56" fmla="*/ 2147483647 w 890"/>
            <a:gd name="T57" fmla="*/ 2147483647 h 1095"/>
            <a:gd name="T58" fmla="*/ 2147483647 w 890"/>
            <a:gd name="T59" fmla="*/ 2147483647 h 1095"/>
            <a:gd name="T60" fmla="*/ 2147483647 w 890"/>
            <a:gd name="T61" fmla="*/ 2147483647 h 1095"/>
            <a:gd name="T62" fmla="*/ 2147483647 w 890"/>
            <a:gd name="T63" fmla="*/ 2147483647 h 1095"/>
            <a:gd name="T64" fmla="*/ 2147483647 w 890"/>
            <a:gd name="T65" fmla="*/ 2147483647 h 1095"/>
            <a:gd name="T66" fmla="*/ 2147483647 w 890"/>
            <a:gd name="T67" fmla="*/ 2147483647 h 1095"/>
            <a:gd name="T68" fmla="*/ 2147483647 w 890"/>
            <a:gd name="T69" fmla="*/ 2147483647 h 1095"/>
            <a:gd name="T70" fmla="*/ 2147483647 w 890"/>
            <a:gd name="T71" fmla="*/ 2147483647 h 1095"/>
            <a:gd name="T72" fmla="*/ 2147483647 w 890"/>
            <a:gd name="T73" fmla="*/ 2147483647 h 1095"/>
            <a:gd name="T74" fmla="*/ 2147483647 w 890"/>
            <a:gd name="T75" fmla="*/ 2147483647 h 1095"/>
            <a:gd name="T76" fmla="*/ 2147483647 w 890"/>
            <a:gd name="T77" fmla="*/ 2147483647 h 1095"/>
            <a:gd name="T78" fmla="*/ 2147483647 w 890"/>
            <a:gd name="T79" fmla="*/ 2147483647 h 1095"/>
            <a:gd name="T80" fmla="*/ 2147483647 w 890"/>
            <a:gd name="T81" fmla="*/ 2147483647 h 1095"/>
            <a:gd name="T82" fmla="*/ 2147483647 w 890"/>
            <a:gd name="T83" fmla="*/ 2147483647 h 1095"/>
            <a:gd name="T84" fmla="*/ 2147483647 w 890"/>
            <a:gd name="T85" fmla="*/ 2147483647 h 1095"/>
            <a:gd name="T86" fmla="*/ 2147483647 w 890"/>
            <a:gd name="T87" fmla="*/ 2147483647 h 1095"/>
            <a:gd name="T88" fmla="*/ 2147483647 w 890"/>
            <a:gd name="T89" fmla="*/ 2147483647 h 1095"/>
            <a:gd name="T90" fmla="*/ 2147483647 w 890"/>
            <a:gd name="T91" fmla="*/ 2147483647 h 1095"/>
            <a:gd name="T92" fmla="*/ 2147483647 w 890"/>
            <a:gd name="T93" fmla="*/ 2147483647 h 1095"/>
            <a:gd name="T94" fmla="*/ 2147483647 w 890"/>
            <a:gd name="T95" fmla="*/ 2147483647 h 1095"/>
            <a:gd name="T96" fmla="*/ 2147483647 w 890"/>
            <a:gd name="T97" fmla="*/ 2147483647 h 1095"/>
            <a:gd name="T98" fmla="*/ 2147483647 w 890"/>
            <a:gd name="T99" fmla="*/ 2147483647 h 1095"/>
            <a:gd name="T100" fmla="*/ 2147483647 w 890"/>
            <a:gd name="T101" fmla="*/ 2147483647 h 1095"/>
            <a:gd name="T102" fmla="*/ 2147483647 w 890"/>
            <a:gd name="T103" fmla="*/ 2147483647 h 1095"/>
            <a:gd name="T104" fmla="*/ 2147483647 w 890"/>
            <a:gd name="T105" fmla="*/ 2147483647 h 1095"/>
            <a:gd name="T106" fmla="*/ 2147483647 w 890"/>
            <a:gd name="T107" fmla="*/ 2147483647 h 1095"/>
            <a:gd name="T108" fmla="*/ 2147483647 w 890"/>
            <a:gd name="T109" fmla="*/ 2147483647 h 1095"/>
            <a:gd name="T110" fmla="*/ 2147483647 w 890"/>
            <a:gd name="T111" fmla="*/ 0 h 1095"/>
            <a:gd name="T112" fmla="*/ 2147483647 w 890"/>
            <a:gd name="T113" fmla="*/ 0 h 1095"/>
            <a:gd name="T114" fmla="*/ 2147483647 w 890"/>
            <a:gd name="T115" fmla="*/ 0 h 1095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w 890"/>
            <a:gd name="T175" fmla="*/ 0 h 1095"/>
            <a:gd name="T176" fmla="*/ 890 w 890"/>
            <a:gd name="T177" fmla="*/ 1095 h 1095"/>
          </a:gdLst>
          <a:ahLst/>
          <a:cxnLst>
            <a:cxn ang="T116">
              <a:pos x="T0" y="T1"/>
            </a:cxn>
            <a:cxn ang="T117">
              <a:pos x="T2" y="T3"/>
            </a:cxn>
            <a:cxn ang="T118">
              <a:pos x="T4" y="T5"/>
            </a:cxn>
            <a:cxn ang="T119">
              <a:pos x="T6" y="T7"/>
            </a:cxn>
            <a:cxn ang="T120">
              <a:pos x="T8" y="T9"/>
            </a:cxn>
            <a:cxn ang="T121">
              <a:pos x="T10" y="T11"/>
            </a:cxn>
            <a:cxn ang="T122">
              <a:pos x="T12" y="T13"/>
            </a:cxn>
            <a:cxn ang="T123">
              <a:pos x="T14" y="T15"/>
            </a:cxn>
            <a:cxn ang="T124">
              <a:pos x="T16" y="T17"/>
            </a:cxn>
            <a:cxn ang="T125">
              <a:pos x="T18" y="T19"/>
            </a:cxn>
            <a:cxn ang="T126">
              <a:pos x="T20" y="T21"/>
            </a:cxn>
            <a:cxn ang="T127">
              <a:pos x="T22" y="T23"/>
            </a:cxn>
            <a:cxn ang="T128">
              <a:pos x="T24" y="T25"/>
            </a:cxn>
            <a:cxn ang="T129">
              <a:pos x="T26" y="T27"/>
            </a:cxn>
            <a:cxn ang="T130">
              <a:pos x="T28" y="T29"/>
            </a:cxn>
            <a:cxn ang="T131">
              <a:pos x="T30" y="T31"/>
            </a:cxn>
            <a:cxn ang="T132">
              <a:pos x="T32" y="T33"/>
            </a:cxn>
            <a:cxn ang="T133">
              <a:pos x="T34" y="T35"/>
            </a:cxn>
            <a:cxn ang="T134">
              <a:pos x="T36" y="T37"/>
            </a:cxn>
            <a:cxn ang="T135">
              <a:pos x="T38" y="T39"/>
            </a:cxn>
            <a:cxn ang="T136">
              <a:pos x="T40" y="T41"/>
            </a:cxn>
            <a:cxn ang="T137">
              <a:pos x="T42" y="T43"/>
            </a:cxn>
            <a:cxn ang="T138">
              <a:pos x="T44" y="T45"/>
            </a:cxn>
            <a:cxn ang="T139">
              <a:pos x="T46" y="T47"/>
            </a:cxn>
            <a:cxn ang="T140">
              <a:pos x="T48" y="T49"/>
            </a:cxn>
            <a:cxn ang="T141">
              <a:pos x="T50" y="T51"/>
            </a:cxn>
            <a:cxn ang="T142">
              <a:pos x="T52" y="T53"/>
            </a:cxn>
            <a:cxn ang="T143">
              <a:pos x="T54" y="T55"/>
            </a:cxn>
            <a:cxn ang="T144">
              <a:pos x="T56" y="T57"/>
            </a:cxn>
            <a:cxn ang="T145">
              <a:pos x="T58" y="T59"/>
            </a:cxn>
            <a:cxn ang="T146">
              <a:pos x="T60" y="T61"/>
            </a:cxn>
            <a:cxn ang="T147">
              <a:pos x="T62" y="T63"/>
            </a:cxn>
            <a:cxn ang="T148">
              <a:pos x="T64" y="T65"/>
            </a:cxn>
            <a:cxn ang="T149">
              <a:pos x="T66" y="T67"/>
            </a:cxn>
            <a:cxn ang="T150">
              <a:pos x="T68" y="T69"/>
            </a:cxn>
            <a:cxn ang="T151">
              <a:pos x="T70" y="T71"/>
            </a:cxn>
            <a:cxn ang="T152">
              <a:pos x="T72" y="T73"/>
            </a:cxn>
            <a:cxn ang="T153">
              <a:pos x="T74" y="T75"/>
            </a:cxn>
            <a:cxn ang="T154">
              <a:pos x="T76" y="T77"/>
            </a:cxn>
            <a:cxn ang="T155">
              <a:pos x="T78" y="T79"/>
            </a:cxn>
            <a:cxn ang="T156">
              <a:pos x="T80" y="T81"/>
            </a:cxn>
            <a:cxn ang="T157">
              <a:pos x="T82" y="T83"/>
            </a:cxn>
            <a:cxn ang="T158">
              <a:pos x="T84" y="T85"/>
            </a:cxn>
            <a:cxn ang="T159">
              <a:pos x="T86" y="T87"/>
            </a:cxn>
            <a:cxn ang="T160">
              <a:pos x="T88" y="T89"/>
            </a:cxn>
            <a:cxn ang="T161">
              <a:pos x="T90" y="T91"/>
            </a:cxn>
            <a:cxn ang="T162">
              <a:pos x="T92" y="T93"/>
            </a:cxn>
            <a:cxn ang="T163">
              <a:pos x="T94" y="T95"/>
            </a:cxn>
            <a:cxn ang="T164">
              <a:pos x="T96" y="T97"/>
            </a:cxn>
            <a:cxn ang="T165">
              <a:pos x="T98" y="T99"/>
            </a:cxn>
            <a:cxn ang="T166">
              <a:pos x="T100" y="T101"/>
            </a:cxn>
            <a:cxn ang="T167">
              <a:pos x="T102" y="T103"/>
            </a:cxn>
            <a:cxn ang="T168">
              <a:pos x="T104" y="T105"/>
            </a:cxn>
            <a:cxn ang="T169">
              <a:pos x="T106" y="T107"/>
            </a:cxn>
            <a:cxn ang="T170">
              <a:pos x="T108" y="T109"/>
            </a:cxn>
            <a:cxn ang="T171">
              <a:pos x="T110" y="T111"/>
            </a:cxn>
            <a:cxn ang="T172">
              <a:pos x="T112" y="T113"/>
            </a:cxn>
            <a:cxn ang="T173">
              <a:pos x="T114" y="T115"/>
            </a:cxn>
          </a:cxnLst>
          <a:rect l="T174" t="T175" r="T176" b="T177"/>
          <a:pathLst>
            <a:path w="890" h="1095">
              <a:moveTo>
                <a:pt x="149" y="2"/>
              </a:moveTo>
              <a:lnTo>
                <a:pt x="155" y="2"/>
              </a:lnTo>
              <a:lnTo>
                <a:pt x="159" y="2"/>
              </a:lnTo>
              <a:lnTo>
                <a:pt x="167" y="2"/>
              </a:lnTo>
              <a:lnTo>
                <a:pt x="184" y="2"/>
              </a:lnTo>
              <a:lnTo>
                <a:pt x="210" y="2"/>
              </a:lnTo>
              <a:lnTo>
                <a:pt x="230" y="2"/>
              </a:lnTo>
              <a:lnTo>
                <a:pt x="240" y="2"/>
              </a:lnTo>
              <a:lnTo>
                <a:pt x="254" y="2"/>
              </a:lnTo>
              <a:lnTo>
                <a:pt x="276" y="3"/>
              </a:lnTo>
              <a:lnTo>
                <a:pt x="299" y="3"/>
              </a:lnTo>
              <a:lnTo>
                <a:pt x="309" y="3"/>
              </a:lnTo>
              <a:lnTo>
                <a:pt x="311" y="3"/>
              </a:lnTo>
              <a:lnTo>
                <a:pt x="371" y="3"/>
              </a:lnTo>
              <a:lnTo>
                <a:pt x="371" y="1"/>
              </a:lnTo>
              <a:lnTo>
                <a:pt x="384" y="1"/>
              </a:lnTo>
              <a:lnTo>
                <a:pt x="394" y="1"/>
              </a:lnTo>
              <a:lnTo>
                <a:pt x="397" y="1"/>
              </a:lnTo>
              <a:lnTo>
                <a:pt x="427" y="1"/>
              </a:lnTo>
              <a:lnTo>
                <a:pt x="455" y="0"/>
              </a:lnTo>
              <a:lnTo>
                <a:pt x="467" y="0"/>
              </a:lnTo>
              <a:lnTo>
                <a:pt x="463" y="15"/>
              </a:lnTo>
              <a:lnTo>
                <a:pt x="440" y="34"/>
              </a:lnTo>
              <a:lnTo>
                <a:pt x="421" y="66"/>
              </a:lnTo>
              <a:lnTo>
                <a:pt x="421" y="67"/>
              </a:lnTo>
              <a:lnTo>
                <a:pt x="424" y="74"/>
              </a:lnTo>
              <a:lnTo>
                <a:pt x="442" y="89"/>
              </a:lnTo>
              <a:lnTo>
                <a:pt x="463" y="104"/>
              </a:lnTo>
              <a:lnTo>
                <a:pt x="468" y="109"/>
              </a:lnTo>
              <a:lnTo>
                <a:pt x="477" y="118"/>
              </a:lnTo>
              <a:lnTo>
                <a:pt x="477" y="119"/>
              </a:lnTo>
              <a:lnTo>
                <a:pt x="480" y="122"/>
              </a:lnTo>
              <a:lnTo>
                <a:pt x="488" y="124"/>
              </a:lnTo>
              <a:lnTo>
                <a:pt x="488" y="123"/>
              </a:lnTo>
              <a:lnTo>
                <a:pt x="510" y="126"/>
              </a:lnTo>
              <a:lnTo>
                <a:pt x="518" y="148"/>
              </a:lnTo>
              <a:lnTo>
                <a:pt x="530" y="168"/>
              </a:lnTo>
              <a:lnTo>
                <a:pt x="534" y="172"/>
              </a:lnTo>
              <a:lnTo>
                <a:pt x="535" y="177"/>
              </a:lnTo>
              <a:lnTo>
                <a:pt x="535" y="186"/>
              </a:lnTo>
              <a:lnTo>
                <a:pt x="548" y="206"/>
              </a:lnTo>
              <a:lnTo>
                <a:pt x="558" y="221"/>
              </a:lnTo>
              <a:lnTo>
                <a:pt x="563" y="232"/>
              </a:lnTo>
              <a:lnTo>
                <a:pt x="563" y="234"/>
              </a:lnTo>
              <a:lnTo>
                <a:pt x="564" y="235"/>
              </a:lnTo>
              <a:lnTo>
                <a:pt x="568" y="246"/>
              </a:lnTo>
              <a:lnTo>
                <a:pt x="604" y="272"/>
              </a:lnTo>
              <a:lnTo>
                <a:pt x="627" y="294"/>
              </a:lnTo>
              <a:lnTo>
                <a:pt x="634" y="310"/>
              </a:lnTo>
              <a:lnTo>
                <a:pt x="639" y="324"/>
              </a:lnTo>
              <a:lnTo>
                <a:pt x="651" y="333"/>
              </a:lnTo>
              <a:lnTo>
                <a:pt x="653" y="331"/>
              </a:lnTo>
              <a:lnTo>
                <a:pt x="668" y="342"/>
              </a:lnTo>
              <a:lnTo>
                <a:pt x="668" y="343"/>
              </a:lnTo>
              <a:lnTo>
                <a:pt x="669" y="343"/>
              </a:lnTo>
              <a:lnTo>
                <a:pt x="670" y="345"/>
              </a:lnTo>
              <a:lnTo>
                <a:pt x="688" y="383"/>
              </a:lnTo>
              <a:lnTo>
                <a:pt x="698" y="398"/>
              </a:lnTo>
              <a:lnTo>
                <a:pt x="702" y="414"/>
              </a:lnTo>
              <a:lnTo>
                <a:pt x="719" y="425"/>
              </a:lnTo>
              <a:lnTo>
                <a:pt x="721" y="438"/>
              </a:lnTo>
              <a:lnTo>
                <a:pt x="727" y="443"/>
              </a:lnTo>
              <a:lnTo>
                <a:pt x="746" y="449"/>
              </a:lnTo>
              <a:lnTo>
                <a:pt x="760" y="461"/>
              </a:lnTo>
              <a:lnTo>
                <a:pt x="769" y="470"/>
              </a:lnTo>
              <a:lnTo>
                <a:pt x="767" y="488"/>
              </a:lnTo>
              <a:lnTo>
                <a:pt x="785" y="533"/>
              </a:lnTo>
              <a:lnTo>
                <a:pt x="783" y="561"/>
              </a:lnTo>
              <a:lnTo>
                <a:pt x="789" y="568"/>
              </a:lnTo>
              <a:lnTo>
                <a:pt x="791" y="569"/>
              </a:lnTo>
              <a:lnTo>
                <a:pt x="791" y="568"/>
              </a:lnTo>
              <a:lnTo>
                <a:pt x="808" y="577"/>
              </a:lnTo>
              <a:lnTo>
                <a:pt x="838" y="636"/>
              </a:lnTo>
              <a:lnTo>
                <a:pt x="834" y="650"/>
              </a:lnTo>
              <a:lnTo>
                <a:pt x="834" y="655"/>
              </a:lnTo>
              <a:lnTo>
                <a:pt x="839" y="680"/>
              </a:lnTo>
              <a:lnTo>
                <a:pt x="861" y="685"/>
              </a:lnTo>
              <a:lnTo>
                <a:pt x="881" y="697"/>
              </a:lnTo>
              <a:lnTo>
                <a:pt x="889" y="699"/>
              </a:lnTo>
              <a:lnTo>
                <a:pt x="890" y="710"/>
              </a:lnTo>
              <a:lnTo>
                <a:pt x="861" y="742"/>
              </a:lnTo>
              <a:lnTo>
                <a:pt x="850" y="738"/>
              </a:lnTo>
              <a:lnTo>
                <a:pt x="854" y="752"/>
              </a:lnTo>
              <a:lnTo>
                <a:pt x="837" y="774"/>
              </a:lnTo>
              <a:lnTo>
                <a:pt x="833" y="772"/>
              </a:lnTo>
              <a:lnTo>
                <a:pt x="830" y="772"/>
              </a:lnTo>
              <a:lnTo>
                <a:pt x="826" y="775"/>
              </a:lnTo>
              <a:lnTo>
                <a:pt x="836" y="779"/>
              </a:lnTo>
              <a:lnTo>
                <a:pt x="837" y="797"/>
              </a:lnTo>
              <a:lnTo>
                <a:pt x="828" y="813"/>
              </a:lnTo>
              <a:lnTo>
                <a:pt x="825" y="810"/>
              </a:lnTo>
              <a:lnTo>
                <a:pt x="812" y="814"/>
              </a:lnTo>
              <a:lnTo>
                <a:pt x="814" y="820"/>
              </a:lnTo>
              <a:lnTo>
                <a:pt x="828" y="822"/>
              </a:lnTo>
              <a:lnTo>
                <a:pt x="811" y="854"/>
              </a:lnTo>
              <a:lnTo>
                <a:pt x="806" y="856"/>
              </a:lnTo>
              <a:lnTo>
                <a:pt x="809" y="875"/>
              </a:lnTo>
              <a:lnTo>
                <a:pt x="812" y="882"/>
              </a:lnTo>
              <a:lnTo>
                <a:pt x="791" y="911"/>
              </a:lnTo>
              <a:lnTo>
                <a:pt x="778" y="915"/>
              </a:lnTo>
              <a:lnTo>
                <a:pt x="784" y="916"/>
              </a:lnTo>
              <a:lnTo>
                <a:pt x="779" y="942"/>
              </a:lnTo>
              <a:lnTo>
                <a:pt x="775" y="945"/>
              </a:lnTo>
              <a:lnTo>
                <a:pt x="784" y="950"/>
              </a:lnTo>
              <a:lnTo>
                <a:pt x="777" y="1012"/>
              </a:lnTo>
              <a:lnTo>
                <a:pt x="724" y="1004"/>
              </a:lnTo>
              <a:lnTo>
                <a:pt x="698" y="992"/>
              </a:lnTo>
              <a:lnTo>
                <a:pt x="691" y="986"/>
              </a:lnTo>
              <a:lnTo>
                <a:pt x="667" y="1004"/>
              </a:lnTo>
              <a:lnTo>
                <a:pt x="671" y="1063"/>
              </a:lnTo>
              <a:lnTo>
                <a:pt x="665" y="1095"/>
              </a:lnTo>
              <a:lnTo>
                <a:pt x="640" y="1093"/>
              </a:lnTo>
              <a:lnTo>
                <a:pt x="635" y="1063"/>
              </a:lnTo>
              <a:lnTo>
                <a:pt x="634" y="1047"/>
              </a:lnTo>
              <a:lnTo>
                <a:pt x="627" y="1046"/>
              </a:lnTo>
              <a:lnTo>
                <a:pt x="604" y="1044"/>
              </a:lnTo>
              <a:lnTo>
                <a:pt x="596" y="1043"/>
              </a:lnTo>
              <a:lnTo>
                <a:pt x="589" y="1042"/>
              </a:lnTo>
              <a:lnTo>
                <a:pt x="580" y="1042"/>
              </a:lnTo>
              <a:lnTo>
                <a:pt x="565" y="1041"/>
              </a:lnTo>
              <a:lnTo>
                <a:pt x="549" y="1040"/>
              </a:lnTo>
              <a:lnTo>
                <a:pt x="545" y="1039"/>
              </a:lnTo>
              <a:lnTo>
                <a:pt x="534" y="1039"/>
              </a:lnTo>
              <a:lnTo>
                <a:pt x="510" y="1037"/>
              </a:lnTo>
              <a:lnTo>
                <a:pt x="461" y="1034"/>
              </a:lnTo>
              <a:lnTo>
                <a:pt x="451" y="1033"/>
              </a:lnTo>
              <a:lnTo>
                <a:pt x="440" y="1032"/>
              </a:lnTo>
              <a:lnTo>
                <a:pt x="429" y="1031"/>
              </a:lnTo>
              <a:lnTo>
                <a:pt x="423" y="1031"/>
              </a:lnTo>
              <a:lnTo>
                <a:pt x="421" y="1031"/>
              </a:lnTo>
              <a:lnTo>
                <a:pt x="414" y="1030"/>
              </a:lnTo>
              <a:lnTo>
                <a:pt x="394" y="1028"/>
              </a:lnTo>
              <a:lnTo>
                <a:pt x="372" y="1027"/>
              </a:lnTo>
              <a:lnTo>
                <a:pt x="366" y="1026"/>
              </a:lnTo>
              <a:lnTo>
                <a:pt x="360" y="1026"/>
              </a:lnTo>
              <a:lnTo>
                <a:pt x="348" y="1025"/>
              </a:lnTo>
              <a:lnTo>
                <a:pt x="323" y="1024"/>
              </a:lnTo>
              <a:lnTo>
                <a:pt x="310" y="1023"/>
              </a:lnTo>
              <a:lnTo>
                <a:pt x="299" y="1022"/>
              </a:lnTo>
              <a:lnTo>
                <a:pt x="296" y="1022"/>
              </a:lnTo>
              <a:lnTo>
                <a:pt x="290" y="1022"/>
              </a:lnTo>
              <a:lnTo>
                <a:pt x="285" y="1021"/>
              </a:lnTo>
              <a:lnTo>
                <a:pt x="263" y="1020"/>
              </a:lnTo>
              <a:lnTo>
                <a:pt x="253" y="1019"/>
              </a:lnTo>
              <a:lnTo>
                <a:pt x="247" y="1019"/>
              </a:lnTo>
              <a:lnTo>
                <a:pt x="241" y="1019"/>
              </a:lnTo>
              <a:lnTo>
                <a:pt x="230" y="1018"/>
              </a:lnTo>
              <a:lnTo>
                <a:pt x="229" y="1018"/>
              </a:lnTo>
              <a:lnTo>
                <a:pt x="211" y="1018"/>
              </a:lnTo>
              <a:lnTo>
                <a:pt x="180" y="1015"/>
              </a:lnTo>
              <a:lnTo>
                <a:pt x="138" y="1012"/>
              </a:lnTo>
              <a:lnTo>
                <a:pt x="136" y="1009"/>
              </a:lnTo>
              <a:lnTo>
                <a:pt x="112" y="951"/>
              </a:lnTo>
              <a:lnTo>
                <a:pt x="112" y="945"/>
              </a:lnTo>
              <a:lnTo>
                <a:pt x="112" y="943"/>
              </a:lnTo>
              <a:lnTo>
                <a:pt x="113" y="942"/>
              </a:lnTo>
              <a:lnTo>
                <a:pt x="107" y="927"/>
              </a:lnTo>
              <a:lnTo>
                <a:pt x="103" y="915"/>
              </a:lnTo>
              <a:lnTo>
                <a:pt x="93" y="885"/>
              </a:lnTo>
              <a:lnTo>
                <a:pt x="96" y="872"/>
              </a:lnTo>
              <a:lnTo>
                <a:pt x="96" y="856"/>
              </a:lnTo>
              <a:lnTo>
                <a:pt x="103" y="826"/>
              </a:lnTo>
              <a:lnTo>
                <a:pt x="105" y="823"/>
              </a:lnTo>
              <a:lnTo>
                <a:pt x="101" y="797"/>
              </a:lnTo>
              <a:lnTo>
                <a:pt x="90" y="781"/>
              </a:lnTo>
              <a:lnTo>
                <a:pt x="89" y="764"/>
              </a:lnTo>
              <a:lnTo>
                <a:pt x="90" y="763"/>
              </a:lnTo>
              <a:lnTo>
                <a:pt x="89" y="763"/>
              </a:lnTo>
              <a:lnTo>
                <a:pt x="87" y="760"/>
              </a:lnTo>
              <a:lnTo>
                <a:pt x="89" y="738"/>
              </a:lnTo>
              <a:lnTo>
                <a:pt x="90" y="734"/>
              </a:lnTo>
              <a:lnTo>
                <a:pt x="101" y="711"/>
              </a:lnTo>
              <a:lnTo>
                <a:pt x="101" y="708"/>
              </a:lnTo>
              <a:lnTo>
                <a:pt x="103" y="693"/>
              </a:lnTo>
              <a:lnTo>
                <a:pt x="102" y="678"/>
              </a:lnTo>
              <a:lnTo>
                <a:pt x="112" y="666"/>
              </a:lnTo>
              <a:lnTo>
                <a:pt x="127" y="654"/>
              </a:lnTo>
              <a:lnTo>
                <a:pt x="131" y="650"/>
              </a:lnTo>
              <a:lnTo>
                <a:pt x="112" y="632"/>
              </a:lnTo>
              <a:lnTo>
                <a:pt x="118" y="620"/>
              </a:lnTo>
              <a:lnTo>
                <a:pt x="113" y="591"/>
              </a:lnTo>
              <a:lnTo>
                <a:pt x="112" y="589"/>
              </a:lnTo>
              <a:lnTo>
                <a:pt x="112" y="587"/>
              </a:lnTo>
              <a:lnTo>
                <a:pt x="97" y="565"/>
              </a:lnTo>
              <a:lnTo>
                <a:pt x="94" y="559"/>
              </a:lnTo>
              <a:lnTo>
                <a:pt x="90" y="533"/>
              </a:lnTo>
              <a:lnTo>
                <a:pt x="88" y="532"/>
              </a:lnTo>
              <a:lnTo>
                <a:pt x="87" y="531"/>
              </a:lnTo>
              <a:lnTo>
                <a:pt x="90" y="524"/>
              </a:lnTo>
              <a:lnTo>
                <a:pt x="78" y="503"/>
              </a:lnTo>
              <a:lnTo>
                <a:pt x="75" y="483"/>
              </a:lnTo>
              <a:lnTo>
                <a:pt x="74" y="474"/>
              </a:lnTo>
              <a:lnTo>
                <a:pt x="70" y="446"/>
              </a:lnTo>
              <a:lnTo>
                <a:pt x="68" y="443"/>
              </a:lnTo>
              <a:lnTo>
                <a:pt x="68" y="442"/>
              </a:lnTo>
              <a:lnTo>
                <a:pt x="65" y="422"/>
              </a:lnTo>
              <a:lnTo>
                <a:pt x="60" y="383"/>
              </a:lnTo>
              <a:lnTo>
                <a:pt x="58" y="371"/>
              </a:lnTo>
              <a:lnTo>
                <a:pt x="56" y="358"/>
              </a:lnTo>
              <a:lnTo>
                <a:pt x="56" y="354"/>
              </a:lnTo>
              <a:lnTo>
                <a:pt x="50" y="324"/>
              </a:lnTo>
              <a:lnTo>
                <a:pt x="49" y="318"/>
              </a:lnTo>
              <a:lnTo>
                <a:pt x="43" y="273"/>
              </a:lnTo>
              <a:lnTo>
                <a:pt x="42" y="270"/>
              </a:lnTo>
              <a:lnTo>
                <a:pt x="41" y="259"/>
              </a:lnTo>
              <a:lnTo>
                <a:pt x="38" y="244"/>
              </a:lnTo>
              <a:lnTo>
                <a:pt x="37" y="235"/>
              </a:lnTo>
              <a:lnTo>
                <a:pt x="36" y="229"/>
              </a:lnTo>
              <a:lnTo>
                <a:pt x="34" y="217"/>
              </a:lnTo>
              <a:lnTo>
                <a:pt x="31" y="197"/>
              </a:lnTo>
              <a:lnTo>
                <a:pt x="29" y="182"/>
              </a:lnTo>
              <a:lnTo>
                <a:pt x="27" y="168"/>
              </a:lnTo>
              <a:lnTo>
                <a:pt x="21" y="140"/>
              </a:lnTo>
              <a:lnTo>
                <a:pt x="19" y="126"/>
              </a:lnTo>
              <a:lnTo>
                <a:pt x="17" y="112"/>
              </a:lnTo>
              <a:lnTo>
                <a:pt x="14" y="97"/>
              </a:lnTo>
              <a:lnTo>
                <a:pt x="13" y="89"/>
              </a:lnTo>
              <a:lnTo>
                <a:pt x="7" y="59"/>
              </a:lnTo>
              <a:lnTo>
                <a:pt x="5" y="42"/>
              </a:lnTo>
              <a:lnTo>
                <a:pt x="4" y="33"/>
              </a:lnTo>
              <a:lnTo>
                <a:pt x="3" y="29"/>
              </a:lnTo>
              <a:lnTo>
                <a:pt x="0" y="3"/>
              </a:lnTo>
              <a:lnTo>
                <a:pt x="19" y="3"/>
              </a:lnTo>
              <a:lnTo>
                <a:pt x="25" y="4"/>
              </a:lnTo>
              <a:lnTo>
                <a:pt x="43" y="3"/>
              </a:lnTo>
              <a:lnTo>
                <a:pt x="45" y="3"/>
              </a:lnTo>
              <a:lnTo>
                <a:pt x="55" y="3"/>
              </a:lnTo>
              <a:lnTo>
                <a:pt x="63" y="3"/>
              </a:lnTo>
              <a:lnTo>
                <a:pt x="66" y="3"/>
              </a:lnTo>
              <a:lnTo>
                <a:pt x="67" y="3"/>
              </a:lnTo>
              <a:lnTo>
                <a:pt x="117" y="2"/>
              </a:lnTo>
              <a:lnTo>
                <a:pt x="118" y="2"/>
              </a:lnTo>
              <a:lnTo>
                <a:pt x="128" y="2"/>
              </a:lnTo>
              <a:lnTo>
                <a:pt x="142" y="3"/>
              </a:lnTo>
              <a:lnTo>
                <a:pt x="149" y="2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pPr algn="ctr"/>
          <a:endParaRPr lang="en-US" sz="800" b="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22</xdr:col>
      <xdr:colOff>381541</xdr:colOff>
      <xdr:row>19</xdr:row>
      <xdr:rowOff>185428</xdr:rowOff>
    </xdr:from>
    <xdr:to>
      <xdr:col>23</xdr:col>
      <xdr:colOff>456437</xdr:colOff>
      <xdr:row>24</xdr:row>
      <xdr:rowOff>130969</xdr:rowOff>
    </xdr:to>
    <xdr:grpSp>
      <xdr:nvGrpSpPr>
        <xdr:cNvPr id="97" name="S_FL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GrpSpPr>
          <a:grpSpLocks/>
        </xdr:cNvGrpSpPr>
      </xdr:nvGrpSpPr>
      <xdr:grpSpPr bwMode="auto">
        <a:xfrm>
          <a:off x="13828600" y="3804928"/>
          <a:ext cx="680013" cy="898041"/>
          <a:chOff x="6034432" y="3741130"/>
          <a:chExt cx="1084020" cy="1134589"/>
        </a:xfrm>
      </xdr:grpSpPr>
      <xdr:sp macro="" textlink="">
        <xdr:nvSpPr>
          <xdr:cNvPr id="98" name="S_FL7">
            <a:extLst>
              <a:ext uri="{FF2B5EF4-FFF2-40B4-BE49-F238E27FC236}">
                <a16:creationId xmlns:a16="http://schemas.microsoft.com/office/drawing/2014/main" id="{00000000-0008-0000-0400-000062000000}"/>
              </a:ext>
            </a:extLst>
          </xdr:cNvPr>
          <xdr:cNvSpPr>
            <a:spLocks/>
          </xdr:cNvSpPr>
        </xdr:nvSpPr>
        <xdr:spPr bwMode="auto">
          <a:xfrm>
            <a:off x="6034432" y="3741130"/>
            <a:ext cx="1084020" cy="1066555"/>
          </a:xfrm>
          <a:custGeom>
            <a:avLst/>
            <a:gdLst>
              <a:gd name="T0" fmla="*/ 2147483647 w 1420"/>
              <a:gd name="T1" fmla="*/ 2147483647 h 1443"/>
              <a:gd name="T2" fmla="*/ 2147483647 w 1420"/>
              <a:gd name="T3" fmla="*/ 2147483647 h 1443"/>
              <a:gd name="T4" fmla="*/ 2147483647 w 1420"/>
              <a:gd name="T5" fmla="*/ 2147483647 h 1443"/>
              <a:gd name="T6" fmla="*/ 2147483647 w 1420"/>
              <a:gd name="T7" fmla="*/ 2147483647 h 1443"/>
              <a:gd name="T8" fmla="*/ 2147483647 w 1420"/>
              <a:gd name="T9" fmla="*/ 2147483647 h 1443"/>
              <a:gd name="T10" fmla="*/ 2147483647 w 1420"/>
              <a:gd name="T11" fmla="*/ 2147483647 h 1443"/>
              <a:gd name="T12" fmla="*/ 2147483647 w 1420"/>
              <a:gd name="T13" fmla="*/ 2147483647 h 1443"/>
              <a:gd name="T14" fmla="*/ 2147483647 w 1420"/>
              <a:gd name="T15" fmla="*/ 2147483647 h 1443"/>
              <a:gd name="T16" fmla="*/ 2147483647 w 1420"/>
              <a:gd name="T17" fmla="*/ 2147483647 h 1443"/>
              <a:gd name="T18" fmla="*/ 2147483647 w 1420"/>
              <a:gd name="T19" fmla="*/ 2147483647 h 1443"/>
              <a:gd name="T20" fmla="*/ 2147483647 w 1420"/>
              <a:gd name="T21" fmla="*/ 2147483647 h 1443"/>
              <a:gd name="T22" fmla="*/ 2147483647 w 1420"/>
              <a:gd name="T23" fmla="*/ 2147483647 h 1443"/>
              <a:gd name="T24" fmla="*/ 2147483647 w 1420"/>
              <a:gd name="T25" fmla="*/ 2147483647 h 1443"/>
              <a:gd name="T26" fmla="*/ 2147483647 w 1420"/>
              <a:gd name="T27" fmla="*/ 2147483647 h 1443"/>
              <a:gd name="T28" fmla="*/ 2147483647 w 1420"/>
              <a:gd name="T29" fmla="*/ 2147483647 h 1443"/>
              <a:gd name="T30" fmla="*/ 2147483647 w 1420"/>
              <a:gd name="T31" fmla="*/ 2147483647 h 1443"/>
              <a:gd name="T32" fmla="*/ 2147483647 w 1420"/>
              <a:gd name="T33" fmla="*/ 2147483647 h 1443"/>
              <a:gd name="T34" fmla="*/ 2147483647 w 1420"/>
              <a:gd name="T35" fmla="*/ 2147483647 h 1443"/>
              <a:gd name="T36" fmla="*/ 2147483647 w 1420"/>
              <a:gd name="T37" fmla="*/ 2147483647 h 1443"/>
              <a:gd name="T38" fmla="*/ 2147483647 w 1420"/>
              <a:gd name="T39" fmla="*/ 2147483647 h 1443"/>
              <a:gd name="T40" fmla="*/ 2147483647 w 1420"/>
              <a:gd name="T41" fmla="*/ 2147483647 h 1443"/>
              <a:gd name="T42" fmla="*/ 2147483647 w 1420"/>
              <a:gd name="T43" fmla="*/ 2147483647 h 1443"/>
              <a:gd name="T44" fmla="*/ 2147483647 w 1420"/>
              <a:gd name="T45" fmla="*/ 2147483647 h 1443"/>
              <a:gd name="T46" fmla="*/ 2147483647 w 1420"/>
              <a:gd name="T47" fmla="*/ 2147483647 h 1443"/>
              <a:gd name="T48" fmla="*/ 2147483647 w 1420"/>
              <a:gd name="T49" fmla="*/ 2147483647 h 1443"/>
              <a:gd name="T50" fmla="*/ 2147483647 w 1420"/>
              <a:gd name="T51" fmla="*/ 2147483647 h 1443"/>
              <a:gd name="T52" fmla="*/ 2147483647 w 1420"/>
              <a:gd name="T53" fmla="*/ 2147483647 h 1443"/>
              <a:gd name="T54" fmla="*/ 2147483647 w 1420"/>
              <a:gd name="T55" fmla="*/ 2147483647 h 1443"/>
              <a:gd name="T56" fmla="*/ 2147483647 w 1420"/>
              <a:gd name="T57" fmla="*/ 2147483647 h 1443"/>
              <a:gd name="T58" fmla="*/ 2147483647 w 1420"/>
              <a:gd name="T59" fmla="*/ 2147483647 h 1443"/>
              <a:gd name="T60" fmla="*/ 2147483647 w 1420"/>
              <a:gd name="T61" fmla="*/ 2147483647 h 1443"/>
              <a:gd name="T62" fmla="*/ 2147483647 w 1420"/>
              <a:gd name="T63" fmla="*/ 2147483647 h 1443"/>
              <a:gd name="T64" fmla="*/ 2147483647 w 1420"/>
              <a:gd name="T65" fmla="*/ 2147483647 h 1443"/>
              <a:gd name="T66" fmla="*/ 2147483647 w 1420"/>
              <a:gd name="T67" fmla="*/ 2147483647 h 1443"/>
              <a:gd name="T68" fmla="*/ 2147483647 w 1420"/>
              <a:gd name="T69" fmla="*/ 2147483647 h 1443"/>
              <a:gd name="T70" fmla="*/ 2147483647 w 1420"/>
              <a:gd name="T71" fmla="*/ 2147483647 h 1443"/>
              <a:gd name="T72" fmla="*/ 2147483647 w 1420"/>
              <a:gd name="T73" fmla="*/ 2147483647 h 1443"/>
              <a:gd name="T74" fmla="*/ 2147483647 w 1420"/>
              <a:gd name="T75" fmla="*/ 2147483647 h 1443"/>
              <a:gd name="T76" fmla="*/ 2147483647 w 1420"/>
              <a:gd name="T77" fmla="*/ 2147483647 h 1443"/>
              <a:gd name="T78" fmla="*/ 2147483647 w 1420"/>
              <a:gd name="T79" fmla="*/ 2147483647 h 1443"/>
              <a:gd name="T80" fmla="*/ 2147483647 w 1420"/>
              <a:gd name="T81" fmla="*/ 2147483647 h 1443"/>
              <a:gd name="T82" fmla="*/ 2147483647 w 1420"/>
              <a:gd name="T83" fmla="*/ 2147483647 h 1443"/>
              <a:gd name="T84" fmla="*/ 2147483647 w 1420"/>
              <a:gd name="T85" fmla="*/ 2147483647 h 1443"/>
              <a:gd name="T86" fmla="*/ 2147483647 w 1420"/>
              <a:gd name="T87" fmla="*/ 2147483647 h 1443"/>
              <a:gd name="T88" fmla="*/ 2147483647 w 1420"/>
              <a:gd name="T89" fmla="*/ 2147483647 h 1443"/>
              <a:gd name="T90" fmla="*/ 2147483647 w 1420"/>
              <a:gd name="T91" fmla="*/ 0 h 1443"/>
              <a:gd name="T92" fmla="*/ 2147483647 w 1420"/>
              <a:gd name="T93" fmla="*/ 0 h 1443"/>
              <a:gd name="T94" fmla="*/ 2147483647 w 1420"/>
              <a:gd name="T95" fmla="*/ 0 h 1443"/>
              <a:gd name="T96" fmla="*/ 2147483647 w 1420"/>
              <a:gd name="T97" fmla="*/ 0 h 1443"/>
              <a:gd name="T98" fmla="*/ 2147483647 w 1420"/>
              <a:gd name="T99" fmla="*/ 0 h 1443"/>
              <a:gd name="T100" fmla="*/ 2147483647 w 1420"/>
              <a:gd name="T101" fmla="*/ 0 h 1443"/>
              <a:gd name="T102" fmla="*/ 2147483647 w 1420"/>
              <a:gd name="T103" fmla="*/ 0 h 1443"/>
              <a:gd name="T104" fmla="*/ 2147483647 w 1420"/>
              <a:gd name="T105" fmla="*/ 2147483647 h 1443"/>
              <a:gd name="T106" fmla="*/ 2147483647 w 1420"/>
              <a:gd name="T107" fmla="*/ 2147483647 h 1443"/>
              <a:gd name="T108" fmla="*/ 2147483647 w 1420"/>
              <a:gd name="T109" fmla="*/ 2147483647 h 1443"/>
              <a:gd name="T110" fmla="*/ 2147483647 w 1420"/>
              <a:gd name="T111" fmla="*/ 2147483647 h 1443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420"/>
              <a:gd name="T169" fmla="*/ 0 h 1443"/>
              <a:gd name="T170" fmla="*/ 1420 w 1420"/>
              <a:gd name="T171" fmla="*/ 1443 h 1443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420" h="1443">
                <a:moveTo>
                  <a:pt x="304" y="173"/>
                </a:moveTo>
                <a:lnTo>
                  <a:pt x="374" y="218"/>
                </a:lnTo>
                <a:lnTo>
                  <a:pt x="397" y="245"/>
                </a:lnTo>
                <a:lnTo>
                  <a:pt x="419" y="255"/>
                </a:lnTo>
                <a:lnTo>
                  <a:pt x="421" y="306"/>
                </a:lnTo>
                <a:lnTo>
                  <a:pt x="418" y="266"/>
                </a:lnTo>
                <a:lnTo>
                  <a:pt x="421" y="311"/>
                </a:lnTo>
                <a:lnTo>
                  <a:pt x="449" y="312"/>
                </a:lnTo>
                <a:lnTo>
                  <a:pt x="468" y="324"/>
                </a:lnTo>
                <a:lnTo>
                  <a:pt x="468" y="304"/>
                </a:lnTo>
                <a:lnTo>
                  <a:pt x="490" y="305"/>
                </a:lnTo>
                <a:lnTo>
                  <a:pt x="513" y="292"/>
                </a:lnTo>
                <a:lnTo>
                  <a:pt x="506" y="300"/>
                </a:lnTo>
                <a:lnTo>
                  <a:pt x="583" y="257"/>
                </a:lnTo>
                <a:lnTo>
                  <a:pt x="608" y="262"/>
                </a:lnTo>
                <a:lnTo>
                  <a:pt x="611" y="244"/>
                </a:lnTo>
                <a:lnTo>
                  <a:pt x="610" y="237"/>
                </a:lnTo>
                <a:lnTo>
                  <a:pt x="632" y="217"/>
                </a:lnTo>
                <a:lnTo>
                  <a:pt x="664" y="214"/>
                </a:lnTo>
                <a:lnTo>
                  <a:pt x="678" y="217"/>
                </a:lnTo>
                <a:lnTo>
                  <a:pt x="680" y="218"/>
                </a:lnTo>
                <a:lnTo>
                  <a:pt x="746" y="266"/>
                </a:lnTo>
                <a:lnTo>
                  <a:pt x="756" y="294"/>
                </a:lnTo>
                <a:lnTo>
                  <a:pt x="786" y="317"/>
                </a:lnTo>
                <a:lnTo>
                  <a:pt x="795" y="357"/>
                </a:lnTo>
                <a:lnTo>
                  <a:pt x="817" y="371"/>
                </a:lnTo>
                <a:lnTo>
                  <a:pt x="834" y="405"/>
                </a:lnTo>
                <a:lnTo>
                  <a:pt x="850" y="414"/>
                </a:lnTo>
                <a:lnTo>
                  <a:pt x="848" y="444"/>
                </a:lnTo>
                <a:lnTo>
                  <a:pt x="861" y="444"/>
                </a:lnTo>
                <a:lnTo>
                  <a:pt x="865" y="437"/>
                </a:lnTo>
                <a:lnTo>
                  <a:pt x="888" y="435"/>
                </a:lnTo>
                <a:lnTo>
                  <a:pt x="901" y="444"/>
                </a:lnTo>
                <a:lnTo>
                  <a:pt x="909" y="476"/>
                </a:lnTo>
                <a:lnTo>
                  <a:pt x="924" y="498"/>
                </a:lnTo>
                <a:lnTo>
                  <a:pt x="910" y="520"/>
                </a:lnTo>
                <a:lnTo>
                  <a:pt x="922" y="532"/>
                </a:lnTo>
                <a:lnTo>
                  <a:pt x="917" y="540"/>
                </a:lnTo>
                <a:lnTo>
                  <a:pt x="926" y="546"/>
                </a:lnTo>
                <a:lnTo>
                  <a:pt x="927" y="548"/>
                </a:lnTo>
                <a:lnTo>
                  <a:pt x="925" y="607"/>
                </a:lnTo>
                <a:lnTo>
                  <a:pt x="909" y="652"/>
                </a:lnTo>
                <a:lnTo>
                  <a:pt x="901" y="669"/>
                </a:lnTo>
                <a:lnTo>
                  <a:pt x="906" y="679"/>
                </a:lnTo>
                <a:lnTo>
                  <a:pt x="896" y="687"/>
                </a:lnTo>
                <a:lnTo>
                  <a:pt x="893" y="738"/>
                </a:lnTo>
                <a:lnTo>
                  <a:pt x="909" y="768"/>
                </a:lnTo>
                <a:lnTo>
                  <a:pt x="912" y="794"/>
                </a:lnTo>
                <a:lnTo>
                  <a:pt x="918" y="799"/>
                </a:lnTo>
                <a:lnTo>
                  <a:pt x="934" y="770"/>
                </a:lnTo>
                <a:lnTo>
                  <a:pt x="940" y="738"/>
                </a:lnTo>
                <a:lnTo>
                  <a:pt x="936" y="731"/>
                </a:lnTo>
                <a:lnTo>
                  <a:pt x="917" y="722"/>
                </a:lnTo>
                <a:lnTo>
                  <a:pt x="930" y="717"/>
                </a:lnTo>
                <a:lnTo>
                  <a:pt x="958" y="751"/>
                </a:lnTo>
                <a:lnTo>
                  <a:pt x="961" y="738"/>
                </a:lnTo>
                <a:lnTo>
                  <a:pt x="976" y="738"/>
                </a:lnTo>
                <a:lnTo>
                  <a:pt x="948" y="793"/>
                </a:lnTo>
                <a:lnTo>
                  <a:pt x="936" y="807"/>
                </a:lnTo>
                <a:lnTo>
                  <a:pt x="936" y="813"/>
                </a:lnTo>
                <a:lnTo>
                  <a:pt x="912" y="819"/>
                </a:lnTo>
                <a:lnTo>
                  <a:pt x="932" y="854"/>
                </a:lnTo>
                <a:lnTo>
                  <a:pt x="952" y="886"/>
                </a:lnTo>
                <a:lnTo>
                  <a:pt x="982" y="959"/>
                </a:lnTo>
                <a:lnTo>
                  <a:pt x="991" y="975"/>
                </a:lnTo>
                <a:lnTo>
                  <a:pt x="1001" y="995"/>
                </a:lnTo>
                <a:lnTo>
                  <a:pt x="1017" y="1064"/>
                </a:lnTo>
                <a:lnTo>
                  <a:pt x="1029" y="1079"/>
                </a:lnTo>
                <a:lnTo>
                  <a:pt x="1049" y="1074"/>
                </a:lnTo>
                <a:lnTo>
                  <a:pt x="1052" y="1067"/>
                </a:lnTo>
                <a:lnTo>
                  <a:pt x="1081" y="1103"/>
                </a:lnTo>
                <a:lnTo>
                  <a:pt x="1089" y="1153"/>
                </a:lnTo>
                <a:lnTo>
                  <a:pt x="1112" y="1219"/>
                </a:lnTo>
                <a:lnTo>
                  <a:pt x="1113" y="1211"/>
                </a:lnTo>
                <a:lnTo>
                  <a:pt x="1122" y="1208"/>
                </a:lnTo>
                <a:lnTo>
                  <a:pt x="1152" y="1229"/>
                </a:lnTo>
                <a:lnTo>
                  <a:pt x="1165" y="1234"/>
                </a:lnTo>
                <a:lnTo>
                  <a:pt x="1192" y="1271"/>
                </a:lnTo>
                <a:lnTo>
                  <a:pt x="1216" y="1338"/>
                </a:lnTo>
                <a:lnTo>
                  <a:pt x="1211" y="1341"/>
                </a:lnTo>
                <a:lnTo>
                  <a:pt x="1207" y="1365"/>
                </a:lnTo>
                <a:lnTo>
                  <a:pt x="1222" y="1390"/>
                </a:lnTo>
                <a:lnTo>
                  <a:pt x="1238" y="1389"/>
                </a:lnTo>
                <a:lnTo>
                  <a:pt x="1265" y="1376"/>
                </a:lnTo>
                <a:lnTo>
                  <a:pt x="1277" y="1379"/>
                </a:lnTo>
                <a:lnTo>
                  <a:pt x="1276" y="1385"/>
                </a:lnTo>
                <a:lnTo>
                  <a:pt x="1294" y="1385"/>
                </a:lnTo>
                <a:lnTo>
                  <a:pt x="1284" y="1409"/>
                </a:lnTo>
                <a:lnTo>
                  <a:pt x="1291" y="1418"/>
                </a:lnTo>
                <a:lnTo>
                  <a:pt x="1305" y="1413"/>
                </a:lnTo>
                <a:lnTo>
                  <a:pt x="1304" y="1384"/>
                </a:lnTo>
                <a:lnTo>
                  <a:pt x="1309" y="1372"/>
                </a:lnTo>
                <a:lnTo>
                  <a:pt x="1311" y="1376"/>
                </a:lnTo>
                <a:lnTo>
                  <a:pt x="1335" y="1369"/>
                </a:lnTo>
                <a:lnTo>
                  <a:pt x="1333" y="1408"/>
                </a:lnTo>
                <a:lnTo>
                  <a:pt x="1321" y="1416"/>
                </a:lnTo>
                <a:lnTo>
                  <a:pt x="1323" y="1421"/>
                </a:lnTo>
                <a:lnTo>
                  <a:pt x="1303" y="1443"/>
                </a:lnTo>
                <a:lnTo>
                  <a:pt x="1320" y="1429"/>
                </a:lnTo>
                <a:lnTo>
                  <a:pt x="1356" y="1386"/>
                </a:lnTo>
                <a:lnTo>
                  <a:pt x="1380" y="1338"/>
                </a:lnTo>
                <a:lnTo>
                  <a:pt x="1393" y="1300"/>
                </a:lnTo>
                <a:lnTo>
                  <a:pt x="1394" y="1296"/>
                </a:lnTo>
                <a:lnTo>
                  <a:pt x="1376" y="1334"/>
                </a:lnTo>
                <a:lnTo>
                  <a:pt x="1356" y="1345"/>
                </a:lnTo>
                <a:lnTo>
                  <a:pt x="1368" y="1330"/>
                </a:lnTo>
                <a:lnTo>
                  <a:pt x="1363" y="1300"/>
                </a:lnTo>
                <a:lnTo>
                  <a:pt x="1380" y="1255"/>
                </a:lnTo>
                <a:lnTo>
                  <a:pt x="1394" y="1250"/>
                </a:lnTo>
                <a:lnTo>
                  <a:pt x="1397" y="1261"/>
                </a:lnTo>
                <a:lnTo>
                  <a:pt x="1404" y="1188"/>
                </a:lnTo>
                <a:lnTo>
                  <a:pt x="1404" y="1181"/>
                </a:lnTo>
                <a:lnTo>
                  <a:pt x="1412" y="1106"/>
                </a:lnTo>
                <a:lnTo>
                  <a:pt x="1420" y="995"/>
                </a:lnTo>
                <a:lnTo>
                  <a:pt x="1411" y="952"/>
                </a:lnTo>
                <a:lnTo>
                  <a:pt x="1389" y="884"/>
                </a:lnTo>
                <a:lnTo>
                  <a:pt x="1366" y="814"/>
                </a:lnTo>
                <a:lnTo>
                  <a:pt x="1342" y="743"/>
                </a:lnTo>
                <a:lnTo>
                  <a:pt x="1319" y="679"/>
                </a:lnTo>
                <a:lnTo>
                  <a:pt x="1313" y="627"/>
                </a:lnTo>
                <a:lnTo>
                  <a:pt x="1324" y="591"/>
                </a:lnTo>
                <a:lnTo>
                  <a:pt x="1289" y="522"/>
                </a:lnTo>
                <a:lnTo>
                  <a:pt x="1243" y="432"/>
                </a:lnTo>
                <a:lnTo>
                  <a:pt x="1221" y="377"/>
                </a:lnTo>
                <a:lnTo>
                  <a:pt x="1220" y="372"/>
                </a:lnTo>
                <a:lnTo>
                  <a:pt x="1199" y="315"/>
                </a:lnTo>
                <a:lnTo>
                  <a:pt x="1197" y="315"/>
                </a:lnTo>
                <a:lnTo>
                  <a:pt x="1193" y="296"/>
                </a:lnTo>
                <a:lnTo>
                  <a:pt x="1186" y="259"/>
                </a:lnTo>
                <a:lnTo>
                  <a:pt x="1168" y="178"/>
                </a:lnTo>
                <a:lnTo>
                  <a:pt x="1160" y="120"/>
                </a:lnTo>
                <a:lnTo>
                  <a:pt x="1156" y="119"/>
                </a:lnTo>
                <a:lnTo>
                  <a:pt x="1157" y="117"/>
                </a:lnTo>
                <a:lnTo>
                  <a:pt x="1156" y="71"/>
                </a:lnTo>
                <a:lnTo>
                  <a:pt x="1155" y="69"/>
                </a:lnTo>
                <a:lnTo>
                  <a:pt x="1155" y="68"/>
                </a:lnTo>
                <a:lnTo>
                  <a:pt x="1102" y="60"/>
                </a:lnTo>
                <a:lnTo>
                  <a:pt x="1076" y="48"/>
                </a:lnTo>
                <a:lnTo>
                  <a:pt x="1069" y="42"/>
                </a:lnTo>
                <a:lnTo>
                  <a:pt x="1045" y="60"/>
                </a:lnTo>
                <a:lnTo>
                  <a:pt x="1049" y="119"/>
                </a:lnTo>
                <a:lnTo>
                  <a:pt x="1043" y="151"/>
                </a:lnTo>
                <a:lnTo>
                  <a:pt x="1018" y="149"/>
                </a:lnTo>
                <a:lnTo>
                  <a:pt x="1013" y="119"/>
                </a:lnTo>
                <a:lnTo>
                  <a:pt x="1012" y="103"/>
                </a:lnTo>
                <a:lnTo>
                  <a:pt x="1005" y="102"/>
                </a:lnTo>
                <a:lnTo>
                  <a:pt x="982" y="100"/>
                </a:lnTo>
                <a:lnTo>
                  <a:pt x="974" y="99"/>
                </a:lnTo>
                <a:lnTo>
                  <a:pt x="967" y="98"/>
                </a:lnTo>
                <a:lnTo>
                  <a:pt x="958" y="98"/>
                </a:lnTo>
                <a:lnTo>
                  <a:pt x="943" y="97"/>
                </a:lnTo>
                <a:lnTo>
                  <a:pt x="927" y="96"/>
                </a:lnTo>
                <a:lnTo>
                  <a:pt x="923" y="95"/>
                </a:lnTo>
                <a:lnTo>
                  <a:pt x="912" y="95"/>
                </a:lnTo>
                <a:lnTo>
                  <a:pt x="888" y="93"/>
                </a:lnTo>
                <a:lnTo>
                  <a:pt x="839" y="90"/>
                </a:lnTo>
                <a:lnTo>
                  <a:pt x="829" y="89"/>
                </a:lnTo>
                <a:lnTo>
                  <a:pt x="818" y="88"/>
                </a:lnTo>
                <a:lnTo>
                  <a:pt x="807" y="87"/>
                </a:lnTo>
                <a:lnTo>
                  <a:pt x="801" y="87"/>
                </a:lnTo>
                <a:lnTo>
                  <a:pt x="799" y="87"/>
                </a:lnTo>
                <a:lnTo>
                  <a:pt x="792" y="86"/>
                </a:lnTo>
                <a:lnTo>
                  <a:pt x="772" y="84"/>
                </a:lnTo>
                <a:lnTo>
                  <a:pt x="750" y="83"/>
                </a:lnTo>
                <a:lnTo>
                  <a:pt x="744" y="82"/>
                </a:lnTo>
                <a:lnTo>
                  <a:pt x="738" y="82"/>
                </a:lnTo>
                <a:lnTo>
                  <a:pt x="726" y="81"/>
                </a:lnTo>
                <a:lnTo>
                  <a:pt x="701" y="80"/>
                </a:lnTo>
                <a:lnTo>
                  <a:pt x="688" y="79"/>
                </a:lnTo>
                <a:lnTo>
                  <a:pt x="677" y="78"/>
                </a:lnTo>
                <a:lnTo>
                  <a:pt x="674" y="78"/>
                </a:lnTo>
                <a:lnTo>
                  <a:pt x="668" y="78"/>
                </a:lnTo>
                <a:lnTo>
                  <a:pt x="663" y="77"/>
                </a:lnTo>
                <a:lnTo>
                  <a:pt x="641" y="76"/>
                </a:lnTo>
                <a:lnTo>
                  <a:pt x="631" y="75"/>
                </a:lnTo>
                <a:lnTo>
                  <a:pt x="625" y="75"/>
                </a:lnTo>
                <a:lnTo>
                  <a:pt x="619" y="75"/>
                </a:lnTo>
                <a:lnTo>
                  <a:pt x="608" y="74"/>
                </a:lnTo>
                <a:lnTo>
                  <a:pt x="607" y="74"/>
                </a:lnTo>
                <a:lnTo>
                  <a:pt x="589" y="74"/>
                </a:lnTo>
                <a:lnTo>
                  <a:pt x="558" y="71"/>
                </a:lnTo>
                <a:lnTo>
                  <a:pt x="516" y="68"/>
                </a:lnTo>
                <a:lnTo>
                  <a:pt x="514" y="65"/>
                </a:lnTo>
                <a:lnTo>
                  <a:pt x="490" y="7"/>
                </a:lnTo>
                <a:lnTo>
                  <a:pt x="490" y="1"/>
                </a:lnTo>
                <a:lnTo>
                  <a:pt x="461" y="0"/>
                </a:lnTo>
                <a:lnTo>
                  <a:pt x="444" y="1"/>
                </a:lnTo>
                <a:lnTo>
                  <a:pt x="399" y="1"/>
                </a:lnTo>
                <a:lnTo>
                  <a:pt x="397" y="1"/>
                </a:lnTo>
                <a:lnTo>
                  <a:pt x="347" y="2"/>
                </a:lnTo>
                <a:lnTo>
                  <a:pt x="314" y="2"/>
                </a:lnTo>
                <a:lnTo>
                  <a:pt x="298" y="2"/>
                </a:lnTo>
                <a:lnTo>
                  <a:pt x="281" y="2"/>
                </a:lnTo>
                <a:lnTo>
                  <a:pt x="273" y="2"/>
                </a:lnTo>
                <a:lnTo>
                  <a:pt x="269" y="2"/>
                </a:lnTo>
                <a:lnTo>
                  <a:pt x="257" y="2"/>
                </a:lnTo>
                <a:lnTo>
                  <a:pt x="233" y="2"/>
                </a:lnTo>
                <a:lnTo>
                  <a:pt x="231" y="2"/>
                </a:lnTo>
                <a:lnTo>
                  <a:pt x="203" y="2"/>
                </a:lnTo>
                <a:lnTo>
                  <a:pt x="198" y="2"/>
                </a:lnTo>
                <a:lnTo>
                  <a:pt x="175" y="2"/>
                </a:lnTo>
                <a:lnTo>
                  <a:pt x="171" y="2"/>
                </a:lnTo>
                <a:lnTo>
                  <a:pt x="169" y="1"/>
                </a:lnTo>
                <a:lnTo>
                  <a:pt x="156" y="1"/>
                </a:lnTo>
                <a:lnTo>
                  <a:pt x="117" y="1"/>
                </a:lnTo>
                <a:lnTo>
                  <a:pt x="91" y="1"/>
                </a:lnTo>
                <a:lnTo>
                  <a:pt x="87" y="1"/>
                </a:lnTo>
                <a:lnTo>
                  <a:pt x="73" y="2"/>
                </a:lnTo>
                <a:lnTo>
                  <a:pt x="69" y="1"/>
                </a:lnTo>
                <a:lnTo>
                  <a:pt x="4" y="1"/>
                </a:lnTo>
                <a:lnTo>
                  <a:pt x="0" y="37"/>
                </a:lnTo>
                <a:lnTo>
                  <a:pt x="43" y="89"/>
                </a:lnTo>
                <a:lnTo>
                  <a:pt x="35" y="119"/>
                </a:lnTo>
                <a:lnTo>
                  <a:pt x="46" y="130"/>
                </a:lnTo>
                <a:lnTo>
                  <a:pt x="14" y="172"/>
                </a:lnTo>
                <a:lnTo>
                  <a:pt x="46" y="165"/>
                </a:lnTo>
                <a:lnTo>
                  <a:pt x="46" y="164"/>
                </a:lnTo>
                <a:lnTo>
                  <a:pt x="145" y="147"/>
                </a:lnTo>
                <a:lnTo>
                  <a:pt x="154" y="145"/>
                </a:lnTo>
                <a:lnTo>
                  <a:pt x="209" y="147"/>
                </a:lnTo>
                <a:lnTo>
                  <a:pt x="229" y="148"/>
                </a:lnTo>
                <a:lnTo>
                  <a:pt x="231" y="148"/>
                </a:lnTo>
                <a:lnTo>
                  <a:pt x="233" y="148"/>
                </a:lnTo>
                <a:lnTo>
                  <a:pt x="304" y="173"/>
                </a:lnTo>
                <a:close/>
              </a:path>
            </a:pathLst>
          </a:custGeom>
          <a:solidFill>
            <a:srgbClr val="FFFFFF"/>
          </a:solidFill>
          <a:ln>
            <a:solidFill>
              <a:schemeClr val="bg1">
                <a:lumMod val="85000"/>
              </a:schemeClr>
            </a:solidFill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</xdr:sp>
      <xdr:sp macro="" textlink="">
        <xdr:nvSpPr>
          <xdr:cNvPr id="99" name="S_FL6">
            <a:extLst>
              <a:ext uri="{FF2B5EF4-FFF2-40B4-BE49-F238E27FC236}">
                <a16:creationId xmlns:a16="http://schemas.microsoft.com/office/drawing/2014/main" id="{00000000-0008-0000-0400-000063000000}"/>
              </a:ext>
            </a:extLst>
          </xdr:cNvPr>
          <xdr:cNvSpPr>
            <a:spLocks/>
          </xdr:cNvSpPr>
        </xdr:nvSpPr>
        <xdr:spPr bwMode="auto">
          <a:xfrm>
            <a:off x="6868294" y="4832186"/>
            <a:ext cx="68225" cy="43533"/>
          </a:xfrm>
          <a:custGeom>
            <a:avLst/>
            <a:gdLst>
              <a:gd name="T0" fmla="*/ 0 w 96"/>
              <a:gd name="T1" fmla="*/ 2147483647 h 60"/>
              <a:gd name="T2" fmla="*/ 2147483647 w 96"/>
              <a:gd name="T3" fmla="*/ 2147483647 h 60"/>
              <a:gd name="T4" fmla="*/ 2147483647 w 96"/>
              <a:gd name="T5" fmla="*/ 2147483647 h 60"/>
              <a:gd name="T6" fmla="*/ 2147483647 w 96"/>
              <a:gd name="T7" fmla="*/ 2147483647 h 60"/>
              <a:gd name="T8" fmla="*/ 2147483647 w 96"/>
              <a:gd name="T9" fmla="*/ 2147483647 h 60"/>
              <a:gd name="T10" fmla="*/ 2147483647 w 96"/>
              <a:gd name="T11" fmla="*/ 2147483647 h 60"/>
              <a:gd name="T12" fmla="*/ 2147483647 w 96"/>
              <a:gd name="T13" fmla="*/ 0 h 60"/>
              <a:gd name="T14" fmla="*/ 2147483647 w 96"/>
              <a:gd name="T15" fmla="*/ 2147483647 h 60"/>
              <a:gd name="T16" fmla="*/ 2147483647 w 96"/>
              <a:gd name="T17" fmla="*/ 2147483647 h 60"/>
              <a:gd name="T18" fmla="*/ 2147483647 w 96"/>
              <a:gd name="T19" fmla="*/ 2147483647 h 60"/>
              <a:gd name="T20" fmla="*/ 2147483647 w 96"/>
              <a:gd name="T21" fmla="*/ 2147483647 h 60"/>
              <a:gd name="T22" fmla="*/ 2147483647 w 96"/>
              <a:gd name="T23" fmla="*/ 2147483647 h 60"/>
              <a:gd name="T24" fmla="*/ 0 w 96"/>
              <a:gd name="T25" fmla="*/ 2147483647 h 60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w 96"/>
              <a:gd name="T40" fmla="*/ 0 h 60"/>
              <a:gd name="T41" fmla="*/ 96 w 96"/>
              <a:gd name="T42" fmla="*/ 60 h 60"/>
            </a:gdLst>
            <a:ahLst/>
            <a:cxnLst>
              <a:cxn ang="T26">
                <a:pos x="T0" y="T1"/>
              </a:cxn>
              <a:cxn ang="T27">
                <a:pos x="T2" y="T3"/>
              </a:cxn>
              <a:cxn ang="T28">
                <a:pos x="T4" y="T5"/>
              </a:cxn>
              <a:cxn ang="T29">
                <a:pos x="T6" y="T7"/>
              </a:cxn>
              <a:cxn ang="T30">
                <a:pos x="T8" y="T9"/>
              </a:cxn>
              <a:cxn ang="T31">
                <a:pos x="T10" y="T11"/>
              </a:cxn>
              <a:cxn ang="T32">
                <a:pos x="T12" y="T13"/>
              </a:cxn>
              <a:cxn ang="T33">
                <a:pos x="T14" y="T15"/>
              </a:cxn>
              <a:cxn ang="T34">
                <a:pos x="T16" y="T17"/>
              </a:cxn>
              <a:cxn ang="T35">
                <a:pos x="T18" y="T19"/>
              </a:cxn>
              <a:cxn ang="T36">
                <a:pos x="T20" y="T21"/>
              </a:cxn>
              <a:cxn ang="T37">
                <a:pos x="T22" y="T23"/>
              </a:cxn>
              <a:cxn ang="T38">
                <a:pos x="T24" y="T25"/>
              </a:cxn>
            </a:cxnLst>
            <a:rect l="T39" t="T40" r="T41" b="T42"/>
            <a:pathLst>
              <a:path w="96" h="60">
                <a:moveTo>
                  <a:pt x="0" y="60"/>
                </a:moveTo>
                <a:lnTo>
                  <a:pt x="54" y="42"/>
                </a:lnTo>
                <a:lnTo>
                  <a:pt x="57" y="31"/>
                </a:lnTo>
                <a:lnTo>
                  <a:pt x="78" y="41"/>
                </a:lnTo>
                <a:lnTo>
                  <a:pt x="96" y="33"/>
                </a:lnTo>
                <a:lnTo>
                  <a:pt x="81" y="13"/>
                </a:lnTo>
                <a:lnTo>
                  <a:pt x="59" y="0"/>
                </a:lnTo>
                <a:lnTo>
                  <a:pt x="58" y="16"/>
                </a:lnTo>
                <a:lnTo>
                  <a:pt x="53" y="23"/>
                </a:lnTo>
                <a:lnTo>
                  <a:pt x="40" y="15"/>
                </a:lnTo>
                <a:lnTo>
                  <a:pt x="11" y="32"/>
                </a:lnTo>
                <a:lnTo>
                  <a:pt x="11" y="51"/>
                </a:lnTo>
                <a:lnTo>
                  <a:pt x="0" y="60"/>
                </a:lnTo>
                <a:close/>
              </a:path>
            </a:pathLst>
          </a:custGeom>
          <a:solidFill>
            <a:srgbClr val="FFFFFF"/>
          </a:solidFill>
          <a:ln>
            <a:solidFill>
              <a:schemeClr val="bg1">
                <a:lumMod val="85000"/>
              </a:schemeClr>
            </a:solidFill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</xdr:sp>
      <xdr:sp macro="" textlink="">
        <xdr:nvSpPr>
          <xdr:cNvPr id="100" name="S_FL5">
            <a:extLst>
              <a:ext uri="{FF2B5EF4-FFF2-40B4-BE49-F238E27FC236}">
                <a16:creationId xmlns:a16="http://schemas.microsoft.com/office/drawing/2014/main" id="{00000000-0008-0000-0400-000064000000}"/>
              </a:ext>
            </a:extLst>
          </xdr:cNvPr>
          <xdr:cNvSpPr>
            <a:spLocks/>
          </xdr:cNvSpPr>
        </xdr:nvSpPr>
        <xdr:spPr bwMode="auto">
          <a:xfrm>
            <a:off x="6959260" y="4839442"/>
            <a:ext cx="37903" cy="14511"/>
          </a:xfrm>
          <a:custGeom>
            <a:avLst/>
            <a:gdLst>
              <a:gd name="T0" fmla="*/ 0 w 45"/>
              <a:gd name="T1" fmla="*/ 2147483647 h 25"/>
              <a:gd name="T2" fmla="*/ 0 w 45"/>
              <a:gd name="T3" fmla="*/ 2147483647 h 25"/>
              <a:gd name="T4" fmla="*/ 2147483647 w 45"/>
              <a:gd name="T5" fmla="*/ 0 h 25"/>
              <a:gd name="T6" fmla="*/ 2147483647 w 45"/>
              <a:gd name="T7" fmla="*/ 2147483647 h 25"/>
              <a:gd name="T8" fmla="*/ 0 w 45"/>
              <a:gd name="T9" fmla="*/ 2147483647 h 25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45"/>
              <a:gd name="T16" fmla="*/ 0 h 25"/>
              <a:gd name="T17" fmla="*/ 45 w 45"/>
              <a:gd name="T18" fmla="*/ 25 h 25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45" h="25">
                <a:moveTo>
                  <a:pt x="0" y="20"/>
                </a:moveTo>
                <a:lnTo>
                  <a:pt x="3" y="25"/>
                </a:lnTo>
                <a:lnTo>
                  <a:pt x="45" y="0"/>
                </a:lnTo>
                <a:lnTo>
                  <a:pt x="26" y="10"/>
                </a:lnTo>
                <a:lnTo>
                  <a:pt x="0" y="20"/>
                </a:lnTo>
                <a:close/>
              </a:path>
            </a:pathLst>
          </a:custGeom>
          <a:solidFill>
            <a:srgbClr val="FFFFFF"/>
          </a:solidFill>
          <a:ln>
            <a:solidFill>
              <a:schemeClr val="bg1">
                <a:lumMod val="85000"/>
              </a:schemeClr>
            </a:solidFill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</xdr:sp>
      <xdr:sp macro="" textlink="">
        <xdr:nvSpPr>
          <xdr:cNvPr id="101" name="S_FL4">
            <a:extLst>
              <a:ext uri="{FF2B5EF4-FFF2-40B4-BE49-F238E27FC236}">
                <a16:creationId xmlns:a16="http://schemas.microsoft.com/office/drawing/2014/main" id="{00000000-0008-0000-0400-000065000000}"/>
              </a:ext>
            </a:extLst>
          </xdr:cNvPr>
          <xdr:cNvSpPr>
            <a:spLocks/>
          </xdr:cNvSpPr>
        </xdr:nvSpPr>
        <xdr:spPr bwMode="auto">
          <a:xfrm>
            <a:off x="7004744" y="4824931"/>
            <a:ext cx="7581" cy="7255"/>
          </a:xfrm>
          <a:custGeom>
            <a:avLst/>
            <a:gdLst>
              <a:gd name="T0" fmla="*/ 0 w 12"/>
              <a:gd name="T1" fmla="*/ 2147483647 h 10"/>
              <a:gd name="T2" fmla="*/ 2147483647 w 12"/>
              <a:gd name="T3" fmla="*/ 0 h 10"/>
              <a:gd name="T4" fmla="*/ 2147483647 w 12"/>
              <a:gd name="T5" fmla="*/ 2147483647 h 10"/>
              <a:gd name="T6" fmla="*/ 0 w 12"/>
              <a:gd name="T7" fmla="*/ 2147483647 h 10"/>
              <a:gd name="T8" fmla="*/ 0 60000 65536"/>
              <a:gd name="T9" fmla="*/ 0 60000 65536"/>
              <a:gd name="T10" fmla="*/ 0 60000 65536"/>
              <a:gd name="T11" fmla="*/ 0 60000 65536"/>
              <a:gd name="T12" fmla="*/ 0 w 12"/>
              <a:gd name="T13" fmla="*/ 0 h 10"/>
              <a:gd name="T14" fmla="*/ 12 w 12"/>
              <a:gd name="T15" fmla="*/ 10 h 10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2" h="10">
                <a:moveTo>
                  <a:pt x="0" y="10"/>
                </a:moveTo>
                <a:lnTo>
                  <a:pt x="12" y="0"/>
                </a:lnTo>
                <a:lnTo>
                  <a:pt x="10" y="8"/>
                </a:lnTo>
                <a:lnTo>
                  <a:pt x="0" y="10"/>
                </a:lnTo>
                <a:close/>
              </a:path>
            </a:pathLst>
          </a:custGeom>
          <a:solidFill>
            <a:srgbClr val="FFFFFF"/>
          </a:solidFill>
          <a:ln>
            <a:solidFill>
              <a:schemeClr val="bg1">
                <a:lumMod val="85000"/>
              </a:schemeClr>
            </a:solidFill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</xdr:sp>
      <xdr:sp macro="" textlink="">
        <xdr:nvSpPr>
          <xdr:cNvPr id="102" name="S_FL3">
            <a:extLst>
              <a:ext uri="{FF2B5EF4-FFF2-40B4-BE49-F238E27FC236}">
                <a16:creationId xmlns:a16="http://schemas.microsoft.com/office/drawing/2014/main" id="{00000000-0008-0000-0400-000066000000}"/>
              </a:ext>
            </a:extLst>
          </xdr:cNvPr>
          <xdr:cNvSpPr>
            <a:spLocks/>
          </xdr:cNvSpPr>
        </xdr:nvSpPr>
        <xdr:spPr bwMode="auto">
          <a:xfrm>
            <a:off x="6928938" y="4839442"/>
            <a:ext cx="7581" cy="7255"/>
          </a:xfrm>
          <a:custGeom>
            <a:avLst/>
            <a:gdLst>
              <a:gd name="T0" fmla="*/ 0 w 8"/>
              <a:gd name="T1" fmla="*/ 0 h 6"/>
              <a:gd name="T2" fmla="*/ 0 w 8"/>
              <a:gd name="T3" fmla="*/ 2147483647 h 6"/>
              <a:gd name="T4" fmla="*/ 0 w 8"/>
              <a:gd name="T5" fmla="*/ 2147483647 h 6"/>
              <a:gd name="T6" fmla="*/ 0 w 8"/>
              <a:gd name="T7" fmla="*/ 0 h 6"/>
              <a:gd name="T8" fmla="*/ 0 60000 65536"/>
              <a:gd name="T9" fmla="*/ 0 60000 65536"/>
              <a:gd name="T10" fmla="*/ 0 60000 65536"/>
              <a:gd name="T11" fmla="*/ 0 60000 65536"/>
              <a:gd name="T12" fmla="*/ 0 w 8"/>
              <a:gd name="T13" fmla="*/ 0 h 6"/>
              <a:gd name="T14" fmla="*/ 8 w 8"/>
              <a:gd name="T15" fmla="*/ 6 h 6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8" h="6">
                <a:moveTo>
                  <a:pt x="0" y="0"/>
                </a:moveTo>
                <a:lnTo>
                  <a:pt x="2" y="6"/>
                </a:lnTo>
                <a:lnTo>
                  <a:pt x="8" y="1"/>
                </a:lnTo>
                <a:lnTo>
                  <a:pt x="0" y="0"/>
                </a:lnTo>
                <a:close/>
              </a:path>
            </a:pathLst>
          </a:custGeom>
          <a:solidFill>
            <a:srgbClr val="FFFFFF"/>
          </a:solidFill>
          <a:ln>
            <a:solidFill>
              <a:schemeClr val="bg1">
                <a:lumMod val="85000"/>
              </a:schemeClr>
            </a:solidFill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</xdr:sp>
      <xdr:sp macro="" textlink="">
        <xdr:nvSpPr>
          <xdr:cNvPr id="103" name="S_FL2">
            <a:extLst>
              <a:ext uri="{FF2B5EF4-FFF2-40B4-BE49-F238E27FC236}">
                <a16:creationId xmlns:a16="http://schemas.microsoft.com/office/drawing/2014/main" id="{00000000-0008-0000-0400-000067000000}"/>
              </a:ext>
            </a:extLst>
          </xdr:cNvPr>
          <xdr:cNvSpPr>
            <a:spLocks/>
          </xdr:cNvSpPr>
        </xdr:nvSpPr>
        <xdr:spPr bwMode="auto">
          <a:xfrm>
            <a:off x="7019905" y="4817675"/>
            <a:ext cx="7581" cy="7255"/>
          </a:xfrm>
          <a:custGeom>
            <a:avLst/>
            <a:gdLst>
              <a:gd name="T0" fmla="*/ 0 w 10"/>
              <a:gd name="T1" fmla="*/ 2147483647 h 9"/>
              <a:gd name="T2" fmla="*/ 2147483647 w 10"/>
              <a:gd name="T3" fmla="*/ 2147483647 h 9"/>
              <a:gd name="T4" fmla="*/ 2147483647 w 10"/>
              <a:gd name="T5" fmla="*/ 0 h 9"/>
              <a:gd name="T6" fmla="*/ 0 w 10"/>
              <a:gd name="T7" fmla="*/ 2147483647 h 9"/>
              <a:gd name="T8" fmla="*/ 0 60000 65536"/>
              <a:gd name="T9" fmla="*/ 0 60000 65536"/>
              <a:gd name="T10" fmla="*/ 0 60000 65536"/>
              <a:gd name="T11" fmla="*/ 0 60000 65536"/>
              <a:gd name="T12" fmla="*/ 0 w 10"/>
              <a:gd name="T13" fmla="*/ 0 h 9"/>
              <a:gd name="T14" fmla="*/ 10 w 10"/>
              <a:gd name="T15" fmla="*/ 9 h 9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0" h="9">
                <a:moveTo>
                  <a:pt x="0" y="9"/>
                </a:moveTo>
                <a:lnTo>
                  <a:pt x="10" y="1"/>
                </a:lnTo>
                <a:lnTo>
                  <a:pt x="10" y="0"/>
                </a:lnTo>
                <a:lnTo>
                  <a:pt x="0" y="9"/>
                </a:lnTo>
                <a:close/>
              </a:path>
            </a:pathLst>
          </a:custGeom>
          <a:solidFill>
            <a:srgbClr val="FFFFFF"/>
          </a:solidFill>
          <a:ln>
            <a:solidFill>
              <a:schemeClr val="bg1">
                <a:lumMod val="85000"/>
              </a:schemeClr>
            </a:solidFill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</xdr:sp>
      <xdr:sp macro="" textlink="">
        <xdr:nvSpPr>
          <xdr:cNvPr id="104" name="S_FL1">
            <a:extLst>
              <a:ext uri="{FF2B5EF4-FFF2-40B4-BE49-F238E27FC236}">
                <a16:creationId xmlns:a16="http://schemas.microsoft.com/office/drawing/2014/main" id="{00000000-0008-0000-0400-000068000000}"/>
              </a:ext>
            </a:extLst>
          </xdr:cNvPr>
          <xdr:cNvSpPr>
            <a:spLocks/>
          </xdr:cNvSpPr>
        </xdr:nvSpPr>
        <xdr:spPr bwMode="auto">
          <a:xfrm>
            <a:off x="7012324" y="4824931"/>
            <a:ext cx="7581" cy="7255"/>
          </a:xfrm>
          <a:custGeom>
            <a:avLst/>
            <a:gdLst>
              <a:gd name="T0" fmla="*/ 0 w 1"/>
              <a:gd name="T1" fmla="*/ 2147483647 h 1"/>
              <a:gd name="T2" fmla="*/ 2147483647 w 1"/>
              <a:gd name="T3" fmla="*/ 0 h 1"/>
              <a:gd name="T4" fmla="*/ 0 w 1"/>
              <a:gd name="T5" fmla="*/ 2147483647 h 1"/>
              <a:gd name="T6" fmla="*/ 0 60000 65536"/>
              <a:gd name="T7" fmla="*/ 0 60000 65536"/>
              <a:gd name="T8" fmla="*/ 0 60000 65536"/>
              <a:gd name="T9" fmla="*/ 0 w 1"/>
              <a:gd name="T10" fmla="*/ 0 h 1"/>
              <a:gd name="T11" fmla="*/ 1 w 1"/>
              <a:gd name="T12" fmla="*/ 1 h 1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1" h="1">
                <a:moveTo>
                  <a:pt x="0" y="1"/>
                </a:moveTo>
                <a:lnTo>
                  <a:pt x="1" y="0"/>
                </a:lnTo>
                <a:lnTo>
                  <a:pt x="0" y="1"/>
                </a:lnTo>
                <a:close/>
              </a:path>
            </a:pathLst>
          </a:custGeom>
          <a:solidFill>
            <a:srgbClr val="FFFFFF"/>
          </a:solidFill>
          <a:ln>
            <a:solidFill>
              <a:schemeClr val="bg1">
                <a:lumMod val="85000"/>
              </a:schemeClr>
            </a:solidFill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</xdr:sp>
    </xdr:grpSp>
    <xdr:clientData/>
  </xdr:twoCellAnchor>
  <xdr:twoCellAnchor>
    <xdr:from>
      <xdr:col>24</xdr:col>
      <xdr:colOff>233960</xdr:colOff>
      <xdr:row>13</xdr:row>
      <xdr:rowOff>179191</xdr:rowOff>
    </xdr:from>
    <xdr:to>
      <xdr:col>24</xdr:col>
      <xdr:colOff>301357</xdr:colOff>
      <xdr:row>14</xdr:row>
      <xdr:rowOff>171197</xdr:rowOff>
    </xdr:to>
    <xdr:sp macro="" textlink="">
      <xdr:nvSpPr>
        <xdr:cNvPr id="105" name="S_DE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>
          <a:spLocks/>
        </xdr:cNvSpPr>
      </xdr:nvSpPr>
      <xdr:spPr bwMode="auto">
        <a:xfrm>
          <a:off x="4872635" y="2846191"/>
          <a:ext cx="67397" cy="182506"/>
        </a:xfrm>
        <a:custGeom>
          <a:avLst/>
          <a:gdLst>
            <a:gd name="T0" fmla="*/ 2147483647 w 139"/>
            <a:gd name="T1" fmla="*/ 2147483647 h 327"/>
            <a:gd name="T2" fmla="*/ 2147483647 w 139"/>
            <a:gd name="T3" fmla="*/ 2147483647 h 327"/>
            <a:gd name="T4" fmla="*/ 2147483647 w 139"/>
            <a:gd name="T5" fmla="*/ 2147483647 h 327"/>
            <a:gd name="T6" fmla="*/ 2147483647 w 139"/>
            <a:gd name="T7" fmla="*/ 2147483647 h 327"/>
            <a:gd name="T8" fmla="*/ 2147483647 w 139"/>
            <a:gd name="T9" fmla="*/ 2147483647 h 327"/>
            <a:gd name="T10" fmla="*/ 2147483647 w 139"/>
            <a:gd name="T11" fmla="*/ 2147483647 h 327"/>
            <a:gd name="T12" fmla="*/ 2147483647 w 139"/>
            <a:gd name="T13" fmla="*/ 2147483647 h 327"/>
            <a:gd name="T14" fmla="*/ 2147483647 w 139"/>
            <a:gd name="T15" fmla="*/ 2147483647 h 327"/>
            <a:gd name="T16" fmla="*/ 2147483647 w 139"/>
            <a:gd name="T17" fmla="*/ 2147483647 h 327"/>
            <a:gd name="T18" fmla="*/ 2147483647 w 139"/>
            <a:gd name="T19" fmla="*/ 0 h 327"/>
            <a:gd name="T20" fmla="*/ 2147483647 w 139"/>
            <a:gd name="T21" fmla="*/ 0 h 327"/>
            <a:gd name="T22" fmla="*/ 0 w 139"/>
            <a:gd name="T23" fmla="*/ 2147483647 h 327"/>
            <a:gd name="T24" fmla="*/ 0 w 139"/>
            <a:gd name="T25" fmla="*/ 2147483647 h 327"/>
            <a:gd name="T26" fmla="*/ 0 w 139"/>
            <a:gd name="T27" fmla="*/ 2147483647 h 327"/>
            <a:gd name="T28" fmla="*/ 0 w 139"/>
            <a:gd name="T29" fmla="*/ 2147483647 h 327"/>
            <a:gd name="T30" fmla="*/ 0 w 139"/>
            <a:gd name="T31" fmla="*/ 2147483647 h 327"/>
            <a:gd name="T32" fmla="*/ 0 w 139"/>
            <a:gd name="T33" fmla="*/ 2147483647 h 327"/>
            <a:gd name="T34" fmla="*/ 0 w 139"/>
            <a:gd name="T35" fmla="*/ 2147483647 h 327"/>
            <a:gd name="T36" fmla="*/ 0 w 139"/>
            <a:gd name="T37" fmla="*/ 2147483647 h 327"/>
            <a:gd name="T38" fmla="*/ 0 w 139"/>
            <a:gd name="T39" fmla="*/ 2147483647 h 327"/>
            <a:gd name="T40" fmla="*/ 0 w 139"/>
            <a:gd name="T41" fmla="*/ 2147483647 h 327"/>
            <a:gd name="T42" fmla="*/ 0 w 139"/>
            <a:gd name="T43" fmla="*/ 2147483647 h 327"/>
            <a:gd name="T44" fmla="*/ 0 w 139"/>
            <a:gd name="T45" fmla="*/ 2147483647 h 327"/>
            <a:gd name="T46" fmla="*/ 0 w 139"/>
            <a:gd name="T47" fmla="*/ 2147483647 h 327"/>
            <a:gd name="T48" fmla="*/ 0 w 139"/>
            <a:gd name="T49" fmla="*/ 2147483647 h 327"/>
            <a:gd name="T50" fmla="*/ 2147483647 w 139"/>
            <a:gd name="T51" fmla="*/ 2147483647 h 327"/>
            <a:gd name="T52" fmla="*/ 2147483647 w 139"/>
            <a:gd name="T53" fmla="*/ 2147483647 h 327"/>
            <a:gd name="T54" fmla="*/ 2147483647 w 139"/>
            <a:gd name="T55" fmla="*/ 2147483647 h 327"/>
            <a:gd name="T56" fmla="*/ 2147483647 w 139"/>
            <a:gd name="T57" fmla="*/ 2147483647 h 327"/>
            <a:gd name="T58" fmla="*/ 2147483647 w 139"/>
            <a:gd name="T59" fmla="*/ 2147483647 h 327"/>
            <a:gd name="T60" fmla="*/ 2147483647 w 139"/>
            <a:gd name="T61" fmla="*/ 2147483647 h 327"/>
            <a:gd name="T62" fmla="*/ 2147483647 w 139"/>
            <a:gd name="T63" fmla="*/ 2147483647 h 327"/>
            <a:gd name="T64" fmla="*/ 2147483647 w 139"/>
            <a:gd name="T65" fmla="*/ 2147483647 h 327"/>
            <a:gd name="T66" fmla="*/ 2147483647 w 139"/>
            <a:gd name="T67" fmla="*/ 2147483647 h 327"/>
            <a:gd name="T68" fmla="*/ 2147483647 w 139"/>
            <a:gd name="T69" fmla="*/ 2147483647 h 327"/>
            <a:gd name="T70" fmla="*/ 2147483647 w 139"/>
            <a:gd name="T71" fmla="*/ 2147483647 h 327"/>
            <a:gd name="T72" fmla="*/ 2147483647 w 139"/>
            <a:gd name="T73" fmla="*/ 2147483647 h 327"/>
            <a:gd name="T74" fmla="*/ 2147483647 w 139"/>
            <a:gd name="T75" fmla="*/ 2147483647 h 327"/>
            <a:gd name="T76" fmla="*/ 2147483647 w 139"/>
            <a:gd name="T77" fmla="*/ 2147483647 h 327"/>
            <a:gd name="T78" fmla="*/ 2147483647 w 139"/>
            <a:gd name="T79" fmla="*/ 2147483647 h 327"/>
            <a:gd name="T80" fmla="*/ 2147483647 w 139"/>
            <a:gd name="T81" fmla="*/ 2147483647 h 327"/>
            <a:gd name="T82" fmla="*/ 2147483647 w 139"/>
            <a:gd name="T83" fmla="*/ 2147483647 h 327"/>
            <a:gd name="T84" fmla="*/ 2147483647 w 139"/>
            <a:gd name="T85" fmla="*/ 2147483647 h 327"/>
            <a:gd name="T86" fmla="*/ 2147483647 w 139"/>
            <a:gd name="T87" fmla="*/ 2147483647 h 327"/>
            <a:gd name="T88" fmla="*/ 2147483647 w 139"/>
            <a:gd name="T89" fmla="*/ 2147483647 h 327"/>
            <a:gd name="T90" fmla="*/ 2147483647 w 139"/>
            <a:gd name="T91" fmla="*/ 2147483647 h 327"/>
            <a:gd name="T92" fmla="*/ 2147483647 w 139"/>
            <a:gd name="T93" fmla="*/ 2147483647 h 327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w 139"/>
            <a:gd name="T142" fmla="*/ 0 h 327"/>
            <a:gd name="T143" fmla="*/ 139 w 139"/>
            <a:gd name="T144" fmla="*/ 327 h 327"/>
          </a:gdLst>
          <a:ahLst/>
          <a:cxnLst>
            <a:cxn ang="T94">
              <a:pos x="T0" y="T1"/>
            </a:cxn>
            <a:cxn ang="T95">
              <a:pos x="T2" y="T3"/>
            </a:cxn>
            <a:cxn ang="T96">
              <a:pos x="T4" y="T5"/>
            </a:cxn>
            <a:cxn ang="T97">
              <a:pos x="T6" y="T7"/>
            </a:cxn>
            <a:cxn ang="T98">
              <a:pos x="T8" y="T9"/>
            </a:cxn>
            <a:cxn ang="T99">
              <a:pos x="T10" y="T11"/>
            </a:cxn>
            <a:cxn ang="T100">
              <a:pos x="T12" y="T13"/>
            </a:cxn>
            <a:cxn ang="T101">
              <a:pos x="T14" y="T15"/>
            </a:cxn>
            <a:cxn ang="T102">
              <a:pos x="T16" y="T17"/>
            </a:cxn>
            <a:cxn ang="T103">
              <a:pos x="T18" y="T19"/>
            </a:cxn>
            <a:cxn ang="T104">
              <a:pos x="T20" y="T21"/>
            </a:cxn>
            <a:cxn ang="T105">
              <a:pos x="T22" y="T23"/>
            </a:cxn>
            <a:cxn ang="T106">
              <a:pos x="T24" y="T25"/>
            </a:cxn>
            <a:cxn ang="T107">
              <a:pos x="T26" y="T27"/>
            </a:cxn>
            <a:cxn ang="T108">
              <a:pos x="T28" y="T29"/>
            </a:cxn>
            <a:cxn ang="T109">
              <a:pos x="T30" y="T31"/>
            </a:cxn>
            <a:cxn ang="T110">
              <a:pos x="T32" y="T33"/>
            </a:cxn>
            <a:cxn ang="T111">
              <a:pos x="T34" y="T35"/>
            </a:cxn>
            <a:cxn ang="T112">
              <a:pos x="T36" y="T37"/>
            </a:cxn>
            <a:cxn ang="T113">
              <a:pos x="T38" y="T39"/>
            </a:cxn>
            <a:cxn ang="T114">
              <a:pos x="T40" y="T41"/>
            </a:cxn>
            <a:cxn ang="T115">
              <a:pos x="T42" y="T43"/>
            </a:cxn>
            <a:cxn ang="T116">
              <a:pos x="T44" y="T45"/>
            </a:cxn>
            <a:cxn ang="T117">
              <a:pos x="T46" y="T47"/>
            </a:cxn>
            <a:cxn ang="T118">
              <a:pos x="T48" y="T49"/>
            </a:cxn>
            <a:cxn ang="T119">
              <a:pos x="T50" y="T51"/>
            </a:cxn>
            <a:cxn ang="T120">
              <a:pos x="T52" y="T53"/>
            </a:cxn>
            <a:cxn ang="T121">
              <a:pos x="T54" y="T55"/>
            </a:cxn>
            <a:cxn ang="T122">
              <a:pos x="T56" y="T57"/>
            </a:cxn>
            <a:cxn ang="T123">
              <a:pos x="T58" y="T59"/>
            </a:cxn>
            <a:cxn ang="T124">
              <a:pos x="T60" y="T61"/>
            </a:cxn>
            <a:cxn ang="T125">
              <a:pos x="T62" y="T63"/>
            </a:cxn>
            <a:cxn ang="T126">
              <a:pos x="T64" y="T65"/>
            </a:cxn>
            <a:cxn ang="T127">
              <a:pos x="T66" y="T67"/>
            </a:cxn>
            <a:cxn ang="T128">
              <a:pos x="T68" y="T69"/>
            </a:cxn>
            <a:cxn ang="T129">
              <a:pos x="T70" y="T71"/>
            </a:cxn>
            <a:cxn ang="T130">
              <a:pos x="T72" y="T73"/>
            </a:cxn>
            <a:cxn ang="T131">
              <a:pos x="T74" y="T75"/>
            </a:cxn>
            <a:cxn ang="T132">
              <a:pos x="T76" y="T77"/>
            </a:cxn>
            <a:cxn ang="T133">
              <a:pos x="T78" y="T79"/>
            </a:cxn>
            <a:cxn ang="T134">
              <a:pos x="T80" y="T81"/>
            </a:cxn>
            <a:cxn ang="T135">
              <a:pos x="T82" y="T83"/>
            </a:cxn>
            <a:cxn ang="T136">
              <a:pos x="T84" y="T85"/>
            </a:cxn>
            <a:cxn ang="T137">
              <a:pos x="T86" y="T87"/>
            </a:cxn>
            <a:cxn ang="T138">
              <a:pos x="T88" y="T89"/>
            </a:cxn>
            <a:cxn ang="T139">
              <a:pos x="T90" y="T91"/>
            </a:cxn>
            <a:cxn ang="T140">
              <a:pos x="T92" y="T93"/>
            </a:cxn>
          </a:cxnLst>
          <a:rect l="T141" t="T142" r="T143" b="T144"/>
          <a:pathLst>
            <a:path w="139" h="327">
              <a:moveTo>
                <a:pt x="52" y="111"/>
              </a:moveTo>
              <a:lnTo>
                <a:pt x="41" y="79"/>
              </a:lnTo>
              <a:lnTo>
                <a:pt x="42" y="59"/>
              </a:lnTo>
              <a:lnTo>
                <a:pt x="45" y="57"/>
              </a:lnTo>
              <a:lnTo>
                <a:pt x="43" y="49"/>
              </a:lnTo>
              <a:lnTo>
                <a:pt x="54" y="32"/>
              </a:lnTo>
              <a:lnTo>
                <a:pt x="65" y="14"/>
              </a:lnTo>
              <a:lnTo>
                <a:pt x="70" y="9"/>
              </a:lnTo>
              <a:lnTo>
                <a:pt x="54" y="1"/>
              </a:lnTo>
              <a:lnTo>
                <a:pt x="39" y="0"/>
              </a:lnTo>
              <a:lnTo>
                <a:pt x="36" y="0"/>
              </a:lnTo>
              <a:lnTo>
                <a:pt x="6" y="20"/>
              </a:lnTo>
              <a:lnTo>
                <a:pt x="3" y="27"/>
              </a:lnTo>
              <a:lnTo>
                <a:pt x="0" y="27"/>
              </a:lnTo>
              <a:lnTo>
                <a:pt x="0" y="42"/>
              </a:lnTo>
              <a:lnTo>
                <a:pt x="0" y="45"/>
              </a:lnTo>
              <a:lnTo>
                <a:pt x="4" y="109"/>
              </a:lnTo>
              <a:lnTo>
                <a:pt x="5" y="117"/>
              </a:lnTo>
              <a:lnTo>
                <a:pt x="6" y="127"/>
              </a:lnTo>
              <a:lnTo>
                <a:pt x="6" y="134"/>
              </a:lnTo>
              <a:lnTo>
                <a:pt x="6" y="137"/>
              </a:lnTo>
              <a:lnTo>
                <a:pt x="6" y="139"/>
              </a:lnTo>
              <a:lnTo>
                <a:pt x="6" y="140"/>
              </a:lnTo>
              <a:lnTo>
                <a:pt x="7" y="158"/>
              </a:lnTo>
              <a:lnTo>
                <a:pt x="7" y="160"/>
              </a:lnTo>
              <a:lnTo>
                <a:pt x="8" y="164"/>
              </a:lnTo>
              <a:lnTo>
                <a:pt x="10" y="198"/>
              </a:lnTo>
              <a:lnTo>
                <a:pt x="12" y="236"/>
              </a:lnTo>
              <a:lnTo>
                <a:pt x="12" y="238"/>
              </a:lnTo>
              <a:lnTo>
                <a:pt x="13" y="254"/>
              </a:lnTo>
              <a:lnTo>
                <a:pt x="14" y="277"/>
              </a:lnTo>
              <a:lnTo>
                <a:pt x="15" y="284"/>
              </a:lnTo>
              <a:lnTo>
                <a:pt x="15" y="287"/>
              </a:lnTo>
              <a:lnTo>
                <a:pt x="15" y="294"/>
              </a:lnTo>
              <a:lnTo>
                <a:pt x="17" y="302"/>
              </a:lnTo>
              <a:lnTo>
                <a:pt x="18" y="325"/>
              </a:lnTo>
              <a:lnTo>
                <a:pt x="54" y="326"/>
              </a:lnTo>
              <a:lnTo>
                <a:pt x="84" y="327"/>
              </a:lnTo>
              <a:lnTo>
                <a:pt x="105" y="327"/>
              </a:lnTo>
              <a:lnTo>
                <a:pt x="125" y="327"/>
              </a:lnTo>
              <a:lnTo>
                <a:pt x="139" y="327"/>
              </a:lnTo>
              <a:lnTo>
                <a:pt x="130" y="244"/>
              </a:lnTo>
              <a:lnTo>
                <a:pt x="125" y="249"/>
              </a:lnTo>
              <a:lnTo>
                <a:pt x="89" y="211"/>
              </a:lnTo>
              <a:lnTo>
                <a:pt x="78" y="187"/>
              </a:lnTo>
              <a:lnTo>
                <a:pt x="72" y="139"/>
              </a:lnTo>
              <a:lnTo>
                <a:pt x="52" y="111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</xdr:sp>
    <xdr:clientData/>
  </xdr:twoCellAnchor>
  <xdr:twoCellAnchor>
    <xdr:from>
      <xdr:col>24</xdr:col>
      <xdr:colOff>421551</xdr:colOff>
      <xdr:row>12</xdr:row>
      <xdr:rowOff>79165</xdr:rowOff>
    </xdr:from>
    <xdr:to>
      <xdr:col>24</xdr:col>
      <xdr:colOff>592674</xdr:colOff>
      <xdr:row>13</xdr:row>
      <xdr:rowOff>20084</xdr:rowOff>
    </xdr:to>
    <xdr:sp macro="" textlink="">
      <xdr:nvSpPr>
        <xdr:cNvPr id="106" name="S_CT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>
          <a:spLocks/>
        </xdr:cNvSpPr>
      </xdr:nvSpPr>
      <xdr:spPr bwMode="auto">
        <a:xfrm>
          <a:off x="5060226" y="2517565"/>
          <a:ext cx="171123" cy="169519"/>
        </a:xfrm>
        <a:custGeom>
          <a:avLst/>
          <a:gdLst>
            <a:gd name="T0" fmla="*/ 2147483647 w 363"/>
            <a:gd name="T1" fmla="*/ 2147483647 h 252"/>
            <a:gd name="T2" fmla="*/ 2147483647 w 363"/>
            <a:gd name="T3" fmla="*/ 2147483647 h 252"/>
            <a:gd name="T4" fmla="*/ 2147483647 w 363"/>
            <a:gd name="T5" fmla="*/ 2147483647 h 252"/>
            <a:gd name="T6" fmla="*/ 2147483647 w 363"/>
            <a:gd name="T7" fmla="*/ 2147483647 h 252"/>
            <a:gd name="T8" fmla="*/ 2147483647 w 363"/>
            <a:gd name="T9" fmla="*/ 2147483647 h 252"/>
            <a:gd name="T10" fmla="*/ 2147483647 w 363"/>
            <a:gd name="T11" fmla="*/ 2147483647 h 252"/>
            <a:gd name="T12" fmla="*/ 2147483647 w 363"/>
            <a:gd name="T13" fmla="*/ 2147483647 h 252"/>
            <a:gd name="T14" fmla="*/ 2147483647 w 363"/>
            <a:gd name="T15" fmla="*/ 2147483647 h 252"/>
            <a:gd name="T16" fmla="*/ 2147483647 w 363"/>
            <a:gd name="T17" fmla="*/ 2147483647 h 252"/>
            <a:gd name="T18" fmla="*/ 2147483647 w 363"/>
            <a:gd name="T19" fmla="*/ 2147483647 h 252"/>
            <a:gd name="T20" fmla="*/ 2147483647 w 363"/>
            <a:gd name="T21" fmla="*/ 2147483647 h 252"/>
            <a:gd name="T22" fmla="*/ 2147483647 w 363"/>
            <a:gd name="T23" fmla="*/ 2147483647 h 252"/>
            <a:gd name="T24" fmla="*/ 2147483647 w 363"/>
            <a:gd name="T25" fmla="*/ 2147483647 h 252"/>
            <a:gd name="T26" fmla="*/ 2147483647 w 363"/>
            <a:gd name="T27" fmla="*/ 2147483647 h 252"/>
            <a:gd name="T28" fmla="*/ 2147483647 w 363"/>
            <a:gd name="T29" fmla="*/ 2147483647 h 252"/>
            <a:gd name="T30" fmla="*/ 2147483647 w 363"/>
            <a:gd name="T31" fmla="*/ 2147483647 h 252"/>
            <a:gd name="T32" fmla="*/ 2147483647 w 363"/>
            <a:gd name="T33" fmla="*/ 2147483647 h 252"/>
            <a:gd name="T34" fmla="*/ 2147483647 w 363"/>
            <a:gd name="T35" fmla="*/ 2147483647 h 252"/>
            <a:gd name="T36" fmla="*/ 2147483647 w 363"/>
            <a:gd name="T37" fmla="*/ 2147483647 h 252"/>
            <a:gd name="T38" fmla="*/ 2147483647 w 363"/>
            <a:gd name="T39" fmla="*/ 2147483647 h 252"/>
            <a:gd name="T40" fmla="*/ 2147483647 w 363"/>
            <a:gd name="T41" fmla="*/ 2147483647 h 252"/>
            <a:gd name="T42" fmla="*/ 2147483647 w 363"/>
            <a:gd name="T43" fmla="*/ 2147483647 h 252"/>
            <a:gd name="T44" fmla="*/ 2147483647 w 363"/>
            <a:gd name="T45" fmla="*/ 2147483647 h 252"/>
            <a:gd name="T46" fmla="*/ 2147483647 w 363"/>
            <a:gd name="T47" fmla="*/ 2147483647 h 252"/>
            <a:gd name="T48" fmla="*/ 2147483647 w 363"/>
            <a:gd name="T49" fmla="*/ 2147483647 h 252"/>
            <a:gd name="T50" fmla="*/ 2147483647 w 363"/>
            <a:gd name="T51" fmla="*/ 2147483647 h 252"/>
            <a:gd name="T52" fmla="*/ 2147483647 w 363"/>
            <a:gd name="T53" fmla="*/ 2147483647 h 252"/>
            <a:gd name="T54" fmla="*/ 2147483647 w 363"/>
            <a:gd name="T55" fmla="*/ 2147483647 h 252"/>
            <a:gd name="T56" fmla="*/ 2147483647 w 363"/>
            <a:gd name="T57" fmla="*/ 2147483647 h 252"/>
            <a:gd name="T58" fmla="*/ 2147483647 w 363"/>
            <a:gd name="T59" fmla="*/ 2147483647 h 252"/>
            <a:gd name="T60" fmla="*/ 2147483647 w 363"/>
            <a:gd name="T61" fmla="*/ 2147483647 h 252"/>
            <a:gd name="T62" fmla="*/ 2147483647 w 363"/>
            <a:gd name="T63" fmla="*/ 2147483647 h 252"/>
            <a:gd name="T64" fmla="*/ 2147483647 w 363"/>
            <a:gd name="T65" fmla="*/ 2147483647 h 252"/>
            <a:gd name="T66" fmla="*/ 2147483647 w 363"/>
            <a:gd name="T67" fmla="*/ 2147483647 h 252"/>
            <a:gd name="T68" fmla="*/ 2147483647 w 363"/>
            <a:gd name="T69" fmla="*/ 2147483647 h 252"/>
            <a:gd name="T70" fmla="*/ 2147483647 w 363"/>
            <a:gd name="T71" fmla="*/ 0 h 252"/>
            <a:gd name="T72" fmla="*/ 2147483647 w 363"/>
            <a:gd name="T73" fmla="*/ 2147483647 h 252"/>
            <a:gd name="T74" fmla="*/ 2147483647 w 363"/>
            <a:gd name="T75" fmla="*/ 2147483647 h 252"/>
            <a:gd name="T76" fmla="*/ 2147483647 w 363"/>
            <a:gd name="T77" fmla="*/ 2147483647 h 252"/>
            <a:gd name="T78" fmla="*/ 2147483647 w 363"/>
            <a:gd name="T79" fmla="*/ 2147483647 h 252"/>
            <a:gd name="T80" fmla="*/ 2147483647 w 363"/>
            <a:gd name="T81" fmla="*/ 2147483647 h 252"/>
            <a:gd name="T82" fmla="*/ 2147483647 w 363"/>
            <a:gd name="T83" fmla="*/ 2147483647 h 252"/>
            <a:gd name="T84" fmla="*/ 2147483647 w 363"/>
            <a:gd name="T85" fmla="*/ 2147483647 h 252"/>
            <a:gd name="T86" fmla="*/ 2147483647 w 363"/>
            <a:gd name="T87" fmla="*/ 2147483647 h 252"/>
            <a:gd name="T88" fmla="*/ 2147483647 w 363"/>
            <a:gd name="T89" fmla="*/ 2147483647 h 252"/>
            <a:gd name="T90" fmla="*/ 2147483647 w 363"/>
            <a:gd name="T91" fmla="*/ 2147483647 h 252"/>
            <a:gd name="T92" fmla="*/ 2147483647 w 363"/>
            <a:gd name="T93" fmla="*/ 2147483647 h 252"/>
            <a:gd name="T94" fmla="*/ 0 w 363"/>
            <a:gd name="T95" fmla="*/ 2147483647 h 252"/>
            <a:gd name="T96" fmla="*/ 2147483647 w 363"/>
            <a:gd name="T97" fmla="*/ 2147483647 h 252"/>
            <a:gd name="T98" fmla="*/ 2147483647 w 363"/>
            <a:gd name="T99" fmla="*/ 2147483647 h 252"/>
            <a:gd name="T100" fmla="*/ 2147483647 w 363"/>
            <a:gd name="T101" fmla="*/ 2147483647 h 252"/>
            <a:gd name="T102" fmla="*/ 2147483647 w 363"/>
            <a:gd name="T103" fmla="*/ 2147483647 h 252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w 363"/>
            <a:gd name="T157" fmla="*/ 0 h 252"/>
            <a:gd name="T158" fmla="*/ 363 w 363"/>
            <a:gd name="T159" fmla="*/ 252 h 252"/>
          </a:gdLst>
          <a:ahLst/>
          <a:cxnLst>
            <a:cxn ang="T104">
              <a:pos x="T0" y="T1"/>
            </a:cxn>
            <a:cxn ang="T105">
              <a:pos x="T2" y="T3"/>
            </a:cxn>
            <a:cxn ang="T106">
              <a:pos x="T4" y="T5"/>
            </a:cxn>
            <a:cxn ang="T107">
              <a:pos x="T6" y="T7"/>
            </a:cxn>
            <a:cxn ang="T108">
              <a:pos x="T8" y="T9"/>
            </a:cxn>
            <a:cxn ang="T109">
              <a:pos x="T10" y="T11"/>
            </a:cxn>
            <a:cxn ang="T110">
              <a:pos x="T12" y="T13"/>
            </a:cxn>
            <a:cxn ang="T111">
              <a:pos x="T14" y="T15"/>
            </a:cxn>
            <a:cxn ang="T112">
              <a:pos x="T16" y="T17"/>
            </a:cxn>
            <a:cxn ang="T113">
              <a:pos x="T18" y="T19"/>
            </a:cxn>
            <a:cxn ang="T114">
              <a:pos x="T20" y="T21"/>
            </a:cxn>
            <a:cxn ang="T115">
              <a:pos x="T22" y="T23"/>
            </a:cxn>
            <a:cxn ang="T116">
              <a:pos x="T24" y="T25"/>
            </a:cxn>
            <a:cxn ang="T117">
              <a:pos x="T26" y="T27"/>
            </a:cxn>
            <a:cxn ang="T118">
              <a:pos x="T28" y="T29"/>
            </a:cxn>
            <a:cxn ang="T119">
              <a:pos x="T30" y="T31"/>
            </a:cxn>
            <a:cxn ang="T120">
              <a:pos x="T32" y="T33"/>
            </a:cxn>
            <a:cxn ang="T121">
              <a:pos x="T34" y="T35"/>
            </a:cxn>
            <a:cxn ang="T122">
              <a:pos x="T36" y="T37"/>
            </a:cxn>
            <a:cxn ang="T123">
              <a:pos x="T38" y="T39"/>
            </a:cxn>
            <a:cxn ang="T124">
              <a:pos x="T40" y="T41"/>
            </a:cxn>
            <a:cxn ang="T125">
              <a:pos x="T42" y="T43"/>
            </a:cxn>
            <a:cxn ang="T126">
              <a:pos x="T44" y="T45"/>
            </a:cxn>
            <a:cxn ang="T127">
              <a:pos x="T46" y="T47"/>
            </a:cxn>
            <a:cxn ang="T128">
              <a:pos x="T48" y="T49"/>
            </a:cxn>
            <a:cxn ang="T129">
              <a:pos x="T50" y="T51"/>
            </a:cxn>
            <a:cxn ang="T130">
              <a:pos x="T52" y="T53"/>
            </a:cxn>
            <a:cxn ang="T131">
              <a:pos x="T54" y="T55"/>
            </a:cxn>
            <a:cxn ang="T132">
              <a:pos x="T56" y="T57"/>
            </a:cxn>
            <a:cxn ang="T133">
              <a:pos x="T58" y="T59"/>
            </a:cxn>
            <a:cxn ang="T134">
              <a:pos x="T60" y="T61"/>
            </a:cxn>
            <a:cxn ang="T135">
              <a:pos x="T62" y="T63"/>
            </a:cxn>
            <a:cxn ang="T136">
              <a:pos x="T64" y="T65"/>
            </a:cxn>
            <a:cxn ang="T137">
              <a:pos x="T66" y="T67"/>
            </a:cxn>
            <a:cxn ang="T138">
              <a:pos x="T68" y="T69"/>
            </a:cxn>
            <a:cxn ang="T139">
              <a:pos x="T70" y="T71"/>
            </a:cxn>
            <a:cxn ang="T140">
              <a:pos x="T72" y="T73"/>
            </a:cxn>
            <a:cxn ang="T141">
              <a:pos x="T74" y="T75"/>
            </a:cxn>
            <a:cxn ang="T142">
              <a:pos x="T76" y="T77"/>
            </a:cxn>
            <a:cxn ang="T143">
              <a:pos x="T78" y="T79"/>
            </a:cxn>
            <a:cxn ang="T144">
              <a:pos x="T80" y="T81"/>
            </a:cxn>
            <a:cxn ang="T145">
              <a:pos x="T82" y="T83"/>
            </a:cxn>
            <a:cxn ang="T146">
              <a:pos x="T84" y="T85"/>
            </a:cxn>
            <a:cxn ang="T147">
              <a:pos x="T86" y="T87"/>
            </a:cxn>
            <a:cxn ang="T148">
              <a:pos x="T88" y="T89"/>
            </a:cxn>
            <a:cxn ang="T149">
              <a:pos x="T90" y="T91"/>
            </a:cxn>
            <a:cxn ang="T150">
              <a:pos x="T92" y="T93"/>
            </a:cxn>
            <a:cxn ang="T151">
              <a:pos x="T94" y="T95"/>
            </a:cxn>
            <a:cxn ang="T152">
              <a:pos x="T96" y="T97"/>
            </a:cxn>
            <a:cxn ang="T153">
              <a:pos x="T98" y="T99"/>
            </a:cxn>
            <a:cxn ang="T154">
              <a:pos x="T100" y="T101"/>
            </a:cxn>
            <a:cxn ang="T155">
              <a:pos x="T102" y="T103"/>
            </a:cxn>
          </a:cxnLst>
          <a:rect l="T156" t="T157" r="T158" b="T159"/>
          <a:pathLst>
            <a:path w="363" h="252">
              <a:moveTo>
                <a:pt x="116" y="209"/>
              </a:moveTo>
              <a:lnTo>
                <a:pt x="142" y="189"/>
              </a:lnTo>
              <a:lnTo>
                <a:pt x="183" y="190"/>
              </a:lnTo>
              <a:lnTo>
                <a:pt x="206" y="185"/>
              </a:lnTo>
              <a:lnTo>
                <a:pt x="223" y="189"/>
              </a:lnTo>
              <a:lnTo>
                <a:pt x="228" y="188"/>
              </a:lnTo>
              <a:lnTo>
                <a:pt x="260" y="184"/>
              </a:lnTo>
              <a:lnTo>
                <a:pt x="323" y="175"/>
              </a:lnTo>
              <a:lnTo>
                <a:pt x="338" y="171"/>
              </a:lnTo>
              <a:lnTo>
                <a:pt x="342" y="171"/>
              </a:lnTo>
              <a:lnTo>
                <a:pt x="347" y="172"/>
              </a:lnTo>
              <a:lnTo>
                <a:pt x="360" y="149"/>
              </a:lnTo>
              <a:lnTo>
                <a:pt x="361" y="108"/>
              </a:lnTo>
              <a:lnTo>
                <a:pt x="363" y="100"/>
              </a:lnTo>
              <a:lnTo>
                <a:pt x="363" y="97"/>
              </a:lnTo>
              <a:lnTo>
                <a:pt x="363" y="94"/>
              </a:lnTo>
              <a:lnTo>
                <a:pt x="363" y="91"/>
              </a:lnTo>
              <a:lnTo>
                <a:pt x="361" y="77"/>
              </a:lnTo>
              <a:lnTo>
                <a:pt x="361" y="71"/>
              </a:lnTo>
              <a:lnTo>
                <a:pt x="360" y="28"/>
              </a:lnTo>
              <a:lnTo>
                <a:pt x="360" y="10"/>
              </a:lnTo>
              <a:lnTo>
                <a:pt x="359" y="6"/>
              </a:lnTo>
              <a:lnTo>
                <a:pt x="309" y="6"/>
              </a:lnTo>
              <a:lnTo>
                <a:pt x="304" y="5"/>
              </a:lnTo>
              <a:lnTo>
                <a:pt x="302" y="5"/>
              </a:lnTo>
              <a:lnTo>
                <a:pt x="299" y="5"/>
              </a:lnTo>
              <a:lnTo>
                <a:pt x="297" y="5"/>
              </a:lnTo>
              <a:lnTo>
                <a:pt x="263" y="5"/>
              </a:lnTo>
              <a:lnTo>
                <a:pt x="253" y="4"/>
              </a:lnTo>
              <a:lnTo>
                <a:pt x="228" y="4"/>
              </a:lnTo>
              <a:lnTo>
                <a:pt x="170" y="12"/>
              </a:lnTo>
              <a:lnTo>
                <a:pt x="170" y="4"/>
              </a:lnTo>
              <a:lnTo>
                <a:pt x="134" y="3"/>
              </a:lnTo>
              <a:lnTo>
                <a:pt x="126" y="3"/>
              </a:lnTo>
              <a:lnTo>
                <a:pt x="65" y="1"/>
              </a:lnTo>
              <a:lnTo>
                <a:pt x="54" y="0"/>
              </a:lnTo>
              <a:lnTo>
                <a:pt x="45" y="1"/>
              </a:lnTo>
              <a:lnTo>
                <a:pt x="44" y="12"/>
              </a:lnTo>
              <a:lnTo>
                <a:pt x="40" y="71"/>
              </a:lnTo>
              <a:lnTo>
                <a:pt x="38" y="91"/>
              </a:lnTo>
              <a:lnTo>
                <a:pt x="38" y="100"/>
              </a:lnTo>
              <a:lnTo>
                <a:pt x="37" y="106"/>
              </a:lnTo>
              <a:lnTo>
                <a:pt x="36" y="124"/>
              </a:lnTo>
              <a:lnTo>
                <a:pt x="35" y="146"/>
              </a:lnTo>
              <a:lnTo>
                <a:pt x="35" y="152"/>
              </a:lnTo>
              <a:lnTo>
                <a:pt x="34" y="161"/>
              </a:lnTo>
              <a:lnTo>
                <a:pt x="46" y="198"/>
              </a:lnTo>
              <a:lnTo>
                <a:pt x="0" y="224"/>
              </a:lnTo>
              <a:lnTo>
                <a:pt x="14" y="252"/>
              </a:lnTo>
              <a:lnTo>
                <a:pt x="63" y="234"/>
              </a:lnTo>
              <a:lnTo>
                <a:pt x="89" y="218"/>
              </a:lnTo>
              <a:lnTo>
                <a:pt x="116" y="209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pPr algn="ctr"/>
          <a:endParaRPr lang="en-US" sz="800" b="0">
            <a:solidFill>
              <a:schemeClr val="tx1">
                <a:lumMod val="65000"/>
                <a:lumOff val="35000"/>
              </a:schemeClr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19</xdr:col>
      <xdr:colOff>279991</xdr:colOff>
      <xdr:row>13</xdr:row>
      <xdr:rowOff>20084</xdr:rowOff>
    </xdr:from>
    <xdr:to>
      <xdr:col>20</xdr:col>
      <xdr:colOff>300391</xdr:colOff>
      <xdr:row>15</xdr:row>
      <xdr:rowOff>172171</xdr:rowOff>
    </xdr:to>
    <xdr:sp macro="" textlink="">
      <xdr:nvSpPr>
        <xdr:cNvPr id="107" name="S_CO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>
          <a:spLocks/>
        </xdr:cNvSpPr>
      </xdr:nvSpPr>
      <xdr:spPr bwMode="auto">
        <a:xfrm>
          <a:off x="1870666" y="2687084"/>
          <a:ext cx="630000" cy="533087"/>
        </a:xfrm>
        <a:custGeom>
          <a:avLst/>
          <a:gdLst>
            <a:gd name="T0" fmla="*/ 2147483647 w 1313"/>
            <a:gd name="T1" fmla="*/ 2147483647 h 947"/>
            <a:gd name="T2" fmla="*/ 2147483647 w 1313"/>
            <a:gd name="T3" fmla="*/ 2147483647 h 947"/>
            <a:gd name="T4" fmla="*/ 2147483647 w 1313"/>
            <a:gd name="T5" fmla="*/ 2147483647 h 947"/>
            <a:gd name="T6" fmla="*/ 2147483647 w 1313"/>
            <a:gd name="T7" fmla="*/ 2147483647 h 947"/>
            <a:gd name="T8" fmla="*/ 2147483647 w 1313"/>
            <a:gd name="T9" fmla="*/ 2147483647 h 947"/>
            <a:gd name="T10" fmla="*/ 2147483647 w 1313"/>
            <a:gd name="T11" fmla="*/ 2147483647 h 947"/>
            <a:gd name="T12" fmla="*/ 2147483647 w 1313"/>
            <a:gd name="T13" fmla="*/ 2147483647 h 947"/>
            <a:gd name="T14" fmla="*/ 2147483647 w 1313"/>
            <a:gd name="T15" fmla="*/ 2147483647 h 947"/>
            <a:gd name="T16" fmla="*/ 2147483647 w 1313"/>
            <a:gd name="T17" fmla="*/ 2147483647 h 947"/>
            <a:gd name="T18" fmla="*/ 2147483647 w 1313"/>
            <a:gd name="T19" fmla="*/ 2147483647 h 947"/>
            <a:gd name="T20" fmla="*/ 2147483647 w 1313"/>
            <a:gd name="T21" fmla="*/ 2147483647 h 947"/>
            <a:gd name="T22" fmla="*/ 2147483647 w 1313"/>
            <a:gd name="T23" fmla="*/ 2147483647 h 947"/>
            <a:gd name="T24" fmla="*/ 2147483647 w 1313"/>
            <a:gd name="T25" fmla="*/ 2147483647 h 947"/>
            <a:gd name="T26" fmla="*/ 2147483647 w 1313"/>
            <a:gd name="T27" fmla="*/ 2147483647 h 947"/>
            <a:gd name="T28" fmla="*/ 2147483647 w 1313"/>
            <a:gd name="T29" fmla="*/ 2147483647 h 947"/>
            <a:gd name="T30" fmla="*/ 2147483647 w 1313"/>
            <a:gd name="T31" fmla="*/ 2147483647 h 947"/>
            <a:gd name="T32" fmla="*/ 2147483647 w 1313"/>
            <a:gd name="T33" fmla="*/ 2147483647 h 947"/>
            <a:gd name="T34" fmla="*/ 2147483647 w 1313"/>
            <a:gd name="T35" fmla="*/ 2147483647 h 947"/>
            <a:gd name="T36" fmla="*/ 2147483647 w 1313"/>
            <a:gd name="T37" fmla="*/ 2147483647 h 947"/>
            <a:gd name="T38" fmla="*/ 2147483647 w 1313"/>
            <a:gd name="T39" fmla="*/ 2147483647 h 947"/>
            <a:gd name="T40" fmla="*/ 2147483647 w 1313"/>
            <a:gd name="T41" fmla="*/ 2147483647 h 947"/>
            <a:gd name="T42" fmla="*/ 2147483647 w 1313"/>
            <a:gd name="T43" fmla="*/ 2147483647 h 947"/>
            <a:gd name="T44" fmla="*/ 2147483647 w 1313"/>
            <a:gd name="T45" fmla="*/ 2147483647 h 947"/>
            <a:gd name="T46" fmla="*/ 2147483647 w 1313"/>
            <a:gd name="T47" fmla="*/ 2147483647 h 947"/>
            <a:gd name="T48" fmla="*/ 2147483647 w 1313"/>
            <a:gd name="T49" fmla="*/ 2147483647 h 947"/>
            <a:gd name="T50" fmla="*/ 2147483647 w 1313"/>
            <a:gd name="T51" fmla="*/ 2147483647 h 947"/>
            <a:gd name="T52" fmla="*/ 2147483647 w 1313"/>
            <a:gd name="T53" fmla="*/ 2147483647 h 947"/>
            <a:gd name="T54" fmla="*/ 2147483647 w 1313"/>
            <a:gd name="T55" fmla="*/ 2147483647 h 947"/>
            <a:gd name="T56" fmla="*/ 2147483647 w 1313"/>
            <a:gd name="T57" fmla="*/ 2147483647 h 947"/>
            <a:gd name="T58" fmla="*/ 0 w 1313"/>
            <a:gd name="T59" fmla="*/ 2147483647 h 947"/>
            <a:gd name="T60" fmla="*/ 0 w 1313"/>
            <a:gd name="T61" fmla="*/ 2147483647 h 947"/>
            <a:gd name="T62" fmla="*/ 2147483647 w 1313"/>
            <a:gd name="T63" fmla="*/ 2147483647 h 947"/>
            <a:gd name="T64" fmla="*/ 2147483647 w 1313"/>
            <a:gd name="T65" fmla="*/ 2147483647 h 947"/>
            <a:gd name="T66" fmla="*/ 2147483647 w 1313"/>
            <a:gd name="T67" fmla="*/ 2147483647 h 947"/>
            <a:gd name="T68" fmla="*/ 2147483647 w 1313"/>
            <a:gd name="T69" fmla="*/ 2147483647 h 947"/>
            <a:gd name="T70" fmla="*/ 2147483647 w 1313"/>
            <a:gd name="T71" fmla="*/ 2147483647 h 947"/>
            <a:gd name="T72" fmla="*/ 2147483647 w 1313"/>
            <a:gd name="T73" fmla="*/ 2147483647 h 947"/>
            <a:gd name="T74" fmla="*/ 2147483647 w 1313"/>
            <a:gd name="T75" fmla="*/ 2147483647 h 947"/>
            <a:gd name="T76" fmla="*/ 2147483647 w 1313"/>
            <a:gd name="T77" fmla="*/ 0 h 947"/>
            <a:gd name="T78" fmla="*/ 2147483647 w 1313"/>
            <a:gd name="T79" fmla="*/ 0 h 947"/>
            <a:gd name="T80" fmla="*/ 2147483647 w 1313"/>
            <a:gd name="T81" fmla="*/ 0 h 947"/>
            <a:gd name="T82" fmla="*/ 2147483647 w 1313"/>
            <a:gd name="T83" fmla="*/ 0 h 947"/>
            <a:gd name="T84" fmla="*/ 2147483647 w 1313"/>
            <a:gd name="T85" fmla="*/ 0 h 947"/>
            <a:gd name="T86" fmla="*/ 2147483647 w 1313"/>
            <a:gd name="T87" fmla="*/ 0 h 947"/>
            <a:gd name="T88" fmla="*/ 2147483647 w 1313"/>
            <a:gd name="T89" fmla="*/ 2147483647 h 947"/>
            <a:gd name="T90" fmla="*/ 2147483647 w 1313"/>
            <a:gd name="T91" fmla="*/ 2147483647 h 947"/>
            <a:gd name="T92" fmla="*/ 2147483647 w 1313"/>
            <a:gd name="T93" fmla="*/ 2147483647 h 947"/>
            <a:gd name="T94" fmla="*/ 2147483647 w 1313"/>
            <a:gd name="T95" fmla="*/ 2147483647 h 947"/>
            <a:gd name="T96" fmla="*/ 2147483647 w 1313"/>
            <a:gd name="T97" fmla="*/ 2147483647 h 947"/>
            <a:gd name="T98" fmla="*/ 2147483647 w 1313"/>
            <a:gd name="T99" fmla="*/ 0 h 947"/>
            <a:gd name="T100" fmla="*/ 2147483647 w 1313"/>
            <a:gd name="T101" fmla="*/ 0 h 947"/>
            <a:gd name="T102" fmla="*/ 2147483647 w 1313"/>
            <a:gd name="T103" fmla="*/ 0 h 947"/>
            <a:gd name="T104" fmla="*/ 2147483647 w 1313"/>
            <a:gd name="T105" fmla="*/ 0 h 947"/>
            <a:gd name="T106" fmla="*/ 2147483647 w 1313"/>
            <a:gd name="T107" fmla="*/ 0 h 947"/>
            <a:gd name="T108" fmla="*/ 2147483647 w 1313"/>
            <a:gd name="T109" fmla="*/ 2147483647 h 947"/>
            <a:gd name="T110" fmla="*/ 2147483647 w 1313"/>
            <a:gd name="T111" fmla="*/ 2147483647 h 947"/>
            <a:gd name="T112" fmla="*/ 2147483647 w 1313"/>
            <a:gd name="T113" fmla="*/ 2147483647 h 947"/>
            <a:gd name="T114" fmla="*/ 2147483647 w 1313"/>
            <a:gd name="T115" fmla="*/ 2147483647 h 947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w 1313"/>
            <a:gd name="T175" fmla="*/ 0 h 947"/>
            <a:gd name="T176" fmla="*/ 1313 w 1313"/>
            <a:gd name="T177" fmla="*/ 947 h 947"/>
          </a:gdLst>
          <a:ahLst/>
          <a:cxnLst>
            <a:cxn ang="T116">
              <a:pos x="T0" y="T1"/>
            </a:cxn>
            <a:cxn ang="T117">
              <a:pos x="T2" y="T3"/>
            </a:cxn>
            <a:cxn ang="T118">
              <a:pos x="T4" y="T5"/>
            </a:cxn>
            <a:cxn ang="T119">
              <a:pos x="T6" y="T7"/>
            </a:cxn>
            <a:cxn ang="T120">
              <a:pos x="T8" y="T9"/>
            </a:cxn>
            <a:cxn ang="T121">
              <a:pos x="T10" y="T11"/>
            </a:cxn>
            <a:cxn ang="T122">
              <a:pos x="T12" y="T13"/>
            </a:cxn>
            <a:cxn ang="T123">
              <a:pos x="T14" y="T15"/>
            </a:cxn>
            <a:cxn ang="T124">
              <a:pos x="T16" y="T17"/>
            </a:cxn>
            <a:cxn ang="T125">
              <a:pos x="T18" y="T19"/>
            </a:cxn>
            <a:cxn ang="T126">
              <a:pos x="T20" y="T21"/>
            </a:cxn>
            <a:cxn ang="T127">
              <a:pos x="T22" y="T23"/>
            </a:cxn>
            <a:cxn ang="T128">
              <a:pos x="T24" y="T25"/>
            </a:cxn>
            <a:cxn ang="T129">
              <a:pos x="T26" y="T27"/>
            </a:cxn>
            <a:cxn ang="T130">
              <a:pos x="T28" y="T29"/>
            </a:cxn>
            <a:cxn ang="T131">
              <a:pos x="T30" y="T31"/>
            </a:cxn>
            <a:cxn ang="T132">
              <a:pos x="T32" y="T33"/>
            </a:cxn>
            <a:cxn ang="T133">
              <a:pos x="T34" y="T35"/>
            </a:cxn>
            <a:cxn ang="T134">
              <a:pos x="T36" y="T37"/>
            </a:cxn>
            <a:cxn ang="T135">
              <a:pos x="T38" y="T39"/>
            </a:cxn>
            <a:cxn ang="T136">
              <a:pos x="T40" y="T41"/>
            </a:cxn>
            <a:cxn ang="T137">
              <a:pos x="T42" y="T43"/>
            </a:cxn>
            <a:cxn ang="T138">
              <a:pos x="T44" y="T45"/>
            </a:cxn>
            <a:cxn ang="T139">
              <a:pos x="T46" y="T47"/>
            </a:cxn>
            <a:cxn ang="T140">
              <a:pos x="T48" y="T49"/>
            </a:cxn>
            <a:cxn ang="T141">
              <a:pos x="T50" y="T51"/>
            </a:cxn>
            <a:cxn ang="T142">
              <a:pos x="T52" y="T53"/>
            </a:cxn>
            <a:cxn ang="T143">
              <a:pos x="T54" y="T55"/>
            </a:cxn>
            <a:cxn ang="T144">
              <a:pos x="T56" y="T57"/>
            </a:cxn>
            <a:cxn ang="T145">
              <a:pos x="T58" y="T59"/>
            </a:cxn>
            <a:cxn ang="T146">
              <a:pos x="T60" y="T61"/>
            </a:cxn>
            <a:cxn ang="T147">
              <a:pos x="T62" y="T63"/>
            </a:cxn>
            <a:cxn ang="T148">
              <a:pos x="T64" y="T65"/>
            </a:cxn>
            <a:cxn ang="T149">
              <a:pos x="T66" y="T67"/>
            </a:cxn>
            <a:cxn ang="T150">
              <a:pos x="T68" y="T69"/>
            </a:cxn>
            <a:cxn ang="T151">
              <a:pos x="T70" y="T71"/>
            </a:cxn>
            <a:cxn ang="T152">
              <a:pos x="T72" y="T73"/>
            </a:cxn>
            <a:cxn ang="T153">
              <a:pos x="T74" y="T75"/>
            </a:cxn>
            <a:cxn ang="T154">
              <a:pos x="T76" y="T77"/>
            </a:cxn>
            <a:cxn ang="T155">
              <a:pos x="T78" y="T79"/>
            </a:cxn>
            <a:cxn ang="T156">
              <a:pos x="T80" y="T81"/>
            </a:cxn>
            <a:cxn ang="T157">
              <a:pos x="T82" y="T83"/>
            </a:cxn>
            <a:cxn ang="T158">
              <a:pos x="T84" y="T85"/>
            </a:cxn>
            <a:cxn ang="T159">
              <a:pos x="T86" y="T87"/>
            </a:cxn>
            <a:cxn ang="T160">
              <a:pos x="T88" y="T89"/>
            </a:cxn>
            <a:cxn ang="T161">
              <a:pos x="T90" y="T91"/>
            </a:cxn>
            <a:cxn ang="T162">
              <a:pos x="T92" y="T93"/>
            </a:cxn>
            <a:cxn ang="T163">
              <a:pos x="T94" y="T95"/>
            </a:cxn>
            <a:cxn ang="T164">
              <a:pos x="T96" y="T97"/>
            </a:cxn>
            <a:cxn ang="T165">
              <a:pos x="T98" y="T99"/>
            </a:cxn>
            <a:cxn ang="T166">
              <a:pos x="T100" y="T101"/>
            </a:cxn>
            <a:cxn ang="T167">
              <a:pos x="T102" y="T103"/>
            </a:cxn>
            <a:cxn ang="T168">
              <a:pos x="T104" y="T105"/>
            </a:cxn>
            <a:cxn ang="T169">
              <a:pos x="T106" y="T107"/>
            </a:cxn>
            <a:cxn ang="T170">
              <a:pos x="T108" y="T109"/>
            </a:cxn>
            <a:cxn ang="T171">
              <a:pos x="T110" y="T111"/>
            </a:cxn>
            <a:cxn ang="T172">
              <a:pos x="T112" y="T113"/>
            </a:cxn>
            <a:cxn ang="T173">
              <a:pos x="T114" y="T115"/>
            </a:cxn>
          </a:cxnLst>
          <a:rect l="T174" t="T175" r="T176" b="T177"/>
          <a:pathLst>
            <a:path w="1313" h="947">
              <a:moveTo>
                <a:pt x="1311" y="337"/>
              </a:moveTo>
              <a:lnTo>
                <a:pt x="1311" y="338"/>
              </a:lnTo>
              <a:lnTo>
                <a:pt x="1312" y="354"/>
              </a:lnTo>
              <a:lnTo>
                <a:pt x="1312" y="384"/>
              </a:lnTo>
              <a:lnTo>
                <a:pt x="1312" y="441"/>
              </a:lnTo>
              <a:lnTo>
                <a:pt x="1312" y="443"/>
              </a:lnTo>
              <a:lnTo>
                <a:pt x="1312" y="455"/>
              </a:lnTo>
              <a:lnTo>
                <a:pt x="1312" y="461"/>
              </a:lnTo>
              <a:lnTo>
                <a:pt x="1312" y="473"/>
              </a:lnTo>
              <a:lnTo>
                <a:pt x="1312" y="520"/>
              </a:lnTo>
              <a:lnTo>
                <a:pt x="1312" y="545"/>
              </a:lnTo>
              <a:lnTo>
                <a:pt x="1312" y="562"/>
              </a:lnTo>
              <a:lnTo>
                <a:pt x="1312" y="564"/>
              </a:lnTo>
              <a:lnTo>
                <a:pt x="1312" y="605"/>
              </a:lnTo>
              <a:lnTo>
                <a:pt x="1312" y="621"/>
              </a:lnTo>
              <a:lnTo>
                <a:pt x="1312" y="645"/>
              </a:lnTo>
              <a:lnTo>
                <a:pt x="1312" y="647"/>
              </a:lnTo>
              <a:lnTo>
                <a:pt x="1312" y="679"/>
              </a:lnTo>
              <a:lnTo>
                <a:pt x="1312" y="709"/>
              </a:lnTo>
              <a:lnTo>
                <a:pt x="1313" y="770"/>
              </a:lnTo>
              <a:lnTo>
                <a:pt x="1313" y="793"/>
              </a:lnTo>
              <a:lnTo>
                <a:pt x="1313" y="797"/>
              </a:lnTo>
              <a:lnTo>
                <a:pt x="1313" y="827"/>
              </a:lnTo>
              <a:lnTo>
                <a:pt x="1313" y="854"/>
              </a:lnTo>
              <a:lnTo>
                <a:pt x="1313" y="886"/>
              </a:lnTo>
              <a:lnTo>
                <a:pt x="1313" y="916"/>
              </a:lnTo>
              <a:lnTo>
                <a:pt x="1313" y="947"/>
              </a:lnTo>
              <a:lnTo>
                <a:pt x="1204" y="946"/>
              </a:lnTo>
              <a:lnTo>
                <a:pt x="1178" y="945"/>
              </a:lnTo>
              <a:lnTo>
                <a:pt x="1133" y="945"/>
              </a:lnTo>
              <a:lnTo>
                <a:pt x="1117" y="945"/>
              </a:lnTo>
              <a:lnTo>
                <a:pt x="1074" y="945"/>
              </a:lnTo>
              <a:lnTo>
                <a:pt x="1064" y="945"/>
              </a:lnTo>
              <a:lnTo>
                <a:pt x="945" y="946"/>
              </a:lnTo>
              <a:lnTo>
                <a:pt x="877" y="947"/>
              </a:lnTo>
              <a:lnTo>
                <a:pt x="772" y="947"/>
              </a:lnTo>
              <a:lnTo>
                <a:pt x="731" y="946"/>
              </a:lnTo>
              <a:lnTo>
                <a:pt x="718" y="946"/>
              </a:lnTo>
              <a:lnTo>
                <a:pt x="625" y="946"/>
              </a:lnTo>
              <a:lnTo>
                <a:pt x="620" y="946"/>
              </a:lnTo>
              <a:lnTo>
                <a:pt x="596" y="946"/>
              </a:lnTo>
              <a:lnTo>
                <a:pt x="571" y="946"/>
              </a:lnTo>
              <a:lnTo>
                <a:pt x="484" y="947"/>
              </a:lnTo>
              <a:lnTo>
                <a:pt x="307" y="945"/>
              </a:lnTo>
              <a:lnTo>
                <a:pt x="302" y="945"/>
              </a:lnTo>
              <a:lnTo>
                <a:pt x="295" y="945"/>
              </a:lnTo>
              <a:lnTo>
                <a:pt x="293" y="945"/>
              </a:lnTo>
              <a:lnTo>
                <a:pt x="175" y="945"/>
              </a:lnTo>
              <a:lnTo>
                <a:pt x="127" y="945"/>
              </a:lnTo>
              <a:lnTo>
                <a:pt x="73" y="945"/>
              </a:lnTo>
              <a:lnTo>
                <a:pt x="58" y="946"/>
              </a:lnTo>
              <a:lnTo>
                <a:pt x="3" y="946"/>
              </a:lnTo>
              <a:lnTo>
                <a:pt x="3" y="831"/>
              </a:lnTo>
              <a:lnTo>
                <a:pt x="3" y="827"/>
              </a:lnTo>
              <a:lnTo>
                <a:pt x="3" y="768"/>
              </a:lnTo>
              <a:lnTo>
                <a:pt x="3" y="737"/>
              </a:lnTo>
              <a:lnTo>
                <a:pt x="3" y="709"/>
              </a:lnTo>
              <a:lnTo>
                <a:pt x="3" y="672"/>
              </a:lnTo>
              <a:lnTo>
                <a:pt x="3" y="670"/>
              </a:lnTo>
              <a:lnTo>
                <a:pt x="0" y="644"/>
              </a:lnTo>
              <a:lnTo>
                <a:pt x="0" y="591"/>
              </a:lnTo>
              <a:lnTo>
                <a:pt x="0" y="532"/>
              </a:lnTo>
              <a:lnTo>
                <a:pt x="2" y="473"/>
              </a:lnTo>
              <a:lnTo>
                <a:pt x="2" y="386"/>
              </a:lnTo>
              <a:lnTo>
                <a:pt x="2" y="384"/>
              </a:lnTo>
              <a:lnTo>
                <a:pt x="2" y="355"/>
              </a:lnTo>
              <a:lnTo>
                <a:pt x="2" y="354"/>
              </a:lnTo>
              <a:lnTo>
                <a:pt x="2" y="325"/>
              </a:lnTo>
              <a:lnTo>
                <a:pt x="2" y="317"/>
              </a:lnTo>
              <a:lnTo>
                <a:pt x="2" y="266"/>
              </a:lnTo>
              <a:lnTo>
                <a:pt x="2" y="236"/>
              </a:lnTo>
              <a:lnTo>
                <a:pt x="2" y="184"/>
              </a:lnTo>
              <a:lnTo>
                <a:pt x="2" y="133"/>
              </a:lnTo>
              <a:lnTo>
                <a:pt x="2" y="89"/>
              </a:lnTo>
              <a:lnTo>
                <a:pt x="2" y="82"/>
              </a:lnTo>
              <a:lnTo>
                <a:pt x="2" y="60"/>
              </a:lnTo>
              <a:lnTo>
                <a:pt x="2" y="30"/>
              </a:lnTo>
              <a:lnTo>
                <a:pt x="2" y="0"/>
              </a:lnTo>
              <a:lnTo>
                <a:pt x="49" y="0"/>
              </a:lnTo>
              <a:lnTo>
                <a:pt x="165" y="0"/>
              </a:lnTo>
              <a:lnTo>
                <a:pt x="214" y="0"/>
              </a:lnTo>
              <a:lnTo>
                <a:pt x="268" y="0"/>
              </a:lnTo>
              <a:lnTo>
                <a:pt x="316" y="0"/>
              </a:lnTo>
              <a:lnTo>
                <a:pt x="326" y="0"/>
              </a:lnTo>
              <a:lnTo>
                <a:pt x="406" y="0"/>
              </a:lnTo>
              <a:lnTo>
                <a:pt x="412" y="0"/>
              </a:lnTo>
              <a:lnTo>
                <a:pt x="479" y="0"/>
              </a:lnTo>
              <a:lnTo>
                <a:pt x="502" y="0"/>
              </a:lnTo>
              <a:lnTo>
                <a:pt x="513" y="1"/>
              </a:lnTo>
              <a:lnTo>
                <a:pt x="519" y="1"/>
              </a:lnTo>
              <a:lnTo>
                <a:pt x="534" y="1"/>
              </a:lnTo>
              <a:lnTo>
                <a:pt x="537" y="1"/>
              </a:lnTo>
              <a:lnTo>
                <a:pt x="560" y="1"/>
              </a:lnTo>
              <a:lnTo>
                <a:pt x="676" y="1"/>
              </a:lnTo>
              <a:lnTo>
                <a:pt x="707" y="1"/>
              </a:lnTo>
              <a:lnTo>
                <a:pt x="713" y="1"/>
              </a:lnTo>
              <a:lnTo>
                <a:pt x="736" y="1"/>
              </a:lnTo>
              <a:lnTo>
                <a:pt x="771" y="1"/>
              </a:lnTo>
              <a:lnTo>
                <a:pt x="783" y="1"/>
              </a:lnTo>
              <a:lnTo>
                <a:pt x="827" y="0"/>
              </a:lnTo>
              <a:lnTo>
                <a:pt x="936" y="0"/>
              </a:lnTo>
              <a:lnTo>
                <a:pt x="1017" y="0"/>
              </a:lnTo>
              <a:lnTo>
                <a:pt x="1027" y="0"/>
              </a:lnTo>
              <a:lnTo>
                <a:pt x="1026" y="0"/>
              </a:lnTo>
              <a:lnTo>
                <a:pt x="1063" y="0"/>
              </a:lnTo>
              <a:lnTo>
                <a:pt x="1199" y="0"/>
              </a:lnTo>
              <a:lnTo>
                <a:pt x="1204" y="0"/>
              </a:lnTo>
              <a:lnTo>
                <a:pt x="1205" y="0"/>
              </a:lnTo>
              <a:lnTo>
                <a:pt x="1311" y="0"/>
              </a:lnTo>
              <a:lnTo>
                <a:pt x="1311" y="60"/>
              </a:lnTo>
              <a:lnTo>
                <a:pt x="1311" y="72"/>
              </a:lnTo>
              <a:lnTo>
                <a:pt x="1311" y="89"/>
              </a:lnTo>
              <a:lnTo>
                <a:pt x="1311" y="119"/>
              </a:lnTo>
              <a:lnTo>
                <a:pt x="1311" y="133"/>
              </a:lnTo>
              <a:lnTo>
                <a:pt x="1311" y="154"/>
              </a:lnTo>
              <a:lnTo>
                <a:pt x="1311" y="235"/>
              </a:lnTo>
              <a:lnTo>
                <a:pt x="1311" y="337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pPr algn="ctr"/>
          <a:endParaRPr lang="en-US" sz="800" b="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17</xdr:col>
      <xdr:colOff>139537</xdr:colOff>
      <xdr:row>12</xdr:row>
      <xdr:rowOff>59503</xdr:rowOff>
    </xdr:from>
    <xdr:to>
      <xdr:col>18</xdr:col>
      <xdr:colOff>453801</xdr:colOff>
      <xdr:row>19</xdr:row>
      <xdr:rowOff>192</xdr:rowOff>
    </xdr:to>
    <xdr:grpSp>
      <xdr:nvGrpSpPr>
        <xdr:cNvPr id="108" name="S_CA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GrpSpPr>
          <a:grpSpLocks/>
        </xdr:cNvGrpSpPr>
      </xdr:nvGrpSpPr>
      <xdr:grpSpPr bwMode="auto">
        <a:xfrm>
          <a:off x="10561008" y="2345503"/>
          <a:ext cx="919381" cy="1274189"/>
          <a:chOff x="783814" y="1884310"/>
          <a:chExt cx="1464198" cy="1723455"/>
        </a:xfrm>
      </xdr:grpSpPr>
      <xdr:sp macro="" textlink="">
        <xdr:nvSpPr>
          <xdr:cNvPr id="109" name="S_CA5">
            <a:extLst>
              <a:ext uri="{FF2B5EF4-FFF2-40B4-BE49-F238E27FC236}">
                <a16:creationId xmlns:a16="http://schemas.microsoft.com/office/drawing/2014/main" id="{00000000-0008-0000-0400-00006D000000}"/>
              </a:ext>
            </a:extLst>
          </xdr:cNvPr>
          <xdr:cNvSpPr>
            <a:spLocks/>
          </xdr:cNvSpPr>
        </xdr:nvSpPr>
        <xdr:spPr bwMode="auto">
          <a:xfrm>
            <a:off x="783814" y="1884310"/>
            <a:ext cx="1464198" cy="1723455"/>
          </a:xfrm>
          <a:custGeom>
            <a:avLst/>
            <a:gdLst>
              <a:gd name="T0" fmla="*/ 2147483647 w 1919"/>
              <a:gd name="T1" fmla="*/ 2147483647 h 2238"/>
              <a:gd name="T2" fmla="*/ 2147483647 w 1919"/>
              <a:gd name="T3" fmla="*/ 2147483647 h 2238"/>
              <a:gd name="T4" fmla="*/ 2147483647 w 1919"/>
              <a:gd name="T5" fmla="*/ 2147483647 h 2238"/>
              <a:gd name="T6" fmla="*/ 2147483647 w 1919"/>
              <a:gd name="T7" fmla="*/ 2147483647 h 2238"/>
              <a:gd name="T8" fmla="*/ 2147483647 w 1919"/>
              <a:gd name="T9" fmla="*/ 2147483647 h 2238"/>
              <a:gd name="T10" fmla="*/ 2147483647 w 1919"/>
              <a:gd name="T11" fmla="*/ 2147483647 h 2238"/>
              <a:gd name="T12" fmla="*/ 2147483647 w 1919"/>
              <a:gd name="T13" fmla="*/ 2147483647 h 2238"/>
              <a:gd name="T14" fmla="*/ 2147483647 w 1919"/>
              <a:gd name="T15" fmla="*/ 2147483647 h 2238"/>
              <a:gd name="T16" fmla="*/ 2147483647 w 1919"/>
              <a:gd name="T17" fmla="*/ 2147483647 h 2238"/>
              <a:gd name="T18" fmla="*/ 2147483647 w 1919"/>
              <a:gd name="T19" fmla="*/ 2147483647 h 2238"/>
              <a:gd name="T20" fmla="*/ 2147483647 w 1919"/>
              <a:gd name="T21" fmla="*/ 2147483647 h 2238"/>
              <a:gd name="T22" fmla="*/ 2147483647 w 1919"/>
              <a:gd name="T23" fmla="*/ 2147483647 h 2238"/>
              <a:gd name="T24" fmla="*/ 2147483647 w 1919"/>
              <a:gd name="T25" fmla="*/ 2147483647 h 2238"/>
              <a:gd name="T26" fmla="*/ 2147483647 w 1919"/>
              <a:gd name="T27" fmla="*/ 2147483647 h 2238"/>
              <a:gd name="T28" fmla="*/ 2147483647 w 1919"/>
              <a:gd name="T29" fmla="*/ 2147483647 h 2238"/>
              <a:gd name="T30" fmla="*/ 2147483647 w 1919"/>
              <a:gd name="T31" fmla="*/ 2147483647 h 2238"/>
              <a:gd name="T32" fmla="*/ 2147483647 w 1919"/>
              <a:gd name="T33" fmla="*/ 2147483647 h 2238"/>
              <a:gd name="T34" fmla="*/ 2147483647 w 1919"/>
              <a:gd name="T35" fmla="*/ 2147483647 h 2238"/>
              <a:gd name="T36" fmla="*/ 2147483647 w 1919"/>
              <a:gd name="T37" fmla="*/ 2147483647 h 2238"/>
              <a:gd name="T38" fmla="*/ 2147483647 w 1919"/>
              <a:gd name="T39" fmla="*/ 2147483647 h 2238"/>
              <a:gd name="T40" fmla="*/ 2147483647 w 1919"/>
              <a:gd name="T41" fmla="*/ 2147483647 h 2238"/>
              <a:gd name="T42" fmla="*/ 2147483647 w 1919"/>
              <a:gd name="T43" fmla="*/ 2147483647 h 2238"/>
              <a:gd name="T44" fmla="*/ 2147483647 w 1919"/>
              <a:gd name="T45" fmla="*/ 2147483647 h 2238"/>
              <a:gd name="T46" fmla="*/ 2147483647 w 1919"/>
              <a:gd name="T47" fmla="*/ 2147483647 h 2238"/>
              <a:gd name="T48" fmla="*/ 2147483647 w 1919"/>
              <a:gd name="T49" fmla="*/ 2147483647 h 2238"/>
              <a:gd name="T50" fmla="*/ 2147483647 w 1919"/>
              <a:gd name="T51" fmla="*/ 2147483647 h 2238"/>
              <a:gd name="T52" fmla="*/ 2147483647 w 1919"/>
              <a:gd name="T53" fmla="*/ 2147483647 h 2238"/>
              <a:gd name="T54" fmla="*/ 2147483647 w 1919"/>
              <a:gd name="T55" fmla="*/ 2147483647 h 2238"/>
              <a:gd name="T56" fmla="*/ 2147483647 w 1919"/>
              <a:gd name="T57" fmla="*/ 2147483647 h 2238"/>
              <a:gd name="T58" fmla="*/ 2147483647 w 1919"/>
              <a:gd name="T59" fmla="*/ 2147483647 h 2238"/>
              <a:gd name="T60" fmla="*/ 2147483647 w 1919"/>
              <a:gd name="T61" fmla="*/ 2147483647 h 2238"/>
              <a:gd name="T62" fmla="*/ 2147483647 w 1919"/>
              <a:gd name="T63" fmla="*/ 2147483647 h 2238"/>
              <a:gd name="T64" fmla="*/ 0 w 1919"/>
              <a:gd name="T65" fmla="*/ 2147483647 h 2238"/>
              <a:gd name="T66" fmla="*/ 2147483647 w 1919"/>
              <a:gd name="T67" fmla="*/ 2147483647 h 2238"/>
              <a:gd name="T68" fmla="*/ 2147483647 w 1919"/>
              <a:gd name="T69" fmla="*/ 2147483647 h 2238"/>
              <a:gd name="T70" fmla="*/ 2147483647 w 1919"/>
              <a:gd name="T71" fmla="*/ 2147483647 h 2238"/>
              <a:gd name="T72" fmla="*/ 2147483647 w 1919"/>
              <a:gd name="T73" fmla="*/ 2147483647 h 2238"/>
              <a:gd name="T74" fmla="*/ 2147483647 w 1919"/>
              <a:gd name="T75" fmla="*/ 2147483647 h 2238"/>
              <a:gd name="T76" fmla="*/ 2147483647 w 1919"/>
              <a:gd name="T77" fmla="*/ 2147483647 h 2238"/>
              <a:gd name="T78" fmla="*/ 2147483647 w 1919"/>
              <a:gd name="T79" fmla="*/ 2147483647 h 2238"/>
              <a:gd name="T80" fmla="*/ 2147483647 w 1919"/>
              <a:gd name="T81" fmla="*/ 2147483647 h 2238"/>
              <a:gd name="T82" fmla="*/ 2147483647 w 1919"/>
              <a:gd name="T83" fmla="*/ 2147483647 h 2238"/>
              <a:gd name="T84" fmla="*/ 2147483647 w 1919"/>
              <a:gd name="T85" fmla="*/ 2147483647 h 2238"/>
              <a:gd name="T86" fmla="*/ 2147483647 w 1919"/>
              <a:gd name="T87" fmla="*/ 2147483647 h 2238"/>
              <a:gd name="T88" fmla="*/ 2147483647 w 1919"/>
              <a:gd name="T89" fmla="*/ 2147483647 h 2238"/>
              <a:gd name="T90" fmla="*/ 2147483647 w 1919"/>
              <a:gd name="T91" fmla="*/ 2147483647 h 2238"/>
              <a:gd name="T92" fmla="*/ 2147483647 w 1919"/>
              <a:gd name="T93" fmla="*/ 2147483647 h 2238"/>
              <a:gd name="T94" fmla="*/ 2147483647 w 1919"/>
              <a:gd name="T95" fmla="*/ 2147483647 h 2238"/>
              <a:gd name="T96" fmla="*/ 2147483647 w 1919"/>
              <a:gd name="T97" fmla="*/ 2147483647 h 2238"/>
              <a:gd name="T98" fmla="*/ 2147483647 w 1919"/>
              <a:gd name="T99" fmla="*/ 2147483647 h 2238"/>
              <a:gd name="T100" fmla="*/ 2147483647 w 1919"/>
              <a:gd name="T101" fmla="*/ 2147483647 h 2238"/>
              <a:gd name="T102" fmla="*/ 2147483647 w 1919"/>
              <a:gd name="T103" fmla="*/ 2147483647 h 2238"/>
              <a:gd name="T104" fmla="*/ 2147483647 w 1919"/>
              <a:gd name="T105" fmla="*/ 2147483647 h 2238"/>
              <a:gd name="T106" fmla="*/ 2147483647 w 1919"/>
              <a:gd name="T107" fmla="*/ 2147483647 h 2238"/>
              <a:gd name="T108" fmla="*/ 2147483647 w 1919"/>
              <a:gd name="T109" fmla="*/ 2147483647 h 2238"/>
              <a:gd name="T110" fmla="*/ 2147483647 w 1919"/>
              <a:gd name="T111" fmla="*/ 2147483647 h 2238"/>
              <a:gd name="T112" fmla="*/ 2147483647 w 1919"/>
              <a:gd name="T113" fmla="*/ 2147483647 h 2238"/>
              <a:gd name="T114" fmla="*/ 2147483647 w 1919"/>
              <a:gd name="T115" fmla="*/ 2147483647 h 2238"/>
              <a:gd name="T116" fmla="*/ 2147483647 w 1919"/>
              <a:gd name="T117" fmla="*/ 2147483647 h 2238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w 1919"/>
              <a:gd name="T178" fmla="*/ 0 h 2238"/>
              <a:gd name="T179" fmla="*/ 1919 w 1919"/>
              <a:gd name="T180" fmla="*/ 2238 h 2238"/>
            </a:gdLst>
            <a:ahLst/>
            <a:cxnLst>
              <a:cxn ang="T118">
                <a:pos x="T0" y="T1"/>
              </a:cxn>
              <a:cxn ang="T119">
                <a:pos x="T2" y="T3"/>
              </a:cxn>
              <a:cxn ang="T120">
                <a:pos x="T4" y="T5"/>
              </a:cxn>
              <a:cxn ang="T121">
                <a:pos x="T6" y="T7"/>
              </a:cxn>
              <a:cxn ang="T122">
                <a:pos x="T8" y="T9"/>
              </a:cxn>
              <a:cxn ang="T123">
                <a:pos x="T10" y="T11"/>
              </a:cxn>
              <a:cxn ang="T124">
                <a:pos x="T12" y="T13"/>
              </a:cxn>
              <a:cxn ang="T125">
                <a:pos x="T14" y="T15"/>
              </a:cxn>
              <a:cxn ang="T126">
                <a:pos x="T16" y="T17"/>
              </a:cxn>
              <a:cxn ang="T127">
                <a:pos x="T18" y="T19"/>
              </a:cxn>
              <a:cxn ang="T128">
                <a:pos x="T20" y="T21"/>
              </a:cxn>
              <a:cxn ang="T129">
                <a:pos x="T22" y="T23"/>
              </a:cxn>
              <a:cxn ang="T130">
                <a:pos x="T24" y="T25"/>
              </a:cxn>
              <a:cxn ang="T131">
                <a:pos x="T26" y="T27"/>
              </a:cxn>
              <a:cxn ang="T132">
                <a:pos x="T28" y="T29"/>
              </a:cxn>
              <a:cxn ang="T133">
                <a:pos x="T30" y="T31"/>
              </a:cxn>
              <a:cxn ang="T134">
                <a:pos x="T32" y="T33"/>
              </a:cxn>
              <a:cxn ang="T135">
                <a:pos x="T34" y="T35"/>
              </a:cxn>
              <a:cxn ang="T136">
                <a:pos x="T36" y="T37"/>
              </a:cxn>
              <a:cxn ang="T137">
                <a:pos x="T38" y="T39"/>
              </a:cxn>
              <a:cxn ang="T138">
                <a:pos x="T40" y="T41"/>
              </a:cxn>
              <a:cxn ang="T139">
                <a:pos x="T42" y="T43"/>
              </a:cxn>
              <a:cxn ang="T140">
                <a:pos x="T44" y="T45"/>
              </a:cxn>
              <a:cxn ang="T141">
                <a:pos x="T46" y="T47"/>
              </a:cxn>
              <a:cxn ang="T142">
                <a:pos x="T48" y="T49"/>
              </a:cxn>
              <a:cxn ang="T143">
                <a:pos x="T50" y="T51"/>
              </a:cxn>
              <a:cxn ang="T144">
                <a:pos x="T52" y="T53"/>
              </a:cxn>
              <a:cxn ang="T145">
                <a:pos x="T54" y="T55"/>
              </a:cxn>
              <a:cxn ang="T146">
                <a:pos x="T56" y="T57"/>
              </a:cxn>
              <a:cxn ang="T147">
                <a:pos x="T58" y="T59"/>
              </a:cxn>
              <a:cxn ang="T148">
                <a:pos x="T60" y="T61"/>
              </a:cxn>
              <a:cxn ang="T149">
                <a:pos x="T62" y="T63"/>
              </a:cxn>
              <a:cxn ang="T150">
                <a:pos x="T64" y="T65"/>
              </a:cxn>
              <a:cxn ang="T151">
                <a:pos x="T66" y="T67"/>
              </a:cxn>
              <a:cxn ang="T152">
                <a:pos x="T68" y="T69"/>
              </a:cxn>
              <a:cxn ang="T153">
                <a:pos x="T70" y="T71"/>
              </a:cxn>
              <a:cxn ang="T154">
                <a:pos x="T72" y="T73"/>
              </a:cxn>
              <a:cxn ang="T155">
                <a:pos x="T74" y="T75"/>
              </a:cxn>
              <a:cxn ang="T156">
                <a:pos x="T76" y="T77"/>
              </a:cxn>
              <a:cxn ang="T157">
                <a:pos x="T78" y="T79"/>
              </a:cxn>
              <a:cxn ang="T158">
                <a:pos x="T80" y="T81"/>
              </a:cxn>
              <a:cxn ang="T159">
                <a:pos x="T82" y="T83"/>
              </a:cxn>
              <a:cxn ang="T160">
                <a:pos x="T84" y="T85"/>
              </a:cxn>
              <a:cxn ang="T161">
                <a:pos x="T86" y="T87"/>
              </a:cxn>
              <a:cxn ang="T162">
                <a:pos x="T88" y="T89"/>
              </a:cxn>
              <a:cxn ang="T163">
                <a:pos x="T90" y="T91"/>
              </a:cxn>
              <a:cxn ang="T164">
                <a:pos x="T92" y="T93"/>
              </a:cxn>
              <a:cxn ang="T165">
                <a:pos x="T94" y="T95"/>
              </a:cxn>
              <a:cxn ang="T166">
                <a:pos x="T96" y="T97"/>
              </a:cxn>
              <a:cxn ang="T167">
                <a:pos x="T98" y="T99"/>
              </a:cxn>
              <a:cxn ang="T168">
                <a:pos x="T100" y="T101"/>
              </a:cxn>
              <a:cxn ang="T169">
                <a:pos x="T102" y="T103"/>
              </a:cxn>
              <a:cxn ang="T170">
                <a:pos x="T104" y="T105"/>
              </a:cxn>
              <a:cxn ang="T171">
                <a:pos x="T106" y="T107"/>
              </a:cxn>
              <a:cxn ang="T172">
                <a:pos x="T108" y="T109"/>
              </a:cxn>
              <a:cxn ang="T173">
                <a:pos x="T110" y="T111"/>
              </a:cxn>
              <a:cxn ang="T174">
                <a:pos x="T112" y="T113"/>
              </a:cxn>
              <a:cxn ang="T175">
                <a:pos x="T114" y="T115"/>
              </a:cxn>
              <a:cxn ang="T176">
                <a:pos x="T116" y="T117"/>
              </a:cxn>
            </a:cxnLst>
            <a:rect l="T177" t="T178" r="T179" b="T180"/>
            <a:pathLst>
              <a:path w="1919" h="2238">
                <a:moveTo>
                  <a:pt x="1804" y="2195"/>
                </a:moveTo>
                <a:lnTo>
                  <a:pt x="1810" y="2194"/>
                </a:lnTo>
                <a:lnTo>
                  <a:pt x="1844" y="2187"/>
                </a:lnTo>
                <a:lnTo>
                  <a:pt x="1850" y="2127"/>
                </a:lnTo>
                <a:lnTo>
                  <a:pt x="1833" y="2123"/>
                </a:lnTo>
                <a:lnTo>
                  <a:pt x="1812" y="2105"/>
                </a:lnTo>
                <a:lnTo>
                  <a:pt x="1812" y="2039"/>
                </a:lnTo>
                <a:lnTo>
                  <a:pt x="1827" y="2026"/>
                </a:lnTo>
                <a:lnTo>
                  <a:pt x="1850" y="1964"/>
                </a:lnTo>
                <a:lnTo>
                  <a:pt x="1850" y="1901"/>
                </a:lnTo>
                <a:lnTo>
                  <a:pt x="1858" y="1894"/>
                </a:lnTo>
                <a:lnTo>
                  <a:pt x="1863" y="1873"/>
                </a:lnTo>
                <a:lnTo>
                  <a:pt x="1896" y="1851"/>
                </a:lnTo>
                <a:lnTo>
                  <a:pt x="1913" y="1833"/>
                </a:lnTo>
                <a:lnTo>
                  <a:pt x="1919" y="1820"/>
                </a:lnTo>
                <a:lnTo>
                  <a:pt x="1874" y="1785"/>
                </a:lnTo>
                <a:lnTo>
                  <a:pt x="1873" y="1774"/>
                </a:lnTo>
                <a:lnTo>
                  <a:pt x="1850" y="1719"/>
                </a:lnTo>
                <a:lnTo>
                  <a:pt x="1827" y="1688"/>
                </a:lnTo>
                <a:lnTo>
                  <a:pt x="1826" y="1655"/>
                </a:lnTo>
                <a:lnTo>
                  <a:pt x="1772" y="1600"/>
                </a:lnTo>
                <a:lnTo>
                  <a:pt x="1710" y="1538"/>
                </a:lnTo>
                <a:lnTo>
                  <a:pt x="1639" y="1469"/>
                </a:lnTo>
                <a:lnTo>
                  <a:pt x="1617" y="1446"/>
                </a:lnTo>
                <a:lnTo>
                  <a:pt x="1590" y="1419"/>
                </a:lnTo>
                <a:lnTo>
                  <a:pt x="1589" y="1418"/>
                </a:lnTo>
                <a:lnTo>
                  <a:pt x="1523" y="1354"/>
                </a:lnTo>
                <a:lnTo>
                  <a:pt x="1468" y="1302"/>
                </a:lnTo>
                <a:lnTo>
                  <a:pt x="1351" y="1189"/>
                </a:lnTo>
                <a:lnTo>
                  <a:pt x="1282" y="1124"/>
                </a:lnTo>
                <a:lnTo>
                  <a:pt x="1269" y="1112"/>
                </a:lnTo>
                <a:lnTo>
                  <a:pt x="1227" y="1074"/>
                </a:lnTo>
                <a:lnTo>
                  <a:pt x="1219" y="1065"/>
                </a:lnTo>
                <a:lnTo>
                  <a:pt x="1187" y="1036"/>
                </a:lnTo>
                <a:lnTo>
                  <a:pt x="1116" y="971"/>
                </a:lnTo>
                <a:lnTo>
                  <a:pt x="1055" y="916"/>
                </a:lnTo>
                <a:lnTo>
                  <a:pt x="1023" y="888"/>
                </a:lnTo>
                <a:lnTo>
                  <a:pt x="979" y="849"/>
                </a:lnTo>
                <a:lnTo>
                  <a:pt x="962" y="833"/>
                </a:lnTo>
                <a:lnTo>
                  <a:pt x="957" y="829"/>
                </a:lnTo>
                <a:lnTo>
                  <a:pt x="948" y="821"/>
                </a:lnTo>
                <a:lnTo>
                  <a:pt x="915" y="792"/>
                </a:lnTo>
                <a:lnTo>
                  <a:pt x="900" y="778"/>
                </a:lnTo>
                <a:lnTo>
                  <a:pt x="889" y="770"/>
                </a:lnTo>
                <a:lnTo>
                  <a:pt x="852" y="737"/>
                </a:lnTo>
                <a:lnTo>
                  <a:pt x="840" y="726"/>
                </a:lnTo>
                <a:lnTo>
                  <a:pt x="832" y="721"/>
                </a:lnTo>
                <a:lnTo>
                  <a:pt x="822" y="711"/>
                </a:lnTo>
                <a:lnTo>
                  <a:pt x="822" y="695"/>
                </a:lnTo>
                <a:lnTo>
                  <a:pt x="822" y="684"/>
                </a:lnTo>
                <a:lnTo>
                  <a:pt x="821" y="681"/>
                </a:lnTo>
                <a:lnTo>
                  <a:pt x="821" y="671"/>
                </a:lnTo>
                <a:lnTo>
                  <a:pt x="821" y="652"/>
                </a:lnTo>
                <a:lnTo>
                  <a:pt x="821" y="636"/>
                </a:lnTo>
                <a:lnTo>
                  <a:pt x="821" y="622"/>
                </a:lnTo>
                <a:lnTo>
                  <a:pt x="822" y="606"/>
                </a:lnTo>
                <a:lnTo>
                  <a:pt x="822" y="592"/>
                </a:lnTo>
                <a:lnTo>
                  <a:pt x="822" y="563"/>
                </a:lnTo>
                <a:lnTo>
                  <a:pt x="822" y="540"/>
                </a:lnTo>
                <a:lnTo>
                  <a:pt x="822" y="485"/>
                </a:lnTo>
                <a:lnTo>
                  <a:pt x="823" y="357"/>
                </a:lnTo>
                <a:lnTo>
                  <a:pt x="822" y="195"/>
                </a:lnTo>
                <a:lnTo>
                  <a:pt x="822" y="155"/>
                </a:lnTo>
                <a:lnTo>
                  <a:pt x="822" y="56"/>
                </a:lnTo>
                <a:lnTo>
                  <a:pt x="822" y="4"/>
                </a:lnTo>
                <a:lnTo>
                  <a:pt x="783" y="4"/>
                </a:lnTo>
                <a:lnTo>
                  <a:pt x="775" y="4"/>
                </a:lnTo>
                <a:lnTo>
                  <a:pt x="657" y="4"/>
                </a:lnTo>
                <a:lnTo>
                  <a:pt x="622" y="4"/>
                </a:lnTo>
                <a:lnTo>
                  <a:pt x="579" y="2"/>
                </a:lnTo>
                <a:lnTo>
                  <a:pt x="551" y="2"/>
                </a:lnTo>
                <a:lnTo>
                  <a:pt x="447" y="1"/>
                </a:lnTo>
                <a:lnTo>
                  <a:pt x="415" y="0"/>
                </a:lnTo>
                <a:lnTo>
                  <a:pt x="394" y="0"/>
                </a:lnTo>
                <a:lnTo>
                  <a:pt x="252" y="1"/>
                </a:lnTo>
                <a:lnTo>
                  <a:pt x="233" y="0"/>
                </a:lnTo>
                <a:lnTo>
                  <a:pt x="217" y="1"/>
                </a:lnTo>
                <a:lnTo>
                  <a:pt x="196" y="2"/>
                </a:lnTo>
                <a:lnTo>
                  <a:pt x="180" y="1"/>
                </a:lnTo>
                <a:lnTo>
                  <a:pt x="163" y="2"/>
                </a:lnTo>
                <a:lnTo>
                  <a:pt x="144" y="2"/>
                </a:lnTo>
                <a:lnTo>
                  <a:pt x="138" y="4"/>
                </a:lnTo>
                <a:lnTo>
                  <a:pt x="107" y="4"/>
                </a:lnTo>
                <a:lnTo>
                  <a:pt x="74" y="2"/>
                </a:lnTo>
                <a:lnTo>
                  <a:pt x="50" y="2"/>
                </a:lnTo>
                <a:lnTo>
                  <a:pt x="33" y="2"/>
                </a:lnTo>
                <a:lnTo>
                  <a:pt x="25" y="56"/>
                </a:lnTo>
                <a:lnTo>
                  <a:pt x="47" y="71"/>
                </a:lnTo>
                <a:lnTo>
                  <a:pt x="61" y="129"/>
                </a:lnTo>
                <a:lnTo>
                  <a:pt x="60" y="150"/>
                </a:lnTo>
                <a:lnTo>
                  <a:pt x="46" y="205"/>
                </a:lnTo>
                <a:lnTo>
                  <a:pt x="39" y="207"/>
                </a:lnTo>
                <a:lnTo>
                  <a:pt x="45" y="228"/>
                </a:lnTo>
                <a:lnTo>
                  <a:pt x="49" y="226"/>
                </a:lnTo>
                <a:lnTo>
                  <a:pt x="52" y="238"/>
                </a:lnTo>
                <a:lnTo>
                  <a:pt x="44" y="268"/>
                </a:lnTo>
                <a:lnTo>
                  <a:pt x="1" y="357"/>
                </a:lnTo>
                <a:lnTo>
                  <a:pt x="5" y="386"/>
                </a:lnTo>
                <a:lnTo>
                  <a:pt x="0" y="411"/>
                </a:lnTo>
                <a:lnTo>
                  <a:pt x="50" y="449"/>
                </a:lnTo>
                <a:lnTo>
                  <a:pt x="69" y="474"/>
                </a:lnTo>
                <a:lnTo>
                  <a:pt x="104" y="533"/>
                </a:lnTo>
                <a:lnTo>
                  <a:pt x="113" y="563"/>
                </a:lnTo>
                <a:lnTo>
                  <a:pt x="106" y="622"/>
                </a:lnTo>
                <a:lnTo>
                  <a:pt x="137" y="740"/>
                </a:lnTo>
                <a:lnTo>
                  <a:pt x="159" y="766"/>
                </a:lnTo>
                <a:lnTo>
                  <a:pt x="214" y="827"/>
                </a:lnTo>
                <a:lnTo>
                  <a:pt x="236" y="845"/>
                </a:lnTo>
                <a:lnTo>
                  <a:pt x="250" y="877"/>
                </a:lnTo>
                <a:lnTo>
                  <a:pt x="260" y="878"/>
                </a:lnTo>
                <a:lnTo>
                  <a:pt x="266" y="888"/>
                </a:lnTo>
                <a:lnTo>
                  <a:pt x="262" y="890"/>
                </a:lnTo>
                <a:lnTo>
                  <a:pt x="268" y="916"/>
                </a:lnTo>
                <a:lnTo>
                  <a:pt x="267" y="950"/>
                </a:lnTo>
                <a:lnTo>
                  <a:pt x="274" y="940"/>
                </a:lnTo>
                <a:lnTo>
                  <a:pt x="286" y="942"/>
                </a:lnTo>
                <a:lnTo>
                  <a:pt x="307" y="962"/>
                </a:lnTo>
                <a:lnTo>
                  <a:pt x="327" y="971"/>
                </a:lnTo>
                <a:lnTo>
                  <a:pt x="349" y="990"/>
                </a:lnTo>
                <a:lnTo>
                  <a:pt x="357" y="988"/>
                </a:lnTo>
                <a:lnTo>
                  <a:pt x="356" y="997"/>
                </a:lnTo>
                <a:lnTo>
                  <a:pt x="351" y="999"/>
                </a:lnTo>
                <a:lnTo>
                  <a:pt x="354" y="1016"/>
                </a:lnTo>
                <a:lnTo>
                  <a:pt x="354" y="1065"/>
                </a:lnTo>
                <a:lnTo>
                  <a:pt x="359" y="1065"/>
                </a:lnTo>
                <a:lnTo>
                  <a:pt x="371" y="1094"/>
                </a:lnTo>
                <a:lnTo>
                  <a:pt x="370" y="1124"/>
                </a:lnTo>
                <a:lnTo>
                  <a:pt x="385" y="1153"/>
                </a:lnTo>
                <a:lnTo>
                  <a:pt x="393" y="1158"/>
                </a:lnTo>
                <a:lnTo>
                  <a:pt x="412" y="1182"/>
                </a:lnTo>
                <a:lnTo>
                  <a:pt x="439" y="1195"/>
                </a:lnTo>
                <a:lnTo>
                  <a:pt x="467" y="1193"/>
                </a:lnTo>
                <a:lnTo>
                  <a:pt x="483" y="1218"/>
                </a:lnTo>
                <a:lnTo>
                  <a:pt x="480" y="1263"/>
                </a:lnTo>
                <a:lnTo>
                  <a:pt x="471" y="1277"/>
                </a:lnTo>
                <a:lnTo>
                  <a:pt x="461" y="1269"/>
                </a:lnTo>
                <a:lnTo>
                  <a:pt x="451" y="1281"/>
                </a:lnTo>
                <a:lnTo>
                  <a:pt x="477" y="1361"/>
                </a:lnTo>
                <a:lnTo>
                  <a:pt x="494" y="1370"/>
                </a:lnTo>
                <a:lnTo>
                  <a:pt x="541" y="1420"/>
                </a:lnTo>
                <a:lnTo>
                  <a:pt x="550" y="1449"/>
                </a:lnTo>
                <a:lnTo>
                  <a:pt x="569" y="1468"/>
                </a:lnTo>
                <a:lnTo>
                  <a:pt x="578" y="1490"/>
                </a:lnTo>
                <a:lnTo>
                  <a:pt x="606" y="1508"/>
                </a:lnTo>
                <a:lnTo>
                  <a:pt x="626" y="1537"/>
                </a:lnTo>
                <a:lnTo>
                  <a:pt x="655" y="1553"/>
                </a:lnTo>
                <a:lnTo>
                  <a:pt x="660" y="1567"/>
                </a:lnTo>
                <a:lnTo>
                  <a:pt x="654" y="1597"/>
                </a:lnTo>
                <a:lnTo>
                  <a:pt x="681" y="1618"/>
                </a:lnTo>
                <a:lnTo>
                  <a:pt x="703" y="1626"/>
                </a:lnTo>
                <a:lnTo>
                  <a:pt x="701" y="1661"/>
                </a:lnTo>
                <a:lnTo>
                  <a:pt x="704" y="1685"/>
                </a:lnTo>
                <a:lnTo>
                  <a:pt x="705" y="1761"/>
                </a:lnTo>
                <a:lnTo>
                  <a:pt x="751" y="1784"/>
                </a:lnTo>
                <a:lnTo>
                  <a:pt x="822" y="1783"/>
                </a:lnTo>
                <a:lnTo>
                  <a:pt x="845" y="1795"/>
                </a:lnTo>
                <a:lnTo>
                  <a:pt x="891" y="1793"/>
                </a:lnTo>
                <a:lnTo>
                  <a:pt x="920" y="1804"/>
                </a:lnTo>
                <a:lnTo>
                  <a:pt x="959" y="1833"/>
                </a:lnTo>
                <a:lnTo>
                  <a:pt x="977" y="1862"/>
                </a:lnTo>
                <a:lnTo>
                  <a:pt x="1019" y="1882"/>
                </a:lnTo>
                <a:lnTo>
                  <a:pt x="1079" y="1883"/>
                </a:lnTo>
                <a:lnTo>
                  <a:pt x="1102" y="1890"/>
                </a:lnTo>
                <a:lnTo>
                  <a:pt x="1117" y="1917"/>
                </a:lnTo>
                <a:lnTo>
                  <a:pt x="1126" y="1953"/>
                </a:lnTo>
                <a:lnTo>
                  <a:pt x="1145" y="1962"/>
                </a:lnTo>
                <a:lnTo>
                  <a:pt x="1173" y="1953"/>
                </a:lnTo>
                <a:lnTo>
                  <a:pt x="1195" y="1974"/>
                </a:lnTo>
                <a:lnTo>
                  <a:pt x="1219" y="1989"/>
                </a:lnTo>
                <a:lnTo>
                  <a:pt x="1271" y="2037"/>
                </a:lnTo>
                <a:lnTo>
                  <a:pt x="1289" y="2051"/>
                </a:lnTo>
                <a:lnTo>
                  <a:pt x="1321" y="2099"/>
                </a:lnTo>
                <a:lnTo>
                  <a:pt x="1335" y="2187"/>
                </a:lnTo>
                <a:lnTo>
                  <a:pt x="1357" y="2217"/>
                </a:lnTo>
                <a:lnTo>
                  <a:pt x="1360" y="2238"/>
                </a:lnTo>
                <a:lnTo>
                  <a:pt x="1551" y="2218"/>
                </a:lnTo>
                <a:lnTo>
                  <a:pt x="1804" y="2195"/>
                </a:lnTo>
                <a:close/>
              </a:path>
            </a:pathLst>
          </a:custGeom>
          <a:solidFill>
            <a:srgbClr val="FFFFFF"/>
          </a:solidFill>
          <a:ln>
            <a:solidFill>
              <a:schemeClr val="bg1">
                <a:lumMod val="85000"/>
              </a:schemeClr>
            </a:solidFill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</xdr:sp>
      <xdr:sp macro="" textlink="">
        <xdr:nvSpPr>
          <xdr:cNvPr id="110" name="S_CA4">
            <a:extLst>
              <a:ext uri="{FF2B5EF4-FFF2-40B4-BE49-F238E27FC236}">
                <a16:creationId xmlns:a16="http://schemas.microsoft.com/office/drawing/2014/main" id="{00000000-0008-0000-0400-00006E000000}"/>
              </a:ext>
            </a:extLst>
          </xdr:cNvPr>
          <xdr:cNvSpPr>
            <a:spLocks/>
          </xdr:cNvSpPr>
        </xdr:nvSpPr>
        <xdr:spPr bwMode="auto">
          <a:xfrm>
            <a:off x="1421081" y="3339805"/>
            <a:ext cx="53106" cy="22777"/>
          </a:xfrm>
          <a:custGeom>
            <a:avLst/>
            <a:gdLst>
              <a:gd name="T0" fmla="*/ 0 w 70"/>
              <a:gd name="T1" fmla="*/ 0 h 27"/>
              <a:gd name="T2" fmla="*/ 2147483647 w 70"/>
              <a:gd name="T3" fmla="*/ 2147483647 h 27"/>
              <a:gd name="T4" fmla="*/ 2147483647 w 70"/>
              <a:gd name="T5" fmla="*/ 0 h 27"/>
              <a:gd name="T6" fmla="*/ 2147483647 w 70"/>
              <a:gd name="T7" fmla="*/ 2147483647 h 27"/>
              <a:gd name="T8" fmla="*/ 2147483647 w 70"/>
              <a:gd name="T9" fmla="*/ 2147483647 h 27"/>
              <a:gd name="T10" fmla="*/ 2147483647 w 70"/>
              <a:gd name="T11" fmla="*/ 2147483647 h 27"/>
              <a:gd name="T12" fmla="*/ 0 w 70"/>
              <a:gd name="T13" fmla="*/ 0 h 2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70"/>
              <a:gd name="T22" fmla="*/ 0 h 27"/>
              <a:gd name="T23" fmla="*/ 70 w 70"/>
              <a:gd name="T24" fmla="*/ 27 h 2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70" h="27">
                <a:moveTo>
                  <a:pt x="0" y="0"/>
                </a:moveTo>
                <a:lnTo>
                  <a:pt x="52" y="16"/>
                </a:lnTo>
                <a:lnTo>
                  <a:pt x="63" y="7"/>
                </a:lnTo>
                <a:lnTo>
                  <a:pt x="70" y="14"/>
                </a:lnTo>
                <a:lnTo>
                  <a:pt x="63" y="21"/>
                </a:lnTo>
                <a:lnTo>
                  <a:pt x="13" y="27"/>
                </a:lnTo>
                <a:lnTo>
                  <a:pt x="0" y="0"/>
                </a:lnTo>
                <a:close/>
              </a:path>
            </a:pathLst>
          </a:custGeom>
          <a:solidFill>
            <a:srgbClr val="FFFFFF"/>
          </a:solidFill>
          <a:ln>
            <a:solidFill>
              <a:schemeClr val="bg1">
                <a:lumMod val="85000"/>
              </a:schemeClr>
            </a:solidFill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</xdr:sp>
      <xdr:sp macro="" textlink="">
        <xdr:nvSpPr>
          <xdr:cNvPr id="111" name="S_CA3">
            <a:extLst>
              <a:ext uri="{FF2B5EF4-FFF2-40B4-BE49-F238E27FC236}">
                <a16:creationId xmlns:a16="http://schemas.microsoft.com/office/drawing/2014/main" id="{00000000-0008-0000-0400-00006F000000}"/>
              </a:ext>
            </a:extLst>
          </xdr:cNvPr>
          <xdr:cNvSpPr>
            <a:spLocks/>
          </xdr:cNvSpPr>
        </xdr:nvSpPr>
        <xdr:spPr bwMode="auto">
          <a:xfrm>
            <a:off x="1383150" y="3347395"/>
            <a:ext cx="30346" cy="22777"/>
          </a:xfrm>
          <a:custGeom>
            <a:avLst/>
            <a:gdLst>
              <a:gd name="T0" fmla="*/ 0 w 47"/>
              <a:gd name="T1" fmla="*/ 2147483647 h 28"/>
              <a:gd name="T2" fmla="*/ 2147483647 w 47"/>
              <a:gd name="T3" fmla="*/ 2147483647 h 28"/>
              <a:gd name="T4" fmla="*/ 2147483647 w 47"/>
              <a:gd name="T5" fmla="*/ 2147483647 h 28"/>
              <a:gd name="T6" fmla="*/ 2147483647 w 47"/>
              <a:gd name="T7" fmla="*/ 2147483647 h 28"/>
              <a:gd name="T8" fmla="*/ 2147483647 w 47"/>
              <a:gd name="T9" fmla="*/ 0 h 28"/>
              <a:gd name="T10" fmla="*/ 0 w 47"/>
              <a:gd name="T11" fmla="*/ 2147483647 h 28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47"/>
              <a:gd name="T19" fmla="*/ 0 h 28"/>
              <a:gd name="T20" fmla="*/ 47 w 47"/>
              <a:gd name="T21" fmla="*/ 28 h 28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47" h="28">
                <a:moveTo>
                  <a:pt x="0" y="13"/>
                </a:moveTo>
                <a:lnTo>
                  <a:pt x="10" y="28"/>
                </a:lnTo>
                <a:lnTo>
                  <a:pt x="47" y="21"/>
                </a:lnTo>
                <a:lnTo>
                  <a:pt x="33" y="8"/>
                </a:lnTo>
                <a:lnTo>
                  <a:pt x="33" y="0"/>
                </a:lnTo>
                <a:lnTo>
                  <a:pt x="0" y="13"/>
                </a:lnTo>
                <a:close/>
              </a:path>
            </a:pathLst>
          </a:custGeom>
          <a:solidFill>
            <a:srgbClr val="FFFFFF"/>
          </a:solidFill>
          <a:ln>
            <a:solidFill>
              <a:schemeClr val="bg1">
                <a:lumMod val="85000"/>
              </a:schemeClr>
            </a:solidFill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</xdr:sp>
      <xdr:sp macro="" textlink="">
        <xdr:nvSpPr>
          <xdr:cNvPr id="112" name="S_CA2">
            <a:extLst>
              <a:ext uri="{FF2B5EF4-FFF2-40B4-BE49-F238E27FC236}">
                <a16:creationId xmlns:a16="http://schemas.microsoft.com/office/drawing/2014/main" id="{00000000-0008-0000-0400-000070000000}"/>
              </a:ext>
            </a:extLst>
          </xdr:cNvPr>
          <xdr:cNvSpPr>
            <a:spLocks/>
          </xdr:cNvSpPr>
        </xdr:nvSpPr>
        <xdr:spPr bwMode="auto">
          <a:xfrm>
            <a:off x="1618323" y="3446085"/>
            <a:ext cx="30346" cy="30369"/>
          </a:xfrm>
          <a:custGeom>
            <a:avLst/>
            <a:gdLst>
              <a:gd name="T0" fmla="*/ 0 w 45"/>
              <a:gd name="T1" fmla="*/ 0 h 37"/>
              <a:gd name="T2" fmla="*/ 0 w 45"/>
              <a:gd name="T3" fmla="*/ 2147483647 h 37"/>
              <a:gd name="T4" fmla="*/ 2147483647 w 45"/>
              <a:gd name="T5" fmla="*/ 2147483647 h 37"/>
              <a:gd name="T6" fmla="*/ 2147483647 w 45"/>
              <a:gd name="T7" fmla="*/ 2147483647 h 37"/>
              <a:gd name="T8" fmla="*/ 2147483647 w 45"/>
              <a:gd name="T9" fmla="*/ 2147483647 h 37"/>
              <a:gd name="T10" fmla="*/ 2147483647 w 45"/>
              <a:gd name="T11" fmla="*/ 2147483647 h 37"/>
              <a:gd name="T12" fmla="*/ 0 w 45"/>
              <a:gd name="T13" fmla="*/ 0 h 3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5"/>
              <a:gd name="T22" fmla="*/ 0 h 37"/>
              <a:gd name="T23" fmla="*/ 45 w 45"/>
              <a:gd name="T24" fmla="*/ 37 h 3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5" h="37">
                <a:moveTo>
                  <a:pt x="0" y="0"/>
                </a:moveTo>
                <a:lnTo>
                  <a:pt x="1" y="9"/>
                </a:lnTo>
                <a:lnTo>
                  <a:pt x="13" y="12"/>
                </a:lnTo>
                <a:lnTo>
                  <a:pt x="27" y="37"/>
                </a:lnTo>
                <a:lnTo>
                  <a:pt x="45" y="30"/>
                </a:lnTo>
                <a:lnTo>
                  <a:pt x="37" y="16"/>
                </a:lnTo>
                <a:lnTo>
                  <a:pt x="0" y="0"/>
                </a:lnTo>
                <a:close/>
              </a:path>
            </a:pathLst>
          </a:custGeom>
          <a:solidFill>
            <a:srgbClr val="FFFFFF"/>
          </a:solidFill>
          <a:ln>
            <a:solidFill>
              <a:schemeClr val="bg1">
                <a:lumMod val="85000"/>
              </a:schemeClr>
            </a:solidFill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</xdr:sp>
      <xdr:sp macro="" textlink="">
        <xdr:nvSpPr>
          <xdr:cNvPr id="113" name="S_CA1">
            <a:extLst>
              <a:ext uri="{FF2B5EF4-FFF2-40B4-BE49-F238E27FC236}">
                <a16:creationId xmlns:a16="http://schemas.microsoft.com/office/drawing/2014/main" id="{00000000-0008-0000-0400-000071000000}"/>
              </a:ext>
            </a:extLst>
          </xdr:cNvPr>
          <xdr:cNvSpPr>
            <a:spLocks/>
          </xdr:cNvSpPr>
        </xdr:nvSpPr>
        <xdr:spPr bwMode="auto">
          <a:xfrm>
            <a:off x="1610736" y="3529584"/>
            <a:ext cx="37932" cy="37961"/>
          </a:xfrm>
          <a:custGeom>
            <a:avLst/>
            <a:gdLst>
              <a:gd name="T0" fmla="*/ 0 w 43"/>
              <a:gd name="T1" fmla="*/ 0 h 50"/>
              <a:gd name="T2" fmla="*/ 2147483647 w 43"/>
              <a:gd name="T3" fmla="*/ 2147483647 h 50"/>
              <a:gd name="T4" fmla="*/ 2147483647 w 43"/>
              <a:gd name="T5" fmla="*/ 2147483647 h 50"/>
              <a:gd name="T6" fmla="*/ 0 w 43"/>
              <a:gd name="T7" fmla="*/ 0 h 50"/>
              <a:gd name="T8" fmla="*/ 0 60000 65536"/>
              <a:gd name="T9" fmla="*/ 0 60000 65536"/>
              <a:gd name="T10" fmla="*/ 0 60000 65536"/>
              <a:gd name="T11" fmla="*/ 0 60000 65536"/>
              <a:gd name="T12" fmla="*/ 0 w 43"/>
              <a:gd name="T13" fmla="*/ 0 h 50"/>
              <a:gd name="T14" fmla="*/ 43 w 43"/>
              <a:gd name="T15" fmla="*/ 50 h 50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43" h="50">
                <a:moveTo>
                  <a:pt x="0" y="0"/>
                </a:moveTo>
                <a:lnTo>
                  <a:pt x="25" y="50"/>
                </a:lnTo>
                <a:lnTo>
                  <a:pt x="43" y="49"/>
                </a:lnTo>
                <a:lnTo>
                  <a:pt x="0" y="0"/>
                </a:lnTo>
                <a:close/>
              </a:path>
            </a:pathLst>
          </a:custGeom>
          <a:solidFill>
            <a:srgbClr val="FFFFFF"/>
          </a:solidFill>
          <a:ln>
            <a:solidFill>
              <a:schemeClr val="bg1">
                <a:lumMod val="85000"/>
              </a:schemeClr>
            </a:solidFill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</xdr:sp>
    </xdr:grpSp>
    <xdr:clientData/>
  </xdr:twoCellAnchor>
  <xdr:twoCellAnchor>
    <xdr:from>
      <xdr:col>18</xdr:col>
      <xdr:colOff>365862</xdr:colOff>
      <xdr:row>15</xdr:row>
      <xdr:rowOff>167491</xdr:rowOff>
    </xdr:from>
    <xdr:to>
      <xdr:col>19</xdr:col>
      <xdr:colOff>276425</xdr:colOff>
      <xdr:row>19</xdr:row>
      <xdr:rowOff>153784</xdr:rowOff>
    </xdr:to>
    <xdr:sp macro="" textlink="">
      <xdr:nvSpPr>
        <xdr:cNvPr id="114" name="S_AZ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>
          <a:spLocks/>
        </xdr:cNvSpPr>
      </xdr:nvSpPr>
      <xdr:spPr bwMode="auto">
        <a:xfrm>
          <a:off x="1346937" y="3215491"/>
          <a:ext cx="520163" cy="824493"/>
        </a:xfrm>
        <a:custGeom>
          <a:avLst/>
          <a:gdLst>
            <a:gd name="T0" fmla="*/ 2147483647 w 1079"/>
            <a:gd name="T1" fmla="*/ 2147483647 h 1340"/>
            <a:gd name="T2" fmla="*/ 2147483647 w 1079"/>
            <a:gd name="T3" fmla="*/ 2147483647 h 1340"/>
            <a:gd name="T4" fmla="*/ 2147483647 w 1079"/>
            <a:gd name="T5" fmla="*/ 2147483647 h 1340"/>
            <a:gd name="T6" fmla="*/ 2147483647 w 1079"/>
            <a:gd name="T7" fmla="*/ 2147483647 h 1340"/>
            <a:gd name="T8" fmla="*/ 2147483647 w 1079"/>
            <a:gd name="T9" fmla="*/ 2147483647 h 1340"/>
            <a:gd name="T10" fmla="*/ 2147483647 w 1079"/>
            <a:gd name="T11" fmla="*/ 2147483647 h 1340"/>
            <a:gd name="T12" fmla="*/ 2147483647 w 1079"/>
            <a:gd name="T13" fmla="*/ 2147483647 h 1340"/>
            <a:gd name="T14" fmla="*/ 2147483647 w 1079"/>
            <a:gd name="T15" fmla="*/ 2147483647 h 1340"/>
            <a:gd name="T16" fmla="*/ 2147483647 w 1079"/>
            <a:gd name="T17" fmla="*/ 2147483647 h 1340"/>
            <a:gd name="T18" fmla="*/ 2147483647 w 1079"/>
            <a:gd name="T19" fmla="*/ 2147483647 h 1340"/>
            <a:gd name="T20" fmla="*/ 2147483647 w 1079"/>
            <a:gd name="T21" fmla="*/ 2147483647 h 1340"/>
            <a:gd name="T22" fmla="*/ 2147483647 w 1079"/>
            <a:gd name="T23" fmla="*/ 2147483647 h 1340"/>
            <a:gd name="T24" fmla="*/ 2147483647 w 1079"/>
            <a:gd name="T25" fmla="*/ 2147483647 h 1340"/>
            <a:gd name="T26" fmla="*/ 2147483647 w 1079"/>
            <a:gd name="T27" fmla="*/ 2147483647 h 1340"/>
            <a:gd name="T28" fmla="*/ 2147483647 w 1079"/>
            <a:gd name="T29" fmla="*/ 2147483647 h 1340"/>
            <a:gd name="T30" fmla="*/ 2147483647 w 1079"/>
            <a:gd name="T31" fmla="*/ 2147483647 h 1340"/>
            <a:gd name="T32" fmla="*/ 2147483647 w 1079"/>
            <a:gd name="T33" fmla="*/ 2147483647 h 1340"/>
            <a:gd name="T34" fmla="*/ 2147483647 w 1079"/>
            <a:gd name="T35" fmla="*/ 2147483647 h 1340"/>
            <a:gd name="T36" fmla="*/ 2147483647 w 1079"/>
            <a:gd name="T37" fmla="*/ 2147483647 h 1340"/>
            <a:gd name="T38" fmla="*/ 2147483647 w 1079"/>
            <a:gd name="T39" fmla="*/ 2147483647 h 1340"/>
            <a:gd name="T40" fmla="*/ 2147483647 w 1079"/>
            <a:gd name="T41" fmla="*/ 0 h 1340"/>
            <a:gd name="T42" fmla="*/ 2147483647 w 1079"/>
            <a:gd name="T43" fmla="*/ 2147483647 h 1340"/>
            <a:gd name="T44" fmla="*/ 2147483647 w 1079"/>
            <a:gd name="T45" fmla="*/ 2147483647 h 1340"/>
            <a:gd name="T46" fmla="*/ 2147483647 w 1079"/>
            <a:gd name="T47" fmla="*/ 2147483647 h 1340"/>
            <a:gd name="T48" fmla="*/ 2147483647 w 1079"/>
            <a:gd name="T49" fmla="*/ 2147483647 h 1340"/>
            <a:gd name="T50" fmla="*/ 2147483647 w 1079"/>
            <a:gd name="T51" fmla="*/ 2147483647 h 1340"/>
            <a:gd name="T52" fmla="*/ 2147483647 w 1079"/>
            <a:gd name="T53" fmla="*/ 2147483647 h 1340"/>
            <a:gd name="T54" fmla="*/ 2147483647 w 1079"/>
            <a:gd name="T55" fmla="*/ 2147483647 h 1340"/>
            <a:gd name="T56" fmla="*/ 2147483647 w 1079"/>
            <a:gd name="T57" fmla="*/ 2147483647 h 1340"/>
            <a:gd name="T58" fmla="*/ 2147483647 w 1079"/>
            <a:gd name="T59" fmla="*/ 2147483647 h 1340"/>
            <a:gd name="T60" fmla="*/ 2147483647 w 1079"/>
            <a:gd name="T61" fmla="*/ 2147483647 h 1340"/>
            <a:gd name="T62" fmla="*/ 2147483647 w 1079"/>
            <a:gd name="T63" fmla="*/ 2147483647 h 1340"/>
            <a:gd name="T64" fmla="*/ 2147483647 w 1079"/>
            <a:gd name="T65" fmla="*/ 2147483647 h 1340"/>
            <a:gd name="T66" fmla="*/ 2147483647 w 1079"/>
            <a:gd name="T67" fmla="*/ 2147483647 h 1340"/>
            <a:gd name="T68" fmla="*/ 2147483647 w 1079"/>
            <a:gd name="T69" fmla="*/ 2147483647 h 1340"/>
            <a:gd name="T70" fmla="*/ 2147483647 w 1079"/>
            <a:gd name="T71" fmla="*/ 2147483647 h 1340"/>
            <a:gd name="T72" fmla="*/ 2147483647 w 1079"/>
            <a:gd name="T73" fmla="*/ 2147483647 h 1340"/>
            <a:gd name="T74" fmla="*/ 2147483647 w 1079"/>
            <a:gd name="T75" fmla="*/ 2147483647 h 1340"/>
            <a:gd name="T76" fmla="*/ 2147483647 w 1079"/>
            <a:gd name="T77" fmla="*/ 2147483647 h 1340"/>
            <a:gd name="T78" fmla="*/ 0 w 1079"/>
            <a:gd name="T79" fmla="*/ 2147483647 h 1340"/>
            <a:gd name="T80" fmla="*/ 0 60000 65536"/>
            <a:gd name="T81" fmla="*/ 0 60000 65536"/>
            <a:gd name="T82" fmla="*/ 0 60000 65536"/>
            <a:gd name="T83" fmla="*/ 0 60000 65536"/>
            <a:gd name="T84" fmla="*/ 0 60000 65536"/>
            <a:gd name="T85" fmla="*/ 0 60000 65536"/>
            <a:gd name="T86" fmla="*/ 0 60000 65536"/>
            <a:gd name="T87" fmla="*/ 0 60000 65536"/>
            <a:gd name="T88" fmla="*/ 0 60000 65536"/>
            <a:gd name="T89" fmla="*/ 0 60000 65536"/>
            <a:gd name="T90" fmla="*/ 0 60000 65536"/>
            <a:gd name="T91" fmla="*/ 0 60000 65536"/>
            <a:gd name="T92" fmla="*/ 0 60000 65536"/>
            <a:gd name="T93" fmla="*/ 0 60000 65536"/>
            <a:gd name="T94" fmla="*/ 0 60000 65536"/>
            <a:gd name="T95" fmla="*/ 0 60000 65536"/>
            <a:gd name="T96" fmla="*/ 0 60000 65536"/>
            <a:gd name="T97" fmla="*/ 0 60000 65536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w 1079"/>
            <a:gd name="T121" fmla="*/ 0 h 1340"/>
            <a:gd name="T122" fmla="*/ 1079 w 1079"/>
            <a:gd name="T123" fmla="*/ 1340 h 1340"/>
          </a:gdLst>
          <a:ahLst/>
          <a:cxnLst>
            <a:cxn ang="T80">
              <a:pos x="T0" y="T1"/>
            </a:cxn>
            <a:cxn ang="T81">
              <a:pos x="T2" y="T3"/>
            </a:cxn>
            <a:cxn ang="T82">
              <a:pos x="T4" y="T5"/>
            </a:cxn>
            <a:cxn ang="T83">
              <a:pos x="T6" y="T7"/>
            </a:cxn>
            <a:cxn ang="T84">
              <a:pos x="T8" y="T9"/>
            </a:cxn>
            <a:cxn ang="T85">
              <a:pos x="T10" y="T11"/>
            </a:cxn>
            <a:cxn ang="T86">
              <a:pos x="T12" y="T13"/>
            </a:cxn>
            <a:cxn ang="T87">
              <a:pos x="T14" y="T15"/>
            </a:cxn>
            <a:cxn ang="T88">
              <a:pos x="T16" y="T17"/>
            </a:cxn>
            <a:cxn ang="T89">
              <a:pos x="T18" y="T19"/>
            </a:cxn>
            <a:cxn ang="T90">
              <a:pos x="T20" y="T21"/>
            </a:cxn>
            <a:cxn ang="T91">
              <a:pos x="T22" y="T23"/>
            </a:cxn>
            <a:cxn ang="T92">
              <a:pos x="T24" y="T25"/>
            </a:cxn>
            <a:cxn ang="T93">
              <a:pos x="T26" y="T27"/>
            </a:cxn>
            <a:cxn ang="T94">
              <a:pos x="T28" y="T29"/>
            </a:cxn>
            <a:cxn ang="T95">
              <a:pos x="T30" y="T31"/>
            </a:cxn>
            <a:cxn ang="T96">
              <a:pos x="T32" y="T33"/>
            </a:cxn>
            <a:cxn ang="T97">
              <a:pos x="T34" y="T35"/>
            </a:cxn>
            <a:cxn ang="T98">
              <a:pos x="T36" y="T37"/>
            </a:cxn>
            <a:cxn ang="T99">
              <a:pos x="T38" y="T39"/>
            </a:cxn>
            <a:cxn ang="T100">
              <a:pos x="T40" y="T41"/>
            </a:cxn>
            <a:cxn ang="T101">
              <a:pos x="T42" y="T43"/>
            </a:cxn>
            <a:cxn ang="T102">
              <a:pos x="T44" y="T45"/>
            </a:cxn>
            <a:cxn ang="T103">
              <a:pos x="T46" y="T47"/>
            </a:cxn>
            <a:cxn ang="T104">
              <a:pos x="T48" y="T49"/>
            </a:cxn>
            <a:cxn ang="T105">
              <a:pos x="T50" y="T51"/>
            </a:cxn>
            <a:cxn ang="T106">
              <a:pos x="T52" y="T53"/>
            </a:cxn>
            <a:cxn ang="T107">
              <a:pos x="T54" y="T55"/>
            </a:cxn>
            <a:cxn ang="T108">
              <a:pos x="T56" y="T57"/>
            </a:cxn>
            <a:cxn ang="T109">
              <a:pos x="T58" y="T59"/>
            </a:cxn>
            <a:cxn ang="T110">
              <a:pos x="T60" y="T61"/>
            </a:cxn>
            <a:cxn ang="T111">
              <a:pos x="T62" y="T63"/>
            </a:cxn>
            <a:cxn ang="T112">
              <a:pos x="T64" y="T65"/>
            </a:cxn>
            <a:cxn ang="T113">
              <a:pos x="T66" y="T67"/>
            </a:cxn>
            <a:cxn ang="T114">
              <a:pos x="T68" y="T69"/>
            </a:cxn>
            <a:cxn ang="T115">
              <a:pos x="T70" y="T71"/>
            </a:cxn>
            <a:cxn ang="T116">
              <a:pos x="T72" y="T73"/>
            </a:cxn>
            <a:cxn ang="T117">
              <a:pos x="T74" y="T75"/>
            </a:cxn>
            <a:cxn ang="T118">
              <a:pos x="T76" y="T77"/>
            </a:cxn>
            <a:cxn ang="T119">
              <a:pos x="T78" y="T79"/>
            </a:cxn>
          </a:cxnLst>
          <a:rect l="T120" t="T121" r="T122" b="T123"/>
          <a:pathLst>
            <a:path w="1079" h="1340">
              <a:moveTo>
                <a:pt x="0" y="1045"/>
              </a:moveTo>
              <a:lnTo>
                <a:pt x="18" y="1012"/>
              </a:lnTo>
              <a:lnTo>
                <a:pt x="52" y="1005"/>
              </a:lnTo>
              <a:lnTo>
                <a:pt x="58" y="945"/>
              </a:lnTo>
              <a:lnTo>
                <a:pt x="41" y="941"/>
              </a:lnTo>
              <a:lnTo>
                <a:pt x="20" y="923"/>
              </a:lnTo>
              <a:lnTo>
                <a:pt x="20" y="857"/>
              </a:lnTo>
              <a:lnTo>
                <a:pt x="35" y="844"/>
              </a:lnTo>
              <a:lnTo>
                <a:pt x="58" y="782"/>
              </a:lnTo>
              <a:lnTo>
                <a:pt x="58" y="719"/>
              </a:lnTo>
              <a:lnTo>
                <a:pt x="66" y="712"/>
              </a:lnTo>
              <a:lnTo>
                <a:pt x="71" y="691"/>
              </a:lnTo>
              <a:lnTo>
                <a:pt x="104" y="669"/>
              </a:lnTo>
              <a:lnTo>
                <a:pt x="121" y="651"/>
              </a:lnTo>
              <a:lnTo>
                <a:pt x="127" y="638"/>
              </a:lnTo>
              <a:lnTo>
                <a:pt x="82" y="603"/>
              </a:lnTo>
              <a:lnTo>
                <a:pt x="81" y="592"/>
              </a:lnTo>
              <a:lnTo>
                <a:pt x="58" y="537"/>
              </a:lnTo>
              <a:lnTo>
                <a:pt x="35" y="506"/>
              </a:lnTo>
              <a:lnTo>
                <a:pt x="34" y="473"/>
              </a:lnTo>
              <a:lnTo>
                <a:pt x="42" y="415"/>
              </a:lnTo>
              <a:lnTo>
                <a:pt x="22" y="296"/>
              </a:lnTo>
              <a:lnTo>
                <a:pt x="27" y="267"/>
              </a:lnTo>
              <a:lnTo>
                <a:pt x="12" y="216"/>
              </a:lnTo>
              <a:lnTo>
                <a:pt x="58" y="203"/>
              </a:lnTo>
              <a:lnTo>
                <a:pt x="105" y="233"/>
              </a:lnTo>
              <a:lnTo>
                <a:pt x="142" y="192"/>
              </a:lnTo>
              <a:lnTo>
                <a:pt x="143" y="38"/>
              </a:lnTo>
              <a:lnTo>
                <a:pt x="143" y="1"/>
              </a:lnTo>
              <a:lnTo>
                <a:pt x="204" y="1"/>
              </a:lnTo>
              <a:lnTo>
                <a:pt x="266" y="1"/>
              </a:lnTo>
              <a:lnTo>
                <a:pt x="358" y="1"/>
              </a:lnTo>
              <a:lnTo>
                <a:pt x="362" y="1"/>
              </a:lnTo>
              <a:lnTo>
                <a:pt x="386" y="1"/>
              </a:lnTo>
              <a:lnTo>
                <a:pt x="425" y="1"/>
              </a:lnTo>
              <a:lnTo>
                <a:pt x="573" y="1"/>
              </a:lnTo>
              <a:lnTo>
                <a:pt x="620" y="1"/>
              </a:lnTo>
              <a:lnTo>
                <a:pt x="636" y="1"/>
              </a:lnTo>
              <a:lnTo>
                <a:pt x="666" y="1"/>
              </a:lnTo>
              <a:lnTo>
                <a:pt x="713" y="1"/>
              </a:lnTo>
              <a:lnTo>
                <a:pt x="760" y="1"/>
              </a:lnTo>
              <a:lnTo>
                <a:pt x="808" y="0"/>
              </a:lnTo>
              <a:lnTo>
                <a:pt x="813" y="2"/>
              </a:lnTo>
              <a:lnTo>
                <a:pt x="900" y="2"/>
              </a:lnTo>
              <a:lnTo>
                <a:pt x="970" y="2"/>
              </a:lnTo>
              <a:lnTo>
                <a:pt x="994" y="1"/>
              </a:lnTo>
              <a:lnTo>
                <a:pt x="1079" y="2"/>
              </a:lnTo>
              <a:lnTo>
                <a:pt x="1079" y="60"/>
              </a:lnTo>
              <a:lnTo>
                <a:pt x="1079" y="120"/>
              </a:lnTo>
              <a:lnTo>
                <a:pt x="1079" y="236"/>
              </a:lnTo>
              <a:lnTo>
                <a:pt x="1079" y="348"/>
              </a:lnTo>
              <a:lnTo>
                <a:pt x="1079" y="355"/>
              </a:lnTo>
              <a:lnTo>
                <a:pt x="1079" y="484"/>
              </a:lnTo>
              <a:lnTo>
                <a:pt x="1079" y="524"/>
              </a:lnTo>
              <a:lnTo>
                <a:pt x="1079" y="529"/>
              </a:lnTo>
              <a:lnTo>
                <a:pt x="1079" y="573"/>
              </a:lnTo>
              <a:lnTo>
                <a:pt x="1079" y="622"/>
              </a:lnTo>
              <a:lnTo>
                <a:pt x="1078" y="709"/>
              </a:lnTo>
              <a:lnTo>
                <a:pt x="1079" y="763"/>
              </a:lnTo>
              <a:lnTo>
                <a:pt x="1079" y="767"/>
              </a:lnTo>
              <a:lnTo>
                <a:pt x="1079" y="769"/>
              </a:lnTo>
              <a:lnTo>
                <a:pt x="1078" y="897"/>
              </a:lnTo>
              <a:lnTo>
                <a:pt x="1078" y="911"/>
              </a:lnTo>
              <a:lnTo>
                <a:pt x="1078" y="946"/>
              </a:lnTo>
              <a:lnTo>
                <a:pt x="1078" y="998"/>
              </a:lnTo>
              <a:lnTo>
                <a:pt x="1078" y="1005"/>
              </a:lnTo>
              <a:lnTo>
                <a:pt x="1078" y="1065"/>
              </a:lnTo>
              <a:lnTo>
                <a:pt x="1078" y="1082"/>
              </a:lnTo>
              <a:lnTo>
                <a:pt x="1078" y="1289"/>
              </a:lnTo>
              <a:lnTo>
                <a:pt x="1078" y="1295"/>
              </a:lnTo>
              <a:lnTo>
                <a:pt x="1078" y="1340"/>
              </a:lnTo>
              <a:lnTo>
                <a:pt x="815" y="1340"/>
              </a:lnTo>
              <a:lnTo>
                <a:pt x="698" y="1340"/>
              </a:lnTo>
              <a:lnTo>
                <a:pt x="650" y="1320"/>
              </a:lnTo>
              <a:lnTo>
                <a:pt x="645" y="1318"/>
              </a:lnTo>
              <a:lnTo>
                <a:pt x="620" y="1308"/>
              </a:lnTo>
              <a:lnTo>
                <a:pt x="619" y="1308"/>
              </a:lnTo>
              <a:lnTo>
                <a:pt x="277" y="1173"/>
              </a:lnTo>
              <a:lnTo>
                <a:pt x="27" y="1076"/>
              </a:lnTo>
              <a:lnTo>
                <a:pt x="0" y="1045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pPr algn="ctr"/>
          <a:endParaRPr lang="en-US" sz="800" b="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21</xdr:col>
      <xdr:colOff>363913</xdr:colOff>
      <xdr:row>16</xdr:row>
      <xdr:rowOff>38216</xdr:rowOff>
    </xdr:from>
    <xdr:to>
      <xdr:col>22</xdr:col>
      <xdr:colOff>204307</xdr:colOff>
      <xdr:row>18</xdr:row>
      <xdr:rowOff>115429</xdr:rowOff>
    </xdr:to>
    <xdr:sp macro="" textlink="">
      <xdr:nvSpPr>
        <xdr:cNvPr id="115" name="S_AR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>
          <a:spLocks/>
        </xdr:cNvSpPr>
      </xdr:nvSpPr>
      <xdr:spPr bwMode="auto">
        <a:xfrm>
          <a:off x="3173788" y="3276716"/>
          <a:ext cx="449994" cy="496313"/>
        </a:xfrm>
        <a:custGeom>
          <a:avLst/>
          <a:gdLst>
            <a:gd name="T0" fmla="*/ 2147483647 w 931"/>
            <a:gd name="T1" fmla="*/ 2147483647 h 825"/>
            <a:gd name="T2" fmla="*/ 2147483647 w 931"/>
            <a:gd name="T3" fmla="*/ 2147483647 h 825"/>
            <a:gd name="T4" fmla="*/ 2147483647 w 931"/>
            <a:gd name="T5" fmla="*/ 2147483647 h 825"/>
            <a:gd name="T6" fmla="*/ 2147483647 w 931"/>
            <a:gd name="T7" fmla="*/ 2147483647 h 825"/>
            <a:gd name="T8" fmla="*/ 2147483647 w 931"/>
            <a:gd name="T9" fmla="*/ 2147483647 h 825"/>
            <a:gd name="T10" fmla="*/ 2147483647 w 931"/>
            <a:gd name="T11" fmla="*/ 2147483647 h 825"/>
            <a:gd name="T12" fmla="*/ 2147483647 w 931"/>
            <a:gd name="T13" fmla="*/ 2147483647 h 825"/>
            <a:gd name="T14" fmla="*/ 2147483647 w 931"/>
            <a:gd name="T15" fmla="*/ 2147483647 h 825"/>
            <a:gd name="T16" fmla="*/ 2147483647 w 931"/>
            <a:gd name="T17" fmla="*/ 2147483647 h 825"/>
            <a:gd name="T18" fmla="*/ 2147483647 w 931"/>
            <a:gd name="T19" fmla="*/ 2147483647 h 825"/>
            <a:gd name="T20" fmla="*/ 2147483647 w 931"/>
            <a:gd name="T21" fmla="*/ 2147483647 h 825"/>
            <a:gd name="T22" fmla="*/ 2147483647 w 931"/>
            <a:gd name="T23" fmla="*/ 2147483647 h 825"/>
            <a:gd name="T24" fmla="*/ 2147483647 w 931"/>
            <a:gd name="T25" fmla="*/ 2147483647 h 825"/>
            <a:gd name="T26" fmla="*/ 2147483647 w 931"/>
            <a:gd name="T27" fmla="*/ 2147483647 h 825"/>
            <a:gd name="T28" fmla="*/ 2147483647 w 931"/>
            <a:gd name="T29" fmla="*/ 2147483647 h 825"/>
            <a:gd name="T30" fmla="*/ 2147483647 w 931"/>
            <a:gd name="T31" fmla="*/ 2147483647 h 825"/>
            <a:gd name="T32" fmla="*/ 2147483647 w 931"/>
            <a:gd name="T33" fmla="*/ 2147483647 h 825"/>
            <a:gd name="T34" fmla="*/ 2147483647 w 931"/>
            <a:gd name="T35" fmla="*/ 2147483647 h 825"/>
            <a:gd name="T36" fmla="*/ 2147483647 w 931"/>
            <a:gd name="T37" fmla="*/ 2147483647 h 825"/>
            <a:gd name="T38" fmla="*/ 2147483647 w 931"/>
            <a:gd name="T39" fmla="*/ 2147483647 h 825"/>
            <a:gd name="T40" fmla="*/ 2147483647 w 931"/>
            <a:gd name="T41" fmla="*/ 2147483647 h 825"/>
            <a:gd name="T42" fmla="*/ 2147483647 w 931"/>
            <a:gd name="T43" fmla="*/ 2147483647 h 825"/>
            <a:gd name="T44" fmla="*/ 2147483647 w 931"/>
            <a:gd name="T45" fmla="*/ 2147483647 h 825"/>
            <a:gd name="T46" fmla="*/ 2147483647 w 931"/>
            <a:gd name="T47" fmla="*/ 2147483647 h 825"/>
            <a:gd name="T48" fmla="*/ 2147483647 w 931"/>
            <a:gd name="T49" fmla="*/ 2147483647 h 825"/>
            <a:gd name="T50" fmla="*/ 2147483647 w 931"/>
            <a:gd name="T51" fmla="*/ 2147483647 h 825"/>
            <a:gd name="T52" fmla="*/ 2147483647 w 931"/>
            <a:gd name="T53" fmla="*/ 2147483647 h 825"/>
            <a:gd name="T54" fmla="*/ 2147483647 w 931"/>
            <a:gd name="T55" fmla="*/ 2147483647 h 825"/>
            <a:gd name="T56" fmla="*/ 2147483647 w 931"/>
            <a:gd name="T57" fmla="*/ 2147483647 h 825"/>
            <a:gd name="T58" fmla="*/ 2147483647 w 931"/>
            <a:gd name="T59" fmla="*/ 2147483647 h 825"/>
            <a:gd name="T60" fmla="*/ 2147483647 w 931"/>
            <a:gd name="T61" fmla="*/ 2147483647 h 825"/>
            <a:gd name="T62" fmla="*/ 2147483647 w 931"/>
            <a:gd name="T63" fmla="*/ 2147483647 h 825"/>
            <a:gd name="T64" fmla="*/ 2147483647 w 931"/>
            <a:gd name="T65" fmla="*/ 2147483647 h 825"/>
            <a:gd name="T66" fmla="*/ 2147483647 w 931"/>
            <a:gd name="T67" fmla="*/ 2147483647 h 825"/>
            <a:gd name="T68" fmla="*/ 2147483647 w 931"/>
            <a:gd name="T69" fmla="*/ 2147483647 h 825"/>
            <a:gd name="T70" fmla="*/ 2147483647 w 931"/>
            <a:gd name="T71" fmla="*/ 2147483647 h 825"/>
            <a:gd name="T72" fmla="*/ 2147483647 w 931"/>
            <a:gd name="T73" fmla="*/ 2147483647 h 825"/>
            <a:gd name="T74" fmla="*/ 2147483647 w 931"/>
            <a:gd name="T75" fmla="*/ 2147483647 h 825"/>
            <a:gd name="T76" fmla="*/ 2147483647 w 931"/>
            <a:gd name="T77" fmla="*/ 2147483647 h 825"/>
            <a:gd name="T78" fmla="*/ 2147483647 w 931"/>
            <a:gd name="T79" fmla="*/ 2147483647 h 825"/>
            <a:gd name="T80" fmla="*/ 2147483647 w 931"/>
            <a:gd name="T81" fmla="*/ 2147483647 h 825"/>
            <a:gd name="T82" fmla="*/ 2147483647 w 931"/>
            <a:gd name="T83" fmla="*/ 2147483647 h 825"/>
            <a:gd name="T84" fmla="*/ 2147483647 w 931"/>
            <a:gd name="T85" fmla="*/ 0 h 825"/>
            <a:gd name="T86" fmla="*/ 2147483647 w 931"/>
            <a:gd name="T87" fmla="*/ 0 h 825"/>
            <a:gd name="T88" fmla="*/ 2147483647 w 931"/>
            <a:gd name="T89" fmla="*/ 0 h 825"/>
            <a:gd name="T90" fmla="*/ 2147483647 w 931"/>
            <a:gd name="T91" fmla="*/ 0 h 825"/>
            <a:gd name="T92" fmla="*/ 2147483647 w 931"/>
            <a:gd name="T93" fmla="*/ 0 h 825"/>
            <a:gd name="T94" fmla="*/ 2147483647 w 931"/>
            <a:gd name="T95" fmla="*/ 0 h 825"/>
            <a:gd name="T96" fmla="*/ 2147483647 w 931"/>
            <a:gd name="T97" fmla="*/ 0 h 825"/>
            <a:gd name="T98" fmla="*/ 2147483647 w 931"/>
            <a:gd name="T99" fmla="*/ 0 h 825"/>
            <a:gd name="T100" fmla="*/ 2147483647 w 931"/>
            <a:gd name="T101" fmla="*/ 0 h 825"/>
            <a:gd name="T102" fmla="*/ 2147483647 w 931"/>
            <a:gd name="T103" fmla="*/ 0 h 825"/>
            <a:gd name="T104" fmla="*/ 2147483647 w 931"/>
            <a:gd name="T105" fmla="*/ 0 h 825"/>
            <a:gd name="T106" fmla="*/ 2147483647 w 931"/>
            <a:gd name="T107" fmla="*/ 0 h 825"/>
            <a:gd name="T108" fmla="*/ 2147483647 w 931"/>
            <a:gd name="T109" fmla="*/ 0 h 825"/>
            <a:gd name="T110" fmla="*/ 2147483647 w 931"/>
            <a:gd name="T111" fmla="*/ 0 h 825"/>
            <a:gd name="T112" fmla="*/ 2147483647 w 931"/>
            <a:gd name="T113" fmla="*/ 0 h 825"/>
            <a:gd name="T114" fmla="*/ 2147483647 w 931"/>
            <a:gd name="T115" fmla="*/ 0 h 825"/>
            <a:gd name="T116" fmla="*/ 0 w 931"/>
            <a:gd name="T117" fmla="*/ 2147483647 h 825"/>
            <a:gd name="T118" fmla="*/ 2147483647 w 931"/>
            <a:gd name="T119" fmla="*/ 2147483647 h 825"/>
            <a:gd name="T120" fmla="*/ 2147483647 w 931"/>
            <a:gd name="T121" fmla="*/ 2147483647 h 825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w 931"/>
            <a:gd name="T184" fmla="*/ 0 h 825"/>
            <a:gd name="T185" fmla="*/ 931 w 931"/>
            <a:gd name="T186" fmla="*/ 825 h 825"/>
          </a:gdLst>
          <a:ahLst/>
          <a:cxnLst>
            <a:cxn ang="T122">
              <a:pos x="T0" y="T1"/>
            </a:cxn>
            <a:cxn ang="T123">
              <a:pos x="T2" y="T3"/>
            </a:cxn>
            <a:cxn ang="T124">
              <a:pos x="T4" y="T5"/>
            </a:cxn>
            <a:cxn ang="T125">
              <a:pos x="T6" y="T7"/>
            </a:cxn>
            <a:cxn ang="T126">
              <a:pos x="T8" y="T9"/>
            </a:cxn>
            <a:cxn ang="T127">
              <a:pos x="T10" y="T11"/>
            </a:cxn>
            <a:cxn ang="T128">
              <a:pos x="T12" y="T13"/>
            </a:cxn>
            <a:cxn ang="T129">
              <a:pos x="T14" y="T15"/>
            </a:cxn>
            <a:cxn ang="T130">
              <a:pos x="T16" y="T17"/>
            </a:cxn>
            <a:cxn ang="T131">
              <a:pos x="T18" y="T19"/>
            </a:cxn>
            <a:cxn ang="T132">
              <a:pos x="T20" y="T21"/>
            </a:cxn>
            <a:cxn ang="T133">
              <a:pos x="T22" y="T23"/>
            </a:cxn>
            <a:cxn ang="T134">
              <a:pos x="T24" y="T25"/>
            </a:cxn>
            <a:cxn ang="T135">
              <a:pos x="T26" y="T27"/>
            </a:cxn>
            <a:cxn ang="T136">
              <a:pos x="T28" y="T29"/>
            </a:cxn>
            <a:cxn ang="T137">
              <a:pos x="T30" y="T31"/>
            </a:cxn>
            <a:cxn ang="T138">
              <a:pos x="T32" y="T33"/>
            </a:cxn>
            <a:cxn ang="T139">
              <a:pos x="T34" y="T35"/>
            </a:cxn>
            <a:cxn ang="T140">
              <a:pos x="T36" y="T37"/>
            </a:cxn>
            <a:cxn ang="T141">
              <a:pos x="T38" y="T39"/>
            </a:cxn>
            <a:cxn ang="T142">
              <a:pos x="T40" y="T41"/>
            </a:cxn>
            <a:cxn ang="T143">
              <a:pos x="T42" y="T43"/>
            </a:cxn>
            <a:cxn ang="T144">
              <a:pos x="T44" y="T45"/>
            </a:cxn>
            <a:cxn ang="T145">
              <a:pos x="T46" y="T47"/>
            </a:cxn>
            <a:cxn ang="T146">
              <a:pos x="T48" y="T49"/>
            </a:cxn>
            <a:cxn ang="T147">
              <a:pos x="T50" y="T51"/>
            </a:cxn>
            <a:cxn ang="T148">
              <a:pos x="T52" y="T53"/>
            </a:cxn>
            <a:cxn ang="T149">
              <a:pos x="T54" y="T55"/>
            </a:cxn>
            <a:cxn ang="T150">
              <a:pos x="T56" y="T57"/>
            </a:cxn>
            <a:cxn ang="T151">
              <a:pos x="T58" y="T59"/>
            </a:cxn>
            <a:cxn ang="T152">
              <a:pos x="T60" y="T61"/>
            </a:cxn>
            <a:cxn ang="T153">
              <a:pos x="T62" y="T63"/>
            </a:cxn>
            <a:cxn ang="T154">
              <a:pos x="T64" y="T65"/>
            </a:cxn>
            <a:cxn ang="T155">
              <a:pos x="T66" y="T67"/>
            </a:cxn>
            <a:cxn ang="T156">
              <a:pos x="T68" y="T69"/>
            </a:cxn>
            <a:cxn ang="T157">
              <a:pos x="T70" y="T71"/>
            </a:cxn>
            <a:cxn ang="T158">
              <a:pos x="T72" y="T73"/>
            </a:cxn>
            <a:cxn ang="T159">
              <a:pos x="T74" y="T75"/>
            </a:cxn>
            <a:cxn ang="T160">
              <a:pos x="T76" y="T77"/>
            </a:cxn>
            <a:cxn ang="T161">
              <a:pos x="T78" y="T79"/>
            </a:cxn>
            <a:cxn ang="T162">
              <a:pos x="T80" y="T81"/>
            </a:cxn>
            <a:cxn ang="T163">
              <a:pos x="T82" y="T83"/>
            </a:cxn>
            <a:cxn ang="T164">
              <a:pos x="T84" y="T85"/>
            </a:cxn>
            <a:cxn ang="T165">
              <a:pos x="T86" y="T87"/>
            </a:cxn>
            <a:cxn ang="T166">
              <a:pos x="T88" y="T89"/>
            </a:cxn>
            <a:cxn ang="T167">
              <a:pos x="T90" y="T91"/>
            </a:cxn>
            <a:cxn ang="T168">
              <a:pos x="T92" y="T93"/>
            </a:cxn>
            <a:cxn ang="T169">
              <a:pos x="T94" y="T95"/>
            </a:cxn>
            <a:cxn ang="T170">
              <a:pos x="T96" y="T97"/>
            </a:cxn>
            <a:cxn ang="T171">
              <a:pos x="T98" y="T99"/>
            </a:cxn>
            <a:cxn ang="T172">
              <a:pos x="T100" y="T101"/>
            </a:cxn>
            <a:cxn ang="T173">
              <a:pos x="T102" y="T103"/>
            </a:cxn>
            <a:cxn ang="T174">
              <a:pos x="T104" y="T105"/>
            </a:cxn>
            <a:cxn ang="T175">
              <a:pos x="T106" y="T107"/>
            </a:cxn>
            <a:cxn ang="T176">
              <a:pos x="T108" y="T109"/>
            </a:cxn>
            <a:cxn ang="T177">
              <a:pos x="T110" y="T111"/>
            </a:cxn>
            <a:cxn ang="T178">
              <a:pos x="T112" y="T113"/>
            </a:cxn>
            <a:cxn ang="T179">
              <a:pos x="T114" y="T115"/>
            </a:cxn>
            <a:cxn ang="T180">
              <a:pos x="T116" y="T117"/>
            </a:cxn>
            <a:cxn ang="T181">
              <a:pos x="T118" y="T119"/>
            </a:cxn>
            <a:cxn ang="T182">
              <a:pos x="T120" y="T121"/>
            </a:cxn>
          </a:cxnLst>
          <a:rect l="T183" t="T184" r="T185" b="T186"/>
          <a:pathLst>
            <a:path w="931" h="825">
              <a:moveTo>
                <a:pt x="24" y="174"/>
              </a:moveTo>
              <a:lnTo>
                <a:pt x="26" y="187"/>
              </a:lnTo>
              <a:lnTo>
                <a:pt x="27" y="194"/>
              </a:lnTo>
              <a:lnTo>
                <a:pt x="28" y="203"/>
              </a:lnTo>
              <a:lnTo>
                <a:pt x="32" y="233"/>
              </a:lnTo>
              <a:lnTo>
                <a:pt x="32" y="235"/>
              </a:lnTo>
              <a:lnTo>
                <a:pt x="36" y="260"/>
              </a:lnTo>
              <a:lnTo>
                <a:pt x="36" y="261"/>
              </a:lnTo>
              <a:lnTo>
                <a:pt x="36" y="262"/>
              </a:lnTo>
              <a:lnTo>
                <a:pt x="36" y="265"/>
              </a:lnTo>
              <a:lnTo>
                <a:pt x="34" y="295"/>
              </a:lnTo>
              <a:lnTo>
                <a:pt x="32" y="369"/>
              </a:lnTo>
              <a:lnTo>
                <a:pt x="32" y="381"/>
              </a:lnTo>
              <a:lnTo>
                <a:pt x="32" y="383"/>
              </a:lnTo>
              <a:lnTo>
                <a:pt x="31" y="418"/>
              </a:lnTo>
              <a:lnTo>
                <a:pt x="31" y="428"/>
              </a:lnTo>
              <a:lnTo>
                <a:pt x="30" y="437"/>
              </a:lnTo>
              <a:lnTo>
                <a:pt x="30" y="471"/>
              </a:lnTo>
              <a:lnTo>
                <a:pt x="30" y="481"/>
              </a:lnTo>
              <a:lnTo>
                <a:pt x="29" y="531"/>
              </a:lnTo>
              <a:lnTo>
                <a:pt x="28" y="546"/>
              </a:lnTo>
              <a:lnTo>
                <a:pt x="28" y="560"/>
              </a:lnTo>
              <a:lnTo>
                <a:pt x="27" y="600"/>
              </a:lnTo>
              <a:lnTo>
                <a:pt x="27" y="604"/>
              </a:lnTo>
              <a:lnTo>
                <a:pt x="27" y="610"/>
              </a:lnTo>
              <a:lnTo>
                <a:pt x="27" y="615"/>
              </a:lnTo>
              <a:lnTo>
                <a:pt x="26" y="675"/>
              </a:lnTo>
              <a:lnTo>
                <a:pt x="46" y="697"/>
              </a:lnTo>
              <a:lnTo>
                <a:pt x="70" y="688"/>
              </a:lnTo>
              <a:lnTo>
                <a:pt x="108" y="695"/>
              </a:lnTo>
              <a:lnTo>
                <a:pt x="108" y="703"/>
              </a:lnTo>
              <a:lnTo>
                <a:pt x="108" y="737"/>
              </a:lnTo>
              <a:lnTo>
                <a:pt x="108" y="762"/>
              </a:lnTo>
              <a:lnTo>
                <a:pt x="108" y="767"/>
              </a:lnTo>
              <a:lnTo>
                <a:pt x="108" y="797"/>
              </a:lnTo>
              <a:lnTo>
                <a:pt x="108" y="822"/>
              </a:lnTo>
              <a:lnTo>
                <a:pt x="116" y="822"/>
              </a:lnTo>
              <a:lnTo>
                <a:pt x="130" y="822"/>
              </a:lnTo>
              <a:lnTo>
                <a:pt x="152" y="822"/>
              </a:lnTo>
              <a:lnTo>
                <a:pt x="176" y="822"/>
              </a:lnTo>
              <a:lnTo>
                <a:pt x="178" y="822"/>
              </a:lnTo>
              <a:lnTo>
                <a:pt x="206" y="822"/>
              </a:lnTo>
              <a:lnTo>
                <a:pt x="210" y="822"/>
              </a:lnTo>
              <a:lnTo>
                <a:pt x="211" y="822"/>
              </a:lnTo>
              <a:lnTo>
                <a:pt x="240" y="822"/>
              </a:lnTo>
              <a:lnTo>
                <a:pt x="256" y="822"/>
              </a:lnTo>
              <a:lnTo>
                <a:pt x="258" y="822"/>
              </a:lnTo>
              <a:lnTo>
                <a:pt x="264" y="822"/>
              </a:lnTo>
              <a:lnTo>
                <a:pt x="269" y="822"/>
              </a:lnTo>
              <a:lnTo>
                <a:pt x="305" y="822"/>
              </a:lnTo>
              <a:lnTo>
                <a:pt x="340" y="823"/>
              </a:lnTo>
              <a:lnTo>
                <a:pt x="354" y="823"/>
              </a:lnTo>
              <a:lnTo>
                <a:pt x="397" y="824"/>
              </a:lnTo>
              <a:lnTo>
                <a:pt x="459" y="824"/>
              </a:lnTo>
              <a:lnTo>
                <a:pt x="478" y="824"/>
              </a:lnTo>
              <a:lnTo>
                <a:pt x="567" y="825"/>
              </a:lnTo>
              <a:lnTo>
                <a:pt x="570" y="825"/>
              </a:lnTo>
              <a:lnTo>
                <a:pt x="591" y="825"/>
              </a:lnTo>
              <a:lnTo>
                <a:pt x="596" y="825"/>
              </a:lnTo>
              <a:lnTo>
                <a:pt x="601" y="825"/>
              </a:lnTo>
              <a:lnTo>
                <a:pt x="602" y="825"/>
              </a:lnTo>
              <a:lnTo>
                <a:pt x="628" y="825"/>
              </a:lnTo>
              <a:lnTo>
                <a:pt x="636" y="825"/>
              </a:lnTo>
              <a:lnTo>
                <a:pt x="640" y="825"/>
              </a:lnTo>
              <a:lnTo>
                <a:pt x="647" y="825"/>
              </a:lnTo>
              <a:lnTo>
                <a:pt x="647" y="824"/>
              </a:lnTo>
              <a:lnTo>
                <a:pt x="654" y="735"/>
              </a:lnTo>
              <a:lnTo>
                <a:pt x="646" y="736"/>
              </a:lnTo>
              <a:lnTo>
                <a:pt x="654" y="715"/>
              </a:lnTo>
              <a:lnTo>
                <a:pt x="634" y="721"/>
              </a:lnTo>
              <a:lnTo>
                <a:pt x="642" y="706"/>
              </a:lnTo>
              <a:lnTo>
                <a:pt x="637" y="701"/>
              </a:lnTo>
              <a:lnTo>
                <a:pt x="636" y="700"/>
              </a:lnTo>
              <a:lnTo>
                <a:pt x="634" y="693"/>
              </a:lnTo>
              <a:lnTo>
                <a:pt x="654" y="659"/>
              </a:lnTo>
              <a:lnTo>
                <a:pt x="654" y="641"/>
              </a:lnTo>
              <a:lnTo>
                <a:pt x="678" y="645"/>
              </a:lnTo>
              <a:lnTo>
                <a:pt x="662" y="595"/>
              </a:lnTo>
              <a:lnTo>
                <a:pt x="678" y="586"/>
              </a:lnTo>
              <a:lnTo>
                <a:pt x="686" y="562"/>
              </a:lnTo>
              <a:lnTo>
                <a:pt x="708" y="531"/>
              </a:lnTo>
              <a:lnTo>
                <a:pt x="724" y="521"/>
              </a:lnTo>
              <a:lnTo>
                <a:pt x="721" y="506"/>
              </a:lnTo>
              <a:lnTo>
                <a:pt x="738" y="503"/>
              </a:lnTo>
              <a:lnTo>
                <a:pt x="734" y="513"/>
              </a:lnTo>
              <a:lnTo>
                <a:pt x="738" y="516"/>
              </a:lnTo>
              <a:lnTo>
                <a:pt x="758" y="466"/>
              </a:lnTo>
              <a:lnTo>
                <a:pt x="755" y="438"/>
              </a:lnTo>
              <a:lnTo>
                <a:pt x="762" y="432"/>
              </a:lnTo>
              <a:lnTo>
                <a:pt x="765" y="443"/>
              </a:lnTo>
              <a:lnTo>
                <a:pt x="778" y="429"/>
              </a:lnTo>
              <a:lnTo>
                <a:pt x="758" y="417"/>
              </a:lnTo>
              <a:lnTo>
                <a:pt x="763" y="413"/>
              </a:lnTo>
              <a:lnTo>
                <a:pt x="771" y="418"/>
              </a:lnTo>
              <a:lnTo>
                <a:pt x="780" y="413"/>
              </a:lnTo>
              <a:lnTo>
                <a:pt x="777" y="407"/>
              </a:lnTo>
              <a:lnTo>
                <a:pt x="788" y="394"/>
              </a:lnTo>
              <a:lnTo>
                <a:pt x="789" y="392"/>
              </a:lnTo>
              <a:lnTo>
                <a:pt x="792" y="389"/>
              </a:lnTo>
              <a:lnTo>
                <a:pt x="807" y="386"/>
              </a:lnTo>
              <a:lnTo>
                <a:pt x="818" y="377"/>
              </a:lnTo>
              <a:lnTo>
                <a:pt x="818" y="366"/>
              </a:lnTo>
              <a:lnTo>
                <a:pt x="807" y="355"/>
              </a:lnTo>
              <a:lnTo>
                <a:pt x="838" y="323"/>
              </a:lnTo>
              <a:lnTo>
                <a:pt x="849" y="324"/>
              </a:lnTo>
              <a:lnTo>
                <a:pt x="847" y="268"/>
              </a:lnTo>
              <a:lnTo>
                <a:pt x="841" y="257"/>
              </a:lnTo>
              <a:lnTo>
                <a:pt x="838" y="265"/>
              </a:lnTo>
              <a:lnTo>
                <a:pt x="831" y="263"/>
              </a:lnTo>
              <a:lnTo>
                <a:pt x="838" y="250"/>
              </a:lnTo>
              <a:lnTo>
                <a:pt x="855" y="235"/>
              </a:lnTo>
              <a:lnTo>
                <a:pt x="865" y="221"/>
              </a:lnTo>
              <a:lnTo>
                <a:pt x="881" y="227"/>
              </a:lnTo>
              <a:lnTo>
                <a:pt x="887" y="175"/>
              </a:lnTo>
              <a:lnTo>
                <a:pt x="911" y="140"/>
              </a:lnTo>
              <a:lnTo>
                <a:pt x="931" y="140"/>
              </a:lnTo>
              <a:lnTo>
                <a:pt x="914" y="117"/>
              </a:lnTo>
              <a:lnTo>
                <a:pt x="911" y="117"/>
              </a:lnTo>
              <a:lnTo>
                <a:pt x="881" y="117"/>
              </a:lnTo>
              <a:lnTo>
                <a:pt x="872" y="117"/>
              </a:lnTo>
              <a:lnTo>
                <a:pt x="834" y="118"/>
              </a:lnTo>
              <a:lnTo>
                <a:pt x="818" y="118"/>
              </a:lnTo>
              <a:lnTo>
                <a:pt x="810" y="118"/>
              </a:lnTo>
              <a:lnTo>
                <a:pt x="794" y="118"/>
              </a:lnTo>
              <a:lnTo>
                <a:pt x="809" y="91"/>
              </a:lnTo>
              <a:lnTo>
                <a:pt x="815" y="89"/>
              </a:lnTo>
              <a:lnTo>
                <a:pt x="829" y="70"/>
              </a:lnTo>
              <a:lnTo>
                <a:pt x="841" y="60"/>
              </a:lnTo>
              <a:lnTo>
                <a:pt x="836" y="0"/>
              </a:lnTo>
              <a:lnTo>
                <a:pt x="823" y="0"/>
              </a:lnTo>
              <a:lnTo>
                <a:pt x="818" y="0"/>
              </a:lnTo>
              <a:lnTo>
                <a:pt x="809" y="0"/>
              </a:lnTo>
              <a:lnTo>
                <a:pt x="757" y="0"/>
              </a:lnTo>
              <a:lnTo>
                <a:pt x="731" y="0"/>
              </a:lnTo>
              <a:lnTo>
                <a:pt x="728" y="0"/>
              </a:lnTo>
              <a:lnTo>
                <a:pt x="717" y="0"/>
              </a:lnTo>
              <a:lnTo>
                <a:pt x="701" y="0"/>
              </a:lnTo>
              <a:lnTo>
                <a:pt x="678" y="0"/>
              </a:lnTo>
              <a:lnTo>
                <a:pt x="654" y="0"/>
              </a:lnTo>
              <a:lnTo>
                <a:pt x="640" y="0"/>
              </a:lnTo>
              <a:lnTo>
                <a:pt x="634" y="0"/>
              </a:lnTo>
              <a:lnTo>
                <a:pt x="602" y="0"/>
              </a:lnTo>
              <a:lnTo>
                <a:pt x="601" y="0"/>
              </a:lnTo>
              <a:lnTo>
                <a:pt x="599" y="0"/>
              </a:lnTo>
              <a:lnTo>
                <a:pt x="593" y="0"/>
              </a:lnTo>
              <a:lnTo>
                <a:pt x="584" y="0"/>
              </a:lnTo>
              <a:lnTo>
                <a:pt x="575" y="0"/>
              </a:lnTo>
              <a:lnTo>
                <a:pt x="551" y="0"/>
              </a:lnTo>
              <a:lnTo>
                <a:pt x="538" y="0"/>
              </a:lnTo>
              <a:lnTo>
                <a:pt x="490" y="0"/>
              </a:lnTo>
              <a:lnTo>
                <a:pt x="468" y="0"/>
              </a:lnTo>
              <a:lnTo>
                <a:pt x="467" y="0"/>
              </a:lnTo>
              <a:lnTo>
                <a:pt x="463" y="0"/>
              </a:lnTo>
              <a:lnTo>
                <a:pt x="420" y="0"/>
              </a:lnTo>
              <a:lnTo>
                <a:pt x="408" y="0"/>
              </a:lnTo>
              <a:lnTo>
                <a:pt x="392" y="0"/>
              </a:lnTo>
              <a:lnTo>
                <a:pt x="357" y="0"/>
              </a:lnTo>
              <a:lnTo>
                <a:pt x="350" y="0"/>
              </a:lnTo>
              <a:lnTo>
                <a:pt x="346" y="0"/>
              </a:lnTo>
              <a:lnTo>
                <a:pt x="331" y="0"/>
              </a:lnTo>
              <a:lnTo>
                <a:pt x="295" y="0"/>
              </a:lnTo>
              <a:lnTo>
                <a:pt x="275" y="0"/>
              </a:lnTo>
              <a:lnTo>
                <a:pt x="249" y="0"/>
              </a:lnTo>
              <a:lnTo>
                <a:pt x="244" y="0"/>
              </a:lnTo>
              <a:lnTo>
                <a:pt x="234" y="0"/>
              </a:lnTo>
              <a:lnTo>
                <a:pt x="221" y="0"/>
              </a:lnTo>
              <a:lnTo>
                <a:pt x="194" y="0"/>
              </a:lnTo>
              <a:lnTo>
                <a:pt x="171" y="0"/>
              </a:lnTo>
              <a:lnTo>
                <a:pt x="154" y="0"/>
              </a:lnTo>
              <a:lnTo>
                <a:pt x="142" y="0"/>
              </a:lnTo>
              <a:lnTo>
                <a:pt x="129" y="0"/>
              </a:lnTo>
              <a:lnTo>
                <a:pt x="116" y="0"/>
              </a:lnTo>
              <a:lnTo>
                <a:pt x="102" y="0"/>
              </a:lnTo>
              <a:lnTo>
                <a:pt x="46" y="0"/>
              </a:lnTo>
              <a:lnTo>
                <a:pt x="23" y="0"/>
              </a:lnTo>
              <a:lnTo>
                <a:pt x="0" y="0"/>
              </a:lnTo>
              <a:lnTo>
                <a:pt x="5" y="29"/>
              </a:lnTo>
              <a:lnTo>
                <a:pt x="7" y="45"/>
              </a:lnTo>
              <a:lnTo>
                <a:pt x="11" y="79"/>
              </a:lnTo>
              <a:lnTo>
                <a:pt x="12" y="87"/>
              </a:lnTo>
              <a:lnTo>
                <a:pt x="13" y="94"/>
              </a:lnTo>
              <a:lnTo>
                <a:pt x="21" y="147"/>
              </a:lnTo>
              <a:lnTo>
                <a:pt x="23" y="165"/>
              </a:lnTo>
              <a:lnTo>
                <a:pt x="24" y="174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pPr algn="ctr"/>
          <a:endParaRPr lang="en-US" sz="800" b="0">
            <a:solidFill>
              <a:schemeClr val="tx1">
                <a:lumMod val="65000"/>
                <a:lumOff val="35000"/>
              </a:schemeClr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22</xdr:col>
      <xdr:colOff>306902</xdr:colOff>
      <xdr:row>17</xdr:row>
      <xdr:rowOff>39580</xdr:rowOff>
    </xdr:from>
    <xdr:to>
      <xdr:col>23</xdr:col>
      <xdr:colOff>20368</xdr:colOff>
      <xdr:row>20</xdr:row>
      <xdr:rowOff>104119</xdr:rowOff>
    </xdr:to>
    <xdr:sp macro="" textlink="">
      <xdr:nvSpPr>
        <xdr:cNvPr id="116" name="S_AL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>
          <a:spLocks/>
        </xdr:cNvSpPr>
      </xdr:nvSpPr>
      <xdr:spPr bwMode="auto">
        <a:xfrm>
          <a:off x="3726377" y="3468580"/>
          <a:ext cx="323066" cy="750339"/>
        </a:xfrm>
        <a:custGeom>
          <a:avLst/>
          <a:gdLst>
            <a:gd name="T0" fmla="*/ 2147483647 w 668"/>
            <a:gd name="T1" fmla="*/ 2147483647 h 1131"/>
            <a:gd name="T2" fmla="*/ 2147483647 w 668"/>
            <a:gd name="T3" fmla="*/ 2147483647 h 1131"/>
            <a:gd name="T4" fmla="*/ 2147483647 w 668"/>
            <a:gd name="T5" fmla="*/ 2147483647 h 1131"/>
            <a:gd name="T6" fmla="*/ 2147483647 w 668"/>
            <a:gd name="T7" fmla="*/ 2147483647 h 1131"/>
            <a:gd name="T8" fmla="*/ 2147483647 w 668"/>
            <a:gd name="T9" fmla="*/ 2147483647 h 1131"/>
            <a:gd name="T10" fmla="*/ 2147483647 w 668"/>
            <a:gd name="T11" fmla="*/ 2147483647 h 1131"/>
            <a:gd name="T12" fmla="*/ 2147483647 w 668"/>
            <a:gd name="T13" fmla="*/ 2147483647 h 1131"/>
            <a:gd name="T14" fmla="*/ 2147483647 w 668"/>
            <a:gd name="T15" fmla="*/ 2147483647 h 1131"/>
            <a:gd name="T16" fmla="*/ 2147483647 w 668"/>
            <a:gd name="T17" fmla="*/ 2147483647 h 1131"/>
            <a:gd name="T18" fmla="*/ 2147483647 w 668"/>
            <a:gd name="T19" fmla="*/ 2147483647 h 1131"/>
            <a:gd name="T20" fmla="*/ 2147483647 w 668"/>
            <a:gd name="T21" fmla="*/ 2147483647 h 1131"/>
            <a:gd name="T22" fmla="*/ 2147483647 w 668"/>
            <a:gd name="T23" fmla="*/ 2147483647 h 1131"/>
            <a:gd name="T24" fmla="*/ 2147483647 w 668"/>
            <a:gd name="T25" fmla="*/ 2147483647 h 1131"/>
            <a:gd name="T26" fmla="*/ 2147483647 w 668"/>
            <a:gd name="T27" fmla="*/ 2147483647 h 1131"/>
            <a:gd name="T28" fmla="*/ 2147483647 w 668"/>
            <a:gd name="T29" fmla="*/ 2147483647 h 1131"/>
            <a:gd name="T30" fmla="*/ 2147483647 w 668"/>
            <a:gd name="T31" fmla="*/ 2147483647 h 1131"/>
            <a:gd name="T32" fmla="*/ 2147483647 w 668"/>
            <a:gd name="T33" fmla="*/ 2147483647 h 1131"/>
            <a:gd name="T34" fmla="*/ 2147483647 w 668"/>
            <a:gd name="T35" fmla="*/ 2147483647 h 1131"/>
            <a:gd name="T36" fmla="*/ 2147483647 w 668"/>
            <a:gd name="T37" fmla="*/ 2147483647 h 1131"/>
            <a:gd name="T38" fmla="*/ 2147483647 w 668"/>
            <a:gd name="T39" fmla="*/ 2147483647 h 1131"/>
            <a:gd name="T40" fmla="*/ 2147483647 w 668"/>
            <a:gd name="T41" fmla="*/ 2147483647 h 1131"/>
            <a:gd name="T42" fmla="*/ 2147483647 w 668"/>
            <a:gd name="T43" fmla="*/ 2147483647 h 1131"/>
            <a:gd name="T44" fmla="*/ 2147483647 w 668"/>
            <a:gd name="T45" fmla="*/ 2147483647 h 1131"/>
            <a:gd name="T46" fmla="*/ 2147483647 w 668"/>
            <a:gd name="T47" fmla="*/ 2147483647 h 1131"/>
            <a:gd name="T48" fmla="*/ 2147483647 w 668"/>
            <a:gd name="T49" fmla="*/ 2147483647 h 1131"/>
            <a:gd name="T50" fmla="*/ 2147483647 w 668"/>
            <a:gd name="T51" fmla="*/ 2147483647 h 1131"/>
            <a:gd name="T52" fmla="*/ 2147483647 w 668"/>
            <a:gd name="T53" fmla="*/ 2147483647 h 1131"/>
            <a:gd name="T54" fmla="*/ 2147483647 w 668"/>
            <a:gd name="T55" fmla="*/ 2147483647 h 1131"/>
            <a:gd name="T56" fmla="*/ 2147483647 w 668"/>
            <a:gd name="T57" fmla="*/ 2147483647 h 1131"/>
            <a:gd name="T58" fmla="*/ 2147483647 w 668"/>
            <a:gd name="T59" fmla="*/ 2147483647 h 1131"/>
            <a:gd name="T60" fmla="*/ 2147483647 w 668"/>
            <a:gd name="T61" fmla="*/ 2147483647 h 1131"/>
            <a:gd name="T62" fmla="*/ 2147483647 w 668"/>
            <a:gd name="T63" fmla="*/ 2147483647 h 1131"/>
            <a:gd name="T64" fmla="*/ 2147483647 w 668"/>
            <a:gd name="T65" fmla="*/ 2147483647 h 1131"/>
            <a:gd name="T66" fmla="*/ 2147483647 w 668"/>
            <a:gd name="T67" fmla="*/ 2147483647 h 1131"/>
            <a:gd name="T68" fmla="*/ 2147483647 w 668"/>
            <a:gd name="T69" fmla="*/ 2147483647 h 1131"/>
            <a:gd name="T70" fmla="*/ 2147483647 w 668"/>
            <a:gd name="T71" fmla="*/ 2147483647 h 1131"/>
            <a:gd name="T72" fmla="*/ 2147483647 w 668"/>
            <a:gd name="T73" fmla="*/ 2147483647 h 1131"/>
            <a:gd name="T74" fmla="*/ 2147483647 w 668"/>
            <a:gd name="T75" fmla="*/ 2147483647 h 1131"/>
            <a:gd name="T76" fmla="*/ 2147483647 w 668"/>
            <a:gd name="T77" fmla="*/ 2147483647 h 1131"/>
            <a:gd name="T78" fmla="*/ 2147483647 w 668"/>
            <a:gd name="T79" fmla="*/ 2147483647 h 1131"/>
            <a:gd name="T80" fmla="*/ 2147483647 w 668"/>
            <a:gd name="T81" fmla="*/ 2147483647 h 1131"/>
            <a:gd name="T82" fmla="*/ 2147483647 w 668"/>
            <a:gd name="T83" fmla="*/ 2147483647 h 1131"/>
            <a:gd name="T84" fmla="*/ 2147483647 w 668"/>
            <a:gd name="T85" fmla="*/ 2147483647 h 1131"/>
            <a:gd name="T86" fmla="*/ 2147483647 w 668"/>
            <a:gd name="T87" fmla="*/ 2147483647 h 1131"/>
            <a:gd name="T88" fmla="*/ 2147483647 w 668"/>
            <a:gd name="T89" fmla="*/ 2147483647 h 1131"/>
            <a:gd name="T90" fmla="*/ 2147483647 w 668"/>
            <a:gd name="T91" fmla="*/ 0 h 1131"/>
            <a:gd name="T92" fmla="*/ 2147483647 w 668"/>
            <a:gd name="T93" fmla="*/ 2147483647 h 1131"/>
            <a:gd name="T94" fmla="*/ 2147483647 w 668"/>
            <a:gd name="T95" fmla="*/ 2147483647 h 1131"/>
            <a:gd name="T96" fmla="*/ 2147483647 w 668"/>
            <a:gd name="T97" fmla="*/ 2147483647 h 1131"/>
            <a:gd name="T98" fmla="*/ 2147483647 w 668"/>
            <a:gd name="T99" fmla="*/ 2147483647 h 1131"/>
            <a:gd name="T100" fmla="*/ 2147483647 w 668"/>
            <a:gd name="T101" fmla="*/ 2147483647 h 1131"/>
            <a:gd name="T102" fmla="*/ 2147483647 w 668"/>
            <a:gd name="T103" fmla="*/ 2147483647 h 1131"/>
            <a:gd name="T104" fmla="*/ 2147483647 w 668"/>
            <a:gd name="T105" fmla="*/ 2147483647 h 1131"/>
            <a:gd name="T106" fmla="*/ 2147483647 w 668"/>
            <a:gd name="T107" fmla="*/ 2147483647 h 1131"/>
            <a:gd name="T108" fmla="*/ 2147483647 w 668"/>
            <a:gd name="T109" fmla="*/ 2147483647 h 1131"/>
            <a:gd name="T110" fmla="*/ 2147483647 w 668"/>
            <a:gd name="T111" fmla="*/ 2147483647 h 1131"/>
            <a:gd name="T112" fmla="*/ 2147483647 w 668"/>
            <a:gd name="T113" fmla="*/ 2147483647 h 1131"/>
            <a:gd name="T114" fmla="*/ 2147483647 w 668"/>
            <a:gd name="T115" fmla="*/ 2147483647 h 1131"/>
            <a:gd name="T116" fmla="*/ 2147483647 w 668"/>
            <a:gd name="T117" fmla="*/ 2147483647 h 1131"/>
            <a:gd name="T118" fmla="*/ 2147483647 w 668"/>
            <a:gd name="T119" fmla="*/ 2147483647 h 1131"/>
            <a:gd name="T120" fmla="*/ 0 w 668"/>
            <a:gd name="T121" fmla="*/ 2147483647 h 1131"/>
            <a:gd name="T122" fmla="*/ 2147483647 w 668"/>
            <a:gd name="T123" fmla="*/ 2147483647 h 1131"/>
            <a:gd name="T124" fmla="*/ 2147483647 w 668"/>
            <a:gd name="T125" fmla="*/ 2147483647 h 1131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60000 65536"/>
            <a:gd name="T148" fmla="*/ 0 60000 65536"/>
            <a:gd name="T149" fmla="*/ 0 60000 65536"/>
            <a:gd name="T150" fmla="*/ 0 60000 65536"/>
            <a:gd name="T151" fmla="*/ 0 60000 65536"/>
            <a:gd name="T152" fmla="*/ 0 60000 65536"/>
            <a:gd name="T153" fmla="*/ 0 60000 65536"/>
            <a:gd name="T154" fmla="*/ 0 60000 65536"/>
            <a:gd name="T155" fmla="*/ 0 60000 65536"/>
            <a:gd name="T156" fmla="*/ 0 60000 65536"/>
            <a:gd name="T157" fmla="*/ 0 60000 65536"/>
            <a:gd name="T158" fmla="*/ 0 60000 65536"/>
            <a:gd name="T159" fmla="*/ 0 60000 65536"/>
            <a:gd name="T160" fmla="*/ 0 60000 65536"/>
            <a:gd name="T161" fmla="*/ 0 60000 65536"/>
            <a:gd name="T162" fmla="*/ 0 60000 65536"/>
            <a:gd name="T163" fmla="*/ 0 60000 65536"/>
            <a:gd name="T164" fmla="*/ 0 60000 65536"/>
            <a:gd name="T165" fmla="*/ 0 60000 65536"/>
            <a:gd name="T166" fmla="*/ 0 60000 65536"/>
            <a:gd name="T167" fmla="*/ 0 60000 65536"/>
            <a:gd name="T168" fmla="*/ 0 60000 65536"/>
            <a:gd name="T169" fmla="*/ 0 60000 65536"/>
            <a:gd name="T170" fmla="*/ 0 60000 65536"/>
            <a:gd name="T171" fmla="*/ 0 60000 65536"/>
            <a:gd name="T172" fmla="*/ 0 60000 65536"/>
            <a:gd name="T173" fmla="*/ 0 60000 65536"/>
            <a:gd name="T174" fmla="*/ 0 60000 65536"/>
            <a:gd name="T175" fmla="*/ 0 60000 65536"/>
            <a:gd name="T176" fmla="*/ 0 60000 65536"/>
            <a:gd name="T177" fmla="*/ 0 60000 65536"/>
            <a:gd name="T178" fmla="*/ 0 60000 65536"/>
            <a:gd name="T179" fmla="*/ 0 60000 65536"/>
            <a:gd name="T180" fmla="*/ 0 60000 65536"/>
            <a:gd name="T181" fmla="*/ 0 60000 65536"/>
            <a:gd name="T182" fmla="*/ 0 60000 65536"/>
            <a:gd name="T183" fmla="*/ 0 60000 65536"/>
            <a:gd name="T184" fmla="*/ 0 60000 65536"/>
            <a:gd name="T185" fmla="*/ 0 60000 65536"/>
            <a:gd name="T186" fmla="*/ 0 60000 65536"/>
            <a:gd name="T187" fmla="*/ 0 60000 65536"/>
            <a:gd name="T188" fmla="*/ 0 60000 65536"/>
            <a:gd name="T189" fmla="*/ 0 w 668"/>
            <a:gd name="T190" fmla="*/ 0 h 1131"/>
            <a:gd name="T191" fmla="*/ 668 w 668"/>
            <a:gd name="T192" fmla="*/ 1131 h 1131"/>
          </a:gdLst>
          <a:ahLst/>
          <a:cxnLst>
            <a:cxn ang="T126">
              <a:pos x="T0" y="T1"/>
            </a:cxn>
            <a:cxn ang="T127">
              <a:pos x="T2" y="T3"/>
            </a:cxn>
            <a:cxn ang="T128">
              <a:pos x="T4" y="T5"/>
            </a:cxn>
            <a:cxn ang="T129">
              <a:pos x="T6" y="T7"/>
            </a:cxn>
            <a:cxn ang="T130">
              <a:pos x="T8" y="T9"/>
            </a:cxn>
            <a:cxn ang="T131">
              <a:pos x="T10" y="T11"/>
            </a:cxn>
            <a:cxn ang="T132">
              <a:pos x="T12" y="T13"/>
            </a:cxn>
            <a:cxn ang="T133">
              <a:pos x="T14" y="T15"/>
            </a:cxn>
            <a:cxn ang="T134">
              <a:pos x="T16" y="T17"/>
            </a:cxn>
            <a:cxn ang="T135">
              <a:pos x="T18" y="T19"/>
            </a:cxn>
            <a:cxn ang="T136">
              <a:pos x="T20" y="T21"/>
            </a:cxn>
            <a:cxn ang="T137">
              <a:pos x="T22" y="T23"/>
            </a:cxn>
            <a:cxn ang="T138">
              <a:pos x="T24" y="T25"/>
            </a:cxn>
            <a:cxn ang="T139">
              <a:pos x="T26" y="T27"/>
            </a:cxn>
            <a:cxn ang="T140">
              <a:pos x="T28" y="T29"/>
            </a:cxn>
            <a:cxn ang="T141">
              <a:pos x="T30" y="T31"/>
            </a:cxn>
            <a:cxn ang="T142">
              <a:pos x="T32" y="T33"/>
            </a:cxn>
            <a:cxn ang="T143">
              <a:pos x="T34" y="T35"/>
            </a:cxn>
            <a:cxn ang="T144">
              <a:pos x="T36" y="T37"/>
            </a:cxn>
            <a:cxn ang="T145">
              <a:pos x="T38" y="T39"/>
            </a:cxn>
            <a:cxn ang="T146">
              <a:pos x="T40" y="T41"/>
            </a:cxn>
            <a:cxn ang="T147">
              <a:pos x="T42" y="T43"/>
            </a:cxn>
            <a:cxn ang="T148">
              <a:pos x="T44" y="T45"/>
            </a:cxn>
            <a:cxn ang="T149">
              <a:pos x="T46" y="T47"/>
            </a:cxn>
            <a:cxn ang="T150">
              <a:pos x="T48" y="T49"/>
            </a:cxn>
            <a:cxn ang="T151">
              <a:pos x="T50" y="T51"/>
            </a:cxn>
            <a:cxn ang="T152">
              <a:pos x="T52" y="T53"/>
            </a:cxn>
            <a:cxn ang="T153">
              <a:pos x="T54" y="T55"/>
            </a:cxn>
            <a:cxn ang="T154">
              <a:pos x="T56" y="T57"/>
            </a:cxn>
            <a:cxn ang="T155">
              <a:pos x="T58" y="T59"/>
            </a:cxn>
            <a:cxn ang="T156">
              <a:pos x="T60" y="T61"/>
            </a:cxn>
            <a:cxn ang="T157">
              <a:pos x="T62" y="T63"/>
            </a:cxn>
            <a:cxn ang="T158">
              <a:pos x="T64" y="T65"/>
            </a:cxn>
            <a:cxn ang="T159">
              <a:pos x="T66" y="T67"/>
            </a:cxn>
            <a:cxn ang="T160">
              <a:pos x="T68" y="T69"/>
            </a:cxn>
            <a:cxn ang="T161">
              <a:pos x="T70" y="T71"/>
            </a:cxn>
            <a:cxn ang="T162">
              <a:pos x="T72" y="T73"/>
            </a:cxn>
            <a:cxn ang="T163">
              <a:pos x="T74" y="T75"/>
            </a:cxn>
            <a:cxn ang="T164">
              <a:pos x="T76" y="T77"/>
            </a:cxn>
            <a:cxn ang="T165">
              <a:pos x="T78" y="T79"/>
            </a:cxn>
            <a:cxn ang="T166">
              <a:pos x="T80" y="T81"/>
            </a:cxn>
            <a:cxn ang="T167">
              <a:pos x="T82" y="T83"/>
            </a:cxn>
            <a:cxn ang="T168">
              <a:pos x="T84" y="T85"/>
            </a:cxn>
            <a:cxn ang="T169">
              <a:pos x="T86" y="T87"/>
            </a:cxn>
            <a:cxn ang="T170">
              <a:pos x="T88" y="T89"/>
            </a:cxn>
            <a:cxn ang="T171">
              <a:pos x="T90" y="T91"/>
            </a:cxn>
            <a:cxn ang="T172">
              <a:pos x="T92" y="T93"/>
            </a:cxn>
            <a:cxn ang="T173">
              <a:pos x="T94" y="T95"/>
            </a:cxn>
            <a:cxn ang="T174">
              <a:pos x="T96" y="T97"/>
            </a:cxn>
            <a:cxn ang="T175">
              <a:pos x="T98" y="T99"/>
            </a:cxn>
            <a:cxn ang="T176">
              <a:pos x="T100" y="T101"/>
            </a:cxn>
            <a:cxn ang="T177">
              <a:pos x="T102" y="T103"/>
            </a:cxn>
            <a:cxn ang="T178">
              <a:pos x="T104" y="T105"/>
            </a:cxn>
            <a:cxn ang="T179">
              <a:pos x="T106" y="T107"/>
            </a:cxn>
            <a:cxn ang="T180">
              <a:pos x="T108" y="T109"/>
            </a:cxn>
            <a:cxn ang="T181">
              <a:pos x="T110" y="T111"/>
            </a:cxn>
            <a:cxn ang="T182">
              <a:pos x="T112" y="T113"/>
            </a:cxn>
            <a:cxn ang="T183">
              <a:pos x="T114" y="T115"/>
            </a:cxn>
            <a:cxn ang="T184">
              <a:pos x="T116" y="T117"/>
            </a:cxn>
            <a:cxn ang="T185">
              <a:pos x="T118" y="T119"/>
            </a:cxn>
            <a:cxn ang="T186">
              <a:pos x="T120" y="T121"/>
            </a:cxn>
            <a:cxn ang="T187">
              <a:pos x="T122" y="T123"/>
            </a:cxn>
            <a:cxn ang="T188">
              <a:pos x="T124" y="T125"/>
            </a:cxn>
          </a:cxnLst>
          <a:rect l="T189" t="T190" r="T191" b="T192"/>
          <a:pathLst>
            <a:path w="668" h="1131">
              <a:moveTo>
                <a:pt x="8" y="919"/>
              </a:moveTo>
              <a:lnTo>
                <a:pt x="8" y="927"/>
              </a:lnTo>
              <a:lnTo>
                <a:pt x="8" y="935"/>
              </a:lnTo>
              <a:lnTo>
                <a:pt x="9" y="947"/>
              </a:lnTo>
              <a:lnTo>
                <a:pt x="11" y="1006"/>
              </a:lnTo>
              <a:lnTo>
                <a:pt x="11" y="1009"/>
              </a:lnTo>
              <a:lnTo>
                <a:pt x="13" y="1041"/>
              </a:lnTo>
              <a:lnTo>
                <a:pt x="14" y="1071"/>
              </a:lnTo>
              <a:lnTo>
                <a:pt x="15" y="1100"/>
              </a:lnTo>
              <a:lnTo>
                <a:pt x="19" y="1091"/>
              </a:lnTo>
              <a:lnTo>
                <a:pt x="41" y="1094"/>
              </a:lnTo>
              <a:lnTo>
                <a:pt x="50" y="1107"/>
              </a:lnTo>
              <a:lnTo>
                <a:pt x="65" y="1102"/>
              </a:lnTo>
              <a:lnTo>
                <a:pt x="69" y="1065"/>
              </a:lnTo>
              <a:lnTo>
                <a:pt x="86" y="1022"/>
              </a:lnTo>
              <a:lnTo>
                <a:pt x="103" y="1035"/>
              </a:lnTo>
              <a:lnTo>
                <a:pt x="102" y="1065"/>
              </a:lnTo>
              <a:lnTo>
                <a:pt x="83" y="1131"/>
              </a:lnTo>
              <a:lnTo>
                <a:pt x="173" y="1118"/>
              </a:lnTo>
              <a:lnTo>
                <a:pt x="205" y="1076"/>
              </a:lnTo>
              <a:lnTo>
                <a:pt x="194" y="1065"/>
              </a:lnTo>
              <a:lnTo>
                <a:pt x="202" y="1035"/>
              </a:lnTo>
              <a:lnTo>
                <a:pt x="159" y="983"/>
              </a:lnTo>
              <a:lnTo>
                <a:pt x="163" y="947"/>
              </a:lnTo>
              <a:lnTo>
                <a:pt x="228" y="947"/>
              </a:lnTo>
              <a:lnTo>
                <a:pt x="232" y="948"/>
              </a:lnTo>
              <a:lnTo>
                <a:pt x="246" y="947"/>
              </a:lnTo>
              <a:lnTo>
                <a:pt x="250" y="947"/>
              </a:lnTo>
              <a:lnTo>
                <a:pt x="276" y="947"/>
              </a:lnTo>
              <a:lnTo>
                <a:pt x="315" y="947"/>
              </a:lnTo>
              <a:lnTo>
                <a:pt x="328" y="947"/>
              </a:lnTo>
              <a:lnTo>
                <a:pt x="330" y="948"/>
              </a:lnTo>
              <a:lnTo>
                <a:pt x="334" y="948"/>
              </a:lnTo>
              <a:lnTo>
                <a:pt x="357" y="948"/>
              </a:lnTo>
              <a:lnTo>
                <a:pt x="362" y="948"/>
              </a:lnTo>
              <a:lnTo>
                <a:pt x="390" y="948"/>
              </a:lnTo>
              <a:lnTo>
                <a:pt x="392" y="948"/>
              </a:lnTo>
              <a:lnTo>
                <a:pt x="416" y="948"/>
              </a:lnTo>
              <a:lnTo>
                <a:pt x="428" y="948"/>
              </a:lnTo>
              <a:lnTo>
                <a:pt x="432" y="948"/>
              </a:lnTo>
              <a:lnTo>
                <a:pt x="440" y="948"/>
              </a:lnTo>
              <a:lnTo>
                <a:pt x="457" y="948"/>
              </a:lnTo>
              <a:lnTo>
                <a:pt x="473" y="948"/>
              </a:lnTo>
              <a:lnTo>
                <a:pt x="506" y="948"/>
              </a:lnTo>
              <a:lnTo>
                <a:pt x="556" y="947"/>
              </a:lnTo>
              <a:lnTo>
                <a:pt x="558" y="947"/>
              </a:lnTo>
              <a:lnTo>
                <a:pt x="603" y="947"/>
              </a:lnTo>
              <a:lnTo>
                <a:pt x="620" y="946"/>
              </a:lnTo>
              <a:lnTo>
                <a:pt x="649" y="947"/>
              </a:lnTo>
              <a:lnTo>
                <a:pt x="649" y="945"/>
              </a:lnTo>
              <a:lnTo>
                <a:pt x="650" y="944"/>
              </a:lnTo>
              <a:lnTo>
                <a:pt x="644" y="929"/>
              </a:lnTo>
              <a:lnTo>
                <a:pt x="640" y="917"/>
              </a:lnTo>
              <a:lnTo>
                <a:pt x="630" y="887"/>
              </a:lnTo>
              <a:lnTo>
                <a:pt x="633" y="874"/>
              </a:lnTo>
              <a:lnTo>
                <a:pt x="633" y="858"/>
              </a:lnTo>
              <a:lnTo>
                <a:pt x="640" y="828"/>
              </a:lnTo>
              <a:lnTo>
                <a:pt x="642" y="825"/>
              </a:lnTo>
              <a:lnTo>
                <a:pt x="638" y="799"/>
              </a:lnTo>
              <a:lnTo>
                <a:pt x="627" y="783"/>
              </a:lnTo>
              <a:lnTo>
                <a:pt x="626" y="766"/>
              </a:lnTo>
              <a:lnTo>
                <a:pt x="627" y="765"/>
              </a:lnTo>
              <a:lnTo>
                <a:pt x="626" y="765"/>
              </a:lnTo>
              <a:lnTo>
                <a:pt x="624" y="762"/>
              </a:lnTo>
              <a:lnTo>
                <a:pt x="626" y="740"/>
              </a:lnTo>
              <a:lnTo>
                <a:pt x="627" y="736"/>
              </a:lnTo>
              <a:lnTo>
                <a:pt x="638" y="713"/>
              </a:lnTo>
              <a:lnTo>
                <a:pt x="638" y="710"/>
              </a:lnTo>
              <a:lnTo>
                <a:pt x="640" y="695"/>
              </a:lnTo>
              <a:lnTo>
                <a:pt x="639" y="680"/>
              </a:lnTo>
              <a:lnTo>
                <a:pt x="649" y="668"/>
              </a:lnTo>
              <a:lnTo>
                <a:pt x="664" y="656"/>
              </a:lnTo>
              <a:lnTo>
                <a:pt x="668" y="652"/>
              </a:lnTo>
              <a:lnTo>
                <a:pt x="649" y="634"/>
              </a:lnTo>
              <a:lnTo>
                <a:pt x="655" y="622"/>
              </a:lnTo>
              <a:lnTo>
                <a:pt x="650" y="593"/>
              </a:lnTo>
              <a:lnTo>
                <a:pt x="649" y="591"/>
              </a:lnTo>
              <a:lnTo>
                <a:pt x="649" y="589"/>
              </a:lnTo>
              <a:lnTo>
                <a:pt x="634" y="567"/>
              </a:lnTo>
              <a:lnTo>
                <a:pt x="631" y="561"/>
              </a:lnTo>
              <a:lnTo>
                <a:pt x="627" y="535"/>
              </a:lnTo>
              <a:lnTo>
                <a:pt x="625" y="534"/>
              </a:lnTo>
              <a:lnTo>
                <a:pt x="624" y="533"/>
              </a:lnTo>
              <a:lnTo>
                <a:pt x="627" y="526"/>
              </a:lnTo>
              <a:lnTo>
                <a:pt x="615" y="505"/>
              </a:lnTo>
              <a:lnTo>
                <a:pt x="612" y="485"/>
              </a:lnTo>
              <a:lnTo>
                <a:pt x="611" y="476"/>
              </a:lnTo>
              <a:lnTo>
                <a:pt x="607" y="448"/>
              </a:lnTo>
              <a:lnTo>
                <a:pt x="605" y="445"/>
              </a:lnTo>
              <a:lnTo>
                <a:pt x="605" y="444"/>
              </a:lnTo>
              <a:lnTo>
                <a:pt x="602" y="424"/>
              </a:lnTo>
              <a:lnTo>
                <a:pt x="597" y="385"/>
              </a:lnTo>
              <a:lnTo>
                <a:pt x="595" y="373"/>
              </a:lnTo>
              <a:lnTo>
                <a:pt x="593" y="360"/>
              </a:lnTo>
              <a:lnTo>
                <a:pt x="593" y="356"/>
              </a:lnTo>
              <a:lnTo>
                <a:pt x="587" y="326"/>
              </a:lnTo>
              <a:lnTo>
                <a:pt x="586" y="320"/>
              </a:lnTo>
              <a:lnTo>
                <a:pt x="580" y="275"/>
              </a:lnTo>
              <a:lnTo>
                <a:pt x="579" y="272"/>
              </a:lnTo>
              <a:lnTo>
                <a:pt x="578" y="261"/>
              </a:lnTo>
              <a:lnTo>
                <a:pt x="575" y="246"/>
              </a:lnTo>
              <a:lnTo>
                <a:pt x="574" y="237"/>
              </a:lnTo>
              <a:lnTo>
                <a:pt x="573" y="231"/>
              </a:lnTo>
              <a:lnTo>
                <a:pt x="571" y="219"/>
              </a:lnTo>
              <a:lnTo>
                <a:pt x="568" y="199"/>
              </a:lnTo>
              <a:lnTo>
                <a:pt x="566" y="184"/>
              </a:lnTo>
              <a:lnTo>
                <a:pt x="564" y="170"/>
              </a:lnTo>
              <a:lnTo>
                <a:pt x="558" y="142"/>
              </a:lnTo>
              <a:lnTo>
                <a:pt x="556" y="128"/>
              </a:lnTo>
              <a:lnTo>
                <a:pt x="554" y="114"/>
              </a:lnTo>
              <a:lnTo>
                <a:pt x="551" y="99"/>
              </a:lnTo>
              <a:lnTo>
                <a:pt x="550" y="91"/>
              </a:lnTo>
              <a:lnTo>
                <a:pt x="544" y="61"/>
              </a:lnTo>
              <a:lnTo>
                <a:pt x="542" y="44"/>
              </a:lnTo>
              <a:lnTo>
                <a:pt x="541" y="35"/>
              </a:lnTo>
              <a:lnTo>
                <a:pt x="540" y="31"/>
              </a:lnTo>
              <a:lnTo>
                <a:pt x="537" y="5"/>
              </a:lnTo>
              <a:lnTo>
                <a:pt x="533" y="5"/>
              </a:lnTo>
              <a:lnTo>
                <a:pt x="492" y="4"/>
              </a:lnTo>
              <a:lnTo>
                <a:pt x="487" y="4"/>
              </a:lnTo>
              <a:lnTo>
                <a:pt x="451" y="4"/>
              </a:lnTo>
              <a:lnTo>
                <a:pt x="412" y="4"/>
              </a:lnTo>
              <a:lnTo>
                <a:pt x="404" y="4"/>
              </a:lnTo>
              <a:lnTo>
                <a:pt x="403" y="4"/>
              </a:lnTo>
              <a:lnTo>
                <a:pt x="392" y="4"/>
              </a:lnTo>
              <a:lnTo>
                <a:pt x="369" y="4"/>
              </a:lnTo>
              <a:lnTo>
                <a:pt x="316" y="4"/>
              </a:lnTo>
              <a:lnTo>
                <a:pt x="307" y="4"/>
              </a:lnTo>
              <a:lnTo>
                <a:pt x="303" y="4"/>
              </a:lnTo>
              <a:lnTo>
                <a:pt x="290" y="3"/>
              </a:lnTo>
              <a:lnTo>
                <a:pt x="236" y="2"/>
              </a:lnTo>
              <a:lnTo>
                <a:pt x="235" y="2"/>
              </a:lnTo>
              <a:lnTo>
                <a:pt x="234" y="2"/>
              </a:lnTo>
              <a:lnTo>
                <a:pt x="229" y="2"/>
              </a:lnTo>
              <a:lnTo>
                <a:pt x="205" y="1"/>
              </a:lnTo>
              <a:lnTo>
                <a:pt x="162" y="1"/>
              </a:lnTo>
              <a:lnTo>
                <a:pt x="148" y="1"/>
              </a:lnTo>
              <a:lnTo>
                <a:pt x="107" y="0"/>
              </a:lnTo>
              <a:lnTo>
                <a:pt x="92" y="0"/>
              </a:lnTo>
              <a:lnTo>
                <a:pt x="51" y="0"/>
              </a:lnTo>
              <a:lnTo>
                <a:pt x="51" y="1"/>
              </a:lnTo>
              <a:lnTo>
                <a:pt x="51" y="3"/>
              </a:lnTo>
              <a:lnTo>
                <a:pt x="65" y="24"/>
              </a:lnTo>
              <a:lnTo>
                <a:pt x="70" y="28"/>
              </a:lnTo>
              <a:lnTo>
                <a:pt x="69" y="42"/>
              </a:lnTo>
              <a:lnTo>
                <a:pt x="65" y="79"/>
              </a:lnTo>
              <a:lnTo>
                <a:pt x="63" y="100"/>
              </a:lnTo>
              <a:lnTo>
                <a:pt x="61" y="120"/>
              </a:lnTo>
              <a:lnTo>
                <a:pt x="61" y="121"/>
              </a:lnTo>
              <a:lnTo>
                <a:pt x="60" y="128"/>
              </a:lnTo>
              <a:lnTo>
                <a:pt x="59" y="134"/>
              </a:lnTo>
              <a:lnTo>
                <a:pt x="57" y="150"/>
              </a:lnTo>
              <a:lnTo>
                <a:pt x="56" y="162"/>
              </a:lnTo>
              <a:lnTo>
                <a:pt x="53" y="194"/>
              </a:lnTo>
              <a:lnTo>
                <a:pt x="52" y="198"/>
              </a:lnTo>
              <a:lnTo>
                <a:pt x="51" y="217"/>
              </a:lnTo>
              <a:lnTo>
                <a:pt x="50" y="225"/>
              </a:lnTo>
              <a:lnTo>
                <a:pt x="49" y="237"/>
              </a:lnTo>
              <a:lnTo>
                <a:pt x="45" y="276"/>
              </a:lnTo>
              <a:lnTo>
                <a:pt x="42" y="298"/>
              </a:lnTo>
              <a:lnTo>
                <a:pt x="41" y="301"/>
              </a:lnTo>
              <a:lnTo>
                <a:pt x="37" y="348"/>
              </a:lnTo>
              <a:lnTo>
                <a:pt x="36" y="356"/>
              </a:lnTo>
              <a:lnTo>
                <a:pt x="35" y="378"/>
              </a:lnTo>
              <a:lnTo>
                <a:pt x="32" y="406"/>
              </a:lnTo>
              <a:lnTo>
                <a:pt x="30" y="421"/>
              </a:lnTo>
              <a:lnTo>
                <a:pt x="30" y="426"/>
              </a:lnTo>
              <a:lnTo>
                <a:pt x="25" y="476"/>
              </a:lnTo>
              <a:lnTo>
                <a:pt x="24" y="484"/>
              </a:lnTo>
              <a:lnTo>
                <a:pt x="23" y="491"/>
              </a:lnTo>
              <a:lnTo>
                <a:pt x="19" y="545"/>
              </a:lnTo>
              <a:lnTo>
                <a:pt x="18" y="553"/>
              </a:lnTo>
              <a:lnTo>
                <a:pt x="16" y="573"/>
              </a:lnTo>
              <a:lnTo>
                <a:pt x="11" y="616"/>
              </a:lnTo>
              <a:lnTo>
                <a:pt x="11" y="622"/>
              </a:lnTo>
              <a:lnTo>
                <a:pt x="9" y="638"/>
              </a:lnTo>
              <a:lnTo>
                <a:pt x="8" y="652"/>
              </a:lnTo>
              <a:lnTo>
                <a:pt x="8" y="654"/>
              </a:lnTo>
              <a:lnTo>
                <a:pt x="8" y="657"/>
              </a:lnTo>
              <a:lnTo>
                <a:pt x="7" y="664"/>
              </a:lnTo>
              <a:lnTo>
                <a:pt x="5" y="680"/>
              </a:lnTo>
              <a:lnTo>
                <a:pt x="0" y="735"/>
              </a:lnTo>
              <a:lnTo>
                <a:pt x="0" y="740"/>
              </a:lnTo>
              <a:lnTo>
                <a:pt x="1" y="744"/>
              </a:lnTo>
              <a:lnTo>
                <a:pt x="2" y="782"/>
              </a:lnTo>
              <a:lnTo>
                <a:pt x="4" y="828"/>
              </a:lnTo>
              <a:lnTo>
                <a:pt x="4" y="834"/>
              </a:lnTo>
              <a:lnTo>
                <a:pt x="5" y="843"/>
              </a:lnTo>
              <a:lnTo>
                <a:pt x="5" y="857"/>
              </a:lnTo>
              <a:lnTo>
                <a:pt x="6" y="885"/>
              </a:lnTo>
              <a:lnTo>
                <a:pt x="8" y="919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pPr algn="ctr"/>
          <a:endParaRPr lang="en-US" sz="800" b="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17</xdr:col>
      <xdr:colOff>522865</xdr:colOff>
      <xdr:row>12</xdr:row>
      <xdr:rowOff>83399</xdr:rowOff>
    </xdr:from>
    <xdr:to>
      <xdr:col>18</xdr:col>
      <xdr:colOff>449047</xdr:colOff>
      <xdr:row>17</xdr:row>
      <xdr:rowOff>39580</xdr:rowOff>
    </xdr:to>
    <xdr:sp macro="" textlink="">
      <xdr:nvSpPr>
        <xdr:cNvPr id="117" name="S_NV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>
          <a:spLocks/>
        </xdr:cNvSpPr>
      </xdr:nvSpPr>
      <xdr:spPr bwMode="auto">
        <a:xfrm>
          <a:off x="894340" y="2521799"/>
          <a:ext cx="535782" cy="946781"/>
        </a:xfrm>
        <a:custGeom>
          <a:avLst/>
          <a:gdLst>
            <a:gd name="T0" fmla="*/ 2147483647 w 1116"/>
            <a:gd name="T1" fmla="*/ 2147483647 h 1654"/>
            <a:gd name="T2" fmla="*/ 2147483647 w 1116"/>
            <a:gd name="T3" fmla="*/ 2147483647 h 1654"/>
            <a:gd name="T4" fmla="*/ 2147483647 w 1116"/>
            <a:gd name="T5" fmla="*/ 2147483647 h 1654"/>
            <a:gd name="T6" fmla="*/ 2147483647 w 1116"/>
            <a:gd name="T7" fmla="*/ 2147483647 h 1654"/>
            <a:gd name="T8" fmla="*/ 2147483647 w 1116"/>
            <a:gd name="T9" fmla="*/ 2147483647 h 1654"/>
            <a:gd name="T10" fmla="*/ 2147483647 w 1116"/>
            <a:gd name="T11" fmla="*/ 2147483647 h 1654"/>
            <a:gd name="T12" fmla="*/ 2147483647 w 1116"/>
            <a:gd name="T13" fmla="*/ 2147483647 h 1654"/>
            <a:gd name="T14" fmla="*/ 2147483647 w 1116"/>
            <a:gd name="T15" fmla="*/ 2147483647 h 1654"/>
            <a:gd name="T16" fmla="*/ 2147483647 w 1116"/>
            <a:gd name="T17" fmla="*/ 2147483647 h 1654"/>
            <a:gd name="T18" fmla="*/ 2147483647 w 1116"/>
            <a:gd name="T19" fmla="*/ 2147483647 h 1654"/>
            <a:gd name="T20" fmla="*/ 2147483647 w 1116"/>
            <a:gd name="T21" fmla="*/ 2147483647 h 1654"/>
            <a:gd name="T22" fmla="*/ 2147483647 w 1116"/>
            <a:gd name="T23" fmla="*/ 2147483647 h 1654"/>
            <a:gd name="T24" fmla="*/ 2147483647 w 1116"/>
            <a:gd name="T25" fmla="*/ 2147483647 h 1654"/>
            <a:gd name="T26" fmla="*/ 2147483647 w 1116"/>
            <a:gd name="T27" fmla="*/ 2147483647 h 1654"/>
            <a:gd name="T28" fmla="*/ 2147483647 w 1116"/>
            <a:gd name="T29" fmla="*/ 2147483647 h 1654"/>
            <a:gd name="T30" fmla="*/ 2147483647 w 1116"/>
            <a:gd name="T31" fmla="*/ 2147483647 h 1654"/>
            <a:gd name="T32" fmla="*/ 2147483647 w 1116"/>
            <a:gd name="T33" fmla="*/ 2147483647 h 1654"/>
            <a:gd name="T34" fmla="*/ 2147483647 w 1116"/>
            <a:gd name="T35" fmla="*/ 2147483647 h 1654"/>
            <a:gd name="T36" fmla="*/ 2147483647 w 1116"/>
            <a:gd name="T37" fmla="*/ 2147483647 h 1654"/>
            <a:gd name="T38" fmla="*/ 2147483647 w 1116"/>
            <a:gd name="T39" fmla="*/ 2147483647 h 1654"/>
            <a:gd name="T40" fmla="*/ 2147483647 w 1116"/>
            <a:gd name="T41" fmla="*/ 2147483647 h 1654"/>
            <a:gd name="T42" fmla="*/ 2147483647 w 1116"/>
            <a:gd name="T43" fmla="*/ 2147483647 h 1654"/>
            <a:gd name="T44" fmla="*/ 2147483647 w 1116"/>
            <a:gd name="T45" fmla="*/ 2147483647 h 1654"/>
            <a:gd name="T46" fmla="*/ 2147483647 w 1116"/>
            <a:gd name="T47" fmla="*/ 2147483647 h 1654"/>
            <a:gd name="T48" fmla="*/ 2147483647 w 1116"/>
            <a:gd name="T49" fmla="*/ 2147483647 h 1654"/>
            <a:gd name="T50" fmla="*/ 2147483647 w 1116"/>
            <a:gd name="T51" fmla="*/ 2147483647 h 1654"/>
            <a:gd name="T52" fmla="*/ 2147483647 w 1116"/>
            <a:gd name="T53" fmla="*/ 2147483647 h 1654"/>
            <a:gd name="T54" fmla="*/ 2147483647 w 1116"/>
            <a:gd name="T55" fmla="*/ 2147483647 h 1654"/>
            <a:gd name="T56" fmla="*/ 2147483647 w 1116"/>
            <a:gd name="T57" fmla="*/ 2147483647 h 1654"/>
            <a:gd name="T58" fmla="*/ 2147483647 w 1116"/>
            <a:gd name="T59" fmla="*/ 2147483647 h 1654"/>
            <a:gd name="T60" fmla="*/ 2147483647 w 1116"/>
            <a:gd name="T61" fmla="*/ 2147483647 h 1654"/>
            <a:gd name="T62" fmla="*/ 2147483647 w 1116"/>
            <a:gd name="T63" fmla="*/ 0 h 1654"/>
            <a:gd name="T64" fmla="*/ 2147483647 w 1116"/>
            <a:gd name="T65" fmla="*/ 0 h 1654"/>
            <a:gd name="T66" fmla="*/ 2147483647 w 1116"/>
            <a:gd name="T67" fmla="*/ 0 h 1654"/>
            <a:gd name="T68" fmla="*/ 2147483647 w 1116"/>
            <a:gd name="T69" fmla="*/ 0 h 1654"/>
            <a:gd name="T70" fmla="*/ 2147483647 w 1116"/>
            <a:gd name="T71" fmla="*/ 0 h 1654"/>
            <a:gd name="T72" fmla="*/ 2147483647 w 1116"/>
            <a:gd name="T73" fmla="*/ 0 h 1654"/>
            <a:gd name="T74" fmla="*/ 2147483647 w 1116"/>
            <a:gd name="T75" fmla="*/ 0 h 1654"/>
            <a:gd name="T76" fmla="*/ 2147483647 w 1116"/>
            <a:gd name="T77" fmla="*/ 0 h 1654"/>
            <a:gd name="T78" fmla="*/ 2147483647 w 1116"/>
            <a:gd name="T79" fmla="*/ 0 h 1654"/>
            <a:gd name="T80" fmla="*/ 2147483647 w 1116"/>
            <a:gd name="T81" fmla="*/ 0 h 1654"/>
            <a:gd name="T82" fmla="*/ 2147483647 w 1116"/>
            <a:gd name="T83" fmla="*/ 2147483647 h 1654"/>
            <a:gd name="T84" fmla="*/ 2147483647 w 1116"/>
            <a:gd name="T85" fmla="*/ 2147483647 h 1654"/>
            <a:gd name="T86" fmla="*/ 2147483647 w 1116"/>
            <a:gd name="T87" fmla="*/ 2147483647 h 1654"/>
            <a:gd name="T88" fmla="*/ 2147483647 w 1116"/>
            <a:gd name="T89" fmla="*/ 2147483647 h 1654"/>
            <a:gd name="T90" fmla="*/ 2147483647 w 1116"/>
            <a:gd name="T91" fmla="*/ 2147483647 h 1654"/>
            <a:gd name="T92" fmla="*/ 0 w 1116"/>
            <a:gd name="T93" fmla="*/ 2147483647 h 1654"/>
            <a:gd name="T94" fmla="*/ 0 w 1116"/>
            <a:gd name="T95" fmla="*/ 2147483647 h 1654"/>
            <a:gd name="T96" fmla="*/ 2147483647 w 1116"/>
            <a:gd name="T97" fmla="*/ 2147483647 h 1654"/>
            <a:gd name="T98" fmla="*/ 0 60000 65536"/>
            <a:gd name="T99" fmla="*/ 0 60000 65536"/>
            <a:gd name="T100" fmla="*/ 0 60000 65536"/>
            <a:gd name="T101" fmla="*/ 0 60000 65536"/>
            <a:gd name="T102" fmla="*/ 0 60000 65536"/>
            <a:gd name="T103" fmla="*/ 0 60000 65536"/>
            <a:gd name="T104" fmla="*/ 0 60000 65536"/>
            <a:gd name="T105" fmla="*/ 0 60000 65536"/>
            <a:gd name="T106" fmla="*/ 0 60000 65536"/>
            <a:gd name="T107" fmla="*/ 0 60000 65536"/>
            <a:gd name="T108" fmla="*/ 0 60000 65536"/>
            <a:gd name="T109" fmla="*/ 0 60000 65536"/>
            <a:gd name="T110" fmla="*/ 0 60000 65536"/>
            <a:gd name="T111" fmla="*/ 0 60000 65536"/>
            <a:gd name="T112" fmla="*/ 0 60000 65536"/>
            <a:gd name="T113" fmla="*/ 0 60000 65536"/>
            <a:gd name="T114" fmla="*/ 0 60000 65536"/>
            <a:gd name="T115" fmla="*/ 0 60000 65536"/>
            <a:gd name="T116" fmla="*/ 0 60000 65536"/>
            <a:gd name="T117" fmla="*/ 0 60000 65536"/>
            <a:gd name="T118" fmla="*/ 0 60000 65536"/>
            <a:gd name="T119" fmla="*/ 0 60000 65536"/>
            <a:gd name="T120" fmla="*/ 0 60000 65536"/>
            <a:gd name="T121" fmla="*/ 0 60000 65536"/>
            <a:gd name="T122" fmla="*/ 0 60000 65536"/>
            <a:gd name="T123" fmla="*/ 0 60000 65536"/>
            <a:gd name="T124" fmla="*/ 0 60000 65536"/>
            <a:gd name="T125" fmla="*/ 0 60000 65536"/>
            <a:gd name="T126" fmla="*/ 0 60000 65536"/>
            <a:gd name="T127" fmla="*/ 0 60000 65536"/>
            <a:gd name="T128" fmla="*/ 0 60000 65536"/>
            <a:gd name="T129" fmla="*/ 0 60000 65536"/>
            <a:gd name="T130" fmla="*/ 0 60000 65536"/>
            <a:gd name="T131" fmla="*/ 0 60000 65536"/>
            <a:gd name="T132" fmla="*/ 0 60000 65536"/>
            <a:gd name="T133" fmla="*/ 0 60000 65536"/>
            <a:gd name="T134" fmla="*/ 0 60000 65536"/>
            <a:gd name="T135" fmla="*/ 0 60000 65536"/>
            <a:gd name="T136" fmla="*/ 0 60000 65536"/>
            <a:gd name="T137" fmla="*/ 0 60000 65536"/>
            <a:gd name="T138" fmla="*/ 0 60000 65536"/>
            <a:gd name="T139" fmla="*/ 0 60000 65536"/>
            <a:gd name="T140" fmla="*/ 0 60000 65536"/>
            <a:gd name="T141" fmla="*/ 0 60000 65536"/>
            <a:gd name="T142" fmla="*/ 0 60000 65536"/>
            <a:gd name="T143" fmla="*/ 0 60000 65536"/>
            <a:gd name="T144" fmla="*/ 0 60000 65536"/>
            <a:gd name="T145" fmla="*/ 0 60000 65536"/>
            <a:gd name="T146" fmla="*/ 0 60000 65536"/>
            <a:gd name="T147" fmla="*/ 0 w 1116"/>
            <a:gd name="T148" fmla="*/ 0 h 1654"/>
            <a:gd name="T149" fmla="*/ 1116 w 1116"/>
            <a:gd name="T150" fmla="*/ 1654 h 1654"/>
          </a:gdLst>
          <a:ahLst/>
          <a:cxnLst>
            <a:cxn ang="T98">
              <a:pos x="T0" y="T1"/>
            </a:cxn>
            <a:cxn ang="T99">
              <a:pos x="T2" y="T3"/>
            </a:cxn>
            <a:cxn ang="T100">
              <a:pos x="T4" y="T5"/>
            </a:cxn>
            <a:cxn ang="T101">
              <a:pos x="T6" y="T7"/>
            </a:cxn>
            <a:cxn ang="T102">
              <a:pos x="T8" y="T9"/>
            </a:cxn>
            <a:cxn ang="T103">
              <a:pos x="T10" y="T11"/>
            </a:cxn>
            <a:cxn ang="T104">
              <a:pos x="T12" y="T13"/>
            </a:cxn>
            <a:cxn ang="T105">
              <a:pos x="T14" y="T15"/>
            </a:cxn>
            <a:cxn ang="T106">
              <a:pos x="T16" y="T17"/>
            </a:cxn>
            <a:cxn ang="T107">
              <a:pos x="T18" y="T19"/>
            </a:cxn>
            <a:cxn ang="T108">
              <a:pos x="T20" y="T21"/>
            </a:cxn>
            <a:cxn ang="T109">
              <a:pos x="T22" y="T23"/>
            </a:cxn>
            <a:cxn ang="T110">
              <a:pos x="T24" y="T25"/>
            </a:cxn>
            <a:cxn ang="T111">
              <a:pos x="T26" y="T27"/>
            </a:cxn>
            <a:cxn ang="T112">
              <a:pos x="T28" y="T29"/>
            </a:cxn>
            <a:cxn ang="T113">
              <a:pos x="T30" y="T31"/>
            </a:cxn>
            <a:cxn ang="T114">
              <a:pos x="T32" y="T33"/>
            </a:cxn>
            <a:cxn ang="T115">
              <a:pos x="T34" y="T35"/>
            </a:cxn>
            <a:cxn ang="T116">
              <a:pos x="T36" y="T37"/>
            </a:cxn>
            <a:cxn ang="T117">
              <a:pos x="T38" y="T39"/>
            </a:cxn>
            <a:cxn ang="T118">
              <a:pos x="T40" y="T41"/>
            </a:cxn>
            <a:cxn ang="T119">
              <a:pos x="T42" y="T43"/>
            </a:cxn>
            <a:cxn ang="T120">
              <a:pos x="T44" y="T45"/>
            </a:cxn>
            <a:cxn ang="T121">
              <a:pos x="T46" y="T47"/>
            </a:cxn>
            <a:cxn ang="T122">
              <a:pos x="T48" y="T49"/>
            </a:cxn>
            <a:cxn ang="T123">
              <a:pos x="T50" y="T51"/>
            </a:cxn>
            <a:cxn ang="T124">
              <a:pos x="T52" y="T53"/>
            </a:cxn>
            <a:cxn ang="T125">
              <a:pos x="T54" y="T55"/>
            </a:cxn>
            <a:cxn ang="T126">
              <a:pos x="T56" y="T57"/>
            </a:cxn>
            <a:cxn ang="T127">
              <a:pos x="T58" y="T59"/>
            </a:cxn>
            <a:cxn ang="T128">
              <a:pos x="T60" y="T61"/>
            </a:cxn>
            <a:cxn ang="T129">
              <a:pos x="T62" y="T63"/>
            </a:cxn>
            <a:cxn ang="T130">
              <a:pos x="T64" y="T65"/>
            </a:cxn>
            <a:cxn ang="T131">
              <a:pos x="T66" y="T67"/>
            </a:cxn>
            <a:cxn ang="T132">
              <a:pos x="T68" y="T69"/>
            </a:cxn>
            <a:cxn ang="T133">
              <a:pos x="T70" y="T71"/>
            </a:cxn>
            <a:cxn ang="T134">
              <a:pos x="T72" y="T73"/>
            </a:cxn>
            <a:cxn ang="T135">
              <a:pos x="T74" y="T75"/>
            </a:cxn>
            <a:cxn ang="T136">
              <a:pos x="T76" y="T77"/>
            </a:cxn>
            <a:cxn ang="T137">
              <a:pos x="T78" y="T79"/>
            </a:cxn>
            <a:cxn ang="T138">
              <a:pos x="T80" y="T81"/>
            </a:cxn>
            <a:cxn ang="T139">
              <a:pos x="T82" y="T83"/>
            </a:cxn>
            <a:cxn ang="T140">
              <a:pos x="T84" y="T85"/>
            </a:cxn>
            <a:cxn ang="T141">
              <a:pos x="T86" y="T87"/>
            </a:cxn>
            <a:cxn ang="T142">
              <a:pos x="T88" y="T89"/>
            </a:cxn>
            <a:cxn ang="T143">
              <a:pos x="T90" y="T91"/>
            </a:cxn>
            <a:cxn ang="T144">
              <a:pos x="T92" y="T93"/>
            </a:cxn>
            <a:cxn ang="T145">
              <a:pos x="T94" y="T95"/>
            </a:cxn>
            <a:cxn ang="T146">
              <a:pos x="T96" y="T97"/>
            </a:cxn>
          </a:cxnLst>
          <a:rect l="T147" t="T148" r="T149" b="T150"/>
          <a:pathLst>
            <a:path w="1116" h="1654">
              <a:moveTo>
                <a:pt x="1" y="683"/>
              </a:moveTo>
              <a:lnTo>
                <a:pt x="1" y="694"/>
              </a:lnTo>
              <a:lnTo>
                <a:pt x="1" y="710"/>
              </a:lnTo>
              <a:lnTo>
                <a:pt x="11" y="720"/>
              </a:lnTo>
              <a:lnTo>
                <a:pt x="19" y="725"/>
              </a:lnTo>
              <a:lnTo>
                <a:pt x="31" y="736"/>
              </a:lnTo>
              <a:lnTo>
                <a:pt x="68" y="769"/>
              </a:lnTo>
              <a:lnTo>
                <a:pt x="79" y="777"/>
              </a:lnTo>
              <a:lnTo>
                <a:pt x="94" y="791"/>
              </a:lnTo>
              <a:lnTo>
                <a:pt x="127" y="820"/>
              </a:lnTo>
              <a:lnTo>
                <a:pt x="136" y="828"/>
              </a:lnTo>
              <a:lnTo>
                <a:pt x="141" y="832"/>
              </a:lnTo>
              <a:lnTo>
                <a:pt x="158" y="848"/>
              </a:lnTo>
              <a:lnTo>
                <a:pt x="202" y="887"/>
              </a:lnTo>
              <a:lnTo>
                <a:pt x="234" y="915"/>
              </a:lnTo>
              <a:lnTo>
                <a:pt x="295" y="970"/>
              </a:lnTo>
              <a:lnTo>
                <a:pt x="366" y="1035"/>
              </a:lnTo>
              <a:lnTo>
                <a:pt x="398" y="1064"/>
              </a:lnTo>
              <a:lnTo>
                <a:pt x="406" y="1073"/>
              </a:lnTo>
              <a:lnTo>
                <a:pt x="448" y="1111"/>
              </a:lnTo>
              <a:lnTo>
                <a:pt x="461" y="1123"/>
              </a:lnTo>
              <a:lnTo>
                <a:pt x="530" y="1188"/>
              </a:lnTo>
              <a:lnTo>
                <a:pt x="647" y="1301"/>
              </a:lnTo>
              <a:lnTo>
                <a:pt x="702" y="1353"/>
              </a:lnTo>
              <a:lnTo>
                <a:pt x="768" y="1417"/>
              </a:lnTo>
              <a:lnTo>
                <a:pt x="769" y="1418"/>
              </a:lnTo>
              <a:lnTo>
                <a:pt x="796" y="1445"/>
              </a:lnTo>
              <a:lnTo>
                <a:pt x="818" y="1468"/>
              </a:lnTo>
              <a:lnTo>
                <a:pt x="889" y="1537"/>
              </a:lnTo>
              <a:lnTo>
                <a:pt x="951" y="1599"/>
              </a:lnTo>
              <a:lnTo>
                <a:pt x="1005" y="1654"/>
              </a:lnTo>
              <a:lnTo>
                <a:pt x="1013" y="1596"/>
              </a:lnTo>
              <a:lnTo>
                <a:pt x="993" y="1477"/>
              </a:lnTo>
              <a:lnTo>
                <a:pt x="998" y="1448"/>
              </a:lnTo>
              <a:lnTo>
                <a:pt x="983" y="1397"/>
              </a:lnTo>
              <a:lnTo>
                <a:pt x="1029" y="1384"/>
              </a:lnTo>
              <a:lnTo>
                <a:pt x="1076" y="1414"/>
              </a:lnTo>
              <a:lnTo>
                <a:pt x="1113" y="1373"/>
              </a:lnTo>
              <a:lnTo>
                <a:pt x="1114" y="1219"/>
              </a:lnTo>
              <a:lnTo>
                <a:pt x="1114" y="1182"/>
              </a:lnTo>
              <a:lnTo>
                <a:pt x="1114" y="1157"/>
              </a:lnTo>
              <a:lnTo>
                <a:pt x="1114" y="1080"/>
              </a:lnTo>
              <a:lnTo>
                <a:pt x="1114" y="1040"/>
              </a:lnTo>
              <a:lnTo>
                <a:pt x="1114" y="1005"/>
              </a:lnTo>
              <a:lnTo>
                <a:pt x="1114" y="1000"/>
              </a:lnTo>
              <a:lnTo>
                <a:pt x="1114" y="911"/>
              </a:lnTo>
              <a:lnTo>
                <a:pt x="1114" y="877"/>
              </a:lnTo>
              <a:lnTo>
                <a:pt x="1114" y="828"/>
              </a:lnTo>
              <a:lnTo>
                <a:pt x="1114" y="811"/>
              </a:lnTo>
              <a:lnTo>
                <a:pt x="1114" y="799"/>
              </a:lnTo>
              <a:lnTo>
                <a:pt x="1114" y="786"/>
              </a:lnTo>
              <a:lnTo>
                <a:pt x="1114" y="742"/>
              </a:lnTo>
              <a:lnTo>
                <a:pt x="1115" y="591"/>
              </a:lnTo>
              <a:lnTo>
                <a:pt x="1114" y="582"/>
              </a:lnTo>
              <a:lnTo>
                <a:pt x="1115" y="532"/>
              </a:lnTo>
              <a:lnTo>
                <a:pt x="1115" y="496"/>
              </a:lnTo>
              <a:lnTo>
                <a:pt x="1115" y="473"/>
              </a:lnTo>
              <a:lnTo>
                <a:pt x="1115" y="446"/>
              </a:lnTo>
              <a:lnTo>
                <a:pt x="1115" y="391"/>
              </a:lnTo>
              <a:lnTo>
                <a:pt x="1115" y="326"/>
              </a:lnTo>
              <a:lnTo>
                <a:pt x="1115" y="237"/>
              </a:lnTo>
              <a:lnTo>
                <a:pt x="1116" y="160"/>
              </a:lnTo>
              <a:lnTo>
                <a:pt x="1116" y="28"/>
              </a:lnTo>
              <a:lnTo>
                <a:pt x="1116" y="3"/>
              </a:lnTo>
              <a:lnTo>
                <a:pt x="1079" y="3"/>
              </a:lnTo>
              <a:lnTo>
                <a:pt x="1076" y="3"/>
              </a:lnTo>
              <a:lnTo>
                <a:pt x="1071" y="3"/>
              </a:lnTo>
              <a:lnTo>
                <a:pt x="1011" y="3"/>
              </a:lnTo>
              <a:lnTo>
                <a:pt x="983" y="1"/>
              </a:lnTo>
              <a:lnTo>
                <a:pt x="930" y="1"/>
              </a:lnTo>
              <a:lnTo>
                <a:pt x="740" y="1"/>
              </a:lnTo>
              <a:lnTo>
                <a:pt x="568" y="1"/>
              </a:lnTo>
              <a:lnTo>
                <a:pt x="557" y="0"/>
              </a:lnTo>
              <a:lnTo>
                <a:pt x="515" y="1"/>
              </a:lnTo>
              <a:lnTo>
                <a:pt x="506" y="1"/>
              </a:lnTo>
              <a:lnTo>
                <a:pt x="338" y="1"/>
              </a:lnTo>
              <a:lnTo>
                <a:pt x="281" y="3"/>
              </a:lnTo>
              <a:lnTo>
                <a:pt x="245" y="3"/>
              </a:lnTo>
              <a:lnTo>
                <a:pt x="127" y="3"/>
              </a:lnTo>
              <a:lnTo>
                <a:pt x="121" y="3"/>
              </a:lnTo>
              <a:lnTo>
                <a:pt x="94" y="3"/>
              </a:lnTo>
              <a:lnTo>
                <a:pt x="24" y="1"/>
              </a:lnTo>
              <a:lnTo>
                <a:pt x="1" y="3"/>
              </a:lnTo>
              <a:lnTo>
                <a:pt x="1" y="55"/>
              </a:lnTo>
              <a:lnTo>
                <a:pt x="1" y="154"/>
              </a:lnTo>
              <a:lnTo>
                <a:pt x="1" y="194"/>
              </a:lnTo>
              <a:lnTo>
                <a:pt x="2" y="356"/>
              </a:lnTo>
              <a:lnTo>
                <a:pt x="1" y="484"/>
              </a:lnTo>
              <a:lnTo>
                <a:pt x="1" y="539"/>
              </a:lnTo>
              <a:lnTo>
                <a:pt x="1" y="562"/>
              </a:lnTo>
              <a:lnTo>
                <a:pt x="1" y="591"/>
              </a:lnTo>
              <a:lnTo>
                <a:pt x="1" y="605"/>
              </a:lnTo>
              <a:lnTo>
                <a:pt x="0" y="621"/>
              </a:lnTo>
              <a:lnTo>
                <a:pt x="0" y="635"/>
              </a:lnTo>
              <a:lnTo>
                <a:pt x="0" y="651"/>
              </a:lnTo>
              <a:lnTo>
                <a:pt x="0" y="670"/>
              </a:lnTo>
              <a:lnTo>
                <a:pt x="0" y="680"/>
              </a:lnTo>
              <a:lnTo>
                <a:pt x="1" y="683"/>
              </a:lnTo>
              <a:close/>
            </a:path>
          </a:pathLst>
        </a:custGeom>
        <a:solidFill>
          <a:srgbClr val="FFFFFF"/>
        </a:solidFill>
        <a:ln>
          <a:solidFill>
            <a:schemeClr val="bg1">
              <a:lumMod val="85000"/>
            </a:schemeClr>
          </a:solidFill>
          <a:headEnd/>
          <a:tailEnd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anchor="ctr"/>
        <a:lstStyle/>
        <a:p>
          <a:pPr algn="ctr"/>
          <a:endParaRPr lang="en-US" sz="800" b="0"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18</xdr:col>
      <xdr:colOff>563524</xdr:colOff>
      <xdr:row>17</xdr:row>
      <xdr:rowOff>19577</xdr:rowOff>
    </xdr:from>
    <xdr:to>
      <xdr:col>19</xdr:col>
      <xdr:colOff>141178</xdr:colOff>
      <xdr:row>17</xdr:row>
      <xdr:rowOff>152035</xdr:rowOff>
    </xdr:to>
    <xdr:sp macro="" textlink="">
      <xdr:nvSpPr>
        <xdr:cNvPr id="118" name="T_AZ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 txBox="1"/>
      </xdr:nvSpPr>
      <xdr:spPr>
        <a:xfrm>
          <a:off x="1544599" y="3448577"/>
          <a:ext cx="187254" cy="132458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AZ</a:t>
          </a:r>
        </a:p>
      </xdr:txBody>
    </xdr:sp>
    <xdr:clientData/>
  </xdr:twoCellAnchor>
  <xdr:twoCellAnchor>
    <xdr:from>
      <xdr:col>21</xdr:col>
      <xdr:colOff>467073</xdr:colOff>
      <xdr:row>16</xdr:row>
      <xdr:rowOff>104229</xdr:rowOff>
    </xdr:from>
    <xdr:to>
      <xdr:col>22</xdr:col>
      <xdr:colOff>45068</xdr:colOff>
      <xdr:row>17</xdr:row>
      <xdr:rowOff>45351</xdr:rowOff>
    </xdr:to>
    <xdr:sp macro="" textlink="">
      <xdr:nvSpPr>
        <xdr:cNvPr id="119" name="T_AR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 txBox="1"/>
      </xdr:nvSpPr>
      <xdr:spPr>
        <a:xfrm>
          <a:off x="3276948" y="3342729"/>
          <a:ext cx="187595" cy="131622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AR</a:t>
          </a:r>
        </a:p>
      </xdr:txBody>
    </xdr:sp>
    <xdr:clientData/>
  </xdr:twoCellAnchor>
  <xdr:twoCellAnchor>
    <xdr:from>
      <xdr:col>17</xdr:col>
      <xdr:colOff>389939</xdr:colOff>
      <xdr:row>14</xdr:row>
      <xdr:rowOff>187293</xdr:rowOff>
    </xdr:from>
    <xdr:to>
      <xdr:col>17</xdr:col>
      <xdr:colOff>576001</xdr:colOff>
      <xdr:row>15</xdr:row>
      <xdr:rowOff>128861</xdr:rowOff>
    </xdr:to>
    <xdr:sp macro="" textlink="">
      <xdr:nvSpPr>
        <xdr:cNvPr id="120" name="T_CA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 txBox="1"/>
      </xdr:nvSpPr>
      <xdr:spPr>
        <a:xfrm>
          <a:off x="761414" y="3044793"/>
          <a:ext cx="186062" cy="132068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CA</a:t>
          </a:r>
        </a:p>
      </xdr:txBody>
    </xdr:sp>
    <xdr:clientData/>
  </xdr:twoCellAnchor>
  <xdr:twoCellAnchor>
    <xdr:from>
      <xdr:col>19</xdr:col>
      <xdr:colOff>479294</xdr:colOff>
      <xdr:row>13</xdr:row>
      <xdr:rowOff>155065</xdr:rowOff>
    </xdr:from>
    <xdr:to>
      <xdr:col>20</xdr:col>
      <xdr:colOff>58137</xdr:colOff>
      <xdr:row>14</xdr:row>
      <xdr:rowOff>98638</xdr:rowOff>
    </xdr:to>
    <xdr:sp macro="" textlink="">
      <xdr:nvSpPr>
        <xdr:cNvPr id="121" name="T_CO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 txBox="1"/>
      </xdr:nvSpPr>
      <xdr:spPr>
        <a:xfrm>
          <a:off x="2069969" y="2822065"/>
          <a:ext cx="188443" cy="134073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CO</a:t>
          </a:r>
        </a:p>
      </xdr:txBody>
    </xdr:sp>
    <xdr:clientData/>
  </xdr:twoCellAnchor>
  <xdr:twoCellAnchor>
    <xdr:from>
      <xdr:col>24</xdr:col>
      <xdr:colOff>508583</xdr:colOff>
      <xdr:row>11</xdr:row>
      <xdr:rowOff>105986</xdr:rowOff>
    </xdr:from>
    <xdr:to>
      <xdr:col>25</xdr:col>
      <xdr:colOff>86237</xdr:colOff>
      <xdr:row>12</xdr:row>
      <xdr:rowOff>47553</xdr:rowOff>
    </xdr:to>
    <xdr:sp macro="" textlink="">
      <xdr:nvSpPr>
        <xdr:cNvPr id="122" name="T_CT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SpPr txBox="1"/>
      </xdr:nvSpPr>
      <xdr:spPr>
        <a:xfrm>
          <a:off x="5147258" y="2315786"/>
          <a:ext cx="187254" cy="170167"/>
        </a:xfrm>
        <a:prstGeom prst="rect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rgbClr val="FFFFFF"/>
              </a:solidFill>
              <a:latin typeface="Segoe UI"/>
            </a:rPr>
            <a:t>CT</a:t>
          </a:r>
        </a:p>
      </xdr:txBody>
    </xdr:sp>
    <xdr:clientData/>
  </xdr:twoCellAnchor>
  <xdr:twoCellAnchor>
    <xdr:from>
      <xdr:col>23</xdr:col>
      <xdr:colOff>259000</xdr:colOff>
      <xdr:row>21</xdr:row>
      <xdr:rowOff>106706</xdr:rowOff>
    </xdr:from>
    <xdr:to>
      <xdr:col>23</xdr:col>
      <xdr:colOff>443874</xdr:colOff>
      <xdr:row>22</xdr:row>
      <xdr:rowOff>50279</xdr:rowOff>
    </xdr:to>
    <xdr:sp macro="" textlink="">
      <xdr:nvSpPr>
        <xdr:cNvPr id="123" name="T_FL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SpPr txBox="1"/>
      </xdr:nvSpPr>
      <xdr:spPr>
        <a:xfrm>
          <a:off x="4288075" y="4450106"/>
          <a:ext cx="184874" cy="172173"/>
        </a:xfrm>
        <a:prstGeom prst="rect">
          <a:avLst/>
        </a:prstGeom>
        <a:noFill/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FL</a:t>
          </a:r>
        </a:p>
      </xdr:txBody>
    </xdr:sp>
    <xdr:clientData/>
  </xdr:twoCellAnchor>
  <xdr:twoCellAnchor>
    <xdr:from>
      <xdr:col>23</xdr:col>
      <xdr:colOff>93310</xdr:colOff>
      <xdr:row>17</xdr:row>
      <xdr:rowOff>190161</xdr:rowOff>
    </xdr:from>
    <xdr:to>
      <xdr:col>23</xdr:col>
      <xdr:colOff>279372</xdr:colOff>
      <xdr:row>18</xdr:row>
      <xdr:rowOff>131282</xdr:rowOff>
    </xdr:to>
    <xdr:sp macro="" textlink="">
      <xdr:nvSpPr>
        <xdr:cNvPr id="124" name="T_GA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SpPr txBox="1"/>
      </xdr:nvSpPr>
      <xdr:spPr>
        <a:xfrm>
          <a:off x="4122385" y="3619161"/>
          <a:ext cx="186062" cy="169721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GA</a:t>
          </a:r>
        </a:p>
      </xdr:txBody>
    </xdr:sp>
    <xdr:clientData/>
  </xdr:twoCellAnchor>
  <xdr:twoCellAnchor>
    <xdr:from>
      <xdr:col>18</xdr:col>
      <xdr:colOff>310179</xdr:colOff>
      <xdr:row>10</xdr:row>
      <xdr:rowOff>113480</xdr:rowOff>
    </xdr:from>
    <xdr:to>
      <xdr:col>18</xdr:col>
      <xdr:colOff>495053</xdr:colOff>
      <xdr:row>11</xdr:row>
      <xdr:rowOff>54657</xdr:rowOff>
    </xdr:to>
    <xdr:sp macro="" textlink="">
      <xdr:nvSpPr>
        <xdr:cNvPr id="125" name="T_ID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SpPr txBox="1"/>
      </xdr:nvSpPr>
      <xdr:spPr>
        <a:xfrm>
          <a:off x="1291254" y="2094680"/>
          <a:ext cx="184874" cy="169777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ID</a:t>
          </a:r>
        </a:p>
      </xdr:txBody>
    </xdr:sp>
    <xdr:clientData/>
  </xdr:twoCellAnchor>
  <xdr:twoCellAnchor>
    <xdr:from>
      <xdr:col>22</xdr:col>
      <xdr:colOff>215568</xdr:colOff>
      <xdr:row>13</xdr:row>
      <xdr:rowOff>22699</xdr:rowOff>
    </xdr:from>
    <xdr:to>
      <xdr:col>22</xdr:col>
      <xdr:colOff>291021</xdr:colOff>
      <xdr:row>13</xdr:row>
      <xdr:rowOff>156772</xdr:rowOff>
    </xdr:to>
    <xdr:sp macro="" textlink="">
      <xdr:nvSpPr>
        <xdr:cNvPr id="126" name="T_IL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SpPr txBox="1"/>
      </xdr:nvSpPr>
      <xdr:spPr>
        <a:xfrm>
          <a:off x="3635043" y="2689699"/>
          <a:ext cx="75453" cy="134073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IL</a:t>
          </a:r>
        </a:p>
      </xdr:txBody>
    </xdr:sp>
    <xdr:clientData/>
  </xdr:twoCellAnchor>
  <xdr:twoCellAnchor>
    <xdr:from>
      <xdr:col>21</xdr:col>
      <xdr:colOff>403524</xdr:colOff>
      <xdr:row>11</xdr:row>
      <xdr:rowOff>143535</xdr:rowOff>
    </xdr:from>
    <xdr:to>
      <xdr:col>21</xdr:col>
      <xdr:colOff>589586</xdr:colOff>
      <xdr:row>12</xdr:row>
      <xdr:rowOff>87108</xdr:rowOff>
    </xdr:to>
    <xdr:sp macro="" textlink="">
      <xdr:nvSpPr>
        <xdr:cNvPr id="127" name="T_IA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SpPr txBox="1"/>
      </xdr:nvSpPr>
      <xdr:spPr>
        <a:xfrm>
          <a:off x="3213399" y="2353335"/>
          <a:ext cx="186062" cy="172173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IA</a:t>
          </a:r>
        </a:p>
      </xdr:txBody>
    </xdr:sp>
    <xdr:clientData/>
  </xdr:twoCellAnchor>
  <xdr:twoCellAnchor>
    <xdr:from>
      <xdr:col>22</xdr:col>
      <xdr:colOff>454257</xdr:colOff>
      <xdr:row>13</xdr:row>
      <xdr:rowOff>22922</xdr:rowOff>
    </xdr:from>
    <xdr:to>
      <xdr:col>22</xdr:col>
      <xdr:colOff>594652</xdr:colOff>
      <xdr:row>13</xdr:row>
      <xdr:rowOff>153429</xdr:rowOff>
    </xdr:to>
    <xdr:sp macro="" textlink="">
      <xdr:nvSpPr>
        <xdr:cNvPr id="128" name="T_IN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SpPr txBox="1"/>
      </xdr:nvSpPr>
      <xdr:spPr>
        <a:xfrm>
          <a:off x="3873732" y="2689922"/>
          <a:ext cx="140395" cy="130507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IN</a:t>
          </a:r>
        </a:p>
      </xdr:txBody>
    </xdr:sp>
    <xdr:clientData/>
  </xdr:twoCellAnchor>
  <xdr:twoCellAnchor>
    <xdr:from>
      <xdr:col>20</xdr:col>
      <xdr:colOff>530591</xdr:colOff>
      <xdr:row>14</xdr:row>
      <xdr:rowOff>12699</xdr:rowOff>
    </xdr:from>
    <xdr:to>
      <xdr:col>21</xdr:col>
      <xdr:colOff>108246</xdr:colOff>
      <xdr:row>14</xdr:row>
      <xdr:rowOff>144766</xdr:rowOff>
    </xdr:to>
    <xdr:sp macro="" textlink="">
      <xdr:nvSpPr>
        <xdr:cNvPr id="129" name="T_KS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SpPr txBox="1"/>
      </xdr:nvSpPr>
      <xdr:spPr>
        <a:xfrm>
          <a:off x="2730866" y="2870199"/>
          <a:ext cx="187255" cy="132067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KS</a:t>
          </a:r>
        </a:p>
      </xdr:txBody>
    </xdr:sp>
    <xdr:clientData/>
  </xdr:twoCellAnchor>
  <xdr:twoCellAnchor>
    <xdr:from>
      <xdr:col>22</xdr:col>
      <xdr:colOff>588201</xdr:colOff>
      <xdr:row>14</xdr:row>
      <xdr:rowOff>180385</xdr:rowOff>
    </xdr:from>
    <xdr:to>
      <xdr:col>23</xdr:col>
      <xdr:colOff>163818</xdr:colOff>
      <xdr:row>15</xdr:row>
      <xdr:rowOff>121953</xdr:rowOff>
    </xdr:to>
    <xdr:sp macro="" textlink="">
      <xdr:nvSpPr>
        <xdr:cNvPr id="130" name="T_KY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SpPr txBox="1"/>
      </xdr:nvSpPr>
      <xdr:spPr>
        <a:xfrm>
          <a:off x="4007676" y="3037885"/>
          <a:ext cx="185217" cy="132068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KY</a:t>
          </a:r>
        </a:p>
      </xdr:txBody>
    </xdr:sp>
    <xdr:clientData/>
  </xdr:twoCellAnchor>
  <xdr:twoCellAnchor>
    <xdr:from>
      <xdr:col>21</xdr:col>
      <xdr:colOff>501082</xdr:colOff>
      <xdr:row>19</xdr:row>
      <xdr:rowOff>87821</xdr:rowOff>
    </xdr:from>
    <xdr:to>
      <xdr:col>22</xdr:col>
      <xdr:colOff>78737</xdr:colOff>
      <xdr:row>20</xdr:row>
      <xdr:rowOff>27773</xdr:rowOff>
    </xdr:to>
    <xdr:sp macro="" textlink="">
      <xdr:nvSpPr>
        <xdr:cNvPr id="131" name="T_LA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SpPr txBox="1"/>
      </xdr:nvSpPr>
      <xdr:spPr>
        <a:xfrm>
          <a:off x="3310957" y="3974021"/>
          <a:ext cx="187255" cy="168552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LA</a:t>
          </a:r>
        </a:p>
      </xdr:txBody>
    </xdr:sp>
    <xdr:clientData/>
  </xdr:twoCellAnchor>
  <xdr:twoCellAnchor>
    <xdr:from>
      <xdr:col>22</xdr:col>
      <xdr:colOff>553852</xdr:colOff>
      <xdr:row>11</xdr:row>
      <xdr:rowOff>1864</xdr:rowOff>
    </xdr:from>
    <xdr:to>
      <xdr:col>23</xdr:col>
      <xdr:colOff>131506</xdr:colOff>
      <xdr:row>11</xdr:row>
      <xdr:rowOff>133541</xdr:rowOff>
    </xdr:to>
    <xdr:sp macro="" textlink="">
      <xdr:nvSpPr>
        <xdr:cNvPr id="132" name="T_MI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SpPr txBox="1"/>
      </xdr:nvSpPr>
      <xdr:spPr>
        <a:xfrm>
          <a:off x="3973327" y="2211664"/>
          <a:ext cx="187254" cy="131677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MI</a:t>
          </a:r>
        </a:p>
      </xdr:txBody>
    </xdr:sp>
    <xdr:clientData/>
  </xdr:twoCellAnchor>
  <xdr:twoCellAnchor>
    <xdr:from>
      <xdr:col>21</xdr:col>
      <xdr:colOff>262110</xdr:colOff>
      <xdr:row>8</xdr:row>
      <xdr:rowOff>99218</xdr:rowOff>
    </xdr:from>
    <xdr:to>
      <xdr:col>21</xdr:col>
      <xdr:colOff>447833</xdr:colOff>
      <xdr:row>9</xdr:row>
      <xdr:rowOff>41176</xdr:rowOff>
    </xdr:to>
    <xdr:sp macro="" textlink="">
      <xdr:nvSpPr>
        <xdr:cNvPr id="133" name="T_MN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SpPr txBox="1"/>
      </xdr:nvSpPr>
      <xdr:spPr>
        <a:xfrm>
          <a:off x="3071985" y="1623218"/>
          <a:ext cx="185723" cy="170558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MN</a:t>
          </a:r>
        </a:p>
      </xdr:txBody>
    </xdr:sp>
    <xdr:clientData/>
  </xdr:twoCellAnchor>
  <xdr:twoCellAnchor>
    <xdr:from>
      <xdr:col>22</xdr:col>
      <xdr:colOff>131817</xdr:colOff>
      <xdr:row>18</xdr:row>
      <xdr:rowOff>6903</xdr:rowOff>
    </xdr:from>
    <xdr:to>
      <xdr:col>22</xdr:col>
      <xdr:colOff>317879</xdr:colOff>
      <xdr:row>18</xdr:row>
      <xdr:rowOff>137355</xdr:rowOff>
    </xdr:to>
    <xdr:sp macro="" textlink="">
      <xdr:nvSpPr>
        <xdr:cNvPr id="134" name="T_MS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 txBox="1"/>
      </xdr:nvSpPr>
      <xdr:spPr>
        <a:xfrm>
          <a:off x="3551292" y="3664503"/>
          <a:ext cx="186062" cy="130452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MS</a:t>
          </a:r>
        </a:p>
      </xdr:txBody>
    </xdr:sp>
    <xdr:clientData/>
  </xdr:twoCellAnchor>
  <xdr:twoCellAnchor>
    <xdr:from>
      <xdr:col>21</xdr:col>
      <xdr:colOff>482747</xdr:colOff>
      <xdr:row>14</xdr:row>
      <xdr:rowOff>65734</xdr:rowOff>
    </xdr:from>
    <xdr:to>
      <xdr:col>22</xdr:col>
      <xdr:colOff>61591</xdr:colOff>
      <xdr:row>15</xdr:row>
      <xdr:rowOff>9307</xdr:rowOff>
    </xdr:to>
    <xdr:sp macro="" textlink="">
      <xdr:nvSpPr>
        <xdr:cNvPr id="135" name="T_MO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 txBox="1"/>
      </xdr:nvSpPr>
      <xdr:spPr>
        <a:xfrm>
          <a:off x="3292622" y="2923234"/>
          <a:ext cx="188444" cy="134073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MO</a:t>
          </a:r>
        </a:p>
      </xdr:txBody>
    </xdr:sp>
    <xdr:clientData/>
  </xdr:twoCellAnchor>
  <xdr:twoCellAnchor>
    <xdr:from>
      <xdr:col>19</xdr:col>
      <xdr:colOff>184922</xdr:colOff>
      <xdr:row>8</xdr:row>
      <xdr:rowOff>20557</xdr:rowOff>
    </xdr:from>
    <xdr:to>
      <xdr:col>19</xdr:col>
      <xdr:colOff>370135</xdr:colOff>
      <xdr:row>8</xdr:row>
      <xdr:rowOff>152624</xdr:rowOff>
    </xdr:to>
    <xdr:sp macro="" textlink="">
      <xdr:nvSpPr>
        <xdr:cNvPr id="136" name="T_MT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 txBox="1"/>
      </xdr:nvSpPr>
      <xdr:spPr>
        <a:xfrm>
          <a:off x="1775597" y="1544557"/>
          <a:ext cx="185213" cy="132067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MT</a:t>
          </a:r>
        </a:p>
      </xdr:txBody>
    </xdr:sp>
    <xdr:clientData/>
  </xdr:twoCellAnchor>
  <xdr:twoCellAnchor>
    <xdr:from>
      <xdr:col>20</xdr:col>
      <xdr:colOff>416792</xdr:colOff>
      <xdr:row>11</xdr:row>
      <xdr:rowOff>187768</xdr:rowOff>
    </xdr:from>
    <xdr:to>
      <xdr:col>20</xdr:col>
      <xdr:colOff>602854</xdr:colOff>
      <xdr:row>12</xdr:row>
      <xdr:rowOff>128890</xdr:rowOff>
    </xdr:to>
    <xdr:sp macro="" textlink="">
      <xdr:nvSpPr>
        <xdr:cNvPr id="137" name="T_NE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 txBox="1"/>
      </xdr:nvSpPr>
      <xdr:spPr>
        <a:xfrm>
          <a:off x="2617067" y="2397568"/>
          <a:ext cx="186062" cy="169722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NE</a:t>
          </a:r>
        </a:p>
      </xdr:txBody>
    </xdr:sp>
    <xdr:clientData/>
  </xdr:twoCellAnchor>
  <xdr:twoCellAnchor>
    <xdr:from>
      <xdr:col>18</xdr:col>
      <xdr:colOff>74773</xdr:colOff>
      <xdr:row>13</xdr:row>
      <xdr:rowOff>122865</xdr:rowOff>
    </xdr:from>
    <xdr:to>
      <xdr:col>18</xdr:col>
      <xdr:colOff>259646</xdr:colOff>
      <xdr:row>14</xdr:row>
      <xdr:rowOff>66438</xdr:rowOff>
    </xdr:to>
    <xdr:sp macro="" textlink="">
      <xdr:nvSpPr>
        <xdr:cNvPr id="138" name="T_NV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 txBox="1"/>
      </xdr:nvSpPr>
      <xdr:spPr>
        <a:xfrm>
          <a:off x="1055848" y="2789865"/>
          <a:ext cx="184873" cy="134073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NV</a:t>
          </a:r>
        </a:p>
      </xdr:txBody>
    </xdr:sp>
    <xdr:clientData/>
  </xdr:twoCellAnchor>
  <xdr:twoCellAnchor>
    <xdr:from>
      <xdr:col>24</xdr:col>
      <xdr:colOff>516732</xdr:colOff>
      <xdr:row>11</xdr:row>
      <xdr:rowOff>2087</xdr:rowOff>
    </xdr:from>
    <xdr:to>
      <xdr:col>25</xdr:col>
      <xdr:colOff>94386</xdr:colOff>
      <xdr:row>11</xdr:row>
      <xdr:rowOff>136160</xdr:rowOff>
    </xdr:to>
    <xdr:sp macro="" textlink="">
      <xdr:nvSpPr>
        <xdr:cNvPr id="139" name="T_NH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 txBox="1"/>
      </xdr:nvSpPr>
      <xdr:spPr>
        <a:xfrm>
          <a:off x="5155407" y="2211887"/>
          <a:ext cx="187254" cy="134073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NH</a:t>
          </a:r>
        </a:p>
      </xdr:txBody>
    </xdr:sp>
    <xdr:clientData/>
  </xdr:twoCellAnchor>
  <xdr:twoCellAnchor>
    <xdr:from>
      <xdr:col>19</xdr:col>
      <xdr:colOff>418518</xdr:colOff>
      <xdr:row>17</xdr:row>
      <xdr:rowOff>19577</xdr:rowOff>
    </xdr:from>
    <xdr:to>
      <xdr:col>19</xdr:col>
      <xdr:colOff>605430</xdr:colOff>
      <xdr:row>17</xdr:row>
      <xdr:rowOff>152035</xdr:rowOff>
    </xdr:to>
    <xdr:sp macro="" textlink="">
      <xdr:nvSpPr>
        <xdr:cNvPr id="140" name="T_NM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 txBox="1"/>
      </xdr:nvSpPr>
      <xdr:spPr>
        <a:xfrm>
          <a:off x="2009193" y="3448577"/>
          <a:ext cx="186912" cy="132458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NM</a:t>
          </a:r>
        </a:p>
      </xdr:txBody>
    </xdr:sp>
    <xdr:clientData/>
  </xdr:twoCellAnchor>
  <xdr:twoCellAnchor>
    <xdr:from>
      <xdr:col>24</xdr:col>
      <xdr:colOff>185066</xdr:colOff>
      <xdr:row>11</xdr:row>
      <xdr:rowOff>46711</xdr:rowOff>
    </xdr:from>
    <xdr:to>
      <xdr:col>24</xdr:col>
      <xdr:colOff>371128</xdr:colOff>
      <xdr:row>11</xdr:row>
      <xdr:rowOff>179168</xdr:rowOff>
    </xdr:to>
    <xdr:sp macro="" textlink="">
      <xdr:nvSpPr>
        <xdr:cNvPr id="141" name="T_NY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SpPr txBox="1"/>
      </xdr:nvSpPr>
      <xdr:spPr>
        <a:xfrm>
          <a:off x="4823741" y="2256511"/>
          <a:ext cx="186062" cy="132457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NY</a:t>
          </a:r>
        </a:p>
      </xdr:txBody>
    </xdr:sp>
    <xdr:clientData/>
  </xdr:twoCellAnchor>
  <xdr:twoCellAnchor>
    <xdr:from>
      <xdr:col>23</xdr:col>
      <xdr:colOff>465773</xdr:colOff>
      <xdr:row>16</xdr:row>
      <xdr:rowOff>20775</xdr:rowOff>
    </xdr:from>
    <xdr:to>
      <xdr:col>24</xdr:col>
      <xdr:colOff>44617</xdr:colOff>
      <xdr:row>16</xdr:row>
      <xdr:rowOff>152396</xdr:rowOff>
    </xdr:to>
    <xdr:sp macro="" textlink="">
      <xdr:nvSpPr>
        <xdr:cNvPr id="142" name="T_NC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SpPr txBox="1"/>
      </xdr:nvSpPr>
      <xdr:spPr>
        <a:xfrm>
          <a:off x="4494848" y="3259275"/>
          <a:ext cx="188444" cy="131621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NC</a:t>
          </a:r>
        </a:p>
      </xdr:txBody>
    </xdr:sp>
    <xdr:clientData/>
  </xdr:twoCellAnchor>
  <xdr:twoCellAnchor>
    <xdr:from>
      <xdr:col>20</xdr:col>
      <xdr:colOff>359638</xdr:colOff>
      <xdr:row>8</xdr:row>
      <xdr:rowOff>19442</xdr:rowOff>
    </xdr:from>
    <xdr:to>
      <xdr:col>20</xdr:col>
      <xdr:colOff>544511</xdr:colOff>
      <xdr:row>8</xdr:row>
      <xdr:rowOff>151955</xdr:rowOff>
    </xdr:to>
    <xdr:sp macro="" textlink="">
      <xdr:nvSpPr>
        <xdr:cNvPr id="143" name="T_ND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SpPr txBox="1"/>
      </xdr:nvSpPr>
      <xdr:spPr>
        <a:xfrm>
          <a:off x="2559913" y="1543442"/>
          <a:ext cx="184873" cy="132513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ND</a:t>
          </a:r>
        </a:p>
      </xdr:txBody>
    </xdr:sp>
    <xdr:clientData/>
  </xdr:twoCellAnchor>
  <xdr:twoCellAnchor>
    <xdr:from>
      <xdr:col>23</xdr:col>
      <xdr:colOff>129242</xdr:colOff>
      <xdr:row>13</xdr:row>
      <xdr:rowOff>23923</xdr:rowOff>
    </xdr:from>
    <xdr:to>
      <xdr:col>23</xdr:col>
      <xdr:colOff>314456</xdr:colOff>
      <xdr:row>13</xdr:row>
      <xdr:rowOff>157996</xdr:rowOff>
    </xdr:to>
    <xdr:sp macro="" textlink="">
      <xdr:nvSpPr>
        <xdr:cNvPr id="144" name="T_OH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 txBox="1"/>
      </xdr:nvSpPr>
      <xdr:spPr>
        <a:xfrm>
          <a:off x="4158317" y="2690923"/>
          <a:ext cx="185214" cy="134073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OH</a:t>
          </a:r>
        </a:p>
      </xdr:txBody>
    </xdr:sp>
    <xdr:clientData/>
  </xdr:twoCellAnchor>
  <xdr:twoCellAnchor>
    <xdr:from>
      <xdr:col>21</xdr:col>
      <xdr:colOff>22516</xdr:colOff>
      <xdr:row>16</xdr:row>
      <xdr:rowOff>48631</xdr:rowOff>
    </xdr:from>
    <xdr:to>
      <xdr:col>21</xdr:col>
      <xdr:colOff>207389</xdr:colOff>
      <xdr:row>16</xdr:row>
      <xdr:rowOff>179083</xdr:rowOff>
    </xdr:to>
    <xdr:sp macro="" textlink="">
      <xdr:nvSpPr>
        <xdr:cNvPr id="145" name="T_OK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SpPr txBox="1"/>
      </xdr:nvSpPr>
      <xdr:spPr>
        <a:xfrm>
          <a:off x="2832391" y="3287131"/>
          <a:ext cx="184873" cy="130452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OK</a:t>
          </a:r>
        </a:p>
      </xdr:txBody>
    </xdr:sp>
    <xdr:clientData/>
  </xdr:twoCellAnchor>
  <xdr:twoCellAnchor>
    <xdr:from>
      <xdr:col>17</xdr:col>
      <xdr:colOff>349535</xdr:colOff>
      <xdr:row>10</xdr:row>
      <xdr:rowOff>81892</xdr:rowOff>
    </xdr:from>
    <xdr:to>
      <xdr:col>17</xdr:col>
      <xdr:colOff>533560</xdr:colOff>
      <xdr:row>11</xdr:row>
      <xdr:rowOff>23459</xdr:rowOff>
    </xdr:to>
    <xdr:sp macro="" textlink="">
      <xdr:nvSpPr>
        <xdr:cNvPr id="146" name="T_OR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SpPr txBox="1"/>
      </xdr:nvSpPr>
      <xdr:spPr>
        <a:xfrm>
          <a:off x="721010" y="2063092"/>
          <a:ext cx="184025" cy="170167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OR</a:t>
          </a:r>
        </a:p>
      </xdr:txBody>
    </xdr:sp>
    <xdr:clientData/>
  </xdr:twoCellAnchor>
  <xdr:twoCellAnchor>
    <xdr:from>
      <xdr:col>23</xdr:col>
      <xdr:colOff>525587</xdr:colOff>
      <xdr:row>12</xdr:row>
      <xdr:rowOff>106125</xdr:rowOff>
    </xdr:from>
    <xdr:to>
      <xdr:col>24</xdr:col>
      <xdr:colOff>103241</xdr:colOff>
      <xdr:row>13</xdr:row>
      <xdr:rowOff>46076</xdr:rowOff>
    </xdr:to>
    <xdr:sp macro="" textlink="">
      <xdr:nvSpPr>
        <xdr:cNvPr id="147" name="T_PA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SpPr txBox="1"/>
      </xdr:nvSpPr>
      <xdr:spPr>
        <a:xfrm>
          <a:off x="4554662" y="2544525"/>
          <a:ext cx="187254" cy="168551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PA</a:t>
          </a:r>
        </a:p>
      </xdr:txBody>
    </xdr:sp>
    <xdr:clientData/>
  </xdr:twoCellAnchor>
  <xdr:twoCellAnchor>
    <xdr:from>
      <xdr:col>20</xdr:col>
      <xdr:colOff>350843</xdr:colOff>
      <xdr:row>10</xdr:row>
      <xdr:rowOff>19613</xdr:rowOff>
    </xdr:from>
    <xdr:to>
      <xdr:col>20</xdr:col>
      <xdr:colOff>536905</xdr:colOff>
      <xdr:row>10</xdr:row>
      <xdr:rowOff>153240</xdr:rowOff>
    </xdr:to>
    <xdr:sp macro="" textlink="">
      <xdr:nvSpPr>
        <xdr:cNvPr id="148" name="T_SD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SpPr txBox="1"/>
      </xdr:nvSpPr>
      <xdr:spPr>
        <a:xfrm>
          <a:off x="13156676" y="2465539"/>
          <a:ext cx="186062" cy="133627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SD</a:t>
          </a:r>
        </a:p>
      </xdr:txBody>
    </xdr:sp>
    <xdr:clientData/>
  </xdr:twoCellAnchor>
  <xdr:twoCellAnchor>
    <xdr:from>
      <xdr:col>23</xdr:col>
      <xdr:colOff>286671</xdr:colOff>
      <xdr:row>17</xdr:row>
      <xdr:rowOff>61249</xdr:rowOff>
    </xdr:from>
    <xdr:to>
      <xdr:col>23</xdr:col>
      <xdr:colOff>471544</xdr:colOff>
      <xdr:row>18</xdr:row>
      <xdr:rowOff>4822</xdr:rowOff>
    </xdr:to>
    <xdr:sp macro="" textlink="">
      <xdr:nvSpPr>
        <xdr:cNvPr id="149" name="T_SC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SpPr txBox="1"/>
      </xdr:nvSpPr>
      <xdr:spPr>
        <a:xfrm>
          <a:off x="4315746" y="3490249"/>
          <a:ext cx="184873" cy="172173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SC</a:t>
          </a:r>
        </a:p>
      </xdr:txBody>
    </xdr:sp>
    <xdr:clientData/>
  </xdr:twoCellAnchor>
  <xdr:twoCellAnchor>
    <xdr:from>
      <xdr:col>22</xdr:col>
      <xdr:colOff>353530</xdr:colOff>
      <xdr:row>16</xdr:row>
      <xdr:rowOff>26569</xdr:rowOff>
    </xdr:from>
    <xdr:to>
      <xdr:col>22</xdr:col>
      <xdr:colOff>538404</xdr:colOff>
      <xdr:row>16</xdr:row>
      <xdr:rowOff>159750</xdr:rowOff>
    </xdr:to>
    <xdr:sp macro="" textlink="">
      <xdr:nvSpPr>
        <xdr:cNvPr id="150" name="T_TN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SpPr txBox="1"/>
      </xdr:nvSpPr>
      <xdr:spPr>
        <a:xfrm>
          <a:off x="3773005" y="3265069"/>
          <a:ext cx="184874" cy="133181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TN</a:t>
          </a:r>
        </a:p>
      </xdr:txBody>
    </xdr:sp>
    <xdr:clientData/>
  </xdr:twoCellAnchor>
  <xdr:twoCellAnchor>
    <xdr:from>
      <xdr:col>20</xdr:col>
      <xdr:colOff>395855</xdr:colOff>
      <xdr:row>18</xdr:row>
      <xdr:rowOff>163893</xdr:rowOff>
    </xdr:from>
    <xdr:to>
      <xdr:col>20</xdr:col>
      <xdr:colOff>581917</xdr:colOff>
      <xdr:row>19</xdr:row>
      <xdr:rowOff>106574</xdr:rowOff>
    </xdr:to>
    <xdr:sp macro="" textlink="">
      <xdr:nvSpPr>
        <xdr:cNvPr id="151" name="T_TX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SpPr txBox="1"/>
      </xdr:nvSpPr>
      <xdr:spPr>
        <a:xfrm>
          <a:off x="2596130" y="3821493"/>
          <a:ext cx="186062" cy="171281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TX</a:t>
          </a:r>
        </a:p>
      </xdr:txBody>
    </xdr:sp>
    <xdr:clientData/>
  </xdr:twoCellAnchor>
  <xdr:twoCellAnchor>
    <xdr:from>
      <xdr:col>18</xdr:col>
      <xdr:colOff>567259</xdr:colOff>
      <xdr:row>13</xdr:row>
      <xdr:rowOff>88770</xdr:rowOff>
    </xdr:from>
    <xdr:to>
      <xdr:col>19</xdr:col>
      <xdr:colOff>144913</xdr:colOff>
      <xdr:row>14</xdr:row>
      <xdr:rowOff>31452</xdr:rowOff>
    </xdr:to>
    <xdr:sp macro="" textlink="">
      <xdr:nvSpPr>
        <xdr:cNvPr id="152" name="T_UT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SpPr txBox="1"/>
      </xdr:nvSpPr>
      <xdr:spPr>
        <a:xfrm>
          <a:off x="1548334" y="2755770"/>
          <a:ext cx="187254" cy="133182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UT</a:t>
          </a:r>
        </a:p>
      </xdr:txBody>
    </xdr:sp>
    <xdr:clientData/>
  </xdr:twoCellAnchor>
  <xdr:twoCellAnchor>
    <xdr:from>
      <xdr:col>23</xdr:col>
      <xdr:colOff>549863</xdr:colOff>
      <xdr:row>14</xdr:row>
      <xdr:rowOff>171360</xdr:rowOff>
    </xdr:from>
    <xdr:to>
      <xdr:col>24</xdr:col>
      <xdr:colOff>127517</xdr:colOff>
      <xdr:row>15</xdr:row>
      <xdr:rowOff>114933</xdr:rowOff>
    </xdr:to>
    <xdr:sp macro="" textlink="">
      <xdr:nvSpPr>
        <xdr:cNvPr id="153" name="T_VA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SpPr txBox="1"/>
      </xdr:nvSpPr>
      <xdr:spPr>
        <a:xfrm>
          <a:off x="4578938" y="3028860"/>
          <a:ext cx="187254" cy="134073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VA</a:t>
          </a:r>
        </a:p>
      </xdr:txBody>
    </xdr:sp>
    <xdr:clientData/>
  </xdr:twoCellAnchor>
  <xdr:twoCellAnchor>
    <xdr:from>
      <xdr:col>17</xdr:col>
      <xdr:colOff>375623</xdr:colOff>
      <xdr:row>7</xdr:row>
      <xdr:rowOff>183758</xdr:rowOff>
    </xdr:from>
    <xdr:to>
      <xdr:col>17</xdr:col>
      <xdr:colOff>560497</xdr:colOff>
      <xdr:row>8</xdr:row>
      <xdr:rowOff>126440</xdr:rowOff>
    </xdr:to>
    <xdr:sp macro="" textlink="">
      <xdr:nvSpPr>
        <xdr:cNvPr id="154" name="T_WA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SpPr txBox="1"/>
      </xdr:nvSpPr>
      <xdr:spPr>
        <a:xfrm>
          <a:off x="747098" y="1517258"/>
          <a:ext cx="184874" cy="133182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WA</a:t>
          </a:r>
        </a:p>
      </xdr:txBody>
    </xdr:sp>
    <xdr:clientData/>
  </xdr:twoCellAnchor>
  <xdr:twoCellAnchor>
    <xdr:from>
      <xdr:col>23</xdr:col>
      <xdr:colOff>284917</xdr:colOff>
      <xdr:row>14</xdr:row>
      <xdr:rowOff>91026</xdr:rowOff>
    </xdr:from>
    <xdr:to>
      <xdr:col>23</xdr:col>
      <xdr:colOff>470639</xdr:colOff>
      <xdr:row>15</xdr:row>
      <xdr:rowOff>34599</xdr:rowOff>
    </xdr:to>
    <xdr:sp macro="" textlink="">
      <xdr:nvSpPr>
        <xdr:cNvPr id="155" name="T_WV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SpPr txBox="1"/>
      </xdr:nvSpPr>
      <xdr:spPr>
        <a:xfrm>
          <a:off x="4313992" y="2948526"/>
          <a:ext cx="185722" cy="134073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WV</a:t>
          </a:r>
        </a:p>
      </xdr:txBody>
    </xdr:sp>
    <xdr:clientData/>
  </xdr:twoCellAnchor>
  <xdr:twoCellAnchor>
    <xdr:from>
      <xdr:col>22</xdr:col>
      <xdr:colOff>109917</xdr:colOff>
      <xdr:row>10</xdr:row>
      <xdr:rowOff>13870</xdr:rowOff>
    </xdr:from>
    <xdr:to>
      <xdr:col>22</xdr:col>
      <xdr:colOff>295979</xdr:colOff>
      <xdr:row>10</xdr:row>
      <xdr:rowOff>147497</xdr:rowOff>
    </xdr:to>
    <xdr:sp macro="" textlink="">
      <xdr:nvSpPr>
        <xdr:cNvPr id="156" name="T_WI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SpPr txBox="1"/>
      </xdr:nvSpPr>
      <xdr:spPr>
        <a:xfrm>
          <a:off x="3529392" y="1995070"/>
          <a:ext cx="186062" cy="133627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WI</a:t>
          </a:r>
        </a:p>
      </xdr:txBody>
    </xdr:sp>
    <xdr:clientData/>
  </xdr:twoCellAnchor>
  <xdr:twoCellAnchor>
    <xdr:from>
      <xdr:col>19</xdr:col>
      <xdr:colOff>323507</xdr:colOff>
      <xdr:row>10</xdr:row>
      <xdr:rowOff>182560</xdr:rowOff>
    </xdr:from>
    <xdr:to>
      <xdr:col>19</xdr:col>
      <xdr:colOff>508381</xdr:colOff>
      <xdr:row>11</xdr:row>
      <xdr:rowOff>125687</xdr:rowOff>
    </xdr:to>
    <xdr:sp macro="" textlink="">
      <xdr:nvSpPr>
        <xdr:cNvPr id="157" name="T_WY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SpPr txBox="1"/>
      </xdr:nvSpPr>
      <xdr:spPr>
        <a:xfrm>
          <a:off x="1914182" y="2163760"/>
          <a:ext cx="184874" cy="171727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WY</a:t>
          </a:r>
        </a:p>
      </xdr:txBody>
    </xdr:sp>
    <xdr:clientData/>
  </xdr:twoCellAnchor>
  <xdr:twoCellAnchor>
    <xdr:from>
      <xdr:col>22</xdr:col>
      <xdr:colOff>386463</xdr:colOff>
      <xdr:row>18</xdr:row>
      <xdr:rowOff>20051</xdr:rowOff>
    </xdr:from>
    <xdr:to>
      <xdr:col>22</xdr:col>
      <xdr:colOff>569640</xdr:colOff>
      <xdr:row>18</xdr:row>
      <xdr:rowOff>153233</xdr:rowOff>
    </xdr:to>
    <xdr:sp macro="" textlink="">
      <xdr:nvSpPr>
        <xdr:cNvPr id="158" name="T_AL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 txBox="1"/>
      </xdr:nvSpPr>
      <xdr:spPr>
        <a:xfrm>
          <a:off x="3805938" y="3677651"/>
          <a:ext cx="183177" cy="133182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AL</a:t>
          </a:r>
        </a:p>
      </xdr:txBody>
    </xdr:sp>
    <xdr:clientData/>
  </xdr:twoCellAnchor>
  <xdr:twoCellAnchor>
    <xdr:from>
      <xdr:col>17</xdr:col>
      <xdr:colOff>290257</xdr:colOff>
      <xdr:row>19</xdr:row>
      <xdr:rowOff>45859</xdr:rowOff>
    </xdr:from>
    <xdr:to>
      <xdr:col>17</xdr:col>
      <xdr:colOff>476319</xdr:colOff>
      <xdr:row>19</xdr:row>
      <xdr:rowOff>185281</xdr:rowOff>
    </xdr:to>
    <xdr:sp macro="" textlink="">
      <xdr:nvSpPr>
        <xdr:cNvPr id="159" name="T_AK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SpPr txBox="1"/>
      </xdr:nvSpPr>
      <xdr:spPr>
        <a:xfrm>
          <a:off x="661732" y="3932059"/>
          <a:ext cx="186062" cy="139422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vert="horz" wrap="square" lIns="0" tIns="0" rIns="0" bIns="0" rtlCol="0" anchor="t">
          <a:noAutofit/>
        </a:bodyPr>
        <a:lstStyle/>
        <a:p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/>
            </a:rPr>
            <a:t>AK</a:t>
          </a:r>
        </a:p>
      </xdr:txBody>
    </xdr:sp>
    <xdr:clientData/>
  </xdr:twoCellAnchor>
  <xdr:twoCellAnchor>
    <xdr:from>
      <xdr:col>0</xdr:col>
      <xdr:colOff>141111</xdr:colOff>
      <xdr:row>6</xdr:row>
      <xdr:rowOff>35278</xdr:rowOff>
    </xdr:from>
    <xdr:to>
      <xdr:col>26</xdr:col>
      <xdr:colOff>63500</xdr:colOff>
      <xdr:row>6</xdr:row>
      <xdr:rowOff>35278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141111" y="1178278"/>
          <a:ext cx="15977306" cy="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117592</xdr:colOff>
      <xdr:row>48</xdr:row>
      <xdr:rowOff>94074</xdr:rowOff>
    </xdr:from>
    <xdr:to>
      <xdr:col>26</xdr:col>
      <xdr:colOff>95250</xdr:colOff>
      <xdr:row>48</xdr:row>
      <xdr:rowOff>94074</xdr:rowOff>
    </xdr:to>
    <xdr:cxnSp macro="">
      <xdr:nvCxnSpPr>
        <xdr:cNvPr id="1344" name="Straight Connector 1343">
          <a:extLst>
            <a:ext uri="{FF2B5EF4-FFF2-40B4-BE49-F238E27FC236}">
              <a16:creationId xmlns:a16="http://schemas.microsoft.com/office/drawing/2014/main" id="{00000000-0008-0000-0400-000040050000}"/>
            </a:ext>
          </a:extLst>
        </xdr:cNvPr>
        <xdr:cNvCxnSpPr/>
      </xdr:nvCxnSpPr>
      <xdr:spPr>
        <a:xfrm>
          <a:off x="117592" y="9238074"/>
          <a:ext cx="16032575" cy="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529166</xdr:colOff>
      <xdr:row>6</xdr:row>
      <xdr:rowOff>94075</xdr:rowOff>
    </xdr:from>
    <xdr:to>
      <xdr:col>4</xdr:col>
      <xdr:colOff>529166</xdr:colOff>
      <xdr:row>48</xdr:row>
      <xdr:rowOff>86591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CxnSpPr/>
      </xdr:nvCxnSpPr>
      <xdr:spPr>
        <a:xfrm>
          <a:off x="3527376" y="1263052"/>
          <a:ext cx="0" cy="8175357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93604</xdr:colOff>
      <xdr:row>6</xdr:row>
      <xdr:rowOff>81845</xdr:rowOff>
    </xdr:from>
    <xdr:to>
      <xdr:col>10</xdr:col>
      <xdr:colOff>93604</xdr:colOff>
      <xdr:row>48</xdr:row>
      <xdr:rowOff>75767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CxnSpPr/>
      </xdr:nvCxnSpPr>
      <xdr:spPr>
        <a:xfrm>
          <a:off x="6728632" y="1250822"/>
          <a:ext cx="0" cy="8176763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492951</xdr:colOff>
      <xdr:row>6</xdr:row>
      <xdr:rowOff>128412</xdr:rowOff>
    </xdr:from>
    <xdr:to>
      <xdr:col>15</xdr:col>
      <xdr:colOff>492951</xdr:colOff>
      <xdr:row>48</xdr:row>
      <xdr:rowOff>86591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CxnSpPr/>
      </xdr:nvCxnSpPr>
      <xdr:spPr>
        <a:xfrm>
          <a:off x="10158661" y="1297389"/>
          <a:ext cx="0" cy="814102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140641</xdr:colOff>
      <xdr:row>19</xdr:row>
      <xdr:rowOff>123004</xdr:rowOff>
    </xdr:from>
    <xdr:to>
      <xdr:col>15</xdr:col>
      <xdr:colOff>423333</xdr:colOff>
      <xdr:row>19</xdr:row>
      <xdr:rowOff>123004</xdr:rowOff>
    </xdr:to>
    <xdr:cxnSp macro="">
      <xdr:nvCxnSpPr>
        <xdr:cNvPr id="170" name="Straight Connector 169">
          <a:extLst>
            <a:ext uri="{FF2B5EF4-FFF2-40B4-BE49-F238E27FC236}">
              <a16:creationId xmlns:a16="http://schemas.microsoft.com/office/drawing/2014/main" id="{00000000-0008-0000-0400-0000AA000000}"/>
            </a:ext>
          </a:extLst>
        </xdr:cNvPr>
        <xdr:cNvCxnSpPr/>
      </xdr:nvCxnSpPr>
      <xdr:spPr>
        <a:xfrm>
          <a:off x="140641" y="4123504"/>
          <a:ext cx="10051109" cy="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140171</xdr:colOff>
      <xdr:row>33</xdr:row>
      <xdr:rowOff>148404</xdr:rowOff>
    </xdr:from>
    <xdr:to>
      <xdr:col>26</xdr:col>
      <xdr:colOff>74083</xdr:colOff>
      <xdr:row>33</xdr:row>
      <xdr:rowOff>148404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400-0000AC000000}"/>
            </a:ext>
          </a:extLst>
        </xdr:cNvPr>
        <xdr:cNvCxnSpPr/>
      </xdr:nvCxnSpPr>
      <xdr:spPr>
        <a:xfrm>
          <a:off x="140171" y="6434904"/>
          <a:ext cx="15988829" cy="0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117122</xdr:colOff>
      <xdr:row>6</xdr:row>
      <xdr:rowOff>34808</xdr:rowOff>
    </xdr:from>
    <xdr:to>
      <xdr:col>0</xdr:col>
      <xdr:colOff>117122</xdr:colOff>
      <xdr:row>48</xdr:row>
      <xdr:rowOff>82315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400-0000AD000000}"/>
            </a:ext>
          </a:extLst>
        </xdr:cNvPr>
        <xdr:cNvCxnSpPr/>
      </xdr:nvCxnSpPr>
      <xdr:spPr>
        <a:xfrm>
          <a:off x="117122" y="1539993"/>
          <a:ext cx="0" cy="7949729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552017</xdr:colOff>
      <xdr:row>35</xdr:row>
      <xdr:rowOff>140710</xdr:rowOff>
    </xdr:from>
    <xdr:to>
      <xdr:col>25</xdr:col>
      <xdr:colOff>603252</xdr:colOff>
      <xdr:row>47</xdr:row>
      <xdr:rowOff>173181</xdr:rowOff>
    </xdr:to>
    <xdr:graphicFrame macro="">
      <xdr:nvGraphicFramePr>
        <xdr:cNvPr id="175" name="Chart 174">
          <a:extLst>
            <a:ext uri="{FF2B5EF4-FFF2-40B4-BE49-F238E27FC236}">
              <a16:creationId xmlns:a16="http://schemas.microsoft.com/office/drawing/2014/main" id="{00000000-0008-0000-0400-0000A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126999</xdr:colOff>
      <xdr:row>24</xdr:row>
      <xdr:rowOff>158748</xdr:rowOff>
    </xdr:from>
    <xdr:to>
      <xdr:col>19</xdr:col>
      <xdr:colOff>359834</xdr:colOff>
      <xdr:row>26</xdr:row>
      <xdr:rowOff>10583</xdr:rowOff>
    </xdr:to>
    <xdr:sp macro="" textlink="">
      <xdr:nvSpPr>
        <xdr:cNvPr id="176" name="TextBox 175">
          <a:extLst>
            <a:ext uri="{FF2B5EF4-FFF2-40B4-BE49-F238E27FC236}">
              <a16:creationId xmlns:a16="http://schemas.microsoft.com/office/drawing/2014/main" id="{00000000-0008-0000-0400-0000B0000000}"/>
            </a:ext>
          </a:extLst>
        </xdr:cNvPr>
        <xdr:cNvSpPr txBox="1"/>
      </xdr:nvSpPr>
      <xdr:spPr>
        <a:xfrm>
          <a:off x="10509249" y="4730748"/>
          <a:ext cx="1608668" cy="2328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200">
              <a:solidFill>
                <a:srgbClr val="D12F2F"/>
              </a:solidFill>
              <a:latin typeface="Arial" panose="020B0604020202020204" pitchFamily="34" charset="0"/>
              <a:ea typeface="Adobe Fan Heiti Std B" pitchFamily="34" charset="-128"/>
              <a:cs typeface="Arial" panose="020B0604020202020204" pitchFamily="34" charset="0"/>
            </a:rPr>
            <a:t>Net Promoter Score</a:t>
          </a:r>
        </a:p>
      </xdr:txBody>
    </xdr:sp>
    <xdr:clientData/>
  </xdr:twoCellAnchor>
  <xdr:twoCellAnchor>
    <xdr:from>
      <xdr:col>19</xdr:col>
      <xdr:colOff>518587</xdr:colOff>
      <xdr:row>24</xdr:row>
      <xdr:rowOff>169334</xdr:rowOff>
    </xdr:from>
    <xdr:to>
      <xdr:col>22</xdr:col>
      <xdr:colOff>539753</xdr:colOff>
      <xdr:row>26</xdr:row>
      <xdr:rowOff>74084</xdr:rowOff>
    </xdr:to>
    <xdr:sp macro="" textlink="">
      <xdr:nvSpPr>
        <xdr:cNvPr id="177" name="TextBox 176">
          <a:extLst>
            <a:ext uri="{FF2B5EF4-FFF2-40B4-BE49-F238E27FC236}">
              <a16:creationId xmlns:a16="http://schemas.microsoft.com/office/drawing/2014/main" id="{00000000-0008-0000-0400-0000B1000000}"/>
            </a:ext>
          </a:extLst>
        </xdr:cNvPr>
        <xdr:cNvSpPr txBox="1"/>
      </xdr:nvSpPr>
      <xdr:spPr>
        <a:xfrm>
          <a:off x="12276670" y="4741334"/>
          <a:ext cx="1862666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200">
              <a:solidFill>
                <a:srgbClr val="D12F2F"/>
              </a:solidFill>
              <a:latin typeface="Arial" panose="020B0604020202020204" pitchFamily="34" charset="0"/>
              <a:ea typeface="Adobe Fan Heiti Std B" pitchFamily="34" charset="-128"/>
              <a:cs typeface="Arial" panose="020B0604020202020204" pitchFamily="34" charset="0"/>
            </a:rPr>
            <a:t>Customer Satisfaction</a:t>
          </a:r>
        </a:p>
      </xdr:txBody>
    </xdr:sp>
    <xdr:clientData/>
  </xdr:twoCellAnchor>
  <xdr:twoCellAnchor>
    <xdr:from>
      <xdr:col>23</xdr:col>
      <xdr:colOff>63508</xdr:colOff>
      <xdr:row>24</xdr:row>
      <xdr:rowOff>158751</xdr:rowOff>
    </xdr:from>
    <xdr:to>
      <xdr:col>26</xdr:col>
      <xdr:colOff>95257</xdr:colOff>
      <xdr:row>26</xdr:row>
      <xdr:rowOff>1</xdr:rowOff>
    </xdr:to>
    <xdr:sp macro="" textlink="">
      <xdr:nvSpPr>
        <xdr:cNvPr id="178" name="TextBox 177">
          <a:extLst>
            <a:ext uri="{FF2B5EF4-FFF2-40B4-BE49-F238E27FC236}">
              <a16:creationId xmlns:a16="http://schemas.microsoft.com/office/drawing/2014/main" id="{00000000-0008-0000-0400-0000B2000000}"/>
            </a:ext>
          </a:extLst>
        </xdr:cNvPr>
        <xdr:cNvSpPr txBox="1"/>
      </xdr:nvSpPr>
      <xdr:spPr>
        <a:xfrm>
          <a:off x="14276925" y="4730751"/>
          <a:ext cx="1873249" cy="222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200">
              <a:solidFill>
                <a:srgbClr val="D12F2F"/>
              </a:solidFill>
              <a:latin typeface="Arial" panose="020B0604020202020204" pitchFamily="34" charset="0"/>
              <a:ea typeface="Adobe Fan Heiti Std B" pitchFamily="34" charset="-128"/>
              <a:cs typeface="Arial" panose="020B0604020202020204" pitchFamily="34" charset="0"/>
            </a:rPr>
            <a:t>Employee Engagement</a:t>
          </a:r>
        </a:p>
      </xdr:txBody>
    </xdr:sp>
    <xdr:clientData/>
  </xdr:twoCellAnchor>
  <xdr:twoCellAnchor>
    <xdr:from>
      <xdr:col>16</xdr:col>
      <xdr:colOff>74083</xdr:colOff>
      <xdr:row>26</xdr:row>
      <xdr:rowOff>29261</xdr:rowOff>
    </xdr:from>
    <xdr:to>
      <xdr:col>19</xdr:col>
      <xdr:colOff>412750</xdr:colOff>
      <xdr:row>33</xdr:row>
      <xdr:rowOff>177428</xdr:rowOff>
    </xdr:to>
    <xdr:graphicFrame macro="">
      <xdr:nvGraphicFramePr>
        <xdr:cNvPr id="179" name="Chart 178">
          <a:extLst>
            <a:ext uri="{FF2B5EF4-FFF2-40B4-BE49-F238E27FC236}">
              <a16:creationId xmlns:a16="http://schemas.microsoft.com/office/drawing/2014/main" id="{00000000-0008-0000-04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571500</xdr:colOff>
      <xdr:row>26</xdr:row>
      <xdr:rowOff>29261</xdr:rowOff>
    </xdr:from>
    <xdr:to>
      <xdr:col>22</xdr:col>
      <xdr:colOff>444500</xdr:colOff>
      <xdr:row>33</xdr:row>
      <xdr:rowOff>177428</xdr:rowOff>
    </xdr:to>
    <xdr:graphicFrame macro="">
      <xdr:nvGraphicFramePr>
        <xdr:cNvPr id="180" name="Chart 179">
          <a:extLst>
            <a:ext uri="{FF2B5EF4-FFF2-40B4-BE49-F238E27FC236}">
              <a16:creationId xmlns:a16="http://schemas.microsoft.com/office/drawing/2014/main" id="{00000000-0008-0000-04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116416</xdr:colOff>
      <xdr:row>26</xdr:row>
      <xdr:rowOff>29261</xdr:rowOff>
    </xdr:from>
    <xdr:to>
      <xdr:col>25</xdr:col>
      <xdr:colOff>603250</xdr:colOff>
      <xdr:row>33</xdr:row>
      <xdr:rowOff>177428</xdr:rowOff>
    </xdr:to>
    <xdr:graphicFrame macro="">
      <xdr:nvGraphicFramePr>
        <xdr:cNvPr id="181" name="Chart 180">
          <a:extLst>
            <a:ext uri="{FF2B5EF4-FFF2-40B4-BE49-F238E27FC236}">
              <a16:creationId xmlns:a16="http://schemas.microsoft.com/office/drawing/2014/main" id="{00000000-0008-0000-04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444502</xdr:colOff>
      <xdr:row>28</xdr:row>
      <xdr:rowOff>156260</xdr:rowOff>
    </xdr:from>
    <xdr:to>
      <xdr:col>19</xdr:col>
      <xdr:colOff>74085</xdr:colOff>
      <xdr:row>31</xdr:row>
      <xdr:rowOff>71592</xdr:rowOff>
    </xdr:to>
    <xdr:sp macro="" textlink="Calcs!$C$13">
      <xdr:nvSpPr>
        <xdr:cNvPr id="182" name="TextBox 181">
          <a:extLst>
            <a:ext uri="{FF2B5EF4-FFF2-40B4-BE49-F238E27FC236}">
              <a16:creationId xmlns:a16="http://schemas.microsoft.com/office/drawing/2014/main" id="{00000000-0008-0000-0400-0000B6000000}"/>
            </a:ext>
          </a:extLst>
        </xdr:cNvPr>
        <xdr:cNvSpPr txBox="1"/>
      </xdr:nvSpPr>
      <xdr:spPr>
        <a:xfrm>
          <a:off x="10865973" y="5490260"/>
          <a:ext cx="839818" cy="4868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60802AE-9BA0-406D-B580-82A1F463D436}" type="TxLink">
            <a:rPr lang="en-US" sz="3200" b="0" i="0" u="none" strike="noStrike">
              <a:solidFill>
                <a:schemeClr val="bg1"/>
              </a:solidFill>
              <a:latin typeface="Modern No. 20" panose="02070704070505020303" pitchFamily="18" charset="0"/>
              <a:ea typeface="Adobe Fan Heiti Std B" pitchFamily="34" charset="-128"/>
              <a:cs typeface="Arial" panose="020B0604020202020204" pitchFamily="34" charset="0"/>
            </a:rPr>
            <a:pPr/>
            <a:t>25%</a:t>
          </a:fld>
          <a:endParaRPr lang="en-AU" sz="3200">
            <a:solidFill>
              <a:schemeClr val="bg1"/>
            </a:solidFill>
            <a:latin typeface="Modern No. 20" panose="02070704070505020303" pitchFamily="18" charset="0"/>
            <a:ea typeface="Adobe Fan Heiti Std B" pitchFamily="34" charset="-128"/>
            <a:cs typeface="Arial" panose="020B0604020202020204" pitchFamily="34" charset="0"/>
          </a:endParaRPr>
        </a:p>
      </xdr:txBody>
    </xdr:sp>
    <xdr:clientData/>
  </xdr:twoCellAnchor>
  <xdr:twoCellAnchor>
    <xdr:from>
      <xdr:col>20</xdr:col>
      <xdr:colOff>476248</xdr:colOff>
      <xdr:row>28</xdr:row>
      <xdr:rowOff>124511</xdr:rowOff>
    </xdr:from>
    <xdr:to>
      <xdr:col>22</xdr:col>
      <xdr:colOff>105831</xdr:colOff>
      <xdr:row>31</xdr:row>
      <xdr:rowOff>39843</xdr:rowOff>
    </xdr:to>
    <xdr:sp macro="" textlink="Calcs!$E$13">
      <xdr:nvSpPr>
        <xdr:cNvPr id="183" name="TextBox 182">
          <a:extLst>
            <a:ext uri="{FF2B5EF4-FFF2-40B4-BE49-F238E27FC236}">
              <a16:creationId xmlns:a16="http://schemas.microsoft.com/office/drawing/2014/main" id="{00000000-0008-0000-0400-0000B7000000}"/>
            </a:ext>
          </a:extLst>
        </xdr:cNvPr>
        <xdr:cNvSpPr txBox="1"/>
      </xdr:nvSpPr>
      <xdr:spPr>
        <a:xfrm>
          <a:off x="12713072" y="5458511"/>
          <a:ext cx="839818" cy="4868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6B419D3-870A-43ED-B937-4A9C7BF37F4E}" type="TxLink">
            <a:rPr lang="en-US" sz="3200" b="0" i="0" u="none" strike="noStrike">
              <a:solidFill>
                <a:schemeClr val="bg1"/>
              </a:solidFill>
              <a:latin typeface="Modern No. 20" panose="02070704070505020303" pitchFamily="18" charset="0"/>
              <a:ea typeface="Adobe Fan Heiti Std B" pitchFamily="34" charset="-128"/>
              <a:cs typeface="Arial" panose="020B0604020202020204" pitchFamily="34" charset="0"/>
            </a:rPr>
            <a:pPr/>
            <a:t>89%</a:t>
          </a:fld>
          <a:endParaRPr lang="en-AU" sz="3200">
            <a:solidFill>
              <a:schemeClr val="bg1"/>
            </a:solidFill>
            <a:latin typeface="Modern No. 20" panose="02070704070505020303" pitchFamily="18" charset="0"/>
            <a:ea typeface="Adobe Fan Heiti Std B" pitchFamily="34" charset="-128"/>
            <a:cs typeface="Arial" panose="020B0604020202020204" pitchFamily="34" charset="0"/>
          </a:endParaRPr>
        </a:p>
      </xdr:txBody>
    </xdr:sp>
    <xdr:clientData/>
  </xdr:twoCellAnchor>
  <xdr:twoCellAnchor>
    <xdr:from>
      <xdr:col>24</xdr:col>
      <xdr:colOff>25401</xdr:colOff>
      <xdr:row>28</xdr:row>
      <xdr:rowOff>124511</xdr:rowOff>
    </xdr:from>
    <xdr:to>
      <xdr:col>25</xdr:col>
      <xdr:colOff>268817</xdr:colOff>
      <xdr:row>31</xdr:row>
      <xdr:rowOff>39843</xdr:rowOff>
    </xdr:to>
    <xdr:sp macro="" textlink="Calcs!$G$13">
      <xdr:nvSpPr>
        <xdr:cNvPr id="184" name="TextBox 183">
          <a:extLst>
            <a:ext uri="{FF2B5EF4-FFF2-40B4-BE49-F238E27FC236}">
              <a16:creationId xmlns:a16="http://schemas.microsoft.com/office/drawing/2014/main" id="{00000000-0008-0000-0400-0000B8000000}"/>
            </a:ext>
          </a:extLst>
        </xdr:cNvPr>
        <xdr:cNvSpPr txBox="1"/>
      </xdr:nvSpPr>
      <xdr:spPr>
        <a:xfrm>
          <a:off x="14682695" y="5458511"/>
          <a:ext cx="848534" cy="4868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1B382703-CECE-401E-8015-93D561166DA0}" type="TxLink">
            <a:rPr lang="en-US" sz="3200" b="0" i="0" u="none" strike="noStrike">
              <a:solidFill>
                <a:schemeClr val="bg1"/>
              </a:solidFill>
              <a:latin typeface="Modern No. 20" panose="02070704070505020303" pitchFamily="18" charset="0"/>
              <a:ea typeface="Adobe Fan Heiti Std B" pitchFamily="34" charset="-128"/>
              <a:cs typeface="Arial" panose="020B0604020202020204" pitchFamily="34" charset="0"/>
            </a:rPr>
            <a:pPr/>
            <a:t>74%</a:t>
          </a:fld>
          <a:endParaRPr lang="en-AU" sz="3200">
            <a:solidFill>
              <a:schemeClr val="bg1"/>
            </a:solidFill>
            <a:latin typeface="Modern No. 20" panose="02070704070505020303" pitchFamily="18" charset="0"/>
            <a:ea typeface="Adobe Fan Heiti Std B" pitchFamily="34" charset="-128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54119</xdr:colOff>
      <xdr:row>6</xdr:row>
      <xdr:rowOff>54120</xdr:rowOff>
    </xdr:from>
    <xdr:to>
      <xdr:col>26</xdr:col>
      <xdr:colOff>74083</xdr:colOff>
      <xdr:row>48</xdr:row>
      <xdr:rowOff>58091</xdr:rowOff>
    </xdr:to>
    <xdr:cxnSp macro="">
      <xdr:nvCxnSpPr>
        <xdr:cNvPr id="186" name="Straight Connector 185">
          <a:extLst>
            <a:ext uri="{FF2B5EF4-FFF2-40B4-BE49-F238E27FC236}">
              <a16:creationId xmlns:a16="http://schemas.microsoft.com/office/drawing/2014/main" id="{00000000-0008-0000-0400-0000BA000000}"/>
            </a:ext>
          </a:extLst>
        </xdr:cNvPr>
        <xdr:cNvCxnSpPr/>
      </xdr:nvCxnSpPr>
      <xdr:spPr>
        <a:xfrm>
          <a:off x="15932727" y="1223097"/>
          <a:ext cx="19964" cy="8186812"/>
        </a:xfrm>
        <a:prstGeom prst="line">
          <a:avLst/>
        </a:prstGeom>
        <a:ln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78175</xdr:colOff>
      <xdr:row>34</xdr:row>
      <xdr:rowOff>54600</xdr:rowOff>
    </xdr:from>
    <xdr:to>
      <xdr:col>22</xdr:col>
      <xdr:colOff>162357</xdr:colOff>
      <xdr:row>35</xdr:row>
      <xdr:rowOff>154180</xdr:rowOff>
    </xdr:to>
    <xdr:sp macro="" textlink="">
      <xdr:nvSpPr>
        <xdr:cNvPr id="185" name="TextBox 184">
          <a:extLst>
            <a:ext uri="{FF2B5EF4-FFF2-40B4-BE49-F238E27FC236}">
              <a16:creationId xmlns:a16="http://schemas.microsoft.com/office/drawing/2014/main" id="{00000000-0008-0000-0400-0000B9000000}"/>
            </a:ext>
          </a:extLst>
        </xdr:cNvPr>
        <xdr:cNvSpPr txBox="1"/>
      </xdr:nvSpPr>
      <xdr:spPr>
        <a:xfrm>
          <a:off x="10501556" y="6678805"/>
          <a:ext cx="3114864" cy="294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200">
              <a:solidFill>
                <a:srgbClr val="D12F2F"/>
              </a:solidFill>
              <a:latin typeface="Arial" panose="020B0604020202020204" pitchFamily="34" charset="0"/>
              <a:ea typeface="Adobe Fan Heiti Std B" pitchFamily="34" charset="-128"/>
              <a:cs typeface="Arial" panose="020B0604020202020204" pitchFamily="34" charset="0"/>
            </a:rPr>
            <a:t>EBIT</a:t>
          </a:r>
          <a:r>
            <a:rPr lang="en-AU" sz="1200" baseline="0">
              <a:solidFill>
                <a:srgbClr val="D12F2F"/>
              </a:solidFill>
              <a:latin typeface="Arial" panose="020B0604020202020204" pitchFamily="34" charset="0"/>
              <a:ea typeface="Adobe Fan Heiti Std B" pitchFamily="34" charset="-128"/>
              <a:cs typeface="Arial" panose="020B0604020202020204" pitchFamily="34" charset="0"/>
            </a:rPr>
            <a:t> Annual Trend </a:t>
          </a:r>
          <a:endParaRPr lang="en-AU" sz="1200">
            <a:solidFill>
              <a:srgbClr val="D12F2F"/>
            </a:solidFill>
            <a:latin typeface="Arial" panose="020B0604020202020204" pitchFamily="34" charset="0"/>
            <a:ea typeface="Adobe Fan Heiti Std B" pitchFamily="34" charset="-128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EAA89-C4DC-40C5-8894-CC978ECED273}">
  <sheetPr codeName="Sheet5">
    <tabColor theme="7" tint="0.59999389629810485"/>
  </sheetPr>
  <dimension ref="A1:K52"/>
  <sheetViews>
    <sheetView workbookViewId="0">
      <selection activeCell="G14" sqref="G14"/>
    </sheetView>
  </sheetViews>
  <sheetFormatPr defaultRowHeight="15" x14ac:dyDescent="0.25"/>
  <cols>
    <col min="1" max="1" width="17" customWidth="1"/>
    <col min="2" max="2" width="5.85546875" bestFit="1" customWidth="1"/>
    <col min="4" max="4" width="11.85546875" customWidth="1"/>
  </cols>
  <sheetData>
    <row r="1" spans="1:11" x14ac:dyDescent="0.25">
      <c r="A1" s="18" t="s">
        <v>84</v>
      </c>
      <c r="B1" s="18"/>
      <c r="C1" s="18" t="s">
        <v>9</v>
      </c>
      <c r="D1" s="15" t="s">
        <v>85</v>
      </c>
      <c r="E1" s="15" t="s">
        <v>86</v>
      </c>
      <c r="F1" s="15" t="s">
        <v>87</v>
      </c>
      <c r="H1" s="15" t="s">
        <v>88</v>
      </c>
      <c r="I1" s="15" t="s">
        <v>85</v>
      </c>
      <c r="J1" s="15" t="s">
        <v>86</v>
      </c>
      <c r="K1" s="15" t="s">
        <v>87</v>
      </c>
    </row>
    <row r="2" spans="1:11" x14ac:dyDescent="0.25">
      <c r="C2" t="s">
        <v>78</v>
      </c>
      <c r="D2">
        <f t="shared" ref="D2:F5" si="0">IF($H$2=$A2,I$2,I$3)</f>
        <v>255</v>
      </c>
      <c r="E2">
        <f t="shared" si="0"/>
        <v>255</v>
      </c>
      <c r="F2">
        <f t="shared" si="0"/>
        <v>255</v>
      </c>
      <c r="H2" s="13" t="str">
        <f>Calcs!B2</f>
        <v>Washington</v>
      </c>
      <c r="I2">
        <v>150</v>
      </c>
      <c r="J2">
        <v>54</v>
      </c>
      <c r="K2">
        <v>52</v>
      </c>
    </row>
    <row r="3" spans="1:11" x14ac:dyDescent="0.25">
      <c r="C3" t="s">
        <v>64</v>
      </c>
      <c r="D3">
        <f t="shared" si="0"/>
        <v>255</v>
      </c>
      <c r="E3">
        <f t="shared" si="0"/>
        <v>255</v>
      </c>
      <c r="F3">
        <f t="shared" si="0"/>
        <v>255</v>
      </c>
      <c r="I3">
        <v>255</v>
      </c>
      <c r="J3">
        <v>255</v>
      </c>
      <c r="K3">
        <v>255</v>
      </c>
    </row>
    <row r="4" spans="1:11" x14ac:dyDescent="0.25">
      <c r="C4" t="s">
        <v>59</v>
      </c>
      <c r="D4">
        <f t="shared" si="0"/>
        <v>255</v>
      </c>
      <c r="E4">
        <f t="shared" si="0"/>
        <v>255</v>
      </c>
      <c r="F4">
        <f t="shared" si="0"/>
        <v>255</v>
      </c>
    </row>
    <row r="5" spans="1:11" x14ac:dyDescent="0.25">
      <c r="A5" s="7" t="s">
        <v>23</v>
      </c>
      <c r="B5" s="7"/>
      <c r="C5" t="s">
        <v>77</v>
      </c>
      <c r="D5">
        <f t="shared" si="0"/>
        <v>255</v>
      </c>
      <c r="E5">
        <f t="shared" si="0"/>
        <v>255</v>
      </c>
      <c r="F5">
        <f t="shared" si="0"/>
        <v>255</v>
      </c>
    </row>
    <row r="6" spans="1:11" x14ac:dyDescent="0.25">
      <c r="A6" s="7" t="s">
        <v>11</v>
      </c>
      <c r="B6" s="7"/>
      <c r="C6" t="s">
        <v>75</v>
      </c>
      <c r="D6">
        <f t="shared" ref="D6:D52" si="1">IF($H$2=A6,I$2,I$3)</f>
        <v>255</v>
      </c>
      <c r="E6">
        <f t="shared" ref="E6:E52" si="2">IF($H$2=$A6,J$2,J$3)</f>
        <v>255</v>
      </c>
      <c r="F6">
        <f t="shared" ref="F6:F52" si="3">IF($H$2=$A6,K$2,K$3)</f>
        <v>255</v>
      </c>
    </row>
    <row r="7" spans="1:11" x14ac:dyDescent="0.25">
      <c r="C7" t="s">
        <v>82</v>
      </c>
      <c r="D7">
        <f t="shared" si="1"/>
        <v>255</v>
      </c>
      <c r="E7">
        <f t="shared" si="2"/>
        <v>255</v>
      </c>
      <c r="F7">
        <f t="shared" si="3"/>
        <v>255</v>
      </c>
    </row>
    <row r="8" spans="1:11" x14ac:dyDescent="0.25">
      <c r="C8" t="s">
        <v>51</v>
      </c>
      <c r="D8">
        <f t="shared" si="1"/>
        <v>255</v>
      </c>
      <c r="E8">
        <f t="shared" si="2"/>
        <v>255</v>
      </c>
      <c r="F8">
        <f t="shared" si="3"/>
        <v>255</v>
      </c>
    </row>
    <row r="9" spans="1:11" x14ac:dyDescent="0.25">
      <c r="C9" t="s">
        <v>54</v>
      </c>
      <c r="D9">
        <f t="shared" si="1"/>
        <v>255</v>
      </c>
      <c r="E9">
        <f t="shared" si="2"/>
        <v>255</v>
      </c>
      <c r="F9">
        <f t="shared" si="3"/>
        <v>255</v>
      </c>
    </row>
    <row r="10" spans="1:11" x14ac:dyDescent="0.25">
      <c r="A10" s="7" t="s">
        <v>25</v>
      </c>
      <c r="B10" s="7"/>
      <c r="C10" t="s">
        <v>71</v>
      </c>
      <c r="D10">
        <f t="shared" si="1"/>
        <v>255</v>
      </c>
      <c r="E10">
        <f t="shared" si="2"/>
        <v>255</v>
      </c>
      <c r="F10">
        <f t="shared" si="3"/>
        <v>255</v>
      </c>
    </row>
    <row r="11" spans="1:11" x14ac:dyDescent="0.25">
      <c r="A11" s="7" t="s">
        <v>16</v>
      </c>
      <c r="B11" s="7"/>
      <c r="C11" t="s">
        <v>70</v>
      </c>
      <c r="D11">
        <f t="shared" si="1"/>
        <v>255</v>
      </c>
      <c r="E11">
        <f t="shared" si="2"/>
        <v>255</v>
      </c>
      <c r="F11">
        <f t="shared" si="3"/>
        <v>255</v>
      </c>
    </row>
    <row r="12" spans="1:11" x14ac:dyDescent="0.25">
      <c r="C12" t="s">
        <v>41</v>
      </c>
      <c r="D12">
        <f t="shared" si="1"/>
        <v>255</v>
      </c>
      <c r="E12">
        <f t="shared" si="2"/>
        <v>255</v>
      </c>
      <c r="F12">
        <f t="shared" si="3"/>
        <v>255</v>
      </c>
    </row>
    <row r="13" spans="1:11" x14ac:dyDescent="0.25">
      <c r="C13" t="s">
        <v>41</v>
      </c>
      <c r="D13">
        <f t="shared" si="1"/>
        <v>255</v>
      </c>
      <c r="E13">
        <f t="shared" si="2"/>
        <v>255</v>
      </c>
      <c r="F13">
        <f t="shared" si="3"/>
        <v>255</v>
      </c>
    </row>
    <row r="14" spans="1:11" x14ac:dyDescent="0.25">
      <c r="C14" t="s">
        <v>24</v>
      </c>
      <c r="D14">
        <f t="shared" si="1"/>
        <v>255</v>
      </c>
      <c r="E14">
        <f t="shared" si="2"/>
        <v>255</v>
      </c>
      <c r="F14">
        <f t="shared" si="3"/>
        <v>255</v>
      </c>
    </row>
    <row r="15" spans="1:11" x14ac:dyDescent="0.25">
      <c r="A15" s="7" t="s">
        <v>13</v>
      </c>
      <c r="B15" s="7"/>
      <c r="C15" t="s">
        <v>44</v>
      </c>
      <c r="D15">
        <f t="shared" si="1"/>
        <v>255</v>
      </c>
      <c r="E15">
        <f t="shared" si="2"/>
        <v>255</v>
      </c>
      <c r="F15">
        <f t="shared" si="3"/>
        <v>255</v>
      </c>
    </row>
    <row r="16" spans="1:11" x14ac:dyDescent="0.25">
      <c r="C16" t="s">
        <v>43</v>
      </c>
      <c r="D16">
        <f t="shared" si="1"/>
        <v>255</v>
      </c>
      <c r="E16">
        <f t="shared" si="2"/>
        <v>255</v>
      </c>
      <c r="F16">
        <f t="shared" si="3"/>
        <v>255</v>
      </c>
    </row>
    <row r="17" spans="1:6" x14ac:dyDescent="0.25">
      <c r="C17" s="13" t="s">
        <v>36</v>
      </c>
      <c r="D17">
        <f t="shared" si="1"/>
        <v>255</v>
      </c>
      <c r="E17">
        <f t="shared" si="2"/>
        <v>255</v>
      </c>
      <c r="F17">
        <f t="shared" si="3"/>
        <v>255</v>
      </c>
    </row>
    <row r="18" spans="1:6" x14ac:dyDescent="0.25">
      <c r="C18" s="13" t="s">
        <v>66</v>
      </c>
      <c r="D18">
        <f t="shared" si="1"/>
        <v>255</v>
      </c>
      <c r="E18">
        <f t="shared" si="2"/>
        <v>255</v>
      </c>
      <c r="F18">
        <f t="shared" si="3"/>
        <v>255</v>
      </c>
    </row>
    <row r="19" spans="1:6" x14ac:dyDescent="0.25">
      <c r="C19" s="13" t="s">
        <v>62</v>
      </c>
      <c r="D19">
        <f t="shared" si="1"/>
        <v>255</v>
      </c>
      <c r="E19">
        <f t="shared" si="2"/>
        <v>255</v>
      </c>
      <c r="F19">
        <f t="shared" si="3"/>
        <v>255</v>
      </c>
    </row>
    <row r="20" spans="1:6" x14ac:dyDescent="0.25">
      <c r="A20" s="7" t="s">
        <v>22</v>
      </c>
      <c r="B20" s="7"/>
      <c r="C20" s="13" t="s">
        <v>53</v>
      </c>
      <c r="D20">
        <f t="shared" si="1"/>
        <v>255</v>
      </c>
      <c r="E20">
        <f t="shared" si="2"/>
        <v>255</v>
      </c>
      <c r="F20">
        <f t="shared" si="3"/>
        <v>255</v>
      </c>
    </row>
    <row r="21" spans="1:6" x14ac:dyDescent="0.25">
      <c r="C21" t="s">
        <v>53</v>
      </c>
      <c r="D21">
        <f t="shared" si="1"/>
        <v>255</v>
      </c>
      <c r="E21">
        <f t="shared" si="2"/>
        <v>255</v>
      </c>
      <c r="F21">
        <f t="shared" si="3"/>
        <v>255</v>
      </c>
    </row>
    <row r="22" spans="1:6" x14ac:dyDescent="0.25">
      <c r="C22" t="s">
        <v>56</v>
      </c>
      <c r="D22">
        <f t="shared" si="1"/>
        <v>255</v>
      </c>
      <c r="E22">
        <f t="shared" si="2"/>
        <v>255</v>
      </c>
      <c r="F22">
        <f t="shared" si="3"/>
        <v>255</v>
      </c>
    </row>
    <row r="23" spans="1:6" x14ac:dyDescent="0.25">
      <c r="C23" t="s">
        <v>52</v>
      </c>
      <c r="D23">
        <f t="shared" si="1"/>
        <v>255</v>
      </c>
      <c r="E23">
        <f t="shared" si="2"/>
        <v>255</v>
      </c>
      <c r="F23">
        <f t="shared" si="3"/>
        <v>255</v>
      </c>
    </row>
    <row r="24" spans="1:6" x14ac:dyDescent="0.25">
      <c r="A24" s="7" t="s">
        <v>17</v>
      </c>
      <c r="B24" s="7"/>
      <c r="C24" t="s">
        <v>46</v>
      </c>
      <c r="D24">
        <f t="shared" si="1"/>
        <v>255</v>
      </c>
      <c r="E24">
        <f t="shared" si="2"/>
        <v>255</v>
      </c>
      <c r="F24">
        <f t="shared" si="3"/>
        <v>255</v>
      </c>
    </row>
    <row r="25" spans="1:6" x14ac:dyDescent="0.25">
      <c r="C25" t="s">
        <v>40</v>
      </c>
      <c r="D25">
        <f t="shared" si="1"/>
        <v>255</v>
      </c>
      <c r="E25">
        <f t="shared" si="2"/>
        <v>255</v>
      </c>
      <c r="F25">
        <f t="shared" si="3"/>
        <v>255</v>
      </c>
    </row>
    <row r="26" spans="1:6" x14ac:dyDescent="0.25">
      <c r="C26" t="s">
        <v>42</v>
      </c>
      <c r="D26">
        <f t="shared" si="1"/>
        <v>255</v>
      </c>
      <c r="E26">
        <f t="shared" si="2"/>
        <v>255</v>
      </c>
      <c r="F26">
        <f t="shared" si="3"/>
        <v>255</v>
      </c>
    </row>
    <row r="27" spans="1:6" x14ac:dyDescent="0.25">
      <c r="C27" t="s">
        <v>63</v>
      </c>
      <c r="D27">
        <f t="shared" si="1"/>
        <v>255</v>
      </c>
      <c r="E27">
        <f t="shared" si="2"/>
        <v>255</v>
      </c>
      <c r="F27">
        <f t="shared" si="3"/>
        <v>255</v>
      </c>
    </row>
    <row r="28" spans="1:6" x14ac:dyDescent="0.25">
      <c r="C28" t="s">
        <v>80</v>
      </c>
      <c r="D28">
        <f t="shared" si="1"/>
        <v>255</v>
      </c>
      <c r="E28">
        <f t="shared" si="2"/>
        <v>255</v>
      </c>
      <c r="F28">
        <f t="shared" si="3"/>
        <v>255</v>
      </c>
    </row>
    <row r="29" spans="1:6" x14ac:dyDescent="0.25">
      <c r="A29" s="7" t="s">
        <v>18</v>
      </c>
      <c r="B29" s="7"/>
      <c r="C29" t="s">
        <v>68</v>
      </c>
      <c r="D29">
        <f t="shared" si="1"/>
        <v>255</v>
      </c>
      <c r="E29">
        <f t="shared" si="2"/>
        <v>255</v>
      </c>
      <c r="F29">
        <f t="shared" si="3"/>
        <v>255</v>
      </c>
    </row>
    <row r="30" spans="1:6" x14ac:dyDescent="0.25">
      <c r="C30" t="s">
        <v>39</v>
      </c>
      <c r="D30">
        <f t="shared" si="1"/>
        <v>255</v>
      </c>
      <c r="E30">
        <f t="shared" si="2"/>
        <v>255</v>
      </c>
      <c r="F30">
        <f t="shared" si="3"/>
        <v>255</v>
      </c>
    </row>
    <row r="31" spans="1:6" x14ac:dyDescent="0.25">
      <c r="C31" t="s">
        <v>37</v>
      </c>
      <c r="D31">
        <f t="shared" si="1"/>
        <v>255</v>
      </c>
      <c r="E31">
        <f t="shared" si="2"/>
        <v>255</v>
      </c>
      <c r="F31">
        <f t="shared" si="3"/>
        <v>255</v>
      </c>
    </row>
    <row r="32" spans="1:6" x14ac:dyDescent="0.25">
      <c r="C32" t="s">
        <v>50</v>
      </c>
      <c r="D32">
        <f t="shared" si="1"/>
        <v>255</v>
      </c>
      <c r="E32">
        <f t="shared" si="2"/>
        <v>255</v>
      </c>
      <c r="F32">
        <f t="shared" si="3"/>
        <v>255</v>
      </c>
    </row>
    <row r="33" spans="1:6" x14ac:dyDescent="0.25">
      <c r="A33" s="7" t="s">
        <v>19</v>
      </c>
      <c r="B33" s="7"/>
      <c r="C33" t="s">
        <v>55</v>
      </c>
      <c r="D33">
        <f t="shared" si="1"/>
        <v>255</v>
      </c>
      <c r="E33">
        <f t="shared" si="2"/>
        <v>255</v>
      </c>
      <c r="F33">
        <f t="shared" si="3"/>
        <v>255</v>
      </c>
    </row>
    <row r="34" spans="1:6" x14ac:dyDescent="0.25">
      <c r="C34" t="s">
        <v>83</v>
      </c>
      <c r="D34">
        <f t="shared" si="1"/>
        <v>255</v>
      </c>
      <c r="E34">
        <f t="shared" si="2"/>
        <v>255</v>
      </c>
      <c r="F34">
        <f t="shared" si="3"/>
        <v>255</v>
      </c>
    </row>
    <row r="35" spans="1:6" x14ac:dyDescent="0.25">
      <c r="C35" t="s">
        <v>76</v>
      </c>
      <c r="D35">
        <f t="shared" si="1"/>
        <v>255</v>
      </c>
      <c r="E35">
        <f t="shared" si="2"/>
        <v>255</v>
      </c>
      <c r="F35">
        <f t="shared" si="3"/>
        <v>255</v>
      </c>
    </row>
    <row r="36" spans="1:6" x14ac:dyDescent="0.25">
      <c r="A36" s="7" t="s">
        <v>12</v>
      </c>
      <c r="B36" s="7"/>
      <c r="C36" t="s">
        <v>49</v>
      </c>
      <c r="D36">
        <f t="shared" si="1"/>
        <v>255</v>
      </c>
      <c r="E36">
        <f t="shared" si="2"/>
        <v>255</v>
      </c>
      <c r="F36">
        <f t="shared" si="3"/>
        <v>255</v>
      </c>
    </row>
    <row r="37" spans="1:6" x14ac:dyDescent="0.25">
      <c r="A37" s="7" t="s">
        <v>15</v>
      </c>
      <c r="B37" s="7"/>
      <c r="C37" t="s">
        <v>47</v>
      </c>
      <c r="D37">
        <f t="shared" si="1"/>
        <v>255</v>
      </c>
      <c r="E37">
        <f t="shared" si="2"/>
        <v>255</v>
      </c>
      <c r="F37">
        <f t="shared" si="3"/>
        <v>255</v>
      </c>
    </row>
    <row r="38" spans="1:6" x14ac:dyDescent="0.25">
      <c r="C38" t="s">
        <v>61</v>
      </c>
      <c r="D38">
        <f t="shared" si="1"/>
        <v>255</v>
      </c>
      <c r="E38">
        <f t="shared" si="2"/>
        <v>255</v>
      </c>
      <c r="F38">
        <f t="shared" si="3"/>
        <v>255</v>
      </c>
    </row>
    <row r="39" spans="1:6" x14ac:dyDescent="0.25">
      <c r="C39" t="s">
        <v>74</v>
      </c>
      <c r="D39">
        <f t="shared" si="1"/>
        <v>255</v>
      </c>
      <c r="E39">
        <f t="shared" si="2"/>
        <v>255</v>
      </c>
      <c r="F39">
        <f t="shared" si="3"/>
        <v>255</v>
      </c>
    </row>
    <row r="40" spans="1:6" x14ac:dyDescent="0.25">
      <c r="A40" s="7" t="s">
        <v>14</v>
      </c>
      <c r="B40" s="7"/>
      <c r="C40" t="s">
        <v>48</v>
      </c>
      <c r="D40">
        <f t="shared" si="1"/>
        <v>255</v>
      </c>
      <c r="E40">
        <f t="shared" si="2"/>
        <v>255</v>
      </c>
      <c r="F40">
        <f t="shared" si="3"/>
        <v>255</v>
      </c>
    </row>
    <row r="41" spans="1:6" x14ac:dyDescent="0.25">
      <c r="C41" t="s">
        <v>58</v>
      </c>
      <c r="D41">
        <f t="shared" si="1"/>
        <v>255</v>
      </c>
      <c r="E41">
        <f t="shared" si="2"/>
        <v>255</v>
      </c>
      <c r="F41">
        <f t="shared" si="3"/>
        <v>255</v>
      </c>
    </row>
    <row r="42" spans="1:6" x14ac:dyDescent="0.25">
      <c r="C42" t="s">
        <v>69</v>
      </c>
      <c r="D42">
        <f t="shared" si="1"/>
        <v>255</v>
      </c>
      <c r="E42">
        <f t="shared" si="2"/>
        <v>255</v>
      </c>
      <c r="F42">
        <f t="shared" si="3"/>
        <v>255</v>
      </c>
    </row>
    <row r="43" spans="1:6" x14ac:dyDescent="0.25">
      <c r="C43" t="s">
        <v>38</v>
      </c>
      <c r="D43">
        <f t="shared" si="1"/>
        <v>255</v>
      </c>
      <c r="E43">
        <f t="shared" si="2"/>
        <v>255</v>
      </c>
      <c r="F43">
        <f t="shared" si="3"/>
        <v>255</v>
      </c>
    </row>
    <row r="44" spans="1:6" x14ac:dyDescent="0.25">
      <c r="C44" t="s">
        <v>65</v>
      </c>
      <c r="D44">
        <f t="shared" si="1"/>
        <v>255</v>
      </c>
      <c r="E44">
        <f t="shared" si="2"/>
        <v>255</v>
      </c>
      <c r="F44">
        <f t="shared" si="3"/>
        <v>255</v>
      </c>
    </row>
    <row r="45" spans="1:6" x14ac:dyDescent="0.25">
      <c r="A45" s="7" t="s">
        <v>10</v>
      </c>
      <c r="B45" s="7"/>
      <c r="C45" t="s">
        <v>60</v>
      </c>
      <c r="D45">
        <f t="shared" si="1"/>
        <v>255</v>
      </c>
      <c r="E45">
        <f t="shared" si="2"/>
        <v>255</v>
      </c>
      <c r="F45">
        <f t="shared" si="3"/>
        <v>255</v>
      </c>
    </row>
    <row r="46" spans="1:6" x14ac:dyDescent="0.25">
      <c r="C46" t="s">
        <v>79</v>
      </c>
      <c r="D46">
        <f t="shared" si="1"/>
        <v>255</v>
      </c>
      <c r="E46">
        <f t="shared" si="2"/>
        <v>255</v>
      </c>
      <c r="F46">
        <f t="shared" si="3"/>
        <v>255</v>
      </c>
    </row>
    <row r="47" spans="1:6" x14ac:dyDescent="0.25">
      <c r="A47" s="7" t="s">
        <v>20</v>
      </c>
      <c r="B47" s="7"/>
      <c r="C47" t="s">
        <v>67</v>
      </c>
      <c r="D47">
        <f t="shared" si="1"/>
        <v>255</v>
      </c>
      <c r="E47">
        <f t="shared" si="2"/>
        <v>255</v>
      </c>
      <c r="F47">
        <f t="shared" si="3"/>
        <v>255</v>
      </c>
    </row>
    <row r="48" spans="1:6" x14ac:dyDescent="0.25">
      <c r="C48" t="s">
        <v>57</v>
      </c>
      <c r="D48">
        <f t="shared" si="1"/>
        <v>255</v>
      </c>
      <c r="E48">
        <f t="shared" si="2"/>
        <v>255</v>
      </c>
      <c r="F48">
        <f t="shared" si="3"/>
        <v>255</v>
      </c>
    </row>
    <row r="49" spans="1:6" x14ac:dyDescent="0.25">
      <c r="A49" s="7" t="s">
        <v>21</v>
      </c>
      <c r="B49" s="7"/>
      <c r="C49" t="s">
        <v>73</v>
      </c>
      <c r="D49">
        <f t="shared" si="1"/>
        <v>150</v>
      </c>
      <c r="E49">
        <f t="shared" si="2"/>
        <v>54</v>
      </c>
      <c r="F49">
        <f t="shared" si="3"/>
        <v>52</v>
      </c>
    </row>
    <row r="50" spans="1:6" x14ac:dyDescent="0.25">
      <c r="C50" t="s">
        <v>45</v>
      </c>
      <c r="D50">
        <f t="shared" si="1"/>
        <v>255</v>
      </c>
      <c r="E50">
        <f t="shared" si="2"/>
        <v>255</v>
      </c>
      <c r="F50">
        <f t="shared" si="3"/>
        <v>255</v>
      </c>
    </row>
    <row r="51" spans="1:6" x14ac:dyDescent="0.25">
      <c r="C51" t="s">
        <v>72</v>
      </c>
      <c r="D51">
        <f t="shared" si="1"/>
        <v>255</v>
      </c>
      <c r="E51">
        <f t="shared" si="2"/>
        <v>255</v>
      </c>
      <c r="F51">
        <f t="shared" si="3"/>
        <v>255</v>
      </c>
    </row>
    <row r="52" spans="1:6" x14ac:dyDescent="0.25">
      <c r="C52" t="s">
        <v>81</v>
      </c>
      <c r="D52">
        <f t="shared" si="1"/>
        <v>255</v>
      </c>
      <c r="E52">
        <f t="shared" si="2"/>
        <v>255</v>
      </c>
      <c r="F52">
        <f t="shared" si="3"/>
        <v>255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-0.249977111117893"/>
  </sheetPr>
  <dimension ref="A1:O16"/>
  <sheetViews>
    <sheetView workbookViewId="0">
      <selection activeCell="D19" sqref="D19"/>
    </sheetView>
  </sheetViews>
  <sheetFormatPr defaultRowHeight="15" x14ac:dyDescent="0.25"/>
  <cols>
    <col min="2" max="2" width="14.42578125" bestFit="1" customWidth="1"/>
    <col min="3" max="4" width="10.140625" bestFit="1" customWidth="1"/>
    <col min="5" max="5" width="14" bestFit="1" customWidth="1"/>
    <col min="6" max="9" width="11.5703125" customWidth="1"/>
    <col min="10" max="10" width="20.5703125" bestFit="1" customWidth="1"/>
    <col min="11" max="11" width="11.5703125" customWidth="1"/>
    <col min="13" max="13" width="9.5703125" bestFit="1" customWidth="1"/>
    <col min="15" max="15" width="10.140625" bestFit="1" customWidth="1"/>
  </cols>
  <sheetData>
    <row r="1" spans="1:15" x14ac:dyDescent="0.25">
      <c r="A1" s="15" t="s">
        <v>24</v>
      </c>
      <c r="B1" s="15" t="s">
        <v>9</v>
      </c>
      <c r="C1" s="15" t="s">
        <v>0</v>
      </c>
      <c r="D1" s="15" t="s">
        <v>1</v>
      </c>
      <c r="E1" s="15" t="s">
        <v>2</v>
      </c>
      <c r="F1" s="15" t="s">
        <v>3</v>
      </c>
      <c r="G1" s="15" t="s">
        <v>4</v>
      </c>
      <c r="H1" s="15" t="s">
        <v>5</v>
      </c>
      <c r="I1" s="15" t="s">
        <v>8</v>
      </c>
      <c r="J1" s="15" t="s">
        <v>6</v>
      </c>
      <c r="K1" s="15" t="s">
        <v>7</v>
      </c>
    </row>
    <row r="2" spans="1:15" x14ac:dyDescent="0.25">
      <c r="A2">
        <v>1</v>
      </c>
      <c r="B2" s="7" t="s">
        <v>23</v>
      </c>
      <c r="C2" s="1">
        <v>1154.4224999999999</v>
      </c>
      <c r="D2" s="1">
        <v>2085.1819999999998</v>
      </c>
      <c r="E2" s="1">
        <f>F2*0.44</f>
        <v>917.48007999999993</v>
      </c>
      <c r="F2" s="1">
        <v>2085.1819999999998</v>
      </c>
      <c r="G2">
        <v>63</v>
      </c>
      <c r="H2" s="1">
        <v>2</v>
      </c>
      <c r="I2" s="4" t="e">
        <f>I1*2</f>
        <v>#VALUE!</v>
      </c>
      <c r="J2" s="2">
        <v>0.86</v>
      </c>
      <c r="K2">
        <v>11</v>
      </c>
      <c r="M2" s="3"/>
      <c r="O2" s="1"/>
    </row>
    <row r="3" spans="1:15" x14ac:dyDescent="0.25">
      <c r="A3">
        <v>2</v>
      </c>
      <c r="B3" s="7" t="s">
        <v>11</v>
      </c>
      <c r="C3" s="1">
        <v>3804.143</v>
      </c>
      <c r="D3" s="1">
        <v>3387.1648</v>
      </c>
      <c r="E3" s="1">
        <f>F3*0.53</f>
        <v>2513.2762815999999</v>
      </c>
      <c r="F3" s="1">
        <v>4742.0307199999997</v>
      </c>
      <c r="G3">
        <v>75</v>
      </c>
      <c r="H3" s="1">
        <v>4</v>
      </c>
      <c r="I3" s="4">
        <v>338716.48</v>
      </c>
      <c r="J3" s="2">
        <v>0.92</v>
      </c>
      <c r="K3">
        <v>55</v>
      </c>
      <c r="M3" s="3"/>
      <c r="O3" s="1"/>
    </row>
    <row r="4" spans="1:15" x14ac:dyDescent="0.25">
      <c r="A4">
        <v>3</v>
      </c>
      <c r="B4" s="7" t="s">
        <v>25</v>
      </c>
      <c r="C4" s="1">
        <v>689.70119999999997</v>
      </c>
      <c r="D4" s="1">
        <v>1598.2378000000001</v>
      </c>
      <c r="E4" s="1">
        <f t="shared" ref="E4:E9" si="0">F4*0.44</f>
        <v>984.5144848000001</v>
      </c>
      <c r="F4" s="1">
        <v>2237.5329200000001</v>
      </c>
      <c r="G4">
        <v>68</v>
      </c>
      <c r="H4" s="1">
        <v>4</v>
      </c>
      <c r="I4" s="4">
        <v>159823.78</v>
      </c>
      <c r="J4" s="2">
        <v>0.76</v>
      </c>
      <c r="K4">
        <v>29</v>
      </c>
      <c r="M4" s="3"/>
      <c r="O4" s="1"/>
    </row>
    <row r="5" spans="1:15" x14ac:dyDescent="0.25">
      <c r="A5">
        <v>4</v>
      </c>
      <c r="B5" s="7" t="s">
        <v>16</v>
      </c>
      <c r="C5" s="1">
        <v>818.58669999999995</v>
      </c>
      <c r="D5" s="1">
        <v>818.64530000000002</v>
      </c>
      <c r="E5" s="1">
        <f t="shared" si="0"/>
        <v>504.28550479999996</v>
      </c>
      <c r="F5" s="1">
        <v>1146.1034199999999</v>
      </c>
      <c r="G5">
        <v>64</v>
      </c>
      <c r="H5" s="1">
        <v>2</v>
      </c>
      <c r="I5" s="4">
        <v>81864.53</v>
      </c>
      <c r="J5" s="2">
        <v>0.81</v>
      </c>
      <c r="K5">
        <v>16</v>
      </c>
      <c r="M5" s="3"/>
      <c r="O5" s="1"/>
    </row>
    <row r="6" spans="1:15" x14ac:dyDescent="0.25">
      <c r="A6">
        <v>5</v>
      </c>
      <c r="B6" s="7" t="s">
        <v>13</v>
      </c>
      <c r="C6" s="1">
        <v>1287.5255</v>
      </c>
      <c r="D6" s="1">
        <v>993.84439999999995</v>
      </c>
      <c r="E6" s="1">
        <f t="shared" si="0"/>
        <v>612.20815039999991</v>
      </c>
      <c r="F6" s="1">
        <v>1391.3821599999999</v>
      </c>
      <c r="G6">
        <v>62</v>
      </c>
      <c r="H6" s="1">
        <v>3</v>
      </c>
      <c r="I6" s="4">
        <v>124192.93</v>
      </c>
      <c r="J6" s="2">
        <v>0.9</v>
      </c>
      <c r="K6">
        <v>20</v>
      </c>
      <c r="M6" s="3"/>
      <c r="O6" s="1"/>
    </row>
    <row r="7" spans="1:15" x14ac:dyDescent="0.25">
      <c r="A7">
        <v>6</v>
      </c>
      <c r="B7" s="7" t="s">
        <v>22</v>
      </c>
      <c r="C7" s="1">
        <v>664.61440000000005</v>
      </c>
      <c r="D7" s="1">
        <v>589.41210000000001</v>
      </c>
      <c r="E7" s="1">
        <f t="shared" si="0"/>
        <v>363.07785359999997</v>
      </c>
      <c r="F7" s="1">
        <v>825.17693999999995</v>
      </c>
      <c r="G7">
        <v>58</v>
      </c>
      <c r="H7" s="1">
        <v>2</v>
      </c>
      <c r="I7" s="4">
        <v>63490.97</v>
      </c>
      <c r="J7" s="2">
        <v>0.92</v>
      </c>
      <c r="K7">
        <v>11</v>
      </c>
      <c r="M7" s="3"/>
      <c r="O7" s="1"/>
    </row>
    <row r="8" spans="1:15" x14ac:dyDescent="0.25">
      <c r="A8">
        <v>7</v>
      </c>
      <c r="B8" s="7" t="s">
        <v>17</v>
      </c>
      <c r="C8" s="1">
        <v>988.33600000000001</v>
      </c>
      <c r="D8" s="1">
        <v>634.90970000000004</v>
      </c>
      <c r="E8" s="1">
        <f t="shared" si="0"/>
        <v>391.10437520000005</v>
      </c>
      <c r="F8" s="1">
        <v>888.87358000000006</v>
      </c>
      <c r="G8">
        <v>67</v>
      </c>
      <c r="H8" s="1">
        <v>3</v>
      </c>
      <c r="I8" s="4">
        <v>99384.44</v>
      </c>
      <c r="J8" s="2">
        <v>0.96</v>
      </c>
      <c r="K8">
        <v>16</v>
      </c>
      <c r="M8" s="3"/>
      <c r="O8" s="1"/>
    </row>
    <row r="9" spans="1:15" x14ac:dyDescent="0.25">
      <c r="A9">
        <v>8</v>
      </c>
      <c r="B9" s="7" t="s">
        <v>19</v>
      </c>
      <c r="C9" s="1">
        <v>886.45899999999995</v>
      </c>
      <c r="D9" s="1">
        <v>841.43499999999995</v>
      </c>
      <c r="E9" s="1">
        <f t="shared" si="0"/>
        <v>518.32395999999994</v>
      </c>
      <c r="F9" s="1">
        <v>1178.0089999999998</v>
      </c>
      <c r="G9">
        <v>69</v>
      </c>
      <c r="H9" s="1">
        <v>2</v>
      </c>
      <c r="I9" s="4">
        <v>84143.5</v>
      </c>
      <c r="J9" s="2">
        <v>0.85</v>
      </c>
      <c r="K9">
        <v>14</v>
      </c>
      <c r="M9" s="3"/>
      <c r="O9" s="1"/>
    </row>
    <row r="10" spans="1:15" x14ac:dyDescent="0.25">
      <c r="A10">
        <v>9</v>
      </c>
      <c r="B10" s="7" t="s">
        <v>12</v>
      </c>
      <c r="C10" s="1">
        <v>1957.0261</v>
      </c>
      <c r="D10" s="1">
        <v>1897.6457</v>
      </c>
      <c r="E10" s="1">
        <f>F10*0.53</f>
        <v>1408.0531094</v>
      </c>
      <c r="F10" s="1">
        <v>2656.7039799999998</v>
      </c>
      <c r="G10">
        <v>72</v>
      </c>
      <c r="H10" s="1">
        <v>6</v>
      </c>
      <c r="I10" s="4">
        <v>189764.57</v>
      </c>
      <c r="J10" s="2">
        <v>0.88</v>
      </c>
      <c r="K10">
        <v>29</v>
      </c>
      <c r="M10" s="3"/>
      <c r="O10" s="1"/>
    </row>
    <row r="11" spans="1:15" x14ac:dyDescent="0.25">
      <c r="A11">
        <v>10</v>
      </c>
      <c r="B11" s="7" t="s">
        <v>18</v>
      </c>
      <c r="C11" s="1">
        <v>975.20730000000003</v>
      </c>
      <c r="D11" s="1">
        <v>804.93129999999996</v>
      </c>
      <c r="E11" s="1">
        <f>F11*0.44</f>
        <v>495.83768079999987</v>
      </c>
      <c r="F11" s="1">
        <v>1126.9038199999998</v>
      </c>
      <c r="G11">
        <v>59</v>
      </c>
      <c r="H11" s="1">
        <v>1</v>
      </c>
      <c r="I11" s="4">
        <v>80493.13</v>
      </c>
      <c r="J11" s="2">
        <v>0.92</v>
      </c>
      <c r="K11">
        <v>15</v>
      </c>
      <c r="M11" s="3"/>
      <c r="O11" s="1"/>
    </row>
    <row r="12" spans="1:15" x14ac:dyDescent="0.25">
      <c r="A12">
        <v>11</v>
      </c>
      <c r="B12" s="7" t="s">
        <v>15</v>
      </c>
      <c r="C12" s="1">
        <v>1931.7568000000001</v>
      </c>
      <c r="D12" s="1">
        <v>1135.3140000000001</v>
      </c>
      <c r="E12" s="1">
        <f>F12*0.44</f>
        <v>699.35342400000002</v>
      </c>
      <c r="F12" s="1">
        <v>1589.4395999999999</v>
      </c>
      <c r="G12">
        <v>60</v>
      </c>
      <c r="H12" s="1">
        <v>1</v>
      </c>
      <c r="I12" s="4">
        <v>113531.4</v>
      </c>
      <c r="J12" s="2">
        <v>0.82</v>
      </c>
      <c r="K12">
        <v>18</v>
      </c>
      <c r="M12" s="3"/>
      <c r="O12" s="1"/>
    </row>
    <row r="13" spans="1:15" x14ac:dyDescent="0.25">
      <c r="A13">
        <v>12</v>
      </c>
      <c r="B13" s="7" t="s">
        <v>14</v>
      </c>
      <c r="C13" s="1">
        <v>991.99450000000002</v>
      </c>
      <c r="D13" s="1">
        <v>1228.1053999999999</v>
      </c>
      <c r="E13" s="1">
        <f>F13*0.44</f>
        <v>756.51292639999986</v>
      </c>
      <c r="F13" s="1">
        <v>1719.3475599999997</v>
      </c>
      <c r="G13">
        <v>61</v>
      </c>
      <c r="H13" s="1">
        <v>2</v>
      </c>
      <c r="I13" s="4">
        <v>122810.54</v>
      </c>
      <c r="J13" s="2">
        <v>0.86</v>
      </c>
      <c r="K13">
        <v>20</v>
      </c>
      <c r="M13" s="3"/>
      <c r="O13" s="1"/>
    </row>
    <row r="14" spans="1:15" x14ac:dyDescent="0.25">
      <c r="A14">
        <v>13</v>
      </c>
      <c r="B14" s="7" t="s">
        <v>10</v>
      </c>
      <c r="C14" s="1">
        <v>2605.9203000000002</v>
      </c>
      <c r="D14">
        <v>2097</v>
      </c>
      <c r="E14" s="1">
        <f>F14*0.53</f>
        <v>1555.9739999999999</v>
      </c>
      <c r="F14">
        <v>2935.7999999999997</v>
      </c>
      <c r="G14">
        <v>64</v>
      </c>
      <c r="H14" s="1">
        <v>3</v>
      </c>
      <c r="I14" s="4">
        <v>208518.2</v>
      </c>
      <c r="J14" s="2">
        <v>0.93</v>
      </c>
      <c r="K14">
        <v>38</v>
      </c>
      <c r="M14" s="3"/>
      <c r="O14" s="1"/>
    </row>
    <row r="15" spans="1:15" x14ac:dyDescent="0.25">
      <c r="A15">
        <v>14</v>
      </c>
      <c r="B15" s="7" t="s">
        <v>20</v>
      </c>
      <c r="C15" s="1">
        <v>1276.3535999999999</v>
      </c>
      <c r="D15" s="1">
        <v>707.85149999999999</v>
      </c>
      <c r="E15" s="1">
        <f>F15*0.44</f>
        <v>436.03652399999999</v>
      </c>
      <c r="F15" s="1">
        <v>990.99209999999994</v>
      </c>
      <c r="G15">
        <v>63</v>
      </c>
      <c r="H15" s="1">
        <v>1</v>
      </c>
      <c r="I15" s="4">
        <v>70785.149999999994</v>
      </c>
      <c r="J15" s="2">
        <v>0.79</v>
      </c>
      <c r="K15">
        <v>13</v>
      </c>
      <c r="M15" s="3"/>
      <c r="O15" s="1"/>
    </row>
    <row r="16" spans="1:15" x14ac:dyDescent="0.25">
      <c r="A16">
        <v>15</v>
      </c>
      <c r="B16" s="7" t="s">
        <v>21</v>
      </c>
      <c r="C16" s="1">
        <v>888</v>
      </c>
      <c r="D16" s="1">
        <v>1241.9293</v>
      </c>
      <c r="E16" s="1">
        <f>F16*0.44</f>
        <v>765.02844879999998</v>
      </c>
      <c r="F16" s="1">
        <v>1738.70102</v>
      </c>
      <c r="G16">
        <v>61</v>
      </c>
      <c r="H16" s="1">
        <v>0</v>
      </c>
      <c r="I16" s="4">
        <v>58941.21</v>
      </c>
      <c r="J16" s="2">
        <v>0.81</v>
      </c>
      <c r="K16">
        <v>12</v>
      </c>
    </row>
  </sheetData>
  <sortState xmlns:xlrd2="http://schemas.microsoft.com/office/spreadsheetml/2017/richdata2" ref="B2:K16">
    <sortCondition ref="B2:B1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theme="4" tint="-0.249977111117893"/>
  </sheetPr>
  <dimension ref="A1:O16"/>
  <sheetViews>
    <sheetView workbookViewId="0">
      <selection activeCell="Q2" sqref="Q2"/>
    </sheetView>
  </sheetViews>
  <sheetFormatPr defaultRowHeight="15" x14ac:dyDescent="0.25"/>
  <cols>
    <col min="2" max="2" width="14" bestFit="1" customWidth="1"/>
  </cols>
  <sheetData>
    <row r="1" spans="1:15" x14ac:dyDescent="0.25">
      <c r="A1" s="15" t="s">
        <v>26</v>
      </c>
      <c r="B1" s="15" t="s">
        <v>9</v>
      </c>
      <c r="C1" s="15" t="s">
        <v>27</v>
      </c>
      <c r="D1" s="15" t="s">
        <v>28</v>
      </c>
      <c r="E1" s="15" t="s">
        <v>29</v>
      </c>
      <c r="F1" s="15" t="s">
        <v>90</v>
      </c>
      <c r="G1" s="15" t="s">
        <v>91</v>
      </c>
      <c r="H1" s="15" t="s">
        <v>92</v>
      </c>
      <c r="I1" s="15" t="s">
        <v>93</v>
      </c>
      <c r="J1" s="15" t="s">
        <v>30</v>
      </c>
      <c r="K1" s="15" t="s">
        <v>34</v>
      </c>
      <c r="L1" s="15" t="s">
        <v>31</v>
      </c>
      <c r="M1" s="15" t="s">
        <v>35</v>
      </c>
      <c r="N1" s="15" t="s">
        <v>32</v>
      </c>
      <c r="O1" s="15" t="s">
        <v>33</v>
      </c>
    </row>
    <row r="2" spans="1:15" x14ac:dyDescent="0.25">
      <c r="A2">
        <v>1</v>
      </c>
      <c r="B2" s="7" t="s">
        <v>23</v>
      </c>
      <c r="C2">
        <v>126</v>
      </c>
      <c r="D2">
        <v>129</v>
      </c>
      <c r="E2">
        <v>107</v>
      </c>
      <c r="F2">
        <v>130</v>
      </c>
      <c r="G2">
        <v>136</v>
      </c>
      <c r="H2">
        <v>121</v>
      </c>
      <c r="I2" s="10">
        <v>126.98194000000001</v>
      </c>
      <c r="J2">
        <v>27</v>
      </c>
      <c r="K2">
        <f t="shared" ref="K2:K16" si="0">100-J2</f>
        <v>73</v>
      </c>
      <c r="L2">
        <v>83</v>
      </c>
      <c r="M2">
        <f t="shared" ref="M2:M16" si="1">100-L2</f>
        <v>17</v>
      </c>
      <c r="N2">
        <v>82</v>
      </c>
      <c r="O2">
        <f t="shared" ref="O2:O16" si="2">100-N2</f>
        <v>18</v>
      </c>
    </row>
    <row r="3" spans="1:15" x14ac:dyDescent="0.25">
      <c r="A3">
        <v>2</v>
      </c>
      <c r="B3" s="7" t="s">
        <v>11</v>
      </c>
      <c r="C3">
        <v>114</v>
      </c>
      <c r="D3">
        <v>117</v>
      </c>
      <c r="E3">
        <v>123</v>
      </c>
      <c r="F3">
        <v>156</v>
      </c>
      <c r="G3">
        <v>200</v>
      </c>
      <c r="H3">
        <v>224</v>
      </c>
      <c r="I3" s="10">
        <v>338.71647999999999</v>
      </c>
      <c r="J3">
        <v>27</v>
      </c>
      <c r="K3">
        <f t="shared" si="0"/>
        <v>73</v>
      </c>
      <c r="L3">
        <v>77</v>
      </c>
      <c r="M3">
        <f t="shared" si="1"/>
        <v>23</v>
      </c>
      <c r="N3">
        <v>82</v>
      </c>
      <c r="O3">
        <f t="shared" si="2"/>
        <v>18</v>
      </c>
    </row>
    <row r="4" spans="1:15" x14ac:dyDescent="0.25">
      <c r="A4">
        <v>3</v>
      </c>
      <c r="B4" s="7" t="s">
        <v>25</v>
      </c>
      <c r="C4">
        <v>134</v>
      </c>
      <c r="D4">
        <v>126</v>
      </c>
      <c r="E4">
        <v>108</v>
      </c>
      <c r="F4">
        <v>123</v>
      </c>
      <c r="G4">
        <v>109</v>
      </c>
      <c r="H4">
        <v>121</v>
      </c>
      <c r="I4" s="10">
        <v>159.82378</v>
      </c>
      <c r="J4">
        <v>23</v>
      </c>
      <c r="K4">
        <f t="shared" si="0"/>
        <v>77</v>
      </c>
      <c r="L4">
        <v>76</v>
      </c>
      <c r="M4">
        <f t="shared" si="1"/>
        <v>24</v>
      </c>
      <c r="N4">
        <v>87</v>
      </c>
      <c r="O4">
        <f t="shared" si="2"/>
        <v>13</v>
      </c>
    </row>
    <row r="5" spans="1:15" x14ac:dyDescent="0.25">
      <c r="A5">
        <v>4</v>
      </c>
      <c r="B5" s="7" t="s">
        <v>16</v>
      </c>
      <c r="C5">
        <v>114</v>
      </c>
      <c r="D5">
        <v>101</v>
      </c>
      <c r="E5">
        <v>110</v>
      </c>
      <c r="F5">
        <v>125</v>
      </c>
      <c r="G5">
        <v>116</v>
      </c>
      <c r="H5">
        <v>112</v>
      </c>
      <c r="I5" s="10">
        <v>81.864530000000002</v>
      </c>
      <c r="J5">
        <v>15</v>
      </c>
      <c r="K5">
        <f t="shared" si="0"/>
        <v>85</v>
      </c>
      <c r="L5">
        <v>89</v>
      </c>
      <c r="M5">
        <f t="shared" si="1"/>
        <v>11</v>
      </c>
      <c r="N5">
        <v>80</v>
      </c>
      <c r="O5">
        <f t="shared" si="2"/>
        <v>20</v>
      </c>
    </row>
    <row r="6" spans="1:15" x14ac:dyDescent="0.25">
      <c r="A6">
        <v>5</v>
      </c>
      <c r="B6" s="7" t="s">
        <v>13</v>
      </c>
      <c r="C6">
        <v>131</v>
      </c>
      <c r="D6">
        <v>138</v>
      </c>
      <c r="E6">
        <v>124</v>
      </c>
      <c r="F6">
        <v>139</v>
      </c>
      <c r="G6">
        <v>137</v>
      </c>
      <c r="H6">
        <v>152</v>
      </c>
      <c r="I6" s="10">
        <v>124.19292999999999</v>
      </c>
      <c r="J6">
        <v>26</v>
      </c>
      <c r="K6">
        <f t="shared" si="0"/>
        <v>74</v>
      </c>
      <c r="L6">
        <v>81</v>
      </c>
      <c r="M6">
        <f t="shared" si="1"/>
        <v>19</v>
      </c>
      <c r="N6">
        <v>76</v>
      </c>
      <c r="O6">
        <f t="shared" si="2"/>
        <v>24</v>
      </c>
    </row>
    <row r="7" spans="1:15" x14ac:dyDescent="0.25">
      <c r="A7">
        <v>6</v>
      </c>
      <c r="B7" s="7" t="s">
        <v>22</v>
      </c>
      <c r="C7">
        <v>101</v>
      </c>
      <c r="D7">
        <v>101</v>
      </c>
      <c r="E7">
        <v>85</v>
      </c>
      <c r="F7">
        <v>115</v>
      </c>
      <c r="G7">
        <v>118</v>
      </c>
      <c r="H7">
        <v>96</v>
      </c>
      <c r="I7" s="10">
        <v>63.490970000000004</v>
      </c>
      <c r="J7">
        <v>15</v>
      </c>
      <c r="K7">
        <f t="shared" si="0"/>
        <v>85</v>
      </c>
      <c r="L7">
        <v>77</v>
      </c>
      <c r="M7">
        <f t="shared" si="1"/>
        <v>23</v>
      </c>
      <c r="N7">
        <v>75</v>
      </c>
      <c r="O7">
        <f t="shared" si="2"/>
        <v>25</v>
      </c>
    </row>
    <row r="8" spans="1:15" x14ac:dyDescent="0.25">
      <c r="A8">
        <v>7</v>
      </c>
      <c r="B8" s="7" t="s">
        <v>17</v>
      </c>
      <c r="C8">
        <v>148</v>
      </c>
      <c r="D8">
        <v>126</v>
      </c>
      <c r="E8">
        <v>151</v>
      </c>
      <c r="F8">
        <v>126</v>
      </c>
      <c r="G8">
        <v>123</v>
      </c>
      <c r="H8">
        <v>146</v>
      </c>
      <c r="I8" s="10">
        <v>99.384439999999998</v>
      </c>
      <c r="J8">
        <v>20</v>
      </c>
      <c r="K8">
        <f t="shared" si="0"/>
        <v>80</v>
      </c>
      <c r="L8">
        <v>88</v>
      </c>
      <c r="M8">
        <f t="shared" si="1"/>
        <v>12</v>
      </c>
      <c r="N8">
        <v>86</v>
      </c>
      <c r="O8">
        <f t="shared" si="2"/>
        <v>14</v>
      </c>
    </row>
    <row r="9" spans="1:15" x14ac:dyDescent="0.25">
      <c r="A9">
        <v>8</v>
      </c>
      <c r="B9" s="7" t="s">
        <v>19</v>
      </c>
      <c r="C9">
        <v>153</v>
      </c>
      <c r="D9">
        <v>140</v>
      </c>
      <c r="E9">
        <v>156</v>
      </c>
      <c r="F9">
        <v>153</v>
      </c>
      <c r="G9">
        <v>162</v>
      </c>
      <c r="H9">
        <v>160</v>
      </c>
      <c r="I9" s="10">
        <v>84.143500000000003</v>
      </c>
      <c r="J9">
        <v>23</v>
      </c>
      <c r="K9">
        <f t="shared" si="0"/>
        <v>77</v>
      </c>
      <c r="L9">
        <v>80</v>
      </c>
      <c r="M9">
        <f t="shared" si="1"/>
        <v>20</v>
      </c>
      <c r="N9">
        <v>90</v>
      </c>
      <c r="O9">
        <f t="shared" si="2"/>
        <v>10</v>
      </c>
    </row>
    <row r="10" spans="1:15" x14ac:dyDescent="0.25">
      <c r="A10">
        <v>9</v>
      </c>
      <c r="B10" s="7" t="s">
        <v>12</v>
      </c>
      <c r="C10">
        <v>117</v>
      </c>
      <c r="D10">
        <v>118</v>
      </c>
      <c r="E10">
        <v>117</v>
      </c>
      <c r="F10">
        <v>121</v>
      </c>
      <c r="G10">
        <v>139</v>
      </c>
      <c r="H10">
        <v>129</v>
      </c>
      <c r="I10" s="10">
        <v>189.76457000000002</v>
      </c>
      <c r="J10">
        <v>27</v>
      </c>
      <c r="K10">
        <f t="shared" si="0"/>
        <v>73</v>
      </c>
      <c r="L10">
        <v>77</v>
      </c>
      <c r="M10">
        <f t="shared" si="1"/>
        <v>23</v>
      </c>
      <c r="N10">
        <v>84</v>
      </c>
      <c r="O10">
        <f t="shared" si="2"/>
        <v>16</v>
      </c>
    </row>
    <row r="11" spans="1:15" x14ac:dyDescent="0.25">
      <c r="A11">
        <v>10</v>
      </c>
      <c r="B11" s="7" t="s">
        <v>18</v>
      </c>
      <c r="C11">
        <v>152</v>
      </c>
      <c r="D11">
        <v>143</v>
      </c>
      <c r="E11">
        <v>159</v>
      </c>
      <c r="F11">
        <v>160</v>
      </c>
      <c r="G11">
        <v>155</v>
      </c>
      <c r="H11">
        <v>155</v>
      </c>
      <c r="I11" s="10">
        <v>80.493130000000008</v>
      </c>
      <c r="J11">
        <v>17</v>
      </c>
      <c r="K11">
        <f t="shared" si="0"/>
        <v>83</v>
      </c>
      <c r="L11">
        <v>83</v>
      </c>
      <c r="M11">
        <f t="shared" si="1"/>
        <v>17</v>
      </c>
      <c r="N11">
        <v>75</v>
      </c>
      <c r="O11">
        <f t="shared" si="2"/>
        <v>25</v>
      </c>
    </row>
    <row r="12" spans="1:15" x14ac:dyDescent="0.25">
      <c r="A12">
        <v>11</v>
      </c>
      <c r="B12" s="7" t="s">
        <v>15</v>
      </c>
      <c r="C12">
        <v>110</v>
      </c>
      <c r="D12">
        <v>105</v>
      </c>
      <c r="E12">
        <v>114</v>
      </c>
      <c r="F12">
        <v>102</v>
      </c>
      <c r="G12">
        <v>90</v>
      </c>
      <c r="H12">
        <v>110</v>
      </c>
      <c r="I12" s="10">
        <v>113.53139999999999</v>
      </c>
      <c r="J12">
        <v>18</v>
      </c>
      <c r="K12">
        <f t="shared" si="0"/>
        <v>82</v>
      </c>
      <c r="L12">
        <v>76</v>
      </c>
      <c r="M12">
        <f t="shared" si="1"/>
        <v>24</v>
      </c>
      <c r="N12">
        <v>76</v>
      </c>
      <c r="O12">
        <f t="shared" si="2"/>
        <v>24</v>
      </c>
    </row>
    <row r="13" spans="1:15" x14ac:dyDescent="0.25">
      <c r="A13">
        <v>12</v>
      </c>
      <c r="B13" s="7" t="s">
        <v>14</v>
      </c>
      <c r="C13">
        <v>104</v>
      </c>
      <c r="D13">
        <v>123</v>
      </c>
      <c r="E13">
        <v>106</v>
      </c>
      <c r="F13">
        <v>98</v>
      </c>
      <c r="G13">
        <v>104</v>
      </c>
      <c r="H13">
        <v>100</v>
      </c>
      <c r="I13" s="10">
        <v>122.81053999999999</v>
      </c>
      <c r="J13">
        <v>29</v>
      </c>
      <c r="K13">
        <f t="shared" si="0"/>
        <v>71</v>
      </c>
      <c r="L13">
        <v>84</v>
      </c>
      <c r="M13">
        <f t="shared" si="1"/>
        <v>16</v>
      </c>
      <c r="N13">
        <v>90</v>
      </c>
      <c r="O13">
        <f t="shared" si="2"/>
        <v>10</v>
      </c>
    </row>
    <row r="14" spans="1:15" x14ac:dyDescent="0.25">
      <c r="A14">
        <v>13</v>
      </c>
      <c r="B14" s="7" t="s">
        <v>10</v>
      </c>
      <c r="C14">
        <v>88</v>
      </c>
      <c r="D14">
        <v>116</v>
      </c>
      <c r="E14">
        <v>126</v>
      </c>
      <c r="F14">
        <v>117</v>
      </c>
      <c r="G14">
        <v>120</v>
      </c>
      <c r="H14">
        <v>132</v>
      </c>
      <c r="I14" s="10">
        <v>208.51820000000001</v>
      </c>
      <c r="J14">
        <v>18</v>
      </c>
      <c r="K14">
        <f t="shared" si="0"/>
        <v>82</v>
      </c>
      <c r="L14">
        <v>79</v>
      </c>
      <c r="M14">
        <f t="shared" si="1"/>
        <v>21</v>
      </c>
      <c r="N14">
        <v>88</v>
      </c>
      <c r="O14">
        <f t="shared" si="2"/>
        <v>12</v>
      </c>
    </row>
    <row r="15" spans="1:15" x14ac:dyDescent="0.25">
      <c r="A15">
        <v>14</v>
      </c>
      <c r="B15" s="7" t="s">
        <v>20</v>
      </c>
      <c r="C15">
        <v>90</v>
      </c>
      <c r="D15">
        <v>93</v>
      </c>
      <c r="E15">
        <v>114</v>
      </c>
      <c r="F15">
        <v>92</v>
      </c>
      <c r="G15">
        <v>98</v>
      </c>
      <c r="H15">
        <v>119</v>
      </c>
      <c r="I15" s="10">
        <v>70.785149999999987</v>
      </c>
      <c r="J15">
        <v>17</v>
      </c>
      <c r="K15">
        <f t="shared" si="0"/>
        <v>83</v>
      </c>
      <c r="L15">
        <v>79</v>
      </c>
      <c r="M15">
        <f t="shared" si="1"/>
        <v>21</v>
      </c>
      <c r="N15">
        <v>80</v>
      </c>
      <c r="O15">
        <f t="shared" si="2"/>
        <v>20</v>
      </c>
    </row>
    <row r="16" spans="1:15" x14ac:dyDescent="0.25">
      <c r="A16">
        <v>15</v>
      </c>
      <c r="B16" s="7" t="s">
        <v>21</v>
      </c>
      <c r="C16">
        <v>89</v>
      </c>
      <c r="D16">
        <v>75</v>
      </c>
      <c r="E16">
        <v>92</v>
      </c>
      <c r="F16">
        <v>85</v>
      </c>
      <c r="G16">
        <v>101</v>
      </c>
      <c r="H16">
        <v>95</v>
      </c>
      <c r="I16" s="10">
        <v>58.941209999999998</v>
      </c>
      <c r="J16">
        <v>25</v>
      </c>
      <c r="K16">
        <f t="shared" si="0"/>
        <v>75</v>
      </c>
      <c r="L16">
        <v>89</v>
      </c>
      <c r="M16">
        <f t="shared" si="1"/>
        <v>11</v>
      </c>
      <c r="N16">
        <v>74</v>
      </c>
      <c r="O16">
        <f t="shared" si="2"/>
        <v>26</v>
      </c>
    </row>
  </sheetData>
  <sortState xmlns:xlrd2="http://schemas.microsoft.com/office/spreadsheetml/2017/richdata2" ref="B2:O16">
    <sortCondition ref="B2:B1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</sheetPr>
  <dimension ref="A1:K13"/>
  <sheetViews>
    <sheetView workbookViewId="0">
      <selection activeCell="E21" sqref="E21"/>
    </sheetView>
  </sheetViews>
  <sheetFormatPr defaultRowHeight="15" x14ac:dyDescent="0.25"/>
  <cols>
    <col min="2" max="11" width="12.5703125" customWidth="1"/>
  </cols>
  <sheetData>
    <row r="1" spans="1:11" x14ac:dyDescent="0.25">
      <c r="A1" s="16" t="s">
        <v>24</v>
      </c>
      <c r="B1" s="17" t="s">
        <v>9</v>
      </c>
      <c r="C1" s="16" t="s">
        <v>0</v>
      </c>
      <c r="D1" s="16" t="s">
        <v>1</v>
      </c>
      <c r="E1" s="16" t="s">
        <v>2</v>
      </c>
      <c r="F1" s="16" t="s">
        <v>3</v>
      </c>
      <c r="G1" s="16" t="s">
        <v>4</v>
      </c>
      <c r="H1" s="16" t="s">
        <v>5</v>
      </c>
      <c r="I1" s="16" t="s">
        <v>8</v>
      </c>
      <c r="J1" s="16" t="s">
        <v>6</v>
      </c>
      <c r="K1" s="16" t="s">
        <v>7</v>
      </c>
    </row>
    <row r="2" spans="1:11" x14ac:dyDescent="0.25">
      <c r="A2">
        <f>Summary!AB1</f>
        <v>15</v>
      </c>
      <c r="B2" t="str">
        <f>INDEX(Data!B$2:B$16,MATCH($A$2,Data!$A$2:$A$16,0),1)</f>
        <v>Washington</v>
      </c>
      <c r="C2" s="3">
        <f>INDEX(Data!C$2:C$16,MATCH($A$2,Data!$A$2:$A$16,0),1)</f>
        <v>888</v>
      </c>
      <c r="D2" s="3">
        <f>INDEX(Data!D$2:D$16,MATCH($A$2,Data!$A$2:$A$16,0),1)</f>
        <v>1241.9293</v>
      </c>
      <c r="E2" s="3">
        <f>INDEX(Data!E$2:E$16,MATCH($A$2,Data!$A$2:$A$16,0),1)</f>
        <v>765.02844879999998</v>
      </c>
      <c r="F2" s="3">
        <f>INDEX(Data!F$2:F$16,MATCH($A$2,Data!$A$2:$A$16,0),1)</f>
        <v>1738.70102</v>
      </c>
      <c r="G2">
        <f>INDEX(Data!G$2:G$16,MATCH($A$2,Data!$A$2:$A$16,0),1)</f>
        <v>61</v>
      </c>
      <c r="H2">
        <f>INDEX(Data!H$2:H$16,MATCH($A$2,Data!$A$2:$A$16,0),1)</f>
        <v>0</v>
      </c>
      <c r="I2" s="9">
        <f>INDEX(Data!I$2:I$16,MATCH($A$2,Data!$A$2:$A$16,0),1)/1000</f>
        <v>58.941209999999998</v>
      </c>
      <c r="J2" s="8">
        <f>INDEX(Data!J$2:J$16,MATCH($A$2,Data!$A$2:$A$16,0),1)</f>
        <v>0.81</v>
      </c>
      <c r="K2">
        <f>INDEX(Data!K$2:K$16,MATCH($A$2,Data!$A$2:$A$16,0),1)</f>
        <v>12</v>
      </c>
    </row>
    <row r="7" spans="1:11" x14ac:dyDescent="0.25">
      <c r="A7" s="16" t="s">
        <v>24</v>
      </c>
      <c r="B7" s="17" t="s">
        <v>9</v>
      </c>
      <c r="C7" s="15" t="str">
        <f>Financial!C1</f>
        <v>2013/14</v>
      </c>
      <c r="D7" s="15" t="str">
        <f>Financial!D1</f>
        <v>2014/15</v>
      </c>
      <c r="E7" s="15" t="str">
        <f>Financial!E1</f>
        <v>2015/16</v>
      </c>
      <c r="F7" s="15" t="str">
        <f>Financial!F1</f>
        <v>2016/17</v>
      </c>
      <c r="G7" s="15" t="str">
        <f>Financial!G1</f>
        <v>2017/18</v>
      </c>
      <c r="H7" s="15" t="str">
        <f>Financial!H1</f>
        <v>2018/19</v>
      </c>
      <c r="I7" s="15" t="str">
        <f>Financial!I1</f>
        <v>2019/20</v>
      </c>
    </row>
    <row r="8" spans="1:11" x14ac:dyDescent="0.25">
      <c r="A8">
        <f>A2</f>
        <v>15</v>
      </c>
      <c r="B8" t="str">
        <f>INDEX(Data!B$2:B$16,MATCH($A$8,Data!$A$2:$A$16,0),1)</f>
        <v>Washington</v>
      </c>
      <c r="C8" s="10">
        <f>SUMIFS(Financial!C2:C16,Financial!$B$2:$B$16,$B8)</f>
        <v>89</v>
      </c>
      <c r="D8" s="10">
        <f>SUMIFS(Financial!D2:D16,Financial!$B$2:$B$16,$B8)</f>
        <v>75</v>
      </c>
      <c r="E8" s="10">
        <f>SUMIFS(Financial!E2:E16,Financial!$B$2:$B$16,$B8)</f>
        <v>92</v>
      </c>
      <c r="F8" s="10">
        <f>SUMIFS(Financial!F2:F16,Financial!$B$2:$B$16,$B8)</f>
        <v>85</v>
      </c>
      <c r="G8" s="10">
        <f>SUMIFS(Financial!G2:G16,Financial!$B$2:$B$16,$B8)</f>
        <v>101</v>
      </c>
      <c r="H8" s="10">
        <f>SUMIFS(Financial!H2:H16,Financial!$B$2:$B$16,$B8)</f>
        <v>95</v>
      </c>
      <c r="I8" s="10">
        <f>SUMIFS(Financial!I2:I16,Financial!$B$2:$B$16,$B8)</f>
        <v>58.941209999999998</v>
      </c>
    </row>
    <row r="11" spans="1:11" x14ac:dyDescent="0.25">
      <c r="A11" s="16" t="s">
        <v>24</v>
      </c>
      <c r="B11" s="17" t="s">
        <v>9</v>
      </c>
      <c r="C11" s="15" t="str">
        <f>Financial!J1</f>
        <v>NPS</v>
      </c>
      <c r="D11" s="15" t="str">
        <f>Financial!K1</f>
        <v>NPS -1</v>
      </c>
      <c r="E11" s="15" t="str">
        <f>Financial!L1</f>
        <v>CS</v>
      </c>
      <c r="F11" s="15" t="str">
        <f>Financial!M1</f>
        <v>CS-1</v>
      </c>
      <c r="G11" s="15" t="str">
        <f>Financial!N1</f>
        <v>EE</v>
      </c>
      <c r="H11" s="15" t="str">
        <f>Financial!O1</f>
        <v>EE-1</v>
      </c>
      <c r="I11" s="15"/>
    </row>
    <row r="12" spans="1:11" x14ac:dyDescent="0.25">
      <c r="B12" t="str">
        <f>B2</f>
        <v>Washington</v>
      </c>
      <c r="C12" s="10">
        <f>SUMIFS(Financial!J2:J16,Financial!$B$2:$B$16,$B12)</f>
        <v>25</v>
      </c>
      <c r="D12" s="10">
        <f>SUMIFS(Financial!K2:K16,Financial!$B$2:$B$16,$B12)</f>
        <v>75</v>
      </c>
      <c r="E12" s="10">
        <f>SUMIFS(Financial!L2:L16,Financial!$B$2:$B$16,$B12)</f>
        <v>89</v>
      </c>
      <c r="F12" s="10">
        <f>SUMIFS(Financial!M2:M16,Financial!$B$2:$B$16,$B12)</f>
        <v>11</v>
      </c>
      <c r="G12" s="10">
        <f>SUMIFS(Financial!N2:N16,Financial!$B$2:$B$16,$B12)</f>
        <v>74</v>
      </c>
      <c r="H12" s="10">
        <f>SUMIFS(Financial!O2:O16,Financial!$B$2:$B$16,$B12)</f>
        <v>26</v>
      </c>
    </row>
    <row r="13" spans="1:11" x14ac:dyDescent="0.25">
      <c r="B13" t="s">
        <v>89</v>
      </c>
      <c r="C13" s="12">
        <f>C12/100</f>
        <v>0.25</v>
      </c>
      <c r="E13" s="12">
        <f>E12/100</f>
        <v>0.89</v>
      </c>
      <c r="G13" s="12">
        <f>G12/100</f>
        <v>0.74</v>
      </c>
    </row>
  </sheetData>
  <sortState xmlns:xlrd2="http://schemas.microsoft.com/office/spreadsheetml/2017/richdata2" ref="O5:O19">
    <sortCondition ref="O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C00000"/>
  </sheetPr>
  <dimension ref="R1:AC26"/>
  <sheetViews>
    <sheetView showGridLines="0" showRowColHeaders="0" tabSelected="1" zoomScale="85" zoomScaleNormal="85" workbookViewId="0">
      <selection activeCell="S5" sqref="S5"/>
    </sheetView>
  </sheetViews>
  <sheetFormatPr defaultRowHeight="15" x14ac:dyDescent="0.25"/>
  <cols>
    <col min="1" max="1" width="7.140625" style="5" customWidth="1"/>
    <col min="2" max="2" width="19.7109375" style="5" customWidth="1"/>
    <col min="3" max="16" width="9.140625" style="5"/>
    <col min="17" max="17" width="2.28515625" style="5" customWidth="1"/>
    <col min="18" max="27" width="9.140625" style="5"/>
    <col min="28" max="28" width="9.5703125" style="5" hidden="1" customWidth="1"/>
    <col min="29" max="29" width="14.28515625" style="6" hidden="1" customWidth="1"/>
    <col min="30" max="30" width="9.5703125" style="5" customWidth="1"/>
    <col min="31" max="16384" width="9.140625" style="5"/>
  </cols>
  <sheetData>
    <row r="1" spans="28:29" x14ac:dyDescent="0.25">
      <c r="AB1" s="14">
        <v>15</v>
      </c>
      <c r="AC1" s="6" t="s">
        <v>9</v>
      </c>
    </row>
    <row r="2" spans="28:29" x14ac:dyDescent="0.25">
      <c r="AC2" s="6" t="s">
        <v>23</v>
      </c>
    </row>
    <row r="3" spans="28:29" x14ac:dyDescent="0.25">
      <c r="AC3" s="6" t="s">
        <v>11</v>
      </c>
    </row>
    <row r="4" spans="28:29" x14ac:dyDescent="0.25">
      <c r="AC4" s="6" t="s">
        <v>25</v>
      </c>
    </row>
    <row r="5" spans="28:29" x14ac:dyDescent="0.25">
      <c r="AC5" s="6" t="s">
        <v>16</v>
      </c>
    </row>
    <row r="6" spans="28:29" x14ac:dyDescent="0.25">
      <c r="AC6" s="6" t="s">
        <v>13</v>
      </c>
    </row>
    <row r="7" spans="28:29" x14ac:dyDescent="0.25">
      <c r="AC7" s="6" t="s">
        <v>22</v>
      </c>
    </row>
    <row r="8" spans="28:29" x14ac:dyDescent="0.25">
      <c r="AC8" s="6" t="s">
        <v>17</v>
      </c>
    </row>
    <row r="9" spans="28:29" x14ac:dyDescent="0.25">
      <c r="AC9" s="6" t="s">
        <v>19</v>
      </c>
    </row>
    <row r="10" spans="28:29" x14ac:dyDescent="0.25">
      <c r="AC10" s="6" t="s">
        <v>12</v>
      </c>
    </row>
    <row r="11" spans="28:29" x14ac:dyDescent="0.25">
      <c r="AC11" s="6" t="s">
        <v>18</v>
      </c>
    </row>
    <row r="12" spans="28:29" x14ac:dyDescent="0.25">
      <c r="AC12" s="6" t="s">
        <v>15</v>
      </c>
    </row>
    <row r="13" spans="28:29" x14ac:dyDescent="0.25">
      <c r="AC13" s="6" t="s">
        <v>14</v>
      </c>
    </row>
    <row r="14" spans="28:29" x14ac:dyDescent="0.25">
      <c r="AC14" s="6" t="s">
        <v>10</v>
      </c>
    </row>
    <row r="15" spans="28:29" x14ac:dyDescent="0.25">
      <c r="AC15" s="6" t="s">
        <v>20</v>
      </c>
    </row>
    <row r="16" spans="28:29" x14ac:dyDescent="0.25">
      <c r="AC16" s="6" t="s">
        <v>21</v>
      </c>
    </row>
    <row r="26" spans="18:26" x14ac:dyDescent="0.25">
      <c r="R26" s="11"/>
      <c r="S26" s="11"/>
      <c r="T26" s="11"/>
      <c r="U26" s="11"/>
      <c r="V26" s="11"/>
      <c r="W26" s="11"/>
      <c r="X26" s="11"/>
      <c r="Y26" s="11"/>
      <c r="Z26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Drop Down 1">
              <controlPr defaultSize="0" autoLine="0" autoPict="0" macro="[0]!ColourMe">
                <anchor moveWithCells="1">
                  <from>
                    <xdr:col>22</xdr:col>
                    <xdr:colOff>609600</xdr:colOff>
                    <xdr:row>4</xdr:row>
                    <xdr:rowOff>28575</xdr:rowOff>
                  </from>
                  <to>
                    <xdr:col>25</xdr:col>
                    <xdr:colOff>104775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List</vt:lpstr>
      <vt:lpstr>Data</vt:lpstr>
      <vt:lpstr>Financial</vt:lpstr>
      <vt:lpstr>Calcs</vt:lpstr>
      <vt:lpstr>Summary</vt:lpstr>
      <vt:lpstr>State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2013-12-13T08:05:19Z</dcterms:created>
  <dcterms:modified xsi:type="dcterms:W3CDTF">2022-10-28T05:59:34Z</dcterms:modified>
</cp:coreProperties>
</file>