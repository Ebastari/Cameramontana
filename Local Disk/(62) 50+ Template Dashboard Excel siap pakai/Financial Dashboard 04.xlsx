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Lists" sheetId="2" r:id="rId5"/>
    <sheet state="visible" name="Data" sheetId="3" r:id="rId6"/>
    <sheet state="visible" name="Plan" sheetId="4" r:id="rId7"/>
    <sheet state="visible" name="Cust" sheetId="5" r:id="rId8"/>
    <sheet state="visible" name="Hires" sheetId="6" r:id="rId9"/>
    <sheet state="visible" name="Sick" sheetId="7" r:id="rId10"/>
    <sheet state="visible" name="FTE" sheetId="8" r:id="rId11"/>
    <sheet state="visible" name="General" sheetId="9" r:id="rId12"/>
    <sheet state="visible" name="Other" sheetId="10" r:id="rId13"/>
    <sheet state="visible" name="Calcs" sheetId="11" r:id="rId14"/>
    <sheet state="visible" name="Check" sheetId="12" r:id="rId15"/>
    <sheet state="visible" name="Summary" sheetId="13" r:id="rId16"/>
  </sheets>
  <definedNames>
    <definedName name="Loans">Summary!$J$20:$O$20</definedName>
  </definedNames>
  <calcPr/>
  <extLst>
    <ext uri="GoogleSheetsCustomDataVersion2">
      <go:sheetsCustomData xmlns:go="http://customooxmlschemas.google.com/" r:id="rId17" roundtripDataChecksum="cGqWzTQc5ifejsHNM/HFBN+AQ/KiIR7/wdZI7r35e58="/>
    </ext>
  </extLst>
</workbook>
</file>

<file path=xl/sharedStrings.xml><?xml version="1.0" encoding="utf-8"?>
<sst xmlns="http://schemas.openxmlformats.org/spreadsheetml/2006/main" count="819" uniqueCount="142">
  <si>
    <t>Sheets</t>
  </si>
  <si>
    <t>Sheet Type</t>
  </si>
  <si>
    <t>Description</t>
  </si>
  <si>
    <t>Links</t>
  </si>
  <si>
    <t>Model</t>
  </si>
  <si>
    <t>Assumptions</t>
  </si>
  <si>
    <t>Description of Sheets</t>
  </si>
  <si>
    <t>List</t>
  </si>
  <si>
    <t>Lists and model assumptions</t>
  </si>
  <si>
    <t>Data</t>
  </si>
  <si>
    <t>Input Sheet</t>
  </si>
  <si>
    <t>Actual lead metrics by region</t>
  </si>
  <si>
    <t>Plan</t>
  </si>
  <si>
    <t>Plan lead metrics by region</t>
  </si>
  <si>
    <t>Cust</t>
  </si>
  <si>
    <t>Customer data (small data set)</t>
  </si>
  <si>
    <t>Hires</t>
  </si>
  <si>
    <t>Hires and terminations</t>
  </si>
  <si>
    <t>Sick</t>
  </si>
  <si>
    <t>Average sick days per employee</t>
  </si>
  <si>
    <t>FTE</t>
  </si>
  <si>
    <t>Full time equivalent workers</t>
  </si>
  <si>
    <t>General</t>
  </si>
  <si>
    <t>General financial metrics</t>
  </si>
  <si>
    <t>Other</t>
  </si>
  <si>
    <t>Other financial and ops metrics</t>
  </si>
  <si>
    <t>Calcs</t>
  </si>
  <si>
    <t>Calculations sheet</t>
  </si>
  <si>
    <t>Primary calculations page</t>
  </si>
  <si>
    <t>Check</t>
  </si>
  <si>
    <t>Error trapping</t>
  </si>
  <si>
    <t>Checks and balances for the model</t>
  </si>
  <si>
    <t>Summary</t>
  </si>
  <si>
    <t>Output Sheet</t>
  </si>
  <si>
    <t>Primary output page</t>
  </si>
  <si>
    <t>Metric</t>
  </si>
  <si>
    <t>Measures</t>
  </si>
  <si>
    <t>Years</t>
  </si>
  <si>
    <t>Regions</t>
  </si>
  <si>
    <t>Checks</t>
  </si>
  <si>
    <t>Linked Cell Spinner</t>
  </si>
  <si>
    <t>FY 10</t>
  </si>
  <si>
    <t>FY 12</t>
  </si>
  <si>
    <t>England</t>
  </si>
  <si>
    <t>Model OK</t>
  </si>
  <si>
    <t>Linked Cell Listbox</t>
  </si>
  <si>
    <t>Core Deposits</t>
  </si>
  <si>
    <t>FY 11</t>
  </si>
  <si>
    <t>FY 13</t>
  </si>
  <si>
    <t>Scotland</t>
  </si>
  <si>
    <t>Check Model</t>
  </si>
  <si>
    <t>Region Cell Link</t>
  </si>
  <si>
    <t>FY 14</t>
  </si>
  <si>
    <t>Wales</t>
  </si>
  <si>
    <t>Region</t>
  </si>
  <si>
    <t>FY 15</t>
  </si>
  <si>
    <t>Northern Ireland</t>
  </si>
  <si>
    <t>FY 16</t>
  </si>
  <si>
    <t>FY 17</t>
  </si>
  <si>
    <t>FY 18</t>
  </si>
  <si>
    <t>FY 19</t>
  </si>
  <si>
    <t>FY 20</t>
  </si>
  <si>
    <t>Activity</t>
  </si>
  <si>
    <t>Net Income</t>
  </si>
  <si>
    <t>Revenue</t>
  </si>
  <si>
    <t>Diluted Earnings Per Share</t>
  </si>
  <si>
    <t>Dividends Per Share</t>
  </si>
  <si>
    <t>Return on Assets</t>
  </si>
  <si>
    <t>Return on Equity</t>
  </si>
  <si>
    <t>Net Interest Margin</t>
  </si>
  <si>
    <t>Efficiency Ratio</t>
  </si>
  <si>
    <t>Assets</t>
  </si>
  <si>
    <t>Loans</t>
  </si>
  <si>
    <t>Stockholder's Equity</t>
  </si>
  <si>
    <t>Non-Performing Loans / Total Loans</t>
  </si>
  <si>
    <t>Allowance / Total Loans</t>
  </si>
  <si>
    <t>Allowance / Non-Performing Loans</t>
  </si>
  <si>
    <t>Net Charge Offs / Average Total Loans</t>
  </si>
  <si>
    <t>Satisfaction</t>
  </si>
  <si>
    <t>States</t>
  </si>
  <si>
    <t>PY</t>
  </si>
  <si>
    <t>CY</t>
  </si>
  <si>
    <t>Customer</t>
  </si>
  <si>
    <t>Type</t>
  </si>
  <si>
    <t>State</t>
  </si>
  <si>
    <t>Termination</t>
  </si>
  <si>
    <t>New Hires</t>
  </si>
  <si>
    <t>Avg Sick Days</t>
  </si>
  <si>
    <t>Country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</si>
  <si>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</si>
  <si>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</si>
  <si>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</si>
  <si>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</si>
  <si>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</si>
  <si>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</si>
  <si>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</si>
  <si>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</si>
  <si>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</si>
  <si>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</si>
  <si>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</si>
  <si>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</si>
  <si>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Year</t>
  </si>
  <si>
    <t>FTEs</t>
  </si>
  <si>
    <t>Prior Yr</t>
  </si>
  <si>
    <t>Actual</t>
  </si>
  <si>
    <t>Cur Yr</t>
  </si>
  <si>
    <t>Forecast</t>
  </si>
  <si>
    <t>Operation</t>
  </si>
  <si>
    <t>% Result</t>
  </si>
  <si>
    <t>Home Loans</t>
  </si>
  <si>
    <t>Credit Cards</t>
  </si>
  <si>
    <t>Houshold Lending</t>
  </si>
  <si>
    <t>Other Bank Income</t>
  </si>
  <si>
    <t>Retail Deposits</t>
  </si>
  <si>
    <t>Business Lending</t>
  </si>
  <si>
    <t>Asset Finance</t>
  </si>
  <si>
    <t>Equities Trading</t>
  </si>
  <si>
    <t>FX Trading</t>
  </si>
  <si>
    <t>Current Mth</t>
  </si>
  <si>
    <t>Interest Income</t>
  </si>
  <si>
    <t>Funds Mgt Income</t>
  </si>
  <si>
    <t>Insurance Income</t>
  </si>
  <si>
    <t>Operational Expenses</t>
  </si>
  <si>
    <t>Loan Imparement Expenses</t>
  </si>
  <si>
    <t>Net Expenses</t>
  </si>
  <si>
    <t>Net Profit</t>
  </si>
  <si>
    <t>Graph Data</t>
  </si>
  <si>
    <t>Chart</t>
  </si>
  <si>
    <t>Hires and Terminations</t>
  </si>
  <si>
    <t>Other Metrics</t>
  </si>
  <si>
    <t>Measure</t>
  </si>
  <si>
    <t>% of Revenue</t>
  </si>
  <si>
    <t>%</t>
  </si>
  <si>
    <t>PY Gap</t>
  </si>
  <si>
    <t>CY Gap</t>
  </si>
  <si>
    <t>Total Check</t>
  </si>
  <si>
    <t>CM Data</t>
  </si>
  <si>
    <t>Check Totals</t>
  </si>
  <si>
    <t xml:space="preserve"> Financial Measure</t>
  </si>
  <si>
    <t>Customer Satisfaction</t>
  </si>
  <si>
    <t>Absence CY v PY</t>
  </si>
  <si>
    <t>Model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</si>
</sst>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??_);_(@_)"/>
    <numFmt numFmtId="165" formatCode="_-&quot;$&quot;* #,##0.00_-;\-&quot;$&quot;* #,##0.00_-;_-&quot;$&quot;* &quot;-&quot;??_-;_-@"/>
    <numFmt numFmtId="166" formatCode="_(* #,##0.0_);_(* \(#,##0.0\);_(* &quot;-&quot;??_);_(@_)"/>
    <numFmt numFmtId="167" formatCode="0.00&quot;%&quot;"/>
    <numFmt numFmtId="168" formatCode="_(* #,##0.00_);_(* \(#,##0.00\);_(* &quot;-&quot;??_);_(@_)"/>
    <numFmt numFmtId="169" formatCode="_-* #,##0.00_-;\-* #,##0.00_-;_-* &quot;-&quot;??_-;_-@"/>
    <numFmt numFmtId="170" formatCode="_-&quot;$&quot;* #,##0.0_-;\-&quot;$&quot;* #,##0.0_-;_-&quot;$&quot;* &quot;-&quot;?_-;_-@"/>
    <numFmt numFmtId="171" formatCode="0.0"/>
    <numFmt numFmtId="172" formatCode="_-* #,##0.0_-;\-* #,##0.0_-;_-* &quot;-&quot;?_-;_-@"/>
    <numFmt numFmtId="173" formatCode="_(* #,##0_);_(* \(#,##0\);_(* &quot;-&quot;??_);_(@_)"/>
  </numFmts>
  <fonts count="25">
    <font>
      <sz val="10.0"/>
      <color rgb="FF000000"/>
      <name val="Arial"/>
      <scheme val="minor"/>
    </font>
    <font>
      <sz val="11.0"/>
      <color theme="0"/>
      <name val="Calibri"/>
    </font>
    <font>
      <sz val="11.0"/>
      <color rgb="FF595959"/>
      <name val="Calibri"/>
    </font>
    <font>
      <u/>
      <sz val="11.0"/>
      <color theme="10"/>
      <name val="Calibri"/>
    </font>
    <font>
      <sz val="10.0"/>
      <color theme="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366092"/>
      <name val="Arial"/>
    </font>
    <font>
      <color theme="1"/>
      <name val="Arial"/>
      <scheme val="minor"/>
    </font>
    <font>
      <b/>
      <sz val="10.0"/>
      <color theme="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1F497D"/>
      <name val="Arial"/>
    </font>
    <font>
      <b/>
      <sz val="9.0"/>
      <color theme="1"/>
      <name val="Arial"/>
    </font>
    <font>
      <i/>
      <sz val="10.0"/>
      <color theme="1"/>
      <name val="Arial"/>
    </font>
    <font>
      <i/>
      <sz val="9.0"/>
      <color theme="1"/>
      <name val="Arial"/>
    </font>
    <font>
      <b/>
      <i/>
      <sz val="9.0"/>
      <color theme="1"/>
      <name val="Arial"/>
    </font>
    <font>
      <sz val="10.0"/>
      <color rgb="FFE2E2E2"/>
      <name val="Arial"/>
    </font>
    <font>
      <sz val="12.0"/>
      <color rgb="FF1F497D"/>
      <name val="Arial"/>
    </font>
    <font>
      <b/>
      <i/>
      <sz val="10.0"/>
      <color theme="1"/>
      <name val="Arial"/>
    </font>
    <font>
      <b/>
      <sz val="10.0"/>
      <color rgb="FFFF0000"/>
      <name val="Arial"/>
    </font>
    <font>
      <sz val="8.0"/>
      <color rgb="FF595959"/>
      <name val="Arial"/>
    </font>
    <font>
      <sz val="10.0"/>
      <color rgb="FF59595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2A1C7"/>
        <bgColor rgb="FFB2A1C7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</fills>
  <borders count="18">
    <border/>
    <border>
      <left/>
      <right/>
      <top/>
      <bottom/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FFFFFF"/>
      </right>
      <top style="thin">
        <color rgb="FF808080"/>
      </top>
      <bottom/>
    </border>
    <border>
      <left style="medium">
        <color rgb="FFA5A5A5"/>
      </left>
      <right/>
      <top style="medium">
        <color rgb="FFA5A5A5"/>
      </top>
      <bottom/>
    </border>
    <border>
      <left/>
      <right/>
      <top style="medium">
        <color rgb="FFA5A5A5"/>
      </top>
      <bottom/>
    </border>
    <border>
      <left/>
      <right style="thin">
        <color rgb="FFD8D8D8"/>
      </right>
      <top style="medium">
        <color rgb="FFA5A5A5"/>
      </top>
      <bottom/>
    </border>
    <border>
      <left style="thin">
        <color rgb="FF808080"/>
      </left>
      <right/>
      <top/>
      <bottom/>
    </border>
    <border>
      <left/>
      <right style="thin">
        <color rgb="FFFFFFFF"/>
      </right>
      <top/>
      <bottom/>
    </border>
    <border>
      <left style="medium">
        <color rgb="FFA5A5A5"/>
      </left>
      <right/>
      <top/>
      <bottom/>
    </border>
    <border>
      <left/>
      <right style="thin">
        <color rgb="FFD8D8D8"/>
      </right>
      <top/>
      <bottom/>
    </border>
    <border>
      <left style="medium">
        <color rgb="FFA5A5A5"/>
      </left>
      <right/>
      <top/>
      <bottom style="thin">
        <color rgb="FFD8D8D8"/>
      </bottom>
    </border>
    <border>
      <left/>
      <right/>
      <top/>
      <bottom style="thin">
        <color rgb="FFD8D8D8"/>
      </bottom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808080"/>
      </left>
      <right/>
      <top/>
      <bottom style="thin">
        <color rgb="FFFFFFFF"/>
      </bottom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0" fontId="3" numFmtId="0" xfId="0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2" fontId="4" numFmtId="0" xfId="0" applyBorder="1" applyFont="1"/>
    <xf borderId="0" fillId="0" fontId="5" numFmtId="0" xfId="0" applyFont="1"/>
    <xf borderId="0" fillId="0" fontId="6" numFmtId="0" xfId="0" applyFont="1"/>
    <xf borderId="1" fillId="2" fontId="4" numFmtId="0" xfId="0" applyAlignment="1" applyBorder="1" applyFont="1">
      <alignment horizontal="right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  <xf borderId="0" fillId="0" fontId="5" numFmtId="167" xfId="0" applyFont="1" applyNumberFormat="1"/>
    <xf borderId="0" fillId="0" fontId="5" numFmtId="9" xfId="0" applyFont="1" applyNumberFormat="1"/>
    <xf borderId="0" fillId="0" fontId="5" numFmtId="168" xfId="0" applyFont="1" applyNumberFormat="1"/>
    <xf borderId="0" fillId="0" fontId="5" numFmtId="164" xfId="0" applyAlignment="1" applyFont="1" applyNumberFormat="1">
      <alignment horizontal="left"/>
    </xf>
    <xf borderId="0" fillId="0" fontId="5" numFmtId="169" xfId="0" applyFont="1" applyNumberFormat="1"/>
    <xf borderId="0" fillId="0" fontId="5" numFmtId="170" xfId="0" applyFont="1" applyNumberFormat="1"/>
    <xf borderId="0" fillId="0" fontId="5" numFmtId="171" xfId="0" applyFont="1" applyNumberFormat="1"/>
    <xf borderId="0" fillId="0" fontId="5" numFmtId="2" xfId="0" applyFont="1" applyNumberFormat="1"/>
    <xf borderId="0" fillId="0" fontId="7" numFmtId="0" xfId="0" applyFont="1"/>
    <xf borderId="0" fillId="0" fontId="7" numFmtId="9" xfId="0" applyFont="1" applyNumberFormat="1"/>
    <xf borderId="0" fillId="0" fontId="5" numFmtId="172" xfId="0" applyFont="1" applyNumberFormat="1"/>
    <xf borderId="1" fillId="2" fontId="4" numFmtId="0" xfId="0" applyAlignment="1" applyBorder="1" applyFont="1">
      <alignment horizontal="left"/>
    </xf>
    <xf borderId="0" fillId="0" fontId="8" numFmtId="0" xfId="0" applyFont="1"/>
    <xf borderId="0" fillId="0" fontId="5" numFmtId="0" xfId="0" applyAlignment="1" applyFont="1">
      <alignment horizontal="right"/>
    </xf>
    <xf borderId="0" fillId="0" fontId="5" numFmtId="173" xfId="0" applyFont="1" applyNumberFormat="1"/>
    <xf borderId="1" fillId="2" fontId="9" numFmtId="0" xfId="0" applyBorder="1" applyFont="1"/>
    <xf borderId="1" fillId="2" fontId="4" numFmtId="9" xfId="0" applyBorder="1" applyFont="1" applyNumberFormat="1"/>
    <xf borderId="0" fillId="0" fontId="10" numFmtId="164" xfId="0" applyFont="1" applyNumberFormat="1"/>
    <xf borderId="0" fillId="0" fontId="10" numFmtId="166" xfId="0" applyFont="1" applyNumberFormat="1"/>
    <xf borderId="0" fillId="0" fontId="10" numFmtId="167" xfId="0" applyFont="1" applyNumberFormat="1"/>
    <xf borderId="1" fillId="2" fontId="9" numFmtId="0" xfId="0" applyAlignment="1" applyBorder="1" applyFont="1">
      <alignment horizontal="right"/>
    </xf>
    <xf borderId="0" fillId="0" fontId="8" numFmtId="166" xfId="0" applyFont="1" applyNumberFormat="1"/>
    <xf borderId="1" fillId="7" fontId="5" numFmtId="0" xfId="0" applyBorder="1" applyFill="1" applyFont="1"/>
    <xf borderId="1" fillId="7" fontId="11" numFmtId="0" xfId="0" applyAlignment="1" applyBorder="1" applyFont="1">
      <alignment horizontal="left" vertical="center"/>
    </xf>
    <xf borderId="1" fillId="7" fontId="12" numFmtId="0" xfId="0" applyAlignment="1" applyBorder="1" applyFont="1">
      <alignment horizontal="left"/>
    </xf>
    <xf borderId="1" fillId="7" fontId="13" numFmtId="0" xfId="0" applyBorder="1" applyFont="1"/>
    <xf borderId="1" fillId="7" fontId="12" numFmtId="0" xfId="0" applyAlignment="1" applyBorder="1" applyFont="1">
      <alignment horizontal="center" vertical="center"/>
    </xf>
    <xf borderId="1" fillId="8" fontId="5" numFmtId="168" xfId="0" applyBorder="1" applyFill="1" applyFont="1" applyNumberFormat="1"/>
    <xf borderId="1" fillId="8" fontId="14" numFmtId="0" xfId="0" applyAlignment="1" applyBorder="1" applyFont="1">
      <alignment horizontal="left"/>
    </xf>
    <xf borderId="1" fillId="8" fontId="5" numFmtId="0" xfId="0" applyBorder="1" applyFont="1"/>
    <xf borderId="1" fillId="7" fontId="15" numFmtId="0" xfId="0" applyAlignment="1" applyBorder="1" applyFont="1">
      <alignment horizontal="left"/>
    </xf>
    <xf borderId="2" fillId="7" fontId="10" numFmtId="164" xfId="0" applyBorder="1" applyFont="1" applyNumberFormat="1"/>
    <xf borderId="3" fillId="7" fontId="10" numFmtId="164" xfId="0" applyBorder="1" applyFont="1" applyNumberFormat="1"/>
    <xf borderId="4" fillId="7" fontId="10" numFmtId="164" xfId="0" applyBorder="1" applyFont="1" applyNumberFormat="1"/>
    <xf borderId="5" fillId="7" fontId="16" numFmtId="0" xfId="0" applyBorder="1" applyFont="1"/>
    <xf borderId="6" fillId="7" fontId="5" numFmtId="0" xfId="0" applyBorder="1" applyFont="1"/>
    <xf borderId="7" fillId="7" fontId="17" numFmtId="9" xfId="0" applyBorder="1" applyFont="1" applyNumberFormat="1"/>
    <xf borderId="8" fillId="7" fontId="10" numFmtId="164" xfId="0" applyBorder="1" applyFont="1" applyNumberFormat="1"/>
    <xf borderId="1" fillId="7" fontId="10" numFmtId="164" xfId="0" applyBorder="1" applyFont="1" applyNumberFormat="1"/>
    <xf borderId="9" fillId="7" fontId="10" numFmtId="164" xfId="0" applyBorder="1" applyFont="1" applyNumberFormat="1"/>
    <xf borderId="10" fillId="7" fontId="16" numFmtId="0" xfId="0" applyBorder="1" applyFont="1"/>
    <xf borderId="11" fillId="7" fontId="17" numFmtId="9" xfId="0" applyBorder="1" applyFont="1" applyNumberFormat="1"/>
    <xf borderId="8" fillId="7" fontId="10" numFmtId="166" xfId="0" applyBorder="1" applyFont="1" applyNumberFormat="1"/>
    <xf borderId="1" fillId="7" fontId="10" numFmtId="166" xfId="0" applyBorder="1" applyFont="1" applyNumberFormat="1"/>
    <xf borderId="9" fillId="7" fontId="10" numFmtId="166" xfId="0" applyBorder="1" applyFont="1" applyNumberFormat="1"/>
    <xf borderId="8" fillId="7" fontId="10" numFmtId="167" xfId="0" applyBorder="1" applyFont="1" applyNumberFormat="1"/>
    <xf borderId="1" fillId="7" fontId="10" numFmtId="167" xfId="0" applyBorder="1" applyFont="1" applyNumberFormat="1"/>
    <xf borderId="9" fillId="7" fontId="10" numFmtId="167" xfId="0" applyBorder="1" applyFont="1" applyNumberFormat="1"/>
    <xf borderId="1" fillId="7" fontId="6" numFmtId="0" xfId="0" applyBorder="1" applyFont="1"/>
    <xf borderId="11" fillId="7" fontId="18" numFmtId="9" xfId="0" applyBorder="1" applyFont="1" applyNumberFormat="1"/>
    <xf borderId="12" fillId="7" fontId="16" numFmtId="0" xfId="0" applyBorder="1" applyFont="1"/>
    <xf borderId="13" fillId="7" fontId="6" numFmtId="0" xfId="0" applyBorder="1" applyFont="1"/>
    <xf borderId="14" fillId="7" fontId="18" numFmtId="9" xfId="0" applyBorder="1" applyFont="1" applyNumberFormat="1"/>
    <xf borderId="1" fillId="7" fontId="19" numFmtId="0" xfId="0" applyBorder="1" applyFont="1"/>
    <xf borderId="15" fillId="7" fontId="10" numFmtId="167" xfId="0" applyBorder="1" applyFont="1" applyNumberFormat="1"/>
    <xf borderId="16" fillId="7" fontId="10" numFmtId="167" xfId="0" applyBorder="1" applyFont="1" applyNumberFormat="1"/>
    <xf borderId="17" fillId="7" fontId="10" numFmtId="167" xfId="0" applyBorder="1" applyFont="1" applyNumberFormat="1"/>
    <xf borderId="1" fillId="7" fontId="20" numFmtId="0" xfId="0" applyAlignment="1" applyBorder="1" applyFont="1">
      <alignment horizontal="left"/>
    </xf>
    <xf borderId="1" fillId="7" fontId="20" numFmtId="0" xfId="0" applyBorder="1" applyFont="1"/>
    <xf borderId="7" fillId="7" fontId="16" numFmtId="173" xfId="0" applyBorder="1" applyFont="1" applyNumberFormat="1"/>
    <xf borderId="11" fillId="7" fontId="16" numFmtId="173" xfId="0" applyBorder="1" applyFont="1" applyNumberFormat="1"/>
    <xf borderId="10" fillId="7" fontId="21" numFmtId="0" xfId="0" applyBorder="1" applyFont="1"/>
    <xf borderId="11" fillId="7" fontId="21" numFmtId="173" xfId="0" applyBorder="1" applyFont="1" applyNumberFormat="1"/>
    <xf borderId="12" fillId="7" fontId="21" numFmtId="0" xfId="0" applyBorder="1" applyFont="1"/>
    <xf borderId="14" fillId="7" fontId="21" numFmtId="173" xfId="0" applyBorder="1" applyFont="1" applyNumberFormat="1"/>
    <xf borderId="1" fillId="7" fontId="22" numFmtId="0" xfId="0" applyBorder="1" applyFont="1"/>
    <xf borderId="1" fillId="7" fontId="23" numFmtId="0" xfId="0" applyAlignment="1" applyBorder="1" applyFont="1">
      <alignment horizontal="left"/>
    </xf>
    <xf borderId="1" fillId="7" fontId="2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74784512882634"/>
          <c:y val="0.056074766355140186"/>
          <c:w val="0.9388564816971843"/>
          <c:h val="0.9065420560747663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Calcs!$B$2:$G$2</c:f>
            </c:strRef>
          </c:cat>
          <c:val>
            <c:numRef>
              <c:f>Calcs!$B$3:$G$3</c:f>
              <c:numCache/>
            </c:numRef>
          </c:val>
        </c:ser>
        <c:axId val="131584393"/>
        <c:axId val="1654971911"/>
      </c:barChart>
      <c:lineChart>
        <c:varyColors val="0"/>
        <c:ser>
          <c:idx val="1"/>
          <c:order val="1"/>
          <c:tx>
            <c:v>Plan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Calcs!$B$2:$G$2</c:f>
            </c:strRef>
          </c:cat>
          <c:val>
            <c:numRef>
              <c:f>Calcs!$A$4:$G$4</c:f>
              <c:numCache/>
            </c:numRef>
          </c:val>
          <c:smooth val="0"/>
        </c:ser>
        <c:axId val="131584393"/>
        <c:axId val="1654971911"/>
      </c:lineChart>
      <c:catAx>
        <c:axId val="131584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971911"/>
      </c:catAx>
      <c:valAx>
        <c:axId val="1654971911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8439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586256263421618"/>
          <c:y val="0.04411780545512643"/>
          <c:w val="0.880185359605169"/>
          <c:h val="0.8781424196570462"/>
        </c:manualLayout>
      </c:layout>
      <c:barChart>
        <c:barDir val="col"/>
        <c:ser>
          <c:idx val="0"/>
          <c:order val="0"/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dLbls>
            <c:numFmt formatCode="#,##0" sourceLinked="0"/>
            <c:txPr>
              <a:bodyPr/>
              <a:lstStyle/>
              <a:p>
                <a:pPr lvl="0">
                  <a:defRPr b="1" i="0" sz="8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Calcs!$B$63:$B$67</c:f>
            </c:strRef>
          </c:cat>
          <c:val>
            <c:numRef>
              <c:f>Calcs!$C$63:$C$67</c:f>
              <c:numCache/>
            </c:numRef>
          </c:val>
        </c:ser>
        <c:axId val="1964764959"/>
        <c:axId val="1089492343"/>
      </c:barChart>
      <c:catAx>
        <c:axId val="1964764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492343"/>
      </c:catAx>
      <c:valAx>
        <c:axId val="1089492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76495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New Hires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Calcs!$B$45:$I$45</c:f>
            </c:strRef>
          </c:cat>
          <c:val>
            <c:numRef>
              <c:f>Calcs!$B$46:$I$46</c:f>
              <c:numCache/>
            </c:numRef>
          </c:val>
        </c:ser>
        <c:ser>
          <c:idx val="1"/>
          <c:order val="1"/>
          <c:tx>
            <c:v>Termination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Calcs!$B$45:$I$45</c:f>
            </c:strRef>
          </c:cat>
          <c:val>
            <c:numRef>
              <c:f>Calcs!$B$47:$I$47</c:f>
              <c:numCache/>
            </c:numRef>
          </c:val>
        </c:ser>
        <c:overlap val="100"/>
        <c:axId val="1609622437"/>
        <c:axId val="291056655"/>
      </c:barChart>
      <c:catAx>
        <c:axId val="1609622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91056655"/>
      </c:catAx>
      <c:valAx>
        <c:axId val="291056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0962243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Calcs!$C$83:$D$83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51374068895594"/>
          <c:y val="0.10232648002333042"/>
          <c:w val="0.8996762086982117"/>
          <c:h val="0.781693642461359"/>
        </c:manualLayout>
      </c:layout>
      <c:lineChart>
        <c:ser>
          <c:idx val="0"/>
          <c:order val="0"/>
          <c:tx>
            <c:v>CY</c:v>
          </c:tx>
          <c:spPr>
            <a:ln cmpd="sng" w="3810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Calcs!$C$86:$N$86</c:f>
            </c:strRef>
          </c:cat>
          <c:val>
            <c:numRef>
              <c:f>Calcs!$C$87:$N$87</c:f>
              <c:numCache/>
            </c:numRef>
          </c:val>
          <c:smooth val="1"/>
        </c:ser>
        <c:ser>
          <c:idx val="1"/>
          <c:order val="1"/>
          <c:tx>
            <c:v>PY</c:v>
          </c:tx>
          <c:spPr>
            <a:ln cmpd="sng" w="28575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Calcs!$C$86:$N$86</c:f>
            </c:strRef>
          </c:cat>
          <c:val>
            <c:numRef>
              <c:f>Calcs!$C$88:$N$88</c:f>
              <c:numCache/>
            </c:numRef>
          </c:val>
          <c:smooth val="1"/>
        </c:ser>
        <c:axId val="542866196"/>
        <c:axId val="1451793360"/>
      </c:lineChart>
      <c:catAx>
        <c:axId val="542866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51793360"/>
      </c:catAx>
      <c:valAx>
        <c:axId val="1451793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42866196"/>
        <c:majorUnit val="3.0"/>
      </c:valAx>
    </c:plotArea>
    <c:legend>
      <c:legendPos val="r"/>
      <c:layout>
        <c:manualLayout>
          <c:xMode val="edge"/>
          <c:yMode val="edge"/>
          <c:x val="0.09614737410160179"/>
          <c:y val="0.0042457713619130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jpg"/><Relationship Id="rId10" Type="http://schemas.openxmlformats.org/officeDocument/2006/relationships/image" Target="../media/image7.png"/><Relationship Id="rId13" Type="http://schemas.openxmlformats.org/officeDocument/2006/relationships/image" Target="../media/image5.png"/><Relationship Id="rId12" Type="http://schemas.openxmlformats.org/officeDocument/2006/relationships/image" Target="../media/image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9.png"/><Relationship Id="rId14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image" Target="../media/image8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31</xdr:row>
      <xdr:rowOff>47625</xdr:rowOff>
    </xdr:from>
    <xdr:ext cx="4914900" cy="1981200"/>
    <xdr:graphicFrame>
      <xdr:nvGraphicFramePr>
        <xdr:cNvPr id="171100456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21</xdr:row>
      <xdr:rowOff>9525</xdr:rowOff>
    </xdr:from>
    <xdr:ext cx="2095500" cy="1485900"/>
    <xdr:graphicFrame>
      <xdr:nvGraphicFramePr>
        <xdr:cNvPr id="17333400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161925</xdr:colOff>
      <xdr:row>10</xdr:row>
      <xdr:rowOff>57150</xdr:rowOff>
    </xdr:from>
    <xdr:ext cx="4962525" cy="2657475"/>
    <xdr:graphicFrame>
      <xdr:nvGraphicFramePr>
        <xdr:cNvPr id="18853531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581025</xdr:colOff>
      <xdr:row>30</xdr:row>
      <xdr:rowOff>9525</xdr:rowOff>
    </xdr:from>
    <xdr:ext cx="3543300" cy="2305050"/>
    <xdr:graphicFrame>
      <xdr:nvGraphicFramePr>
        <xdr:cNvPr id="46430379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133350</xdr:colOff>
      <xdr:row>30</xdr:row>
      <xdr:rowOff>104775</xdr:rowOff>
    </xdr:from>
    <xdr:ext cx="4848225" cy="2114550"/>
    <xdr:graphicFrame>
      <xdr:nvGraphicFramePr>
        <xdr:cNvPr id="106758668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38100</xdr:colOff>
      <xdr:row>31</xdr:row>
      <xdr:rowOff>76200</xdr:rowOff>
    </xdr:from>
    <xdr:ext cx="2324100" cy="266700"/>
    <xdr:sp>
      <xdr:nvSpPr>
        <xdr:cNvPr id="3" name="Shape 3"/>
        <xdr:cNvSpPr txBox="1"/>
      </xdr:nvSpPr>
      <xdr:spPr>
        <a:xfrm>
          <a:off x="4188713" y="3651413"/>
          <a:ext cx="2314575" cy="257175"/>
        </a:xfrm>
        <a:prstGeom prst="rect">
          <a:avLst/>
        </a:prstGeom>
        <a:noFill/>
        <a:ln>
          <a:noFill/>
        </a:ln>
        <a:effectLst>
          <a:outerShdw rotWithShape="0" algn="ctr" dir="2212194" dist="63500">
            <a:srgbClr val="808080">
              <a:alpha val="49803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Monthly Highlights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4</xdr:row>
      <xdr:rowOff>9525</xdr:rowOff>
    </xdr:from>
    <xdr:ext cx="5781675" cy="419100"/>
    <xdr:sp>
      <xdr:nvSpPr>
        <xdr:cNvPr id="4" name="Shape 4"/>
        <xdr:cNvSpPr txBox="1"/>
      </xdr:nvSpPr>
      <xdr:spPr>
        <a:xfrm>
          <a:off x="2456433" y="3571571"/>
          <a:ext cx="5779134" cy="416858"/>
        </a:xfrm>
        <a:prstGeom prst="rect">
          <a:avLst/>
        </a:prstGeom>
        <a:noFill/>
        <a:ln>
          <a:noFill/>
        </a:ln>
      </xdr:spPr>
      <xdr:txBody>
        <a:bodyPr anchorCtr="0" anchor="ctr" bIns="27425" lIns="27425" spcFirstLastPara="1" rIns="27425" wrap="square" tIns="27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17365D"/>
              </a:solidFill>
              <a:latin typeface="Arial"/>
              <a:ea typeface="Arial"/>
              <a:cs typeface="Arial"/>
              <a:sym typeface="Arial"/>
            </a:rPr>
            <a:t>Banking Highlights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8</xdr:row>
      <xdr:rowOff>123825</xdr:rowOff>
    </xdr:from>
    <xdr:ext cx="2638425" cy="257175"/>
    <xdr:sp>
      <xdr:nvSpPr>
        <xdr:cNvPr id="5" name="Shape 5"/>
        <xdr:cNvSpPr txBox="1"/>
      </xdr:nvSpPr>
      <xdr:spPr>
        <a:xfrm>
          <a:off x="4031550" y="3651413"/>
          <a:ext cx="2628900" cy="257175"/>
        </a:xfrm>
        <a:prstGeom prst="rect">
          <a:avLst/>
        </a:prstGeom>
        <a:noFill/>
        <a:ln>
          <a:noFill/>
        </a:ln>
        <a:effectLst>
          <a:outerShdw rotWithShape="0" algn="ctr" dir="2212194" dist="63500">
            <a:srgbClr val="808080">
              <a:alpha val="49803"/>
            </a:srgbClr>
          </a:outerShdw>
        </a:effectLst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Market Share</a:t>
          </a:r>
          <a:endParaRPr sz="1400"/>
        </a:p>
      </xdr:txBody>
    </xdr:sp>
    <xdr:clientData fLocksWithSheet="0"/>
  </xdr:oneCellAnchor>
  <xdr:oneCellAnchor>
    <xdr:from>
      <xdr:col>1</xdr:col>
      <xdr:colOff>85725</xdr:colOff>
      <xdr:row>29</xdr:row>
      <xdr:rowOff>133350</xdr:rowOff>
    </xdr:from>
    <xdr:ext cx="695325" cy="171450"/>
    <xdr:sp>
      <xdr:nvSpPr>
        <xdr:cNvPr id="6" name="Shape 6"/>
        <xdr:cNvSpPr txBox="1"/>
      </xdr:nvSpPr>
      <xdr:spPr>
        <a:xfrm>
          <a:off x="5003100" y="3699038"/>
          <a:ext cx="685800" cy="161925"/>
        </a:xfrm>
        <a:prstGeom prst="rect">
          <a:avLst/>
        </a:prstGeom>
        <a:noFill/>
        <a:ln cap="flat" cmpd="sng" w="9525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Prior Yr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400050</xdr:colOff>
      <xdr:row>21</xdr:row>
      <xdr:rowOff>114300</xdr:rowOff>
    </xdr:from>
    <xdr:ext cx="238125" cy="1495425"/>
    <xdr:sp>
      <xdr:nvSpPr>
        <xdr:cNvPr id="7" name="Shape 7"/>
        <xdr:cNvSpPr txBox="1"/>
      </xdr:nvSpPr>
      <xdr:spPr>
        <a:xfrm rot="-5400000">
          <a:off x="4603050" y="3665700"/>
          <a:ext cx="1485900" cy="228600"/>
        </a:xfrm>
        <a:prstGeom prst="rect">
          <a:avLst/>
        </a:prstGeom>
        <a:noFill/>
        <a:ln cap="flat" cmpd="sng" w="9525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366092"/>
              </a:solidFill>
            </a:rPr>
            <a:t>FTEs</a:t>
          </a:r>
          <a:endParaRPr sz="1400"/>
        </a:p>
      </xdr:txBody>
    </xdr:sp>
    <xdr:clientData fLocksWithSheet="0"/>
  </xdr:oneCellAnchor>
  <xdr:oneCellAnchor>
    <xdr:from>
      <xdr:col>2</xdr:col>
      <xdr:colOff>742950</xdr:colOff>
      <xdr:row>29</xdr:row>
      <xdr:rowOff>133350</xdr:rowOff>
    </xdr:from>
    <xdr:ext cx="895350" cy="171450"/>
    <xdr:sp>
      <xdr:nvSpPr>
        <xdr:cNvPr id="8" name="Shape 8"/>
        <xdr:cNvSpPr txBox="1"/>
      </xdr:nvSpPr>
      <xdr:spPr>
        <a:xfrm>
          <a:off x="4903088" y="3699038"/>
          <a:ext cx="885825" cy="161925"/>
        </a:xfrm>
        <a:prstGeom prst="rect">
          <a:avLst/>
        </a:prstGeom>
        <a:noFill/>
        <a:ln cap="flat" cmpd="sng" w="9525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Forecast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123825</xdr:colOff>
      <xdr:row>29</xdr:row>
      <xdr:rowOff>133350</xdr:rowOff>
    </xdr:from>
    <xdr:ext cx="600075" cy="161925"/>
    <xdr:sp>
      <xdr:nvSpPr>
        <xdr:cNvPr id="9" name="Shape 9"/>
        <xdr:cNvSpPr txBox="1"/>
      </xdr:nvSpPr>
      <xdr:spPr>
        <a:xfrm>
          <a:off x="5050725" y="3699038"/>
          <a:ext cx="590550" cy="161925"/>
        </a:xfrm>
        <a:prstGeom prst="rect">
          <a:avLst/>
        </a:prstGeom>
        <a:noFill/>
        <a:ln cap="flat" cmpd="sng" w="9525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Current Yr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304800</xdr:colOff>
      <xdr:row>20</xdr:row>
      <xdr:rowOff>38100</xdr:rowOff>
    </xdr:from>
    <xdr:ext cx="409575" cy="171450"/>
    <xdr:sp>
      <xdr:nvSpPr>
        <xdr:cNvPr id="10" name="Shape 10"/>
        <xdr:cNvSpPr txBox="1"/>
      </xdr:nvSpPr>
      <xdr:spPr>
        <a:xfrm>
          <a:off x="5145975" y="3699038"/>
          <a:ext cx="400050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Act</a:t>
          </a:r>
          <a:endParaRPr sz="1400"/>
        </a:p>
      </xdr:txBody>
    </xdr:sp>
    <xdr:clientData fLocksWithSheet="0"/>
  </xdr:oneCellAnchor>
  <xdr:oneCellAnchor>
    <xdr:from>
      <xdr:col>2</xdr:col>
      <xdr:colOff>466725</xdr:colOff>
      <xdr:row>20</xdr:row>
      <xdr:rowOff>38100</xdr:rowOff>
    </xdr:from>
    <xdr:ext cx="323850" cy="171450"/>
    <xdr:sp>
      <xdr:nvSpPr>
        <xdr:cNvPr id="11" name="Shape 11"/>
        <xdr:cNvSpPr txBox="1"/>
      </xdr:nvSpPr>
      <xdr:spPr>
        <a:xfrm>
          <a:off x="5188838" y="3699038"/>
          <a:ext cx="314325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Bud</a:t>
          </a:r>
          <a:endParaRPr sz="1400"/>
        </a:p>
      </xdr:txBody>
    </xdr:sp>
    <xdr:clientData fLocksWithSheet="0"/>
  </xdr:oneCellAnchor>
  <xdr:oneCellAnchor>
    <xdr:from>
      <xdr:col>3</xdr:col>
      <xdr:colOff>266700</xdr:colOff>
      <xdr:row>20</xdr:row>
      <xdr:rowOff>28575</xdr:rowOff>
    </xdr:from>
    <xdr:ext cx="333375" cy="171450"/>
    <xdr:sp>
      <xdr:nvSpPr>
        <xdr:cNvPr id="12" name="Shape 12"/>
        <xdr:cNvSpPr txBox="1"/>
      </xdr:nvSpPr>
      <xdr:spPr>
        <a:xfrm>
          <a:off x="5184075" y="3694275"/>
          <a:ext cx="323850" cy="17145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Fct</a:t>
          </a:r>
          <a:endParaRPr sz="1400"/>
        </a:p>
      </xdr:txBody>
    </xdr:sp>
    <xdr:clientData fLocksWithSheet="0"/>
  </xdr:oneCellAnchor>
  <xdr:oneCellAnchor>
    <xdr:from>
      <xdr:col>6</xdr:col>
      <xdr:colOff>495300</xdr:colOff>
      <xdr:row>35</xdr:row>
      <xdr:rowOff>114300</xdr:rowOff>
    </xdr:from>
    <xdr:ext cx="571500" cy="295275"/>
    <xdr:sp>
      <xdr:nvSpPr>
        <xdr:cNvPr id="13" name="Shape 13"/>
        <xdr:cNvSpPr txBox="1"/>
      </xdr:nvSpPr>
      <xdr:spPr>
        <a:xfrm>
          <a:off x="5065013" y="3637125"/>
          <a:ext cx="5619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6</xdr:col>
      <xdr:colOff>66675</xdr:colOff>
      <xdr:row>35</xdr:row>
      <xdr:rowOff>123825</xdr:rowOff>
    </xdr:from>
    <xdr:ext cx="476250" cy="295275"/>
    <xdr:sp>
      <xdr:nvSpPr>
        <xdr:cNvPr id="14" name="Shape 14"/>
        <xdr:cNvSpPr txBox="1"/>
      </xdr:nvSpPr>
      <xdr:spPr>
        <a:xfrm>
          <a:off x="5112638" y="3637125"/>
          <a:ext cx="4667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3F3F3F"/>
            </a:solidFill>
          </a:endParaRPr>
        </a:p>
      </xdr:txBody>
    </xdr:sp>
    <xdr:clientData fLocksWithSheet="0"/>
  </xdr:oneCellAnchor>
  <xdr:oneCellAnchor>
    <xdr:from>
      <xdr:col>4</xdr:col>
      <xdr:colOff>390525</xdr:colOff>
      <xdr:row>42</xdr:row>
      <xdr:rowOff>57150</xdr:rowOff>
    </xdr:from>
    <xdr:ext cx="133350" cy="123825"/>
    <xdr:sp>
      <xdr:nvSpPr>
        <xdr:cNvPr id="15" name="Shape 15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538CD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466725</xdr:colOff>
      <xdr:row>42</xdr:row>
      <xdr:rowOff>9525</xdr:rowOff>
    </xdr:from>
    <xdr:ext cx="371475" cy="276225"/>
    <xdr:sp>
      <xdr:nvSpPr>
        <xdr:cNvPr id="16" name="Shape 16"/>
        <xdr:cNvSpPr txBox="1"/>
      </xdr:nvSpPr>
      <xdr:spPr>
        <a:xfrm>
          <a:off x="5165025" y="3646650"/>
          <a:ext cx="3619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CY</a:t>
          </a:r>
          <a:endParaRPr sz="1400"/>
        </a:p>
      </xdr:txBody>
    </xdr:sp>
    <xdr:clientData fLocksWithSheet="0"/>
  </xdr:oneCellAnchor>
  <xdr:oneCellAnchor>
    <xdr:from>
      <xdr:col>7</xdr:col>
      <xdr:colOff>76200</xdr:colOff>
      <xdr:row>42</xdr:row>
      <xdr:rowOff>76200</xdr:rowOff>
    </xdr:from>
    <xdr:ext cx="133350" cy="133350"/>
    <xdr:sp>
      <xdr:nvSpPr>
        <xdr:cNvPr id="17" name="Shape 17"/>
        <xdr:cNvSpPr/>
      </xdr:nvSpPr>
      <xdr:spPr>
        <a:xfrm>
          <a:off x="5284088" y="3718088"/>
          <a:ext cx="123825" cy="1238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171450</xdr:colOff>
      <xdr:row>42</xdr:row>
      <xdr:rowOff>28575</xdr:rowOff>
    </xdr:from>
    <xdr:ext cx="371475" cy="276225"/>
    <xdr:sp>
      <xdr:nvSpPr>
        <xdr:cNvPr id="18" name="Shape 18"/>
        <xdr:cNvSpPr txBox="1"/>
      </xdr:nvSpPr>
      <xdr:spPr>
        <a:xfrm>
          <a:off x="5165025" y="3646650"/>
          <a:ext cx="3619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3F3F3F"/>
              </a:solidFill>
              <a:latin typeface="Arial"/>
              <a:ea typeface="Arial"/>
              <a:cs typeface="Arial"/>
              <a:sym typeface="Arial"/>
            </a:rPr>
            <a:t>PY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9</xdr:row>
      <xdr:rowOff>190500</xdr:rowOff>
    </xdr:from>
    <xdr:ext cx="2857500" cy="27336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9</xdr:row>
      <xdr:rowOff>19050</xdr:rowOff>
    </xdr:from>
    <xdr:ext cx="952500" cy="1619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43</xdr:row>
      <xdr:rowOff>142875</xdr:rowOff>
    </xdr:from>
    <xdr:ext cx="15592425" cy="10477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8</xdr:row>
      <xdr:rowOff>152400</xdr:rowOff>
    </xdr:from>
    <xdr:ext cx="85725" cy="569595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44</xdr:row>
      <xdr:rowOff>95250</xdr:rowOff>
    </xdr:from>
    <xdr:ext cx="15725775" cy="43815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31</xdr:row>
      <xdr:rowOff>38100</xdr:rowOff>
    </xdr:from>
    <xdr:ext cx="2400300" cy="361950"/>
    <xdr:pic>
      <xdr:nvPicPr>
        <xdr:cNvPr descr="wave"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3</xdr:row>
      <xdr:rowOff>9525</xdr:rowOff>
    </xdr:from>
    <xdr:ext cx="13687425" cy="628650"/>
    <xdr:pic>
      <xdr:nvPicPr>
        <xdr:cNvPr descr="wave"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8</xdr:row>
      <xdr:rowOff>114300</xdr:rowOff>
    </xdr:from>
    <xdr:ext cx="2428875" cy="361950"/>
    <xdr:pic>
      <xdr:nvPicPr>
        <xdr:cNvPr descr="wave" id="0" name="image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971550</xdr:colOff>
      <xdr:row>20</xdr:row>
      <xdr:rowOff>114300</xdr:rowOff>
    </xdr:from>
    <xdr:ext cx="428625" cy="476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</xdr:row>
      <xdr:rowOff>114300</xdr:rowOff>
    </xdr:from>
    <xdr:ext cx="266700" cy="5715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20</xdr:row>
      <xdr:rowOff>114300</xdr:rowOff>
    </xdr:from>
    <xdr:ext cx="266700" cy="571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28</xdr:row>
      <xdr:rowOff>19050</xdr:rowOff>
    </xdr:from>
    <xdr:ext cx="12496800" cy="6667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7</xdr:row>
      <xdr:rowOff>142875</xdr:rowOff>
    </xdr:from>
    <xdr:ext cx="15592425" cy="10477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9525</xdr:colOff>
      <xdr:row>8</xdr:row>
      <xdr:rowOff>38100</xdr:rowOff>
    </xdr:from>
    <xdr:ext cx="95250" cy="592455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</xdr:row>
      <xdr:rowOff>57150</xdr:rowOff>
    </xdr:from>
    <xdr:ext cx="95250" cy="592455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showGridLines="0" workbookViewId="0"/>
  </sheetViews>
  <sheetFormatPr customHeight="1" defaultColWidth="12.63" defaultRowHeight="15.0"/>
  <cols>
    <col customWidth="1" min="1" max="2" width="8.63"/>
    <col customWidth="1" min="3" max="3" width="17.38"/>
    <col customWidth="1" min="4" max="4" width="32.25"/>
    <col customWidth="1" min="5" max="5" width="9.25"/>
    <col customWidth="1" min="6" max="26" width="8.63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</row>
    <row r="2" ht="12.75" customHeight="1">
      <c r="B2" s="2" t="s">
        <v>4</v>
      </c>
      <c r="C2" s="3" t="s">
        <v>5</v>
      </c>
      <c r="D2" s="3" t="s">
        <v>6</v>
      </c>
      <c r="E2" s="4" t="str">
        <f t="shared" ref="E2:E14" si="1">HYPERLINK("#"&amp;B2&amp;"!A2",B2)</f>
        <v>Model</v>
      </c>
    </row>
    <row r="3" ht="12.75" customHeight="1">
      <c r="B3" s="2" t="s">
        <v>7</v>
      </c>
      <c r="C3" s="3" t="s">
        <v>5</v>
      </c>
      <c r="D3" s="3" t="s">
        <v>8</v>
      </c>
      <c r="E3" s="4" t="str">
        <f t="shared" si="1"/>
        <v>List</v>
      </c>
    </row>
    <row r="4" ht="12.75" customHeight="1">
      <c r="B4" s="1" t="s">
        <v>9</v>
      </c>
      <c r="C4" s="3" t="s">
        <v>10</v>
      </c>
      <c r="D4" s="3" t="s">
        <v>11</v>
      </c>
      <c r="E4" s="4" t="str">
        <f t="shared" si="1"/>
        <v>Data</v>
      </c>
    </row>
    <row r="5" ht="12.75" customHeight="1">
      <c r="B5" s="1" t="s">
        <v>12</v>
      </c>
      <c r="C5" s="3" t="s">
        <v>10</v>
      </c>
      <c r="D5" s="3" t="s">
        <v>13</v>
      </c>
      <c r="E5" s="4" t="str">
        <f t="shared" si="1"/>
        <v>Plan</v>
      </c>
    </row>
    <row r="6" ht="12.75" customHeight="1">
      <c r="B6" s="1" t="s">
        <v>14</v>
      </c>
      <c r="C6" s="3" t="s">
        <v>10</v>
      </c>
      <c r="D6" s="3" t="s">
        <v>15</v>
      </c>
      <c r="E6" s="4" t="str">
        <f t="shared" si="1"/>
        <v>Cust</v>
      </c>
    </row>
    <row r="7" ht="12.75" customHeight="1">
      <c r="B7" s="1" t="s">
        <v>16</v>
      </c>
      <c r="C7" s="3" t="s">
        <v>10</v>
      </c>
      <c r="D7" s="3" t="s">
        <v>17</v>
      </c>
      <c r="E7" s="4" t="str">
        <f t="shared" si="1"/>
        <v>Hires</v>
      </c>
    </row>
    <row r="8" ht="12.75" customHeight="1">
      <c r="B8" s="1" t="s">
        <v>18</v>
      </c>
      <c r="C8" s="3" t="s">
        <v>10</v>
      </c>
      <c r="D8" s="3" t="s">
        <v>19</v>
      </c>
      <c r="E8" s="4" t="str">
        <f t="shared" si="1"/>
        <v>Sick</v>
      </c>
    </row>
    <row r="9" ht="12.75" customHeight="1">
      <c r="B9" s="1" t="s">
        <v>20</v>
      </c>
      <c r="C9" s="3" t="s">
        <v>10</v>
      </c>
      <c r="D9" s="3" t="s">
        <v>21</v>
      </c>
      <c r="E9" s="4" t="str">
        <f t="shared" si="1"/>
        <v>FTE</v>
      </c>
    </row>
    <row r="10" ht="12.75" customHeight="1">
      <c r="B10" s="1" t="s">
        <v>22</v>
      </c>
      <c r="C10" s="3" t="s">
        <v>10</v>
      </c>
      <c r="D10" s="3" t="s">
        <v>23</v>
      </c>
      <c r="E10" s="4" t="str">
        <f t="shared" si="1"/>
        <v>General</v>
      </c>
    </row>
    <row r="11" ht="12.75" customHeight="1">
      <c r="B11" s="1" t="s">
        <v>24</v>
      </c>
      <c r="C11" s="3" t="s">
        <v>10</v>
      </c>
      <c r="D11" s="3" t="s">
        <v>25</v>
      </c>
      <c r="E11" s="4" t="str">
        <f t="shared" si="1"/>
        <v>Other</v>
      </c>
    </row>
    <row r="12" ht="12.75" customHeight="1">
      <c r="B12" s="5" t="s">
        <v>26</v>
      </c>
      <c r="C12" s="3" t="s">
        <v>27</v>
      </c>
      <c r="D12" s="3" t="s">
        <v>28</v>
      </c>
      <c r="E12" s="4" t="str">
        <f t="shared" si="1"/>
        <v>Calcs</v>
      </c>
    </row>
    <row r="13" ht="12.75" customHeight="1">
      <c r="B13" s="6" t="s">
        <v>29</v>
      </c>
      <c r="C13" s="3" t="s">
        <v>30</v>
      </c>
      <c r="D13" s="3" t="s">
        <v>31</v>
      </c>
      <c r="E13" s="4" t="str">
        <f t="shared" si="1"/>
        <v>Check</v>
      </c>
    </row>
    <row r="14" ht="12.75" customHeight="1">
      <c r="B14" s="7" t="s">
        <v>32</v>
      </c>
      <c r="C14" s="3" t="s">
        <v>33</v>
      </c>
      <c r="D14" s="3" t="s">
        <v>34</v>
      </c>
      <c r="E14" s="4" t="str">
        <f t="shared" si="1"/>
        <v>Summary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3.88"/>
    <col customWidth="1" min="3" max="3" width="4.75"/>
    <col customWidth="1" min="4" max="4" width="9.0"/>
    <col customWidth="1" min="5" max="5" width="8.63"/>
    <col customWidth="1" min="6" max="6" width="14.13"/>
    <col customWidth="1" min="7" max="7" width="4.75"/>
    <col customWidth="1" min="8" max="8" width="11.88"/>
    <col customWidth="1" min="9" max="26" width="8.63"/>
  </cols>
  <sheetData>
    <row r="1" ht="12.75" customHeight="1">
      <c r="A1" s="8" t="s">
        <v>35</v>
      </c>
      <c r="B1" s="8" t="s">
        <v>36</v>
      </c>
      <c r="C1" s="9"/>
      <c r="D1" s="8" t="s">
        <v>16</v>
      </c>
      <c r="E1" s="8" t="s">
        <v>37</v>
      </c>
      <c r="F1" s="8" t="s">
        <v>38</v>
      </c>
      <c r="G1" s="9"/>
      <c r="H1" s="8" t="s">
        <v>39</v>
      </c>
    </row>
    <row r="2" ht="12.75" customHeight="1">
      <c r="A2" s="9" t="s">
        <v>40</v>
      </c>
      <c r="B2" s="9">
        <f>Summary!B5</f>
        <v>3</v>
      </c>
      <c r="D2" s="9" t="s">
        <v>41</v>
      </c>
      <c r="E2" s="9" t="s">
        <v>42</v>
      </c>
      <c r="F2" s="9" t="s">
        <v>43</v>
      </c>
      <c r="H2" s="9" t="s">
        <v>44</v>
      </c>
    </row>
    <row r="3" ht="12.75" customHeight="1">
      <c r="A3" s="9" t="s">
        <v>45</v>
      </c>
      <c r="B3" s="9" t="s">
        <v>46</v>
      </c>
      <c r="D3" s="9" t="s">
        <v>47</v>
      </c>
      <c r="E3" s="9" t="s">
        <v>48</v>
      </c>
      <c r="F3" s="9" t="s">
        <v>49</v>
      </c>
      <c r="H3" s="9" t="s">
        <v>50</v>
      </c>
    </row>
    <row r="4" ht="12.75" customHeight="1">
      <c r="A4" s="9" t="s">
        <v>51</v>
      </c>
      <c r="B4" s="9">
        <v>2.0</v>
      </c>
      <c r="D4" s="9" t="s">
        <v>42</v>
      </c>
      <c r="E4" s="9" t="s">
        <v>52</v>
      </c>
      <c r="F4" s="9" t="s">
        <v>53</v>
      </c>
    </row>
    <row r="5" ht="12.75" customHeight="1">
      <c r="A5" s="9" t="s">
        <v>54</v>
      </c>
      <c r="B5" s="10" t="str">
        <f>OFFSET(F1,B4,0,1,1)</f>
        <v>Scotland</v>
      </c>
      <c r="D5" s="9" t="s">
        <v>48</v>
      </c>
      <c r="E5" s="9" t="s">
        <v>55</v>
      </c>
      <c r="F5" s="9" t="s">
        <v>56</v>
      </c>
    </row>
    <row r="6" ht="12.75" customHeight="1">
      <c r="D6" s="9" t="s">
        <v>52</v>
      </c>
      <c r="E6" s="9" t="s">
        <v>57</v>
      </c>
    </row>
    <row r="7" ht="12.75" customHeight="1">
      <c r="D7" s="9" t="s">
        <v>55</v>
      </c>
      <c r="E7" s="9" t="s">
        <v>58</v>
      </c>
    </row>
    <row r="8" ht="12.75" customHeight="1">
      <c r="D8" s="9" t="s">
        <v>57</v>
      </c>
      <c r="E8" s="9" t="s">
        <v>59</v>
      </c>
    </row>
    <row r="9" ht="12.75" customHeight="1">
      <c r="D9" s="9" t="s">
        <v>58</v>
      </c>
      <c r="E9" s="9" t="s">
        <v>60</v>
      </c>
    </row>
    <row r="10" ht="12.75" customHeight="1">
      <c r="D10" s="9" t="s">
        <v>59</v>
      </c>
      <c r="E10" s="9" t="s">
        <v>61</v>
      </c>
    </row>
    <row r="11" ht="12.75" customHeight="1">
      <c r="D11" s="9" t="s">
        <v>60</v>
      </c>
      <c r="E11" s="9"/>
    </row>
    <row r="12" ht="12.75" customHeight="1">
      <c r="D12" s="9" t="s">
        <v>61</v>
      </c>
      <c r="E12" s="9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33.25"/>
    <col customWidth="1" min="3" max="3" width="10.88"/>
    <col customWidth="1" min="4" max="4" width="10.25"/>
    <col customWidth="1" min="5" max="6" width="9.75"/>
    <col customWidth="1" min="7" max="7" width="10.38"/>
    <col customWidth="1" min="8" max="8" width="9.75"/>
    <col customWidth="1" min="9" max="9" width="11.38"/>
    <col customWidth="1" min="10" max="10" width="9.75"/>
    <col customWidth="1" min="11" max="12" width="12.25"/>
    <col customWidth="1" min="13" max="19" width="8.63"/>
    <col customWidth="1" min="20" max="20" width="10.25"/>
    <col customWidth="1" min="21" max="26" width="8.63"/>
  </cols>
  <sheetData>
    <row r="1" ht="12.75" customHeight="1">
      <c r="A1" s="8" t="s">
        <v>54</v>
      </c>
      <c r="B1" s="8" t="s">
        <v>62</v>
      </c>
      <c r="C1" s="11" t="str">
        <f>OFFSET(Lists!$E$1,COLUMN()-2,0,1,1)</f>
        <v>FY 12</v>
      </c>
      <c r="D1" s="11" t="str">
        <f>OFFSET(Lists!$E$1,COLUMN()-2,0,1,1)</f>
        <v>FY 13</v>
      </c>
      <c r="E1" s="11" t="str">
        <f>OFFSET(Lists!$E$1,COLUMN()-2,0,1,1)</f>
        <v>FY 14</v>
      </c>
      <c r="F1" s="11" t="str">
        <f>OFFSET(Lists!$E$1,COLUMN()-2,0,1,1)</f>
        <v>FY 15</v>
      </c>
      <c r="G1" s="11" t="str">
        <f>OFFSET(Lists!$E$1,COLUMN()-2,0,1,1)</f>
        <v>FY 16</v>
      </c>
      <c r="H1" s="11" t="str">
        <f>OFFSET(Lists!$E$1,COLUMN()-2,0,1,1)</f>
        <v>FY 17</v>
      </c>
      <c r="I1" s="11" t="str">
        <f>OFFSET(Lists!$E$1,COLUMN()-2,0,1,1)</f>
        <v>FY 18</v>
      </c>
      <c r="J1" s="11" t="str">
        <f>OFFSET(Lists!$E$1,COLUMN()-2,0,1,1)</f>
        <v>FY 19</v>
      </c>
      <c r="K1" s="11" t="str">
        <f>OFFSET(Lists!$E$1,COLUMN()-2,0,1,1)</f>
        <v>FY 20</v>
      </c>
    </row>
    <row r="2" ht="12.75" customHeight="1">
      <c r="A2" s="12" t="s">
        <v>43</v>
      </c>
      <c r="B2" s="12" t="s">
        <v>63</v>
      </c>
      <c r="C2" s="13">
        <v>7400.0</v>
      </c>
      <c r="D2" s="13">
        <v>8100.0</v>
      </c>
      <c r="E2" s="13">
        <v>8300.0</v>
      </c>
      <c r="F2" s="13">
        <v>9600.0</v>
      </c>
      <c r="G2" s="13">
        <v>10200.0</v>
      </c>
      <c r="H2" s="13">
        <v>10000.0</v>
      </c>
      <c r="I2" s="13">
        <v>10200.0</v>
      </c>
      <c r="J2" s="13">
        <v>10600.0</v>
      </c>
      <c r="K2" s="13">
        <v>10300.0</v>
      </c>
    </row>
    <row r="3" ht="12.75" customHeight="1">
      <c r="A3" s="12" t="s">
        <v>43</v>
      </c>
      <c r="B3" s="12" t="s">
        <v>64</v>
      </c>
      <c r="C3" s="13">
        <v>28900.0</v>
      </c>
      <c r="D3" s="13">
        <v>33569.0</v>
      </c>
      <c r="E3" s="13">
        <v>34511.0</v>
      </c>
      <c r="F3" s="13">
        <v>35678.0</v>
      </c>
      <c r="G3" s="13">
        <v>38976.0</v>
      </c>
      <c r="H3" s="13">
        <v>40014.0</v>
      </c>
      <c r="I3" s="13">
        <v>41017.5</v>
      </c>
      <c r="J3" s="13">
        <v>42521.875</v>
      </c>
      <c r="K3" s="13">
        <v>48152.34375</v>
      </c>
      <c r="L3" s="14"/>
      <c r="M3" s="14"/>
      <c r="N3" s="14"/>
    </row>
    <row r="4" ht="12.75" customHeight="1">
      <c r="A4" s="12" t="s">
        <v>43</v>
      </c>
      <c r="B4" s="12" t="s">
        <v>65</v>
      </c>
      <c r="C4" s="15">
        <v>3.1</v>
      </c>
      <c r="D4" s="15">
        <v>3.2</v>
      </c>
      <c r="E4" s="15">
        <v>3.35</v>
      </c>
      <c r="F4" s="15">
        <v>3.4</v>
      </c>
      <c r="G4" s="15">
        <v>3.45</v>
      </c>
      <c r="H4" s="15">
        <v>3.6</v>
      </c>
      <c r="I4" s="15">
        <v>4.5</v>
      </c>
      <c r="J4" s="15">
        <v>5.625</v>
      </c>
      <c r="K4" s="15">
        <v>7.03125</v>
      </c>
      <c r="L4" s="14"/>
      <c r="M4" s="14"/>
      <c r="N4" s="14"/>
    </row>
    <row r="5" ht="12.75" customHeight="1">
      <c r="A5" s="12" t="s">
        <v>43</v>
      </c>
      <c r="B5" s="12" t="s">
        <v>66</v>
      </c>
      <c r="C5" s="15">
        <v>0.97</v>
      </c>
      <c r="D5" s="15">
        <v>1.05</v>
      </c>
      <c r="E5" s="15">
        <v>1.11</v>
      </c>
      <c r="F5" s="15">
        <v>1.2</v>
      </c>
      <c r="G5" s="15">
        <v>1.23</v>
      </c>
      <c r="H5" s="15">
        <v>1.28</v>
      </c>
      <c r="I5" s="15">
        <v>1.6</v>
      </c>
      <c r="J5" s="15">
        <v>2.0</v>
      </c>
      <c r="K5" s="15">
        <v>2.5</v>
      </c>
      <c r="L5" s="14"/>
      <c r="M5" s="14"/>
      <c r="N5" s="14"/>
    </row>
    <row r="6" ht="12.75" customHeight="1">
      <c r="A6" s="12" t="s">
        <v>43</v>
      </c>
      <c r="B6" s="12" t="s">
        <v>67</v>
      </c>
      <c r="C6" s="16">
        <v>2.6</v>
      </c>
      <c r="D6" s="16">
        <v>2.4</v>
      </c>
      <c r="E6" s="16">
        <v>2.6</v>
      </c>
      <c r="F6" s="16">
        <v>2.5</v>
      </c>
      <c r="G6" s="16">
        <v>2.5</v>
      </c>
      <c r="H6" s="16">
        <v>2.6</v>
      </c>
      <c r="I6" s="16">
        <v>3.25</v>
      </c>
      <c r="J6" s="16">
        <v>4.0625</v>
      </c>
      <c r="K6" s="16">
        <v>5.078125</v>
      </c>
      <c r="L6" s="14"/>
      <c r="M6" s="14"/>
      <c r="N6" s="14"/>
    </row>
    <row r="7" ht="12.75" customHeight="1">
      <c r="A7" s="12" t="s">
        <v>43</v>
      </c>
      <c r="B7" s="12" t="s">
        <v>68</v>
      </c>
      <c r="C7" s="16">
        <v>23.4</v>
      </c>
      <c r="D7" s="16">
        <v>22.7</v>
      </c>
      <c r="E7" s="16">
        <v>26.8</v>
      </c>
      <c r="F7" s="16">
        <v>25.7</v>
      </c>
      <c r="G7" s="16">
        <v>27.6</v>
      </c>
      <c r="H7" s="16">
        <v>28.6</v>
      </c>
      <c r="I7" s="16">
        <v>30.75</v>
      </c>
      <c r="J7" s="16">
        <v>25.6875</v>
      </c>
      <c r="K7" s="16">
        <v>22.859375</v>
      </c>
      <c r="L7" s="14"/>
      <c r="M7" s="14"/>
      <c r="N7" s="14"/>
    </row>
    <row r="8" ht="12.75" customHeight="1">
      <c r="A8" s="12" t="s">
        <v>43</v>
      </c>
      <c r="B8" s="12" t="s">
        <v>69</v>
      </c>
      <c r="C8" s="16">
        <v>7.5</v>
      </c>
      <c r="D8" s="16">
        <v>7.8</v>
      </c>
      <c r="E8" s="16">
        <v>8.3</v>
      </c>
      <c r="F8" s="16">
        <v>8.3</v>
      </c>
      <c r="G8" s="16">
        <v>8.4</v>
      </c>
      <c r="H8" s="16">
        <v>8.7</v>
      </c>
      <c r="I8" s="16">
        <v>8.875</v>
      </c>
      <c r="J8" s="16">
        <v>9.0</v>
      </c>
      <c r="K8" s="16">
        <v>8.7</v>
      </c>
      <c r="L8" s="14"/>
      <c r="M8" s="14"/>
      <c r="N8" s="14"/>
    </row>
    <row r="9" ht="12.75" customHeight="1">
      <c r="A9" s="12" t="s">
        <v>43</v>
      </c>
      <c r="B9" s="12" t="s">
        <v>70</v>
      </c>
      <c r="C9" s="15">
        <v>0.84</v>
      </c>
      <c r="D9" s="15">
        <v>0.9</v>
      </c>
      <c r="E9" s="15">
        <v>0.85</v>
      </c>
      <c r="F9" s="15">
        <v>0.87</v>
      </c>
      <c r="G9" s="15">
        <v>0.84</v>
      </c>
      <c r="H9" s="15">
        <v>0.88</v>
      </c>
      <c r="I9" s="15">
        <v>1.1</v>
      </c>
      <c r="J9" s="15">
        <v>1.375</v>
      </c>
      <c r="K9" s="15">
        <v>1.71875</v>
      </c>
      <c r="L9" s="14"/>
      <c r="M9" s="14"/>
      <c r="N9" s="14"/>
    </row>
    <row r="10" ht="12.75" customHeight="1">
      <c r="A10" s="12" t="s">
        <v>43</v>
      </c>
      <c r="B10" s="12" t="s">
        <v>71</v>
      </c>
      <c r="C10" s="13">
        <v>440000.0</v>
      </c>
      <c r="D10" s="13">
        <v>465000.0</v>
      </c>
      <c r="E10" s="13">
        <v>480000.0</v>
      </c>
      <c r="F10" s="13">
        <v>520000.0</v>
      </c>
      <c r="G10" s="13">
        <v>550000.0</v>
      </c>
      <c r="H10" s="13">
        <v>620000.0</v>
      </c>
      <c r="I10" s="13">
        <v>675000.0</v>
      </c>
      <c r="J10" s="13">
        <v>698750.0</v>
      </c>
      <c r="K10" s="13">
        <v>668750.0</v>
      </c>
      <c r="L10" s="14"/>
      <c r="M10" s="14"/>
      <c r="N10" s="14"/>
    </row>
    <row r="11" ht="12.75" customHeight="1">
      <c r="A11" s="12" t="s">
        <v>43</v>
      </c>
      <c r="B11" s="12" t="s">
        <v>72</v>
      </c>
      <c r="C11" s="13">
        <v>255923.0</v>
      </c>
      <c r="D11" s="13">
        <v>267900.0</v>
      </c>
      <c r="E11" s="13">
        <v>278900.0</v>
      </c>
      <c r="F11" s="13">
        <v>298765.0</v>
      </c>
      <c r="G11" s="13">
        <v>312900.0</v>
      </c>
      <c r="H11" s="13">
        <v>320984.0</v>
      </c>
      <c r="I11" s="13">
        <v>301230.0</v>
      </c>
      <c r="J11" s="13">
        <v>298765.0</v>
      </c>
      <c r="K11" s="13">
        <v>326921.875</v>
      </c>
      <c r="L11" s="14"/>
      <c r="M11" s="14"/>
      <c r="N11" s="14"/>
    </row>
    <row r="12" ht="12.75" customHeight="1">
      <c r="A12" s="12" t="s">
        <v>43</v>
      </c>
      <c r="B12" s="12" t="s">
        <v>46</v>
      </c>
      <c r="C12" s="13">
        <v>253651.0</v>
      </c>
      <c r="D12" s="13">
        <v>262890.0</v>
      </c>
      <c r="E12" s="13">
        <v>268931.0</v>
      </c>
      <c r="F12" s="13">
        <v>274900.0</v>
      </c>
      <c r="G12" s="13">
        <v>289150.0</v>
      </c>
      <c r="H12" s="13">
        <v>305918.0</v>
      </c>
      <c r="I12" s="13">
        <v>315918.0</v>
      </c>
      <c r="J12" s="13">
        <v>307123.0</v>
      </c>
      <c r="K12" s="13">
        <v>335918.0</v>
      </c>
    </row>
    <row r="13" ht="12.75" customHeight="1">
      <c r="A13" s="12" t="s">
        <v>43</v>
      </c>
      <c r="B13" s="12" t="s">
        <v>73</v>
      </c>
      <c r="C13" s="13">
        <v>28750.0</v>
      </c>
      <c r="D13" s="13">
        <v>30800.0</v>
      </c>
      <c r="E13" s="13">
        <v>31540.0</v>
      </c>
      <c r="F13" s="13">
        <v>32700.0</v>
      </c>
      <c r="G13" s="13">
        <v>33870.0</v>
      </c>
      <c r="H13" s="13">
        <v>34900.0</v>
      </c>
      <c r="I13" s="13">
        <v>35900.0</v>
      </c>
      <c r="J13" s="13">
        <v>36900.0</v>
      </c>
      <c r="K13" s="13">
        <v>37900.0</v>
      </c>
      <c r="L13" s="13"/>
      <c r="M13" s="13"/>
      <c r="N13" s="13"/>
    </row>
    <row r="14" ht="12.75" customHeight="1">
      <c r="A14" s="12" t="s">
        <v>43</v>
      </c>
      <c r="B14" s="12" t="s">
        <v>74</v>
      </c>
      <c r="C14" s="16">
        <v>1.7</v>
      </c>
      <c r="D14" s="16">
        <v>1.5</v>
      </c>
      <c r="E14" s="16">
        <v>1.5</v>
      </c>
      <c r="F14" s="16">
        <v>1.4</v>
      </c>
      <c r="G14" s="16">
        <v>1.2</v>
      </c>
      <c r="H14" s="16">
        <v>1.3</v>
      </c>
      <c r="I14" s="16">
        <v>1.7</v>
      </c>
      <c r="J14" s="16">
        <v>1.5</v>
      </c>
      <c r="K14" s="16">
        <v>1.3</v>
      </c>
    </row>
    <row r="15" ht="12.75" customHeight="1">
      <c r="A15" s="12" t="s">
        <v>43</v>
      </c>
      <c r="B15" s="12" t="s">
        <v>75</v>
      </c>
      <c r="C15" s="16">
        <v>2.9</v>
      </c>
      <c r="D15" s="16">
        <v>2.9</v>
      </c>
      <c r="E15" s="16">
        <v>3.0</v>
      </c>
      <c r="F15" s="16">
        <v>3.0</v>
      </c>
      <c r="G15" s="16">
        <v>3.1</v>
      </c>
      <c r="H15" s="16">
        <v>3.2</v>
      </c>
      <c r="I15" s="16">
        <v>2.9</v>
      </c>
      <c r="J15" s="16">
        <v>2.9</v>
      </c>
      <c r="K15" s="16">
        <v>3.0</v>
      </c>
    </row>
    <row r="16" ht="12.75" customHeight="1">
      <c r="A16" s="12" t="s">
        <v>43</v>
      </c>
      <c r="B16" s="12" t="s">
        <v>76</v>
      </c>
      <c r="C16" s="16">
        <v>3.45</v>
      </c>
      <c r="D16" s="16">
        <v>3.6</v>
      </c>
      <c r="E16" s="16">
        <v>3.55</v>
      </c>
      <c r="F16" s="16">
        <v>3.65</v>
      </c>
      <c r="G16" s="16">
        <v>3.7</v>
      </c>
      <c r="H16" s="16">
        <v>3.9</v>
      </c>
      <c r="I16" s="16">
        <v>3.9</v>
      </c>
      <c r="J16" s="16">
        <v>3.6</v>
      </c>
      <c r="K16" s="16">
        <v>3.9</v>
      </c>
    </row>
    <row r="17" ht="12.75" customHeight="1">
      <c r="A17" s="12" t="s">
        <v>43</v>
      </c>
      <c r="B17" s="12" t="s">
        <v>77</v>
      </c>
      <c r="C17" s="16">
        <v>1.7</v>
      </c>
      <c r="D17" s="16">
        <v>1.4</v>
      </c>
      <c r="E17" s="16">
        <v>1.6</v>
      </c>
      <c r="F17" s="16">
        <v>1.6</v>
      </c>
      <c r="G17" s="16">
        <v>1.5</v>
      </c>
      <c r="H17" s="16">
        <v>1.4</v>
      </c>
      <c r="I17" s="16">
        <v>1.3</v>
      </c>
      <c r="J17" s="16">
        <v>1.6</v>
      </c>
      <c r="K17" s="16">
        <v>1.5</v>
      </c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2.75" customHeight="1">
      <c r="A19" s="12" t="s">
        <v>49</v>
      </c>
      <c r="B19" s="12" t="s">
        <v>63</v>
      </c>
      <c r="C19" s="13">
        <v>3330.0</v>
      </c>
      <c r="D19" s="13">
        <v>3685.5</v>
      </c>
      <c r="E19" s="13">
        <v>3818.0</v>
      </c>
      <c r="F19" s="13">
        <v>4464.0</v>
      </c>
      <c r="G19" s="13">
        <v>4794.0</v>
      </c>
      <c r="H19" s="13">
        <v>5225.0</v>
      </c>
      <c r="I19" s="13">
        <v>5376.0</v>
      </c>
      <c r="J19" s="13">
        <v>4794.0</v>
      </c>
      <c r="K19" s="13">
        <v>5225.0</v>
      </c>
      <c r="L19" s="17"/>
      <c r="M19" s="17"/>
      <c r="N19" s="17"/>
      <c r="O19" s="17"/>
      <c r="P19" s="17"/>
      <c r="Q19" s="17"/>
      <c r="R19" s="17"/>
    </row>
    <row r="20" ht="12.75" customHeight="1">
      <c r="A20" s="12" t="s">
        <v>49</v>
      </c>
      <c r="B20" s="12" t="s">
        <v>64</v>
      </c>
      <c r="C20" s="13">
        <v>13005.0</v>
      </c>
      <c r="D20" s="13">
        <v>15273.895</v>
      </c>
      <c r="E20" s="13">
        <v>15875.060000000001</v>
      </c>
      <c r="F20" s="13">
        <v>16590.27</v>
      </c>
      <c r="G20" s="13">
        <v>18318.719999999998</v>
      </c>
      <c r="H20" s="13">
        <v>19006.649999999998</v>
      </c>
      <c r="I20" s="13">
        <v>24008.4</v>
      </c>
      <c r="J20" s="13">
        <v>18318.719999999998</v>
      </c>
      <c r="K20" s="13">
        <v>19006.649999999998</v>
      </c>
      <c r="L20" s="17"/>
      <c r="M20" s="17"/>
      <c r="N20" s="17"/>
      <c r="O20" s="17"/>
      <c r="P20" s="17"/>
      <c r="Q20" s="17"/>
      <c r="R20" s="17"/>
    </row>
    <row r="21" ht="12.75" customHeight="1">
      <c r="A21" s="12" t="s">
        <v>49</v>
      </c>
      <c r="B21" s="12" t="s">
        <v>65</v>
      </c>
      <c r="C21" s="15">
        <v>2.1</v>
      </c>
      <c r="D21" s="15">
        <v>2.2</v>
      </c>
      <c r="E21" s="15">
        <v>2.35</v>
      </c>
      <c r="F21" s="15">
        <v>2.4</v>
      </c>
      <c r="G21" s="15">
        <v>2.45</v>
      </c>
      <c r="H21" s="15">
        <v>3.2</v>
      </c>
      <c r="I21" s="15">
        <v>4.5</v>
      </c>
      <c r="J21" s="15">
        <v>5.625</v>
      </c>
      <c r="K21" s="15">
        <v>3.6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ht="12.75" customHeight="1">
      <c r="A22" s="12" t="s">
        <v>49</v>
      </c>
      <c r="B22" s="12" t="s">
        <v>66</v>
      </c>
      <c r="C22" s="15">
        <v>0.67</v>
      </c>
      <c r="D22" s="15">
        <f t="shared" ref="D22:F22" si="1">C22+0.1</f>
        <v>0.77</v>
      </c>
      <c r="E22" s="15">
        <f t="shared" si="1"/>
        <v>0.87</v>
      </c>
      <c r="F22" s="15">
        <f t="shared" si="1"/>
        <v>0.97</v>
      </c>
      <c r="G22" s="15">
        <v>0.67</v>
      </c>
      <c r="H22" s="15">
        <f t="shared" ref="H22:K22" si="2">G22+0.1</f>
        <v>0.77</v>
      </c>
      <c r="I22" s="15">
        <f t="shared" si="2"/>
        <v>0.87</v>
      </c>
      <c r="J22" s="15">
        <f t="shared" si="2"/>
        <v>0.97</v>
      </c>
      <c r="K22" s="15">
        <f t="shared" si="2"/>
        <v>1.07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ht="12.75" customHeight="1">
      <c r="A23" s="12" t="s">
        <v>49</v>
      </c>
      <c r="B23" s="12" t="s">
        <v>67</v>
      </c>
      <c r="C23" s="16">
        <v>1.6</v>
      </c>
      <c r="D23" s="15">
        <f t="shared" ref="D23:D25" si="3">C23+0.1</f>
        <v>1.7</v>
      </c>
      <c r="E23" s="16">
        <v>1.6</v>
      </c>
      <c r="F23" s="16">
        <v>1.5</v>
      </c>
      <c r="G23" s="16">
        <v>3.5</v>
      </c>
      <c r="H23" s="16">
        <v>3.6</v>
      </c>
      <c r="I23" s="16">
        <v>4.25</v>
      </c>
      <c r="J23" s="16">
        <v>5.0625</v>
      </c>
      <c r="K23" s="16">
        <v>6.078125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ht="12.75" customHeight="1">
      <c r="A24" s="12" t="s">
        <v>49</v>
      </c>
      <c r="B24" s="12" t="s">
        <v>68</v>
      </c>
      <c r="C24" s="16">
        <v>22.4</v>
      </c>
      <c r="D24" s="15">
        <f t="shared" si="3"/>
        <v>22.5</v>
      </c>
      <c r="E24" s="16">
        <v>25.8</v>
      </c>
      <c r="F24" s="16">
        <v>24.7</v>
      </c>
      <c r="G24" s="16">
        <v>28.6</v>
      </c>
      <c r="H24" s="16">
        <v>29.6</v>
      </c>
      <c r="I24" s="16">
        <v>31.75</v>
      </c>
      <c r="J24" s="16">
        <v>26.6875</v>
      </c>
      <c r="K24" s="16">
        <v>23.859375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ht="12.75" customHeight="1">
      <c r="A25" s="12" t="s">
        <v>49</v>
      </c>
      <c r="B25" s="12" t="s">
        <v>69</v>
      </c>
      <c r="C25" s="16">
        <v>6.5</v>
      </c>
      <c r="D25" s="15">
        <f t="shared" si="3"/>
        <v>6.6</v>
      </c>
      <c r="E25" s="16">
        <v>7.300000000000001</v>
      </c>
      <c r="F25" s="16">
        <v>7.300000000000001</v>
      </c>
      <c r="G25" s="16">
        <v>9.4</v>
      </c>
      <c r="H25" s="16">
        <v>9.7</v>
      </c>
      <c r="I25" s="16">
        <v>9.875</v>
      </c>
      <c r="J25" s="16">
        <v>10.0</v>
      </c>
      <c r="K25" s="16">
        <v>9.7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ht="12.75" customHeight="1">
      <c r="A26" s="12" t="s">
        <v>49</v>
      </c>
      <c r="B26" s="12" t="s">
        <v>70</v>
      </c>
      <c r="C26" s="15">
        <v>1.64</v>
      </c>
      <c r="D26" s="15">
        <v>1.74</v>
      </c>
      <c r="E26" s="15">
        <v>1.8399999999999999</v>
      </c>
      <c r="F26" s="15">
        <v>1.94</v>
      </c>
      <c r="G26" s="15">
        <v>1.874</v>
      </c>
      <c r="H26" s="15">
        <v>1.88</v>
      </c>
      <c r="I26" s="15">
        <v>2.1</v>
      </c>
      <c r="J26" s="15">
        <v>2.375</v>
      </c>
      <c r="K26" s="15">
        <v>2.21875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ht="12.75" customHeight="1">
      <c r="A27" s="12" t="s">
        <v>49</v>
      </c>
      <c r="B27" s="12" t="s">
        <v>71</v>
      </c>
      <c r="C27" s="19">
        <v>270000.0</v>
      </c>
      <c r="D27" s="15">
        <f t="shared" ref="D27:D34" si="4">C27+0.1</f>
        <v>270000.1</v>
      </c>
      <c r="E27" s="19">
        <v>240000.0</v>
      </c>
      <c r="F27" s="19">
        <v>200000.0</v>
      </c>
      <c r="G27" s="19">
        <v>295000.0</v>
      </c>
      <c r="H27" s="19">
        <v>340000.0</v>
      </c>
      <c r="I27" s="19">
        <v>387500.0</v>
      </c>
      <c r="J27" s="19">
        <v>484375.0</v>
      </c>
      <c r="K27" s="19">
        <v>605468.75</v>
      </c>
    </row>
    <row r="28" ht="12.75" customHeight="1">
      <c r="A28" s="12" t="s">
        <v>49</v>
      </c>
      <c r="B28" s="12" t="s">
        <v>72</v>
      </c>
      <c r="C28" s="19">
        <v>157961.5</v>
      </c>
      <c r="D28" s="15">
        <f t="shared" si="4"/>
        <v>157961.6</v>
      </c>
      <c r="E28" s="19">
        <v>129450.0</v>
      </c>
      <c r="F28" s="19">
        <v>169382.5</v>
      </c>
      <c r="G28" s="19">
        <v>176450.0</v>
      </c>
      <c r="H28" s="19">
        <v>160492.0</v>
      </c>
      <c r="I28" s="19">
        <v>200615.0</v>
      </c>
      <c r="J28" s="19">
        <v>250768.75</v>
      </c>
      <c r="K28" s="19">
        <v>313460.9375</v>
      </c>
    </row>
    <row r="29" ht="12.75" customHeight="1">
      <c r="A29" s="12" t="s">
        <v>49</v>
      </c>
      <c r="B29" s="12" t="s">
        <v>46</v>
      </c>
      <c r="C29" s="19">
        <v>146825.5</v>
      </c>
      <c r="D29" s="15">
        <f t="shared" si="4"/>
        <v>146825.6</v>
      </c>
      <c r="E29" s="19">
        <v>154465.5</v>
      </c>
      <c r="F29" s="19">
        <v>137450.0</v>
      </c>
      <c r="G29" s="19">
        <v>164575.0</v>
      </c>
      <c r="H29" s="19">
        <v>152959.0</v>
      </c>
      <c r="I29" s="19">
        <v>147959.0</v>
      </c>
      <c r="J29" s="19">
        <v>153561.5</v>
      </c>
      <c r="K29" s="19">
        <v>147959.0</v>
      </c>
    </row>
    <row r="30" ht="12.75" customHeight="1">
      <c r="A30" s="12" t="s">
        <v>49</v>
      </c>
      <c r="B30" s="12" t="s">
        <v>73</v>
      </c>
      <c r="C30" s="19">
        <v>14375.0</v>
      </c>
      <c r="D30" s="15">
        <f t="shared" si="4"/>
        <v>14375.1</v>
      </c>
      <c r="E30" s="19">
        <v>15770.0</v>
      </c>
      <c r="F30" s="19">
        <v>16350.0</v>
      </c>
      <c r="G30" s="19">
        <v>16935.0</v>
      </c>
      <c r="H30" s="19">
        <v>17450.0</v>
      </c>
      <c r="I30" s="19">
        <v>17950.0</v>
      </c>
      <c r="J30" s="19">
        <v>18450.0</v>
      </c>
      <c r="K30" s="19">
        <v>18950.0</v>
      </c>
    </row>
    <row r="31" ht="12.75" customHeight="1">
      <c r="A31" s="12" t="s">
        <v>49</v>
      </c>
      <c r="B31" s="12" t="s">
        <v>74</v>
      </c>
      <c r="C31" s="16">
        <v>0.7</v>
      </c>
      <c r="D31" s="15">
        <f t="shared" si="4"/>
        <v>0.8</v>
      </c>
      <c r="E31" s="16">
        <v>0.5</v>
      </c>
      <c r="F31" s="16">
        <v>0.3999999999999999</v>
      </c>
      <c r="G31" s="16">
        <v>2.2</v>
      </c>
      <c r="H31" s="16">
        <v>2.3</v>
      </c>
      <c r="I31" s="16">
        <v>2.7</v>
      </c>
      <c r="J31" s="16">
        <v>2.5</v>
      </c>
      <c r="K31" s="16">
        <v>2.3</v>
      </c>
      <c r="L31" s="18"/>
      <c r="M31" s="18"/>
      <c r="N31" s="18"/>
      <c r="O31" s="18"/>
      <c r="P31" s="18"/>
      <c r="Q31" s="18"/>
      <c r="R31" s="18"/>
      <c r="S31" s="18"/>
      <c r="T31" s="18"/>
    </row>
    <row r="32" ht="12.75" customHeight="1">
      <c r="A32" s="12" t="s">
        <v>49</v>
      </c>
      <c r="B32" s="12" t="s">
        <v>75</v>
      </c>
      <c r="C32" s="16">
        <v>1.9</v>
      </c>
      <c r="D32" s="15">
        <f t="shared" si="4"/>
        <v>2</v>
      </c>
      <c r="E32" s="16">
        <v>2.0</v>
      </c>
      <c r="F32" s="16">
        <v>2.0</v>
      </c>
      <c r="G32" s="16">
        <v>4.1</v>
      </c>
      <c r="H32" s="16">
        <v>4.2</v>
      </c>
      <c r="I32" s="16">
        <v>3.9</v>
      </c>
      <c r="J32" s="16">
        <v>3.9</v>
      </c>
      <c r="K32" s="16">
        <v>4.0</v>
      </c>
      <c r="L32" s="18"/>
      <c r="M32" s="18"/>
      <c r="N32" s="18"/>
      <c r="O32" s="18"/>
      <c r="P32" s="18"/>
      <c r="Q32" s="18"/>
      <c r="R32" s="18"/>
      <c r="S32" s="18"/>
      <c r="T32" s="18"/>
    </row>
    <row r="33" ht="12.75" customHeight="1">
      <c r="A33" s="12" t="s">
        <v>49</v>
      </c>
      <c r="B33" s="12" t="s">
        <v>76</v>
      </c>
      <c r="C33" s="16">
        <v>2.45</v>
      </c>
      <c r="D33" s="15">
        <f t="shared" si="4"/>
        <v>2.55</v>
      </c>
      <c r="E33" s="16">
        <v>2.55</v>
      </c>
      <c r="F33" s="16">
        <v>2.65</v>
      </c>
      <c r="G33" s="16">
        <v>4.7</v>
      </c>
      <c r="H33" s="16">
        <v>4.9</v>
      </c>
      <c r="I33" s="16">
        <v>4.9</v>
      </c>
      <c r="J33" s="16">
        <v>4.6</v>
      </c>
      <c r="K33" s="16">
        <v>4.9</v>
      </c>
      <c r="L33" s="18"/>
      <c r="M33" s="18"/>
      <c r="N33" s="18"/>
      <c r="O33" s="18"/>
      <c r="P33" s="18"/>
      <c r="Q33" s="18"/>
      <c r="R33" s="18"/>
      <c r="S33" s="18"/>
      <c r="T33" s="18"/>
    </row>
    <row r="34" ht="12.75" customHeight="1">
      <c r="A34" s="12" t="s">
        <v>49</v>
      </c>
      <c r="B34" s="12" t="s">
        <v>77</v>
      </c>
      <c r="C34" s="16">
        <v>0.7</v>
      </c>
      <c r="D34" s="15">
        <f t="shared" si="4"/>
        <v>0.8</v>
      </c>
      <c r="E34" s="16">
        <v>0.6000000000000001</v>
      </c>
      <c r="F34" s="16">
        <v>0.6000000000000001</v>
      </c>
      <c r="G34" s="16">
        <v>2.5</v>
      </c>
      <c r="H34" s="16">
        <v>2.4</v>
      </c>
      <c r="I34" s="16">
        <v>2.3</v>
      </c>
      <c r="J34" s="16">
        <v>2.6</v>
      </c>
      <c r="K34" s="16">
        <v>2.5</v>
      </c>
      <c r="L34" s="18"/>
      <c r="M34" s="18"/>
      <c r="N34" s="18"/>
      <c r="O34" s="18"/>
      <c r="P34" s="18"/>
      <c r="Q34" s="18"/>
      <c r="R34" s="18"/>
      <c r="S34" s="18"/>
      <c r="T34" s="18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8"/>
      <c r="N35" s="18"/>
      <c r="O35" s="18"/>
      <c r="P35" s="18"/>
      <c r="Q35" s="18"/>
      <c r="R35" s="18"/>
      <c r="S35" s="18"/>
      <c r="T35" s="18"/>
    </row>
    <row r="36" ht="12.75" customHeight="1">
      <c r="A36" s="12" t="s">
        <v>53</v>
      </c>
      <c r="B36" s="12" t="s">
        <v>63</v>
      </c>
      <c r="C36" s="13">
        <v>8140.000000000001</v>
      </c>
      <c r="D36" s="13">
        <v>8910.0</v>
      </c>
      <c r="E36" s="13">
        <v>9130.0</v>
      </c>
      <c r="F36" s="13">
        <v>16560.0</v>
      </c>
      <c r="G36" s="13">
        <v>11220.0</v>
      </c>
      <c r="H36" s="13">
        <v>12100.000000000002</v>
      </c>
      <c r="I36" s="13">
        <v>12320.000000000002</v>
      </c>
      <c r="J36" s="13">
        <v>12760.000000000002</v>
      </c>
      <c r="K36" s="13">
        <v>13530.000000000002</v>
      </c>
      <c r="L36" s="18"/>
      <c r="M36" s="18"/>
      <c r="N36" s="18"/>
      <c r="O36" s="18"/>
      <c r="P36" s="18"/>
      <c r="Q36" s="18"/>
      <c r="R36" s="18"/>
      <c r="S36" s="18"/>
      <c r="T36" s="18"/>
    </row>
    <row r="37" ht="12.75" customHeight="1">
      <c r="A37" s="12" t="s">
        <v>53</v>
      </c>
      <c r="B37" s="12" t="s">
        <v>64</v>
      </c>
      <c r="C37" s="13">
        <v>31790.000000000004</v>
      </c>
      <c r="D37" s="13">
        <v>36925.9</v>
      </c>
      <c r="E37" s="13">
        <v>37962.100000000006</v>
      </c>
      <c r="F37" s="13">
        <v>39245.8</v>
      </c>
      <c r="G37" s="13">
        <v>42873.600000000006</v>
      </c>
      <c r="H37" s="13">
        <v>55015.4</v>
      </c>
      <c r="I37" s="13">
        <v>55019.25000000001</v>
      </c>
      <c r="J37" s="13">
        <v>61774.0625</v>
      </c>
      <c r="K37" s="13">
        <v>85967.578125</v>
      </c>
      <c r="L37" s="18"/>
      <c r="M37" s="18"/>
      <c r="N37" s="18"/>
      <c r="O37" s="18"/>
      <c r="P37" s="18"/>
      <c r="Q37" s="18"/>
      <c r="R37" s="18"/>
      <c r="S37" s="18"/>
      <c r="T37" s="18"/>
    </row>
    <row r="38" ht="12.75" customHeight="1">
      <c r="A38" s="12" t="s">
        <v>53</v>
      </c>
      <c r="B38" s="12" t="s">
        <v>65</v>
      </c>
      <c r="C38" s="15">
        <v>4.1</v>
      </c>
      <c r="D38" s="15">
        <v>4.2</v>
      </c>
      <c r="E38" s="15">
        <v>4.35</v>
      </c>
      <c r="F38" s="15">
        <v>4.4</v>
      </c>
      <c r="G38" s="15">
        <v>4.45</v>
      </c>
      <c r="H38" s="15">
        <v>4.6</v>
      </c>
      <c r="I38" s="15">
        <v>5.5</v>
      </c>
      <c r="J38" s="15">
        <v>6.625</v>
      </c>
      <c r="K38" s="15">
        <v>8.03125</v>
      </c>
      <c r="L38" s="20"/>
      <c r="M38" s="20"/>
      <c r="N38" s="20"/>
      <c r="O38" s="20"/>
      <c r="P38" s="20"/>
      <c r="Q38" s="20"/>
      <c r="R38" s="20"/>
      <c r="S38" s="20"/>
      <c r="T38" s="20"/>
    </row>
    <row r="39" ht="12.75" customHeight="1">
      <c r="A39" s="12" t="s">
        <v>53</v>
      </c>
      <c r="B39" s="12" t="s">
        <v>66</v>
      </c>
      <c r="C39" s="15">
        <v>1.97</v>
      </c>
      <c r="D39" s="15">
        <v>2.05</v>
      </c>
      <c r="E39" s="15">
        <v>2.18</v>
      </c>
      <c r="F39" s="15">
        <v>2.5</v>
      </c>
      <c r="G39" s="15">
        <v>2.23</v>
      </c>
      <c r="H39" s="15">
        <v>2.2800000000000002</v>
      </c>
      <c r="I39" s="15">
        <v>2.6</v>
      </c>
      <c r="J39" s="15">
        <v>3.0</v>
      </c>
      <c r="K39" s="15">
        <v>3.5</v>
      </c>
      <c r="L39" s="20"/>
      <c r="M39" s="20"/>
      <c r="N39" s="20"/>
      <c r="O39" s="20"/>
      <c r="P39" s="20"/>
      <c r="Q39" s="20"/>
      <c r="R39" s="20"/>
      <c r="S39" s="20"/>
      <c r="T39" s="20"/>
    </row>
    <row r="40" ht="12.75" customHeight="1">
      <c r="A40" s="12" t="s">
        <v>53</v>
      </c>
      <c r="B40" s="12" t="s">
        <v>67</v>
      </c>
      <c r="C40" s="16">
        <v>3.6</v>
      </c>
      <c r="D40" s="16">
        <v>3.4</v>
      </c>
      <c r="E40" s="16">
        <v>3.6</v>
      </c>
      <c r="F40" s="16">
        <v>3.5</v>
      </c>
      <c r="G40" s="16">
        <v>3.5</v>
      </c>
      <c r="H40" s="16">
        <v>3.6</v>
      </c>
      <c r="I40" s="16">
        <v>4.25</v>
      </c>
      <c r="J40" s="16">
        <v>5.0625</v>
      </c>
      <c r="K40" s="16">
        <v>6.078125</v>
      </c>
      <c r="L40" s="20"/>
      <c r="M40" s="20"/>
      <c r="N40" s="20"/>
      <c r="O40" s="20"/>
      <c r="P40" s="20"/>
      <c r="Q40" s="20"/>
      <c r="R40" s="20"/>
      <c r="S40" s="20"/>
      <c r="T40" s="20"/>
    </row>
    <row r="41" ht="12.75" customHeight="1">
      <c r="A41" s="12" t="s">
        <v>53</v>
      </c>
      <c r="B41" s="12" t="s">
        <v>68</v>
      </c>
      <c r="C41" s="16">
        <v>24.4</v>
      </c>
      <c r="D41" s="16">
        <v>23.7</v>
      </c>
      <c r="E41" s="16">
        <v>27.8</v>
      </c>
      <c r="F41" s="16">
        <v>26.7</v>
      </c>
      <c r="G41" s="16">
        <v>28.6</v>
      </c>
      <c r="H41" s="16">
        <v>29.6</v>
      </c>
      <c r="I41" s="16">
        <v>31.75</v>
      </c>
      <c r="J41" s="16">
        <v>26.6875</v>
      </c>
      <c r="K41" s="16">
        <v>23.859375</v>
      </c>
      <c r="L41" s="20"/>
      <c r="M41" s="20"/>
      <c r="N41" s="20"/>
      <c r="O41" s="20"/>
      <c r="P41" s="20"/>
      <c r="Q41" s="20"/>
      <c r="R41" s="20"/>
      <c r="S41" s="20"/>
      <c r="T41" s="20"/>
    </row>
    <row r="42" ht="12.75" customHeight="1">
      <c r="A42" s="12" t="s">
        <v>53</v>
      </c>
      <c r="B42" s="12" t="s">
        <v>69</v>
      </c>
      <c r="C42" s="16">
        <v>8.5</v>
      </c>
      <c r="D42" s="16">
        <v>8.8</v>
      </c>
      <c r="E42" s="16">
        <v>9.3</v>
      </c>
      <c r="F42" s="16">
        <v>9.3</v>
      </c>
      <c r="G42" s="16">
        <v>9.4</v>
      </c>
      <c r="H42" s="16">
        <v>9.7</v>
      </c>
      <c r="I42" s="16">
        <v>9.875</v>
      </c>
      <c r="J42" s="16">
        <v>10.0</v>
      </c>
      <c r="K42" s="16">
        <v>9.7</v>
      </c>
      <c r="L42" s="20"/>
      <c r="M42" s="20"/>
      <c r="N42" s="20"/>
      <c r="O42" s="20"/>
      <c r="P42" s="20"/>
      <c r="Q42" s="20"/>
      <c r="R42" s="20"/>
      <c r="S42" s="20"/>
      <c r="T42" s="20"/>
    </row>
    <row r="43" ht="12.75" customHeight="1">
      <c r="A43" s="12" t="s">
        <v>53</v>
      </c>
      <c r="B43" s="12" t="s">
        <v>70</v>
      </c>
      <c r="C43" s="15">
        <v>1.8399999999999999</v>
      </c>
      <c r="D43" s="15">
        <v>1.9</v>
      </c>
      <c r="E43" s="15">
        <v>1.85</v>
      </c>
      <c r="F43" s="15">
        <v>1.87</v>
      </c>
      <c r="G43" s="15">
        <v>1.8399999999999999</v>
      </c>
      <c r="H43" s="15">
        <v>1.88</v>
      </c>
      <c r="I43" s="15">
        <v>2.1</v>
      </c>
      <c r="J43" s="15">
        <v>2.375</v>
      </c>
      <c r="K43" s="15">
        <v>2.71875</v>
      </c>
      <c r="L43" s="20"/>
      <c r="M43" s="20"/>
      <c r="N43" s="20"/>
      <c r="O43" s="20"/>
      <c r="P43" s="20"/>
      <c r="Q43" s="20"/>
      <c r="R43" s="20"/>
      <c r="S43" s="20"/>
      <c r="T43" s="20"/>
    </row>
    <row r="44" ht="12.75" customHeight="1">
      <c r="A44" s="12" t="s">
        <v>53</v>
      </c>
      <c r="B44" s="12" t="s">
        <v>71</v>
      </c>
      <c r="C44" s="13">
        <v>396000.0</v>
      </c>
      <c r="D44" s="13">
        <v>418500.0</v>
      </c>
      <c r="E44" s="13">
        <v>432000.0</v>
      </c>
      <c r="F44" s="13">
        <v>468000.0</v>
      </c>
      <c r="G44" s="13">
        <v>495000.0</v>
      </c>
      <c r="H44" s="13">
        <v>558000.0</v>
      </c>
      <c r="I44" s="13">
        <v>697500.0</v>
      </c>
      <c r="J44" s="13">
        <v>871875.0</v>
      </c>
      <c r="K44" s="13">
        <v>1089843.75</v>
      </c>
      <c r="L44" s="21"/>
      <c r="M44" s="21"/>
      <c r="N44" s="21"/>
      <c r="O44" s="21"/>
      <c r="P44" s="21"/>
      <c r="Q44" s="21"/>
      <c r="R44" s="21"/>
      <c r="S44" s="21"/>
      <c r="T44" s="21"/>
    </row>
    <row r="45" ht="12.75" customHeight="1">
      <c r="A45" s="12" t="s">
        <v>53</v>
      </c>
      <c r="B45" s="12" t="s">
        <v>72</v>
      </c>
      <c r="C45" s="13">
        <v>230330.7</v>
      </c>
      <c r="D45" s="13">
        <v>241110.0</v>
      </c>
      <c r="E45" s="13">
        <v>251010.0</v>
      </c>
      <c r="F45" s="13">
        <v>251010.0</v>
      </c>
      <c r="G45" s="13">
        <v>251010.0</v>
      </c>
      <c r="H45" s="13">
        <v>288885.60000000003</v>
      </c>
      <c r="I45" s="13">
        <v>361107.0</v>
      </c>
      <c r="J45" s="13">
        <v>451383.75</v>
      </c>
      <c r="K45" s="13">
        <v>564229.6875</v>
      </c>
      <c r="L45" s="21"/>
      <c r="M45" s="21"/>
      <c r="N45" s="21"/>
      <c r="O45" s="21"/>
      <c r="P45" s="21"/>
      <c r="Q45" s="21"/>
      <c r="R45" s="21"/>
      <c r="S45" s="21"/>
      <c r="T45" s="21"/>
    </row>
    <row r="46" ht="12.75" customHeight="1">
      <c r="A46" s="12" t="s">
        <v>53</v>
      </c>
      <c r="B46" s="12" t="s">
        <v>46</v>
      </c>
      <c r="C46" s="13">
        <v>228285.9</v>
      </c>
      <c r="D46" s="13">
        <v>236601.0</v>
      </c>
      <c r="E46" s="13">
        <v>242037.9</v>
      </c>
      <c r="F46" s="13">
        <v>247410.0</v>
      </c>
      <c r="G46" s="13">
        <v>247410.0</v>
      </c>
      <c r="H46" s="13">
        <v>247410.0</v>
      </c>
      <c r="I46" s="13">
        <v>284326.2</v>
      </c>
      <c r="J46" s="13">
        <v>276410.7</v>
      </c>
      <c r="K46" s="13">
        <v>302326.2</v>
      </c>
      <c r="L46" s="21"/>
      <c r="M46" s="21"/>
      <c r="N46" s="21"/>
      <c r="O46" s="21"/>
      <c r="P46" s="21"/>
      <c r="Q46" s="21"/>
      <c r="R46" s="21"/>
      <c r="S46" s="21"/>
      <c r="T46" s="21"/>
    </row>
    <row r="47" ht="12.75" customHeight="1">
      <c r="A47" s="12" t="s">
        <v>53</v>
      </c>
      <c r="B47" s="12" t="s">
        <v>73</v>
      </c>
      <c r="C47" s="13">
        <v>25875.0</v>
      </c>
      <c r="D47" s="13">
        <v>21720.0</v>
      </c>
      <c r="E47" s="13">
        <v>28386.0</v>
      </c>
      <c r="F47" s="13">
        <v>29430.0</v>
      </c>
      <c r="G47" s="13">
        <v>20483.0</v>
      </c>
      <c r="H47" s="13">
        <v>21410.0</v>
      </c>
      <c r="I47" s="13">
        <v>32310.0</v>
      </c>
      <c r="J47" s="13">
        <v>33210.0</v>
      </c>
      <c r="K47" s="13">
        <v>34110.0</v>
      </c>
      <c r="L47" s="21"/>
      <c r="M47" s="21"/>
      <c r="N47" s="21"/>
      <c r="O47" s="21"/>
      <c r="P47" s="21"/>
      <c r="Q47" s="21"/>
      <c r="R47" s="21"/>
      <c r="S47" s="21"/>
      <c r="T47" s="21"/>
    </row>
    <row r="48" ht="12.75" customHeight="1">
      <c r="A48" s="12" t="s">
        <v>53</v>
      </c>
      <c r="B48" s="12" t="s">
        <v>74</v>
      </c>
      <c r="C48" s="16">
        <v>0.7</v>
      </c>
      <c r="D48" s="16">
        <v>0.5</v>
      </c>
      <c r="E48" s="16">
        <v>0.5</v>
      </c>
      <c r="F48" s="16">
        <v>0.3999999999999999</v>
      </c>
      <c r="G48" s="16">
        <v>0.19999999999999996</v>
      </c>
      <c r="H48" s="16">
        <v>0.30000000000000004</v>
      </c>
      <c r="I48" s="16">
        <v>0.7</v>
      </c>
      <c r="J48" s="16">
        <v>0.5</v>
      </c>
      <c r="K48" s="16">
        <v>0.30000000000000004</v>
      </c>
      <c r="L48" s="22"/>
      <c r="M48" s="22"/>
      <c r="N48" s="22"/>
      <c r="O48" s="22"/>
      <c r="P48" s="22"/>
      <c r="Q48" s="22"/>
      <c r="R48" s="22"/>
      <c r="S48" s="22"/>
      <c r="T48" s="22"/>
    </row>
    <row r="49" ht="12.75" customHeight="1">
      <c r="A49" s="12" t="s">
        <v>53</v>
      </c>
      <c r="B49" s="12" t="s">
        <v>75</v>
      </c>
      <c r="C49" s="16">
        <v>1.9</v>
      </c>
      <c r="D49" s="16">
        <v>1.9</v>
      </c>
      <c r="E49" s="16">
        <v>2.5</v>
      </c>
      <c r="F49" s="16">
        <v>3.0</v>
      </c>
      <c r="G49" s="16">
        <v>2.1</v>
      </c>
      <c r="H49" s="16">
        <v>2.2</v>
      </c>
      <c r="I49" s="16">
        <v>1.9</v>
      </c>
      <c r="J49" s="16">
        <v>1.9</v>
      </c>
      <c r="K49" s="16">
        <v>2.0</v>
      </c>
      <c r="L49" s="22"/>
      <c r="M49" s="22"/>
      <c r="N49" s="22"/>
      <c r="O49" s="22"/>
      <c r="P49" s="22"/>
      <c r="Q49" s="22"/>
      <c r="R49" s="22"/>
      <c r="S49" s="22"/>
      <c r="T49" s="22"/>
    </row>
    <row r="50" ht="12.75" customHeight="1">
      <c r="A50" s="12" t="s">
        <v>53</v>
      </c>
      <c r="B50" s="12" t="s">
        <v>76</v>
      </c>
      <c r="C50" s="16">
        <v>2.45</v>
      </c>
      <c r="D50" s="16">
        <v>2.6</v>
      </c>
      <c r="E50" s="16">
        <v>3.0</v>
      </c>
      <c r="F50" s="16">
        <v>3.0</v>
      </c>
      <c r="G50" s="16">
        <v>3.0</v>
      </c>
      <c r="H50" s="16">
        <v>2.9</v>
      </c>
      <c r="I50" s="16">
        <v>2.9</v>
      </c>
      <c r="J50" s="16">
        <v>2.6</v>
      </c>
      <c r="K50" s="16">
        <v>2.9</v>
      </c>
      <c r="L50" s="22"/>
      <c r="M50" s="22"/>
      <c r="N50" s="22"/>
      <c r="O50" s="22"/>
      <c r="P50" s="22"/>
      <c r="Q50" s="22"/>
      <c r="R50" s="22"/>
      <c r="S50" s="22"/>
      <c r="T50" s="22"/>
    </row>
    <row r="51" ht="12.75" customHeight="1">
      <c r="A51" s="12" t="s">
        <v>53</v>
      </c>
      <c r="B51" s="12" t="s">
        <v>77</v>
      </c>
      <c r="C51" s="16">
        <v>0.7</v>
      </c>
      <c r="D51" s="16">
        <v>0.3999999999999999</v>
      </c>
      <c r="E51" s="16">
        <v>1.0</v>
      </c>
      <c r="F51" s="16">
        <v>1.1</v>
      </c>
      <c r="G51" s="16">
        <v>2.0</v>
      </c>
      <c r="H51" s="16">
        <v>0.3999999999999999</v>
      </c>
      <c r="I51" s="16">
        <v>0.30000000000000004</v>
      </c>
      <c r="J51" s="16">
        <v>0.6000000000000001</v>
      </c>
      <c r="K51" s="16">
        <v>0.5</v>
      </c>
      <c r="L51" s="22"/>
      <c r="M51" s="22"/>
      <c r="N51" s="22"/>
      <c r="O51" s="22"/>
      <c r="P51" s="22"/>
      <c r="Q51" s="22"/>
      <c r="R51" s="22"/>
      <c r="S51" s="22"/>
      <c r="T51" s="22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ht="12.75" customHeight="1">
      <c r="A53" s="12" t="s">
        <v>56</v>
      </c>
      <c r="B53" s="12" t="s">
        <v>63</v>
      </c>
      <c r="C53" s="13">
        <v>7400.0</v>
      </c>
      <c r="D53" s="13">
        <v>8100.0</v>
      </c>
      <c r="E53" s="13">
        <v>8300.0</v>
      </c>
      <c r="F53" s="13">
        <v>9600.0</v>
      </c>
      <c r="G53" s="13">
        <v>10200.0</v>
      </c>
      <c r="H53" s="13">
        <v>11000.0</v>
      </c>
      <c r="I53" s="13">
        <v>11200.0</v>
      </c>
      <c r="J53" s="13">
        <v>11600.0</v>
      </c>
      <c r="K53" s="13">
        <v>12300.0</v>
      </c>
      <c r="L53" s="21"/>
      <c r="M53" s="21"/>
      <c r="N53" s="21"/>
      <c r="O53" s="21"/>
      <c r="P53" s="21"/>
      <c r="Q53" s="21"/>
      <c r="R53" s="21"/>
      <c r="S53" s="21"/>
      <c r="T53" s="21"/>
    </row>
    <row r="54" ht="12.75" customHeight="1">
      <c r="A54" s="12" t="s">
        <v>56</v>
      </c>
      <c r="B54" s="12" t="s">
        <v>64</v>
      </c>
      <c r="C54" s="13">
        <v>28900.0</v>
      </c>
      <c r="D54" s="13">
        <v>33569.0</v>
      </c>
      <c r="E54" s="13">
        <v>34511.0</v>
      </c>
      <c r="F54" s="13">
        <v>35678.0</v>
      </c>
      <c r="G54" s="13">
        <v>38976.0</v>
      </c>
      <c r="H54" s="13">
        <v>40014.0</v>
      </c>
      <c r="I54" s="13">
        <v>50017.5</v>
      </c>
      <c r="J54" s="13">
        <v>62521.875</v>
      </c>
      <c r="K54" s="13">
        <v>78152.34375</v>
      </c>
      <c r="L54" s="21"/>
      <c r="M54" s="21"/>
      <c r="N54" s="21"/>
      <c r="O54" s="21"/>
      <c r="P54" s="21"/>
      <c r="Q54" s="21"/>
      <c r="R54" s="21"/>
      <c r="S54" s="21"/>
      <c r="T54" s="21"/>
    </row>
    <row r="55" ht="12.75" customHeight="1">
      <c r="A55" s="12" t="s">
        <v>56</v>
      </c>
      <c r="B55" s="12" t="s">
        <v>65</v>
      </c>
      <c r="C55" s="15">
        <v>2.1</v>
      </c>
      <c r="D55" s="15">
        <v>2.2</v>
      </c>
      <c r="E55" s="15">
        <v>2.35</v>
      </c>
      <c r="F55" s="15">
        <v>2.4</v>
      </c>
      <c r="G55" s="15">
        <v>2.45</v>
      </c>
      <c r="H55" s="15">
        <v>2.6</v>
      </c>
      <c r="I55" s="15">
        <v>3.5</v>
      </c>
      <c r="J55" s="15">
        <v>4.625</v>
      </c>
      <c r="K55" s="15">
        <v>6.03125</v>
      </c>
      <c r="L55" s="20"/>
      <c r="M55" s="20"/>
      <c r="N55" s="20"/>
      <c r="O55" s="20"/>
      <c r="P55" s="20"/>
      <c r="Q55" s="20"/>
      <c r="R55" s="20"/>
      <c r="S55" s="20"/>
      <c r="T55" s="20"/>
    </row>
    <row r="56" ht="12.75" customHeight="1">
      <c r="A56" s="12" t="s">
        <v>56</v>
      </c>
      <c r="B56" s="12" t="s">
        <v>66</v>
      </c>
      <c r="C56" s="15">
        <v>1.0</v>
      </c>
      <c r="D56" s="15">
        <v>0.5</v>
      </c>
      <c r="E56" s="15">
        <v>0.5</v>
      </c>
      <c r="F56" s="15">
        <v>0.5</v>
      </c>
      <c r="G56" s="15">
        <v>0.5</v>
      </c>
      <c r="H56" s="15">
        <v>0.28</v>
      </c>
      <c r="I56" s="15">
        <v>0.6000000000000001</v>
      </c>
      <c r="J56" s="15">
        <v>1.0</v>
      </c>
      <c r="K56" s="15">
        <v>1.5</v>
      </c>
      <c r="L56" s="20"/>
      <c r="M56" s="20"/>
      <c r="N56" s="20"/>
      <c r="O56" s="20"/>
      <c r="P56" s="20"/>
      <c r="Q56" s="20"/>
      <c r="R56" s="20"/>
      <c r="S56" s="20"/>
      <c r="T56" s="20"/>
    </row>
    <row r="57" ht="12.75" customHeight="1">
      <c r="A57" s="12" t="s">
        <v>56</v>
      </c>
      <c r="B57" s="12" t="s">
        <v>67</v>
      </c>
      <c r="C57" s="16">
        <v>1.6</v>
      </c>
      <c r="D57" s="16">
        <v>1.4</v>
      </c>
      <c r="E57" s="16">
        <v>1.6</v>
      </c>
      <c r="F57" s="16">
        <v>1.5</v>
      </c>
      <c r="G57" s="16">
        <v>1.5</v>
      </c>
      <c r="H57" s="16">
        <v>1.6</v>
      </c>
      <c r="I57" s="16">
        <v>2.25</v>
      </c>
      <c r="J57" s="16">
        <v>3.0625</v>
      </c>
      <c r="K57" s="16">
        <v>4.078125</v>
      </c>
      <c r="L57" s="20"/>
      <c r="M57" s="20"/>
      <c r="N57" s="20"/>
      <c r="O57" s="20"/>
      <c r="P57" s="20"/>
      <c r="Q57" s="20"/>
      <c r="R57" s="20"/>
      <c r="S57" s="20"/>
      <c r="T57" s="20"/>
    </row>
    <row r="58" ht="12.75" customHeight="1">
      <c r="A58" s="12" t="s">
        <v>56</v>
      </c>
      <c r="B58" s="12" t="s">
        <v>68</v>
      </c>
      <c r="C58" s="16">
        <v>22.4</v>
      </c>
      <c r="D58" s="16">
        <v>21.7</v>
      </c>
      <c r="E58" s="16">
        <v>25.8</v>
      </c>
      <c r="F58" s="16">
        <v>29.7</v>
      </c>
      <c r="G58" s="16">
        <v>29.7</v>
      </c>
      <c r="H58" s="16">
        <v>29.7</v>
      </c>
      <c r="I58" s="16">
        <v>29.75</v>
      </c>
      <c r="J58" s="16">
        <v>24.6875</v>
      </c>
      <c r="K58" s="16">
        <v>21.859375</v>
      </c>
      <c r="L58" s="20"/>
      <c r="M58" s="20"/>
      <c r="N58" s="20"/>
      <c r="O58" s="20"/>
      <c r="P58" s="20"/>
      <c r="Q58" s="20"/>
      <c r="R58" s="20"/>
      <c r="S58" s="20"/>
      <c r="T58" s="20"/>
    </row>
    <row r="59" ht="12.75" customHeight="1">
      <c r="A59" s="12" t="s">
        <v>56</v>
      </c>
      <c r="B59" s="12" t="s">
        <v>69</v>
      </c>
      <c r="C59" s="16">
        <v>6.5</v>
      </c>
      <c r="D59" s="16">
        <v>6.8</v>
      </c>
      <c r="E59" s="16">
        <v>7.300000000000001</v>
      </c>
      <c r="F59" s="16">
        <v>7.300000000000001</v>
      </c>
      <c r="G59" s="16">
        <v>7.4</v>
      </c>
      <c r="H59" s="16">
        <v>7.699999999999999</v>
      </c>
      <c r="I59" s="16">
        <v>7.875</v>
      </c>
      <c r="J59" s="16">
        <v>8.0</v>
      </c>
      <c r="K59" s="16">
        <v>7.699999999999999</v>
      </c>
      <c r="L59" s="20"/>
      <c r="M59" s="20"/>
      <c r="N59" s="20"/>
      <c r="O59" s="20"/>
      <c r="P59" s="20"/>
      <c r="Q59" s="20"/>
      <c r="R59" s="20"/>
      <c r="S59" s="20"/>
      <c r="T59" s="20"/>
    </row>
    <row r="60" ht="12.75" customHeight="1">
      <c r="A60" s="12" t="s">
        <v>56</v>
      </c>
      <c r="B60" s="12" t="s">
        <v>70</v>
      </c>
      <c r="C60" s="15">
        <v>0.84</v>
      </c>
      <c r="D60" s="15">
        <v>0.9</v>
      </c>
      <c r="E60" s="15">
        <v>0.85</v>
      </c>
      <c r="F60" s="15">
        <v>0.87</v>
      </c>
      <c r="G60" s="15">
        <v>0.84</v>
      </c>
      <c r="H60" s="15">
        <v>0.88</v>
      </c>
      <c r="I60" s="15">
        <v>1.1</v>
      </c>
      <c r="J60" s="15">
        <v>1.375</v>
      </c>
      <c r="K60" s="15">
        <v>1.71875</v>
      </c>
      <c r="L60" s="20"/>
      <c r="M60" s="20"/>
      <c r="N60" s="20"/>
      <c r="O60" s="20"/>
      <c r="P60" s="20"/>
      <c r="Q60" s="20"/>
      <c r="R60" s="20"/>
      <c r="S60" s="20"/>
      <c r="T60" s="20"/>
    </row>
    <row r="61" ht="12.75" customHeight="1">
      <c r="A61" s="12" t="s">
        <v>56</v>
      </c>
      <c r="B61" s="12" t="s">
        <v>71</v>
      </c>
      <c r="C61" s="13">
        <v>118800.0</v>
      </c>
      <c r="D61" s="13">
        <v>126945.0</v>
      </c>
      <c r="E61" s="13">
        <v>132480.0</v>
      </c>
      <c r="F61" s="13">
        <v>238079.99999999997</v>
      </c>
      <c r="G61" s="13">
        <v>155100.0</v>
      </c>
      <c r="H61" s="13">
        <v>176700.0</v>
      </c>
      <c r="I61" s="13">
        <v>223200.00000000003</v>
      </c>
      <c r="J61" s="13">
        <v>281906.25</v>
      </c>
      <c r="K61" s="13">
        <v>356015.62500000006</v>
      </c>
      <c r="L61" s="21"/>
      <c r="M61" s="21"/>
      <c r="N61" s="21"/>
      <c r="O61" s="21"/>
      <c r="P61" s="21"/>
      <c r="Q61" s="21"/>
      <c r="R61" s="21"/>
      <c r="S61" s="21"/>
      <c r="T61" s="21"/>
    </row>
    <row r="62" ht="12.75" customHeight="1">
      <c r="A62" s="12" t="s">
        <v>56</v>
      </c>
      <c r="B62" s="12" t="s">
        <v>72</v>
      </c>
      <c r="C62" s="13">
        <v>76776.9</v>
      </c>
      <c r="D62" s="13">
        <v>80370.0</v>
      </c>
      <c r="E62" s="13">
        <v>83670.0</v>
      </c>
      <c r="F62" s="13">
        <v>80629.5</v>
      </c>
      <c r="G62" s="13">
        <v>93870.0</v>
      </c>
      <c r="H62" s="13">
        <v>96295.2</v>
      </c>
      <c r="I62" s="13">
        <v>120369.0</v>
      </c>
      <c r="J62" s="13">
        <v>150461.25</v>
      </c>
      <c r="K62" s="13">
        <v>188076.5625</v>
      </c>
      <c r="L62" s="21"/>
      <c r="M62" s="21"/>
      <c r="N62" s="21"/>
      <c r="O62" s="21"/>
      <c r="P62" s="21"/>
      <c r="Q62" s="21"/>
      <c r="R62" s="21"/>
      <c r="S62" s="21"/>
      <c r="T62" s="21"/>
    </row>
    <row r="63" ht="12.75" customHeight="1">
      <c r="A63" s="12" t="s">
        <v>56</v>
      </c>
      <c r="B63" s="12" t="s">
        <v>46</v>
      </c>
      <c r="C63" s="13">
        <v>228285.9</v>
      </c>
      <c r="D63" s="13">
        <v>236601.0</v>
      </c>
      <c r="E63" s="13">
        <v>242037.9</v>
      </c>
      <c r="F63" s="13">
        <v>247410.0</v>
      </c>
      <c r="G63" s="13">
        <v>247410.0</v>
      </c>
      <c r="H63" s="13">
        <v>247410.0</v>
      </c>
      <c r="I63" s="13">
        <v>284326.2</v>
      </c>
      <c r="J63" s="13">
        <v>276410.7</v>
      </c>
      <c r="K63" s="13">
        <v>302326.2</v>
      </c>
      <c r="L63" s="21"/>
      <c r="M63" s="21"/>
      <c r="N63" s="21"/>
      <c r="O63" s="21"/>
      <c r="P63" s="21"/>
      <c r="Q63" s="21"/>
      <c r="R63" s="21"/>
      <c r="S63" s="21"/>
      <c r="T63" s="21"/>
    </row>
    <row r="64" ht="12.75" customHeight="1">
      <c r="A64" s="12" t="s">
        <v>56</v>
      </c>
      <c r="B64" s="12" t="s">
        <v>73</v>
      </c>
      <c r="C64" s="13">
        <v>8625.0</v>
      </c>
      <c r="D64" s="13">
        <v>9240.0</v>
      </c>
      <c r="E64" s="13">
        <v>9462.0</v>
      </c>
      <c r="F64" s="13">
        <v>9810.0</v>
      </c>
      <c r="G64" s="13">
        <v>10161.0</v>
      </c>
      <c r="H64" s="13">
        <v>10470.0</v>
      </c>
      <c r="I64" s="13">
        <v>10770.0</v>
      </c>
      <c r="J64" s="13">
        <v>11070.0</v>
      </c>
      <c r="K64" s="13">
        <v>11370.0</v>
      </c>
      <c r="L64" s="21"/>
      <c r="M64" s="21"/>
      <c r="N64" s="21"/>
      <c r="O64" s="21"/>
      <c r="P64" s="21"/>
      <c r="Q64" s="21"/>
      <c r="R64" s="21"/>
      <c r="S64" s="21"/>
      <c r="T64" s="21"/>
    </row>
    <row r="65" ht="12.75" customHeight="1">
      <c r="A65" s="12" t="s">
        <v>56</v>
      </c>
      <c r="B65" s="12" t="s">
        <v>74</v>
      </c>
      <c r="C65" s="16">
        <v>0.7</v>
      </c>
      <c r="D65" s="16">
        <v>0.5</v>
      </c>
      <c r="E65" s="16">
        <v>0.5</v>
      </c>
      <c r="F65" s="16">
        <v>0.3999999999999999</v>
      </c>
      <c r="G65" s="16">
        <v>0.19999999999999996</v>
      </c>
      <c r="H65" s="16">
        <v>0.30000000000000004</v>
      </c>
      <c r="I65" s="16">
        <v>0.7</v>
      </c>
      <c r="J65" s="16">
        <v>0.5</v>
      </c>
      <c r="K65" s="16">
        <v>0.30000000000000004</v>
      </c>
      <c r="L65" s="23"/>
      <c r="M65" s="23"/>
      <c r="N65" s="23"/>
      <c r="O65" s="23"/>
      <c r="P65" s="23"/>
      <c r="Q65" s="23"/>
      <c r="R65" s="23"/>
      <c r="S65" s="23"/>
      <c r="T65" s="23"/>
    </row>
    <row r="66" ht="12.75" customHeight="1">
      <c r="A66" s="12" t="s">
        <v>56</v>
      </c>
      <c r="B66" s="12" t="s">
        <v>75</v>
      </c>
      <c r="C66" s="16">
        <v>1.9</v>
      </c>
      <c r="D66" s="16">
        <v>1.9</v>
      </c>
      <c r="E66" s="16">
        <v>2.0</v>
      </c>
      <c r="F66" s="16">
        <v>2.0</v>
      </c>
      <c r="G66" s="16">
        <v>2.1</v>
      </c>
      <c r="H66" s="16">
        <v>2.2</v>
      </c>
      <c r="I66" s="16">
        <v>1.9</v>
      </c>
      <c r="J66" s="16">
        <v>1.9</v>
      </c>
      <c r="K66" s="16">
        <v>2.0</v>
      </c>
      <c r="L66" s="23"/>
      <c r="M66" s="23"/>
      <c r="N66" s="23"/>
      <c r="O66" s="23"/>
      <c r="P66" s="23"/>
      <c r="Q66" s="23"/>
      <c r="R66" s="23"/>
      <c r="S66" s="23"/>
      <c r="T66" s="23"/>
    </row>
    <row r="67" ht="12.75" customHeight="1">
      <c r="A67" s="12" t="s">
        <v>56</v>
      </c>
      <c r="B67" s="12" t="s">
        <v>76</v>
      </c>
      <c r="C67" s="16">
        <v>2.45</v>
      </c>
      <c r="D67" s="16">
        <v>2.6</v>
      </c>
      <c r="E67" s="16">
        <v>2.55</v>
      </c>
      <c r="F67" s="16">
        <v>2.65</v>
      </c>
      <c r="G67" s="16">
        <v>2.7</v>
      </c>
      <c r="H67" s="16">
        <v>2.9</v>
      </c>
      <c r="I67" s="16">
        <v>2.9</v>
      </c>
      <c r="J67" s="16">
        <v>2.6</v>
      </c>
      <c r="K67" s="16">
        <v>2.9</v>
      </c>
      <c r="L67" s="23"/>
      <c r="M67" s="23"/>
      <c r="N67" s="23"/>
      <c r="O67" s="23"/>
      <c r="P67" s="23"/>
      <c r="Q67" s="23"/>
      <c r="R67" s="23"/>
      <c r="S67" s="23"/>
      <c r="T67" s="23"/>
    </row>
    <row r="68" ht="12.75" customHeight="1">
      <c r="A68" s="12" t="s">
        <v>56</v>
      </c>
      <c r="B68" s="12" t="s">
        <v>77</v>
      </c>
      <c r="C68" s="16">
        <v>2.0</v>
      </c>
      <c r="D68" s="16">
        <v>1.4</v>
      </c>
      <c r="E68" s="16">
        <v>3.0</v>
      </c>
      <c r="F68" s="16">
        <v>2.0</v>
      </c>
      <c r="G68" s="16">
        <v>3.0</v>
      </c>
      <c r="H68" s="16">
        <v>2.0</v>
      </c>
      <c r="I68" s="16">
        <v>2.5</v>
      </c>
      <c r="J68" s="16">
        <v>1.6</v>
      </c>
      <c r="K68" s="16">
        <v>1.5</v>
      </c>
    </row>
    <row r="69" ht="12.75" customHeight="1">
      <c r="A69" s="9"/>
      <c r="B69" s="9"/>
      <c r="C69" s="24"/>
      <c r="D69" s="24"/>
      <c r="E69" s="24"/>
      <c r="F69" s="24"/>
      <c r="G69" s="24"/>
      <c r="H69" s="24"/>
      <c r="I69" s="24"/>
      <c r="J69" s="24"/>
      <c r="K69" s="24"/>
    </row>
    <row r="70" ht="12.75" customHeight="1">
      <c r="A70" s="9"/>
      <c r="B70" s="9"/>
      <c r="G70" s="25"/>
      <c r="H70" s="25"/>
      <c r="I70" s="25"/>
      <c r="J70" s="25"/>
      <c r="K70" s="25"/>
    </row>
    <row r="71" ht="12.75" customHeight="1">
      <c r="A71" s="9"/>
      <c r="B71" s="9"/>
      <c r="G71" s="24"/>
      <c r="H71" s="24"/>
      <c r="I71" s="24"/>
      <c r="J71" s="24"/>
      <c r="K71" s="24"/>
    </row>
    <row r="72" ht="12.75" customHeight="1">
      <c r="A72" s="9"/>
      <c r="B72" s="9"/>
      <c r="G72" s="24"/>
      <c r="H72" s="24"/>
      <c r="I72" s="24"/>
      <c r="J72" s="24"/>
      <c r="K72" s="24"/>
    </row>
    <row r="73" ht="12.75" customHeight="1">
      <c r="A73" s="9"/>
      <c r="B73" s="9"/>
      <c r="G73" s="24"/>
      <c r="H73" s="24"/>
      <c r="I73" s="24"/>
      <c r="J73" s="24"/>
      <c r="K73" s="24"/>
    </row>
    <row r="74" ht="12.75" customHeight="1">
      <c r="A74" s="9"/>
      <c r="B74" s="9"/>
      <c r="G74" s="24"/>
      <c r="H74" s="24"/>
      <c r="I74" s="24"/>
      <c r="J74" s="24"/>
      <c r="K74" s="24"/>
    </row>
    <row r="75" ht="12.75" customHeight="1">
      <c r="A75" s="9"/>
      <c r="B75" s="9"/>
      <c r="G75" s="24"/>
      <c r="H75" s="24"/>
      <c r="I75" s="24"/>
      <c r="J75" s="24"/>
      <c r="K75" s="24"/>
    </row>
    <row r="76" ht="12.75" customHeight="1">
      <c r="A76" s="9"/>
      <c r="B76" s="9"/>
      <c r="G76" s="24"/>
      <c r="H76" s="24"/>
      <c r="I76" s="24"/>
      <c r="J76" s="24"/>
      <c r="K76" s="24"/>
    </row>
    <row r="77" ht="12.75" customHeight="1">
      <c r="A77" s="9"/>
      <c r="B77" s="9"/>
      <c r="G77" s="24"/>
      <c r="H77" s="24"/>
      <c r="I77" s="24"/>
      <c r="J77" s="24"/>
      <c r="K77" s="24"/>
    </row>
    <row r="78" ht="12.75" customHeight="1">
      <c r="A78" s="9"/>
      <c r="B78" s="9"/>
      <c r="G78" s="24"/>
      <c r="H78" s="24"/>
      <c r="I78" s="24"/>
      <c r="J78" s="24"/>
      <c r="K78" s="24"/>
    </row>
    <row r="79" ht="12.75" customHeight="1">
      <c r="A79" s="9"/>
      <c r="B79" s="9"/>
      <c r="G79" s="24"/>
      <c r="H79" s="24"/>
      <c r="I79" s="24"/>
      <c r="J79" s="24"/>
      <c r="K79" s="24"/>
    </row>
    <row r="80" ht="12.75" customHeight="1">
      <c r="A80" s="9"/>
      <c r="B80" s="9"/>
      <c r="G80" s="24"/>
      <c r="H80" s="24"/>
      <c r="I80" s="24"/>
      <c r="J80" s="24"/>
      <c r="K80" s="24"/>
    </row>
    <row r="81" ht="12.75" customHeight="1">
      <c r="A81" s="9"/>
      <c r="B81" s="9"/>
      <c r="G81" s="24"/>
      <c r="H81" s="24"/>
      <c r="I81" s="24"/>
      <c r="J81" s="24"/>
      <c r="K81" s="24"/>
    </row>
    <row r="82" ht="12.75" customHeight="1">
      <c r="A82" s="9"/>
      <c r="B82" s="9"/>
      <c r="G82" s="24"/>
      <c r="H82" s="24"/>
      <c r="I82" s="24"/>
      <c r="J82" s="24"/>
      <c r="K82" s="24"/>
    </row>
    <row r="83" ht="12.75" customHeight="1">
      <c r="A83" s="9"/>
      <c r="B83" s="9"/>
      <c r="G83" s="24"/>
      <c r="H83" s="24"/>
      <c r="I83" s="24"/>
      <c r="J83" s="24"/>
      <c r="K83" s="24"/>
    </row>
    <row r="84" ht="12.75" customHeight="1">
      <c r="A84" s="9"/>
      <c r="B84" s="9"/>
      <c r="G84" s="24"/>
      <c r="H84" s="24"/>
      <c r="I84" s="24"/>
      <c r="J84" s="24"/>
      <c r="K84" s="24"/>
    </row>
    <row r="85" ht="12.75" customHeight="1">
      <c r="A85" s="9"/>
      <c r="B85" s="9"/>
      <c r="G85" s="24"/>
      <c r="H85" s="24"/>
      <c r="I85" s="24"/>
      <c r="J85" s="24"/>
      <c r="K85" s="24"/>
    </row>
    <row r="86" ht="12.75" customHeight="1">
      <c r="A86" s="9"/>
      <c r="B86" s="9"/>
      <c r="G86" s="24"/>
      <c r="H86" s="24"/>
      <c r="I86" s="24"/>
      <c r="J86" s="24"/>
      <c r="K86" s="24"/>
    </row>
    <row r="87" ht="12.75" customHeight="1">
      <c r="A87" s="9"/>
      <c r="B87" s="9"/>
      <c r="G87" s="24"/>
      <c r="H87" s="24"/>
      <c r="I87" s="24"/>
      <c r="J87" s="24"/>
      <c r="K87" s="24"/>
    </row>
    <row r="88" ht="12.75" customHeight="1">
      <c r="A88" s="9"/>
      <c r="B88" s="9"/>
      <c r="G88" s="24"/>
      <c r="H88" s="24"/>
      <c r="I88" s="24"/>
      <c r="J88" s="24"/>
      <c r="K88" s="24"/>
    </row>
    <row r="89" ht="12.75" customHeight="1">
      <c r="A89" s="9"/>
      <c r="B89" s="9"/>
      <c r="G89" s="24"/>
      <c r="H89" s="24"/>
      <c r="I89" s="24"/>
      <c r="J89" s="24"/>
      <c r="K89" s="24"/>
    </row>
    <row r="90" ht="12.75" customHeight="1">
      <c r="A90" s="9"/>
      <c r="B90" s="9"/>
      <c r="G90" s="24"/>
      <c r="H90" s="24"/>
      <c r="I90" s="24"/>
      <c r="J90" s="24"/>
      <c r="K90" s="24"/>
    </row>
    <row r="91" ht="12.75" customHeight="1">
      <c r="A91" s="9"/>
      <c r="B91" s="9"/>
      <c r="G91" s="24"/>
      <c r="H91" s="24"/>
      <c r="I91" s="24"/>
      <c r="J91" s="24"/>
      <c r="K91" s="24"/>
    </row>
    <row r="92" ht="12.75" customHeight="1">
      <c r="A92" s="9"/>
      <c r="B92" s="9"/>
      <c r="G92" s="24"/>
      <c r="H92" s="24"/>
      <c r="I92" s="24"/>
      <c r="J92" s="24"/>
      <c r="K92" s="24"/>
    </row>
    <row r="93" ht="12.75" customHeight="1">
      <c r="A93" s="9"/>
      <c r="B93" s="9"/>
      <c r="G93" s="24"/>
      <c r="H93" s="24"/>
      <c r="I93" s="24"/>
      <c r="J93" s="24"/>
      <c r="K93" s="24"/>
    </row>
    <row r="94" ht="12.75" customHeight="1">
      <c r="A94" s="9"/>
      <c r="B94" s="9"/>
      <c r="G94" s="24"/>
      <c r="H94" s="24"/>
      <c r="I94" s="24"/>
      <c r="J94" s="24"/>
      <c r="K94" s="24"/>
    </row>
    <row r="95" ht="12.75" customHeight="1">
      <c r="A95" s="9"/>
      <c r="B95" s="9"/>
      <c r="G95" s="24"/>
      <c r="H95" s="24"/>
      <c r="I95" s="24"/>
      <c r="J95" s="24"/>
      <c r="K95" s="24"/>
    </row>
    <row r="96" ht="12.75" customHeight="1">
      <c r="A96" s="9"/>
      <c r="B96" s="9"/>
      <c r="G96" s="24"/>
      <c r="H96" s="24"/>
      <c r="I96" s="24"/>
      <c r="J96" s="24"/>
      <c r="K96" s="24"/>
    </row>
    <row r="97" ht="12.75" customHeight="1">
      <c r="A97" s="9"/>
      <c r="B97" s="9"/>
      <c r="G97" s="24"/>
      <c r="H97" s="24"/>
      <c r="I97" s="24"/>
      <c r="J97" s="24"/>
      <c r="K97" s="24"/>
    </row>
    <row r="98" ht="12.75" customHeight="1">
      <c r="A98" s="9"/>
      <c r="B98" s="9"/>
      <c r="G98" s="24"/>
      <c r="H98" s="24"/>
      <c r="I98" s="24"/>
      <c r="J98" s="24"/>
      <c r="K98" s="24"/>
    </row>
    <row r="99" ht="12.75" customHeight="1">
      <c r="A99" s="9"/>
      <c r="B99" s="9"/>
      <c r="G99" s="24"/>
      <c r="H99" s="24"/>
      <c r="I99" s="24"/>
      <c r="J99" s="24"/>
      <c r="K99" s="24"/>
    </row>
    <row r="100" ht="12.75" customHeight="1">
      <c r="A100" s="9"/>
      <c r="B100" s="9"/>
      <c r="G100" s="24"/>
      <c r="H100" s="24"/>
      <c r="I100" s="24"/>
      <c r="J100" s="24"/>
      <c r="K100" s="24"/>
    </row>
    <row r="101" ht="12.75" customHeight="1">
      <c r="A101" s="9"/>
      <c r="B101" s="9"/>
      <c r="G101" s="24"/>
      <c r="H101" s="24"/>
      <c r="I101" s="24"/>
      <c r="J101" s="24"/>
      <c r="K101" s="24"/>
    </row>
    <row r="102" ht="12.75" customHeight="1">
      <c r="A102" s="9"/>
      <c r="B102" s="9"/>
      <c r="G102" s="24"/>
      <c r="H102" s="24"/>
      <c r="I102" s="24"/>
      <c r="J102" s="24"/>
      <c r="K102" s="24"/>
    </row>
    <row r="103" ht="12.75" customHeight="1">
      <c r="A103" s="9"/>
      <c r="B103" s="9"/>
      <c r="G103" s="24"/>
      <c r="H103" s="24"/>
      <c r="I103" s="24"/>
      <c r="J103" s="24"/>
      <c r="K103" s="24"/>
    </row>
    <row r="104" ht="12.75" customHeight="1">
      <c r="A104" s="9"/>
      <c r="B104" s="9"/>
      <c r="G104" s="24"/>
      <c r="H104" s="24"/>
      <c r="I104" s="24"/>
      <c r="J104" s="24"/>
      <c r="K104" s="24"/>
    </row>
    <row r="105" ht="12.75" customHeight="1">
      <c r="A105" s="9"/>
      <c r="B105" s="9"/>
      <c r="G105" s="24"/>
      <c r="H105" s="24"/>
      <c r="I105" s="24"/>
      <c r="J105" s="24"/>
      <c r="K105" s="24"/>
    </row>
    <row r="106" ht="12.75" customHeight="1">
      <c r="A106" s="9"/>
      <c r="B106" s="9"/>
      <c r="G106" s="24"/>
      <c r="H106" s="24"/>
      <c r="I106" s="24"/>
      <c r="J106" s="24"/>
      <c r="K106" s="24"/>
    </row>
    <row r="107" ht="12.75" customHeight="1">
      <c r="A107" s="9"/>
      <c r="B107" s="9"/>
      <c r="G107" s="24"/>
      <c r="H107" s="24"/>
      <c r="I107" s="24"/>
      <c r="J107" s="24"/>
      <c r="K107" s="24"/>
    </row>
    <row r="108" ht="12.75" customHeight="1">
      <c r="A108" s="9"/>
      <c r="B108" s="9"/>
      <c r="G108" s="24"/>
      <c r="H108" s="24"/>
      <c r="I108" s="24"/>
      <c r="J108" s="24"/>
      <c r="K108" s="24"/>
    </row>
    <row r="109" ht="12.75" customHeight="1">
      <c r="A109" s="9"/>
      <c r="B109" s="9"/>
      <c r="G109" s="24"/>
      <c r="H109" s="24"/>
      <c r="I109" s="24"/>
      <c r="J109" s="24"/>
      <c r="K109" s="24"/>
    </row>
    <row r="110" ht="12.75" customHeight="1">
      <c r="A110" s="9"/>
      <c r="B110" s="9"/>
    </row>
    <row r="111" ht="12.75" customHeight="1">
      <c r="A111" s="9"/>
      <c r="B111" s="9"/>
    </row>
    <row r="112" ht="12.75" customHeight="1">
      <c r="A112" s="9"/>
      <c r="B112" s="9"/>
    </row>
    <row r="113" ht="12.75" customHeight="1">
      <c r="A113" s="9"/>
      <c r="B113" s="9"/>
    </row>
    <row r="114" ht="12.75" customHeight="1">
      <c r="A114" s="9"/>
      <c r="B114" s="9"/>
    </row>
    <row r="115" ht="12.75" customHeight="1">
      <c r="A115" s="9"/>
      <c r="B115" s="9"/>
    </row>
    <row r="116" ht="12.75" customHeight="1">
      <c r="A116" s="9"/>
      <c r="B116" s="9"/>
    </row>
    <row r="117" ht="12.75" customHeight="1">
      <c r="A117" s="9"/>
      <c r="B117" s="9"/>
    </row>
    <row r="118" ht="12.75" customHeight="1">
      <c r="A118" s="9"/>
      <c r="B118" s="9"/>
    </row>
    <row r="119" ht="12.75" customHeight="1">
      <c r="A119" s="9"/>
      <c r="B119" s="9"/>
      <c r="G119" s="20"/>
    </row>
    <row r="120" ht="12.75" customHeight="1">
      <c r="A120" s="9"/>
      <c r="B120" s="9"/>
      <c r="G120" s="20"/>
    </row>
    <row r="121" ht="12.75" customHeight="1">
      <c r="A121" s="9"/>
      <c r="B121" s="9"/>
      <c r="G121" s="20"/>
    </row>
    <row r="122" ht="12.75" customHeight="1">
      <c r="A122" s="9"/>
      <c r="B122" s="9"/>
      <c r="G122" s="20"/>
    </row>
    <row r="123" ht="12.75" customHeight="1">
      <c r="A123" s="9"/>
      <c r="B123" s="9"/>
      <c r="G123" s="20"/>
    </row>
    <row r="124" ht="12.75" customHeight="1">
      <c r="A124" s="9"/>
      <c r="B124" s="9"/>
    </row>
    <row r="125" ht="12.75" customHeight="1">
      <c r="A125" s="9"/>
      <c r="B125" s="9"/>
      <c r="G125" s="20"/>
    </row>
    <row r="126" ht="12.75" customHeight="1">
      <c r="A126" s="9"/>
      <c r="B126" s="9"/>
      <c r="G126" s="20"/>
    </row>
    <row r="127" ht="12.75" customHeight="1">
      <c r="A127" s="9"/>
      <c r="B127" s="9"/>
      <c r="G127" s="20"/>
    </row>
    <row r="128" ht="12.75" customHeight="1">
      <c r="A128" s="9"/>
      <c r="B128" s="9"/>
      <c r="G128" s="20"/>
    </row>
    <row r="129" ht="12.75" customHeight="1">
      <c r="A129" s="9"/>
      <c r="B129" s="9"/>
      <c r="G129" s="20"/>
    </row>
    <row r="130" ht="12.75" customHeight="1">
      <c r="A130" s="9"/>
      <c r="B130" s="9"/>
    </row>
    <row r="131" ht="12.75" customHeight="1">
      <c r="A131" s="9"/>
      <c r="B131" s="9"/>
      <c r="G131" s="26"/>
    </row>
    <row r="132" ht="12.75" customHeight="1">
      <c r="A132" s="9"/>
      <c r="B132" s="9"/>
      <c r="G132" s="26"/>
    </row>
    <row r="133" ht="12.75" customHeight="1">
      <c r="A133" s="9"/>
      <c r="B133" s="9"/>
      <c r="G133" s="26"/>
    </row>
    <row r="134" ht="12.75" customHeight="1">
      <c r="A134" s="9"/>
      <c r="B134" s="9"/>
      <c r="G134" s="26"/>
    </row>
    <row r="135" ht="12.75" customHeight="1">
      <c r="A135" s="9"/>
      <c r="B135" s="9"/>
      <c r="G135" s="26"/>
    </row>
    <row r="136" ht="12.75" customHeight="1">
      <c r="A136" s="9"/>
      <c r="B136" s="9"/>
    </row>
    <row r="137" ht="12.75" customHeight="1">
      <c r="A137" s="9"/>
      <c r="B137" s="9"/>
    </row>
    <row r="138" ht="12.75" customHeight="1">
      <c r="A138" s="9"/>
      <c r="B138" s="9"/>
    </row>
    <row r="139" ht="12.75" customHeight="1">
      <c r="A139" s="9"/>
      <c r="B139" s="9"/>
    </row>
    <row r="140" ht="12.75" customHeight="1">
      <c r="A140" s="9"/>
      <c r="B140" s="9"/>
    </row>
    <row r="141" ht="12.75" customHeight="1">
      <c r="A141" s="9"/>
      <c r="B141" s="9"/>
    </row>
    <row r="142" ht="12.75" customHeight="1">
      <c r="A142" s="9"/>
      <c r="B142" s="9"/>
    </row>
    <row r="143" ht="12.75" customHeight="1">
      <c r="A143" s="9"/>
      <c r="B143" s="9"/>
    </row>
    <row r="144" ht="12.75" customHeight="1">
      <c r="A144" s="9"/>
      <c r="B144" s="9"/>
    </row>
    <row r="145" ht="12.75" customHeight="1">
      <c r="A145" s="9"/>
      <c r="B145" s="9"/>
    </row>
    <row r="146" ht="12.75" customHeight="1">
      <c r="A146" s="9"/>
      <c r="B146" s="9"/>
    </row>
    <row r="147" ht="12.75" customHeight="1">
      <c r="A147" s="9"/>
      <c r="B147" s="9"/>
    </row>
    <row r="148" ht="12.75" customHeight="1">
      <c r="A148" s="9"/>
      <c r="B148" s="9"/>
    </row>
    <row r="149" ht="12.75" customHeight="1">
      <c r="A149" s="9"/>
      <c r="B149" s="9"/>
    </row>
    <row r="150" ht="12.75" customHeight="1">
      <c r="A150" s="9"/>
      <c r="B150" s="9"/>
    </row>
    <row r="151" ht="12.75" customHeight="1">
      <c r="A151" s="9"/>
      <c r="B151" s="9"/>
    </row>
    <row r="152" ht="12.75" customHeight="1">
      <c r="A152" s="9"/>
      <c r="B152" s="9"/>
    </row>
    <row r="153" ht="12.75" customHeight="1">
      <c r="A153" s="9"/>
      <c r="B153" s="9"/>
    </row>
    <row r="154" ht="12.75" customHeight="1">
      <c r="A154" s="9"/>
      <c r="B154" s="9"/>
    </row>
    <row r="155" ht="12.75" customHeight="1">
      <c r="A155" s="9"/>
      <c r="B155" s="9"/>
    </row>
    <row r="156" ht="12.75" customHeight="1">
      <c r="A156" s="9"/>
      <c r="B156" s="9"/>
    </row>
    <row r="157" ht="12.75" customHeight="1">
      <c r="A157" s="9"/>
      <c r="B157" s="9"/>
    </row>
    <row r="158" ht="12.75" customHeight="1">
      <c r="A158" s="9"/>
      <c r="B158" s="9"/>
    </row>
    <row r="159" ht="12.75" customHeight="1">
      <c r="A159" s="9"/>
      <c r="B159" s="9"/>
    </row>
    <row r="160" ht="12.75" customHeight="1">
      <c r="A160" s="9"/>
      <c r="B160" s="9"/>
    </row>
    <row r="161" ht="12.75" customHeight="1">
      <c r="A161" s="9"/>
      <c r="B161" s="9"/>
    </row>
    <row r="162" ht="12.75" customHeight="1">
      <c r="A162" s="9"/>
      <c r="B162" s="9"/>
    </row>
    <row r="163" ht="12.75" customHeight="1">
      <c r="A163" s="9"/>
      <c r="B163" s="9"/>
    </row>
    <row r="164" ht="12.75" customHeight="1">
      <c r="A164" s="9"/>
      <c r="B164" s="9"/>
    </row>
    <row r="165" ht="12.75" customHeight="1">
      <c r="A165" s="9"/>
      <c r="B165" s="9"/>
    </row>
    <row r="166" ht="12.75" customHeight="1">
      <c r="A166" s="9"/>
      <c r="B166" s="9"/>
    </row>
    <row r="167" ht="12.75" customHeight="1">
      <c r="A167" s="9"/>
      <c r="B167" s="9"/>
    </row>
    <row r="168" ht="12.75" customHeight="1">
      <c r="A168" s="9"/>
      <c r="B168" s="9"/>
    </row>
    <row r="169" ht="12.75" customHeight="1">
      <c r="A169" s="9"/>
      <c r="B169" s="9"/>
    </row>
    <row r="170" ht="12.75" customHeight="1">
      <c r="A170" s="9"/>
      <c r="B170" s="9"/>
    </row>
    <row r="171" ht="12.75" customHeight="1">
      <c r="A171" s="9"/>
      <c r="B171" s="9"/>
    </row>
    <row r="172" ht="12.75" customHeight="1">
      <c r="A172" s="9"/>
      <c r="B172" s="9"/>
    </row>
    <row r="173" ht="12.75" customHeight="1">
      <c r="A173" s="9"/>
      <c r="B173" s="9"/>
    </row>
    <row r="174" ht="12.75" customHeight="1">
      <c r="A174" s="9"/>
      <c r="B174" s="9"/>
    </row>
    <row r="175" ht="12.75" customHeight="1">
      <c r="A175" s="9"/>
      <c r="B175" s="9"/>
    </row>
    <row r="176" ht="12.75" customHeight="1">
      <c r="A176" s="9"/>
      <c r="B176" s="9"/>
    </row>
    <row r="177" ht="12.75" customHeight="1">
      <c r="A177" s="9"/>
      <c r="B177" s="9"/>
    </row>
    <row r="178" ht="12.75" customHeight="1">
      <c r="A178" s="9"/>
      <c r="B178" s="9"/>
    </row>
    <row r="179" ht="12.75" customHeight="1">
      <c r="A179" s="9"/>
      <c r="B179" s="9"/>
      <c r="C179" s="9"/>
    </row>
    <row r="180" ht="12.75" customHeight="1">
      <c r="A180" s="9"/>
      <c r="B180" s="9"/>
      <c r="C180" s="9"/>
    </row>
    <row r="181" ht="12.75" customHeight="1">
      <c r="A181" s="9"/>
      <c r="B181" s="9"/>
      <c r="C181" s="9"/>
    </row>
    <row r="182" ht="12.75" customHeight="1">
      <c r="A182" s="9"/>
      <c r="B182" s="9"/>
      <c r="C182" s="9"/>
    </row>
    <row r="183" ht="12.75" customHeight="1">
      <c r="A183" s="9"/>
      <c r="B183" s="9"/>
      <c r="C183" s="9"/>
    </row>
    <row r="184" ht="12.75" customHeight="1">
      <c r="A184" s="9"/>
      <c r="B184" s="9"/>
      <c r="C184" s="9"/>
    </row>
    <row r="185" ht="12.75" customHeight="1">
      <c r="A185" s="9"/>
      <c r="B185" s="9"/>
      <c r="C185" s="9"/>
    </row>
    <row r="186" ht="12.75" customHeight="1">
      <c r="A186" s="9"/>
      <c r="B186" s="9"/>
      <c r="C186" s="9"/>
    </row>
    <row r="187" ht="12.75" customHeight="1">
      <c r="A187" s="9"/>
      <c r="B187" s="9"/>
      <c r="C187" s="9"/>
    </row>
    <row r="188" ht="12.75" customHeight="1">
      <c r="A188" s="9"/>
      <c r="B188" s="9"/>
    </row>
    <row r="189" ht="12.75" customHeight="1">
      <c r="A189" s="9"/>
      <c r="B189" s="9"/>
    </row>
    <row r="190" ht="12.75" customHeight="1">
      <c r="A190" s="9"/>
      <c r="B190" s="9"/>
    </row>
    <row r="191" ht="12.75" customHeight="1">
      <c r="A191" s="9"/>
      <c r="B191" s="9"/>
    </row>
    <row r="192" ht="12.75" customHeight="1">
      <c r="A192" s="9"/>
      <c r="B192" s="9"/>
    </row>
    <row r="193" ht="12.75" customHeight="1">
      <c r="A193" s="9"/>
      <c r="B193" s="9"/>
    </row>
    <row r="194" ht="12.75" customHeight="1">
      <c r="A194" s="9"/>
      <c r="B194" s="9"/>
    </row>
    <row r="195" ht="12.75" customHeight="1">
      <c r="A195" s="9"/>
      <c r="B195" s="9"/>
    </row>
    <row r="196" ht="12.75" customHeight="1">
      <c r="A196" s="9"/>
      <c r="B196" s="9"/>
    </row>
    <row r="197" ht="12.75" customHeight="1">
      <c r="A197" s="9"/>
      <c r="B197" s="9"/>
    </row>
    <row r="198" ht="12.75" customHeight="1">
      <c r="A198" s="9"/>
      <c r="B198" s="9"/>
    </row>
    <row r="199" ht="12.75" customHeight="1">
      <c r="A199" s="9"/>
      <c r="B199" s="9"/>
    </row>
    <row r="200" ht="12.75" customHeight="1">
      <c r="A200" s="9"/>
      <c r="B200" s="9"/>
    </row>
    <row r="201" ht="12.75" customHeight="1">
      <c r="A201" s="9"/>
      <c r="B201" s="9"/>
    </row>
    <row r="202" ht="12.75" customHeight="1">
      <c r="A202" s="9"/>
      <c r="B202" s="9"/>
    </row>
    <row r="203" ht="12.75" customHeight="1">
      <c r="A203" s="9"/>
      <c r="B203" s="9"/>
    </row>
    <row r="204" ht="12.75" customHeight="1">
      <c r="A204" s="9"/>
      <c r="B204" s="9"/>
    </row>
    <row r="205" ht="12.75" customHeight="1">
      <c r="A205" s="9"/>
      <c r="B205" s="9"/>
    </row>
    <row r="206" ht="12.75" customHeight="1">
      <c r="A206" s="9"/>
      <c r="B206" s="9"/>
    </row>
    <row r="207" ht="12.75" customHeight="1">
      <c r="A207" s="9"/>
      <c r="B207" s="9"/>
    </row>
    <row r="208" ht="12.75" customHeight="1">
      <c r="A208" s="9"/>
      <c r="B208" s="9"/>
    </row>
    <row r="209" ht="12.75" customHeight="1">
      <c r="A209" s="9"/>
      <c r="B209" s="9"/>
    </row>
    <row r="210" ht="12.75" customHeight="1">
      <c r="A210" s="9"/>
      <c r="B210" s="9"/>
    </row>
    <row r="211" ht="12.75" customHeight="1">
      <c r="A211" s="9"/>
      <c r="B211" s="9"/>
    </row>
    <row r="212" ht="12.75" customHeight="1">
      <c r="A212" s="9"/>
      <c r="B212" s="9"/>
    </row>
    <row r="213" ht="12.75" customHeight="1">
      <c r="A213" s="9"/>
      <c r="B213" s="9"/>
    </row>
    <row r="214" ht="12.75" customHeight="1">
      <c r="A214" s="9"/>
      <c r="B214" s="9"/>
    </row>
    <row r="215" ht="12.75" customHeight="1">
      <c r="A215" s="9"/>
      <c r="B215" s="9"/>
    </row>
    <row r="216" ht="12.75" customHeight="1">
      <c r="A216" s="9"/>
      <c r="B216" s="9"/>
    </row>
    <row r="217" ht="12.75" customHeight="1">
      <c r="A217" s="9"/>
      <c r="B217" s="9"/>
    </row>
    <row r="218" ht="12.75" customHeight="1">
      <c r="A218" s="9"/>
      <c r="B218" s="9"/>
    </row>
    <row r="219" ht="12.75" customHeight="1">
      <c r="A219" s="9"/>
      <c r="B219" s="9"/>
    </row>
    <row r="220" ht="12.75" customHeight="1">
      <c r="A220" s="9"/>
      <c r="B220" s="9"/>
    </row>
    <row r="221" ht="12.75" customHeight="1">
      <c r="A221" s="9"/>
      <c r="B221" s="9"/>
    </row>
    <row r="222" ht="12.75" customHeight="1">
      <c r="A222" s="9"/>
      <c r="B222" s="9"/>
    </row>
    <row r="223" ht="12.75" customHeight="1">
      <c r="A223" s="9"/>
      <c r="B223" s="9"/>
    </row>
    <row r="224" ht="12.75" customHeight="1">
      <c r="A224" s="9"/>
      <c r="B224" s="9"/>
    </row>
    <row r="225" ht="12.75" customHeight="1">
      <c r="A225" s="9"/>
      <c r="B225" s="9"/>
    </row>
    <row r="226" ht="12.75" customHeight="1">
      <c r="A226" s="9"/>
      <c r="B226" s="9"/>
    </row>
    <row r="227" ht="12.75" customHeight="1">
      <c r="A227" s="9"/>
      <c r="B227" s="9"/>
    </row>
    <row r="228" ht="12.75" customHeight="1">
      <c r="A228" s="9"/>
      <c r="B228" s="9"/>
    </row>
    <row r="229" ht="12.75" customHeight="1">
      <c r="A229" s="9"/>
      <c r="B229" s="9"/>
    </row>
    <row r="230" ht="12.75" customHeight="1">
      <c r="A230" s="9"/>
      <c r="B230" s="9"/>
    </row>
    <row r="231" ht="12.75" customHeight="1">
      <c r="A231" s="9"/>
      <c r="B231" s="9"/>
    </row>
    <row r="232" ht="12.75" customHeight="1">
      <c r="A232" s="9"/>
      <c r="B232" s="9"/>
    </row>
    <row r="233" ht="12.75" customHeight="1">
      <c r="A233" s="9"/>
      <c r="B233" s="9"/>
    </row>
    <row r="234" ht="12.75" customHeight="1">
      <c r="A234" s="9"/>
      <c r="B234" s="9"/>
    </row>
    <row r="235" ht="12.75" customHeight="1">
      <c r="A235" s="9"/>
      <c r="B235" s="9"/>
    </row>
    <row r="236" ht="12.75" customHeight="1">
      <c r="A236" s="9"/>
      <c r="B236" s="9"/>
    </row>
    <row r="237" ht="12.75" customHeight="1">
      <c r="A237" s="9"/>
      <c r="B237" s="9"/>
    </row>
    <row r="238" ht="12.75" customHeight="1">
      <c r="A238" s="9"/>
      <c r="B238" s="9"/>
    </row>
    <row r="239" ht="12.75" customHeight="1">
      <c r="A239" s="9"/>
      <c r="B239" s="9"/>
    </row>
    <row r="240" ht="12.75" customHeight="1">
      <c r="A240" s="9"/>
      <c r="B240" s="9"/>
    </row>
    <row r="241" ht="12.75" customHeight="1">
      <c r="A241" s="9"/>
      <c r="B241" s="9"/>
    </row>
    <row r="242" ht="12.75" customHeight="1">
      <c r="A242" s="9"/>
      <c r="B242" s="9"/>
    </row>
    <row r="243" ht="12.75" customHeight="1">
      <c r="A243" s="9"/>
      <c r="B243" s="9"/>
    </row>
    <row r="244" ht="12.75" customHeight="1">
      <c r="A244" s="9"/>
      <c r="B244" s="9"/>
    </row>
    <row r="245" ht="12.75" customHeight="1">
      <c r="A245" s="9"/>
      <c r="B245" s="9"/>
    </row>
    <row r="246" ht="12.75" customHeight="1">
      <c r="A246" s="9"/>
      <c r="B246" s="9"/>
    </row>
    <row r="247" ht="12.75" customHeight="1">
      <c r="A247" s="9"/>
      <c r="B247" s="9"/>
    </row>
    <row r="248" ht="12.75" customHeight="1">
      <c r="A248" s="9"/>
      <c r="B248" s="9"/>
    </row>
    <row r="249" ht="12.75" customHeight="1">
      <c r="A249" s="9"/>
      <c r="B249" s="9"/>
    </row>
    <row r="250" ht="12.75" customHeight="1">
      <c r="A250" s="9"/>
      <c r="B250" s="9"/>
    </row>
    <row r="251" ht="12.75" customHeight="1">
      <c r="A251" s="9"/>
      <c r="B251" s="9"/>
    </row>
    <row r="252" ht="12.75" customHeight="1">
      <c r="A252" s="9"/>
      <c r="B252" s="9"/>
    </row>
    <row r="253" ht="12.75" customHeight="1">
      <c r="A253" s="9"/>
      <c r="B253" s="9"/>
    </row>
    <row r="254" ht="12.75" customHeight="1">
      <c r="A254" s="9"/>
      <c r="B254" s="9"/>
    </row>
    <row r="255" ht="12.75" customHeight="1">
      <c r="A255" s="9"/>
      <c r="B255" s="9"/>
    </row>
    <row r="256" ht="12.75" customHeight="1">
      <c r="A256" s="9"/>
      <c r="B256" s="9"/>
    </row>
    <row r="257" ht="12.75" customHeight="1">
      <c r="A257" s="9"/>
      <c r="B257" s="9"/>
    </row>
    <row r="258" ht="12.75" customHeight="1">
      <c r="A258" s="9"/>
      <c r="B258" s="9"/>
    </row>
    <row r="259" ht="12.75" customHeight="1">
      <c r="A259" s="9"/>
      <c r="B259" s="9"/>
    </row>
    <row r="260" ht="12.75" customHeight="1">
      <c r="A260" s="9"/>
      <c r="B260" s="9"/>
    </row>
    <row r="261" ht="12.75" customHeight="1">
      <c r="A261" s="9"/>
      <c r="B261" s="9"/>
    </row>
    <row r="262" ht="12.75" customHeight="1">
      <c r="A262" s="9"/>
      <c r="B262" s="9"/>
    </row>
    <row r="263" ht="12.75" customHeight="1">
      <c r="A263" s="9"/>
      <c r="B263" s="9"/>
    </row>
    <row r="264" ht="12.75" customHeight="1">
      <c r="A264" s="9"/>
      <c r="B264" s="9"/>
    </row>
    <row r="265" ht="12.75" customHeight="1">
      <c r="A265" s="9"/>
      <c r="B265" s="9"/>
    </row>
    <row r="266" ht="12.75" customHeight="1">
      <c r="A266" s="9"/>
      <c r="B266" s="9"/>
    </row>
    <row r="267" ht="12.75" customHeight="1">
      <c r="A267" s="9"/>
      <c r="B267" s="9"/>
    </row>
    <row r="268" ht="12.75" customHeight="1">
      <c r="A268" s="9"/>
      <c r="B268" s="9"/>
    </row>
    <row r="269" ht="12.75" customHeight="1">
      <c r="A269" s="9"/>
      <c r="B269" s="9"/>
    </row>
    <row r="270" ht="12.75" customHeight="1">
      <c r="A270" s="9"/>
      <c r="B270" s="9"/>
    </row>
    <row r="271" ht="12.75" customHeight="1">
      <c r="A271" s="9"/>
      <c r="B271" s="9"/>
    </row>
    <row r="272" ht="12.75" customHeight="1">
      <c r="A272" s="9"/>
      <c r="B272" s="9"/>
    </row>
    <row r="273" ht="12.75" customHeight="1">
      <c r="A273" s="9"/>
      <c r="B273" s="9"/>
    </row>
    <row r="274" ht="12.75" customHeight="1">
      <c r="A274" s="9"/>
      <c r="B274" s="9"/>
    </row>
    <row r="275" ht="12.75" customHeight="1">
      <c r="A275" s="9"/>
      <c r="B275" s="9"/>
    </row>
    <row r="276" ht="12.75" customHeight="1">
      <c r="A276" s="9"/>
      <c r="B276" s="9"/>
    </row>
    <row r="277" ht="12.75" customHeight="1">
      <c r="A277" s="9"/>
      <c r="B277" s="9"/>
    </row>
    <row r="278" ht="12.75" customHeight="1">
      <c r="A278" s="9"/>
      <c r="B278" s="9"/>
    </row>
    <row r="279" ht="12.75" customHeight="1">
      <c r="A279" s="9"/>
      <c r="B279" s="9"/>
    </row>
    <row r="280" ht="12.75" customHeight="1">
      <c r="A280" s="9"/>
      <c r="B280" s="9"/>
    </row>
    <row r="281" ht="12.75" customHeight="1">
      <c r="A281" s="9"/>
      <c r="B281" s="9"/>
    </row>
    <row r="282" ht="12.75" customHeight="1">
      <c r="A282" s="9"/>
      <c r="B282" s="9"/>
    </row>
    <row r="283" ht="12.75" customHeight="1">
      <c r="A283" s="9"/>
      <c r="B283" s="9"/>
    </row>
    <row r="284" ht="12.75" customHeight="1">
      <c r="A284" s="9"/>
      <c r="B284" s="9"/>
    </row>
    <row r="285" ht="12.75" customHeight="1">
      <c r="A285" s="9"/>
      <c r="B285" s="9"/>
    </row>
    <row r="286" ht="12.75" customHeight="1">
      <c r="A286" s="9"/>
      <c r="B286" s="9"/>
    </row>
    <row r="287" ht="12.75" customHeight="1">
      <c r="A287" s="9"/>
      <c r="B287" s="9"/>
    </row>
    <row r="288" ht="12.75" customHeight="1">
      <c r="A288" s="9"/>
      <c r="B288" s="9"/>
    </row>
    <row r="289" ht="12.75" customHeight="1">
      <c r="A289" s="9"/>
      <c r="B289" s="9"/>
    </row>
    <row r="290" ht="12.75" customHeight="1">
      <c r="A290" s="9"/>
      <c r="B290" s="9"/>
    </row>
    <row r="291" ht="12.75" customHeight="1">
      <c r="A291" s="9"/>
      <c r="B291" s="9"/>
    </row>
    <row r="292" ht="12.75" customHeight="1">
      <c r="A292" s="9"/>
      <c r="B292" s="9"/>
    </row>
    <row r="293" ht="12.75" customHeight="1">
      <c r="A293" s="9"/>
      <c r="B293" s="9"/>
    </row>
    <row r="294" ht="12.75" customHeight="1">
      <c r="A294" s="9"/>
      <c r="B294" s="9"/>
    </row>
    <row r="295" ht="12.75" customHeight="1">
      <c r="A295" s="9"/>
      <c r="B295" s="9"/>
    </row>
    <row r="296" ht="12.75" customHeight="1">
      <c r="A296" s="9"/>
      <c r="B296" s="9"/>
    </row>
    <row r="297" ht="12.75" customHeight="1">
      <c r="A297" s="9"/>
      <c r="B297" s="9"/>
    </row>
    <row r="298" ht="12.75" customHeight="1">
      <c r="A298" s="9"/>
      <c r="B298" s="9"/>
    </row>
    <row r="299" ht="12.75" customHeight="1">
      <c r="A299" s="9"/>
      <c r="B299" s="9"/>
    </row>
    <row r="300" ht="12.75" customHeight="1">
      <c r="A300" s="9"/>
      <c r="B300" s="9"/>
    </row>
    <row r="301" ht="12.75" customHeight="1">
      <c r="A301" s="9"/>
      <c r="B301" s="9"/>
    </row>
    <row r="302" ht="12.75" customHeight="1">
      <c r="A302" s="9"/>
      <c r="B302" s="9"/>
    </row>
    <row r="303" ht="12.75" customHeight="1">
      <c r="A303" s="9"/>
      <c r="B303" s="9"/>
    </row>
    <row r="304" ht="12.75" customHeight="1">
      <c r="A304" s="9"/>
      <c r="B304" s="9"/>
    </row>
    <row r="305" ht="12.75" customHeight="1">
      <c r="A305" s="9"/>
      <c r="B305" s="9"/>
    </row>
    <row r="306" ht="12.75" customHeight="1">
      <c r="A306" s="9"/>
      <c r="B306" s="9"/>
    </row>
    <row r="307" ht="12.75" customHeight="1">
      <c r="A307" s="9"/>
      <c r="B307" s="9"/>
    </row>
    <row r="308" ht="12.75" customHeight="1">
      <c r="A308" s="9"/>
      <c r="B308" s="9"/>
    </row>
    <row r="309" ht="12.75" customHeight="1">
      <c r="A309" s="9"/>
      <c r="B309" s="9"/>
    </row>
    <row r="310" ht="12.75" customHeight="1">
      <c r="A310" s="9"/>
      <c r="B310" s="9"/>
    </row>
    <row r="311" ht="12.75" customHeight="1">
      <c r="A311" s="9"/>
      <c r="B311" s="9"/>
    </row>
    <row r="312" ht="12.75" customHeight="1">
      <c r="A312" s="9"/>
      <c r="B312" s="9"/>
    </row>
    <row r="313" ht="12.75" customHeight="1">
      <c r="A313" s="9"/>
      <c r="B313" s="9"/>
    </row>
    <row r="314" ht="12.75" customHeight="1">
      <c r="A314" s="9"/>
      <c r="B314" s="9"/>
    </row>
    <row r="315" ht="12.75" customHeight="1">
      <c r="A315" s="9"/>
      <c r="B315" s="9"/>
    </row>
    <row r="316" ht="12.75" customHeight="1">
      <c r="A316" s="9"/>
      <c r="B316" s="9"/>
    </row>
    <row r="317" ht="12.75" customHeight="1">
      <c r="A317" s="9"/>
      <c r="B317" s="9"/>
    </row>
    <row r="318" ht="12.75" customHeight="1">
      <c r="A318" s="9"/>
      <c r="B318" s="9"/>
    </row>
    <row r="319" ht="12.75" customHeight="1">
      <c r="A319" s="9"/>
      <c r="B319" s="9"/>
    </row>
    <row r="320" ht="12.75" customHeight="1">
      <c r="A320" s="9"/>
      <c r="B320" s="9"/>
    </row>
    <row r="321" ht="12.75" customHeight="1">
      <c r="A321" s="9"/>
      <c r="B321" s="9"/>
    </row>
    <row r="322" ht="12.75" customHeight="1">
      <c r="A322" s="9"/>
      <c r="B322" s="9"/>
    </row>
    <row r="323" ht="12.75" customHeight="1">
      <c r="A323" s="9"/>
      <c r="B323" s="9"/>
    </row>
    <row r="324" ht="12.75" customHeight="1">
      <c r="A324" s="9"/>
      <c r="B324" s="9"/>
    </row>
    <row r="325" ht="12.75" customHeight="1">
      <c r="A325" s="9"/>
      <c r="B325" s="9"/>
    </row>
    <row r="326" ht="12.75" customHeight="1">
      <c r="A326" s="9"/>
      <c r="B326" s="9"/>
    </row>
    <row r="327" ht="12.75" customHeight="1">
      <c r="A327" s="9"/>
      <c r="B327" s="9"/>
    </row>
    <row r="328" ht="12.75" customHeight="1">
      <c r="A328" s="9"/>
      <c r="B328" s="9"/>
    </row>
    <row r="329" ht="12.75" customHeight="1">
      <c r="A329" s="9"/>
      <c r="B329" s="9"/>
    </row>
    <row r="330" ht="12.75" customHeight="1">
      <c r="A330" s="9"/>
      <c r="B330" s="9"/>
    </row>
    <row r="331" ht="12.75" customHeight="1">
      <c r="A331" s="9"/>
      <c r="B331" s="9"/>
    </row>
    <row r="332" ht="12.75" customHeight="1">
      <c r="A332" s="9"/>
      <c r="B332" s="9"/>
    </row>
    <row r="333" ht="12.75" customHeight="1">
      <c r="A333" s="9"/>
      <c r="B333" s="9"/>
    </row>
    <row r="334" ht="12.75" customHeight="1">
      <c r="A334" s="9"/>
      <c r="B334" s="9"/>
    </row>
    <row r="335" ht="12.75" customHeight="1">
      <c r="A335" s="9"/>
      <c r="B335" s="9"/>
    </row>
    <row r="336" ht="12.75" customHeight="1">
      <c r="A336" s="9"/>
      <c r="B336" s="9"/>
    </row>
    <row r="337" ht="12.75" customHeight="1">
      <c r="A337" s="9"/>
      <c r="B337" s="9"/>
    </row>
    <row r="338" ht="12.75" customHeight="1">
      <c r="A338" s="9"/>
      <c r="B338" s="9"/>
    </row>
    <row r="339" ht="12.75" customHeight="1">
      <c r="A339" s="9"/>
      <c r="B339" s="9"/>
    </row>
    <row r="340" ht="12.75" customHeight="1">
      <c r="A340" s="9"/>
      <c r="B340" s="9"/>
    </row>
    <row r="341" ht="12.75" customHeight="1">
      <c r="A341" s="9"/>
      <c r="B341" s="9"/>
    </row>
    <row r="342" ht="12.75" customHeight="1">
      <c r="A342" s="9"/>
      <c r="B342" s="9"/>
    </row>
    <row r="343" ht="12.75" customHeight="1">
      <c r="A343" s="9"/>
      <c r="B343" s="9"/>
    </row>
    <row r="344" ht="12.75" customHeight="1">
      <c r="A344" s="9"/>
      <c r="B344" s="9"/>
    </row>
    <row r="345" ht="12.75" customHeight="1">
      <c r="A345" s="9"/>
      <c r="B345" s="9"/>
    </row>
    <row r="346" ht="12.75" customHeight="1">
      <c r="A346" s="9"/>
      <c r="B346" s="9"/>
    </row>
    <row r="347" ht="12.75" customHeight="1">
      <c r="A347" s="9"/>
      <c r="B347" s="9"/>
    </row>
    <row r="348" ht="12.75" customHeight="1">
      <c r="A348" s="9"/>
      <c r="B348" s="9"/>
    </row>
    <row r="349" ht="12.75" customHeight="1">
      <c r="A349" s="9"/>
      <c r="B349" s="9"/>
    </row>
    <row r="350" ht="12.75" customHeight="1">
      <c r="A350" s="9"/>
      <c r="B350" s="9"/>
    </row>
    <row r="351" ht="12.75" customHeight="1">
      <c r="A351" s="9"/>
      <c r="B351" s="9"/>
    </row>
    <row r="352" ht="12.75" customHeight="1">
      <c r="A352" s="9"/>
      <c r="B352" s="9"/>
    </row>
    <row r="353" ht="12.75" customHeight="1">
      <c r="A353" s="9"/>
      <c r="B353" s="9"/>
    </row>
    <row r="354" ht="12.75" customHeight="1">
      <c r="A354" s="9"/>
      <c r="B354" s="9"/>
    </row>
    <row r="355" ht="12.75" customHeight="1">
      <c r="A355" s="9"/>
      <c r="B355" s="9"/>
    </row>
    <row r="356" ht="12.75" customHeight="1">
      <c r="A356" s="9"/>
      <c r="B356" s="9"/>
    </row>
    <row r="357" ht="12.75" customHeight="1">
      <c r="A357" s="9"/>
      <c r="B357" s="9"/>
    </row>
    <row r="358" ht="12.75" customHeight="1">
      <c r="A358" s="9"/>
      <c r="B358" s="9"/>
    </row>
    <row r="359" ht="12.75" customHeight="1">
      <c r="A359" s="9"/>
      <c r="B359" s="9"/>
    </row>
    <row r="360" ht="12.75" customHeight="1">
      <c r="A360" s="9"/>
      <c r="B360" s="9"/>
    </row>
    <row r="361" ht="12.75" customHeight="1">
      <c r="A361" s="9"/>
      <c r="B361" s="9"/>
    </row>
    <row r="362" ht="12.75" customHeight="1">
      <c r="A362" s="9"/>
      <c r="B362" s="9"/>
    </row>
    <row r="363" ht="12.75" customHeight="1">
      <c r="A363" s="9"/>
      <c r="B363" s="9"/>
    </row>
    <row r="364" ht="12.75" customHeight="1">
      <c r="A364" s="9"/>
      <c r="B364" s="9"/>
    </row>
    <row r="365" ht="12.75" customHeight="1">
      <c r="A365" s="9"/>
      <c r="B365" s="9"/>
    </row>
    <row r="366" ht="12.75" customHeight="1">
      <c r="A366" s="9"/>
      <c r="B366" s="9"/>
    </row>
    <row r="367" ht="12.75" customHeight="1">
      <c r="A367" s="9"/>
      <c r="B367" s="9"/>
    </row>
    <row r="368" ht="12.75" customHeight="1">
      <c r="A368" s="9"/>
      <c r="B368" s="9"/>
    </row>
    <row r="369" ht="12.75" customHeight="1">
      <c r="A369" s="9"/>
      <c r="B369" s="9"/>
    </row>
    <row r="370" ht="12.75" customHeight="1">
      <c r="A370" s="9"/>
      <c r="B370" s="9"/>
    </row>
    <row r="371" ht="12.75" customHeight="1">
      <c r="A371" s="9"/>
      <c r="B371" s="9"/>
    </row>
    <row r="372" ht="12.75" customHeight="1">
      <c r="A372" s="9"/>
      <c r="B372" s="9"/>
    </row>
    <row r="373" ht="12.75" customHeight="1">
      <c r="A373" s="9"/>
      <c r="B373" s="9"/>
    </row>
    <row r="374" ht="12.75" customHeight="1">
      <c r="A374" s="9"/>
      <c r="B374" s="9"/>
    </row>
    <row r="375" ht="12.75" customHeight="1">
      <c r="A375" s="9"/>
      <c r="B375" s="9"/>
    </row>
    <row r="376" ht="12.75" customHeight="1">
      <c r="A376" s="9"/>
      <c r="B376" s="9"/>
    </row>
    <row r="377" ht="12.75" customHeight="1">
      <c r="A377" s="9"/>
      <c r="B377" s="9"/>
    </row>
    <row r="378" ht="12.75" customHeight="1">
      <c r="A378" s="9"/>
      <c r="B378" s="9"/>
    </row>
    <row r="379" ht="12.75" customHeight="1">
      <c r="A379" s="9"/>
      <c r="B379" s="9"/>
    </row>
    <row r="380" ht="12.75" customHeight="1">
      <c r="A380" s="9"/>
      <c r="B380" s="9"/>
    </row>
    <row r="381" ht="12.75" customHeight="1">
      <c r="A381" s="9"/>
      <c r="B381" s="9"/>
    </row>
    <row r="382" ht="12.75" customHeight="1">
      <c r="A382" s="9"/>
      <c r="B382" s="9"/>
    </row>
    <row r="383" ht="12.75" customHeight="1">
      <c r="A383" s="9"/>
      <c r="B383" s="9"/>
    </row>
    <row r="384" ht="12.75" customHeight="1">
      <c r="A384" s="9"/>
      <c r="B384" s="9"/>
    </row>
    <row r="385" ht="12.75" customHeight="1">
      <c r="A385" s="9"/>
      <c r="B385" s="9"/>
    </row>
    <row r="386" ht="12.75" customHeight="1">
      <c r="A386" s="9"/>
      <c r="B386" s="9"/>
    </row>
    <row r="387" ht="12.75" customHeight="1">
      <c r="A387" s="9"/>
      <c r="B387" s="9"/>
    </row>
    <row r="388" ht="12.75" customHeight="1">
      <c r="A388" s="9"/>
      <c r="B388" s="9"/>
    </row>
    <row r="389" ht="12.75" customHeight="1">
      <c r="A389" s="9"/>
      <c r="B389" s="9"/>
    </row>
    <row r="390" ht="12.75" customHeight="1">
      <c r="A390" s="9"/>
      <c r="B390" s="9"/>
    </row>
    <row r="391" ht="12.75" customHeight="1">
      <c r="A391" s="9"/>
      <c r="B391" s="9"/>
    </row>
    <row r="392" ht="12.75" customHeight="1">
      <c r="A392" s="9"/>
      <c r="B392" s="9"/>
    </row>
    <row r="393" ht="12.75" customHeight="1">
      <c r="A393" s="9"/>
      <c r="B393" s="9"/>
    </row>
    <row r="394" ht="12.75" customHeight="1">
      <c r="A394" s="9"/>
      <c r="B394" s="9"/>
    </row>
    <row r="395" ht="12.75" customHeight="1">
      <c r="A395" s="9"/>
      <c r="B395" s="9"/>
    </row>
    <row r="396" ht="12.75" customHeight="1">
      <c r="A396" s="9"/>
      <c r="B396" s="9"/>
    </row>
    <row r="397" ht="12.75" customHeight="1">
      <c r="A397" s="9"/>
      <c r="B397" s="9"/>
    </row>
    <row r="398" ht="12.75" customHeight="1">
      <c r="A398" s="9"/>
      <c r="B398" s="9"/>
    </row>
    <row r="399" ht="12.75" customHeight="1">
      <c r="A399" s="9"/>
      <c r="B399" s="9"/>
    </row>
    <row r="400" ht="12.75" customHeight="1">
      <c r="A400" s="9"/>
      <c r="B400" s="9"/>
    </row>
    <row r="401" ht="12.75" customHeight="1">
      <c r="A401" s="9"/>
      <c r="B401" s="9"/>
    </row>
    <row r="402" ht="12.75" customHeight="1">
      <c r="A402" s="9"/>
      <c r="B402" s="9"/>
    </row>
    <row r="403" ht="12.75" customHeight="1">
      <c r="A403" s="9"/>
      <c r="B403" s="9"/>
    </row>
    <row r="404" ht="12.75" customHeight="1">
      <c r="A404" s="9"/>
      <c r="B404" s="9"/>
    </row>
    <row r="405" ht="12.75" customHeight="1">
      <c r="A405" s="9"/>
      <c r="B405" s="9"/>
    </row>
    <row r="406" ht="12.75" customHeight="1">
      <c r="A406" s="9"/>
      <c r="B406" s="9"/>
    </row>
    <row r="407" ht="12.75" customHeight="1">
      <c r="A407" s="9"/>
      <c r="B407" s="9"/>
    </row>
    <row r="408" ht="12.75" customHeight="1">
      <c r="A408" s="9"/>
      <c r="B408" s="9"/>
    </row>
    <row r="409" ht="12.75" customHeight="1">
      <c r="A409" s="9"/>
      <c r="B409" s="9"/>
    </row>
    <row r="410" ht="12.75" customHeight="1">
      <c r="A410" s="9"/>
      <c r="B410" s="9"/>
    </row>
    <row r="411" ht="12.75" customHeight="1">
      <c r="A411" s="9"/>
      <c r="B411" s="9"/>
    </row>
    <row r="412" ht="12.75" customHeight="1">
      <c r="A412" s="9"/>
      <c r="B412" s="9"/>
    </row>
    <row r="413" ht="12.75" customHeight="1">
      <c r="A413" s="9"/>
      <c r="B413" s="9"/>
    </row>
    <row r="414" ht="12.75" customHeight="1">
      <c r="A414" s="9"/>
      <c r="B414" s="9"/>
    </row>
    <row r="415" ht="12.75" customHeight="1">
      <c r="A415" s="9"/>
      <c r="B415" s="9"/>
    </row>
    <row r="416" ht="12.75" customHeight="1">
      <c r="A416" s="9"/>
      <c r="B416" s="9"/>
    </row>
    <row r="417" ht="12.75" customHeight="1">
      <c r="A417" s="9"/>
      <c r="B417" s="9"/>
    </row>
    <row r="418" ht="12.75" customHeight="1">
      <c r="A418" s="9"/>
      <c r="B418" s="9"/>
    </row>
    <row r="419" ht="12.75" customHeight="1">
      <c r="A419" s="9"/>
      <c r="B419" s="9"/>
    </row>
    <row r="420" ht="12.75" customHeight="1">
      <c r="A420" s="9"/>
      <c r="B420" s="9"/>
    </row>
    <row r="421" ht="12.75" customHeight="1">
      <c r="A421" s="9"/>
      <c r="B421" s="9"/>
    </row>
    <row r="422" ht="12.75" customHeight="1">
      <c r="A422" s="9"/>
      <c r="B422" s="9"/>
    </row>
    <row r="423" ht="12.75" customHeight="1">
      <c r="A423" s="9"/>
      <c r="B423" s="9"/>
    </row>
    <row r="424" ht="12.75" customHeight="1">
      <c r="A424" s="9"/>
      <c r="B424" s="9"/>
    </row>
    <row r="425" ht="12.75" customHeight="1">
      <c r="A425" s="9"/>
      <c r="B425" s="9"/>
    </row>
    <row r="426" ht="12.75" customHeight="1">
      <c r="A426" s="9"/>
      <c r="B426" s="9"/>
    </row>
    <row r="427" ht="12.75" customHeight="1">
      <c r="A427" s="9"/>
      <c r="B427" s="9"/>
    </row>
    <row r="428" ht="12.75" customHeight="1">
      <c r="A428" s="9"/>
      <c r="B428" s="9"/>
    </row>
    <row r="429" ht="12.75" customHeight="1">
      <c r="A429" s="9"/>
      <c r="B429" s="9"/>
    </row>
    <row r="430" ht="12.75" customHeight="1">
      <c r="A430" s="9"/>
      <c r="B430" s="9"/>
    </row>
    <row r="431" ht="12.75" customHeight="1">
      <c r="A431" s="9"/>
      <c r="B431" s="9"/>
    </row>
    <row r="432" ht="12.75" customHeight="1">
      <c r="A432" s="9"/>
      <c r="B432" s="9"/>
    </row>
    <row r="433" ht="12.75" customHeight="1">
      <c r="A433" s="9"/>
      <c r="B433" s="9"/>
    </row>
    <row r="434" ht="12.75" customHeight="1">
      <c r="A434" s="9"/>
      <c r="B434" s="9"/>
    </row>
    <row r="435" ht="12.75" customHeight="1">
      <c r="A435" s="9"/>
      <c r="B435" s="9"/>
    </row>
    <row r="436" ht="12.75" customHeight="1">
      <c r="A436" s="9"/>
      <c r="B436" s="9"/>
    </row>
    <row r="437" ht="12.75" customHeight="1">
      <c r="A437" s="9"/>
      <c r="B437" s="9"/>
    </row>
    <row r="438" ht="12.75" customHeight="1">
      <c r="A438" s="9"/>
      <c r="B438" s="9"/>
    </row>
    <row r="439" ht="12.75" customHeight="1">
      <c r="A439" s="9"/>
      <c r="B439" s="9"/>
    </row>
    <row r="440" ht="12.75" customHeight="1">
      <c r="A440" s="9"/>
      <c r="B440" s="9"/>
    </row>
    <row r="441" ht="12.75" customHeight="1">
      <c r="A441" s="9"/>
      <c r="B441" s="9"/>
    </row>
    <row r="442" ht="12.75" customHeight="1">
      <c r="A442" s="9"/>
      <c r="B442" s="9"/>
    </row>
    <row r="443" ht="12.75" customHeight="1">
      <c r="A443" s="9"/>
      <c r="B443" s="9"/>
    </row>
    <row r="444" ht="12.75" customHeight="1">
      <c r="A444" s="9"/>
      <c r="B444" s="9"/>
    </row>
    <row r="445" ht="12.75" customHeight="1">
      <c r="A445" s="9"/>
      <c r="B445" s="9"/>
    </row>
    <row r="446" ht="12.75" customHeight="1">
      <c r="A446" s="9"/>
      <c r="B446" s="9"/>
    </row>
    <row r="447" ht="12.75" customHeight="1">
      <c r="A447" s="9"/>
      <c r="B447" s="9"/>
    </row>
    <row r="448" ht="12.75" customHeight="1">
      <c r="A448" s="9"/>
      <c r="B448" s="9"/>
    </row>
    <row r="449" ht="12.75" customHeight="1">
      <c r="A449" s="9"/>
      <c r="B449" s="9"/>
    </row>
    <row r="450" ht="12.75" customHeight="1">
      <c r="A450" s="9"/>
      <c r="B450" s="9"/>
    </row>
    <row r="451" ht="12.75" customHeight="1">
      <c r="A451" s="9"/>
      <c r="B451" s="9"/>
    </row>
    <row r="452" ht="12.75" customHeight="1">
      <c r="A452" s="9"/>
      <c r="B452" s="9"/>
    </row>
    <row r="453" ht="12.75" customHeight="1">
      <c r="A453" s="9"/>
      <c r="B453" s="9"/>
    </row>
    <row r="454" ht="12.75" customHeight="1">
      <c r="A454" s="9"/>
      <c r="B454" s="9"/>
    </row>
    <row r="455" ht="12.75" customHeight="1">
      <c r="A455" s="9"/>
      <c r="B455" s="9"/>
    </row>
    <row r="456" ht="12.75" customHeight="1">
      <c r="A456" s="9"/>
      <c r="B456" s="9"/>
    </row>
    <row r="457" ht="12.75" customHeight="1">
      <c r="A457" s="9"/>
      <c r="B457" s="9"/>
    </row>
    <row r="458" ht="12.75" customHeight="1">
      <c r="A458" s="9"/>
      <c r="B458" s="9"/>
    </row>
    <row r="459" ht="12.75" customHeight="1">
      <c r="A459" s="9"/>
      <c r="B459" s="9"/>
    </row>
    <row r="460" ht="12.75" customHeight="1">
      <c r="A460" s="9"/>
      <c r="B460" s="9"/>
    </row>
    <row r="461" ht="12.75" customHeight="1">
      <c r="A461" s="9"/>
      <c r="B461" s="9"/>
    </row>
    <row r="462" ht="12.75" customHeight="1">
      <c r="A462" s="9"/>
      <c r="B462" s="9"/>
    </row>
    <row r="463" ht="12.75" customHeight="1">
      <c r="A463" s="9"/>
      <c r="B463" s="9"/>
    </row>
    <row r="464" ht="12.75" customHeight="1">
      <c r="A464" s="9"/>
      <c r="B464" s="9"/>
    </row>
    <row r="465" ht="12.75" customHeight="1">
      <c r="A465" s="9"/>
      <c r="B465" s="9"/>
    </row>
    <row r="466" ht="12.75" customHeight="1">
      <c r="A466" s="9"/>
      <c r="B466" s="9"/>
    </row>
    <row r="467" ht="12.75" customHeight="1">
      <c r="A467" s="9"/>
      <c r="B467" s="9"/>
    </row>
    <row r="468" ht="12.75" customHeight="1">
      <c r="A468" s="9"/>
      <c r="B468" s="9"/>
    </row>
    <row r="469" ht="12.75" customHeight="1">
      <c r="A469" s="9"/>
      <c r="B469" s="9"/>
    </row>
    <row r="470" ht="12.75" customHeight="1">
      <c r="A470" s="9"/>
      <c r="B470" s="9"/>
    </row>
    <row r="471" ht="12.75" customHeight="1">
      <c r="A471" s="9"/>
      <c r="B471" s="9"/>
    </row>
    <row r="472" ht="12.75" customHeight="1">
      <c r="A472" s="9"/>
      <c r="B472" s="9"/>
    </row>
    <row r="473" ht="12.75" customHeight="1">
      <c r="A473" s="9"/>
      <c r="B473" s="9"/>
    </row>
    <row r="474" ht="12.75" customHeight="1">
      <c r="A474" s="9"/>
      <c r="B474" s="9"/>
    </row>
    <row r="475" ht="12.75" customHeight="1">
      <c r="A475" s="9"/>
      <c r="B475" s="9"/>
    </row>
    <row r="476" ht="12.75" customHeight="1">
      <c r="A476" s="9"/>
      <c r="B476" s="9"/>
    </row>
    <row r="477" ht="12.75" customHeight="1">
      <c r="A477" s="9"/>
      <c r="B477" s="9"/>
    </row>
    <row r="478" ht="12.75" customHeight="1">
      <c r="A478" s="9"/>
      <c r="B478" s="9"/>
    </row>
    <row r="479" ht="12.75" customHeight="1">
      <c r="A479" s="9"/>
      <c r="B479" s="9"/>
    </row>
    <row r="480" ht="12.75" customHeight="1">
      <c r="A480" s="9"/>
      <c r="B480" s="9"/>
    </row>
    <row r="481" ht="12.75" customHeight="1">
      <c r="A481" s="9"/>
      <c r="B481" s="9"/>
    </row>
    <row r="482" ht="12.75" customHeight="1">
      <c r="A482" s="9"/>
      <c r="B482" s="9"/>
    </row>
    <row r="483" ht="12.75" customHeight="1">
      <c r="A483" s="9"/>
      <c r="B483" s="9"/>
    </row>
    <row r="484" ht="12.75" customHeight="1">
      <c r="A484" s="9"/>
      <c r="B484" s="9"/>
    </row>
    <row r="485" ht="12.75" customHeight="1">
      <c r="A485" s="9"/>
      <c r="B485" s="9"/>
    </row>
    <row r="486" ht="12.75" customHeight="1">
      <c r="A486" s="9"/>
      <c r="B486" s="9"/>
    </row>
    <row r="487" ht="12.75" customHeight="1">
      <c r="A487" s="9"/>
      <c r="B487" s="9"/>
    </row>
    <row r="488" ht="12.75" customHeight="1">
      <c r="A488" s="9"/>
      <c r="B488" s="9"/>
    </row>
    <row r="489" ht="12.75" customHeight="1">
      <c r="A489" s="9"/>
      <c r="B489" s="9"/>
    </row>
    <row r="490" ht="12.75" customHeight="1">
      <c r="A490" s="9"/>
      <c r="B490" s="9"/>
    </row>
    <row r="491" ht="12.75" customHeight="1">
      <c r="A491" s="9"/>
      <c r="B491" s="9"/>
    </row>
    <row r="492" ht="12.75" customHeight="1">
      <c r="A492" s="9"/>
      <c r="B492" s="9"/>
    </row>
    <row r="493" ht="12.75" customHeight="1">
      <c r="A493" s="9"/>
      <c r="B493" s="9"/>
    </row>
    <row r="494" ht="12.75" customHeight="1">
      <c r="A494" s="9"/>
      <c r="B494" s="9"/>
    </row>
    <row r="495" ht="12.75" customHeight="1">
      <c r="A495" s="9"/>
      <c r="B495" s="9"/>
    </row>
    <row r="496" ht="12.75" customHeight="1">
      <c r="A496" s="9"/>
      <c r="B496" s="9"/>
    </row>
    <row r="497" ht="12.75" customHeight="1">
      <c r="A497" s="9"/>
      <c r="B497" s="9"/>
    </row>
    <row r="498" ht="12.75" customHeight="1">
      <c r="A498" s="9"/>
      <c r="B498" s="9"/>
    </row>
    <row r="499" ht="12.75" customHeight="1">
      <c r="A499" s="9"/>
      <c r="B499" s="9"/>
    </row>
    <row r="500" ht="12.75" customHeight="1">
      <c r="A500" s="9"/>
      <c r="B500" s="9"/>
    </row>
    <row r="501" ht="12.75" customHeight="1">
      <c r="A501" s="9"/>
      <c r="B501" s="9"/>
    </row>
    <row r="502" ht="12.75" customHeight="1">
      <c r="A502" s="9"/>
      <c r="B502" s="9"/>
    </row>
    <row r="503" ht="12.75" customHeight="1">
      <c r="A503" s="9"/>
      <c r="B503" s="9"/>
    </row>
    <row r="504" ht="12.75" customHeight="1">
      <c r="A504" s="9"/>
      <c r="B504" s="9"/>
    </row>
    <row r="505" ht="12.75" customHeight="1">
      <c r="A505" s="9"/>
      <c r="B505" s="9"/>
    </row>
    <row r="506" ht="12.75" customHeight="1">
      <c r="A506" s="9"/>
      <c r="B506" s="9"/>
    </row>
    <row r="507" ht="12.75" customHeight="1">
      <c r="A507" s="9"/>
      <c r="B507" s="9"/>
    </row>
    <row r="508" ht="12.75" customHeight="1">
      <c r="A508" s="9"/>
      <c r="B508" s="9"/>
    </row>
    <row r="509" ht="12.75" customHeight="1">
      <c r="A509" s="9"/>
      <c r="B509" s="9"/>
    </row>
    <row r="510" ht="12.75" customHeight="1">
      <c r="A510" s="9"/>
      <c r="B510" s="9"/>
    </row>
    <row r="511" ht="12.75" customHeight="1">
      <c r="A511" s="9"/>
      <c r="B511" s="9"/>
    </row>
    <row r="512" ht="12.75" customHeight="1">
      <c r="A512" s="9"/>
      <c r="B512" s="9"/>
    </row>
    <row r="513" ht="12.75" customHeight="1">
      <c r="A513" s="9"/>
      <c r="B513" s="9"/>
    </row>
    <row r="514" ht="12.75" customHeight="1">
      <c r="A514" s="9"/>
      <c r="B514" s="9"/>
    </row>
    <row r="515" ht="12.75" customHeight="1">
      <c r="A515" s="9"/>
      <c r="B515" s="9"/>
    </row>
    <row r="516" ht="12.75" customHeight="1">
      <c r="A516" s="9"/>
      <c r="B516" s="9"/>
    </row>
    <row r="517" ht="12.75" customHeight="1">
      <c r="A517" s="9"/>
      <c r="B517" s="9"/>
    </row>
    <row r="518" ht="12.75" customHeight="1">
      <c r="A518" s="9"/>
      <c r="B518" s="9"/>
    </row>
    <row r="519" ht="12.75" customHeight="1">
      <c r="A519" s="9"/>
      <c r="B519" s="9"/>
    </row>
    <row r="520" ht="12.75" customHeight="1">
      <c r="A520" s="9"/>
      <c r="B520" s="9"/>
    </row>
    <row r="521" ht="12.75" customHeight="1">
      <c r="A521" s="9"/>
      <c r="B521" s="9"/>
    </row>
    <row r="522" ht="12.75" customHeight="1">
      <c r="A522" s="9"/>
      <c r="B522" s="9"/>
    </row>
    <row r="523" ht="12.75" customHeight="1">
      <c r="A523" s="9"/>
      <c r="B523" s="9"/>
    </row>
    <row r="524" ht="12.75" customHeight="1">
      <c r="A524" s="9"/>
      <c r="B524" s="9"/>
    </row>
    <row r="525" ht="12.75" customHeight="1">
      <c r="A525" s="9"/>
      <c r="B525" s="9"/>
    </row>
    <row r="526" ht="12.75" customHeight="1">
      <c r="A526" s="9"/>
      <c r="B526" s="9"/>
    </row>
    <row r="527" ht="12.75" customHeight="1">
      <c r="A527" s="9"/>
      <c r="B527" s="9"/>
    </row>
    <row r="528" ht="12.75" customHeight="1">
      <c r="A528" s="9"/>
      <c r="B528" s="9"/>
    </row>
    <row r="529" ht="12.75" customHeight="1">
      <c r="A529" s="9"/>
      <c r="B529" s="9"/>
    </row>
    <row r="530" ht="12.75" customHeight="1">
      <c r="A530" s="9"/>
      <c r="B530" s="9"/>
    </row>
    <row r="531" ht="12.75" customHeight="1">
      <c r="A531" s="9"/>
      <c r="B531" s="9"/>
    </row>
    <row r="532" ht="12.75" customHeight="1">
      <c r="A532" s="9"/>
      <c r="B532" s="9"/>
    </row>
    <row r="533" ht="12.75" customHeight="1">
      <c r="A533" s="9"/>
      <c r="B533" s="9"/>
    </row>
    <row r="534" ht="12.75" customHeight="1">
      <c r="A534" s="9"/>
      <c r="B534" s="9"/>
    </row>
    <row r="535" ht="12.75" customHeight="1">
      <c r="A535" s="9"/>
      <c r="B535" s="9"/>
    </row>
    <row r="536" ht="12.75" customHeight="1">
      <c r="A536" s="9"/>
      <c r="B536" s="9"/>
    </row>
    <row r="537" ht="12.75" customHeight="1">
      <c r="A537" s="9"/>
      <c r="B537" s="9"/>
    </row>
    <row r="538" ht="12.75" customHeight="1">
      <c r="A538" s="9"/>
      <c r="B538" s="9"/>
    </row>
    <row r="539" ht="12.75" customHeight="1">
      <c r="A539" s="9"/>
      <c r="B539" s="9"/>
    </row>
    <row r="540" ht="12.75" customHeight="1">
      <c r="A540" s="9"/>
      <c r="B540" s="9"/>
    </row>
    <row r="541" ht="12.75" customHeight="1">
      <c r="A541" s="9"/>
      <c r="B541" s="9"/>
    </row>
    <row r="542" ht="12.75" customHeight="1">
      <c r="A542" s="9"/>
      <c r="B542" s="9"/>
    </row>
    <row r="543" ht="12.75" customHeight="1">
      <c r="A543" s="9"/>
      <c r="B543" s="9"/>
    </row>
    <row r="544" ht="12.75" customHeight="1">
      <c r="A544" s="9"/>
      <c r="B544" s="9"/>
    </row>
    <row r="545" ht="12.75" customHeight="1">
      <c r="A545" s="9"/>
      <c r="B545" s="9"/>
    </row>
    <row r="546" ht="12.75" customHeight="1">
      <c r="A546" s="9"/>
      <c r="B546" s="9"/>
    </row>
    <row r="547" ht="12.75" customHeight="1">
      <c r="A547" s="9"/>
      <c r="B547" s="9"/>
    </row>
    <row r="548" ht="12.75" customHeight="1">
      <c r="A548" s="9"/>
      <c r="B548" s="9"/>
    </row>
    <row r="549" ht="12.75" customHeight="1">
      <c r="A549" s="9"/>
      <c r="B549" s="9"/>
    </row>
    <row r="550" ht="12.75" customHeight="1">
      <c r="A550" s="9"/>
      <c r="B550" s="9"/>
    </row>
    <row r="551" ht="12.75" customHeight="1">
      <c r="A551" s="9"/>
      <c r="B551" s="9"/>
    </row>
    <row r="552" ht="12.75" customHeight="1">
      <c r="A552" s="9"/>
      <c r="B552" s="9"/>
    </row>
    <row r="553" ht="12.75" customHeight="1">
      <c r="A553" s="9"/>
      <c r="B553" s="9"/>
    </row>
    <row r="554" ht="12.75" customHeight="1">
      <c r="A554" s="9"/>
      <c r="B554" s="9"/>
    </row>
    <row r="555" ht="12.75" customHeight="1">
      <c r="A555" s="9"/>
      <c r="B555" s="9"/>
    </row>
    <row r="556" ht="12.75" customHeight="1">
      <c r="A556" s="9"/>
      <c r="B556" s="9"/>
    </row>
    <row r="557" ht="12.75" customHeight="1">
      <c r="A557" s="9"/>
      <c r="B557" s="9"/>
    </row>
    <row r="558" ht="12.75" customHeight="1">
      <c r="A558" s="9"/>
      <c r="B558" s="9"/>
    </row>
    <row r="559" ht="12.75" customHeight="1">
      <c r="A559" s="9"/>
      <c r="B559" s="9"/>
    </row>
    <row r="560" ht="12.75" customHeight="1">
      <c r="A560" s="9"/>
      <c r="B560" s="9"/>
    </row>
    <row r="561" ht="12.75" customHeight="1">
      <c r="A561" s="9"/>
      <c r="B561" s="9"/>
    </row>
    <row r="562" ht="12.75" customHeight="1">
      <c r="A562" s="9"/>
      <c r="B562" s="9"/>
    </row>
    <row r="563" ht="12.75" customHeight="1">
      <c r="A563" s="9"/>
      <c r="B563" s="9"/>
    </row>
    <row r="564" ht="12.75" customHeight="1">
      <c r="A564" s="9"/>
      <c r="B564" s="9"/>
    </row>
    <row r="565" ht="12.75" customHeight="1">
      <c r="A565" s="9"/>
      <c r="B565" s="9"/>
    </row>
    <row r="566" ht="12.75" customHeight="1">
      <c r="A566" s="9"/>
      <c r="B566" s="9"/>
    </row>
    <row r="567" ht="12.75" customHeight="1">
      <c r="A567" s="9"/>
      <c r="B567" s="9"/>
    </row>
    <row r="568" ht="12.75" customHeight="1">
      <c r="A568" s="9"/>
      <c r="B568" s="9"/>
    </row>
    <row r="569" ht="12.75" customHeight="1">
      <c r="A569" s="9"/>
      <c r="B569" s="9"/>
    </row>
    <row r="570" ht="12.75" customHeight="1">
      <c r="A570" s="9"/>
      <c r="B570" s="9"/>
    </row>
    <row r="571" ht="12.75" customHeight="1">
      <c r="A571" s="9"/>
      <c r="B571" s="9"/>
    </row>
    <row r="572" ht="12.75" customHeight="1">
      <c r="A572" s="9"/>
      <c r="B572" s="9"/>
    </row>
    <row r="573" ht="12.75" customHeight="1">
      <c r="A573" s="9"/>
      <c r="B573" s="9"/>
    </row>
    <row r="574" ht="12.75" customHeight="1">
      <c r="A574" s="9"/>
      <c r="B574" s="9"/>
    </row>
    <row r="575" ht="12.75" customHeight="1">
      <c r="A575" s="9"/>
      <c r="B575" s="9"/>
    </row>
    <row r="576" ht="12.75" customHeight="1">
      <c r="A576" s="9"/>
      <c r="B576" s="9"/>
    </row>
    <row r="577" ht="12.75" customHeight="1">
      <c r="A577" s="9"/>
      <c r="B577" s="9"/>
    </row>
    <row r="578" ht="12.75" customHeight="1">
      <c r="A578" s="9"/>
      <c r="B578" s="9"/>
    </row>
    <row r="579" ht="12.75" customHeight="1">
      <c r="A579" s="9"/>
      <c r="B579" s="9"/>
    </row>
    <row r="580" ht="12.75" customHeight="1">
      <c r="A580" s="9"/>
      <c r="B580" s="9"/>
    </row>
    <row r="581" ht="12.75" customHeight="1">
      <c r="A581" s="9"/>
      <c r="B581" s="9"/>
    </row>
    <row r="582" ht="12.75" customHeight="1">
      <c r="A582" s="9"/>
      <c r="B582" s="9"/>
    </row>
    <row r="583" ht="12.75" customHeight="1">
      <c r="A583" s="9"/>
      <c r="B583" s="9"/>
    </row>
    <row r="584" ht="12.75" customHeight="1">
      <c r="A584" s="9"/>
      <c r="B584" s="9"/>
    </row>
    <row r="585" ht="12.75" customHeight="1">
      <c r="A585" s="9"/>
      <c r="B585" s="9"/>
    </row>
    <row r="586" ht="12.75" customHeight="1">
      <c r="A586" s="9"/>
      <c r="B586" s="9"/>
    </row>
    <row r="587" ht="12.75" customHeight="1">
      <c r="A587" s="9"/>
      <c r="B587" s="9"/>
    </row>
    <row r="588" ht="12.75" customHeight="1">
      <c r="A588" s="9"/>
      <c r="B588" s="9"/>
    </row>
    <row r="589" ht="12.75" customHeight="1">
      <c r="A589" s="9"/>
      <c r="B589" s="9"/>
    </row>
    <row r="590" ht="12.75" customHeight="1">
      <c r="A590" s="9"/>
      <c r="B590" s="9"/>
    </row>
    <row r="591" ht="12.75" customHeight="1">
      <c r="A591" s="9"/>
      <c r="B591" s="9"/>
    </row>
    <row r="592" ht="12.75" customHeight="1">
      <c r="A592" s="9"/>
      <c r="B592" s="9"/>
    </row>
    <row r="593" ht="12.75" customHeight="1">
      <c r="A593" s="9"/>
      <c r="B593" s="9"/>
    </row>
    <row r="594" ht="12.75" customHeight="1">
      <c r="A594" s="9"/>
      <c r="B594" s="9"/>
    </row>
    <row r="595" ht="12.75" customHeight="1">
      <c r="A595" s="9"/>
      <c r="B595" s="9"/>
    </row>
    <row r="596" ht="12.75" customHeight="1">
      <c r="A596" s="9"/>
      <c r="B596" s="9"/>
    </row>
    <row r="597" ht="12.75" customHeight="1">
      <c r="A597" s="9"/>
      <c r="B597" s="9"/>
    </row>
    <row r="598" ht="12.75" customHeight="1">
      <c r="A598" s="9"/>
      <c r="B598" s="9"/>
    </row>
    <row r="599" ht="12.75" customHeight="1">
      <c r="A599" s="9"/>
      <c r="B599" s="9"/>
    </row>
    <row r="600" ht="12.75" customHeight="1">
      <c r="A600" s="9"/>
      <c r="B600" s="9"/>
    </row>
    <row r="601" ht="12.75" customHeight="1">
      <c r="A601" s="9"/>
      <c r="B601" s="9"/>
    </row>
    <row r="602" ht="12.75" customHeight="1">
      <c r="A602" s="9"/>
      <c r="B602" s="9"/>
    </row>
    <row r="603" ht="12.75" customHeight="1">
      <c r="A603" s="9"/>
      <c r="B603" s="9"/>
    </row>
    <row r="604" ht="12.75" customHeight="1">
      <c r="A604" s="9"/>
      <c r="B604" s="9"/>
    </row>
    <row r="605" ht="12.75" customHeight="1">
      <c r="A605" s="9"/>
      <c r="B605" s="9"/>
    </row>
    <row r="606" ht="12.75" customHeight="1">
      <c r="A606" s="9"/>
      <c r="B606" s="9"/>
    </row>
    <row r="607" ht="12.75" customHeight="1">
      <c r="A607" s="9"/>
      <c r="B607" s="9"/>
    </row>
    <row r="608" ht="12.75" customHeight="1">
      <c r="A608" s="9"/>
      <c r="B608" s="9"/>
    </row>
    <row r="609" ht="12.75" customHeight="1">
      <c r="A609" s="9"/>
      <c r="B609" s="9"/>
    </row>
    <row r="610" ht="12.75" customHeight="1">
      <c r="A610" s="9"/>
      <c r="B610" s="9"/>
    </row>
    <row r="611" ht="12.75" customHeight="1">
      <c r="A611" s="9"/>
      <c r="B611" s="9"/>
    </row>
    <row r="612" ht="12.75" customHeight="1">
      <c r="A612" s="9"/>
      <c r="B612" s="9"/>
    </row>
    <row r="613" ht="12.75" customHeight="1">
      <c r="A613" s="9"/>
      <c r="B613" s="9"/>
    </row>
    <row r="614" ht="12.75" customHeight="1">
      <c r="A614" s="9"/>
      <c r="B614" s="9"/>
    </row>
    <row r="615" ht="12.75" customHeight="1">
      <c r="A615" s="9"/>
      <c r="B615" s="9"/>
    </row>
    <row r="616" ht="12.75" customHeight="1">
      <c r="A616" s="9"/>
      <c r="B616" s="9"/>
    </row>
    <row r="617" ht="12.75" customHeight="1">
      <c r="A617" s="9"/>
      <c r="B617" s="9"/>
    </row>
    <row r="618" ht="12.75" customHeight="1">
      <c r="A618" s="9"/>
      <c r="B618" s="9"/>
    </row>
    <row r="619" ht="12.75" customHeight="1">
      <c r="A619" s="9"/>
      <c r="B619" s="9"/>
    </row>
    <row r="620" ht="12.75" customHeight="1">
      <c r="A620" s="9"/>
      <c r="B620" s="9"/>
    </row>
    <row r="621" ht="12.75" customHeight="1">
      <c r="A621" s="9"/>
      <c r="B621" s="9"/>
    </row>
    <row r="622" ht="12.75" customHeight="1">
      <c r="A622" s="9"/>
      <c r="B622" s="9"/>
    </row>
    <row r="623" ht="12.75" customHeight="1">
      <c r="A623" s="9"/>
      <c r="B623" s="9"/>
    </row>
    <row r="624" ht="12.75" customHeight="1">
      <c r="A624" s="9"/>
      <c r="B624" s="9"/>
    </row>
    <row r="625" ht="12.75" customHeight="1">
      <c r="A625" s="9"/>
      <c r="B625" s="9"/>
    </row>
    <row r="626" ht="12.75" customHeight="1">
      <c r="A626" s="9"/>
      <c r="B626" s="9"/>
    </row>
    <row r="627" ht="12.75" customHeight="1">
      <c r="A627" s="9"/>
      <c r="B627" s="9"/>
    </row>
    <row r="628" ht="12.75" customHeight="1">
      <c r="A628" s="9"/>
      <c r="B628" s="9"/>
    </row>
    <row r="629" ht="12.75" customHeight="1">
      <c r="A629" s="9"/>
      <c r="B629" s="9"/>
    </row>
    <row r="630" ht="12.75" customHeight="1">
      <c r="A630" s="9"/>
      <c r="B630" s="9"/>
    </row>
    <row r="631" ht="12.75" customHeight="1">
      <c r="A631" s="9"/>
      <c r="B631" s="9"/>
    </row>
    <row r="632" ht="12.75" customHeight="1">
      <c r="A632" s="9"/>
      <c r="B632" s="9"/>
    </row>
    <row r="633" ht="12.75" customHeight="1">
      <c r="A633" s="9"/>
      <c r="B633" s="9"/>
    </row>
    <row r="634" ht="12.75" customHeight="1">
      <c r="A634" s="9"/>
      <c r="B634" s="9"/>
    </row>
    <row r="635" ht="12.75" customHeight="1">
      <c r="A635" s="9"/>
      <c r="B635" s="9"/>
    </row>
    <row r="636" ht="12.75" customHeight="1">
      <c r="A636" s="9"/>
      <c r="B636" s="9"/>
    </row>
    <row r="637" ht="12.75" customHeight="1">
      <c r="A637" s="9"/>
      <c r="B637" s="9"/>
    </row>
    <row r="638" ht="12.75" customHeight="1">
      <c r="A638" s="9"/>
      <c r="B638" s="9"/>
    </row>
    <row r="639" ht="12.75" customHeight="1">
      <c r="A639" s="9"/>
      <c r="B639" s="9"/>
    </row>
    <row r="640" ht="12.75" customHeight="1">
      <c r="A640" s="9"/>
      <c r="B640" s="9"/>
    </row>
    <row r="641" ht="12.75" customHeight="1">
      <c r="A641" s="9"/>
      <c r="B641" s="9"/>
    </row>
    <row r="642" ht="12.75" customHeight="1">
      <c r="A642" s="9"/>
      <c r="B642" s="9"/>
    </row>
    <row r="643" ht="12.75" customHeight="1">
      <c r="A643" s="9"/>
      <c r="B643" s="9"/>
    </row>
    <row r="644" ht="12.75" customHeight="1">
      <c r="A644" s="9"/>
      <c r="B644" s="9"/>
    </row>
    <row r="645" ht="12.75" customHeight="1">
      <c r="A645" s="9"/>
      <c r="B645" s="9"/>
    </row>
    <row r="646" ht="12.75" customHeight="1">
      <c r="A646" s="9"/>
      <c r="B646" s="9"/>
    </row>
    <row r="647" ht="12.75" customHeight="1">
      <c r="A647" s="9"/>
      <c r="B647" s="9"/>
    </row>
    <row r="648" ht="12.75" customHeight="1">
      <c r="A648" s="9"/>
      <c r="B648" s="9"/>
    </row>
    <row r="649" ht="12.75" customHeight="1">
      <c r="A649" s="9"/>
      <c r="B649" s="9"/>
    </row>
    <row r="650" ht="12.75" customHeight="1">
      <c r="A650" s="9"/>
      <c r="B650" s="9"/>
    </row>
    <row r="651" ht="12.75" customHeight="1">
      <c r="A651" s="9"/>
      <c r="B651" s="9"/>
    </row>
    <row r="652" ht="12.75" customHeight="1">
      <c r="A652" s="9"/>
      <c r="B652" s="9"/>
    </row>
    <row r="653" ht="12.75" customHeight="1">
      <c r="A653" s="9"/>
      <c r="B653" s="9"/>
    </row>
    <row r="654" ht="12.75" customHeight="1">
      <c r="A654" s="9"/>
      <c r="B654" s="9"/>
    </row>
    <row r="655" ht="12.75" customHeight="1">
      <c r="A655" s="9"/>
      <c r="B655" s="9"/>
    </row>
    <row r="656" ht="12.75" customHeight="1">
      <c r="A656" s="9"/>
      <c r="B656" s="9"/>
    </row>
    <row r="657" ht="12.75" customHeight="1">
      <c r="A657" s="9"/>
      <c r="B657" s="9"/>
    </row>
    <row r="658" ht="12.75" customHeight="1">
      <c r="A658" s="9"/>
      <c r="B658" s="9"/>
    </row>
    <row r="659" ht="12.75" customHeight="1">
      <c r="A659" s="9"/>
      <c r="B659" s="9"/>
    </row>
    <row r="660" ht="12.75" customHeight="1">
      <c r="A660" s="9"/>
      <c r="B660" s="9"/>
    </row>
    <row r="661" ht="12.75" customHeight="1">
      <c r="A661" s="9"/>
      <c r="B661" s="9"/>
    </row>
    <row r="662" ht="12.75" customHeight="1">
      <c r="A662" s="9"/>
      <c r="B662" s="9"/>
    </row>
    <row r="663" ht="12.75" customHeight="1">
      <c r="A663" s="9"/>
      <c r="B663" s="9"/>
    </row>
    <row r="664" ht="12.75" customHeight="1">
      <c r="A664" s="9"/>
      <c r="B664" s="9"/>
    </row>
    <row r="665" ht="12.75" customHeight="1">
      <c r="A665" s="9"/>
      <c r="B665" s="9"/>
    </row>
    <row r="666" ht="12.75" customHeight="1">
      <c r="A666" s="9"/>
      <c r="B666" s="9"/>
    </row>
    <row r="667" ht="12.75" customHeight="1">
      <c r="A667" s="9"/>
      <c r="B667" s="9"/>
    </row>
    <row r="668" ht="12.75" customHeight="1">
      <c r="A668" s="9"/>
      <c r="B668" s="9"/>
    </row>
    <row r="669" ht="12.75" customHeight="1">
      <c r="A669" s="9"/>
      <c r="B669" s="9"/>
    </row>
    <row r="670" ht="12.75" customHeight="1">
      <c r="A670" s="9"/>
      <c r="B670" s="9"/>
    </row>
    <row r="671" ht="12.75" customHeight="1">
      <c r="A671" s="9"/>
      <c r="B671" s="9"/>
    </row>
    <row r="672" ht="12.75" customHeight="1">
      <c r="A672" s="9"/>
      <c r="B672" s="9"/>
    </row>
    <row r="673" ht="12.75" customHeight="1">
      <c r="A673" s="9"/>
      <c r="B673" s="9"/>
    </row>
    <row r="674" ht="12.75" customHeight="1">
      <c r="A674" s="9"/>
      <c r="B674" s="9"/>
    </row>
    <row r="675" ht="12.75" customHeight="1">
      <c r="A675" s="9"/>
      <c r="B675" s="9"/>
    </row>
    <row r="676" ht="12.75" customHeight="1">
      <c r="A676" s="9"/>
      <c r="B676" s="9"/>
    </row>
    <row r="677" ht="12.75" customHeight="1">
      <c r="A677" s="9"/>
      <c r="B677" s="9"/>
    </row>
    <row r="678" ht="12.75" customHeight="1">
      <c r="A678" s="9"/>
      <c r="B678" s="9"/>
    </row>
    <row r="679" ht="12.75" customHeight="1">
      <c r="A679" s="9"/>
      <c r="B679" s="9"/>
    </row>
    <row r="680" ht="12.75" customHeight="1">
      <c r="A680" s="9"/>
      <c r="B680" s="9"/>
    </row>
    <row r="681" ht="12.75" customHeight="1">
      <c r="A681" s="9"/>
      <c r="B681" s="9"/>
    </row>
    <row r="682" ht="12.75" customHeight="1">
      <c r="A682" s="9"/>
      <c r="B682" s="9"/>
    </row>
    <row r="683" ht="12.75" customHeight="1">
      <c r="A683" s="9"/>
      <c r="B683" s="9"/>
    </row>
    <row r="684" ht="12.75" customHeight="1">
      <c r="A684" s="9"/>
      <c r="B684" s="9"/>
    </row>
    <row r="685" ht="12.75" customHeight="1">
      <c r="A685" s="9"/>
      <c r="B685" s="9"/>
    </row>
    <row r="686" ht="12.75" customHeight="1">
      <c r="A686" s="9"/>
      <c r="B686" s="9"/>
    </row>
    <row r="687" ht="12.75" customHeight="1">
      <c r="A687" s="9"/>
      <c r="B687" s="9"/>
    </row>
    <row r="688" ht="12.75" customHeight="1">
      <c r="A688" s="9"/>
      <c r="B688" s="9"/>
    </row>
    <row r="689" ht="12.75" customHeight="1">
      <c r="A689" s="9"/>
      <c r="B689" s="9"/>
    </row>
    <row r="690" ht="12.75" customHeight="1">
      <c r="A690" s="9"/>
      <c r="B690" s="9"/>
    </row>
    <row r="691" ht="12.75" customHeight="1">
      <c r="A691" s="9"/>
      <c r="B691" s="9"/>
    </row>
    <row r="692" ht="12.75" customHeight="1">
      <c r="A692" s="9"/>
      <c r="B692" s="9"/>
    </row>
    <row r="693" ht="12.75" customHeight="1">
      <c r="A693" s="9"/>
      <c r="B693" s="9"/>
    </row>
    <row r="694" ht="12.75" customHeight="1">
      <c r="A694" s="9"/>
      <c r="B694" s="9"/>
    </row>
    <row r="695" ht="12.75" customHeight="1">
      <c r="A695" s="9"/>
      <c r="B695" s="9"/>
    </row>
    <row r="696" ht="12.75" customHeight="1">
      <c r="A696" s="9"/>
      <c r="B696" s="9"/>
    </row>
    <row r="697" ht="12.75" customHeight="1">
      <c r="A697" s="9"/>
      <c r="B697" s="9"/>
    </row>
    <row r="698" ht="12.75" customHeight="1">
      <c r="A698" s="9"/>
      <c r="B698" s="9"/>
    </row>
    <row r="699" ht="12.75" customHeight="1">
      <c r="A699" s="9"/>
      <c r="B699" s="9"/>
    </row>
    <row r="700" ht="12.75" customHeight="1">
      <c r="A700" s="9"/>
      <c r="B700" s="9"/>
    </row>
    <row r="701" ht="12.75" customHeight="1">
      <c r="A701" s="9"/>
      <c r="B701" s="9"/>
    </row>
    <row r="702" ht="12.75" customHeight="1">
      <c r="A702" s="9"/>
      <c r="B702" s="9"/>
    </row>
    <row r="703" ht="12.75" customHeight="1">
      <c r="A703" s="9"/>
      <c r="B703" s="9"/>
    </row>
    <row r="704" ht="12.75" customHeight="1">
      <c r="A704" s="9"/>
      <c r="B704" s="9"/>
    </row>
    <row r="705" ht="12.75" customHeight="1">
      <c r="A705" s="9"/>
      <c r="B705" s="9"/>
    </row>
    <row r="706" ht="12.75" customHeight="1">
      <c r="A706" s="9"/>
      <c r="B706" s="9"/>
    </row>
    <row r="707" ht="12.75" customHeight="1">
      <c r="A707" s="9"/>
      <c r="B707" s="9"/>
    </row>
    <row r="708" ht="12.75" customHeight="1">
      <c r="A708" s="9"/>
      <c r="B708" s="9"/>
    </row>
    <row r="709" ht="12.75" customHeight="1">
      <c r="A709" s="9"/>
      <c r="B709" s="9"/>
    </row>
    <row r="710" ht="12.75" customHeight="1">
      <c r="A710" s="9"/>
      <c r="B710" s="9"/>
    </row>
    <row r="711" ht="12.75" customHeight="1">
      <c r="A711" s="9"/>
      <c r="B711" s="9"/>
    </row>
    <row r="712" ht="12.75" customHeight="1">
      <c r="A712" s="9"/>
      <c r="B712" s="9"/>
    </row>
    <row r="713" ht="12.75" customHeight="1">
      <c r="A713" s="9"/>
      <c r="B713" s="9"/>
    </row>
    <row r="714" ht="12.75" customHeight="1">
      <c r="A714" s="9"/>
      <c r="B714" s="9"/>
    </row>
    <row r="715" ht="12.75" customHeight="1">
      <c r="A715" s="9"/>
      <c r="B715" s="9"/>
    </row>
    <row r="716" ht="12.75" customHeight="1">
      <c r="A716" s="9"/>
      <c r="B716" s="9"/>
    </row>
    <row r="717" ht="12.75" customHeight="1">
      <c r="A717" s="9"/>
      <c r="B717" s="9"/>
    </row>
    <row r="718" ht="12.75" customHeight="1">
      <c r="A718" s="9"/>
      <c r="B718" s="9"/>
    </row>
    <row r="719" ht="12.75" customHeight="1">
      <c r="A719" s="9"/>
      <c r="B719" s="9"/>
    </row>
    <row r="720" ht="12.75" customHeight="1">
      <c r="A720" s="9"/>
      <c r="B720" s="9"/>
    </row>
    <row r="721" ht="12.75" customHeight="1">
      <c r="A721" s="9"/>
      <c r="B721" s="9"/>
    </row>
    <row r="722" ht="12.75" customHeight="1">
      <c r="A722" s="9"/>
      <c r="B722" s="9"/>
    </row>
    <row r="723" ht="12.75" customHeight="1">
      <c r="A723" s="9"/>
      <c r="B723" s="9"/>
    </row>
    <row r="724" ht="12.75" customHeight="1">
      <c r="A724" s="9"/>
      <c r="B724" s="9"/>
    </row>
    <row r="725" ht="12.75" customHeight="1">
      <c r="A725" s="9"/>
      <c r="B725" s="9"/>
    </row>
    <row r="726" ht="12.75" customHeight="1">
      <c r="A726" s="9"/>
      <c r="B726" s="9"/>
    </row>
    <row r="727" ht="12.75" customHeight="1">
      <c r="A727" s="9"/>
      <c r="B727" s="9"/>
    </row>
    <row r="728" ht="12.75" customHeight="1">
      <c r="A728" s="9"/>
      <c r="B728" s="9"/>
    </row>
    <row r="729" ht="12.75" customHeight="1">
      <c r="A729" s="9"/>
      <c r="B729" s="9"/>
    </row>
    <row r="730" ht="12.75" customHeight="1">
      <c r="A730" s="9"/>
      <c r="B730" s="9"/>
    </row>
    <row r="731" ht="12.75" customHeight="1">
      <c r="A731" s="9"/>
      <c r="B731" s="9"/>
    </row>
    <row r="732" ht="12.75" customHeight="1">
      <c r="A732" s="9"/>
      <c r="B732" s="9"/>
    </row>
    <row r="733" ht="12.75" customHeight="1">
      <c r="A733" s="9"/>
      <c r="B733" s="9"/>
    </row>
    <row r="734" ht="12.75" customHeight="1">
      <c r="A734" s="9"/>
      <c r="B734" s="9"/>
    </row>
    <row r="735" ht="12.75" customHeight="1">
      <c r="A735" s="9"/>
      <c r="B735" s="9"/>
    </row>
    <row r="736" ht="12.75" customHeight="1">
      <c r="A736" s="9"/>
      <c r="B736" s="9"/>
    </row>
    <row r="737" ht="12.75" customHeight="1">
      <c r="A737" s="9"/>
      <c r="B737" s="9"/>
    </row>
    <row r="738" ht="12.75" customHeight="1">
      <c r="A738" s="9"/>
      <c r="B738" s="9"/>
    </row>
    <row r="739" ht="12.75" customHeight="1">
      <c r="A739" s="9"/>
      <c r="B739" s="9"/>
    </row>
    <row r="740" ht="12.75" customHeight="1">
      <c r="A740" s="9"/>
      <c r="B740" s="9"/>
    </row>
    <row r="741" ht="12.75" customHeight="1">
      <c r="A741" s="9"/>
      <c r="B741" s="9"/>
    </row>
    <row r="742" ht="12.75" customHeight="1">
      <c r="A742" s="9"/>
      <c r="B742" s="9"/>
    </row>
    <row r="743" ht="12.75" customHeight="1">
      <c r="A743" s="9"/>
      <c r="B743" s="9"/>
    </row>
    <row r="744" ht="12.75" customHeight="1">
      <c r="A744" s="9"/>
      <c r="B744" s="9"/>
    </row>
    <row r="745" ht="12.75" customHeight="1">
      <c r="A745" s="9"/>
      <c r="B745" s="9"/>
    </row>
    <row r="746" ht="12.75" customHeight="1">
      <c r="A746" s="9"/>
      <c r="B746" s="9"/>
    </row>
    <row r="747" ht="12.75" customHeight="1">
      <c r="A747" s="9"/>
      <c r="B747" s="9"/>
    </row>
    <row r="748" ht="12.75" customHeight="1">
      <c r="A748" s="9"/>
      <c r="B748" s="9"/>
    </row>
    <row r="749" ht="12.75" customHeight="1">
      <c r="A749" s="9"/>
      <c r="B749" s="9"/>
    </row>
    <row r="750" ht="12.75" customHeight="1">
      <c r="A750" s="9"/>
      <c r="B750" s="9"/>
    </row>
    <row r="751" ht="12.75" customHeight="1">
      <c r="A751" s="9"/>
      <c r="B751" s="9"/>
    </row>
    <row r="752" ht="12.75" customHeight="1">
      <c r="A752" s="9"/>
      <c r="B752" s="9"/>
    </row>
    <row r="753" ht="12.75" customHeight="1">
      <c r="A753" s="9"/>
      <c r="B753" s="9"/>
    </row>
    <row r="754" ht="12.75" customHeight="1">
      <c r="A754" s="9"/>
      <c r="B754" s="9"/>
    </row>
    <row r="755" ht="12.75" customHeight="1">
      <c r="A755" s="9"/>
      <c r="B755" s="9"/>
    </row>
    <row r="756" ht="12.75" customHeight="1">
      <c r="A756" s="9"/>
      <c r="B756" s="9"/>
    </row>
    <row r="757" ht="12.75" customHeight="1">
      <c r="A757" s="9"/>
      <c r="B757" s="9"/>
    </row>
    <row r="758" ht="12.75" customHeight="1">
      <c r="A758" s="9"/>
      <c r="B758" s="9"/>
    </row>
    <row r="759" ht="12.75" customHeight="1">
      <c r="A759" s="9"/>
      <c r="B759" s="9"/>
    </row>
    <row r="760" ht="12.75" customHeight="1">
      <c r="A760" s="9"/>
      <c r="B760" s="9"/>
    </row>
    <row r="761" ht="12.75" customHeight="1">
      <c r="A761" s="9"/>
      <c r="B761" s="9"/>
    </row>
    <row r="762" ht="12.75" customHeight="1">
      <c r="A762" s="9"/>
      <c r="B762" s="9"/>
    </row>
    <row r="763" ht="12.75" customHeight="1">
      <c r="A763" s="9"/>
      <c r="B763" s="9"/>
    </row>
    <row r="764" ht="12.75" customHeight="1">
      <c r="A764" s="9"/>
      <c r="B764" s="9"/>
    </row>
    <row r="765" ht="12.75" customHeight="1">
      <c r="A765" s="9"/>
      <c r="B765" s="9"/>
    </row>
    <row r="766" ht="12.75" customHeight="1">
      <c r="A766" s="9"/>
      <c r="B766" s="9"/>
    </row>
    <row r="767" ht="12.75" customHeight="1">
      <c r="A767" s="9"/>
      <c r="B767" s="9"/>
    </row>
    <row r="768" ht="12.75" customHeight="1">
      <c r="A768" s="9"/>
      <c r="B768" s="9"/>
    </row>
    <row r="769" ht="12.75" customHeight="1">
      <c r="A769" s="9"/>
      <c r="B769" s="9"/>
    </row>
    <row r="770" ht="12.75" customHeight="1">
      <c r="A770" s="9"/>
      <c r="B770" s="9"/>
    </row>
    <row r="771" ht="12.75" customHeight="1">
      <c r="A771" s="9"/>
      <c r="B771" s="9"/>
    </row>
    <row r="772" ht="12.75" customHeight="1">
      <c r="A772" s="9"/>
      <c r="B772" s="9"/>
    </row>
    <row r="773" ht="12.75" customHeight="1">
      <c r="A773" s="9"/>
      <c r="B773" s="9"/>
    </row>
    <row r="774" ht="12.75" customHeight="1">
      <c r="A774" s="9"/>
      <c r="B774" s="9"/>
    </row>
    <row r="775" ht="12.75" customHeight="1">
      <c r="A775" s="9"/>
      <c r="B775" s="9"/>
    </row>
    <row r="776" ht="12.75" customHeight="1">
      <c r="A776" s="9"/>
      <c r="B776" s="9"/>
    </row>
    <row r="777" ht="12.75" customHeight="1">
      <c r="A777" s="9"/>
      <c r="B777" s="9"/>
    </row>
    <row r="778" ht="12.75" customHeight="1">
      <c r="A778" s="9"/>
      <c r="B778" s="9"/>
    </row>
    <row r="779" ht="12.75" customHeight="1">
      <c r="A779" s="9"/>
      <c r="B779" s="9"/>
    </row>
    <row r="780" ht="12.75" customHeight="1">
      <c r="A780" s="9"/>
      <c r="B780" s="9"/>
    </row>
    <row r="781" ht="12.75" customHeight="1">
      <c r="A781" s="9"/>
      <c r="B781" s="9"/>
    </row>
    <row r="782" ht="12.75" customHeight="1">
      <c r="A782" s="9"/>
      <c r="B782" s="9"/>
    </row>
    <row r="783" ht="12.75" customHeight="1">
      <c r="A783" s="9"/>
      <c r="B783" s="9"/>
    </row>
    <row r="784" ht="12.75" customHeight="1">
      <c r="A784" s="9"/>
      <c r="B784" s="9"/>
    </row>
    <row r="785" ht="12.75" customHeight="1">
      <c r="A785" s="9"/>
      <c r="B785" s="9"/>
    </row>
    <row r="786" ht="12.75" customHeight="1">
      <c r="A786" s="9"/>
      <c r="B786" s="9"/>
    </row>
    <row r="787" ht="12.75" customHeight="1">
      <c r="A787" s="9"/>
      <c r="B787" s="9"/>
    </row>
    <row r="788" ht="12.75" customHeight="1">
      <c r="A788" s="9"/>
      <c r="B788" s="9"/>
    </row>
    <row r="789" ht="12.75" customHeight="1">
      <c r="A789" s="9"/>
      <c r="B789" s="9"/>
    </row>
    <row r="790" ht="12.75" customHeight="1">
      <c r="A790" s="9"/>
      <c r="B790" s="9"/>
    </row>
    <row r="791" ht="12.75" customHeight="1">
      <c r="A791" s="9"/>
      <c r="B791" s="9"/>
    </row>
    <row r="792" ht="12.75" customHeight="1">
      <c r="A792" s="9"/>
      <c r="B792" s="9"/>
    </row>
    <row r="793" ht="12.75" customHeight="1">
      <c r="A793" s="9"/>
      <c r="B793" s="9"/>
    </row>
    <row r="794" ht="12.75" customHeight="1">
      <c r="A794" s="9"/>
      <c r="B794" s="9"/>
    </row>
    <row r="795" ht="12.75" customHeight="1">
      <c r="A795" s="9"/>
      <c r="B795" s="9"/>
    </row>
    <row r="796" ht="12.75" customHeight="1">
      <c r="A796" s="9"/>
      <c r="B796" s="9"/>
    </row>
    <row r="797" ht="12.75" customHeight="1">
      <c r="A797" s="9"/>
      <c r="B797" s="9"/>
    </row>
    <row r="798" ht="12.75" customHeight="1">
      <c r="A798" s="9"/>
      <c r="B798" s="9"/>
    </row>
    <row r="799" ht="12.75" customHeight="1">
      <c r="A799" s="9"/>
      <c r="B799" s="9"/>
    </row>
    <row r="800" ht="12.75" customHeight="1">
      <c r="A800" s="9"/>
      <c r="B800" s="9"/>
    </row>
    <row r="801" ht="12.75" customHeight="1">
      <c r="A801" s="9"/>
      <c r="B801" s="9"/>
    </row>
    <row r="802" ht="12.75" customHeight="1">
      <c r="A802" s="9"/>
      <c r="B802" s="9"/>
    </row>
    <row r="803" ht="12.75" customHeight="1">
      <c r="A803" s="9"/>
      <c r="B803" s="9"/>
    </row>
    <row r="804" ht="12.75" customHeight="1">
      <c r="A804" s="9"/>
      <c r="B804" s="9"/>
    </row>
    <row r="805" ht="12.75" customHeight="1">
      <c r="A805" s="9"/>
      <c r="B805" s="9"/>
    </row>
    <row r="806" ht="12.75" customHeight="1">
      <c r="A806" s="9"/>
      <c r="B806" s="9"/>
    </row>
    <row r="807" ht="12.75" customHeight="1">
      <c r="A807" s="9"/>
      <c r="B807" s="9"/>
    </row>
    <row r="808" ht="12.75" customHeight="1">
      <c r="A808" s="9"/>
      <c r="B808" s="9"/>
    </row>
    <row r="809" ht="12.75" customHeight="1">
      <c r="A809" s="9"/>
      <c r="B809" s="9"/>
    </row>
    <row r="810" ht="12.75" customHeight="1">
      <c r="A810" s="9"/>
      <c r="B810" s="9"/>
    </row>
    <row r="811" ht="12.75" customHeight="1">
      <c r="A811" s="9"/>
      <c r="B811" s="9"/>
    </row>
    <row r="812" ht="12.75" customHeight="1">
      <c r="A812" s="9"/>
      <c r="B812" s="9"/>
    </row>
    <row r="813" ht="12.75" customHeight="1">
      <c r="A813" s="9"/>
      <c r="B813" s="9"/>
    </row>
    <row r="814" ht="12.75" customHeight="1">
      <c r="A814" s="9"/>
      <c r="B814" s="9"/>
    </row>
    <row r="815" ht="12.75" customHeight="1">
      <c r="A815" s="9"/>
      <c r="B815" s="9"/>
    </row>
    <row r="816" ht="12.75" customHeight="1">
      <c r="A816" s="9"/>
      <c r="B816" s="9"/>
    </row>
    <row r="817" ht="12.75" customHeight="1">
      <c r="A817" s="9"/>
      <c r="B817" s="9"/>
    </row>
    <row r="818" ht="12.75" customHeight="1">
      <c r="A818" s="9"/>
      <c r="B818" s="9"/>
    </row>
    <row r="819" ht="12.75" customHeight="1">
      <c r="A819" s="9"/>
      <c r="B819" s="9"/>
    </row>
    <row r="820" ht="12.75" customHeight="1">
      <c r="A820" s="9"/>
      <c r="B820" s="9"/>
    </row>
    <row r="821" ht="12.75" customHeight="1">
      <c r="A821" s="9"/>
      <c r="B821" s="9"/>
    </row>
    <row r="822" ht="12.75" customHeight="1">
      <c r="A822" s="9"/>
      <c r="B822" s="9"/>
    </row>
    <row r="823" ht="12.75" customHeight="1">
      <c r="A823" s="9"/>
      <c r="B823" s="9"/>
    </row>
    <row r="824" ht="12.75" customHeight="1">
      <c r="A824" s="9"/>
      <c r="B824" s="9"/>
    </row>
    <row r="825" ht="12.75" customHeight="1">
      <c r="A825" s="9"/>
      <c r="B825" s="9"/>
    </row>
    <row r="826" ht="12.75" customHeight="1">
      <c r="A826" s="9"/>
      <c r="B826" s="9"/>
    </row>
    <row r="827" ht="12.75" customHeight="1">
      <c r="A827" s="9"/>
      <c r="B827" s="9"/>
    </row>
    <row r="828" ht="12.75" customHeight="1">
      <c r="A828" s="9"/>
      <c r="B828" s="9"/>
    </row>
    <row r="829" ht="12.75" customHeight="1">
      <c r="A829" s="9"/>
      <c r="B829" s="9"/>
    </row>
    <row r="830" ht="12.75" customHeight="1">
      <c r="A830" s="9"/>
      <c r="B830" s="9"/>
    </row>
    <row r="831" ht="12.75" customHeight="1">
      <c r="A831" s="9"/>
      <c r="B831" s="9"/>
    </row>
    <row r="832" ht="12.75" customHeight="1">
      <c r="A832" s="9"/>
      <c r="B832" s="9"/>
    </row>
    <row r="833" ht="12.75" customHeight="1">
      <c r="A833" s="9"/>
      <c r="B833" s="9"/>
    </row>
    <row r="834" ht="12.75" customHeight="1">
      <c r="A834" s="9"/>
      <c r="B834" s="9"/>
    </row>
    <row r="835" ht="12.75" customHeight="1">
      <c r="A835" s="9"/>
      <c r="B835" s="9"/>
    </row>
    <row r="836" ht="12.75" customHeight="1">
      <c r="A836" s="9"/>
      <c r="B836" s="9"/>
    </row>
    <row r="837" ht="12.75" customHeight="1">
      <c r="A837" s="9"/>
      <c r="B837" s="9"/>
    </row>
    <row r="838" ht="12.75" customHeight="1">
      <c r="A838" s="9"/>
      <c r="B838" s="9"/>
    </row>
    <row r="839" ht="12.75" customHeight="1">
      <c r="A839" s="9"/>
      <c r="B839" s="9"/>
    </row>
    <row r="840" ht="12.75" customHeight="1">
      <c r="A840" s="9"/>
      <c r="B840" s="9"/>
    </row>
    <row r="841" ht="12.75" customHeight="1">
      <c r="A841" s="9"/>
      <c r="B841" s="9"/>
    </row>
    <row r="842" ht="12.75" customHeight="1">
      <c r="A842" s="9"/>
      <c r="B842" s="9"/>
    </row>
    <row r="843" ht="12.75" customHeight="1">
      <c r="A843" s="9"/>
      <c r="B843" s="9"/>
    </row>
    <row r="844" ht="12.75" customHeight="1">
      <c r="A844" s="9"/>
      <c r="B844" s="9"/>
    </row>
    <row r="845" ht="12.75" customHeight="1">
      <c r="A845" s="9"/>
      <c r="B845" s="9"/>
    </row>
    <row r="846" ht="12.75" customHeight="1">
      <c r="A846" s="9"/>
      <c r="B846" s="9"/>
    </row>
    <row r="847" ht="12.75" customHeight="1">
      <c r="A847" s="9"/>
      <c r="B847" s="9"/>
    </row>
    <row r="848" ht="12.75" customHeight="1">
      <c r="A848" s="9"/>
      <c r="B848" s="9"/>
    </row>
    <row r="849" ht="12.75" customHeight="1">
      <c r="A849" s="9"/>
      <c r="B849" s="9"/>
    </row>
    <row r="850" ht="12.75" customHeight="1">
      <c r="A850" s="9"/>
      <c r="B850" s="9"/>
    </row>
    <row r="851" ht="12.75" customHeight="1">
      <c r="A851" s="9"/>
      <c r="B851" s="9"/>
    </row>
    <row r="852" ht="12.75" customHeight="1">
      <c r="A852" s="9"/>
      <c r="B852" s="9"/>
    </row>
    <row r="853" ht="12.75" customHeight="1">
      <c r="A853" s="9"/>
      <c r="B853" s="9"/>
    </row>
    <row r="854" ht="12.75" customHeight="1">
      <c r="A854" s="9"/>
      <c r="B854" s="9"/>
    </row>
    <row r="855" ht="12.75" customHeight="1">
      <c r="A855" s="9"/>
      <c r="B855" s="9"/>
    </row>
    <row r="856" ht="12.75" customHeight="1">
      <c r="A856" s="9"/>
      <c r="B856" s="9"/>
    </row>
    <row r="857" ht="12.75" customHeight="1">
      <c r="A857" s="9"/>
      <c r="B857" s="9"/>
    </row>
    <row r="858" ht="12.75" customHeight="1">
      <c r="A858" s="9"/>
      <c r="B858" s="9"/>
    </row>
    <row r="859" ht="12.75" customHeight="1">
      <c r="A859" s="9"/>
      <c r="B859" s="9"/>
    </row>
    <row r="860" ht="12.75" customHeight="1">
      <c r="A860" s="9"/>
      <c r="B860" s="9"/>
    </row>
    <row r="861" ht="12.75" customHeight="1">
      <c r="A861" s="9"/>
      <c r="B861" s="9"/>
    </row>
    <row r="862" ht="12.75" customHeight="1">
      <c r="A862" s="9"/>
      <c r="B862" s="9"/>
    </row>
    <row r="863" ht="12.75" customHeight="1">
      <c r="A863" s="9"/>
      <c r="B863" s="9"/>
    </row>
    <row r="864" ht="12.75" customHeight="1">
      <c r="A864" s="9"/>
      <c r="B864" s="9"/>
    </row>
    <row r="865" ht="12.75" customHeight="1">
      <c r="A865" s="9"/>
      <c r="B865" s="9"/>
    </row>
    <row r="866" ht="12.75" customHeight="1">
      <c r="A866" s="9"/>
      <c r="B866" s="9"/>
    </row>
    <row r="867" ht="12.75" customHeight="1">
      <c r="A867" s="9"/>
      <c r="B867" s="9"/>
    </row>
    <row r="868" ht="12.75" customHeight="1">
      <c r="A868" s="9"/>
      <c r="B868" s="9"/>
    </row>
    <row r="869" ht="12.75" customHeight="1">
      <c r="A869" s="9"/>
      <c r="B869" s="9"/>
    </row>
    <row r="870" ht="12.75" customHeight="1">
      <c r="A870" s="9"/>
      <c r="B870" s="9"/>
    </row>
    <row r="871" ht="12.75" customHeight="1">
      <c r="A871" s="9"/>
      <c r="B871" s="9"/>
    </row>
    <row r="872" ht="12.75" customHeight="1">
      <c r="A872" s="9"/>
      <c r="B872" s="9"/>
    </row>
    <row r="873" ht="12.75" customHeight="1">
      <c r="A873" s="9"/>
      <c r="B873" s="9"/>
    </row>
    <row r="874" ht="12.75" customHeight="1">
      <c r="A874" s="9"/>
      <c r="B874" s="9"/>
    </row>
    <row r="875" ht="12.75" customHeight="1">
      <c r="A875" s="9"/>
      <c r="B875" s="9"/>
    </row>
    <row r="876" ht="12.75" customHeight="1">
      <c r="A876" s="9"/>
      <c r="B876" s="9"/>
    </row>
    <row r="877" ht="12.75" customHeight="1">
      <c r="A877" s="9"/>
      <c r="B877" s="9"/>
    </row>
    <row r="878" ht="12.75" customHeight="1">
      <c r="A878" s="9"/>
      <c r="B878" s="9"/>
    </row>
    <row r="879" ht="12.75" customHeight="1">
      <c r="A879" s="9"/>
      <c r="B879" s="9"/>
    </row>
    <row r="880" ht="12.75" customHeight="1">
      <c r="A880" s="9"/>
      <c r="B880" s="9"/>
    </row>
    <row r="881" ht="12.75" customHeight="1">
      <c r="A881" s="9"/>
      <c r="B881" s="9"/>
    </row>
    <row r="882" ht="12.75" customHeight="1">
      <c r="A882" s="9"/>
      <c r="B882" s="9"/>
    </row>
    <row r="883" ht="12.75" customHeight="1">
      <c r="A883" s="9"/>
      <c r="B883" s="9"/>
    </row>
    <row r="884" ht="12.75" customHeight="1">
      <c r="A884" s="9"/>
      <c r="B884" s="9"/>
    </row>
    <row r="885" ht="12.75" customHeight="1">
      <c r="A885" s="9"/>
      <c r="B885" s="9"/>
    </row>
    <row r="886" ht="12.75" customHeight="1">
      <c r="A886" s="9"/>
      <c r="B886" s="9"/>
    </row>
    <row r="887" ht="12.75" customHeight="1">
      <c r="A887" s="9"/>
      <c r="B887" s="9"/>
    </row>
    <row r="888" ht="12.75" customHeight="1">
      <c r="A888" s="9"/>
      <c r="B888" s="9"/>
    </row>
    <row r="889" ht="12.75" customHeight="1">
      <c r="A889" s="9"/>
      <c r="B889" s="9"/>
    </row>
    <row r="890" ht="12.75" customHeight="1">
      <c r="A890" s="9"/>
      <c r="B890" s="9"/>
    </row>
    <row r="891" ht="12.75" customHeight="1">
      <c r="A891" s="9"/>
      <c r="B891" s="9"/>
    </row>
    <row r="892" ht="12.75" customHeight="1">
      <c r="A892" s="9"/>
      <c r="B892" s="9"/>
    </row>
    <row r="893" ht="12.75" customHeight="1">
      <c r="A893" s="9"/>
      <c r="B893" s="9"/>
    </row>
    <row r="894" ht="12.75" customHeight="1">
      <c r="A894" s="9"/>
      <c r="B894" s="9"/>
    </row>
    <row r="895" ht="12.75" customHeight="1">
      <c r="A895" s="9"/>
      <c r="B895" s="9"/>
    </row>
    <row r="896" ht="12.75" customHeight="1">
      <c r="A896" s="9"/>
      <c r="B896" s="9"/>
    </row>
    <row r="897" ht="12.75" customHeight="1">
      <c r="A897" s="9"/>
      <c r="B897" s="9"/>
    </row>
    <row r="898" ht="12.75" customHeight="1">
      <c r="A898" s="9"/>
      <c r="B898" s="9"/>
    </row>
    <row r="899" ht="12.75" customHeight="1">
      <c r="A899" s="9"/>
      <c r="B899" s="9"/>
    </row>
    <row r="900" ht="12.75" customHeight="1">
      <c r="A900" s="9"/>
      <c r="B900" s="9"/>
    </row>
    <row r="901" ht="12.75" customHeight="1">
      <c r="A901" s="9"/>
      <c r="B901" s="9"/>
    </row>
    <row r="902" ht="12.75" customHeight="1">
      <c r="A902" s="9"/>
      <c r="B902" s="9"/>
    </row>
    <row r="903" ht="12.75" customHeight="1">
      <c r="A903" s="9"/>
      <c r="B903" s="9"/>
    </row>
    <row r="904" ht="12.75" customHeight="1">
      <c r="A904" s="9"/>
      <c r="B904" s="9"/>
    </row>
    <row r="905" ht="12.75" customHeight="1">
      <c r="A905" s="9"/>
      <c r="B905" s="9"/>
    </row>
    <row r="906" ht="12.75" customHeight="1">
      <c r="A906" s="9"/>
      <c r="B906" s="9"/>
    </row>
    <row r="907" ht="12.75" customHeight="1">
      <c r="A907" s="9"/>
      <c r="B907" s="9"/>
    </row>
    <row r="908" ht="12.75" customHeight="1">
      <c r="A908" s="9"/>
      <c r="B908" s="9"/>
    </row>
    <row r="909" ht="12.75" customHeight="1">
      <c r="A909" s="9"/>
      <c r="B909" s="9"/>
    </row>
    <row r="910" ht="12.75" customHeight="1">
      <c r="A910" s="9"/>
      <c r="B910" s="9"/>
    </row>
    <row r="911" ht="12.75" customHeight="1">
      <c r="A911" s="9"/>
      <c r="B911" s="9"/>
    </row>
    <row r="912" ht="12.75" customHeight="1">
      <c r="A912" s="9"/>
      <c r="B912" s="9"/>
    </row>
    <row r="913" ht="12.75" customHeight="1">
      <c r="A913" s="9"/>
      <c r="B913" s="9"/>
    </row>
    <row r="914" ht="12.75" customHeight="1">
      <c r="A914" s="9"/>
      <c r="B914" s="9"/>
    </row>
    <row r="915" ht="12.75" customHeight="1">
      <c r="A915" s="9"/>
      <c r="B915" s="9"/>
    </row>
    <row r="916" ht="12.75" customHeight="1">
      <c r="A916" s="9"/>
      <c r="B916" s="9"/>
    </row>
    <row r="917" ht="12.75" customHeight="1">
      <c r="A917" s="9"/>
      <c r="B917" s="9"/>
    </row>
    <row r="918" ht="12.75" customHeight="1">
      <c r="A918" s="9"/>
      <c r="B918" s="9"/>
    </row>
    <row r="919" ht="12.75" customHeight="1">
      <c r="A919" s="9"/>
      <c r="B919" s="9"/>
    </row>
    <row r="920" ht="12.75" customHeight="1">
      <c r="A920" s="9"/>
      <c r="B920" s="9"/>
    </row>
    <row r="921" ht="12.75" customHeight="1">
      <c r="A921" s="9"/>
      <c r="B921" s="9"/>
    </row>
    <row r="922" ht="12.75" customHeight="1">
      <c r="A922" s="9"/>
      <c r="B922" s="9"/>
    </row>
    <row r="923" ht="12.75" customHeight="1">
      <c r="A923" s="9"/>
      <c r="B923" s="9"/>
    </row>
    <row r="924" ht="12.75" customHeight="1">
      <c r="A924" s="9"/>
      <c r="B924" s="9"/>
    </row>
    <row r="925" ht="12.75" customHeight="1">
      <c r="A925" s="9"/>
      <c r="B925" s="9"/>
    </row>
    <row r="926" ht="12.75" customHeight="1">
      <c r="A926" s="9"/>
      <c r="B926" s="9"/>
    </row>
    <row r="927" ht="12.75" customHeight="1">
      <c r="A927" s="9"/>
      <c r="B927" s="9"/>
    </row>
    <row r="928" ht="12.75" customHeight="1">
      <c r="A928" s="9"/>
      <c r="B928" s="9"/>
    </row>
    <row r="929" ht="12.75" customHeight="1">
      <c r="A929" s="9"/>
      <c r="B929" s="9"/>
    </row>
    <row r="930" ht="12.75" customHeight="1">
      <c r="A930" s="9"/>
      <c r="B930" s="9"/>
    </row>
    <row r="931" ht="12.75" customHeight="1">
      <c r="A931" s="9"/>
      <c r="B931" s="9"/>
    </row>
    <row r="932" ht="12.75" customHeight="1">
      <c r="A932" s="9"/>
      <c r="B932" s="9"/>
    </row>
    <row r="933" ht="12.75" customHeight="1">
      <c r="A933" s="9"/>
      <c r="B933" s="9"/>
    </row>
    <row r="934" ht="12.75" customHeight="1">
      <c r="A934" s="9"/>
      <c r="B934" s="9"/>
    </row>
    <row r="935" ht="12.75" customHeight="1">
      <c r="A935" s="9"/>
      <c r="B935" s="9"/>
    </row>
    <row r="936" ht="12.75" customHeight="1">
      <c r="A936" s="9"/>
      <c r="B936" s="9"/>
    </row>
    <row r="937" ht="12.75" customHeight="1">
      <c r="A937" s="9"/>
      <c r="B937" s="9"/>
    </row>
    <row r="938" ht="12.75" customHeight="1">
      <c r="A938" s="9"/>
      <c r="B938" s="9"/>
    </row>
    <row r="939" ht="12.75" customHeight="1">
      <c r="A939" s="9"/>
      <c r="B939" s="9"/>
    </row>
    <row r="940" ht="12.75" customHeight="1">
      <c r="A940" s="9"/>
      <c r="B940" s="9"/>
    </row>
    <row r="941" ht="12.75" customHeight="1">
      <c r="A941" s="9"/>
      <c r="B941" s="9"/>
    </row>
    <row r="942" ht="12.75" customHeight="1">
      <c r="A942" s="9"/>
      <c r="B942" s="9"/>
    </row>
    <row r="943" ht="12.75" customHeight="1">
      <c r="A943" s="9"/>
      <c r="B943" s="9"/>
    </row>
    <row r="944" ht="12.75" customHeight="1">
      <c r="A944" s="9"/>
      <c r="B944" s="9"/>
    </row>
    <row r="945" ht="12.75" customHeight="1">
      <c r="A945" s="9"/>
      <c r="B945" s="9"/>
    </row>
    <row r="946" ht="12.75" customHeight="1">
      <c r="A946" s="9"/>
      <c r="B946" s="9"/>
    </row>
    <row r="947" ht="12.75" customHeight="1">
      <c r="A947" s="9"/>
      <c r="B947" s="9"/>
    </row>
    <row r="948" ht="12.75" customHeight="1">
      <c r="A948" s="9"/>
      <c r="B948" s="9"/>
    </row>
    <row r="949" ht="12.75" customHeight="1">
      <c r="A949" s="9"/>
      <c r="B949" s="9"/>
    </row>
    <row r="950" ht="12.75" customHeight="1">
      <c r="A950" s="9"/>
      <c r="B950" s="9"/>
    </row>
    <row r="951" ht="12.75" customHeight="1">
      <c r="A951" s="9"/>
      <c r="B951" s="9"/>
    </row>
    <row r="952" ht="12.75" customHeight="1">
      <c r="A952" s="9"/>
      <c r="B952" s="9"/>
    </row>
    <row r="953" ht="12.75" customHeight="1">
      <c r="A953" s="9"/>
      <c r="B953" s="9"/>
    </row>
    <row r="954" ht="12.75" customHeight="1">
      <c r="A954" s="9"/>
      <c r="B954" s="9"/>
    </row>
    <row r="955" ht="12.75" customHeight="1">
      <c r="A955" s="9"/>
      <c r="B955" s="9"/>
    </row>
    <row r="956" ht="12.75" customHeight="1">
      <c r="A956" s="9"/>
      <c r="B956" s="9"/>
    </row>
    <row r="957" ht="12.75" customHeight="1">
      <c r="A957" s="9"/>
      <c r="B957" s="9"/>
    </row>
    <row r="958" ht="12.75" customHeight="1">
      <c r="A958" s="9"/>
      <c r="B958" s="9"/>
    </row>
    <row r="959" ht="12.75" customHeight="1">
      <c r="A959" s="9"/>
      <c r="B959" s="9"/>
    </row>
    <row r="960" ht="12.75" customHeight="1">
      <c r="A960" s="9"/>
      <c r="B960" s="9"/>
    </row>
    <row r="961" ht="12.75" customHeight="1">
      <c r="A961" s="9"/>
      <c r="B961" s="9"/>
    </row>
    <row r="962" ht="12.75" customHeight="1">
      <c r="A962" s="9"/>
      <c r="B962" s="9"/>
    </row>
    <row r="963" ht="12.75" customHeight="1">
      <c r="A963" s="9"/>
      <c r="B963" s="9"/>
    </row>
    <row r="964" ht="12.75" customHeight="1">
      <c r="A964" s="9"/>
      <c r="B964" s="9"/>
    </row>
    <row r="965" ht="12.75" customHeight="1">
      <c r="A965" s="9"/>
      <c r="B965" s="9"/>
    </row>
    <row r="966" ht="12.75" customHeight="1">
      <c r="A966" s="9"/>
      <c r="B966" s="9"/>
    </row>
    <row r="967" ht="12.75" customHeight="1">
      <c r="A967" s="9"/>
      <c r="B967" s="9"/>
    </row>
    <row r="968" ht="12.75" customHeight="1">
      <c r="A968" s="9"/>
      <c r="B968" s="9"/>
    </row>
    <row r="969" ht="12.75" customHeight="1">
      <c r="A969" s="9"/>
      <c r="B969" s="9"/>
    </row>
    <row r="970" ht="12.75" customHeight="1">
      <c r="A970" s="9"/>
      <c r="B970" s="9"/>
    </row>
    <row r="971" ht="12.75" customHeight="1">
      <c r="A971" s="9"/>
      <c r="B971" s="9"/>
    </row>
    <row r="972" ht="12.75" customHeight="1">
      <c r="A972" s="9"/>
      <c r="B972" s="9"/>
    </row>
    <row r="973" ht="12.75" customHeight="1">
      <c r="A973" s="9"/>
      <c r="B973" s="9"/>
    </row>
    <row r="974" ht="12.75" customHeight="1">
      <c r="A974" s="9"/>
      <c r="B974" s="9"/>
    </row>
    <row r="975" ht="12.75" customHeight="1">
      <c r="A975" s="9"/>
      <c r="B975" s="9"/>
    </row>
    <row r="976" ht="12.75" customHeight="1">
      <c r="A976" s="9"/>
      <c r="B976" s="9"/>
    </row>
    <row r="977" ht="12.75" customHeight="1">
      <c r="A977" s="9"/>
      <c r="B977" s="9"/>
    </row>
    <row r="978" ht="12.75" customHeight="1">
      <c r="A978" s="9"/>
      <c r="B978" s="9"/>
    </row>
    <row r="979" ht="12.75" customHeight="1">
      <c r="A979" s="9"/>
      <c r="B979" s="9"/>
    </row>
    <row r="980" ht="12.75" customHeight="1">
      <c r="A980" s="9"/>
      <c r="B980" s="9"/>
    </row>
    <row r="981" ht="12.75" customHeight="1">
      <c r="A981" s="9"/>
      <c r="B981" s="9"/>
    </row>
    <row r="982" ht="12.75" customHeight="1">
      <c r="A982" s="9"/>
      <c r="B982" s="9"/>
    </row>
    <row r="983" ht="12.75" customHeight="1">
      <c r="A983" s="9"/>
      <c r="B983" s="9"/>
    </row>
    <row r="984" ht="12.75" customHeight="1">
      <c r="A984" s="9"/>
      <c r="B984" s="9"/>
    </row>
    <row r="985" ht="12.75" customHeight="1">
      <c r="A985" s="9"/>
      <c r="B985" s="9"/>
    </row>
    <row r="986" ht="12.75" customHeight="1">
      <c r="A986" s="9"/>
      <c r="B986" s="9"/>
    </row>
    <row r="987" ht="12.75" customHeight="1">
      <c r="A987" s="9"/>
      <c r="B987" s="9"/>
    </row>
    <row r="988" ht="12.75" customHeight="1">
      <c r="A988" s="9"/>
      <c r="B988" s="9"/>
    </row>
    <row r="989" ht="12.75" customHeight="1">
      <c r="A989" s="9"/>
      <c r="B989" s="9"/>
    </row>
    <row r="990" ht="12.75" customHeight="1">
      <c r="A990" s="9"/>
      <c r="B990" s="9"/>
    </row>
    <row r="991" ht="12.75" customHeight="1">
      <c r="A991" s="9"/>
      <c r="B991" s="9"/>
    </row>
    <row r="992" ht="12.75" customHeight="1">
      <c r="A992" s="9"/>
      <c r="B992" s="9"/>
    </row>
    <row r="993" ht="12.75" customHeight="1">
      <c r="A993" s="9"/>
      <c r="B993" s="9"/>
    </row>
    <row r="994" ht="12.75" customHeight="1">
      <c r="A994" s="9"/>
      <c r="B994" s="9"/>
    </row>
    <row r="995" ht="12.75" customHeight="1">
      <c r="A995" s="9"/>
      <c r="B995" s="9"/>
    </row>
    <row r="996" ht="12.75" customHeight="1">
      <c r="A996" s="9"/>
      <c r="B996" s="9"/>
    </row>
    <row r="997" ht="12.75" customHeight="1">
      <c r="A997" s="9"/>
      <c r="B997" s="9"/>
    </row>
    <row r="998" ht="12.75" customHeight="1">
      <c r="A998" s="9"/>
      <c r="B998" s="9"/>
    </row>
    <row r="999" ht="12.75" customHeight="1">
      <c r="A999" s="9"/>
      <c r="B999" s="9"/>
    </row>
    <row r="1000" ht="12.75" customHeight="1">
      <c r="A1000" s="9"/>
      <c r="B1000" s="9"/>
    </row>
  </sheetData>
  <conditionalFormatting sqref="C2:H17 I3:K17">
    <cfRule type="expression" dxfId="0" priority="1" stopIfTrue="1">
      <formula>IF(#REF!=#REF!,1,0)</formula>
    </cfRule>
  </conditionalFormatting>
  <conditionalFormatting sqref="I2:K2">
    <cfRule type="expression" dxfId="0" priority="2" stopIfTrue="1">
      <formula>IF(#REF!=#REF!,1,0)</formula>
    </cfRule>
  </conditionalFormatting>
  <conditionalFormatting sqref="C19:K34">
    <cfRule type="expression" dxfId="0" priority="3" stopIfTrue="1">
      <formula>IF(#REF!=#REF!,1,0)</formula>
    </cfRule>
  </conditionalFormatting>
  <conditionalFormatting sqref="C36:H51 I37:K51">
    <cfRule type="expression" dxfId="0" priority="4" stopIfTrue="1">
      <formula>IF(#REF!=#REF!,1,0)</formula>
    </cfRule>
  </conditionalFormatting>
  <conditionalFormatting sqref="I36:K36">
    <cfRule type="expression" dxfId="0" priority="5" stopIfTrue="1">
      <formula>IF(#REF!=#REF!,1,0)</formula>
    </cfRule>
  </conditionalFormatting>
  <conditionalFormatting sqref="C53:H68 I54:K68">
    <cfRule type="expression" dxfId="0" priority="6" stopIfTrue="1">
      <formula>IF(#REF!=#REF!,1,0)</formula>
    </cfRule>
  </conditionalFormatting>
  <conditionalFormatting sqref="I53:K53">
    <cfRule type="expression" dxfId="0" priority="7" stopIfTrue="1">
      <formula>IF(#REF!=#REF!,1,0)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33.25"/>
    <col customWidth="1" min="3" max="3" width="10.88"/>
    <col customWidth="1" min="4" max="4" width="10.25"/>
    <col customWidth="1" min="5" max="6" width="9.75"/>
    <col customWidth="1" min="7" max="7" width="10.38"/>
    <col customWidth="1" min="8" max="8" width="9.75"/>
    <col customWidth="1" min="9" max="9" width="11.38"/>
    <col customWidth="1" min="10" max="10" width="9.75"/>
    <col customWidth="1" min="11" max="12" width="12.25"/>
    <col customWidth="1" min="13" max="19" width="8.63"/>
    <col customWidth="1" min="20" max="20" width="10.25"/>
    <col customWidth="1" min="21" max="23" width="8.63"/>
    <col customWidth="1" min="24" max="24" width="12.63"/>
    <col customWidth="1" min="25" max="31" width="8.63"/>
  </cols>
  <sheetData>
    <row r="1" ht="12.75" customHeight="1">
      <c r="A1" s="8" t="s">
        <v>54</v>
      </c>
      <c r="B1" s="8" t="s">
        <v>62</v>
      </c>
      <c r="C1" s="11" t="str">
        <f>OFFSET(Lists!$E$1,COLUMN()-2,0,1,1)</f>
        <v>FY 12</v>
      </c>
      <c r="D1" s="11" t="str">
        <f>OFFSET(Lists!$E$1,COLUMN()-2,0,1,1)</f>
        <v>FY 13</v>
      </c>
      <c r="E1" s="11" t="str">
        <f>OFFSET(Lists!$E$1,COLUMN()-2,0,1,1)</f>
        <v>FY 14</v>
      </c>
      <c r="F1" s="11" t="str">
        <f>OFFSET(Lists!$E$1,COLUMN()-2,0,1,1)</f>
        <v>FY 15</v>
      </c>
      <c r="G1" s="11" t="str">
        <f>OFFSET(Lists!$E$1,COLUMN()-2,0,1,1)</f>
        <v>FY 16</v>
      </c>
      <c r="H1" s="11" t="str">
        <f>OFFSET(Lists!$E$1,COLUMN()-2,0,1,1)</f>
        <v>FY 17</v>
      </c>
      <c r="I1" s="11" t="str">
        <f>OFFSET(Lists!$E$1,COLUMN()-2,0,1,1)</f>
        <v>FY 18</v>
      </c>
      <c r="J1" s="11" t="str">
        <f>OFFSET(Lists!$E$1,COLUMN()-2,0,1,1)</f>
        <v>FY 19</v>
      </c>
      <c r="K1" s="11" t="str">
        <f>OFFSET(Lists!$E$1,COLUMN()-2,0,1,1)</f>
        <v>FY 20</v>
      </c>
    </row>
    <row r="2" ht="12.75" customHeight="1">
      <c r="A2" s="12" t="s">
        <v>43</v>
      </c>
      <c r="B2" s="12" t="s">
        <v>63</v>
      </c>
      <c r="C2" s="13">
        <v>7759.64</v>
      </c>
      <c r="D2" s="13">
        <v>8164.8</v>
      </c>
      <c r="E2" s="13">
        <v>8784.720000000001</v>
      </c>
      <c r="F2" s="13">
        <v>9940.800000000001</v>
      </c>
      <c r="G2" s="13">
        <v>10395.84</v>
      </c>
      <c r="H2" s="13">
        <v>9595.0</v>
      </c>
      <c r="I2" s="13">
        <v>10659.0</v>
      </c>
      <c r="J2" s="13">
        <v>10674.2</v>
      </c>
      <c r="K2" s="13">
        <v>10090.91</v>
      </c>
      <c r="X2" s="14"/>
    </row>
    <row r="3" ht="12.75" customHeight="1">
      <c r="A3" s="12" t="s">
        <v>43</v>
      </c>
      <c r="B3" s="12" t="s">
        <v>64</v>
      </c>
      <c r="C3" s="13">
        <v>28322.0</v>
      </c>
      <c r="D3" s="13">
        <v>32561.93</v>
      </c>
      <c r="E3" s="13">
        <v>32785.45</v>
      </c>
      <c r="F3" s="13">
        <v>34607.66</v>
      </c>
      <c r="G3" s="13">
        <v>37806.72</v>
      </c>
      <c r="H3" s="13">
        <v>39213.72</v>
      </c>
      <c r="I3" s="13">
        <v>40197.15</v>
      </c>
      <c r="J3" s="13">
        <v>41671.4375</v>
      </c>
      <c r="K3" s="13">
        <v>46707.7734375</v>
      </c>
      <c r="L3" s="14"/>
      <c r="X3" s="13"/>
      <c r="Y3" s="13"/>
      <c r="Z3" s="13"/>
      <c r="AA3" s="13"/>
      <c r="AB3" s="13"/>
      <c r="AC3" s="13"/>
      <c r="AD3" s="13"/>
      <c r="AE3" s="13"/>
    </row>
    <row r="4" ht="12.75" customHeight="1">
      <c r="A4" s="12" t="s">
        <v>43</v>
      </c>
      <c r="B4" s="12" t="s">
        <v>65</v>
      </c>
      <c r="C4" s="15">
        <v>2.945</v>
      </c>
      <c r="D4" s="15">
        <v>3.0720000000000005</v>
      </c>
      <c r="E4" s="15">
        <v>3.1825</v>
      </c>
      <c r="F4" s="15">
        <v>3.264</v>
      </c>
      <c r="G4" s="15">
        <v>3.3120000000000003</v>
      </c>
      <c r="H4" s="15">
        <v>3.528</v>
      </c>
      <c r="I4" s="15">
        <v>4.32</v>
      </c>
      <c r="J4" s="15">
        <v>5.5125</v>
      </c>
      <c r="K4" s="15">
        <v>6.6796875</v>
      </c>
      <c r="L4" s="14"/>
      <c r="X4" s="13"/>
      <c r="Y4" s="13"/>
      <c r="Z4" s="13"/>
      <c r="AA4" s="13"/>
      <c r="AB4" s="13"/>
      <c r="AC4" s="13"/>
      <c r="AD4" s="13"/>
      <c r="AE4" s="13"/>
    </row>
    <row r="5" ht="12.75" customHeight="1">
      <c r="A5" s="12" t="s">
        <v>43</v>
      </c>
      <c r="B5" s="12" t="s">
        <v>66</v>
      </c>
      <c r="C5" s="15">
        <v>0.9603</v>
      </c>
      <c r="D5" s="15">
        <v>0.9975</v>
      </c>
      <c r="E5" s="15">
        <v>1.0656</v>
      </c>
      <c r="F5" s="15">
        <v>1.176</v>
      </c>
      <c r="G5" s="15">
        <v>1.2054</v>
      </c>
      <c r="H5" s="15">
        <v>1.2416</v>
      </c>
      <c r="I5" s="15">
        <v>1.568</v>
      </c>
      <c r="J5" s="15">
        <v>1.98</v>
      </c>
      <c r="K5" s="15">
        <v>2.4</v>
      </c>
      <c r="L5" s="14"/>
      <c r="X5" s="13"/>
      <c r="Y5" s="13"/>
      <c r="Z5" s="13"/>
      <c r="AA5" s="13"/>
      <c r="AB5" s="13"/>
      <c r="AC5" s="13"/>
      <c r="AD5" s="13"/>
      <c r="AE5" s="13"/>
    </row>
    <row r="6" ht="12.75" customHeight="1">
      <c r="A6" s="12" t="s">
        <v>43</v>
      </c>
      <c r="B6" s="12" t="s">
        <v>67</v>
      </c>
      <c r="C6" s="16">
        <v>2.8028000000000004</v>
      </c>
      <c r="D6" s="16">
        <v>2.51136</v>
      </c>
      <c r="E6" s="16">
        <v>2.5441000000000003</v>
      </c>
      <c r="F6" s="16">
        <v>2.58875</v>
      </c>
      <c r="G6" s="16">
        <v>2.5725000000000002</v>
      </c>
      <c r="H6" s="16">
        <v>2.7541800000000003</v>
      </c>
      <c r="I6" s="16">
        <v>3.3345000000000002</v>
      </c>
      <c r="J6" s="16">
        <v>4.0210625</v>
      </c>
      <c r="K6" s="16">
        <v>5.424453125</v>
      </c>
      <c r="L6" s="14"/>
    </row>
    <row r="7" ht="12.75" customHeight="1">
      <c r="A7" s="12" t="s">
        <v>43</v>
      </c>
      <c r="B7" s="12" t="s">
        <v>68</v>
      </c>
      <c r="C7" s="16">
        <v>23.166</v>
      </c>
      <c r="D7" s="16">
        <v>21.565</v>
      </c>
      <c r="E7" s="16">
        <v>26.532000000000004</v>
      </c>
      <c r="F7" s="16">
        <v>25.442999999999998</v>
      </c>
      <c r="G7" s="16">
        <v>27.324</v>
      </c>
      <c r="H7" s="16">
        <v>27.456000000000003</v>
      </c>
      <c r="I7" s="16">
        <v>30.135</v>
      </c>
      <c r="J7" s="16">
        <v>25.430625</v>
      </c>
      <c r="K7" s="16">
        <v>22.4021875</v>
      </c>
      <c r="L7" s="14"/>
      <c r="X7" s="13"/>
      <c r="Y7" s="13"/>
      <c r="Z7" s="13"/>
      <c r="AA7" s="13"/>
      <c r="AB7" s="13"/>
      <c r="AC7" s="13"/>
      <c r="AD7" s="13"/>
      <c r="AE7" s="13"/>
    </row>
    <row r="8" ht="12.75" customHeight="1">
      <c r="A8" s="12" t="s">
        <v>43</v>
      </c>
      <c r="B8" s="12" t="s">
        <v>69</v>
      </c>
      <c r="C8" s="16">
        <v>7.125</v>
      </c>
      <c r="D8" s="16">
        <v>7.644</v>
      </c>
      <c r="E8" s="16">
        <v>7.968000000000001</v>
      </c>
      <c r="F8" s="16">
        <v>8.051</v>
      </c>
      <c r="G8" s="16">
        <v>8.316</v>
      </c>
      <c r="H8" s="16">
        <v>8.613</v>
      </c>
      <c r="I8" s="16">
        <v>8.78625</v>
      </c>
      <c r="J8" s="16">
        <v>8.64</v>
      </c>
      <c r="K8" s="16">
        <v>8.351999999999999</v>
      </c>
      <c r="L8" s="14"/>
      <c r="X8" s="13"/>
      <c r="Y8" s="13"/>
      <c r="Z8" s="13"/>
      <c r="AA8" s="13"/>
      <c r="AB8" s="13"/>
      <c r="AC8" s="13"/>
      <c r="AD8" s="13"/>
      <c r="AE8" s="13"/>
    </row>
    <row r="9" ht="12.75" customHeight="1">
      <c r="A9" s="12" t="s">
        <v>43</v>
      </c>
      <c r="B9" s="12" t="s">
        <v>70</v>
      </c>
      <c r="C9" s="15">
        <v>0.8316</v>
      </c>
      <c r="D9" s="15">
        <v>0.8640000000000001</v>
      </c>
      <c r="E9" s="15">
        <v>0.8414999999999999</v>
      </c>
      <c r="F9" s="15">
        <v>0.8265</v>
      </c>
      <c r="G9" s="15">
        <v>0.8231999999999999</v>
      </c>
      <c r="H9" s="15">
        <v>0.836</v>
      </c>
      <c r="I9" s="15">
        <v>1.067</v>
      </c>
      <c r="J9" s="15">
        <v>1.33375</v>
      </c>
      <c r="K9" s="15">
        <v>1.65</v>
      </c>
      <c r="L9" s="14"/>
      <c r="X9" s="13"/>
      <c r="Y9" s="13"/>
      <c r="Z9" s="13"/>
      <c r="AA9" s="13"/>
      <c r="AB9" s="13"/>
      <c r="AC9" s="13"/>
      <c r="AD9" s="13"/>
      <c r="AE9" s="13"/>
    </row>
    <row r="10" ht="12.75" customHeight="1">
      <c r="A10" s="12" t="s">
        <v>43</v>
      </c>
      <c r="B10" s="12" t="s">
        <v>71</v>
      </c>
      <c r="C10" s="13">
        <v>466092.0</v>
      </c>
      <c r="D10" s="13">
        <v>506385.00000000006</v>
      </c>
      <c r="E10" s="13">
        <v>512160.00000000006</v>
      </c>
      <c r="F10" s="13">
        <v>539136.0</v>
      </c>
      <c r="G10" s="13">
        <v>564300.0</v>
      </c>
      <c r="H10" s="13">
        <v>619938.0</v>
      </c>
      <c r="I10" s="13">
        <v>661297.5</v>
      </c>
      <c r="J10" s="13">
        <v>704899.0</v>
      </c>
      <c r="K10" s="13">
        <v>648420.0</v>
      </c>
      <c r="L10" s="14"/>
    </row>
    <row r="11" ht="12.75" customHeight="1">
      <c r="A11" s="12" t="s">
        <v>43</v>
      </c>
      <c r="B11" s="12" t="s">
        <v>72</v>
      </c>
      <c r="C11" s="13">
        <v>253363.77</v>
      </c>
      <c r="D11" s="13">
        <v>259863.0</v>
      </c>
      <c r="E11" s="13">
        <v>267744.0</v>
      </c>
      <c r="F11" s="13">
        <v>289802.05</v>
      </c>
      <c r="G11" s="13">
        <v>300384.0</v>
      </c>
      <c r="H11" s="13">
        <v>304934.8</v>
      </c>
      <c r="I11" s="13">
        <v>286168.5</v>
      </c>
      <c r="J11" s="13">
        <v>283826.75</v>
      </c>
      <c r="K11" s="13">
        <v>320383.4375</v>
      </c>
      <c r="L11" s="14"/>
      <c r="X11" s="13"/>
      <c r="Y11" s="13"/>
      <c r="Z11" s="13"/>
      <c r="AA11" s="13"/>
      <c r="AB11" s="13"/>
      <c r="AC11" s="13"/>
      <c r="AD11" s="13"/>
      <c r="AE11" s="13"/>
    </row>
    <row r="12" ht="12.75" customHeight="1">
      <c r="A12" s="12" t="s">
        <v>43</v>
      </c>
      <c r="B12" s="12" t="s">
        <v>46</v>
      </c>
      <c r="C12" s="13">
        <v>243504.96</v>
      </c>
      <c r="D12" s="13">
        <v>260261.1</v>
      </c>
      <c r="E12" s="13">
        <v>266241.69</v>
      </c>
      <c r="F12" s="13">
        <v>272151.0</v>
      </c>
      <c r="G12" s="13">
        <v>280475.5</v>
      </c>
      <c r="H12" s="13">
        <v>299799.64</v>
      </c>
      <c r="I12" s="13">
        <v>306440.46</v>
      </c>
      <c r="J12" s="13">
        <v>291766.85</v>
      </c>
      <c r="K12" s="13">
        <v>322481.28</v>
      </c>
      <c r="X12" s="13"/>
      <c r="Y12" s="13"/>
      <c r="Z12" s="13"/>
      <c r="AA12" s="13"/>
      <c r="AB12" s="13"/>
      <c r="AC12" s="13"/>
      <c r="AD12" s="13"/>
      <c r="AE12" s="13"/>
    </row>
    <row r="13" ht="12.75" customHeight="1">
      <c r="A13" s="12" t="s">
        <v>43</v>
      </c>
      <c r="B13" s="12" t="s">
        <v>73</v>
      </c>
      <c r="C13" s="13">
        <v>27312.5</v>
      </c>
      <c r="D13" s="13">
        <v>30492.0</v>
      </c>
      <c r="E13" s="13">
        <v>31224.6</v>
      </c>
      <c r="F13" s="13">
        <v>32373.0</v>
      </c>
      <c r="G13" s="13">
        <v>32853.9</v>
      </c>
      <c r="H13" s="13">
        <v>34202.0</v>
      </c>
      <c r="I13" s="13">
        <v>35182.0</v>
      </c>
      <c r="J13" s="13">
        <v>35424.0</v>
      </c>
      <c r="K13" s="13">
        <v>36005.0</v>
      </c>
      <c r="L13" s="13"/>
      <c r="X13" s="13"/>
      <c r="Y13" s="13"/>
      <c r="Z13" s="13"/>
      <c r="AA13" s="13"/>
      <c r="AB13" s="13"/>
      <c r="AC13" s="13"/>
      <c r="AD13" s="13"/>
      <c r="AE13" s="13"/>
    </row>
    <row r="14" ht="12.75" customHeight="1">
      <c r="A14" s="12" t="s">
        <v>43</v>
      </c>
      <c r="B14" s="12" t="s">
        <v>74</v>
      </c>
      <c r="C14" s="16">
        <v>1.6829999999999998</v>
      </c>
      <c r="D14" s="16">
        <v>1.425</v>
      </c>
      <c r="E14" s="16">
        <v>1.44</v>
      </c>
      <c r="F14" s="16">
        <v>1.386</v>
      </c>
      <c r="G14" s="16">
        <v>1.14</v>
      </c>
      <c r="H14" s="16">
        <v>1.274</v>
      </c>
      <c r="I14" s="16">
        <v>1.615</v>
      </c>
      <c r="J14" s="16">
        <v>1.47</v>
      </c>
      <c r="K14" s="16">
        <v>1.2480000000000002</v>
      </c>
      <c r="X14" s="13"/>
      <c r="Y14" s="13"/>
      <c r="Z14" s="13"/>
      <c r="AA14" s="13"/>
      <c r="AB14" s="13"/>
      <c r="AC14" s="13"/>
      <c r="AD14" s="13"/>
      <c r="AE14" s="13"/>
    </row>
    <row r="15" ht="12.75" customHeight="1">
      <c r="A15" s="12" t="s">
        <v>43</v>
      </c>
      <c r="B15" s="12" t="s">
        <v>75</v>
      </c>
      <c r="C15" s="16">
        <v>2.8709999999999996</v>
      </c>
      <c r="D15" s="16">
        <v>2.8709999999999996</v>
      </c>
      <c r="E15" s="16">
        <v>2.94</v>
      </c>
      <c r="F15" s="16">
        <v>2.94</v>
      </c>
      <c r="G15" s="16">
        <v>3.0690000000000004</v>
      </c>
      <c r="H15" s="16">
        <v>3.04</v>
      </c>
      <c r="I15" s="16">
        <v>2.813</v>
      </c>
      <c r="J15" s="16">
        <v>2.8709999999999996</v>
      </c>
      <c r="K15" s="16">
        <v>2.88</v>
      </c>
      <c r="X15" s="13"/>
      <c r="Y15" s="13"/>
      <c r="Z15" s="13"/>
      <c r="AA15" s="13"/>
      <c r="AB15" s="13"/>
      <c r="AC15" s="13"/>
      <c r="AD15" s="13"/>
      <c r="AE15" s="13"/>
    </row>
    <row r="16" ht="12.75" customHeight="1">
      <c r="A16" s="12" t="s">
        <v>43</v>
      </c>
      <c r="B16" s="12" t="s">
        <v>76</v>
      </c>
      <c r="C16" s="16">
        <v>3.7228950000000003</v>
      </c>
      <c r="D16" s="16">
        <v>3.5568</v>
      </c>
      <c r="E16" s="16">
        <v>3.5123699999999998</v>
      </c>
      <c r="F16" s="16">
        <v>3.75585</v>
      </c>
      <c r="G16" s="16">
        <v>3.765120000000001</v>
      </c>
      <c r="H16" s="16">
        <v>4.08954</v>
      </c>
      <c r="I16" s="16">
        <v>4.01544</v>
      </c>
      <c r="J16" s="16">
        <v>3.591</v>
      </c>
      <c r="K16" s="16">
        <v>4.04352</v>
      </c>
    </row>
    <row r="17" ht="12.75" customHeight="1">
      <c r="A17" s="12" t="s">
        <v>43</v>
      </c>
      <c r="B17" s="12" t="s">
        <v>77</v>
      </c>
      <c r="C17" s="16">
        <v>1.615</v>
      </c>
      <c r="D17" s="16">
        <v>1.3719999999999999</v>
      </c>
      <c r="E17" s="16">
        <v>1.52</v>
      </c>
      <c r="F17" s="16">
        <v>1.5520000000000003</v>
      </c>
      <c r="G17" s="16">
        <v>1.425</v>
      </c>
      <c r="H17" s="16">
        <v>1.33</v>
      </c>
      <c r="I17" s="16">
        <v>1.2870000000000001</v>
      </c>
      <c r="J17" s="16">
        <v>1.52</v>
      </c>
      <c r="K17" s="16">
        <v>1.485</v>
      </c>
      <c r="X17" s="13"/>
      <c r="Y17" s="13"/>
      <c r="Z17" s="13"/>
      <c r="AA17" s="13"/>
      <c r="AB17" s="13"/>
      <c r="AC17" s="13"/>
      <c r="AD17" s="13"/>
      <c r="AE17" s="13"/>
    </row>
    <row r="18" ht="12.75" customHeight="1">
      <c r="A18" s="9"/>
      <c r="B18" s="9"/>
      <c r="C18" s="9">
        <v>0.0</v>
      </c>
      <c r="D18" s="9">
        <v>0.0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X18" s="13"/>
      <c r="Y18" s="13"/>
      <c r="Z18" s="13"/>
      <c r="AA18" s="13"/>
      <c r="AB18" s="13"/>
      <c r="AC18" s="13"/>
      <c r="AD18" s="13"/>
      <c r="AE18" s="13"/>
    </row>
    <row r="19" ht="12.75" customHeight="1">
      <c r="A19" s="12" t="s">
        <v>49</v>
      </c>
      <c r="B19" s="12" t="s">
        <v>63</v>
      </c>
      <c r="C19" s="13">
        <v>3296.7</v>
      </c>
      <c r="D19" s="13">
        <v>3574.935</v>
      </c>
      <c r="E19" s="13">
        <v>3779.82</v>
      </c>
      <c r="F19" s="13">
        <v>4330.08</v>
      </c>
      <c r="G19" s="13">
        <v>4554.3</v>
      </c>
      <c r="H19" s="13">
        <v>5068.25</v>
      </c>
      <c r="I19" s="13">
        <v>5107.2</v>
      </c>
      <c r="J19" s="13">
        <v>4602.24</v>
      </c>
      <c r="K19" s="13">
        <v>5068.25</v>
      </c>
      <c r="L19" s="17"/>
      <c r="X19" s="13"/>
      <c r="Y19" s="13"/>
      <c r="Z19" s="13"/>
      <c r="AA19" s="13"/>
      <c r="AB19" s="13"/>
      <c r="AC19" s="13"/>
      <c r="AD19" s="13"/>
      <c r="AE19" s="13"/>
    </row>
    <row r="20" ht="12.75" customHeight="1">
      <c r="A20" s="12" t="s">
        <v>49</v>
      </c>
      <c r="B20" s="12" t="s">
        <v>64</v>
      </c>
      <c r="C20" s="13">
        <v>12984.192</v>
      </c>
      <c r="D20" s="13">
        <v>16179.6369735</v>
      </c>
      <c r="E20" s="13">
        <v>16802.163504</v>
      </c>
      <c r="F20" s="13">
        <v>17409.829338</v>
      </c>
      <c r="G20" s="13">
        <v>19405.020095999997</v>
      </c>
      <c r="H20" s="13">
        <v>19358.273025</v>
      </c>
      <c r="I20" s="13">
        <v>23763.514320000002</v>
      </c>
      <c r="J20" s="13">
        <v>17924.867519999996</v>
      </c>
      <c r="K20" s="13">
        <v>19185.312509999996</v>
      </c>
      <c r="L20" s="17"/>
    </row>
    <row r="21" ht="12.75" customHeight="1">
      <c r="A21" s="12" t="s">
        <v>49</v>
      </c>
      <c r="B21" s="12" t="s">
        <v>65</v>
      </c>
      <c r="C21" s="15">
        <v>2.079</v>
      </c>
      <c r="D21" s="15">
        <v>2.0900000000000003</v>
      </c>
      <c r="E21" s="15">
        <v>2.2560000000000002</v>
      </c>
      <c r="F21" s="15">
        <v>2.304</v>
      </c>
      <c r="G21" s="15">
        <v>2.4010000000000002</v>
      </c>
      <c r="H21" s="15">
        <v>3.04</v>
      </c>
      <c r="I21" s="15">
        <v>4.455</v>
      </c>
      <c r="J21" s="15">
        <v>5.56875</v>
      </c>
      <c r="K21" s="15">
        <v>3.528</v>
      </c>
      <c r="L21" s="18"/>
      <c r="X21" s="13"/>
      <c r="Y21" s="13"/>
      <c r="Z21" s="13"/>
      <c r="AA21" s="13"/>
      <c r="AB21" s="13"/>
      <c r="AC21" s="13"/>
      <c r="AD21" s="13"/>
      <c r="AE21" s="13"/>
    </row>
    <row r="22" ht="12.75" customHeight="1">
      <c r="A22" s="12" t="s">
        <v>49</v>
      </c>
      <c r="B22" s="12" t="s">
        <v>66</v>
      </c>
      <c r="C22" s="15">
        <v>0.6693970000000001</v>
      </c>
      <c r="D22" s="15">
        <v>0.7693070000000001</v>
      </c>
      <c r="E22" s="15">
        <v>0.8696520000000001</v>
      </c>
      <c r="F22" s="15">
        <v>0.9767899999999999</v>
      </c>
      <c r="G22" s="15">
        <v>0.6624960000000001</v>
      </c>
      <c r="H22" s="15">
        <v>0.7693070000000001</v>
      </c>
      <c r="I22" s="15">
        <v>0.912282</v>
      </c>
      <c r="J22" s="15">
        <v>0.9591360000000001</v>
      </c>
      <c r="K22" s="15">
        <v>1.087655</v>
      </c>
      <c r="L22" s="18"/>
    </row>
    <row r="23" ht="12.75" customHeight="1">
      <c r="A23" s="12" t="s">
        <v>49</v>
      </c>
      <c r="B23" s="12" t="s">
        <v>67</v>
      </c>
      <c r="C23" s="16">
        <v>1.584</v>
      </c>
      <c r="D23" s="15">
        <v>1.683</v>
      </c>
      <c r="E23" s="16">
        <v>1.52</v>
      </c>
      <c r="F23" s="16">
        <v>1.485</v>
      </c>
      <c r="G23" s="16">
        <v>3.36</v>
      </c>
      <c r="H23" s="16">
        <v>3.4560000000000004</v>
      </c>
      <c r="I23" s="16">
        <v>4.1225</v>
      </c>
      <c r="J23" s="16">
        <v>4.86</v>
      </c>
      <c r="K23" s="16">
        <v>5.77421875</v>
      </c>
      <c r="L23" s="18"/>
      <c r="X23" s="13"/>
      <c r="Y23" s="13"/>
      <c r="Z23" s="13"/>
      <c r="AA23" s="13"/>
      <c r="AB23" s="13"/>
      <c r="AC23" s="13"/>
      <c r="AD23" s="13"/>
      <c r="AE23" s="13"/>
    </row>
    <row r="24" ht="12.75" customHeight="1">
      <c r="A24" s="12" t="s">
        <v>49</v>
      </c>
      <c r="B24" s="12" t="s">
        <v>68</v>
      </c>
      <c r="C24" s="16">
        <v>21.503999999999998</v>
      </c>
      <c r="D24" s="15">
        <v>21.6</v>
      </c>
      <c r="E24" s="16">
        <v>25.026</v>
      </c>
      <c r="F24" s="16">
        <v>23.959</v>
      </c>
      <c r="G24" s="16">
        <v>28.314</v>
      </c>
      <c r="H24" s="16">
        <v>28.712000000000003</v>
      </c>
      <c r="I24" s="16">
        <v>31.4325</v>
      </c>
      <c r="J24" s="16">
        <v>25.886875</v>
      </c>
      <c r="K24" s="16">
        <v>22.66640625</v>
      </c>
      <c r="L24" s="18"/>
      <c r="X24" s="13"/>
      <c r="Y24" s="13"/>
      <c r="Z24" s="13"/>
      <c r="AA24" s="13"/>
      <c r="AB24" s="13"/>
      <c r="AC24" s="13"/>
      <c r="AD24" s="13"/>
      <c r="AE24" s="13"/>
    </row>
    <row r="25" ht="12.75" customHeight="1">
      <c r="A25" s="12" t="s">
        <v>49</v>
      </c>
      <c r="B25" s="12" t="s">
        <v>69</v>
      </c>
      <c r="C25" s="16">
        <v>6.435</v>
      </c>
      <c r="D25" s="15">
        <v>6.534</v>
      </c>
      <c r="E25" s="16">
        <v>6.935000000000001</v>
      </c>
      <c r="F25" s="16">
        <v>7.227</v>
      </c>
      <c r="G25" s="16">
        <v>9.306000000000001</v>
      </c>
      <c r="H25" s="16">
        <v>9.408999999999999</v>
      </c>
      <c r="I25" s="16">
        <v>9.48</v>
      </c>
      <c r="J25" s="16">
        <v>9.5</v>
      </c>
      <c r="K25" s="16">
        <v>9.408999999999999</v>
      </c>
      <c r="L25" s="18"/>
      <c r="X25" s="13"/>
      <c r="Y25" s="13"/>
      <c r="Z25" s="13"/>
      <c r="AA25" s="13"/>
      <c r="AB25" s="13"/>
      <c r="AC25" s="13"/>
      <c r="AD25" s="13"/>
      <c r="AE25" s="13"/>
    </row>
    <row r="26" ht="12.75" customHeight="1">
      <c r="A26" s="12" t="s">
        <v>49</v>
      </c>
      <c r="B26" s="12" t="s">
        <v>70</v>
      </c>
      <c r="C26" s="15">
        <v>1.5579999999999998</v>
      </c>
      <c r="D26" s="15">
        <v>1.6878</v>
      </c>
      <c r="E26" s="15">
        <v>1.7848</v>
      </c>
      <c r="F26" s="15">
        <v>1.8818000000000001</v>
      </c>
      <c r="G26" s="15">
        <v>1.8177800000000002</v>
      </c>
      <c r="H26" s="15">
        <v>1.8235999999999999</v>
      </c>
      <c r="I26" s="15">
        <v>2.016</v>
      </c>
      <c r="J26" s="15">
        <v>2.3275</v>
      </c>
      <c r="K26" s="15">
        <v>2.1521875</v>
      </c>
      <c r="L26" s="18"/>
      <c r="X26" s="13"/>
      <c r="Y26" s="13"/>
      <c r="Z26" s="13"/>
      <c r="AA26" s="13"/>
      <c r="AB26" s="13"/>
      <c r="AC26" s="13"/>
      <c r="AD26" s="13"/>
      <c r="AE26" s="13"/>
    </row>
    <row r="27" ht="12.75" customHeight="1">
      <c r="A27" s="12" t="s">
        <v>49</v>
      </c>
      <c r="B27" s="12" t="s">
        <v>71</v>
      </c>
      <c r="C27" s="19">
        <v>261900.0</v>
      </c>
      <c r="D27" s="15">
        <v>264600.098</v>
      </c>
      <c r="E27" s="19">
        <v>230400.0</v>
      </c>
      <c r="F27" s="19">
        <v>194000.0</v>
      </c>
      <c r="G27" s="19">
        <v>286150.0</v>
      </c>
      <c r="H27" s="19">
        <v>333200.0</v>
      </c>
      <c r="I27" s="19">
        <v>372000.0</v>
      </c>
      <c r="J27" s="19">
        <v>479531.25</v>
      </c>
      <c r="K27" s="19">
        <v>599414.0625</v>
      </c>
      <c r="X27" s="13"/>
      <c r="Y27" s="13"/>
      <c r="Z27" s="13"/>
      <c r="AA27" s="13"/>
      <c r="AB27" s="13"/>
      <c r="AC27" s="13"/>
      <c r="AD27" s="13"/>
      <c r="AE27" s="13"/>
    </row>
    <row r="28" ht="12.75" customHeight="1">
      <c r="A28" s="12" t="s">
        <v>49</v>
      </c>
      <c r="B28" s="12" t="s">
        <v>72</v>
      </c>
      <c r="C28" s="19">
        <v>156381.885</v>
      </c>
      <c r="D28" s="15">
        <v>153222.752</v>
      </c>
      <c r="E28" s="19">
        <v>128155.5</v>
      </c>
      <c r="F28" s="19">
        <v>160913.375</v>
      </c>
      <c r="G28" s="19">
        <v>167627.5</v>
      </c>
      <c r="H28" s="19">
        <v>157282.16</v>
      </c>
      <c r="I28" s="19">
        <v>190584.25</v>
      </c>
      <c r="J28" s="19">
        <v>238230.3125</v>
      </c>
      <c r="K28" s="19">
        <v>297787.890625</v>
      </c>
      <c r="X28" s="13"/>
      <c r="Y28" s="13"/>
      <c r="Z28" s="13"/>
      <c r="AA28" s="13"/>
      <c r="AB28" s="13"/>
      <c r="AC28" s="13"/>
      <c r="AD28" s="13"/>
      <c r="AE28" s="13"/>
    </row>
    <row r="29" ht="12.75" customHeight="1">
      <c r="A29" s="12" t="s">
        <v>49</v>
      </c>
      <c r="B29" s="12" t="s">
        <v>46</v>
      </c>
      <c r="C29" s="19">
        <v>156662.80849999998</v>
      </c>
      <c r="D29" s="15">
        <v>146590.67904000002</v>
      </c>
      <c r="E29" s="19">
        <v>158481.603</v>
      </c>
      <c r="F29" s="19">
        <v>148171.1</v>
      </c>
      <c r="G29" s="19">
        <v>168853.95</v>
      </c>
      <c r="H29" s="19">
        <v>155895.8128</v>
      </c>
      <c r="I29" s="19">
        <v>147944.2041</v>
      </c>
      <c r="J29" s="19">
        <v>153500.0754</v>
      </c>
      <c r="K29" s="19">
        <v>156599.80560000002</v>
      </c>
    </row>
    <row r="30" ht="12.75" customHeight="1">
      <c r="A30" s="12" t="s">
        <v>49</v>
      </c>
      <c r="B30" s="12" t="s">
        <v>73</v>
      </c>
      <c r="C30" s="19">
        <v>13943.75</v>
      </c>
      <c r="D30" s="15">
        <v>13800.096000000001</v>
      </c>
      <c r="E30" s="19">
        <v>15612.3</v>
      </c>
      <c r="F30" s="19">
        <v>16186.5</v>
      </c>
      <c r="G30" s="19">
        <v>16257.6</v>
      </c>
      <c r="H30" s="19">
        <v>16752.0</v>
      </c>
      <c r="I30" s="19">
        <v>17770.5</v>
      </c>
      <c r="J30" s="19">
        <v>17527.5</v>
      </c>
      <c r="K30" s="19">
        <v>18002.5</v>
      </c>
      <c r="X30" s="13"/>
      <c r="Y30" s="13"/>
      <c r="Z30" s="13"/>
      <c r="AA30" s="13"/>
      <c r="AB30" s="13"/>
      <c r="AC30" s="13"/>
      <c r="AD30" s="13"/>
      <c r="AE30" s="13"/>
    </row>
    <row r="31" ht="12.75" customHeight="1">
      <c r="A31" s="12" t="s">
        <v>49</v>
      </c>
      <c r="B31" s="12" t="s">
        <v>74</v>
      </c>
      <c r="C31" s="16">
        <v>0.6789999999999999</v>
      </c>
      <c r="D31" s="15">
        <v>0.76</v>
      </c>
      <c r="E31" s="16">
        <v>0.475</v>
      </c>
      <c r="F31" s="16">
        <v>0.3879999999999999</v>
      </c>
      <c r="G31" s="16">
        <v>2.156</v>
      </c>
      <c r="H31" s="16">
        <v>2.2769999999999997</v>
      </c>
      <c r="I31" s="16">
        <v>2.5920000000000005</v>
      </c>
      <c r="J31" s="16">
        <v>2.45</v>
      </c>
      <c r="K31" s="16">
        <v>2.2079999999999997</v>
      </c>
      <c r="L31" s="18"/>
      <c r="X31" s="13"/>
      <c r="Y31" s="13"/>
      <c r="Z31" s="13"/>
      <c r="AA31" s="13"/>
      <c r="AB31" s="13"/>
      <c r="AC31" s="13"/>
      <c r="AD31" s="13"/>
      <c r="AE31" s="13"/>
    </row>
    <row r="32" ht="12.75" customHeight="1">
      <c r="A32" s="12" t="s">
        <v>49</v>
      </c>
      <c r="B32" s="12" t="s">
        <v>75</v>
      </c>
      <c r="C32" s="16">
        <v>1.8619999999999999</v>
      </c>
      <c r="D32" s="15">
        <v>1.96</v>
      </c>
      <c r="E32" s="16">
        <v>1.92</v>
      </c>
      <c r="F32" s="16">
        <v>1.98</v>
      </c>
      <c r="G32" s="16">
        <v>3.977</v>
      </c>
      <c r="H32" s="16">
        <v>4.1160000000000005</v>
      </c>
      <c r="I32" s="16">
        <v>3.8609999999999998</v>
      </c>
      <c r="J32" s="16">
        <v>3.7439999999999998</v>
      </c>
      <c r="K32" s="16">
        <v>3.92</v>
      </c>
      <c r="L32" s="18"/>
      <c r="X32" s="13"/>
      <c r="Y32" s="13"/>
      <c r="Z32" s="13"/>
      <c r="AA32" s="13"/>
      <c r="AB32" s="13"/>
      <c r="AC32" s="13"/>
      <c r="AD32" s="13"/>
      <c r="AE32" s="13"/>
    </row>
    <row r="33" ht="12.75" customHeight="1">
      <c r="A33" s="12" t="s">
        <v>49</v>
      </c>
      <c r="B33" s="12" t="s">
        <v>76</v>
      </c>
      <c r="C33" s="16">
        <v>2.3990400000000003</v>
      </c>
      <c r="D33" s="15">
        <v>2.52144</v>
      </c>
      <c r="E33" s="16">
        <v>2.6163</v>
      </c>
      <c r="F33" s="16">
        <v>2.7787900000000003</v>
      </c>
      <c r="G33" s="16">
        <v>4.832540000000001</v>
      </c>
      <c r="H33" s="16">
        <v>5.133240000000001</v>
      </c>
      <c r="I33" s="16">
        <v>5.0421000000000005</v>
      </c>
      <c r="J33" s="16">
        <v>4.5447999999999995</v>
      </c>
      <c r="K33" s="16">
        <v>4.70155</v>
      </c>
      <c r="L33" s="18"/>
    </row>
    <row r="34" ht="12.75" customHeight="1">
      <c r="A34" s="12" t="s">
        <v>49</v>
      </c>
      <c r="B34" s="12" t="s">
        <v>77</v>
      </c>
      <c r="C34" s="16">
        <v>0.6859999999999999</v>
      </c>
      <c r="D34" s="15">
        <v>0.7919999999999999</v>
      </c>
      <c r="E34" s="16">
        <v>0.5700000000000001</v>
      </c>
      <c r="F34" s="16">
        <v>0.5760000000000001</v>
      </c>
      <c r="G34" s="16">
        <v>2.4</v>
      </c>
      <c r="H34" s="16">
        <v>2.328</v>
      </c>
      <c r="I34" s="16">
        <v>2.231</v>
      </c>
      <c r="J34" s="16">
        <v>2.5220000000000002</v>
      </c>
      <c r="K34" s="16">
        <v>2.45</v>
      </c>
      <c r="L34" s="18"/>
      <c r="X34" s="13"/>
      <c r="Y34" s="13"/>
      <c r="Z34" s="13"/>
      <c r="AA34" s="13"/>
      <c r="AB34" s="13"/>
      <c r="AC34" s="13"/>
      <c r="AD34" s="13"/>
      <c r="AE34" s="13"/>
    </row>
    <row r="35" ht="12.75" customHeight="1">
      <c r="A35" s="9"/>
      <c r="B35" s="9"/>
      <c r="C35" s="9">
        <v>0.0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18"/>
      <c r="X35" s="13"/>
      <c r="Y35" s="13"/>
      <c r="Z35" s="13"/>
      <c r="AA35" s="13"/>
      <c r="AB35" s="13"/>
      <c r="AC35" s="13"/>
      <c r="AD35" s="13"/>
      <c r="AE35" s="13"/>
    </row>
    <row r="36" ht="12.75" customHeight="1">
      <c r="A36" s="12" t="s">
        <v>53</v>
      </c>
      <c r="B36" s="12" t="s">
        <v>63</v>
      </c>
      <c r="C36" s="13">
        <v>8058.600000000001</v>
      </c>
      <c r="D36" s="13">
        <v>8642.7</v>
      </c>
      <c r="E36" s="13">
        <v>8856.1</v>
      </c>
      <c r="F36" s="13">
        <v>16063.2</v>
      </c>
      <c r="G36" s="13">
        <v>10883.4</v>
      </c>
      <c r="H36" s="13">
        <v>11858.000000000002</v>
      </c>
      <c r="I36" s="13">
        <v>11950.400000000001</v>
      </c>
      <c r="J36" s="13">
        <v>12122.000000000002</v>
      </c>
      <c r="K36" s="13">
        <v>12853.500000000002</v>
      </c>
      <c r="L36" s="18"/>
      <c r="X36" s="13"/>
      <c r="Y36" s="13"/>
      <c r="Z36" s="13"/>
      <c r="AA36" s="13"/>
      <c r="AB36" s="13"/>
      <c r="AC36" s="13"/>
      <c r="AD36" s="13"/>
      <c r="AE36" s="13"/>
    </row>
    <row r="37" ht="12.75" customHeight="1">
      <c r="A37" s="12" t="s">
        <v>53</v>
      </c>
      <c r="B37" s="12" t="s">
        <v>64</v>
      </c>
      <c r="C37" s="13">
        <v>30836.300000000003</v>
      </c>
      <c r="D37" s="13">
        <v>35079.605</v>
      </c>
      <c r="E37" s="13">
        <v>36823.23700000001</v>
      </c>
      <c r="F37" s="13">
        <v>38460.884000000005</v>
      </c>
      <c r="G37" s="13">
        <v>42016.128000000004</v>
      </c>
      <c r="H37" s="13">
        <v>52264.63</v>
      </c>
      <c r="I37" s="13">
        <v>52818.48000000001</v>
      </c>
      <c r="J37" s="13">
        <v>59303.1</v>
      </c>
      <c r="K37" s="13">
        <v>83388.55078125</v>
      </c>
      <c r="L37" s="18"/>
      <c r="X37" s="13"/>
      <c r="Y37" s="13"/>
      <c r="Z37" s="13"/>
      <c r="AA37" s="13"/>
      <c r="AB37" s="13"/>
      <c r="AC37" s="13"/>
      <c r="AD37" s="13"/>
      <c r="AE37" s="13"/>
    </row>
    <row r="38" ht="12.75" customHeight="1">
      <c r="A38" s="12" t="s">
        <v>53</v>
      </c>
      <c r="B38" s="12" t="s">
        <v>65</v>
      </c>
      <c r="C38" s="15">
        <v>4.018</v>
      </c>
      <c r="D38" s="15">
        <v>4.074000000000001</v>
      </c>
      <c r="E38" s="15">
        <v>4.263</v>
      </c>
      <c r="F38" s="15">
        <v>4.180000000000001</v>
      </c>
      <c r="G38" s="15">
        <v>4.4055</v>
      </c>
      <c r="H38" s="15">
        <v>4.369999999999999</v>
      </c>
      <c r="I38" s="15">
        <v>5.39</v>
      </c>
      <c r="J38" s="15">
        <v>6.55875</v>
      </c>
      <c r="K38" s="15">
        <v>7.71</v>
      </c>
      <c r="L38" s="20"/>
      <c r="X38" s="13"/>
      <c r="Y38" s="13"/>
      <c r="Z38" s="13"/>
      <c r="AA38" s="13"/>
      <c r="AB38" s="13"/>
      <c r="AC38" s="13"/>
      <c r="AD38" s="13"/>
      <c r="AE38" s="13"/>
    </row>
    <row r="39" ht="12.75" customHeight="1">
      <c r="A39" s="12" t="s">
        <v>53</v>
      </c>
      <c r="B39" s="12" t="s">
        <v>66</v>
      </c>
      <c r="C39" s="15">
        <v>1.9499060000000001</v>
      </c>
      <c r="D39" s="15">
        <v>2.0254</v>
      </c>
      <c r="E39" s="15">
        <v>2.2876920000000003</v>
      </c>
      <c r="F39" s="15">
        <v>2.448</v>
      </c>
      <c r="G39" s="15">
        <v>2.3145170000000004</v>
      </c>
      <c r="H39" s="15">
        <v>2.3664120000000004</v>
      </c>
      <c r="I39" s="15">
        <v>2.6208000000000005</v>
      </c>
      <c r="J39" s="15">
        <v>3.0555000000000003</v>
      </c>
      <c r="K39" s="15">
        <v>3.70755</v>
      </c>
      <c r="L39" s="20"/>
    </row>
    <row r="40" ht="12.75" customHeight="1">
      <c r="A40" s="12" t="s">
        <v>53</v>
      </c>
      <c r="B40" s="12" t="s">
        <v>67</v>
      </c>
      <c r="C40" s="16">
        <v>3.4560000000000004</v>
      </c>
      <c r="D40" s="16">
        <v>3.332</v>
      </c>
      <c r="E40" s="16">
        <v>3.42</v>
      </c>
      <c r="F40" s="16">
        <v>3.395</v>
      </c>
      <c r="G40" s="16">
        <v>3.36</v>
      </c>
      <c r="H40" s="16">
        <v>3.492</v>
      </c>
      <c r="I40" s="16">
        <v>4.1225</v>
      </c>
      <c r="J40" s="16">
        <v>4.86</v>
      </c>
      <c r="K40" s="16">
        <v>5.89578125</v>
      </c>
      <c r="L40" s="20"/>
      <c r="X40" s="13"/>
      <c r="Y40" s="13"/>
      <c r="Z40" s="13"/>
      <c r="AA40" s="13"/>
      <c r="AB40" s="13"/>
      <c r="AC40" s="13"/>
      <c r="AD40" s="13"/>
      <c r="AE40" s="13"/>
    </row>
    <row r="41" ht="12.75" customHeight="1">
      <c r="A41" s="12" t="s">
        <v>53</v>
      </c>
      <c r="B41" s="12" t="s">
        <v>68</v>
      </c>
      <c r="C41" s="16">
        <v>23.18</v>
      </c>
      <c r="D41" s="16">
        <v>22.752</v>
      </c>
      <c r="E41" s="16">
        <v>26.965999999999998</v>
      </c>
      <c r="F41" s="16">
        <v>26.432999999999996</v>
      </c>
      <c r="G41" s="16">
        <v>28.028000000000002</v>
      </c>
      <c r="H41" s="16">
        <v>29.008000000000003</v>
      </c>
      <c r="I41" s="16">
        <v>30.7975</v>
      </c>
      <c r="J41" s="16">
        <v>25.353125</v>
      </c>
      <c r="K41" s="16">
        <v>22.905</v>
      </c>
      <c r="L41" s="20"/>
      <c r="X41" s="13"/>
      <c r="Y41" s="13"/>
      <c r="Z41" s="13"/>
      <c r="AA41" s="13"/>
      <c r="AB41" s="13"/>
      <c r="AC41" s="13"/>
      <c r="AD41" s="13"/>
      <c r="AE41" s="13"/>
    </row>
    <row r="42" ht="12.75" customHeight="1">
      <c r="A42" s="12" t="s">
        <v>53</v>
      </c>
      <c r="B42" s="12" t="s">
        <v>69</v>
      </c>
      <c r="C42" s="16">
        <v>9.0695</v>
      </c>
      <c r="D42" s="16">
        <v>8.53248</v>
      </c>
      <c r="E42" s="16">
        <v>9.296280000000001</v>
      </c>
      <c r="F42" s="16">
        <v>9.38184</v>
      </c>
      <c r="G42" s="16">
        <v>9.926400000000001</v>
      </c>
      <c r="H42" s="16">
        <v>9.583599999999999</v>
      </c>
      <c r="I42" s="16">
        <v>10.143600000000001</v>
      </c>
      <c r="J42" s="16">
        <v>10.67</v>
      </c>
      <c r="K42" s="16">
        <v>9.40512</v>
      </c>
      <c r="L42" s="20"/>
    </row>
    <row r="43" ht="12.75" customHeight="1">
      <c r="A43" s="12" t="s">
        <v>53</v>
      </c>
      <c r="B43" s="12" t="s">
        <v>70</v>
      </c>
      <c r="C43" s="15">
        <v>1.7664</v>
      </c>
      <c r="D43" s="15">
        <v>1.8619999999999999</v>
      </c>
      <c r="E43" s="15">
        <v>1.8315000000000001</v>
      </c>
      <c r="F43" s="15">
        <v>1.7952000000000001</v>
      </c>
      <c r="G43" s="15">
        <v>1.8032</v>
      </c>
      <c r="H43" s="15">
        <v>1.8611999999999997</v>
      </c>
      <c r="I43" s="15">
        <v>2.079</v>
      </c>
      <c r="J43" s="15">
        <v>2.35125</v>
      </c>
      <c r="K43" s="15">
        <v>2.664375</v>
      </c>
      <c r="L43" s="20"/>
      <c r="X43" s="13"/>
      <c r="Y43" s="13"/>
      <c r="Z43" s="13"/>
      <c r="AA43" s="13"/>
      <c r="AB43" s="13"/>
      <c r="AC43" s="13"/>
      <c r="AD43" s="13"/>
      <c r="AE43" s="13"/>
    </row>
    <row r="44" ht="12.75" customHeight="1">
      <c r="A44" s="12" t="s">
        <v>53</v>
      </c>
      <c r="B44" s="12" t="s">
        <v>71</v>
      </c>
      <c r="C44" s="13">
        <v>376200.0</v>
      </c>
      <c r="D44" s="13">
        <v>410130.0</v>
      </c>
      <c r="E44" s="13">
        <v>410400.0</v>
      </c>
      <c r="F44" s="13">
        <v>449280.0</v>
      </c>
      <c r="G44" s="13">
        <v>480150.0</v>
      </c>
      <c r="H44" s="13">
        <v>541260.0</v>
      </c>
      <c r="I44" s="13">
        <v>676575.0</v>
      </c>
      <c r="J44" s="13">
        <v>845718.75</v>
      </c>
      <c r="K44" s="13">
        <v>1035351.5625</v>
      </c>
      <c r="L44" s="21"/>
      <c r="X44" s="13"/>
      <c r="Y44" s="13"/>
      <c r="Z44" s="13"/>
      <c r="AA44" s="13"/>
      <c r="AB44" s="13"/>
      <c r="AC44" s="13"/>
      <c r="AD44" s="13"/>
      <c r="AE44" s="13"/>
    </row>
    <row r="45" ht="12.75" customHeight="1">
      <c r="A45" s="12" t="s">
        <v>53</v>
      </c>
      <c r="B45" s="12" t="s">
        <v>72</v>
      </c>
      <c r="C45" s="13">
        <v>223420.779</v>
      </c>
      <c r="D45" s="13">
        <v>236287.8</v>
      </c>
      <c r="E45" s="13">
        <v>240969.6</v>
      </c>
      <c r="F45" s="13">
        <v>245989.8</v>
      </c>
      <c r="G45" s="13">
        <v>248499.9</v>
      </c>
      <c r="H45" s="13">
        <v>285996.744</v>
      </c>
      <c r="I45" s="13">
        <v>353884.86</v>
      </c>
      <c r="J45" s="13">
        <v>446869.9125</v>
      </c>
      <c r="K45" s="13">
        <v>536018.203125</v>
      </c>
      <c r="L45" s="21"/>
      <c r="X45" s="13"/>
      <c r="Y45" s="13"/>
      <c r="Z45" s="13"/>
      <c r="AA45" s="13"/>
      <c r="AB45" s="13"/>
      <c r="AC45" s="13"/>
      <c r="AD45" s="13"/>
      <c r="AE45" s="13"/>
    </row>
    <row r="46" ht="12.75" customHeight="1">
      <c r="A46" s="12" t="s">
        <v>53</v>
      </c>
      <c r="B46" s="12" t="s">
        <v>46</v>
      </c>
      <c r="C46" s="13">
        <v>223720.182</v>
      </c>
      <c r="D46" s="13">
        <v>234234.99</v>
      </c>
      <c r="E46" s="13">
        <v>229936.005</v>
      </c>
      <c r="F46" s="13">
        <v>244935.9</v>
      </c>
      <c r="G46" s="13">
        <v>235039.5</v>
      </c>
      <c r="H46" s="13">
        <v>242461.8</v>
      </c>
      <c r="I46" s="13">
        <v>272953.152</v>
      </c>
      <c r="J46" s="13">
        <v>262590.165</v>
      </c>
      <c r="K46" s="13">
        <v>293256.41400000005</v>
      </c>
      <c r="L46" s="21"/>
      <c r="X46" s="13"/>
      <c r="Y46" s="13"/>
      <c r="Z46" s="13"/>
      <c r="AA46" s="13"/>
      <c r="AB46" s="13"/>
      <c r="AC46" s="13"/>
      <c r="AD46" s="13"/>
      <c r="AE46" s="13"/>
    </row>
    <row r="47" ht="12.75" customHeight="1">
      <c r="A47" s="12" t="s">
        <v>53</v>
      </c>
      <c r="B47" s="12" t="s">
        <v>73</v>
      </c>
      <c r="C47" s="13">
        <v>26640.9</v>
      </c>
      <c r="D47" s="13">
        <v>21279.084000000003</v>
      </c>
      <c r="E47" s="13">
        <v>30631.3326</v>
      </c>
      <c r="F47" s="13">
        <v>30259.926</v>
      </c>
      <c r="G47" s="13">
        <v>20843.5008</v>
      </c>
      <c r="H47" s="13">
        <v>22679.613</v>
      </c>
      <c r="I47" s="13">
        <v>34196.904</v>
      </c>
      <c r="J47" s="13">
        <v>32857.974</v>
      </c>
      <c r="K47" s="13">
        <v>35795.03400000001</v>
      </c>
      <c r="L47" s="21"/>
    </row>
    <row r="48" ht="12.75" customHeight="1">
      <c r="A48" s="12" t="s">
        <v>53</v>
      </c>
      <c r="B48" s="12" t="s">
        <v>74</v>
      </c>
      <c r="C48" s="16">
        <v>0.665</v>
      </c>
      <c r="D48" s="16">
        <v>0.475</v>
      </c>
      <c r="E48" s="16">
        <v>0.485</v>
      </c>
      <c r="F48" s="16">
        <v>0.3839999999999999</v>
      </c>
      <c r="G48" s="16">
        <v>0.18999999999999997</v>
      </c>
      <c r="H48" s="16">
        <v>0.28500000000000003</v>
      </c>
      <c r="I48" s="16">
        <v>0.665</v>
      </c>
      <c r="J48" s="16">
        <v>0.48</v>
      </c>
      <c r="K48" s="16">
        <v>0.29700000000000004</v>
      </c>
      <c r="L48" s="22"/>
      <c r="X48" s="13"/>
      <c r="Y48" s="13"/>
      <c r="Z48" s="13"/>
      <c r="AA48" s="13"/>
      <c r="AB48" s="13"/>
      <c r="AC48" s="13"/>
      <c r="AD48" s="13"/>
      <c r="AE48" s="13"/>
    </row>
    <row r="49" ht="12.75" customHeight="1">
      <c r="A49" s="12" t="s">
        <v>53</v>
      </c>
      <c r="B49" s="12" t="s">
        <v>75</v>
      </c>
      <c r="C49" s="16">
        <v>1.881</v>
      </c>
      <c r="D49" s="16">
        <v>1.8239999999999998</v>
      </c>
      <c r="E49" s="16">
        <v>2.375</v>
      </c>
      <c r="F49" s="16">
        <v>2.97</v>
      </c>
      <c r="G49" s="16">
        <v>2.016</v>
      </c>
      <c r="H49" s="16">
        <v>2.156</v>
      </c>
      <c r="I49" s="16">
        <v>1.8239999999999998</v>
      </c>
      <c r="J49" s="16">
        <v>1.8239999999999998</v>
      </c>
      <c r="K49" s="16">
        <v>1.98</v>
      </c>
      <c r="L49" s="22"/>
      <c r="X49" s="13"/>
      <c r="Y49" s="13"/>
      <c r="Z49" s="13"/>
      <c r="AA49" s="13"/>
      <c r="AB49" s="13"/>
      <c r="AC49" s="13"/>
      <c r="AD49" s="13"/>
      <c r="AE49" s="13"/>
    </row>
    <row r="50" ht="12.75" customHeight="1">
      <c r="A50" s="12" t="s">
        <v>53</v>
      </c>
      <c r="B50" s="12" t="s">
        <v>76</v>
      </c>
      <c r="C50" s="16">
        <v>2.3520000000000003</v>
      </c>
      <c r="D50" s="16">
        <v>2.548</v>
      </c>
      <c r="E50" s="16">
        <v>2.91</v>
      </c>
      <c r="F50" s="16">
        <v>2.88</v>
      </c>
      <c r="G50" s="16">
        <v>2.85</v>
      </c>
      <c r="H50" s="16">
        <v>2.755</v>
      </c>
      <c r="I50" s="16">
        <v>2.842</v>
      </c>
      <c r="J50" s="16">
        <v>2.4960000000000004</v>
      </c>
      <c r="K50" s="16">
        <v>2.8709999999999996</v>
      </c>
      <c r="L50" s="22"/>
      <c r="X50" s="13"/>
      <c r="Y50" s="13"/>
      <c r="Z50" s="13"/>
      <c r="AA50" s="13"/>
      <c r="AB50" s="13"/>
      <c r="AC50" s="13"/>
      <c r="AD50" s="13"/>
      <c r="AE50" s="13"/>
    </row>
    <row r="51" ht="12.75" customHeight="1">
      <c r="A51" s="12" t="s">
        <v>53</v>
      </c>
      <c r="B51" s="12" t="s">
        <v>77</v>
      </c>
      <c r="C51" s="16">
        <v>0.665</v>
      </c>
      <c r="D51" s="16">
        <v>0.3839999999999999</v>
      </c>
      <c r="E51" s="16">
        <v>0.97</v>
      </c>
      <c r="F51" s="16">
        <v>1.067</v>
      </c>
      <c r="G51" s="16">
        <v>1.98</v>
      </c>
      <c r="H51" s="16">
        <v>0.3919999999999999</v>
      </c>
      <c r="I51" s="16">
        <v>0.28500000000000003</v>
      </c>
      <c r="J51" s="16">
        <v>0.5760000000000001</v>
      </c>
      <c r="K51" s="16">
        <v>0.485</v>
      </c>
      <c r="L51" s="22"/>
      <c r="X51" s="13"/>
      <c r="Y51" s="13"/>
      <c r="Z51" s="13"/>
      <c r="AA51" s="13"/>
      <c r="AB51" s="13"/>
      <c r="AC51" s="13"/>
      <c r="AD51" s="13"/>
      <c r="AE51" s="13"/>
    </row>
    <row r="52" ht="12.75" customHeight="1">
      <c r="A52" s="9"/>
      <c r="B52" s="9"/>
      <c r="C52" s="9">
        <v>0.0</v>
      </c>
      <c r="D52" s="9">
        <v>0.0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0.0</v>
      </c>
      <c r="K52" s="9">
        <v>0.0</v>
      </c>
      <c r="X52" s="13"/>
      <c r="Y52" s="13"/>
      <c r="Z52" s="13"/>
      <c r="AA52" s="13"/>
      <c r="AB52" s="13"/>
      <c r="AC52" s="13"/>
      <c r="AD52" s="13"/>
      <c r="AE52" s="13"/>
    </row>
    <row r="53" ht="12.75" customHeight="1">
      <c r="A53" s="12" t="s">
        <v>56</v>
      </c>
      <c r="B53" s="12" t="s">
        <v>63</v>
      </c>
      <c r="C53" s="13">
        <v>7252.0</v>
      </c>
      <c r="D53" s="13">
        <v>7695.0</v>
      </c>
      <c r="E53" s="13">
        <v>7885.0</v>
      </c>
      <c r="F53" s="13">
        <v>9120.0</v>
      </c>
      <c r="G53" s="13">
        <v>10098.0</v>
      </c>
      <c r="H53" s="13">
        <v>10890.0</v>
      </c>
      <c r="I53" s="13">
        <v>10752.0</v>
      </c>
      <c r="J53" s="13">
        <v>11020.0</v>
      </c>
      <c r="K53" s="13">
        <v>11931.0</v>
      </c>
      <c r="L53" s="21"/>
      <c r="X53" s="13"/>
      <c r="Y53" s="13"/>
      <c r="Z53" s="13"/>
      <c r="AA53" s="13"/>
      <c r="AB53" s="13"/>
      <c r="AC53" s="13"/>
      <c r="AD53" s="13"/>
      <c r="AE53" s="13"/>
    </row>
    <row r="54" ht="12.75" customHeight="1">
      <c r="A54" s="12" t="s">
        <v>56</v>
      </c>
      <c r="B54" s="12" t="s">
        <v>64</v>
      </c>
      <c r="C54" s="13">
        <v>28033.0</v>
      </c>
      <c r="D54" s="13">
        <v>33233.31</v>
      </c>
      <c r="E54" s="13">
        <v>33475.67</v>
      </c>
      <c r="F54" s="13">
        <v>34250.88</v>
      </c>
      <c r="G54" s="13">
        <v>38196.48</v>
      </c>
      <c r="H54" s="13">
        <v>39613.86</v>
      </c>
      <c r="I54" s="13">
        <v>49017.15</v>
      </c>
      <c r="J54" s="13">
        <v>61271.4375</v>
      </c>
      <c r="K54" s="13">
        <v>75026.25</v>
      </c>
      <c r="L54" s="21"/>
      <c r="X54" s="13"/>
      <c r="Y54" s="13"/>
      <c r="Z54" s="13"/>
      <c r="AA54" s="13"/>
      <c r="AB54" s="13"/>
      <c r="AC54" s="13"/>
      <c r="AD54" s="13"/>
      <c r="AE54" s="13"/>
    </row>
    <row r="55" ht="12.75" customHeight="1">
      <c r="A55" s="12" t="s">
        <v>56</v>
      </c>
      <c r="B55" s="12" t="s">
        <v>65</v>
      </c>
      <c r="C55" s="15">
        <v>2.22453</v>
      </c>
      <c r="D55" s="15">
        <v>2.22068</v>
      </c>
      <c r="E55" s="15">
        <v>2.302295</v>
      </c>
      <c r="F55" s="15">
        <v>2.4444</v>
      </c>
      <c r="G55" s="15">
        <v>2.57103</v>
      </c>
      <c r="H55" s="15">
        <v>2.5209600000000005</v>
      </c>
      <c r="I55" s="15">
        <v>3.7345</v>
      </c>
      <c r="J55" s="15">
        <v>4.577825</v>
      </c>
      <c r="K55" s="15">
        <v>6.0288375</v>
      </c>
      <c r="L55" s="20"/>
    </row>
    <row r="56" ht="12.75" customHeight="1">
      <c r="A56" s="12" t="s">
        <v>56</v>
      </c>
      <c r="B56" s="12" t="s">
        <v>66</v>
      </c>
      <c r="C56" s="15">
        <v>0.96</v>
      </c>
      <c r="D56" s="15">
        <v>0.49</v>
      </c>
      <c r="E56" s="15">
        <v>0.485</v>
      </c>
      <c r="F56" s="15">
        <v>0.49</v>
      </c>
      <c r="G56" s="15">
        <v>0.495</v>
      </c>
      <c r="H56" s="15">
        <v>0.27160000000000006</v>
      </c>
      <c r="I56" s="15">
        <v>0.5940000000000001</v>
      </c>
      <c r="J56" s="15">
        <v>0.96</v>
      </c>
      <c r="K56" s="15">
        <v>1.47</v>
      </c>
      <c r="L56" s="20"/>
      <c r="X56" s="13"/>
      <c r="Y56" s="13"/>
      <c r="Z56" s="13"/>
      <c r="AA56" s="13"/>
      <c r="AB56" s="13"/>
      <c r="AC56" s="13"/>
      <c r="AD56" s="13"/>
      <c r="AE56" s="13"/>
    </row>
    <row r="57" ht="12.75" customHeight="1">
      <c r="A57" s="12" t="s">
        <v>56</v>
      </c>
      <c r="B57" s="12" t="s">
        <v>67</v>
      </c>
      <c r="C57" s="16">
        <v>1.568</v>
      </c>
      <c r="D57" s="16">
        <v>1.3439999999999999</v>
      </c>
      <c r="E57" s="16">
        <v>1.5520000000000003</v>
      </c>
      <c r="F57" s="16">
        <v>1.47</v>
      </c>
      <c r="G57" s="16">
        <v>1.425</v>
      </c>
      <c r="H57" s="16">
        <v>1.52</v>
      </c>
      <c r="I57" s="16">
        <v>2.205</v>
      </c>
      <c r="J57" s="16">
        <v>2.909375</v>
      </c>
      <c r="K57" s="16">
        <v>4.03734375</v>
      </c>
      <c r="L57" s="20"/>
      <c r="X57" s="13"/>
      <c r="Y57" s="13"/>
      <c r="Z57" s="13"/>
      <c r="AA57" s="13"/>
      <c r="AB57" s="13"/>
      <c r="AC57" s="13"/>
      <c r="AD57" s="13"/>
      <c r="AE57" s="13"/>
    </row>
    <row r="58" ht="12.75" customHeight="1">
      <c r="A58" s="12" t="s">
        <v>56</v>
      </c>
      <c r="B58" s="12" t="s">
        <v>68</v>
      </c>
      <c r="C58" s="16">
        <v>21.28</v>
      </c>
      <c r="D58" s="16">
        <v>20.615</v>
      </c>
      <c r="E58" s="16">
        <v>25.542</v>
      </c>
      <c r="F58" s="16">
        <v>29.105999999999998</v>
      </c>
      <c r="G58" s="16">
        <v>28.215</v>
      </c>
      <c r="H58" s="16">
        <v>28.809</v>
      </c>
      <c r="I58" s="16">
        <v>28.2625</v>
      </c>
      <c r="J58" s="16">
        <v>23.946875</v>
      </c>
      <c r="K58" s="16">
        <v>21.20359375</v>
      </c>
      <c r="L58" s="20"/>
      <c r="X58" s="13"/>
      <c r="Y58" s="13"/>
      <c r="Z58" s="13"/>
      <c r="AA58" s="13"/>
      <c r="AB58" s="13"/>
      <c r="AC58" s="13"/>
      <c r="AD58" s="13"/>
      <c r="AE58" s="13"/>
    </row>
    <row r="59" ht="12.75" customHeight="1">
      <c r="A59" s="12" t="s">
        <v>56</v>
      </c>
      <c r="B59" s="12" t="s">
        <v>69</v>
      </c>
      <c r="C59" s="16">
        <v>6.305</v>
      </c>
      <c r="D59" s="16">
        <v>6.596</v>
      </c>
      <c r="E59" s="16">
        <v>6.935000000000001</v>
      </c>
      <c r="F59" s="16">
        <v>7.081</v>
      </c>
      <c r="G59" s="16">
        <v>7.03</v>
      </c>
      <c r="H59" s="16">
        <v>7.545999999999999</v>
      </c>
      <c r="I59" s="16">
        <v>7.7175</v>
      </c>
      <c r="J59" s="16">
        <v>7.68</v>
      </c>
      <c r="K59" s="16">
        <v>7.622999999999999</v>
      </c>
      <c r="L59" s="20"/>
      <c r="X59" s="13"/>
      <c r="Y59" s="13"/>
      <c r="Z59" s="13"/>
      <c r="AA59" s="13"/>
      <c r="AB59" s="13"/>
      <c r="AC59" s="13"/>
      <c r="AD59" s="13"/>
      <c r="AE59" s="13"/>
    </row>
    <row r="60" ht="12.75" customHeight="1">
      <c r="A60" s="12" t="s">
        <v>56</v>
      </c>
      <c r="B60" s="12" t="s">
        <v>70</v>
      </c>
      <c r="C60" s="15">
        <v>0.8148000000000001</v>
      </c>
      <c r="D60" s="15">
        <v>0.882</v>
      </c>
      <c r="E60" s="15">
        <v>0.816</v>
      </c>
      <c r="F60" s="15">
        <v>0.8351999999999999</v>
      </c>
      <c r="G60" s="15">
        <v>0.7979999999999999</v>
      </c>
      <c r="H60" s="15">
        <v>0.8448</v>
      </c>
      <c r="I60" s="15">
        <v>1.078</v>
      </c>
      <c r="J60" s="15">
        <v>1.3475</v>
      </c>
      <c r="K60" s="15">
        <v>1.684375</v>
      </c>
      <c r="L60" s="20"/>
      <c r="X60" s="13"/>
      <c r="Y60" s="13"/>
      <c r="Z60" s="13"/>
      <c r="AA60" s="13"/>
      <c r="AB60" s="13"/>
      <c r="AC60" s="13"/>
      <c r="AD60" s="13"/>
      <c r="AE60" s="13"/>
    </row>
    <row r="61" ht="12.75" customHeight="1">
      <c r="A61" s="12" t="s">
        <v>56</v>
      </c>
      <c r="B61" s="12" t="s">
        <v>71</v>
      </c>
      <c r="C61" s="13">
        <v>120760.20000000001</v>
      </c>
      <c r="D61" s="13">
        <v>132657.52500000002</v>
      </c>
      <c r="E61" s="13">
        <v>136083.456</v>
      </c>
      <c r="F61" s="13">
        <v>259269.11999999997</v>
      </c>
      <c r="G61" s="13">
        <v>156185.7</v>
      </c>
      <c r="H61" s="13">
        <v>176417.28</v>
      </c>
      <c r="I61" s="13">
        <v>226882.80000000005</v>
      </c>
      <c r="J61" s="13">
        <v>281201.484375</v>
      </c>
      <c r="K61" s="13">
        <v>359148.56250000006</v>
      </c>
      <c r="L61" s="21"/>
    </row>
    <row r="62" ht="12.75" customHeight="1">
      <c r="A62" s="12" t="s">
        <v>56</v>
      </c>
      <c r="B62" s="12" t="s">
        <v>72</v>
      </c>
      <c r="C62" s="13">
        <v>73705.824</v>
      </c>
      <c r="D62" s="13">
        <v>78762.6</v>
      </c>
      <c r="E62" s="13">
        <v>82833.3</v>
      </c>
      <c r="F62" s="13">
        <v>77404.32</v>
      </c>
      <c r="G62" s="13">
        <v>91992.6</v>
      </c>
      <c r="H62" s="13">
        <v>95332.24799999999</v>
      </c>
      <c r="I62" s="13">
        <v>114350.55</v>
      </c>
      <c r="J62" s="13">
        <v>147452.025</v>
      </c>
      <c r="K62" s="13">
        <v>186195.796875</v>
      </c>
      <c r="L62" s="21"/>
      <c r="X62" s="13"/>
      <c r="Y62" s="13"/>
      <c r="Z62" s="13"/>
      <c r="AA62" s="13"/>
      <c r="AB62" s="13"/>
      <c r="AC62" s="13"/>
      <c r="AD62" s="13"/>
      <c r="AE62" s="13"/>
    </row>
    <row r="63" ht="12.75" customHeight="1">
      <c r="A63" s="12" t="s">
        <v>56</v>
      </c>
      <c r="B63" s="12" t="s">
        <v>46</v>
      </c>
      <c r="C63" s="13">
        <v>216871.605</v>
      </c>
      <c r="D63" s="13">
        <v>227136.96</v>
      </c>
      <c r="E63" s="13">
        <v>237197.142</v>
      </c>
      <c r="F63" s="13">
        <v>237513.6</v>
      </c>
      <c r="G63" s="13">
        <v>242461.8</v>
      </c>
      <c r="H63" s="13">
        <v>237513.6</v>
      </c>
      <c r="I63" s="13">
        <v>270109.89</v>
      </c>
      <c r="J63" s="13">
        <v>273646.593</v>
      </c>
      <c r="K63" s="13">
        <v>299302.938</v>
      </c>
      <c r="L63" s="21"/>
      <c r="X63" s="13"/>
      <c r="Y63" s="13"/>
      <c r="Z63" s="13"/>
      <c r="AA63" s="13"/>
      <c r="AB63" s="13"/>
      <c r="AC63" s="13"/>
      <c r="AD63" s="13"/>
      <c r="AE63" s="13"/>
    </row>
    <row r="64" ht="12.75" customHeight="1">
      <c r="A64" s="12" t="s">
        <v>56</v>
      </c>
      <c r="B64" s="12" t="s">
        <v>73</v>
      </c>
      <c r="C64" s="13">
        <v>8193.75</v>
      </c>
      <c r="D64" s="13">
        <v>9147.6</v>
      </c>
      <c r="E64" s="13">
        <v>9367.38</v>
      </c>
      <c r="F64" s="13">
        <v>9711.9</v>
      </c>
      <c r="G64" s="13">
        <v>9754.56</v>
      </c>
      <c r="H64" s="13">
        <v>10051.2</v>
      </c>
      <c r="I64" s="13">
        <v>10231.5</v>
      </c>
      <c r="J64" s="13">
        <v>10627.2</v>
      </c>
      <c r="K64" s="13">
        <v>10801.5</v>
      </c>
      <c r="L64" s="21"/>
      <c r="X64" s="13"/>
      <c r="Y64" s="13"/>
      <c r="Z64" s="13"/>
      <c r="AA64" s="13"/>
      <c r="AB64" s="13"/>
      <c r="AC64" s="13"/>
      <c r="AD64" s="13"/>
      <c r="AE64" s="13"/>
    </row>
    <row r="65" ht="12.75" customHeight="1">
      <c r="A65" s="12" t="s">
        <v>56</v>
      </c>
      <c r="B65" s="12" t="s">
        <v>74</v>
      </c>
      <c r="C65" s="16">
        <v>0.665</v>
      </c>
      <c r="D65" s="16">
        <v>0.49</v>
      </c>
      <c r="E65" s="16">
        <v>0.475</v>
      </c>
      <c r="F65" s="16">
        <v>0.3839999999999999</v>
      </c>
      <c r="G65" s="16">
        <v>0.19599999999999995</v>
      </c>
      <c r="H65" s="16">
        <v>0.28500000000000003</v>
      </c>
      <c r="I65" s="16">
        <v>0.6789999999999999</v>
      </c>
      <c r="J65" s="16">
        <v>0.49</v>
      </c>
      <c r="K65" s="16">
        <v>0.29100000000000004</v>
      </c>
      <c r="L65" s="23"/>
      <c r="X65" s="13"/>
      <c r="Y65" s="13"/>
      <c r="Z65" s="13"/>
      <c r="AA65" s="13"/>
      <c r="AB65" s="13"/>
      <c r="AC65" s="13"/>
      <c r="AD65" s="13"/>
      <c r="AE65" s="13"/>
    </row>
    <row r="66" ht="12.75" customHeight="1">
      <c r="A66" s="12" t="s">
        <v>56</v>
      </c>
      <c r="B66" s="12" t="s">
        <v>75</v>
      </c>
      <c r="C66" s="16">
        <v>1.9674500000000001</v>
      </c>
      <c r="D66" s="16">
        <v>2.05029</v>
      </c>
      <c r="E66" s="16">
        <v>1.9992</v>
      </c>
      <c r="F66" s="16">
        <v>2.1384000000000003</v>
      </c>
      <c r="G66" s="16">
        <v>2.2203300000000006</v>
      </c>
      <c r="H66" s="16">
        <v>2.2215599999999998</v>
      </c>
      <c r="I66" s="16">
        <v>1.8422399999999999</v>
      </c>
      <c r="J66" s="16">
        <v>1.8798599999999999</v>
      </c>
      <c r="K66" s="16">
        <v>2.016</v>
      </c>
      <c r="L66" s="23"/>
    </row>
    <row r="67" ht="12.75" customHeight="1">
      <c r="A67" s="12" t="s">
        <v>56</v>
      </c>
      <c r="B67" s="12" t="s">
        <v>76</v>
      </c>
      <c r="C67" s="16">
        <v>2.3765</v>
      </c>
      <c r="D67" s="16">
        <v>2.4960000000000004</v>
      </c>
      <c r="E67" s="16">
        <v>2.4989999999999997</v>
      </c>
      <c r="F67" s="16">
        <v>2.5175</v>
      </c>
      <c r="G67" s="16">
        <v>2.619</v>
      </c>
      <c r="H67" s="16">
        <v>2.842</v>
      </c>
      <c r="I67" s="16">
        <v>2.842</v>
      </c>
      <c r="J67" s="16">
        <v>2.47</v>
      </c>
      <c r="K67" s="16">
        <v>2.842</v>
      </c>
      <c r="L67" s="23"/>
      <c r="X67" s="13"/>
      <c r="Y67" s="13"/>
      <c r="Z67" s="13"/>
      <c r="AA67" s="13"/>
      <c r="AB67" s="13"/>
      <c r="AC67" s="13"/>
      <c r="AD67" s="13"/>
      <c r="AE67" s="13"/>
    </row>
    <row r="68" ht="12.75" customHeight="1">
      <c r="A68" s="12" t="s">
        <v>56</v>
      </c>
      <c r="B68" s="12" t="s">
        <v>77</v>
      </c>
      <c r="C68" s="16">
        <v>1.94</v>
      </c>
      <c r="D68" s="16">
        <v>1.33</v>
      </c>
      <c r="E68" s="16">
        <v>2.85</v>
      </c>
      <c r="F68" s="16">
        <v>1.92</v>
      </c>
      <c r="G68" s="16">
        <v>2.97</v>
      </c>
      <c r="H68" s="16">
        <v>1.98</v>
      </c>
      <c r="I68" s="16">
        <v>2.4</v>
      </c>
      <c r="J68" s="16">
        <v>1.5520000000000003</v>
      </c>
      <c r="K68" s="16">
        <v>1.44</v>
      </c>
      <c r="X68" s="13"/>
      <c r="Y68" s="13"/>
      <c r="Z68" s="13"/>
      <c r="AA68" s="13"/>
      <c r="AB68" s="13"/>
      <c r="AC68" s="13"/>
      <c r="AD68" s="13"/>
      <c r="AE68" s="13"/>
    </row>
    <row r="69" ht="12.75" customHeight="1">
      <c r="A69" s="9"/>
      <c r="B69" s="9"/>
      <c r="C69" s="24"/>
      <c r="D69" s="24"/>
      <c r="E69" s="24"/>
      <c r="F69" s="24"/>
      <c r="G69" s="24"/>
      <c r="H69" s="24"/>
      <c r="I69" s="24"/>
      <c r="J69" s="24"/>
      <c r="K69" s="24"/>
    </row>
    <row r="70" ht="12.75" customHeight="1">
      <c r="A70" s="9"/>
      <c r="B70" s="9"/>
      <c r="G70" s="25"/>
      <c r="H70" s="25"/>
      <c r="I70" s="25"/>
      <c r="J70" s="25"/>
      <c r="K70" s="25"/>
    </row>
    <row r="71" ht="12.75" customHeight="1">
      <c r="A71" s="9"/>
      <c r="B71" s="9"/>
      <c r="G71" s="24"/>
      <c r="H71" s="24"/>
      <c r="I71" s="24"/>
      <c r="J71" s="24"/>
      <c r="K71" s="24"/>
    </row>
    <row r="72" ht="12.75" customHeight="1">
      <c r="A72" s="9"/>
      <c r="B72" s="9"/>
      <c r="G72" s="24"/>
      <c r="H72" s="24"/>
      <c r="I72" s="24"/>
      <c r="J72" s="24"/>
      <c r="K72" s="24"/>
    </row>
    <row r="73" ht="12.75" customHeight="1">
      <c r="A73" s="9"/>
      <c r="B73" s="9"/>
      <c r="G73" s="24"/>
      <c r="H73" s="24"/>
      <c r="I73" s="24"/>
      <c r="J73" s="24"/>
      <c r="K73" s="24"/>
    </row>
    <row r="74" ht="12.75" customHeight="1">
      <c r="A74" s="9"/>
      <c r="B74" s="9"/>
      <c r="G74" s="24"/>
      <c r="H74" s="24"/>
      <c r="I74" s="24"/>
      <c r="J74" s="24"/>
      <c r="K74" s="24"/>
    </row>
    <row r="75" ht="12.75" customHeight="1">
      <c r="A75" s="9"/>
      <c r="B75" s="9"/>
      <c r="G75" s="24"/>
      <c r="H75" s="24"/>
      <c r="I75" s="24"/>
      <c r="J75" s="24"/>
      <c r="K75" s="24"/>
    </row>
    <row r="76" ht="12.75" customHeight="1">
      <c r="A76" s="9"/>
      <c r="B76" s="9"/>
      <c r="G76" s="24"/>
      <c r="H76" s="24"/>
      <c r="I76" s="24"/>
      <c r="J76" s="24"/>
      <c r="K76" s="24"/>
    </row>
    <row r="77" ht="12.75" customHeight="1">
      <c r="A77" s="9"/>
      <c r="B77" s="9"/>
      <c r="G77" s="24"/>
      <c r="H77" s="24"/>
      <c r="I77" s="24"/>
      <c r="J77" s="24"/>
      <c r="K77" s="24"/>
    </row>
    <row r="78" ht="12.75" customHeight="1">
      <c r="A78" s="9"/>
      <c r="B78" s="9"/>
      <c r="G78" s="24"/>
      <c r="H78" s="24"/>
      <c r="I78" s="24"/>
      <c r="J78" s="24"/>
      <c r="K78" s="24"/>
    </row>
    <row r="79" ht="12.75" customHeight="1">
      <c r="A79" s="9"/>
      <c r="B79" s="9"/>
      <c r="G79" s="24"/>
      <c r="H79" s="24"/>
      <c r="I79" s="24"/>
      <c r="J79" s="24"/>
      <c r="K79" s="24"/>
    </row>
    <row r="80" ht="12.75" customHeight="1">
      <c r="A80" s="9"/>
      <c r="B80" s="9"/>
      <c r="G80" s="24"/>
      <c r="H80" s="24"/>
      <c r="I80" s="24"/>
      <c r="J80" s="24"/>
      <c r="K80" s="24"/>
    </row>
    <row r="81" ht="12.75" customHeight="1">
      <c r="A81" s="9"/>
      <c r="B81" s="9"/>
      <c r="G81" s="24"/>
      <c r="H81" s="24"/>
      <c r="I81" s="24"/>
      <c r="J81" s="24"/>
      <c r="K81" s="24"/>
    </row>
    <row r="82" ht="12.75" customHeight="1">
      <c r="A82" s="9"/>
      <c r="B82" s="9"/>
      <c r="G82" s="24"/>
      <c r="H82" s="24"/>
      <c r="I82" s="24"/>
      <c r="J82" s="24"/>
      <c r="K82" s="24"/>
    </row>
    <row r="83" ht="12.75" customHeight="1">
      <c r="A83" s="9"/>
      <c r="B83" s="9"/>
      <c r="G83" s="24"/>
      <c r="H83" s="24"/>
      <c r="I83" s="24"/>
      <c r="J83" s="24"/>
      <c r="K83" s="24"/>
    </row>
    <row r="84" ht="12.75" customHeight="1">
      <c r="A84" s="9"/>
      <c r="B84" s="9"/>
      <c r="G84" s="24"/>
      <c r="H84" s="24"/>
      <c r="I84" s="24"/>
      <c r="J84" s="24"/>
      <c r="K84" s="24"/>
    </row>
    <row r="85" ht="12.75" customHeight="1">
      <c r="A85" s="9"/>
      <c r="B85" s="9"/>
      <c r="G85" s="24"/>
      <c r="H85" s="24"/>
      <c r="I85" s="24"/>
      <c r="J85" s="24"/>
      <c r="K85" s="24"/>
    </row>
    <row r="86" ht="12.75" customHeight="1">
      <c r="A86" s="9"/>
      <c r="B86" s="9"/>
      <c r="G86" s="24"/>
      <c r="H86" s="24"/>
      <c r="I86" s="24"/>
      <c r="J86" s="24"/>
      <c r="K86" s="24"/>
    </row>
    <row r="87" ht="12.75" customHeight="1">
      <c r="A87" s="9"/>
      <c r="B87" s="9"/>
      <c r="G87" s="24"/>
      <c r="H87" s="24"/>
      <c r="I87" s="24"/>
      <c r="J87" s="24"/>
      <c r="K87" s="24"/>
    </row>
    <row r="88" ht="12.75" customHeight="1">
      <c r="A88" s="9"/>
      <c r="B88" s="9"/>
      <c r="G88" s="24"/>
      <c r="H88" s="24"/>
      <c r="I88" s="24"/>
      <c r="J88" s="24"/>
      <c r="K88" s="24"/>
    </row>
    <row r="89" ht="12.75" customHeight="1">
      <c r="A89" s="9"/>
      <c r="B89" s="9"/>
      <c r="G89" s="24"/>
      <c r="H89" s="24"/>
      <c r="I89" s="24"/>
      <c r="J89" s="24"/>
      <c r="K89" s="24"/>
    </row>
    <row r="90" ht="12.75" customHeight="1">
      <c r="A90" s="9"/>
      <c r="B90" s="9"/>
      <c r="G90" s="24"/>
      <c r="H90" s="24"/>
      <c r="I90" s="24"/>
      <c r="J90" s="24"/>
      <c r="K90" s="24"/>
    </row>
    <row r="91" ht="12.75" customHeight="1">
      <c r="A91" s="9"/>
      <c r="B91" s="9"/>
      <c r="G91" s="24"/>
      <c r="H91" s="24"/>
      <c r="I91" s="24"/>
      <c r="J91" s="24"/>
      <c r="K91" s="24"/>
    </row>
    <row r="92" ht="12.75" customHeight="1">
      <c r="A92" s="9"/>
      <c r="B92" s="9"/>
      <c r="G92" s="24"/>
      <c r="H92" s="24"/>
      <c r="I92" s="24"/>
      <c r="J92" s="24"/>
      <c r="K92" s="24"/>
    </row>
    <row r="93" ht="12.75" customHeight="1">
      <c r="A93" s="9"/>
      <c r="B93" s="9"/>
      <c r="G93" s="24"/>
      <c r="H93" s="24"/>
      <c r="I93" s="24"/>
      <c r="J93" s="24"/>
      <c r="K93" s="24"/>
    </row>
    <row r="94" ht="12.75" customHeight="1">
      <c r="A94" s="9"/>
      <c r="B94" s="9"/>
      <c r="G94" s="24"/>
      <c r="H94" s="24"/>
      <c r="I94" s="24"/>
      <c r="J94" s="24"/>
      <c r="K94" s="24"/>
    </row>
    <row r="95" ht="12.75" customHeight="1">
      <c r="A95" s="9"/>
      <c r="B95" s="9"/>
      <c r="G95" s="24"/>
      <c r="H95" s="24"/>
      <c r="I95" s="24"/>
      <c r="J95" s="24"/>
      <c r="K95" s="24"/>
    </row>
    <row r="96" ht="12.75" customHeight="1">
      <c r="A96" s="9"/>
      <c r="B96" s="9"/>
      <c r="G96" s="24"/>
      <c r="H96" s="24"/>
      <c r="I96" s="24"/>
      <c r="J96" s="24"/>
      <c r="K96" s="24"/>
    </row>
    <row r="97" ht="12.75" customHeight="1">
      <c r="A97" s="9"/>
      <c r="B97" s="9"/>
      <c r="G97" s="24"/>
      <c r="H97" s="24"/>
      <c r="I97" s="24"/>
      <c r="J97" s="24"/>
      <c r="K97" s="24"/>
    </row>
    <row r="98" ht="12.75" customHeight="1">
      <c r="A98" s="9"/>
      <c r="B98" s="9"/>
      <c r="G98" s="24"/>
      <c r="H98" s="24"/>
      <c r="I98" s="24"/>
      <c r="J98" s="24"/>
      <c r="K98" s="24"/>
    </row>
    <row r="99" ht="12.75" customHeight="1">
      <c r="A99" s="9"/>
      <c r="B99" s="9"/>
      <c r="G99" s="24"/>
      <c r="H99" s="24"/>
      <c r="I99" s="24"/>
      <c r="J99" s="24"/>
      <c r="K99" s="24"/>
    </row>
    <row r="100" ht="12.75" customHeight="1">
      <c r="A100" s="9"/>
      <c r="B100" s="9"/>
      <c r="G100" s="24"/>
      <c r="H100" s="24"/>
      <c r="I100" s="24"/>
      <c r="J100" s="24"/>
      <c r="K100" s="24"/>
    </row>
    <row r="101" ht="12.75" customHeight="1">
      <c r="A101" s="9"/>
      <c r="B101" s="9"/>
      <c r="G101" s="24"/>
      <c r="H101" s="24"/>
      <c r="I101" s="24"/>
      <c r="J101" s="24"/>
      <c r="K101" s="24"/>
    </row>
    <row r="102" ht="12.75" customHeight="1">
      <c r="A102" s="9"/>
      <c r="B102" s="9"/>
      <c r="G102" s="24"/>
      <c r="H102" s="24"/>
      <c r="I102" s="24"/>
      <c r="J102" s="24"/>
      <c r="K102" s="24"/>
    </row>
    <row r="103" ht="12.75" customHeight="1">
      <c r="A103" s="9"/>
      <c r="B103" s="9"/>
      <c r="G103" s="24"/>
      <c r="H103" s="24"/>
      <c r="I103" s="24"/>
      <c r="J103" s="24"/>
      <c r="K103" s="24"/>
    </row>
    <row r="104" ht="12.75" customHeight="1">
      <c r="A104" s="9"/>
      <c r="B104" s="9"/>
      <c r="G104" s="24"/>
      <c r="H104" s="24"/>
      <c r="I104" s="24"/>
      <c r="J104" s="24"/>
      <c r="K104" s="24"/>
    </row>
    <row r="105" ht="12.75" customHeight="1">
      <c r="A105" s="9"/>
      <c r="B105" s="9"/>
      <c r="G105" s="24"/>
      <c r="H105" s="24"/>
      <c r="I105" s="24"/>
      <c r="J105" s="24"/>
      <c r="K105" s="24"/>
    </row>
    <row r="106" ht="12.75" customHeight="1">
      <c r="A106" s="9"/>
      <c r="B106" s="9"/>
      <c r="G106" s="24"/>
      <c r="H106" s="24"/>
      <c r="I106" s="24"/>
      <c r="J106" s="24"/>
      <c r="K106" s="24"/>
    </row>
    <row r="107" ht="12.75" customHeight="1">
      <c r="A107" s="9"/>
      <c r="B107" s="9"/>
      <c r="G107" s="24"/>
      <c r="H107" s="24"/>
      <c r="I107" s="24"/>
      <c r="J107" s="24"/>
      <c r="K107" s="24"/>
    </row>
    <row r="108" ht="12.75" customHeight="1">
      <c r="A108" s="9"/>
      <c r="B108" s="9"/>
      <c r="G108" s="24"/>
      <c r="H108" s="24"/>
      <c r="I108" s="24"/>
      <c r="J108" s="24"/>
      <c r="K108" s="24"/>
    </row>
    <row r="109" ht="12.75" customHeight="1">
      <c r="A109" s="9"/>
      <c r="B109" s="9"/>
      <c r="G109" s="24"/>
      <c r="H109" s="24"/>
      <c r="I109" s="24"/>
      <c r="J109" s="24"/>
      <c r="K109" s="24"/>
    </row>
    <row r="110" ht="12.75" customHeight="1">
      <c r="A110" s="9"/>
      <c r="B110" s="9"/>
    </row>
    <row r="111" ht="12.75" customHeight="1">
      <c r="A111" s="9"/>
      <c r="B111" s="9"/>
    </row>
    <row r="112" ht="12.75" customHeight="1">
      <c r="A112" s="9"/>
      <c r="B112" s="9"/>
    </row>
    <row r="113" ht="12.75" customHeight="1">
      <c r="A113" s="9"/>
      <c r="B113" s="9"/>
    </row>
    <row r="114" ht="12.75" customHeight="1">
      <c r="A114" s="9"/>
      <c r="B114" s="9"/>
    </row>
    <row r="115" ht="12.75" customHeight="1">
      <c r="A115" s="9"/>
      <c r="B115" s="9"/>
    </row>
    <row r="116" ht="12.75" customHeight="1">
      <c r="A116" s="9"/>
      <c r="B116" s="9"/>
    </row>
    <row r="117" ht="12.75" customHeight="1">
      <c r="A117" s="9"/>
      <c r="B117" s="9"/>
    </row>
    <row r="118" ht="12.75" customHeight="1">
      <c r="A118" s="9"/>
      <c r="B118" s="9"/>
    </row>
    <row r="119" ht="12.75" customHeight="1">
      <c r="A119" s="9"/>
      <c r="B119" s="9"/>
      <c r="G119" s="20"/>
    </row>
    <row r="120" ht="12.75" customHeight="1">
      <c r="A120" s="9"/>
      <c r="B120" s="9"/>
      <c r="G120" s="20"/>
    </row>
    <row r="121" ht="12.75" customHeight="1">
      <c r="A121" s="9"/>
      <c r="B121" s="9"/>
      <c r="G121" s="20"/>
    </row>
    <row r="122" ht="12.75" customHeight="1">
      <c r="A122" s="9"/>
      <c r="B122" s="9"/>
      <c r="G122" s="20"/>
    </row>
    <row r="123" ht="12.75" customHeight="1">
      <c r="A123" s="9"/>
      <c r="B123" s="9"/>
      <c r="G123" s="20"/>
    </row>
    <row r="124" ht="12.75" customHeight="1">
      <c r="A124" s="9"/>
      <c r="B124" s="9"/>
    </row>
    <row r="125" ht="12.75" customHeight="1">
      <c r="A125" s="9"/>
      <c r="B125" s="9"/>
      <c r="G125" s="20"/>
    </row>
    <row r="126" ht="12.75" customHeight="1">
      <c r="A126" s="9"/>
      <c r="B126" s="9"/>
      <c r="G126" s="20"/>
    </row>
    <row r="127" ht="12.75" customHeight="1">
      <c r="A127" s="9"/>
      <c r="B127" s="9"/>
      <c r="G127" s="20"/>
    </row>
    <row r="128" ht="12.75" customHeight="1">
      <c r="A128" s="9"/>
      <c r="B128" s="9"/>
      <c r="G128" s="20"/>
    </row>
    <row r="129" ht="12.75" customHeight="1">
      <c r="A129" s="9"/>
      <c r="B129" s="9"/>
      <c r="G129" s="20"/>
    </row>
    <row r="130" ht="12.75" customHeight="1">
      <c r="A130" s="9"/>
      <c r="B130" s="9"/>
    </row>
    <row r="131" ht="12.75" customHeight="1">
      <c r="A131" s="9"/>
      <c r="B131" s="9"/>
      <c r="G131" s="26"/>
    </row>
    <row r="132" ht="12.75" customHeight="1">
      <c r="A132" s="9"/>
      <c r="B132" s="9"/>
      <c r="G132" s="26"/>
    </row>
    <row r="133" ht="12.75" customHeight="1">
      <c r="A133" s="9"/>
      <c r="B133" s="9"/>
      <c r="G133" s="26"/>
    </row>
    <row r="134" ht="12.75" customHeight="1">
      <c r="A134" s="9"/>
      <c r="B134" s="9"/>
      <c r="G134" s="26"/>
    </row>
    <row r="135" ht="12.75" customHeight="1">
      <c r="A135" s="9"/>
      <c r="B135" s="9"/>
      <c r="G135" s="26"/>
    </row>
    <row r="136" ht="12.75" customHeight="1">
      <c r="A136" s="9"/>
      <c r="B136" s="9"/>
    </row>
    <row r="137" ht="12.75" customHeight="1">
      <c r="A137" s="9"/>
      <c r="B137" s="9"/>
    </row>
    <row r="138" ht="12.75" customHeight="1">
      <c r="A138" s="9"/>
      <c r="B138" s="9"/>
    </row>
    <row r="139" ht="12.75" customHeight="1">
      <c r="A139" s="9"/>
      <c r="B139" s="9"/>
    </row>
    <row r="140" ht="12.75" customHeight="1">
      <c r="A140" s="9"/>
      <c r="B140" s="9"/>
    </row>
    <row r="141" ht="12.75" customHeight="1">
      <c r="A141" s="9"/>
      <c r="B141" s="9"/>
    </row>
    <row r="142" ht="12.75" customHeight="1">
      <c r="A142" s="9"/>
      <c r="B142" s="9"/>
    </row>
    <row r="143" ht="12.75" customHeight="1">
      <c r="A143" s="9"/>
      <c r="B143" s="9"/>
    </row>
    <row r="144" ht="12.75" customHeight="1">
      <c r="A144" s="9"/>
      <c r="B144" s="9"/>
    </row>
    <row r="145" ht="12.75" customHeight="1">
      <c r="A145" s="9"/>
      <c r="B145" s="9"/>
    </row>
    <row r="146" ht="12.75" customHeight="1">
      <c r="A146" s="9"/>
      <c r="B146" s="9"/>
    </row>
    <row r="147" ht="12.75" customHeight="1">
      <c r="A147" s="9"/>
      <c r="B147" s="9"/>
    </row>
    <row r="148" ht="12.75" customHeight="1">
      <c r="A148" s="9"/>
      <c r="B148" s="9"/>
    </row>
    <row r="149" ht="12.75" customHeight="1">
      <c r="A149" s="9"/>
      <c r="B149" s="9"/>
    </row>
    <row r="150" ht="12.75" customHeight="1">
      <c r="A150" s="9"/>
      <c r="B150" s="9"/>
    </row>
    <row r="151" ht="12.75" customHeight="1">
      <c r="A151" s="9"/>
      <c r="B151" s="9"/>
    </row>
    <row r="152" ht="12.75" customHeight="1">
      <c r="A152" s="9"/>
      <c r="B152" s="9"/>
    </row>
    <row r="153" ht="12.75" customHeight="1">
      <c r="A153" s="9"/>
      <c r="B153" s="9"/>
    </row>
    <row r="154" ht="12.75" customHeight="1">
      <c r="A154" s="9"/>
      <c r="B154" s="9"/>
    </row>
    <row r="155" ht="12.75" customHeight="1">
      <c r="A155" s="9"/>
      <c r="B155" s="9"/>
    </row>
    <row r="156" ht="12.75" customHeight="1">
      <c r="A156" s="9"/>
      <c r="B156" s="9"/>
    </row>
    <row r="157" ht="12.75" customHeight="1">
      <c r="A157" s="9"/>
      <c r="B157" s="9"/>
    </row>
    <row r="158" ht="12.75" customHeight="1">
      <c r="A158" s="9"/>
      <c r="B158" s="9"/>
    </row>
    <row r="159" ht="12.75" customHeight="1">
      <c r="A159" s="9"/>
      <c r="B159" s="9"/>
    </row>
    <row r="160" ht="12.75" customHeight="1">
      <c r="A160" s="9"/>
      <c r="B160" s="9"/>
    </row>
    <row r="161" ht="12.75" customHeight="1">
      <c r="A161" s="9"/>
      <c r="B161" s="9"/>
    </row>
    <row r="162" ht="12.75" customHeight="1">
      <c r="A162" s="9"/>
      <c r="B162" s="9"/>
    </row>
    <row r="163" ht="12.75" customHeight="1">
      <c r="A163" s="9"/>
      <c r="B163" s="9"/>
    </row>
    <row r="164" ht="12.75" customHeight="1">
      <c r="A164" s="9"/>
      <c r="B164" s="9"/>
    </row>
    <row r="165" ht="12.75" customHeight="1">
      <c r="A165" s="9"/>
      <c r="B165" s="9"/>
    </row>
    <row r="166" ht="12.75" customHeight="1">
      <c r="A166" s="9"/>
      <c r="B166" s="9"/>
    </row>
    <row r="167" ht="12.75" customHeight="1">
      <c r="A167" s="9"/>
      <c r="B167" s="9"/>
    </row>
    <row r="168" ht="12.75" customHeight="1">
      <c r="A168" s="9"/>
      <c r="B168" s="9"/>
    </row>
    <row r="169" ht="12.75" customHeight="1">
      <c r="A169" s="9"/>
      <c r="B169" s="9"/>
    </row>
    <row r="170" ht="12.75" customHeight="1">
      <c r="A170" s="9"/>
      <c r="B170" s="9"/>
    </row>
    <row r="171" ht="12.75" customHeight="1">
      <c r="A171" s="9"/>
      <c r="B171" s="9"/>
    </row>
    <row r="172" ht="12.75" customHeight="1">
      <c r="A172" s="9"/>
      <c r="B172" s="9"/>
    </row>
    <row r="173" ht="12.75" customHeight="1">
      <c r="A173" s="9"/>
      <c r="B173" s="9"/>
    </row>
    <row r="174" ht="12.75" customHeight="1">
      <c r="A174" s="9"/>
      <c r="B174" s="9"/>
    </row>
    <row r="175" ht="12.75" customHeight="1">
      <c r="A175" s="9"/>
      <c r="B175" s="9"/>
    </row>
    <row r="176" ht="12.75" customHeight="1">
      <c r="A176" s="9"/>
      <c r="B176" s="9"/>
    </row>
    <row r="177" ht="12.75" customHeight="1">
      <c r="A177" s="9"/>
      <c r="B177" s="9"/>
    </row>
    <row r="178" ht="12.75" customHeight="1">
      <c r="A178" s="9"/>
      <c r="B178" s="9"/>
    </row>
    <row r="179" ht="12.75" customHeight="1">
      <c r="A179" s="9"/>
      <c r="B179" s="9"/>
      <c r="C179" s="9"/>
    </row>
    <row r="180" ht="12.75" customHeight="1">
      <c r="A180" s="9"/>
      <c r="B180" s="9"/>
      <c r="C180" s="9"/>
    </row>
    <row r="181" ht="12.75" customHeight="1">
      <c r="A181" s="9"/>
      <c r="B181" s="9"/>
      <c r="C181" s="9"/>
    </row>
    <row r="182" ht="12.75" customHeight="1">
      <c r="A182" s="9"/>
      <c r="B182" s="9"/>
      <c r="C182" s="9"/>
    </row>
    <row r="183" ht="12.75" customHeight="1">
      <c r="A183" s="9"/>
      <c r="B183" s="9"/>
      <c r="C183" s="9"/>
    </row>
    <row r="184" ht="12.75" customHeight="1">
      <c r="A184" s="9"/>
      <c r="B184" s="9"/>
      <c r="C184" s="9"/>
    </row>
    <row r="185" ht="12.75" customHeight="1">
      <c r="A185" s="9"/>
      <c r="B185" s="9"/>
      <c r="C185" s="9"/>
    </row>
    <row r="186" ht="12.75" customHeight="1">
      <c r="A186" s="9"/>
      <c r="B186" s="9"/>
      <c r="C186" s="9"/>
    </row>
    <row r="187" ht="12.75" customHeight="1">
      <c r="A187" s="9"/>
      <c r="B187" s="9"/>
      <c r="C187" s="9"/>
    </row>
    <row r="188" ht="12.75" customHeight="1">
      <c r="A188" s="9"/>
      <c r="B188" s="9"/>
    </row>
    <row r="189" ht="12.75" customHeight="1">
      <c r="A189" s="9"/>
      <c r="B189" s="9"/>
    </row>
    <row r="190" ht="12.75" customHeight="1">
      <c r="A190" s="9"/>
      <c r="B190" s="9"/>
    </row>
    <row r="191" ht="12.75" customHeight="1">
      <c r="A191" s="9"/>
      <c r="B191" s="9"/>
    </row>
    <row r="192" ht="12.75" customHeight="1">
      <c r="A192" s="9"/>
      <c r="B192" s="9"/>
    </row>
    <row r="193" ht="12.75" customHeight="1">
      <c r="A193" s="9"/>
      <c r="B193" s="9"/>
    </row>
    <row r="194" ht="12.75" customHeight="1">
      <c r="A194" s="9"/>
      <c r="B194" s="9"/>
    </row>
    <row r="195" ht="12.75" customHeight="1">
      <c r="A195" s="9"/>
      <c r="B195" s="9"/>
    </row>
    <row r="196" ht="12.75" customHeight="1">
      <c r="A196" s="9"/>
      <c r="B196" s="9"/>
    </row>
    <row r="197" ht="12.75" customHeight="1">
      <c r="A197" s="9"/>
      <c r="B197" s="9"/>
    </row>
    <row r="198" ht="12.75" customHeight="1">
      <c r="A198" s="9"/>
      <c r="B198" s="9"/>
    </row>
    <row r="199" ht="12.75" customHeight="1">
      <c r="A199" s="9"/>
      <c r="B199" s="9"/>
    </row>
    <row r="200" ht="12.75" customHeight="1">
      <c r="A200" s="9"/>
      <c r="B200" s="9"/>
    </row>
    <row r="201" ht="12.75" customHeight="1">
      <c r="A201" s="9"/>
      <c r="B201" s="9"/>
    </row>
    <row r="202" ht="12.75" customHeight="1">
      <c r="A202" s="9"/>
      <c r="B202" s="9"/>
    </row>
    <row r="203" ht="12.75" customHeight="1">
      <c r="A203" s="9"/>
      <c r="B203" s="9"/>
    </row>
    <row r="204" ht="12.75" customHeight="1">
      <c r="A204" s="9"/>
      <c r="B204" s="9"/>
    </row>
    <row r="205" ht="12.75" customHeight="1">
      <c r="A205" s="9"/>
      <c r="B205" s="9"/>
    </row>
    <row r="206" ht="12.75" customHeight="1">
      <c r="A206" s="9"/>
      <c r="B206" s="9"/>
    </row>
    <row r="207" ht="12.75" customHeight="1">
      <c r="A207" s="9"/>
      <c r="B207" s="9"/>
    </row>
    <row r="208" ht="12.75" customHeight="1">
      <c r="A208" s="9"/>
      <c r="B208" s="9"/>
    </row>
    <row r="209" ht="12.75" customHeight="1">
      <c r="A209" s="9"/>
      <c r="B209" s="9"/>
    </row>
    <row r="210" ht="12.75" customHeight="1">
      <c r="A210" s="9"/>
      <c r="B210" s="9"/>
    </row>
    <row r="211" ht="12.75" customHeight="1">
      <c r="A211" s="9"/>
      <c r="B211" s="9"/>
    </row>
    <row r="212" ht="12.75" customHeight="1">
      <c r="A212" s="9"/>
      <c r="B212" s="9"/>
    </row>
    <row r="213" ht="12.75" customHeight="1">
      <c r="A213" s="9"/>
      <c r="B213" s="9"/>
    </row>
    <row r="214" ht="12.75" customHeight="1">
      <c r="A214" s="9"/>
      <c r="B214" s="9"/>
    </row>
    <row r="215" ht="12.75" customHeight="1">
      <c r="A215" s="9"/>
      <c r="B215" s="9"/>
    </row>
    <row r="216" ht="12.75" customHeight="1">
      <c r="A216" s="9"/>
      <c r="B216" s="9"/>
    </row>
    <row r="217" ht="12.75" customHeight="1">
      <c r="A217" s="9"/>
      <c r="B217" s="9"/>
    </row>
    <row r="218" ht="12.75" customHeight="1">
      <c r="A218" s="9"/>
      <c r="B218" s="9"/>
    </row>
    <row r="219" ht="12.75" customHeight="1">
      <c r="A219" s="9"/>
      <c r="B219" s="9"/>
    </row>
    <row r="220" ht="12.75" customHeight="1">
      <c r="A220" s="9"/>
      <c r="B220" s="9"/>
    </row>
    <row r="221" ht="12.75" customHeight="1">
      <c r="A221" s="9"/>
      <c r="B221" s="9"/>
    </row>
    <row r="222" ht="12.75" customHeight="1">
      <c r="A222" s="9"/>
      <c r="B222" s="9"/>
    </row>
    <row r="223" ht="12.75" customHeight="1">
      <c r="A223" s="9"/>
      <c r="B223" s="9"/>
    </row>
    <row r="224" ht="12.75" customHeight="1">
      <c r="A224" s="9"/>
      <c r="B224" s="9"/>
    </row>
    <row r="225" ht="12.75" customHeight="1">
      <c r="A225" s="9"/>
      <c r="B225" s="9"/>
    </row>
    <row r="226" ht="12.75" customHeight="1">
      <c r="A226" s="9"/>
      <c r="B226" s="9"/>
    </row>
    <row r="227" ht="12.75" customHeight="1">
      <c r="A227" s="9"/>
      <c r="B227" s="9"/>
    </row>
    <row r="228" ht="12.75" customHeight="1">
      <c r="A228" s="9"/>
      <c r="B228" s="9"/>
    </row>
    <row r="229" ht="12.75" customHeight="1">
      <c r="A229" s="9"/>
      <c r="B229" s="9"/>
    </row>
    <row r="230" ht="12.75" customHeight="1">
      <c r="A230" s="9"/>
      <c r="B230" s="9"/>
    </row>
    <row r="231" ht="12.75" customHeight="1">
      <c r="A231" s="9"/>
      <c r="B231" s="9"/>
    </row>
    <row r="232" ht="12.75" customHeight="1">
      <c r="A232" s="9"/>
      <c r="B232" s="9"/>
    </row>
    <row r="233" ht="12.75" customHeight="1">
      <c r="A233" s="9"/>
      <c r="B233" s="9"/>
    </row>
    <row r="234" ht="12.75" customHeight="1">
      <c r="A234" s="9"/>
      <c r="B234" s="9"/>
    </row>
    <row r="235" ht="12.75" customHeight="1">
      <c r="A235" s="9"/>
      <c r="B235" s="9"/>
    </row>
    <row r="236" ht="12.75" customHeight="1">
      <c r="A236" s="9"/>
      <c r="B236" s="9"/>
    </row>
    <row r="237" ht="12.75" customHeight="1">
      <c r="A237" s="9"/>
      <c r="B237" s="9"/>
    </row>
    <row r="238" ht="12.75" customHeight="1">
      <c r="A238" s="9"/>
      <c r="B238" s="9"/>
    </row>
    <row r="239" ht="12.75" customHeight="1">
      <c r="A239" s="9"/>
      <c r="B239" s="9"/>
    </row>
    <row r="240" ht="12.75" customHeight="1">
      <c r="A240" s="9"/>
      <c r="B240" s="9"/>
    </row>
    <row r="241" ht="12.75" customHeight="1">
      <c r="A241" s="9"/>
      <c r="B241" s="9"/>
    </row>
    <row r="242" ht="12.75" customHeight="1">
      <c r="A242" s="9"/>
      <c r="B242" s="9"/>
    </row>
    <row r="243" ht="12.75" customHeight="1">
      <c r="A243" s="9"/>
      <c r="B243" s="9"/>
    </row>
    <row r="244" ht="12.75" customHeight="1">
      <c r="A244" s="9"/>
      <c r="B244" s="9"/>
    </row>
    <row r="245" ht="12.75" customHeight="1">
      <c r="A245" s="9"/>
      <c r="B245" s="9"/>
    </row>
    <row r="246" ht="12.75" customHeight="1">
      <c r="A246" s="9"/>
      <c r="B246" s="9"/>
    </row>
    <row r="247" ht="12.75" customHeight="1">
      <c r="A247" s="9"/>
      <c r="B247" s="9"/>
    </row>
    <row r="248" ht="12.75" customHeight="1">
      <c r="A248" s="9"/>
      <c r="B248" s="9"/>
    </row>
    <row r="249" ht="12.75" customHeight="1">
      <c r="A249" s="9"/>
      <c r="B249" s="9"/>
    </row>
    <row r="250" ht="12.75" customHeight="1">
      <c r="A250" s="9"/>
      <c r="B250" s="9"/>
    </row>
    <row r="251" ht="12.75" customHeight="1">
      <c r="A251" s="9"/>
      <c r="B251" s="9"/>
    </row>
    <row r="252" ht="12.75" customHeight="1">
      <c r="A252" s="9"/>
      <c r="B252" s="9"/>
    </row>
    <row r="253" ht="12.75" customHeight="1">
      <c r="A253" s="9"/>
      <c r="B253" s="9"/>
    </row>
    <row r="254" ht="12.75" customHeight="1">
      <c r="A254" s="9"/>
      <c r="B254" s="9"/>
    </row>
    <row r="255" ht="12.75" customHeight="1">
      <c r="A255" s="9"/>
      <c r="B255" s="9"/>
    </row>
    <row r="256" ht="12.75" customHeight="1">
      <c r="A256" s="9"/>
      <c r="B256" s="9"/>
    </row>
    <row r="257" ht="12.75" customHeight="1">
      <c r="A257" s="9"/>
      <c r="B257" s="9"/>
    </row>
    <row r="258" ht="12.75" customHeight="1">
      <c r="A258" s="9"/>
      <c r="B258" s="9"/>
    </row>
    <row r="259" ht="12.75" customHeight="1">
      <c r="A259" s="9"/>
      <c r="B259" s="9"/>
    </row>
    <row r="260" ht="12.75" customHeight="1">
      <c r="A260" s="9"/>
      <c r="B260" s="9"/>
    </row>
    <row r="261" ht="12.75" customHeight="1">
      <c r="A261" s="9"/>
      <c r="B261" s="9"/>
    </row>
    <row r="262" ht="12.75" customHeight="1">
      <c r="A262" s="9"/>
      <c r="B262" s="9"/>
    </row>
    <row r="263" ht="12.75" customHeight="1">
      <c r="A263" s="9"/>
      <c r="B263" s="9"/>
    </row>
    <row r="264" ht="12.75" customHeight="1">
      <c r="A264" s="9"/>
      <c r="B264" s="9"/>
    </row>
    <row r="265" ht="12.75" customHeight="1">
      <c r="A265" s="9"/>
      <c r="B265" s="9"/>
    </row>
    <row r="266" ht="12.75" customHeight="1">
      <c r="A266" s="9"/>
      <c r="B266" s="9"/>
    </row>
    <row r="267" ht="12.75" customHeight="1">
      <c r="A267" s="9"/>
      <c r="B267" s="9"/>
    </row>
    <row r="268" ht="12.75" customHeight="1">
      <c r="A268" s="9"/>
      <c r="B268" s="9"/>
    </row>
    <row r="269" ht="12.75" customHeight="1">
      <c r="A269" s="9"/>
      <c r="B269" s="9"/>
    </row>
    <row r="270" ht="12.75" customHeight="1">
      <c r="A270" s="9"/>
      <c r="B270" s="9"/>
    </row>
    <row r="271" ht="12.75" customHeight="1">
      <c r="A271" s="9"/>
      <c r="B271" s="9"/>
    </row>
    <row r="272" ht="12.75" customHeight="1">
      <c r="A272" s="9"/>
      <c r="B272" s="9"/>
    </row>
    <row r="273" ht="12.75" customHeight="1">
      <c r="A273" s="9"/>
      <c r="B273" s="9"/>
    </row>
    <row r="274" ht="12.75" customHeight="1">
      <c r="A274" s="9"/>
      <c r="B274" s="9"/>
    </row>
    <row r="275" ht="12.75" customHeight="1">
      <c r="A275" s="9"/>
      <c r="B275" s="9"/>
    </row>
    <row r="276" ht="12.75" customHeight="1">
      <c r="A276" s="9"/>
      <c r="B276" s="9"/>
    </row>
    <row r="277" ht="12.75" customHeight="1">
      <c r="A277" s="9"/>
      <c r="B277" s="9"/>
    </row>
    <row r="278" ht="12.75" customHeight="1">
      <c r="A278" s="9"/>
      <c r="B278" s="9"/>
    </row>
    <row r="279" ht="12.75" customHeight="1">
      <c r="A279" s="9"/>
      <c r="B279" s="9"/>
    </row>
    <row r="280" ht="12.75" customHeight="1">
      <c r="A280" s="9"/>
      <c r="B280" s="9"/>
    </row>
    <row r="281" ht="12.75" customHeight="1">
      <c r="A281" s="9"/>
      <c r="B281" s="9"/>
    </row>
    <row r="282" ht="12.75" customHeight="1">
      <c r="A282" s="9"/>
      <c r="B282" s="9"/>
    </row>
    <row r="283" ht="12.75" customHeight="1">
      <c r="A283" s="9"/>
      <c r="B283" s="9"/>
    </row>
    <row r="284" ht="12.75" customHeight="1">
      <c r="A284" s="9"/>
      <c r="B284" s="9"/>
    </row>
    <row r="285" ht="12.75" customHeight="1">
      <c r="A285" s="9"/>
      <c r="B285" s="9"/>
    </row>
    <row r="286" ht="12.75" customHeight="1">
      <c r="A286" s="9"/>
      <c r="B286" s="9"/>
    </row>
    <row r="287" ht="12.75" customHeight="1">
      <c r="A287" s="9"/>
      <c r="B287" s="9"/>
    </row>
    <row r="288" ht="12.75" customHeight="1">
      <c r="A288" s="9"/>
      <c r="B288" s="9"/>
    </row>
    <row r="289" ht="12.75" customHeight="1">
      <c r="A289" s="9"/>
      <c r="B289" s="9"/>
    </row>
    <row r="290" ht="12.75" customHeight="1">
      <c r="A290" s="9"/>
      <c r="B290" s="9"/>
    </row>
    <row r="291" ht="12.75" customHeight="1">
      <c r="A291" s="9"/>
      <c r="B291" s="9"/>
    </row>
    <row r="292" ht="12.75" customHeight="1">
      <c r="A292" s="9"/>
      <c r="B292" s="9"/>
    </row>
    <row r="293" ht="12.75" customHeight="1">
      <c r="A293" s="9"/>
      <c r="B293" s="9"/>
    </row>
    <row r="294" ht="12.75" customHeight="1">
      <c r="A294" s="9"/>
      <c r="B294" s="9"/>
    </row>
    <row r="295" ht="12.75" customHeight="1">
      <c r="A295" s="9"/>
      <c r="B295" s="9"/>
    </row>
    <row r="296" ht="12.75" customHeight="1">
      <c r="A296" s="9"/>
      <c r="B296" s="9"/>
    </row>
    <row r="297" ht="12.75" customHeight="1">
      <c r="A297" s="9"/>
      <c r="B297" s="9"/>
    </row>
    <row r="298" ht="12.75" customHeight="1">
      <c r="A298" s="9"/>
      <c r="B298" s="9"/>
    </row>
    <row r="299" ht="12.75" customHeight="1">
      <c r="A299" s="9"/>
      <c r="B299" s="9"/>
    </row>
    <row r="300" ht="12.75" customHeight="1">
      <c r="A300" s="9"/>
      <c r="B300" s="9"/>
    </row>
    <row r="301" ht="12.75" customHeight="1">
      <c r="A301" s="9"/>
      <c r="B301" s="9"/>
    </row>
    <row r="302" ht="12.75" customHeight="1">
      <c r="A302" s="9"/>
      <c r="B302" s="9"/>
    </row>
    <row r="303" ht="12.75" customHeight="1">
      <c r="A303" s="9"/>
      <c r="B303" s="9"/>
    </row>
    <row r="304" ht="12.75" customHeight="1">
      <c r="A304" s="9"/>
      <c r="B304" s="9"/>
    </row>
    <row r="305" ht="12.75" customHeight="1">
      <c r="A305" s="9"/>
      <c r="B305" s="9"/>
    </row>
    <row r="306" ht="12.75" customHeight="1">
      <c r="A306" s="9"/>
      <c r="B306" s="9"/>
    </row>
    <row r="307" ht="12.75" customHeight="1">
      <c r="A307" s="9"/>
      <c r="B307" s="9"/>
    </row>
    <row r="308" ht="12.75" customHeight="1">
      <c r="A308" s="9"/>
      <c r="B308" s="9"/>
    </row>
    <row r="309" ht="12.75" customHeight="1">
      <c r="A309" s="9"/>
      <c r="B309" s="9"/>
    </row>
    <row r="310" ht="12.75" customHeight="1">
      <c r="A310" s="9"/>
      <c r="B310" s="9"/>
    </row>
    <row r="311" ht="12.75" customHeight="1">
      <c r="A311" s="9"/>
      <c r="B311" s="9"/>
    </row>
    <row r="312" ht="12.75" customHeight="1">
      <c r="A312" s="9"/>
      <c r="B312" s="9"/>
    </row>
    <row r="313" ht="12.75" customHeight="1">
      <c r="A313" s="9"/>
      <c r="B313" s="9"/>
    </row>
    <row r="314" ht="12.75" customHeight="1">
      <c r="A314" s="9"/>
      <c r="B314" s="9"/>
    </row>
    <row r="315" ht="12.75" customHeight="1">
      <c r="A315" s="9"/>
      <c r="B315" s="9"/>
    </row>
    <row r="316" ht="12.75" customHeight="1">
      <c r="A316" s="9"/>
      <c r="B316" s="9"/>
    </row>
    <row r="317" ht="12.75" customHeight="1">
      <c r="A317" s="9"/>
      <c r="B317" s="9"/>
    </row>
    <row r="318" ht="12.75" customHeight="1">
      <c r="A318" s="9"/>
      <c r="B318" s="9"/>
    </row>
    <row r="319" ht="12.75" customHeight="1">
      <c r="A319" s="9"/>
      <c r="B319" s="9"/>
    </row>
    <row r="320" ht="12.75" customHeight="1">
      <c r="A320" s="9"/>
      <c r="B320" s="9"/>
    </row>
    <row r="321" ht="12.75" customHeight="1">
      <c r="A321" s="9"/>
      <c r="B321" s="9"/>
    </row>
    <row r="322" ht="12.75" customHeight="1">
      <c r="A322" s="9"/>
      <c r="B322" s="9"/>
    </row>
    <row r="323" ht="12.75" customHeight="1">
      <c r="A323" s="9"/>
      <c r="B323" s="9"/>
    </row>
    <row r="324" ht="12.75" customHeight="1">
      <c r="A324" s="9"/>
      <c r="B324" s="9"/>
    </row>
    <row r="325" ht="12.75" customHeight="1">
      <c r="A325" s="9"/>
      <c r="B325" s="9"/>
    </row>
    <row r="326" ht="12.75" customHeight="1">
      <c r="A326" s="9"/>
      <c r="B326" s="9"/>
    </row>
    <row r="327" ht="12.75" customHeight="1">
      <c r="A327" s="9"/>
      <c r="B327" s="9"/>
    </row>
    <row r="328" ht="12.75" customHeight="1">
      <c r="A328" s="9"/>
      <c r="B328" s="9"/>
    </row>
    <row r="329" ht="12.75" customHeight="1">
      <c r="A329" s="9"/>
      <c r="B329" s="9"/>
    </row>
    <row r="330" ht="12.75" customHeight="1">
      <c r="A330" s="9"/>
      <c r="B330" s="9"/>
    </row>
    <row r="331" ht="12.75" customHeight="1">
      <c r="A331" s="9"/>
      <c r="B331" s="9"/>
    </row>
    <row r="332" ht="12.75" customHeight="1">
      <c r="A332" s="9"/>
      <c r="B332" s="9"/>
    </row>
    <row r="333" ht="12.75" customHeight="1">
      <c r="A333" s="9"/>
      <c r="B333" s="9"/>
    </row>
    <row r="334" ht="12.75" customHeight="1">
      <c r="A334" s="9"/>
      <c r="B334" s="9"/>
    </row>
    <row r="335" ht="12.75" customHeight="1">
      <c r="A335" s="9"/>
      <c r="B335" s="9"/>
    </row>
    <row r="336" ht="12.75" customHeight="1">
      <c r="A336" s="9"/>
      <c r="B336" s="9"/>
    </row>
    <row r="337" ht="12.75" customHeight="1">
      <c r="A337" s="9"/>
      <c r="B337" s="9"/>
    </row>
    <row r="338" ht="12.75" customHeight="1">
      <c r="A338" s="9"/>
      <c r="B338" s="9"/>
    </row>
    <row r="339" ht="12.75" customHeight="1">
      <c r="A339" s="9"/>
      <c r="B339" s="9"/>
    </row>
    <row r="340" ht="12.75" customHeight="1">
      <c r="A340" s="9"/>
      <c r="B340" s="9"/>
    </row>
    <row r="341" ht="12.75" customHeight="1">
      <c r="A341" s="9"/>
      <c r="B341" s="9"/>
    </row>
    <row r="342" ht="12.75" customHeight="1">
      <c r="A342" s="9"/>
      <c r="B342" s="9"/>
    </row>
    <row r="343" ht="12.75" customHeight="1">
      <c r="A343" s="9"/>
      <c r="B343" s="9"/>
    </row>
    <row r="344" ht="12.75" customHeight="1">
      <c r="A344" s="9"/>
      <c r="B344" s="9"/>
    </row>
    <row r="345" ht="12.75" customHeight="1">
      <c r="A345" s="9"/>
      <c r="B345" s="9"/>
    </row>
    <row r="346" ht="12.75" customHeight="1">
      <c r="A346" s="9"/>
      <c r="B346" s="9"/>
    </row>
    <row r="347" ht="12.75" customHeight="1">
      <c r="A347" s="9"/>
      <c r="B347" s="9"/>
    </row>
    <row r="348" ht="12.75" customHeight="1">
      <c r="A348" s="9"/>
      <c r="B348" s="9"/>
    </row>
    <row r="349" ht="12.75" customHeight="1">
      <c r="A349" s="9"/>
      <c r="B349" s="9"/>
    </row>
    <row r="350" ht="12.75" customHeight="1">
      <c r="A350" s="9"/>
      <c r="B350" s="9"/>
    </row>
    <row r="351" ht="12.75" customHeight="1">
      <c r="A351" s="9"/>
      <c r="B351" s="9"/>
    </row>
    <row r="352" ht="12.75" customHeight="1">
      <c r="A352" s="9"/>
      <c r="B352" s="9"/>
    </row>
    <row r="353" ht="12.75" customHeight="1">
      <c r="A353" s="9"/>
      <c r="B353" s="9"/>
    </row>
    <row r="354" ht="12.75" customHeight="1">
      <c r="A354" s="9"/>
      <c r="B354" s="9"/>
    </row>
    <row r="355" ht="12.75" customHeight="1">
      <c r="A355" s="9"/>
      <c r="B355" s="9"/>
    </row>
    <row r="356" ht="12.75" customHeight="1">
      <c r="A356" s="9"/>
      <c r="B356" s="9"/>
    </row>
    <row r="357" ht="12.75" customHeight="1">
      <c r="A357" s="9"/>
      <c r="B357" s="9"/>
    </row>
    <row r="358" ht="12.75" customHeight="1">
      <c r="A358" s="9"/>
      <c r="B358" s="9"/>
    </row>
    <row r="359" ht="12.75" customHeight="1">
      <c r="A359" s="9"/>
      <c r="B359" s="9"/>
    </row>
    <row r="360" ht="12.75" customHeight="1">
      <c r="A360" s="9"/>
      <c r="B360" s="9"/>
    </row>
    <row r="361" ht="12.75" customHeight="1">
      <c r="A361" s="9"/>
      <c r="B361" s="9"/>
    </row>
    <row r="362" ht="12.75" customHeight="1">
      <c r="A362" s="9"/>
      <c r="B362" s="9"/>
    </row>
    <row r="363" ht="12.75" customHeight="1">
      <c r="A363" s="9"/>
      <c r="B363" s="9"/>
    </row>
    <row r="364" ht="12.75" customHeight="1">
      <c r="A364" s="9"/>
      <c r="B364" s="9"/>
    </row>
    <row r="365" ht="12.75" customHeight="1">
      <c r="A365" s="9"/>
      <c r="B365" s="9"/>
    </row>
    <row r="366" ht="12.75" customHeight="1">
      <c r="A366" s="9"/>
      <c r="B366" s="9"/>
    </row>
    <row r="367" ht="12.75" customHeight="1">
      <c r="A367" s="9"/>
      <c r="B367" s="9"/>
    </row>
    <row r="368" ht="12.75" customHeight="1">
      <c r="A368" s="9"/>
      <c r="B368" s="9"/>
    </row>
    <row r="369" ht="12.75" customHeight="1">
      <c r="A369" s="9"/>
      <c r="B369" s="9"/>
    </row>
    <row r="370" ht="12.75" customHeight="1">
      <c r="A370" s="9"/>
      <c r="B370" s="9"/>
    </row>
    <row r="371" ht="12.75" customHeight="1">
      <c r="A371" s="9"/>
      <c r="B371" s="9"/>
    </row>
    <row r="372" ht="12.75" customHeight="1">
      <c r="A372" s="9"/>
      <c r="B372" s="9"/>
    </row>
    <row r="373" ht="12.75" customHeight="1">
      <c r="A373" s="9"/>
      <c r="B373" s="9"/>
    </row>
    <row r="374" ht="12.75" customHeight="1">
      <c r="A374" s="9"/>
      <c r="B374" s="9"/>
    </row>
    <row r="375" ht="12.75" customHeight="1">
      <c r="A375" s="9"/>
      <c r="B375" s="9"/>
    </row>
    <row r="376" ht="12.75" customHeight="1">
      <c r="A376" s="9"/>
      <c r="B376" s="9"/>
    </row>
    <row r="377" ht="12.75" customHeight="1">
      <c r="A377" s="9"/>
      <c r="B377" s="9"/>
    </row>
    <row r="378" ht="12.75" customHeight="1">
      <c r="A378" s="9"/>
      <c r="B378" s="9"/>
    </row>
    <row r="379" ht="12.75" customHeight="1">
      <c r="A379" s="9"/>
      <c r="B379" s="9"/>
    </row>
    <row r="380" ht="12.75" customHeight="1">
      <c r="A380" s="9"/>
      <c r="B380" s="9"/>
    </row>
    <row r="381" ht="12.75" customHeight="1">
      <c r="A381" s="9"/>
      <c r="B381" s="9"/>
    </row>
    <row r="382" ht="12.75" customHeight="1">
      <c r="A382" s="9"/>
      <c r="B382" s="9"/>
    </row>
    <row r="383" ht="12.75" customHeight="1">
      <c r="A383" s="9"/>
      <c r="B383" s="9"/>
    </row>
    <row r="384" ht="12.75" customHeight="1">
      <c r="A384" s="9"/>
      <c r="B384" s="9"/>
    </row>
    <row r="385" ht="12.75" customHeight="1">
      <c r="A385" s="9"/>
      <c r="B385" s="9"/>
    </row>
    <row r="386" ht="12.75" customHeight="1">
      <c r="A386" s="9"/>
      <c r="B386" s="9"/>
    </row>
    <row r="387" ht="12.75" customHeight="1">
      <c r="A387" s="9"/>
      <c r="B387" s="9"/>
    </row>
    <row r="388" ht="12.75" customHeight="1">
      <c r="A388" s="9"/>
      <c r="B388" s="9"/>
    </row>
    <row r="389" ht="12.75" customHeight="1">
      <c r="A389" s="9"/>
      <c r="B389" s="9"/>
    </row>
    <row r="390" ht="12.75" customHeight="1">
      <c r="A390" s="9"/>
      <c r="B390" s="9"/>
    </row>
    <row r="391" ht="12.75" customHeight="1">
      <c r="A391" s="9"/>
      <c r="B391" s="9"/>
    </row>
    <row r="392" ht="12.75" customHeight="1">
      <c r="A392" s="9"/>
      <c r="B392" s="9"/>
    </row>
    <row r="393" ht="12.75" customHeight="1">
      <c r="A393" s="9"/>
      <c r="B393" s="9"/>
    </row>
    <row r="394" ht="12.75" customHeight="1">
      <c r="A394" s="9"/>
      <c r="B394" s="9"/>
    </row>
    <row r="395" ht="12.75" customHeight="1">
      <c r="A395" s="9"/>
      <c r="B395" s="9"/>
    </row>
    <row r="396" ht="12.75" customHeight="1">
      <c r="A396" s="9"/>
      <c r="B396" s="9"/>
    </row>
    <row r="397" ht="12.75" customHeight="1">
      <c r="A397" s="9"/>
      <c r="B397" s="9"/>
    </row>
    <row r="398" ht="12.75" customHeight="1">
      <c r="A398" s="9"/>
      <c r="B398" s="9"/>
    </row>
    <row r="399" ht="12.75" customHeight="1">
      <c r="A399" s="9"/>
      <c r="B399" s="9"/>
    </row>
    <row r="400" ht="12.75" customHeight="1">
      <c r="A400" s="9"/>
      <c r="B400" s="9"/>
    </row>
    <row r="401" ht="12.75" customHeight="1">
      <c r="A401" s="9"/>
      <c r="B401" s="9"/>
    </row>
    <row r="402" ht="12.75" customHeight="1">
      <c r="A402" s="9"/>
      <c r="B402" s="9"/>
    </row>
    <row r="403" ht="12.75" customHeight="1">
      <c r="A403" s="9"/>
      <c r="B403" s="9"/>
    </row>
    <row r="404" ht="12.75" customHeight="1">
      <c r="A404" s="9"/>
      <c r="B404" s="9"/>
    </row>
    <row r="405" ht="12.75" customHeight="1">
      <c r="A405" s="9"/>
      <c r="B405" s="9"/>
    </row>
    <row r="406" ht="12.75" customHeight="1">
      <c r="A406" s="9"/>
      <c r="B406" s="9"/>
    </row>
    <row r="407" ht="12.75" customHeight="1">
      <c r="A407" s="9"/>
      <c r="B407" s="9"/>
    </row>
    <row r="408" ht="12.75" customHeight="1">
      <c r="A408" s="9"/>
      <c r="B408" s="9"/>
    </row>
    <row r="409" ht="12.75" customHeight="1">
      <c r="A409" s="9"/>
      <c r="B409" s="9"/>
    </row>
    <row r="410" ht="12.75" customHeight="1">
      <c r="A410" s="9"/>
      <c r="B410" s="9"/>
    </row>
    <row r="411" ht="12.75" customHeight="1">
      <c r="A411" s="9"/>
      <c r="B411" s="9"/>
    </row>
    <row r="412" ht="12.75" customHeight="1">
      <c r="A412" s="9"/>
      <c r="B412" s="9"/>
    </row>
    <row r="413" ht="12.75" customHeight="1">
      <c r="A413" s="9"/>
      <c r="B413" s="9"/>
    </row>
    <row r="414" ht="12.75" customHeight="1">
      <c r="A414" s="9"/>
      <c r="B414" s="9"/>
    </row>
    <row r="415" ht="12.75" customHeight="1">
      <c r="A415" s="9"/>
      <c r="B415" s="9"/>
    </row>
    <row r="416" ht="12.75" customHeight="1">
      <c r="A416" s="9"/>
      <c r="B416" s="9"/>
    </row>
    <row r="417" ht="12.75" customHeight="1">
      <c r="A417" s="9"/>
      <c r="B417" s="9"/>
    </row>
    <row r="418" ht="12.75" customHeight="1">
      <c r="A418" s="9"/>
      <c r="B418" s="9"/>
    </row>
    <row r="419" ht="12.75" customHeight="1">
      <c r="A419" s="9"/>
      <c r="B419" s="9"/>
    </row>
    <row r="420" ht="12.75" customHeight="1">
      <c r="A420" s="9"/>
      <c r="B420" s="9"/>
    </row>
    <row r="421" ht="12.75" customHeight="1">
      <c r="A421" s="9"/>
      <c r="B421" s="9"/>
    </row>
    <row r="422" ht="12.75" customHeight="1">
      <c r="A422" s="9"/>
      <c r="B422" s="9"/>
    </row>
    <row r="423" ht="12.75" customHeight="1">
      <c r="A423" s="9"/>
      <c r="B423" s="9"/>
    </row>
    <row r="424" ht="12.75" customHeight="1">
      <c r="A424" s="9"/>
      <c r="B424" s="9"/>
    </row>
    <row r="425" ht="12.75" customHeight="1">
      <c r="A425" s="9"/>
      <c r="B425" s="9"/>
    </row>
    <row r="426" ht="12.75" customHeight="1">
      <c r="A426" s="9"/>
      <c r="B426" s="9"/>
    </row>
    <row r="427" ht="12.75" customHeight="1">
      <c r="A427" s="9"/>
      <c r="B427" s="9"/>
    </row>
    <row r="428" ht="12.75" customHeight="1">
      <c r="A428" s="9"/>
      <c r="B428" s="9"/>
    </row>
    <row r="429" ht="12.75" customHeight="1">
      <c r="A429" s="9"/>
      <c r="B429" s="9"/>
    </row>
    <row r="430" ht="12.75" customHeight="1">
      <c r="A430" s="9"/>
      <c r="B430" s="9"/>
    </row>
    <row r="431" ht="12.75" customHeight="1">
      <c r="A431" s="9"/>
      <c r="B431" s="9"/>
    </row>
    <row r="432" ht="12.75" customHeight="1">
      <c r="A432" s="9"/>
      <c r="B432" s="9"/>
    </row>
    <row r="433" ht="12.75" customHeight="1">
      <c r="A433" s="9"/>
      <c r="B433" s="9"/>
    </row>
    <row r="434" ht="12.75" customHeight="1">
      <c r="A434" s="9"/>
      <c r="B434" s="9"/>
    </row>
    <row r="435" ht="12.75" customHeight="1">
      <c r="A435" s="9"/>
      <c r="B435" s="9"/>
    </row>
    <row r="436" ht="12.75" customHeight="1">
      <c r="A436" s="9"/>
      <c r="B436" s="9"/>
    </row>
    <row r="437" ht="12.75" customHeight="1">
      <c r="A437" s="9"/>
      <c r="B437" s="9"/>
    </row>
    <row r="438" ht="12.75" customHeight="1">
      <c r="A438" s="9"/>
      <c r="B438" s="9"/>
    </row>
    <row r="439" ht="12.75" customHeight="1">
      <c r="A439" s="9"/>
      <c r="B439" s="9"/>
    </row>
    <row r="440" ht="12.75" customHeight="1">
      <c r="A440" s="9"/>
      <c r="B440" s="9"/>
    </row>
    <row r="441" ht="12.75" customHeight="1">
      <c r="A441" s="9"/>
      <c r="B441" s="9"/>
    </row>
    <row r="442" ht="12.75" customHeight="1">
      <c r="A442" s="9"/>
      <c r="B442" s="9"/>
    </row>
    <row r="443" ht="12.75" customHeight="1">
      <c r="A443" s="9"/>
      <c r="B443" s="9"/>
    </row>
    <row r="444" ht="12.75" customHeight="1">
      <c r="A444" s="9"/>
      <c r="B444" s="9"/>
    </row>
    <row r="445" ht="12.75" customHeight="1">
      <c r="A445" s="9"/>
      <c r="B445" s="9"/>
    </row>
    <row r="446" ht="12.75" customHeight="1">
      <c r="A446" s="9"/>
      <c r="B446" s="9"/>
    </row>
    <row r="447" ht="12.75" customHeight="1">
      <c r="A447" s="9"/>
      <c r="B447" s="9"/>
    </row>
    <row r="448" ht="12.75" customHeight="1">
      <c r="A448" s="9"/>
      <c r="B448" s="9"/>
    </row>
    <row r="449" ht="12.75" customHeight="1">
      <c r="A449" s="9"/>
      <c r="B449" s="9"/>
    </row>
    <row r="450" ht="12.75" customHeight="1">
      <c r="A450" s="9"/>
      <c r="B450" s="9"/>
    </row>
    <row r="451" ht="12.75" customHeight="1">
      <c r="A451" s="9"/>
      <c r="B451" s="9"/>
    </row>
    <row r="452" ht="12.75" customHeight="1">
      <c r="A452" s="9"/>
      <c r="B452" s="9"/>
    </row>
    <row r="453" ht="12.75" customHeight="1">
      <c r="A453" s="9"/>
      <c r="B453" s="9"/>
    </row>
    <row r="454" ht="12.75" customHeight="1">
      <c r="A454" s="9"/>
      <c r="B454" s="9"/>
    </row>
    <row r="455" ht="12.75" customHeight="1">
      <c r="A455" s="9"/>
      <c r="B455" s="9"/>
    </row>
    <row r="456" ht="12.75" customHeight="1">
      <c r="A456" s="9"/>
      <c r="B456" s="9"/>
    </row>
    <row r="457" ht="12.75" customHeight="1">
      <c r="A457" s="9"/>
      <c r="B457" s="9"/>
    </row>
    <row r="458" ht="12.75" customHeight="1">
      <c r="A458" s="9"/>
      <c r="B458" s="9"/>
    </row>
    <row r="459" ht="12.75" customHeight="1">
      <c r="A459" s="9"/>
      <c r="B459" s="9"/>
    </row>
    <row r="460" ht="12.75" customHeight="1">
      <c r="A460" s="9"/>
      <c r="B460" s="9"/>
    </row>
    <row r="461" ht="12.75" customHeight="1">
      <c r="A461" s="9"/>
      <c r="B461" s="9"/>
    </row>
    <row r="462" ht="12.75" customHeight="1">
      <c r="A462" s="9"/>
      <c r="B462" s="9"/>
    </row>
    <row r="463" ht="12.75" customHeight="1">
      <c r="A463" s="9"/>
      <c r="B463" s="9"/>
    </row>
    <row r="464" ht="12.75" customHeight="1">
      <c r="A464" s="9"/>
      <c r="B464" s="9"/>
    </row>
    <row r="465" ht="12.75" customHeight="1">
      <c r="A465" s="9"/>
      <c r="B465" s="9"/>
    </row>
    <row r="466" ht="12.75" customHeight="1">
      <c r="A466" s="9"/>
      <c r="B466" s="9"/>
    </row>
    <row r="467" ht="12.75" customHeight="1">
      <c r="A467" s="9"/>
      <c r="B467" s="9"/>
    </row>
    <row r="468" ht="12.75" customHeight="1">
      <c r="A468" s="9"/>
      <c r="B468" s="9"/>
    </row>
    <row r="469" ht="12.75" customHeight="1">
      <c r="A469" s="9"/>
      <c r="B469" s="9"/>
    </row>
    <row r="470" ht="12.75" customHeight="1">
      <c r="A470" s="9"/>
      <c r="B470" s="9"/>
    </row>
    <row r="471" ht="12.75" customHeight="1">
      <c r="A471" s="9"/>
      <c r="B471" s="9"/>
    </row>
    <row r="472" ht="12.75" customHeight="1">
      <c r="A472" s="9"/>
      <c r="B472" s="9"/>
    </row>
    <row r="473" ht="12.75" customHeight="1">
      <c r="A473" s="9"/>
      <c r="B473" s="9"/>
    </row>
    <row r="474" ht="12.75" customHeight="1">
      <c r="A474" s="9"/>
      <c r="B474" s="9"/>
    </row>
    <row r="475" ht="12.75" customHeight="1">
      <c r="A475" s="9"/>
      <c r="B475" s="9"/>
    </row>
    <row r="476" ht="12.75" customHeight="1">
      <c r="A476" s="9"/>
      <c r="B476" s="9"/>
    </row>
    <row r="477" ht="12.75" customHeight="1">
      <c r="A477" s="9"/>
      <c r="B477" s="9"/>
    </row>
    <row r="478" ht="12.75" customHeight="1">
      <c r="A478" s="9"/>
      <c r="B478" s="9"/>
    </row>
    <row r="479" ht="12.75" customHeight="1">
      <c r="A479" s="9"/>
      <c r="B479" s="9"/>
    </row>
    <row r="480" ht="12.75" customHeight="1">
      <c r="A480" s="9"/>
      <c r="B480" s="9"/>
    </row>
    <row r="481" ht="12.75" customHeight="1">
      <c r="A481" s="9"/>
      <c r="B481" s="9"/>
    </row>
    <row r="482" ht="12.75" customHeight="1">
      <c r="A482" s="9"/>
      <c r="B482" s="9"/>
    </row>
    <row r="483" ht="12.75" customHeight="1">
      <c r="A483" s="9"/>
      <c r="B483" s="9"/>
    </row>
    <row r="484" ht="12.75" customHeight="1">
      <c r="A484" s="9"/>
      <c r="B484" s="9"/>
    </row>
    <row r="485" ht="12.75" customHeight="1">
      <c r="A485" s="9"/>
      <c r="B485" s="9"/>
    </row>
    <row r="486" ht="12.75" customHeight="1">
      <c r="A486" s="9"/>
      <c r="B486" s="9"/>
    </row>
    <row r="487" ht="12.75" customHeight="1">
      <c r="A487" s="9"/>
      <c r="B487" s="9"/>
    </row>
    <row r="488" ht="12.75" customHeight="1">
      <c r="A488" s="9"/>
      <c r="B488" s="9"/>
    </row>
    <row r="489" ht="12.75" customHeight="1">
      <c r="A489" s="9"/>
      <c r="B489" s="9"/>
    </row>
    <row r="490" ht="12.75" customHeight="1">
      <c r="A490" s="9"/>
      <c r="B490" s="9"/>
    </row>
    <row r="491" ht="12.75" customHeight="1">
      <c r="A491" s="9"/>
      <c r="B491" s="9"/>
    </row>
    <row r="492" ht="12.75" customHeight="1">
      <c r="A492" s="9"/>
      <c r="B492" s="9"/>
    </row>
    <row r="493" ht="12.75" customHeight="1">
      <c r="A493" s="9"/>
      <c r="B493" s="9"/>
    </row>
    <row r="494" ht="12.75" customHeight="1">
      <c r="A494" s="9"/>
      <c r="B494" s="9"/>
    </row>
    <row r="495" ht="12.75" customHeight="1">
      <c r="A495" s="9"/>
      <c r="B495" s="9"/>
    </row>
    <row r="496" ht="12.75" customHeight="1">
      <c r="A496" s="9"/>
      <c r="B496" s="9"/>
    </row>
    <row r="497" ht="12.75" customHeight="1">
      <c r="A497" s="9"/>
      <c r="B497" s="9"/>
    </row>
    <row r="498" ht="12.75" customHeight="1">
      <c r="A498" s="9"/>
      <c r="B498" s="9"/>
    </row>
    <row r="499" ht="12.75" customHeight="1">
      <c r="A499" s="9"/>
      <c r="B499" s="9"/>
    </row>
    <row r="500" ht="12.75" customHeight="1">
      <c r="A500" s="9"/>
      <c r="B500" s="9"/>
    </row>
    <row r="501" ht="12.75" customHeight="1">
      <c r="A501" s="9"/>
      <c r="B501" s="9"/>
    </row>
    <row r="502" ht="12.75" customHeight="1">
      <c r="A502" s="9"/>
      <c r="B502" s="9"/>
    </row>
    <row r="503" ht="12.75" customHeight="1">
      <c r="A503" s="9"/>
      <c r="B503" s="9"/>
    </row>
    <row r="504" ht="12.75" customHeight="1">
      <c r="A504" s="9"/>
      <c r="B504" s="9"/>
    </row>
    <row r="505" ht="12.75" customHeight="1">
      <c r="A505" s="9"/>
      <c r="B505" s="9"/>
    </row>
    <row r="506" ht="12.75" customHeight="1">
      <c r="A506" s="9"/>
      <c r="B506" s="9"/>
    </row>
    <row r="507" ht="12.75" customHeight="1">
      <c r="A507" s="9"/>
      <c r="B507" s="9"/>
    </row>
    <row r="508" ht="12.75" customHeight="1">
      <c r="A508" s="9"/>
      <c r="B508" s="9"/>
    </row>
    <row r="509" ht="12.75" customHeight="1">
      <c r="A509" s="9"/>
      <c r="B509" s="9"/>
    </row>
    <row r="510" ht="12.75" customHeight="1">
      <c r="A510" s="9"/>
      <c r="B510" s="9"/>
    </row>
    <row r="511" ht="12.75" customHeight="1">
      <c r="A511" s="9"/>
      <c r="B511" s="9"/>
    </row>
    <row r="512" ht="12.75" customHeight="1">
      <c r="A512" s="9"/>
      <c r="B512" s="9"/>
    </row>
    <row r="513" ht="12.75" customHeight="1">
      <c r="A513" s="9"/>
      <c r="B513" s="9"/>
    </row>
    <row r="514" ht="12.75" customHeight="1">
      <c r="A514" s="9"/>
      <c r="B514" s="9"/>
    </row>
    <row r="515" ht="12.75" customHeight="1">
      <c r="A515" s="9"/>
      <c r="B515" s="9"/>
    </row>
    <row r="516" ht="12.75" customHeight="1">
      <c r="A516" s="9"/>
      <c r="B516" s="9"/>
    </row>
    <row r="517" ht="12.75" customHeight="1">
      <c r="A517" s="9"/>
      <c r="B517" s="9"/>
    </row>
    <row r="518" ht="12.75" customHeight="1">
      <c r="A518" s="9"/>
      <c r="B518" s="9"/>
    </row>
    <row r="519" ht="12.75" customHeight="1">
      <c r="A519" s="9"/>
      <c r="B519" s="9"/>
    </row>
    <row r="520" ht="12.75" customHeight="1">
      <c r="A520" s="9"/>
      <c r="B520" s="9"/>
    </row>
    <row r="521" ht="12.75" customHeight="1">
      <c r="A521" s="9"/>
      <c r="B521" s="9"/>
    </row>
    <row r="522" ht="12.75" customHeight="1">
      <c r="A522" s="9"/>
      <c r="B522" s="9"/>
    </row>
    <row r="523" ht="12.75" customHeight="1">
      <c r="A523" s="9"/>
      <c r="B523" s="9"/>
    </row>
    <row r="524" ht="12.75" customHeight="1">
      <c r="A524" s="9"/>
      <c r="B524" s="9"/>
    </row>
    <row r="525" ht="12.75" customHeight="1">
      <c r="A525" s="9"/>
      <c r="B525" s="9"/>
    </row>
    <row r="526" ht="12.75" customHeight="1">
      <c r="A526" s="9"/>
      <c r="B526" s="9"/>
    </row>
    <row r="527" ht="12.75" customHeight="1">
      <c r="A527" s="9"/>
      <c r="B527" s="9"/>
    </row>
    <row r="528" ht="12.75" customHeight="1">
      <c r="A528" s="9"/>
      <c r="B528" s="9"/>
    </row>
    <row r="529" ht="12.75" customHeight="1">
      <c r="A529" s="9"/>
      <c r="B529" s="9"/>
    </row>
    <row r="530" ht="12.75" customHeight="1">
      <c r="A530" s="9"/>
      <c r="B530" s="9"/>
    </row>
    <row r="531" ht="12.75" customHeight="1">
      <c r="A531" s="9"/>
      <c r="B531" s="9"/>
    </row>
    <row r="532" ht="12.75" customHeight="1">
      <c r="A532" s="9"/>
      <c r="B532" s="9"/>
    </row>
    <row r="533" ht="12.75" customHeight="1">
      <c r="A533" s="9"/>
      <c r="B533" s="9"/>
    </row>
    <row r="534" ht="12.75" customHeight="1">
      <c r="A534" s="9"/>
      <c r="B534" s="9"/>
    </row>
    <row r="535" ht="12.75" customHeight="1">
      <c r="A535" s="9"/>
      <c r="B535" s="9"/>
    </row>
    <row r="536" ht="12.75" customHeight="1">
      <c r="A536" s="9"/>
      <c r="B536" s="9"/>
    </row>
    <row r="537" ht="12.75" customHeight="1">
      <c r="A537" s="9"/>
      <c r="B537" s="9"/>
    </row>
    <row r="538" ht="12.75" customHeight="1">
      <c r="A538" s="9"/>
      <c r="B538" s="9"/>
    </row>
    <row r="539" ht="12.75" customHeight="1">
      <c r="A539" s="9"/>
      <c r="B539" s="9"/>
    </row>
    <row r="540" ht="12.75" customHeight="1">
      <c r="A540" s="9"/>
      <c r="B540" s="9"/>
    </row>
    <row r="541" ht="12.75" customHeight="1">
      <c r="A541" s="9"/>
      <c r="B541" s="9"/>
    </row>
    <row r="542" ht="12.75" customHeight="1">
      <c r="A542" s="9"/>
      <c r="B542" s="9"/>
    </row>
    <row r="543" ht="12.75" customHeight="1">
      <c r="A543" s="9"/>
      <c r="B543" s="9"/>
    </row>
    <row r="544" ht="12.75" customHeight="1">
      <c r="A544" s="9"/>
      <c r="B544" s="9"/>
    </row>
    <row r="545" ht="12.75" customHeight="1">
      <c r="A545" s="9"/>
      <c r="B545" s="9"/>
    </row>
    <row r="546" ht="12.75" customHeight="1">
      <c r="A546" s="9"/>
      <c r="B546" s="9"/>
    </row>
    <row r="547" ht="12.75" customHeight="1">
      <c r="A547" s="9"/>
      <c r="B547" s="9"/>
    </row>
    <row r="548" ht="12.75" customHeight="1">
      <c r="A548" s="9"/>
      <c r="B548" s="9"/>
    </row>
    <row r="549" ht="12.75" customHeight="1">
      <c r="A549" s="9"/>
      <c r="B549" s="9"/>
    </row>
    <row r="550" ht="12.75" customHeight="1">
      <c r="A550" s="9"/>
      <c r="B550" s="9"/>
    </row>
    <row r="551" ht="12.75" customHeight="1">
      <c r="A551" s="9"/>
      <c r="B551" s="9"/>
    </row>
    <row r="552" ht="12.75" customHeight="1">
      <c r="A552" s="9"/>
      <c r="B552" s="9"/>
    </row>
    <row r="553" ht="12.75" customHeight="1">
      <c r="A553" s="9"/>
      <c r="B553" s="9"/>
    </row>
    <row r="554" ht="12.75" customHeight="1">
      <c r="A554" s="9"/>
      <c r="B554" s="9"/>
    </row>
    <row r="555" ht="12.75" customHeight="1">
      <c r="A555" s="9"/>
      <c r="B555" s="9"/>
    </row>
    <row r="556" ht="12.75" customHeight="1">
      <c r="A556" s="9"/>
      <c r="B556" s="9"/>
    </row>
    <row r="557" ht="12.75" customHeight="1">
      <c r="A557" s="9"/>
      <c r="B557" s="9"/>
    </row>
    <row r="558" ht="12.75" customHeight="1">
      <c r="A558" s="9"/>
      <c r="B558" s="9"/>
    </row>
    <row r="559" ht="12.75" customHeight="1">
      <c r="A559" s="9"/>
      <c r="B559" s="9"/>
    </row>
    <row r="560" ht="12.75" customHeight="1">
      <c r="A560" s="9"/>
      <c r="B560" s="9"/>
    </row>
    <row r="561" ht="12.75" customHeight="1">
      <c r="A561" s="9"/>
      <c r="B561" s="9"/>
    </row>
    <row r="562" ht="12.75" customHeight="1">
      <c r="A562" s="9"/>
      <c r="B562" s="9"/>
    </row>
    <row r="563" ht="12.75" customHeight="1">
      <c r="A563" s="9"/>
      <c r="B563" s="9"/>
    </row>
    <row r="564" ht="12.75" customHeight="1">
      <c r="A564" s="9"/>
      <c r="B564" s="9"/>
    </row>
    <row r="565" ht="12.75" customHeight="1">
      <c r="A565" s="9"/>
      <c r="B565" s="9"/>
    </row>
    <row r="566" ht="12.75" customHeight="1">
      <c r="A566" s="9"/>
      <c r="B566" s="9"/>
    </row>
    <row r="567" ht="12.75" customHeight="1">
      <c r="A567" s="9"/>
      <c r="B567" s="9"/>
    </row>
    <row r="568" ht="12.75" customHeight="1">
      <c r="A568" s="9"/>
      <c r="B568" s="9"/>
    </row>
    <row r="569" ht="12.75" customHeight="1">
      <c r="A569" s="9"/>
      <c r="B569" s="9"/>
    </row>
    <row r="570" ht="12.75" customHeight="1">
      <c r="A570" s="9"/>
      <c r="B570" s="9"/>
    </row>
    <row r="571" ht="12.75" customHeight="1">
      <c r="A571" s="9"/>
      <c r="B571" s="9"/>
    </row>
    <row r="572" ht="12.75" customHeight="1">
      <c r="A572" s="9"/>
      <c r="B572" s="9"/>
    </row>
    <row r="573" ht="12.75" customHeight="1">
      <c r="A573" s="9"/>
      <c r="B573" s="9"/>
    </row>
    <row r="574" ht="12.75" customHeight="1">
      <c r="A574" s="9"/>
      <c r="B574" s="9"/>
    </row>
    <row r="575" ht="12.75" customHeight="1">
      <c r="A575" s="9"/>
      <c r="B575" s="9"/>
    </row>
    <row r="576" ht="12.75" customHeight="1">
      <c r="A576" s="9"/>
      <c r="B576" s="9"/>
    </row>
    <row r="577" ht="12.75" customHeight="1">
      <c r="A577" s="9"/>
      <c r="B577" s="9"/>
    </row>
    <row r="578" ht="12.75" customHeight="1">
      <c r="A578" s="9"/>
      <c r="B578" s="9"/>
    </row>
    <row r="579" ht="12.75" customHeight="1">
      <c r="A579" s="9"/>
      <c r="B579" s="9"/>
    </row>
    <row r="580" ht="12.75" customHeight="1">
      <c r="A580" s="9"/>
      <c r="B580" s="9"/>
    </row>
    <row r="581" ht="12.75" customHeight="1">
      <c r="A581" s="9"/>
      <c r="B581" s="9"/>
    </row>
    <row r="582" ht="12.75" customHeight="1">
      <c r="A582" s="9"/>
      <c r="B582" s="9"/>
    </row>
    <row r="583" ht="12.75" customHeight="1">
      <c r="A583" s="9"/>
      <c r="B583" s="9"/>
    </row>
    <row r="584" ht="12.75" customHeight="1">
      <c r="A584" s="9"/>
      <c r="B584" s="9"/>
    </row>
    <row r="585" ht="12.75" customHeight="1">
      <c r="A585" s="9"/>
      <c r="B585" s="9"/>
    </row>
    <row r="586" ht="12.75" customHeight="1">
      <c r="A586" s="9"/>
      <c r="B586" s="9"/>
    </row>
    <row r="587" ht="12.75" customHeight="1">
      <c r="A587" s="9"/>
      <c r="B587" s="9"/>
    </row>
    <row r="588" ht="12.75" customHeight="1">
      <c r="A588" s="9"/>
      <c r="B588" s="9"/>
    </row>
    <row r="589" ht="12.75" customHeight="1">
      <c r="A589" s="9"/>
      <c r="B589" s="9"/>
    </row>
    <row r="590" ht="12.75" customHeight="1">
      <c r="A590" s="9"/>
      <c r="B590" s="9"/>
    </row>
    <row r="591" ht="12.75" customHeight="1">
      <c r="A591" s="9"/>
      <c r="B591" s="9"/>
    </row>
    <row r="592" ht="12.75" customHeight="1">
      <c r="A592" s="9"/>
      <c r="B592" s="9"/>
    </row>
    <row r="593" ht="12.75" customHeight="1">
      <c r="A593" s="9"/>
      <c r="B593" s="9"/>
    </row>
    <row r="594" ht="12.75" customHeight="1">
      <c r="A594" s="9"/>
      <c r="B594" s="9"/>
    </row>
    <row r="595" ht="12.75" customHeight="1">
      <c r="A595" s="9"/>
      <c r="B595" s="9"/>
    </row>
    <row r="596" ht="12.75" customHeight="1">
      <c r="A596" s="9"/>
      <c r="B596" s="9"/>
    </row>
    <row r="597" ht="12.75" customHeight="1">
      <c r="A597" s="9"/>
      <c r="B597" s="9"/>
    </row>
    <row r="598" ht="12.75" customHeight="1">
      <c r="A598" s="9"/>
      <c r="B598" s="9"/>
    </row>
    <row r="599" ht="12.75" customHeight="1">
      <c r="A599" s="9"/>
      <c r="B599" s="9"/>
    </row>
    <row r="600" ht="12.75" customHeight="1">
      <c r="A600" s="9"/>
      <c r="B600" s="9"/>
    </row>
    <row r="601" ht="12.75" customHeight="1">
      <c r="A601" s="9"/>
      <c r="B601" s="9"/>
    </row>
    <row r="602" ht="12.75" customHeight="1">
      <c r="A602" s="9"/>
      <c r="B602" s="9"/>
    </row>
    <row r="603" ht="12.75" customHeight="1">
      <c r="A603" s="9"/>
      <c r="B603" s="9"/>
    </row>
    <row r="604" ht="12.75" customHeight="1">
      <c r="A604" s="9"/>
      <c r="B604" s="9"/>
    </row>
    <row r="605" ht="12.75" customHeight="1">
      <c r="A605" s="9"/>
      <c r="B605" s="9"/>
    </row>
    <row r="606" ht="12.75" customHeight="1">
      <c r="A606" s="9"/>
      <c r="B606" s="9"/>
    </row>
    <row r="607" ht="12.75" customHeight="1">
      <c r="A607" s="9"/>
      <c r="B607" s="9"/>
    </row>
    <row r="608" ht="12.75" customHeight="1">
      <c r="A608" s="9"/>
      <c r="B608" s="9"/>
    </row>
    <row r="609" ht="12.75" customHeight="1">
      <c r="A609" s="9"/>
      <c r="B609" s="9"/>
    </row>
    <row r="610" ht="12.75" customHeight="1">
      <c r="A610" s="9"/>
      <c r="B610" s="9"/>
    </row>
    <row r="611" ht="12.75" customHeight="1">
      <c r="A611" s="9"/>
      <c r="B611" s="9"/>
    </row>
    <row r="612" ht="12.75" customHeight="1">
      <c r="A612" s="9"/>
      <c r="B612" s="9"/>
    </row>
    <row r="613" ht="12.75" customHeight="1">
      <c r="A613" s="9"/>
      <c r="B613" s="9"/>
    </row>
    <row r="614" ht="12.75" customHeight="1">
      <c r="A614" s="9"/>
      <c r="B614" s="9"/>
    </row>
    <row r="615" ht="12.75" customHeight="1">
      <c r="A615" s="9"/>
      <c r="B615" s="9"/>
    </row>
    <row r="616" ht="12.75" customHeight="1">
      <c r="A616" s="9"/>
      <c r="B616" s="9"/>
    </row>
    <row r="617" ht="12.75" customHeight="1">
      <c r="A617" s="9"/>
      <c r="B617" s="9"/>
    </row>
    <row r="618" ht="12.75" customHeight="1">
      <c r="A618" s="9"/>
      <c r="B618" s="9"/>
    </row>
    <row r="619" ht="12.75" customHeight="1">
      <c r="A619" s="9"/>
      <c r="B619" s="9"/>
    </row>
    <row r="620" ht="12.75" customHeight="1">
      <c r="A620" s="9"/>
      <c r="B620" s="9"/>
    </row>
    <row r="621" ht="12.75" customHeight="1">
      <c r="A621" s="9"/>
      <c r="B621" s="9"/>
    </row>
    <row r="622" ht="12.75" customHeight="1">
      <c r="A622" s="9"/>
      <c r="B622" s="9"/>
    </row>
    <row r="623" ht="12.75" customHeight="1">
      <c r="A623" s="9"/>
      <c r="B623" s="9"/>
    </row>
    <row r="624" ht="12.75" customHeight="1">
      <c r="A624" s="9"/>
      <c r="B624" s="9"/>
    </row>
    <row r="625" ht="12.75" customHeight="1">
      <c r="A625" s="9"/>
      <c r="B625" s="9"/>
    </row>
    <row r="626" ht="12.75" customHeight="1">
      <c r="A626" s="9"/>
      <c r="B626" s="9"/>
    </row>
    <row r="627" ht="12.75" customHeight="1">
      <c r="A627" s="9"/>
      <c r="B627" s="9"/>
    </row>
    <row r="628" ht="12.75" customHeight="1">
      <c r="A628" s="9"/>
      <c r="B628" s="9"/>
    </row>
    <row r="629" ht="12.75" customHeight="1">
      <c r="A629" s="9"/>
      <c r="B629" s="9"/>
    </row>
    <row r="630" ht="12.75" customHeight="1">
      <c r="A630" s="9"/>
      <c r="B630" s="9"/>
    </row>
    <row r="631" ht="12.75" customHeight="1">
      <c r="A631" s="9"/>
      <c r="B631" s="9"/>
    </row>
    <row r="632" ht="12.75" customHeight="1">
      <c r="A632" s="9"/>
      <c r="B632" s="9"/>
    </row>
    <row r="633" ht="12.75" customHeight="1">
      <c r="A633" s="9"/>
      <c r="B633" s="9"/>
    </row>
    <row r="634" ht="12.75" customHeight="1">
      <c r="A634" s="9"/>
      <c r="B634" s="9"/>
    </row>
    <row r="635" ht="12.75" customHeight="1">
      <c r="A635" s="9"/>
      <c r="B635" s="9"/>
    </row>
    <row r="636" ht="12.75" customHeight="1">
      <c r="A636" s="9"/>
      <c r="B636" s="9"/>
    </row>
    <row r="637" ht="12.75" customHeight="1">
      <c r="A637" s="9"/>
      <c r="B637" s="9"/>
    </row>
    <row r="638" ht="12.75" customHeight="1">
      <c r="A638" s="9"/>
      <c r="B638" s="9"/>
    </row>
    <row r="639" ht="12.75" customHeight="1">
      <c r="A639" s="9"/>
      <c r="B639" s="9"/>
    </row>
    <row r="640" ht="12.75" customHeight="1">
      <c r="A640" s="9"/>
      <c r="B640" s="9"/>
    </row>
    <row r="641" ht="12.75" customHeight="1">
      <c r="A641" s="9"/>
      <c r="B641" s="9"/>
    </row>
    <row r="642" ht="12.75" customHeight="1">
      <c r="A642" s="9"/>
      <c r="B642" s="9"/>
    </row>
    <row r="643" ht="12.75" customHeight="1">
      <c r="A643" s="9"/>
      <c r="B643" s="9"/>
    </row>
    <row r="644" ht="12.75" customHeight="1">
      <c r="A644" s="9"/>
      <c r="B644" s="9"/>
    </row>
    <row r="645" ht="12.75" customHeight="1">
      <c r="A645" s="9"/>
      <c r="B645" s="9"/>
    </row>
    <row r="646" ht="12.75" customHeight="1">
      <c r="A646" s="9"/>
      <c r="B646" s="9"/>
    </row>
    <row r="647" ht="12.75" customHeight="1">
      <c r="A647" s="9"/>
      <c r="B647" s="9"/>
    </row>
    <row r="648" ht="12.75" customHeight="1">
      <c r="A648" s="9"/>
      <c r="B648" s="9"/>
    </row>
    <row r="649" ht="12.75" customHeight="1">
      <c r="A649" s="9"/>
      <c r="B649" s="9"/>
    </row>
    <row r="650" ht="12.75" customHeight="1">
      <c r="A650" s="9"/>
      <c r="B650" s="9"/>
    </row>
    <row r="651" ht="12.75" customHeight="1">
      <c r="A651" s="9"/>
      <c r="B651" s="9"/>
    </row>
    <row r="652" ht="12.75" customHeight="1">
      <c r="A652" s="9"/>
      <c r="B652" s="9"/>
    </row>
    <row r="653" ht="12.75" customHeight="1">
      <c r="A653" s="9"/>
      <c r="B653" s="9"/>
    </row>
    <row r="654" ht="12.75" customHeight="1">
      <c r="A654" s="9"/>
      <c r="B654" s="9"/>
    </row>
    <row r="655" ht="12.75" customHeight="1">
      <c r="A655" s="9"/>
      <c r="B655" s="9"/>
    </row>
    <row r="656" ht="12.75" customHeight="1">
      <c r="A656" s="9"/>
      <c r="B656" s="9"/>
    </row>
    <row r="657" ht="12.75" customHeight="1">
      <c r="A657" s="9"/>
      <c r="B657" s="9"/>
    </row>
    <row r="658" ht="12.75" customHeight="1">
      <c r="A658" s="9"/>
      <c r="B658" s="9"/>
    </row>
    <row r="659" ht="12.75" customHeight="1">
      <c r="A659" s="9"/>
      <c r="B659" s="9"/>
    </row>
    <row r="660" ht="12.75" customHeight="1">
      <c r="A660" s="9"/>
      <c r="B660" s="9"/>
    </row>
    <row r="661" ht="12.75" customHeight="1">
      <c r="A661" s="9"/>
      <c r="B661" s="9"/>
    </row>
    <row r="662" ht="12.75" customHeight="1">
      <c r="A662" s="9"/>
      <c r="B662" s="9"/>
    </row>
    <row r="663" ht="12.75" customHeight="1">
      <c r="A663" s="9"/>
      <c r="B663" s="9"/>
    </row>
    <row r="664" ht="12.75" customHeight="1">
      <c r="A664" s="9"/>
      <c r="B664" s="9"/>
    </row>
    <row r="665" ht="12.75" customHeight="1">
      <c r="A665" s="9"/>
      <c r="B665" s="9"/>
    </row>
    <row r="666" ht="12.75" customHeight="1">
      <c r="A666" s="9"/>
      <c r="B666" s="9"/>
    </row>
    <row r="667" ht="12.75" customHeight="1">
      <c r="A667" s="9"/>
      <c r="B667" s="9"/>
    </row>
    <row r="668" ht="12.75" customHeight="1">
      <c r="A668" s="9"/>
      <c r="B668" s="9"/>
    </row>
    <row r="669" ht="12.75" customHeight="1">
      <c r="A669" s="9"/>
      <c r="B669" s="9"/>
    </row>
    <row r="670" ht="12.75" customHeight="1">
      <c r="A670" s="9"/>
      <c r="B670" s="9"/>
    </row>
    <row r="671" ht="12.75" customHeight="1">
      <c r="A671" s="9"/>
      <c r="B671" s="9"/>
    </row>
    <row r="672" ht="12.75" customHeight="1">
      <c r="A672" s="9"/>
      <c r="B672" s="9"/>
    </row>
    <row r="673" ht="12.75" customHeight="1">
      <c r="A673" s="9"/>
      <c r="B673" s="9"/>
    </row>
    <row r="674" ht="12.75" customHeight="1">
      <c r="A674" s="9"/>
      <c r="B674" s="9"/>
    </row>
    <row r="675" ht="12.75" customHeight="1">
      <c r="A675" s="9"/>
      <c r="B675" s="9"/>
    </row>
    <row r="676" ht="12.75" customHeight="1">
      <c r="A676" s="9"/>
      <c r="B676" s="9"/>
    </row>
    <row r="677" ht="12.75" customHeight="1">
      <c r="A677" s="9"/>
      <c r="B677" s="9"/>
    </row>
    <row r="678" ht="12.75" customHeight="1">
      <c r="A678" s="9"/>
      <c r="B678" s="9"/>
    </row>
    <row r="679" ht="12.75" customHeight="1">
      <c r="A679" s="9"/>
      <c r="B679" s="9"/>
    </row>
    <row r="680" ht="12.75" customHeight="1">
      <c r="A680" s="9"/>
      <c r="B680" s="9"/>
    </row>
    <row r="681" ht="12.75" customHeight="1">
      <c r="A681" s="9"/>
      <c r="B681" s="9"/>
    </row>
    <row r="682" ht="12.75" customHeight="1">
      <c r="A682" s="9"/>
      <c r="B682" s="9"/>
    </row>
    <row r="683" ht="12.75" customHeight="1">
      <c r="A683" s="9"/>
      <c r="B683" s="9"/>
    </row>
    <row r="684" ht="12.75" customHeight="1">
      <c r="A684" s="9"/>
      <c r="B684" s="9"/>
    </row>
    <row r="685" ht="12.75" customHeight="1">
      <c r="A685" s="9"/>
      <c r="B685" s="9"/>
    </row>
    <row r="686" ht="12.75" customHeight="1">
      <c r="A686" s="9"/>
      <c r="B686" s="9"/>
    </row>
    <row r="687" ht="12.75" customHeight="1">
      <c r="A687" s="9"/>
      <c r="B687" s="9"/>
    </row>
    <row r="688" ht="12.75" customHeight="1">
      <c r="A688" s="9"/>
      <c r="B688" s="9"/>
    </row>
    <row r="689" ht="12.75" customHeight="1">
      <c r="A689" s="9"/>
      <c r="B689" s="9"/>
    </row>
    <row r="690" ht="12.75" customHeight="1">
      <c r="A690" s="9"/>
      <c r="B690" s="9"/>
    </row>
    <row r="691" ht="12.75" customHeight="1">
      <c r="A691" s="9"/>
      <c r="B691" s="9"/>
    </row>
    <row r="692" ht="12.75" customHeight="1">
      <c r="A692" s="9"/>
      <c r="B692" s="9"/>
    </row>
    <row r="693" ht="12.75" customHeight="1">
      <c r="A693" s="9"/>
      <c r="B693" s="9"/>
    </row>
    <row r="694" ht="12.75" customHeight="1">
      <c r="A694" s="9"/>
      <c r="B694" s="9"/>
    </row>
    <row r="695" ht="12.75" customHeight="1">
      <c r="A695" s="9"/>
      <c r="B695" s="9"/>
    </row>
    <row r="696" ht="12.75" customHeight="1">
      <c r="A696" s="9"/>
      <c r="B696" s="9"/>
    </row>
    <row r="697" ht="12.75" customHeight="1">
      <c r="A697" s="9"/>
      <c r="B697" s="9"/>
    </row>
    <row r="698" ht="12.75" customHeight="1">
      <c r="A698" s="9"/>
      <c r="B698" s="9"/>
    </row>
    <row r="699" ht="12.75" customHeight="1">
      <c r="A699" s="9"/>
      <c r="B699" s="9"/>
    </row>
    <row r="700" ht="12.75" customHeight="1">
      <c r="A700" s="9"/>
      <c r="B700" s="9"/>
    </row>
    <row r="701" ht="12.75" customHeight="1">
      <c r="A701" s="9"/>
      <c r="B701" s="9"/>
    </row>
    <row r="702" ht="12.75" customHeight="1">
      <c r="A702" s="9"/>
      <c r="B702" s="9"/>
    </row>
    <row r="703" ht="12.75" customHeight="1">
      <c r="A703" s="9"/>
      <c r="B703" s="9"/>
    </row>
    <row r="704" ht="12.75" customHeight="1">
      <c r="A704" s="9"/>
      <c r="B704" s="9"/>
    </row>
    <row r="705" ht="12.75" customHeight="1">
      <c r="A705" s="9"/>
      <c r="B705" s="9"/>
    </row>
    <row r="706" ht="12.75" customHeight="1">
      <c r="A706" s="9"/>
      <c r="B706" s="9"/>
    </row>
    <row r="707" ht="12.75" customHeight="1">
      <c r="A707" s="9"/>
      <c r="B707" s="9"/>
    </row>
    <row r="708" ht="12.75" customHeight="1">
      <c r="A708" s="9"/>
      <c r="B708" s="9"/>
    </row>
    <row r="709" ht="12.75" customHeight="1">
      <c r="A709" s="9"/>
      <c r="B709" s="9"/>
    </row>
    <row r="710" ht="12.75" customHeight="1">
      <c r="A710" s="9"/>
      <c r="B710" s="9"/>
    </row>
    <row r="711" ht="12.75" customHeight="1">
      <c r="A711" s="9"/>
      <c r="B711" s="9"/>
    </row>
    <row r="712" ht="12.75" customHeight="1">
      <c r="A712" s="9"/>
      <c r="B712" s="9"/>
    </row>
    <row r="713" ht="12.75" customHeight="1">
      <c r="A713" s="9"/>
      <c r="B713" s="9"/>
    </row>
    <row r="714" ht="12.75" customHeight="1">
      <c r="A714" s="9"/>
      <c r="B714" s="9"/>
    </row>
    <row r="715" ht="12.75" customHeight="1">
      <c r="A715" s="9"/>
      <c r="B715" s="9"/>
    </row>
    <row r="716" ht="12.75" customHeight="1">
      <c r="A716" s="9"/>
      <c r="B716" s="9"/>
    </row>
    <row r="717" ht="12.75" customHeight="1">
      <c r="A717" s="9"/>
      <c r="B717" s="9"/>
    </row>
    <row r="718" ht="12.75" customHeight="1">
      <c r="A718" s="9"/>
      <c r="B718" s="9"/>
    </row>
    <row r="719" ht="12.75" customHeight="1">
      <c r="A719" s="9"/>
      <c r="B719" s="9"/>
    </row>
    <row r="720" ht="12.75" customHeight="1">
      <c r="A720" s="9"/>
      <c r="B720" s="9"/>
    </row>
    <row r="721" ht="12.75" customHeight="1">
      <c r="A721" s="9"/>
      <c r="B721" s="9"/>
    </row>
    <row r="722" ht="12.75" customHeight="1">
      <c r="A722" s="9"/>
      <c r="B722" s="9"/>
    </row>
    <row r="723" ht="12.75" customHeight="1">
      <c r="A723" s="9"/>
      <c r="B723" s="9"/>
    </row>
    <row r="724" ht="12.75" customHeight="1">
      <c r="A724" s="9"/>
      <c r="B724" s="9"/>
    </row>
    <row r="725" ht="12.75" customHeight="1">
      <c r="A725" s="9"/>
      <c r="B725" s="9"/>
    </row>
    <row r="726" ht="12.75" customHeight="1">
      <c r="A726" s="9"/>
      <c r="B726" s="9"/>
    </row>
    <row r="727" ht="12.75" customHeight="1">
      <c r="A727" s="9"/>
      <c r="B727" s="9"/>
    </row>
    <row r="728" ht="12.75" customHeight="1">
      <c r="A728" s="9"/>
      <c r="B728" s="9"/>
    </row>
    <row r="729" ht="12.75" customHeight="1">
      <c r="A729" s="9"/>
      <c r="B729" s="9"/>
    </row>
    <row r="730" ht="12.75" customHeight="1">
      <c r="A730" s="9"/>
      <c r="B730" s="9"/>
    </row>
    <row r="731" ht="12.75" customHeight="1">
      <c r="A731" s="9"/>
      <c r="B731" s="9"/>
    </row>
    <row r="732" ht="12.75" customHeight="1">
      <c r="A732" s="9"/>
      <c r="B732" s="9"/>
    </row>
    <row r="733" ht="12.75" customHeight="1">
      <c r="A733" s="9"/>
      <c r="B733" s="9"/>
    </row>
    <row r="734" ht="12.75" customHeight="1">
      <c r="A734" s="9"/>
      <c r="B734" s="9"/>
    </row>
    <row r="735" ht="12.75" customHeight="1">
      <c r="A735" s="9"/>
      <c r="B735" s="9"/>
    </row>
    <row r="736" ht="12.75" customHeight="1">
      <c r="A736" s="9"/>
      <c r="B736" s="9"/>
    </row>
    <row r="737" ht="12.75" customHeight="1">
      <c r="A737" s="9"/>
      <c r="B737" s="9"/>
    </row>
    <row r="738" ht="12.75" customHeight="1">
      <c r="A738" s="9"/>
      <c r="B738" s="9"/>
    </row>
    <row r="739" ht="12.75" customHeight="1">
      <c r="A739" s="9"/>
      <c r="B739" s="9"/>
    </row>
    <row r="740" ht="12.75" customHeight="1">
      <c r="A740" s="9"/>
      <c r="B740" s="9"/>
    </row>
    <row r="741" ht="12.75" customHeight="1">
      <c r="A741" s="9"/>
      <c r="B741" s="9"/>
    </row>
    <row r="742" ht="12.75" customHeight="1">
      <c r="A742" s="9"/>
      <c r="B742" s="9"/>
    </row>
    <row r="743" ht="12.75" customHeight="1">
      <c r="A743" s="9"/>
      <c r="B743" s="9"/>
    </row>
    <row r="744" ht="12.75" customHeight="1">
      <c r="A744" s="9"/>
      <c r="B744" s="9"/>
    </row>
    <row r="745" ht="12.75" customHeight="1">
      <c r="A745" s="9"/>
      <c r="B745" s="9"/>
    </row>
    <row r="746" ht="12.75" customHeight="1">
      <c r="A746" s="9"/>
      <c r="B746" s="9"/>
    </row>
    <row r="747" ht="12.75" customHeight="1">
      <c r="A747" s="9"/>
      <c r="B747" s="9"/>
    </row>
    <row r="748" ht="12.75" customHeight="1">
      <c r="A748" s="9"/>
      <c r="B748" s="9"/>
    </row>
    <row r="749" ht="12.75" customHeight="1">
      <c r="A749" s="9"/>
      <c r="B749" s="9"/>
    </row>
    <row r="750" ht="12.75" customHeight="1">
      <c r="A750" s="9"/>
      <c r="B750" s="9"/>
    </row>
    <row r="751" ht="12.75" customHeight="1">
      <c r="A751" s="9"/>
      <c r="B751" s="9"/>
    </row>
    <row r="752" ht="12.75" customHeight="1">
      <c r="A752" s="9"/>
      <c r="B752" s="9"/>
    </row>
    <row r="753" ht="12.75" customHeight="1">
      <c r="A753" s="9"/>
      <c r="B753" s="9"/>
    </row>
    <row r="754" ht="12.75" customHeight="1">
      <c r="A754" s="9"/>
      <c r="B754" s="9"/>
    </row>
    <row r="755" ht="12.75" customHeight="1">
      <c r="A755" s="9"/>
      <c r="B755" s="9"/>
    </row>
    <row r="756" ht="12.75" customHeight="1">
      <c r="A756" s="9"/>
      <c r="B756" s="9"/>
    </row>
    <row r="757" ht="12.75" customHeight="1">
      <c r="A757" s="9"/>
      <c r="B757" s="9"/>
    </row>
    <row r="758" ht="12.75" customHeight="1">
      <c r="A758" s="9"/>
      <c r="B758" s="9"/>
    </row>
    <row r="759" ht="12.75" customHeight="1">
      <c r="A759" s="9"/>
      <c r="B759" s="9"/>
    </row>
    <row r="760" ht="12.75" customHeight="1">
      <c r="A760" s="9"/>
      <c r="B760" s="9"/>
    </row>
    <row r="761" ht="12.75" customHeight="1">
      <c r="A761" s="9"/>
      <c r="B761" s="9"/>
    </row>
    <row r="762" ht="12.75" customHeight="1">
      <c r="A762" s="9"/>
      <c r="B762" s="9"/>
    </row>
    <row r="763" ht="12.75" customHeight="1">
      <c r="A763" s="9"/>
      <c r="B763" s="9"/>
    </row>
    <row r="764" ht="12.75" customHeight="1">
      <c r="A764" s="9"/>
      <c r="B764" s="9"/>
    </row>
    <row r="765" ht="12.75" customHeight="1">
      <c r="A765" s="9"/>
      <c r="B765" s="9"/>
    </row>
    <row r="766" ht="12.75" customHeight="1">
      <c r="A766" s="9"/>
      <c r="B766" s="9"/>
    </row>
    <row r="767" ht="12.75" customHeight="1">
      <c r="A767" s="9"/>
      <c r="B767" s="9"/>
    </row>
    <row r="768" ht="12.75" customHeight="1">
      <c r="A768" s="9"/>
      <c r="B768" s="9"/>
    </row>
    <row r="769" ht="12.75" customHeight="1">
      <c r="A769" s="9"/>
      <c r="B769" s="9"/>
    </row>
    <row r="770" ht="12.75" customHeight="1">
      <c r="A770" s="9"/>
      <c r="B770" s="9"/>
    </row>
    <row r="771" ht="12.75" customHeight="1">
      <c r="A771" s="9"/>
      <c r="B771" s="9"/>
    </row>
    <row r="772" ht="12.75" customHeight="1">
      <c r="A772" s="9"/>
      <c r="B772" s="9"/>
    </row>
    <row r="773" ht="12.75" customHeight="1">
      <c r="A773" s="9"/>
      <c r="B773" s="9"/>
    </row>
    <row r="774" ht="12.75" customHeight="1">
      <c r="A774" s="9"/>
      <c r="B774" s="9"/>
    </row>
    <row r="775" ht="12.75" customHeight="1">
      <c r="A775" s="9"/>
      <c r="B775" s="9"/>
    </row>
    <row r="776" ht="12.75" customHeight="1">
      <c r="A776" s="9"/>
      <c r="B776" s="9"/>
    </row>
    <row r="777" ht="12.75" customHeight="1">
      <c r="A777" s="9"/>
      <c r="B777" s="9"/>
    </row>
    <row r="778" ht="12.75" customHeight="1">
      <c r="A778" s="9"/>
      <c r="B778" s="9"/>
    </row>
    <row r="779" ht="12.75" customHeight="1">
      <c r="A779" s="9"/>
      <c r="B779" s="9"/>
    </row>
    <row r="780" ht="12.75" customHeight="1">
      <c r="A780" s="9"/>
      <c r="B780" s="9"/>
    </row>
    <row r="781" ht="12.75" customHeight="1">
      <c r="A781" s="9"/>
      <c r="B781" s="9"/>
    </row>
    <row r="782" ht="12.75" customHeight="1">
      <c r="A782" s="9"/>
      <c r="B782" s="9"/>
    </row>
    <row r="783" ht="12.75" customHeight="1">
      <c r="A783" s="9"/>
      <c r="B783" s="9"/>
    </row>
    <row r="784" ht="12.75" customHeight="1">
      <c r="A784" s="9"/>
      <c r="B784" s="9"/>
    </row>
    <row r="785" ht="12.75" customHeight="1">
      <c r="A785" s="9"/>
      <c r="B785" s="9"/>
    </row>
    <row r="786" ht="12.75" customHeight="1">
      <c r="A786" s="9"/>
      <c r="B786" s="9"/>
    </row>
    <row r="787" ht="12.75" customHeight="1">
      <c r="A787" s="9"/>
      <c r="B787" s="9"/>
    </row>
    <row r="788" ht="12.75" customHeight="1">
      <c r="A788" s="9"/>
      <c r="B788" s="9"/>
    </row>
    <row r="789" ht="12.75" customHeight="1">
      <c r="A789" s="9"/>
      <c r="B789" s="9"/>
    </row>
    <row r="790" ht="12.75" customHeight="1">
      <c r="A790" s="9"/>
      <c r="B790" s="9"/>
    </row>
    <row r="791" ht="12.75" customHeight="1">
      <c r="A791" s="9"/>
      <c r="B791" s="9"/>
    </row>
    <row r="792" ht="12.75" customHeight="1">
      <c r="A792" s="9"/>
      <c r="B792" s="9"/>
    </row>
    <row r="793" ht="12.75" customHeight="1">
      <c r="A793" s="9"/>
      <c r="B793" s="9"/>
    </row>
    <row r="794" ht="12.75" customHeight="1">
      <c r="A794" s="9"/>
      <c r="B794" s="9"/>
    </row>
    <row r="795" ht="12.75" customHeight="1">
      <c r="A795" s="9"/>
      <c r="B795" s="9"/>
    </row>
    <row r="796" ht="12.75" customHeight="1">
      <c r="A796" s="9"/>
      <c r="B796" s="9"/>
    </row>
    <row r="797" ht="12.75" customHeight="1">
      <c r="A797" s="9"/>
      <c r="B797" s="9"/>
    </row>
    <row r="798" ht="12.75" customHeight="1">
      <c r="A798" s="9"/>
      <c r="B798" s="9"/>
    </row>
    <row r="799" ht="12.75" customHeight="1">
      <c r="A799" s="9"/>
      <c r="B799" s="9"/>
    </row>
    <row r="800" ht="12.75" customHeight="1">
      <c r="A800" s="9"/>
      <c r="B800" s="9"/>
    </row>
    <row r="801" ht="12.75" customHeight="1">
      <c r="A801" s="9"/>
      <c r="B801" s="9"/>
    </row>
    <row r="802" ht="12.75" customHeight="1">
      <c r="A802" s="9"/>
      <c r="B802" s="9"/>
    </row>
    <row r="803" ht="12.75" customHeight="1">
      <c r="A803" s="9"/>
      <c r="B803" s="9"/>
    </row>
    <row r="804" ht="12.75" customHeight="1">
      <c r="A804" s="9"/>
      <c r="B804" s="9"/>
    </row>
    <row r="805" ht="12.75" customHeight="1">
      <c r="A805" s="9"/>
      <c r="B805" s="9"/>
    </row>
    <row r="806" ht="12.75" customHeight="1">
      <c r="A806" s="9"/>
      <c r="B806" s="9"/>
    </row>
    <row r="807" ht="12.75" customHeight="1">
      <c r="A807" s="9"/>
      <c r="B807" s="9"/>
    </row>
    <row r="808" ht="12.75" customHeight="1">
      <c r="A808" s="9"/>
      <c r="B808" s="9"/>
    </row>
    <row r="809" ht="12.75" customHeight="1">
      <c r="A809" s="9"/>
      <c r="B809" s="9"/>
    </row>
    <row r="810" ht="12.75" customHeight="1">
      <c r="A810" s="9"/>
      <c r="B810" s="9"/>
    </row>
    <row r="811" ht="12.75" customHeight="1">
      <c r="A811" s="9"/>
      <c r="B811" s="9"/>
    </row>
    <row r="812" ht="12.75" customHeight="1">
      <c r="A812" s="9"/>
      <c r="B812" s="9"/>
    </row>
    <row r="813" ht="12.75" customHeight="1">
      <c r="A813" s="9"/>
      <c r="B813" s="9"/>
    </row>
    <row r="814" ht="12.75" customHeight="1">
      <c r="A814" s="9"/>
      <c r="B814" s="9"/>
    </row>
    <row r="815" ht="12.75" customHeight="1">
      <c r="A815" s="9"/>
      <c r="B815" s="9"/>
    </row>
    <row r="816" ht="12.75" customHeight="1">
      <c r="A816" s="9"/>
      <c r="B816" s="9"/>
    </row>
    <row r="817" ht="12.75" customHeight="1">
      <c r="A817" s="9"/>
      <c r="B817" s="9"/>
    </row>
    <row r="818" ht="12.75" customHeight="1">
      <c r="A818" s="9"/>
      <c r="B818" s="9"/>
    </row>
    <row r="819" ht="12.75" customHeight="1">
      <c r="A819" s="9"/>
      <c r="B819" s="9"/>
    </row>
    <row r="820" ht="12.75" customHeight="1">
      <c r="A820" s="9"/>
      <c r="B820" s="9"/>
    </row>
    <row r="821" ht="12.75" customHeight="1">
      <c r="A821" s="9"/>
      <c r="B821" s="9"/>
    </row>
    <row r="822" ht="12.75" customHeight="1">
      <c r="A822" s="9"/>
      <c r="B822" s="9"/>
    </row>
    <row r="823" ht="12.75" customHeight="1">
      <c r="A823" s="9"/>
      <c r="B823" s="9"/>
    </row>
    <row r="824" ht="12.75" customHeight="1">
      <c r="A824" s="9"/>
      <c r="B824" s="9"/>
    </row>
    <row r="825" ht="12.75" customHeight="1">
      <c r="A825" s="9"/>
      <c r="B825" s="9"/>
    </row>
    <row r="826" ht="12.75" customHeight="1">
      <c r="A826" s="9"/>
      <c r="B826" s="9"/>
    </row>
    <row r="827" ht="12.75" customHeight="1">
      <c r="A827" s="9"/>
      <c r="B827" s="9"/>
    </row>
    <row r="828" ht="12.75" customHeight="1">
      <c r="A828" s="9"/>
      <c r="B828" s="9"/>
    </row>
    <row r="829" ht="12.75" customHeight="1">
      <c r="A829" s="9"/>
      <c r="B829" s="9"/>
    </row>
    <row r="830" ht="12.75" customHeight="1">
      <c r="A830" s="9"/>
      <c r="B830" s="9"/>
    </row>
    <row r="831" ht="12.75" customHeight="1">
      <c r="A831" s="9"/>
      <c r="B831" s="9"/>
    </row>
    <row r="832" ht="12.75" customHeight="1">
      <c r="A832" s="9"/>
      <c r="B832" s="9"/>
    </row>
    <row r="833" ht="12.75" customHeight="1">
      <c r="A833" s="9"/>
      <c r="B833" s="9"/>
    </row>
    <row r="834" ht="12.75" customHeight="1">
      <c r="A834" s="9"/>
      <c r="B834" s="9"/>
    </row>
    <row r="835" ht="12.75" customHeight="1">
      <c r="A835" s="9"/>
      <c r="B835" s="9"/>
    </row>
    <row r="836" ht="12.75" customHeight="1">
      <c r="A836" s="9"/>
      <c r="B836" s="9"/>
    </row>
    <row r="837" ht="12.75" customHeight="1">
      <c r="A837" s="9"/>
      <c r="B837" s="9"/>
    </row>
    <row r="838" ht="12.75" customHeight="1">
      <c r="A838" s="9"/>
      <c r="B838" s="9"/>
    </row>
    <row r="839" ht="12.75" customHeight="1">
      <c r="A839" s="9"/>
      <c r="B839" s="9"/>
    </row>
    <row r="840" ht="12.75" customHeight="1">
      <c r="A840" s="9"/>
      <c r="B840" s="9"/>
    </row>
    <row r="841" ht="12.75" customHeight="1">
      <c r="A841" s="9"/>
      <c r="B841" s="9"/>
    </row>
    <row r="842" ht="12.75" customHeight="1">
      <c r="A842" s="9"/>
      <c r="B842" s="9"/>
    </row>
    <row r="843" ht="12.75" customHeight="1">
      <c r="A843" s="9"/>
      <c r="B843" s="9"/>
    </row>
    <row r="844" ht="12.75" customHeight="1">
      <c r="A844" s="9"/>
      <c r="B844" s="9"/>
    </row>
    <row r="845" ht="12.75" customHeight="1">
      <c r="A845" s="9"/>
      <c r="B845" s="9"/>
    </row>
    <row r="846" ht="12.75" customHeight="1">
      <c r="A846" s="9"/>
      <c r="B846" s="9"/>
    </row>
    <row r="847" ht="12.75" customHeight="1">
      <c r="A847" s="9"/>
      <c r="B847" s="9"/>
    </row>
    <row r="848" ht="12.75" customHeight="1">
      <c r="A848" s="9"/>
      <c r="B848" s="9"/>
    </row>
    <row r="849" ht="12.75" customHeight="1">
      <c r="A849" s="9"/>
      <c r="B849" s="9"/>
    </row>
    <row r="850" ht="12.75" customHeight="1">
      <c r="A850" s="9"/>
      <c r="B850" s="9"/>
    </row>
    <row r="851" ht="12.75" customHeight="1">
      <c r="A851" s="9"/>
      <c r="B851" s="9"/>
    </row>
    <row r="852" ht="12.75" customHeight="1">
      <c r="A852" s="9"/>
      <c r="B852" s="9"/>
    </row>
    <row r="853" ht="12.75" customHeight="1">
      <c r="A853" s="9"/>
      <c r="B853" s="9"/>
    </row>
    <row r="854" ht="12.75" customHeight="1">
      <c r="A854" s="9"/>
      <c r="B854" s="9"/>
    </row>
    <row r="855" ht="12.75" customHeight="1">
      <c r="A855" s="9"/>
      <c r="B855" s="9"/>
    </row>
    <row r="856" ht="12.75" customHeight="1">
      <c r="A856" s="9"/>
      <c r="B856" s="9"/>
    </row>
    <row r="857" ht="12.75" customHeight="1">
      <c r="A857" s="9"/>
      <c r="B857" s="9"/>
    </row>
    <row r="858" ht="12.75" customHeight="1">
      <c r="A858" s="9"/>
      <c r="B858" s="9"/>
    </row>
    <row r="859" ht="12.75" customHeight="1">
      <c r="A859" s="9"/>
      <c r="B859" s="9"/>
    </row>
    <row r="860" ht="12.75" customHeight="1">
      <c r="A860" s="9"/>
      <c r="B860" s="9"/>
    </row>
    <row r="861" ht="12.75" customHeight="1">
      <c r="A861" s="9"/>
      <c r="B861" s="9"/>
    </row>
    <row r="862" ht="12.75" customHeight="1">
      <c r="A862" s="9"/>
      <c r="B862" s="9"/>
    </row>
    <row r="863" ht="12.75" customHeight="1">
      <c r="A863" s="9"/>
      <c r="B863" s="9"/>
    </row>
    <row r="864" ht="12.75" customHeight="1">
      <c r="A864" s="9"/>
      <c r="B864" s="9"/>
    </row>
    <row r="865" ht="12.75" customHeight="1">
      <c r="A865" s="9"/>
      <c r="B865" s="9"/>
    </row>
    <row r="866" ht="12.75" customHeight="1">
      <c r="A866" s="9"/>
      <c r="B866" s="9"/>
    </row>
    <row r="867" ht="12.75" customHeight="1">
      <c r="A867" s="9"/>
      <c r="B867" s="9"/>
    </row>
    <row r="868" ht="12.75" customHeight="1">
      <c r="A868" s="9"/>
      <c r="B868" s="9"/>
    </row>
    <row r="869" ht="12.75" customHeight="1">
      <c r="A869" s="9"/>
      <c r="B869" s="9"/>
    </row>
    <row r="870" ht="12.75" customHeight="1">
      <c r="A870" s="9"/>
      <c r="B870" s="9"/>
    </row>
    <row r="871" ht="12.75" customHeight="1">
      <c r="A871" s="9"/>
      <c r="B871" s="9"/>
    </row>
    <row r="872" ht="12.75" customHeight="1">
      <c r="A872" s="9"/>
      <c r="B872" s="9"/>
    </row>
    <row r="873" ht="12.75" customHeight="1">
      <c r="A873" s="9"/>
      <c r="B873" s="9"/>
    </row>
    <row r="874" ht="12.75" customHeight="1">
      <c r="A874" s="9"/>
      <c r="B874" s="9"/>
    </row>
    <row r="875" ht="12.75" customHeight="1">
      <c r="A875" s="9"/>
      <c r="B875" s="9"/>
    </row>
    <row r="876" ht="12.75" customHeight="1">
      <c r="A876" s="9"/>
      <c r="B876" s="9"/>
    </row>
    <row r="877" ht="12.75" customHeight="1">
      <c r="A877" s="9"/>
      <c r="B877" s="9"/>
    </row>
    <row r="878" ht="12.75" customHeight="1">
      <c r="A878" s="9"/>
      <c r="B878" s="9"/>
    </row>
    <row r="879" ht="12.75" customHeight="1">
      <c r="A879" s="9"/>
      <c r="B879" s="9"/>
    </row>
    <row r="880" ht="12.75" customHeight="1">
      <c r="A880" s="9"/>
      <c r="B880" s="9"/>
    </row>
    <row r="881" ht="12.75" customHeight="1">
      <c r="A881" s="9"/>
      <c r="B881" s="9"/>
    </row>
    <row r="882" ht="12.75" customHeight="1">
      <c r="A882" s="9"/>
      <c r="B882" s="9"/>
    </row>
    <row r="883" ht="12.75" customHeight="1">
      <c r="A883" s="9"/>
      <c r="B883" s="9"/>
    </row>
    <row r="884" ht="12.75" customHeight="1">
      <c r="A884" s="9"/>
      <c r="B884" s="9"/>
    </row>
    <row r="885" ht="12.75" customHeight="1">
      <c r="A885" s="9"/>
      <c r="B885" s="9"/>
    </row>
    <row r="886" ht="12.75" customHeight="1">
      <c r="A886" s="9"/>
      <c r="B886" s="9"/>
    </row>
    <row r="887" ht="12.75" customHeight="1">
      <c r="A887" s="9"/>
      <c r="B887" s="9"/>
    </row>
    <row r="888" ht="12.75" customHeight="1">
      <c r="A888" s="9"/>
      <c r="B888" s="9"/>
    </row>
    <row r="889" ht="12.75" customHeight="1">
      <c r="A889" s="9"/>
      <c r="B889" s="9"/>
    </row>
    <row r="890" ht="12.75" customHeight="1">
      <c r="A890" s="9"/>
      <c r="B890" s="9"/>
    </row>
    <row r="891" ht="12.75" customHeight="1">
      <c r="A891" s="9"/>
      <c r="B891" s="9"/>
    </row>
    <row r="892" ht="12.75" customHeight="1">
      <c r="A892" s="9"/>
      <c r="B892" s="9"/>
    </row>
    <row r="893" ht="12.75" customHeight="1">
      <c r="A893" s="9"/>
      <c r="B893" s="9"/>
    </row>
    <row r="894" ht="12.75" customHeight="1">
      <c r="A894" s="9"/>
      <c r="B894" s="9"/>
    </row>
    <row r="895" ht="12.75" customHeight="1">
      <c r="A895" s="9"/>
      <c r="B895" s="9"/>
    </row>
    <row r="896" ht="12.75" customHeight="1">
      <c r="A896" s="9"/>
      <c r="B896" s="9"/>
    </row>
    <row r="897" ht="12.75" customHeight="1">
      <c r="A897" s="9"/>
      <c r="B897" s="9"/>
    </row>
    <row r="898" ht="12.75" customHeight="1">
      <c r="A898" s="9"/>
      <c r="B898" s="9"/>
    </row>
    <row r="899" ht="12.75" customHeight="1">
      <c r="A899" s="9"/>
      <c r="B899" s="9"/>
    </row>
    <row r="900" ht="12.75" customHeight="1">
      <c r="A900" s="9"/>
      <c r="B900" s="9"/>
    </row>
    <row r="901" ht="12.75" customHeight="1">
      <c r="A901" s="9"/>
      <c r="B901" s="9"/>
    </row>
    <row r="902" ht="12.75" customHeight="1">
      <c r="A902" s="9"/>
      <c r="B902" s="9"/>
    </row>
    <row r="903" ht="12.75" customHeight="1">
      <c r="A903" s="9"/>
      <c r="B903" s="9"/>
    </row>
    <row r="904" ht="12.75" customHeight="1">
      <c r="A904" s="9"/>
      <c r="B904" s="9"/>
    </row>
    <row r="905" ht="12.75" customHeight="1">
      <c r="A905" s="9"/>
      <c r="B905" s="9"/>
    </row>
    <row r="906" ht="12.75" customHeight="1">
      <c r="A906" s="9"/>
      <c r="B906" s="9"/>
    </row>
    <row r="907" ht="12.75" customHeight="1">
      <c r="A907" s="9"/>
      <c r="B907" s="9"/>
    </row>
    <row r="908" ht="12.75" customHeight="1">
      <c r="A908" s="9"/>
      <c r="B908" s="9"/>
    </row>
    <row r="909" ht="12.75" customHeight="1">
      <c r="A909" s="9"/>
      <c r="B909" s="9"/>
    </row>
    <row r="910" ht="12.75" customHeight="1">
      <c r="A910" s="9"/>
      <c r="B910" s="9"/>
    </row>
    <row r="911" ht="12.75" customHeight="1">
      <c r="A911" s="9"/>
      <c r="B911" s="9"/>
    </row>
    <row r="912" ht="12.75" customHeight="1">
      <c r="A912" s="9"/>
      <c r="B912" s="9"/>
    </row>
    <row r="913" ht="12.75" customHeight="1">
      <c r="A913" s="9"/>
      <c r="B913" s="9"/>
    </row>
    <row r="914" ht="12.75" customHeight="1">
      <c r="A914" s="9"/>
      <c r="B914" s="9"/>
    </row>
    <row r="915" ht="12.75" customHeight="1">
      <c r="A915" s="9"/>
      <c r="B915" s="9"/>
    </row>
    <row r="916" ht="12.75" customHeight="1">
      <c r="A916" s="9"/>
      <c r="B916" s="9"/>
    </row>
    <row r="917" ht="12.75" customHeight="1">
      <c r="A917" s="9"/>
      <c r="B917" s="9"/>
    </row>
    <row r="918" ht="12.75" customHeight="1">
      <c r="A918" s="9"/>
      <c r="B918" s="9"/>
    </row>
    <row r="919" ht="12.75" customHeight="1">
      <c r="A919" s="9"/>
      <c r="B919" s="9"/>
    </row>
    <row r="920" ht="12.75" customHeight="1">
      <c r="A920" s="9"/>
      <c r="B920" s="9"/>
    </row>
    <row r="921" ht="12.75" customHeight="1">
      <c r="A921" s="9"/>
      <c r="B921" s="9"/>
    </row>
    <row r="922" ht="12.75" customHeight="1">
      <c r="A922" s="9"/>
      <c r="B922" s="9"/>
    </row>
    <row r="923" ht="12.75" customHeight="1">
      <c r="A923" s="9"/>
      <c r="B923" s="9"/>
    </row>
    <row r="924" ht="12.75" customHeight="1">
      <c r="A924" s="9"/>
      <c r="B924" s="9"/>
    </row>
    <row r="925" ht="12.75" customHeight="1">
      <c r="A925" s="9"/>
      <c r="B925" s="9"/>
    </row>
    <row r="926" ht="12.75" customHeight="1">
      <c r="A926" s="9"/>
      <c r="B926" s="9"/>
    </row>
    <row r="927" ht="12.75" customHeight="1">
      <c r="A927" s="9"/>
      <c r="B927" s="9"/>
    </row>
    <row r="928" ht="12.75" customHeight="1">
      <c r="A928" s="9"/>
      <c r="B928" s="9"/>
    </row>
    <row r="929" ht="12.75" customHeight="1">
      <c r="A929" s="9"/>
      <c r="B929" s="9"/>
    </row>
    <row r="930" ht="12.75" customHeight="1">
      <c r="A930" s="9"/>
      <c r="B930" s="9"/>
    </row>
    <row r="931" ht="12.75" customHeight="1">
      <c r="A931" s="9"/>
      <c r="B931" s="9"/>
    </row>
    <row r="932" ht="12.75" customHeight="1">
      <c r="A932" s="9"/>
      <c r="B932" s="9"/>
    </row>
    <row r="933" ht="12.75" customHeight="1">
      <c r="A933" s="9"/>
      <c r="B933" s="9"/>
    </row>
    <row r="934" ht="12.75" customHeight="1">
      <c r="A934" s="9"/>
      <c r="B934" s="9"/>
    </row>
    <row r="935" ht="12.75" customHeight="1">
      <c r="A935" s="9"/>
      <c r="B935" s="9"/>
    </row>
    <row r="936" ht="12.75" customHeight="1">
      <c r="A936" s="9"/>
      <c r="B936" s="9"/>
    </row>
    <row r="937" ht="12.75" customHeight="1">
      <c r="A937" s="9"/>
      <c r="B937" s="9"/>
    </row>
    <row r="938" ht="12.75" customHeight="1">
      <c r="A938" s="9"/>
      <c r="B938" s="9"/>
    </row>
    <row r="939" ht="12.75" customHeight="1">
      <c r="A939" s="9"/>
      <c r="B939" s="9"/>
    </row>
    <row r="940" ht="12.75" customHeight="1">
      <c r="A940" s="9"/>
      <c r="B940" s="9"/>
    </row>
    <row r="941" ht="12.75" customHeight="1">
      <c r="A941" s="9"/>
      <c r="B941" s="9"/>
    </row>
    <row r="942" ht="12.75" customHeight="1">
      <c r="A942" s="9"/>
      <c r="B942" s="9"/>
    </row>
    <row r="943" ht="12.75" customHeight="1">
      <c r="A943" s="9"/>
      <c r="B943" s="9"/>
    </row>
    <row r="944" ht="12.75" customHeight="1">
      <c r="A944" s="9"/>
      <c r="B944" s="9"/>
    </row>
    <row r="945" ht="12.75" customHeight="1">
      <c r="A945" s="9"/>
      <c r="B945" s="9"/>
    </row>
    <row r="946" ht="12.75" customHeight="1">
      <c r="A946" s="9"/>
      <c r="B946" s="9"/>
    </row>
    <row r="947" ht="12.75" customHeight="1">
      <c r="A947" s="9"/>
      <c r="B947" s="9"/>
    </row>
    <row r="948" ht="12.75" customHeight="1">
      <c r="A948" s="9"/>
      <c r="B948" s="9"/>
    </row>
    <row r="949" ht="12.75" customHeight="1">
      <c r="A949" s="9"/>
      <c r="B949" s="9"/>
    </row>
    <row r="950" ht="12.75" customHeight="1">
      <c r="A950" s="9"/>
      <c r="B950" s="9"/>
    </row>
    <row r="951" ht="12.75" customHeight="1">
      <c r="A951" s="9"/>
      <c r="B951" s="9"/>
    </row>
    <row r="952" ht="12.75" customHeight="1">
      <c r="A952" s="9"/>
      <c r="B952" s="9"/>
    </row>
    <row r="953" ht="12.75" customHeight="1">
      <c r="A953" s="9"/>
      <c r="B953" s="9"/>
    </row>
    <row r="954" ht="12.75" customHeight="1">
      <c r="A954" s="9"/>
      <c r="B954" s="9"/>
    </row>
    <row r="955" ht="12.75" customHeight="1">
      <c r="A955" s="9"/>
      <c r="B955" s="9"/>
    </row>
    <row r="956" ht="12.75" customHeight="1">
      <c r="A956" s="9"/>
      <c r="B956" s="9"/>
    </row>
    <row r="957" ht="12.75" customHeight="1">
      <c r="A957" s="9"/>
      <c r="B957" s="9"/>
    </row>
    <row r="958" ht="12.75" customHeight="1">
      <c r="A958" s="9"/>
      <c r="B958" s="9"/>
    </row>
    <row r="959" ht="12.75" customHeight="1">
      <c r="A959" s="9"/>
      <c r="B959" s="9"/>
    </row>
    <row r="960" ht="12.75" customHeight="1">
      <c r="A960" s="9"/>
      <c r="B960" s="9"/>
    </row>
    <row r="961" ht="12.75" customHeight="1">
      <c r="A961" s="9"/>
      <c r="B961" s="9"/>
    </row>
    <row r="962" ht="12.75" customHeight="1">
      <c r="A962" s="9"/>
      <c r="B962" s="9"/>
    </row>
    <row r="963" ht="12.75" customHeight="1">
      <c r="A963" s="9"/>
      <c r="B963" s="9"/>
    </row>
    <row r="964" ht="12.75" customHeight="1">
      <c r="A964" s="9"/>
      <c r="B964" s="9"/>
    </row>
    <row r="965" ht="12.75" customHeight="1">
      <c r="A965" s="9"/>
      <c r="B965" s="9"/>
    </row>
    <row r="966" ht="12.75" customHeight="1">
      <c r="A966" s="9"/>
      <c r="B966" s="9"/>
    </row>
    <row r="967" ht="12.75" customHeight="1">
      <c r="A967" s="9"/>
      <c r="B967" s="9"/>
    </row>
    <row r="968" ht="12.75" customHeight="1">
      <c r="A968" s="9"/>
      <c r="B968" s="9"/>
    </row>
    <row r="969" ht="12.75" customHeight="1">
      <c r="A969" s="9"/>
      <c r="B969" s="9"/>
    </row>
    <row r="970" ht="12.75" customHeight="1">
      <c r="A970" s="9"/>
      <c r="B970" s="9"/>
    </row>
    <row r="971" ht="12.75" customHeight="1">
      <c r="A971" s="9"/>
      <c r="B971" s="9"/>
    </row>
    <row r="972" ht="12.75" customHeight="1">
      <c r="A972" s="9"/>
      <c r="B972" s="9"/>
    </row>
    <row r="973" ht="12.75" customHeight="1">
      <c r="A973" s="9"/>
      <c r="B973" s="9"/>
    </row>
    <row r="974" ht="12.75" customHeight="1">
      <c r="A974" s="9"/>
      <c r="B974" s="9"/>
    </row>
    <row r="975" ht="12.75" customHeight="1">
      <c r="A975" s="9"/>
      <c r="B975" s="9"/>
    </row>
    <row r="976" ht="12.75" customHeight="1">
      <c r="A976" s="9"/>
      <c r="B976" s="9"/>
    </row>
    <row r="977" ht="12.75" customHeight="1">
      <c r="A977" s="9"/>
      <c r="B977" s="9"/>
    </row>
    <row r="978" ht="12.75" customHeight="1">
      <c r="A978" s="9"/>
      <c r="B978" s="9"/>
    </row>
    <row r="979" ht="12.75" customHeight="1">
      <c r="A979" s="9"/>
      <c r="B979" s="9"/>
    </row>
    <row r="980" ht="12.75" customHeight="1">
      <c r="A980" s="9"/>
      <c r="B980" s="9"/>
    </row>
    <row r="981" ht="12.75" customHeight="1">
      <c r="A981" s="9"/>
      <c r="B981" s="9"/>
    </row>
    <row r="982" ht="12.75" customHeight="1">
      <c r="A982" s="9"/>
      <c r="B982" s="9"/>
    </row>
    <row r="983" ht="12.75" customHeight="1">
      <c r="A983" s="9"/>
      <c r="B983" s="9"/>
    </row>
    <row r="984" ht="12.75" customHeight="1">
      <c r="A984" s="9"/>
      <c r="B984" s="9"/>
    </row>
    <row r="985" ht="12.75" customHeight="1">
      <c r="A985" s="9"/>
      <c r="B985" s="9"/>
    </row>
    <row r="986" ht="12.75" customHeight="1">
      <c r="A986" s="9"/>
      <c r="B986" s="9"/>
    </row>
    <row r="987" ht="12.75" customHeight="1">
      <c r="A987" s="9"/>
      <c r="B987" s="9"/>
    </row>
    <row r="988" ht="12.75" customHeight="1">
      <c r="A988" s="9"/>
      <c r="B988" s="9"/>
    </row>
    <row r="989" ht="12.75" customHeight="1">
      <c r="A989" s="9"/>
      <c r="B989" s="9"/>
    </row>
    <row r="990" ht="12.75" customHeight="1">
      <c r="A990" s="9"/>
      <c r="B990" s="9"/>
    </row>
    <row r="991" ht="12.75" customHeight="1">
      <c r="A991" s="9"/>
      <c r="B991" s="9"/>
    </row>
    <row r="992" ht="12.75" customHeight="1">
      <c r="A992" s="9"/>
      <c r="B992" s="9"/>
    </row>
    <row r="993" ht="12.75" customHeight="1">
      <c r="A993" s="9"/>
      <c r="B993" s="9"/>
    </row>
    <row r="994" ht="12.75" customHeight="1">
      <c r="A994" s="9"/>
      <c r="B994" s="9"/>
    </row>
    <row r="995" ht="12.75" customHeight="1">
      <c r="A995" s="9"/>
      <c r="B995" s="9"/>
    </row>
    <row r="996" ht="12.75" customHeight="1">
      <c r="A996" s="9"/>
      <c r="B996" s="9"/>
    </row>
    <row r="997" ht="12.75" customHeight="1">
      <c r="A997" s="9"/>
      <c r="B997" s="9"/>
    </row>
    <row r="998" ht="12.75" customHeight="1">
      <c r="A998" s="9"/>
      <c r="B998" s="9"/>
    </row>
    <row r="999" ht="12.75" customHeight="1">
      <c r="A999" s="9"/>
      <c r="B999" s="9"/>
    </row>
    <row r="1000" ht="12.75" customHeight="1">
      <c r="A1000" s="9"/>
      <c r="B1000" s="9"/>
    </row>
  </sheetData>
  <conditionalFormatting sqref="C2:H17 I3:K17">
    <cfRule type="expression" dxfId="0" priority="1" stopIfTrue="1">
      <formula>IF(#REF!=#REF!,1,0)</formula>
    </cfRule>
  </conditionalFormatting>
  <conditionalFormatting sqref="I2:K2">
    <cfRule type="expression" dxfId="0" priority="2" stopIfTrue="1">
      <formula>IF(#REF!=#REF!,1,0)</formula>
    </cfRule>
  </conditionalFormatting>
  <conditionalFormatting sqref="C19:K34">
    <cfRule type="expression" dxfId="0" priority="3" stopIfTrue="1">
      <formula>IF(#REF!=#REF!,1,0)</formula>
    </cfRule>
  </conditionalFormatting>
  <conditionalFormatting sqref="C36:H51 I37:K51">
    <cfRule type="expression" dxfId="0" priority="4" stopIfTrue="1">
      <formula>IF(#REF!=#REF!,1,0)</formula>
    </cfRule>
  </conditionalFormatting>
  <conditionalFormatting sqref="I36:K36">
    <cfRule type="expression" dxfId="0" priority="5" stopIfTrue="1">
      <formula>IF(#REF!=#REF!,1,0)</formula>
    </cfRule>
  </conditionalFormatting>
  <conditionalFormatting sqref="C53:H68 I54:K68">
    <cfRule type="expression" dxfId="0" priority="6" stopIfTrue="1">
      <formula>IF(#REF!=#REF!,1,0)</formula>
    </cfRule>
  </conditionalFormatting>
  <conditionalFormatting sqref="I53:K53">
    <cfRule type="expression" dxfId="0" priority="7" stopIfTrue="1">
      <formula>IF(#REF!=#REF!,1,0)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27" t="s">
        <v>78</v>
      </c>
      <c r="B1" s="27" t="s">
        <v>79</v>
      </c>
      <c r="C1" s="11" t="s">
        <v>80</v>
      </c>
      <c r="D1" s="11" t="s">
        <v>81</v>
      </c>
    </row>
    <row r="2" ht="12.75" customHeight="1">
      <c r="A2" s="28" t="s">
        <v>82</v>
      </c>
      <c r="B2" s="12" t="s">
        <v>43</v>
      </c>
      <c r="C2" s="28">
        <v>0.87</v>
      </c>
      <c r="D2" s="28">
        <v>0.83</v>
      </c>
    </row>
    <row r="3" ht="12.75" customHeight="1">
      <c r="A3" s="28" t="s">
        <v>82</v>
      </c>
      <c r="B3" s="12" t="s">
        <v>49</v>
      </c>
      <c r="C3" s="28">
        <v>0.8</v>
      </c>
      <c r="D3" s="28">
        <v>0.85</v>
      </c>
    </row>
    <row r="4" ht="12.75" customHeight="1">
      <c r="A4" s="28" t="s">
        <v>82</v>
      </c>
      <c r="B4" s="12" t="s">
        <v>53</v>
      </c>
      <c r="C4" s="28">
        <v>0.88</v>
      </c>
      <c r="D4" s="28">
        <v>0.92</v>
      </c>
    </row>
    <row r="5" ht="12.75" customHeight="1">
      <c r="A5" s="28" t="s">
        <v>82</v>
      </c>
      <c r="B5" s="12" t="s">
        <v>56</v>
      </c>
      <c r="C5" s="28">
        <v>0.83</v>
      </c>
      <c r="D5" s="28">
        <v>0.81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6" width="8.63"/>
  </cols>
  <sheetData>
    <row r="1" ht="12.75" customHeight="1">
      <c r="A1" s="8" t="s">
        <v>83</v>
      </c>
      <c r="B1" s="8" t="s">
        <v>84</v>
      </c>
      <c r="C1" s="8" t="str">
        <f t="array" ref="C1:M1">TRANSPOSE(Lists!D2:D12)</f>
        <v>FY 10</v>
      </c>
      <c r="D1" s="8" t="s">
        <v>47</v>
      </c>
      <c r="E1" s="11" t="s">
        <v>42</v>
      </c>
      <c r="F1" s="11" t="s">
        <v>48</v>
      </c>
      <c r="G1" s="11" t="s">
        <v>52</v>
      </c>
      <c r="H1" s="11" t="s">
        <v>55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</row>
    <row r="2" ht="12.75" customHeight="1">
      <c r="A2" s="9" t="s">
        <v>85</v>
      </c>
      <c r="B2" s="12" t="s">
        <v>43</v>
      </c>
      <c r="C2" s="29">
        <v>-416.16</v>
      </c>
      <c r="D2" s="29">
        <v>-234.78</v>
      </c>
      <c r="E2" s="28">
        <v>-612.0</v>
      </c>
      <c r="F2" s="28">
        <v>-511.0</v>
      </c>
      <c r="G2" s="28">
        <v>-408.0</v>
      </c>
      <c r="H2" s="28">
        <v>-301.0</v>
      </c>
      <c r="I2" s="28">
        <v>-354.0</v>
      </c>
      <c r="J2" s="28">
        <v>-102.0</v>
      </c>
      <c r="K2" s="28">
        <v>-408.0</v>
      </c>
      <c r="L2" s="28">
        <v>-102.0</v>
      </c>
      <c r="M2" s="28">
        <v>-321.0</v>
      </c>
    </row>
    <row r="3" ht="12.75" customHeight="1">
      <c r="A3" s="28" t="s">
        <v>86</v>
      </c>
      <c r="B3" s="12" t="s">
        <v>43</v>
      </c>
      <c r="C3" s="29">
        <v>599.76</v>
      </c>
      <c r="D3" s="29">
        <v>264.47999999999996</v>
      </c>
      <c r="E3" s="28">
        <v>408.0</v>
      </c>
      <c r="F3" s="28">
        <v>514.0</v>
      </c>
      <c r="G3" s="28">
        <v>612.0</v>
      </c>
      <c r="H3" s="28">
        <v>232.0</v>
      </c>
      <c r="I3" s="28">
        <v>387.0</v>
      </c>
      <c r="J3" s="28">
        <v>418.0</v>
      </c>
      <c r="K3" s="28">
        <v>714.0</v>
      </c>
      <c r="L3" s="28">
        <v>517.0</v>
      </c>
      <c r="M3" s="28">
        <v>411.0</v>
      </c>
    </row>
    <row r="4" ht="12.75" customHeight="1">
      <c r="A4" s="28" t="s">
        <v>85</v>
      </c>
      <c r="B4" s="12" t="s">
        <v>49</v>
      </c>
      <c r="C4" s="29">
        <v>-313.04</v>
      </c>
      <c r="D4" s="29">
        <v>-189.72</v>
      </c>
      <c r="E4" s="28">
        <v>-816.0</v>
      </c>
      <c r="F4" s="28">
        <v>-301.0</v>
      </c>
      <c r="G4" s="28">
        <v>-301.0</v>
      </c>
      <c r="H4" s="28">
        <v>-204.0</v>
      </c>
      <c r="I4" s="28">
        <v>-354.0</v>
      </c>
      <c r="J4" s="28">
        <v>-204.0</v>
      </c>
      <c r="K4" s="28">
        <v>-612.0</v>
      </c>
      <c r="L4" s="28">
        <v>-102.0</v>
      </c>
      <c r="M4" s="28">
        <v>-102.0</v>
      </c>
    </row>
    <row r="5" ht="12.75" customHeight="1">
      <c r="A5" s="28" t="s">
        <v>86</v>
      </c>
      <c r="B5" s="12" t="s">
        <v>49</v>
      </c>
      <c r="C5" s="29">
        <v>278.88</v>
      </c>
      <c r="D5" s="29">
        <v>220.89999999999998</v>
      </c>
      <c r="E5" s="28">
        <v>612.0</v>
      </c>
      <c r="F5" s="28">
        <v>714.0</v>
      </c>
      <c r="G5" s="28">
        <v>332.0</v>
      </c>
      <c r="H5" s="28">
        <v>235.0</v>
      </c>
      <c r="I5" s="28">
        <v>519.0</v>
      </c>
      <c r="J5" s="28">
        <v>412.0</v>
      </c>
      <c r="K5" s="28">
        <v>1020.0</v>
      </c>
      <c r="L5" s="28">
        <v>1122.0</v>
      </c>
      <c r="M5" s="28">
        <v>714.0</v>
      </c>
    </row>
    <row r="6" ht="12.75" customHeight="1">
      <c r="A6" s="28" t="s">
        <v>85</v>
      </c>
      <c r="B6" s="12" t="s">
        <v>53</v>
      </c>
      <c r="C6" s="29">
        <v>-233.22</v>
      </c>
      <c r="D6" s="29">
        <v>-357.12</v>
      </c>
      <c r="E6" s="28">
        <v>-714.0</v>
      </c>
      <c r="F6" s="28">
        <v>-312.0</v>
      </c>
      <c r="G6" s="28">
        <v>-299.0</v>
      </c>
      <c r="H6" s="28">
        <v>-288.0</v>
      </c>
      <c r="I6" s="28">
        <v>-204.0</v>
      </c>
      <c r="J6" s="28">
        <v>-354.0</v>
      </c>
      <c r="K6" s="28">
        <v>-354.0</v>
      </c>
      <c r="L6" s="28">
        <v>-102.0</v>
      </c>
      <c r="M6" s="28">
        <v>-102.0</v>
      </c>
    </row>
    <row r="7" ht="12.75" customHeight="1">
      <c r="A7" s="28" t="s">
        <v>86</v>
      </c>
      <c r="B7" s="12" t="s">
        <v>53</v>
      </c>
      <c r="C7" s="29">
        <v>473.28</v>
      </c>
      <c r="D7" s="29">
        <v>705.18</v>
      </c>
      <c r="E7" s="28">
        <v>455.0</v>
      </c>
      <c r="F7" s="28">
        <v>1122.0</v>
      </c>
      <c r="G7" s="28">
        <v>408.0</v>
      </c>
      <c r="H7" s="28">
        <v>511.0</v>
      </c>
      <c r="I7" s="28">
        <v>432.0</v>
      </c>
      <c r="J7" s="28">
        <v>612.0</v>
      </c>
      <c r="K7" s="28">
        <v>918.0</v>
      </c>
      <c r="L7" s="28">
        <v>1428.0</v>
      </c>
      <c r="M7" s="28">
        <v>714.0</v>
      </c>
    </row>
    <row r="8" ht="12.75" customHeight="1">
      <c r="A8" s="28" t="s">
        <v>85</v>
      </c>
      <c r="B8" s="12" t="s">
        <v>56</v>
      </c>
      <c r="C8" s="29">
        <v>-534.48</v>
      </c>
      <c r="D8" s="29">
        <v>-240.8</v>
      </c>
      <c r="E8" s="28">
        <v>-408.0</v>
      </c>
      <c r="F8" s="28">
        <v>-301.0</v>
      </c>
      <c r="G8" s="28">
        <v>-408.0</v>
      </c>
      <c r="H8" s="28">
        <v>-301.0</v>
      </c>
      <c r="I8" s="28">
        <v>-298.0</v>
      </c>
      <c r="J8" s="28">
        <v>-300.0</v>
      </c>
      <c r="K8" s="28">
        <v>-204.0</v>
      </c>
      <c r="L8" s="28">
        <v>-102.0</v>
      </c>
      <c r="M8" s="28">
        <v>-204.0</v>
      </c>
    </row>
    <row r="9" ht="12.75" customHeight="1">
      <c r="A9" s="28" t="s">
        <v>86</v>
      </c>
      <c r="B9" s="12" t="s">
        <v>56</v>
      </c>
      <c r="C9" s="29">
        <v>369.74</v>
      </c>
      <c r="D9" s="29">
        <v>257.52000000000004</v>
      </c>
      <c r="E9" s="28">
        <v>408.0</v>
      </c>
      <c r="F9" s="28">
        <v>1122.0</v>
      </c>
      <c r="G9" s="28">
        <v>278.0</v>
      </c>
      <c r="H9" s="28">
        <v>232.0</v>
      </c>
      <c r="I9" s="28">
        <v>333.0</v>
      </c>
      <c r="J9" s="28">
        <v>816.0</v>
      </c>
      <c r="K9" s="28">
        <v>714.0</v>
      </c>
      <c r="L9" s="28">
        <v>530.0</v>
      </c>
      <c r="M9" s="28">
        <v>714.0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27" t="s">
        <v>87</v>
      </c>
      <c r="B1" s="27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1" t="s">
        <v>93</v>
      </c>
      <c r="H1" s="11" t="s">
        <v>94</v>
      </c>
      <c r="I1" s="11" t="s">
        <v>95</v>
      </c>
      <c r="J1" s="11" t="s">
        <v>96</v>
      </c>
      <c r="K1" s="11" t="s">
        <v>97</v>
      </c>
      <c r="L1" s="11" t="s">
        <v>98</v>
      </c>
      <c r="M1" s="11" t="s">
        <v>99</v>
      </c>
      <c r="N1" s="11" t="s">
        <v>100</v>
      </c>
    </row>
    <row r="2" ht="12.75" customHeight="1">
      <c r="A2" s="9" t="s">
        <v>81</v>
      </c>
      <c r="B2" s="12" t="s">
        <v>43</v>
      </c>
      <c r="C2" s="23">
        <v>7.7616000000000005</v>
      </c>
      <c r="D2" s="23">
        <v>9.794400000000003</v>
      </c>
      <c r="E2" s="23">
        <v>7.484400000000002</v>
      </c>
      <c r="F2" s="23">
        <v>10.348800000000002</v>
      </c>
      <c r="G2" s="23">
        <v>9.332400000000002</v>
      </c>
      <c r="H2" s="23">
        <v>9.979200000000002</v>
      </c>
      <c r="I2" s="23">
        <v>8.500800000000002</v>
      </c>
      <c r="J2" s="23">
        <v>10.348800000000002</v>
      </c>
      <c r="K2" s="23">
        <v>8.6856</v>
      </c>
      <c r="L2" s="23">
        <v>7.946400000000001</v>
      </c>
      <c r="M2" s="23">
        <v>8.408400000000002</v>
      </c>
      <c r="N2" s="23">
        <v>8.778</v>
      </c>
    </row>
    <row r="3" ht="12.75" customHeight="1">
      <c r="A3" s="9" t="s">
        <v>81</v>
      </c>
      <c r="B3" s="12" t="s">
        <v>49</v>
      </c>
      <c r="C3" s="23">
        <v>7.700000000000001</v>
      </c>
      <c r="D3" s="23">
        <v>8.913300000000001</v>
      </c>
      <c r="E3" s="23">
        <v>6.5846</v>
      </c>
      <c r="F3" s="23">
        <v>8.9936</v>
      </c>
      <c r="G3" s="23">
        <v>8.913300000000001</v>
      </c>
      <c r="H3" s="23">
        <v>9.0739</v>
      </c>
      <c r="I3" s="23">
        <v>7.6285</v>
      </c>
      <c r="J3" s="23">
        <v>8.913300000000001</v>
      </c>
      <c r="K3" s="23">
        <v>6.664899999999999</v>
      </c>
      <c r="L3" s="23">
        <v>6.504300000000001</v>
      </c>
      <c r="M3" s="23">
        <v>8.270900000000001</v>
      </c>
      <c r="N3" s="23">
        <v>8.5921</v>
      </c>
    </row>
    <row r="4" ht="12.75" customHeight="1">
      <c r="A4" s="9" t="s">
        <v>81</v>
      </c>
      <c r="B4" s="12" t="s">
        <v>53</v>
      </c>
      <c r="C4" s="23">
        <v>5.9345</v>
      </c>
      <c r="D4" s="23">
        <v>6.506500000000001</v>
      </c>
      <c r="E4" s="23">
        <v>6.9355</v>
      </c>
      <c r="F4" s="23">
        <v>6.506500000000001</v>
      </c>
      <c r="G4" s="23">
        <v>7.007000000000001</v>
      </c>
      <c r="H4" s="23">
        <v>5.9345</v>
      </c>
      <c r="I4" s="23">
        <v>7.793500000000002</v>
      </c>
      <c r="J4" s="23">
        <v>5.791500000000001</v>
      </c>
      <c r="K4" s="23">
        <v>7.793500000000002</v>
      </c>
      <c r="L4" s="23">
        <v>5.791500000000001</v>
      </c>
      <c r="M4" s="23">
        <v>6.9355</v>
      </c>
      <c r="N4" s="23">
        <v>6.7925</v>
      </c>
    </row>
    <row r="5" ht="12.75" customHeight="1">
      <c r="A5" s="9" t="s">
        <v>81</v>
      </c>
      <c r="B5" s="12" t="s">
        <v>56</v>
      </c>
      <c r="C5" s="23">
        <v>8.272</v>
      </c>
      <c r="D5" s="23">
        <v>9.328000000000001</v>
      </c>
      <c r="E5" s="23">
        <v>8.36</v>
      </c>
      <c r="F5" s="23">
        <v>8.8</v>
      </c>
      <c r="G5" s="23">
        <v>9.680000000000001</v>
      </c>
      <c r="H5" s="23">
        <v>9.943999999999999</v>
      </c>
      <c r="I5" s="23">
        <v>9.416000000000002</v>
      </c>
      <c r="J5" s="23">
        <v>10.032</v>
      </c>
      <c r="K5" s="23">
        <v>7.128000000000001</v>
      </c>
      <c r="L5" s="23">
        <v>10.472</v>
      </c>
      <c r="M5" s="23">
        <v>10.56</v>
      </c>
      <c r="N5" s="23">
        <v>7.040000000000001</v>
      </c>
    </row>
    <row r="6" ht="12.75" customHeight="1"/>
    <row r="7" ht="12.75" customHeight="1">
      <c r="A7" s="9" t="s">
        <v>80</v>
      </c>
      <c r="B7" s="12" t="s">
        <v>43</v>
      </c>
      <c r="C7" s="18">
        <v>6.562080000000001</v>
      </c>
      <c r="D7" s="18">
        <v>8.280720000000002</v>
      </c>
      <c r="E7" s="18">
        <v>6.259680000000001</v>
      </c>
      <c r="F7" s="18">
        <v>8.467200000000002</v>
      </c>
      <c r="G7" s="18">
        <v>7.29624</v>
      </c>
      <c r="H7" s="18">
        <v>7.348320000000001</v>
      </c>
      <c r="I7" s="18">
        <v>6.259680000000001</v>
      </c>
      <c r="J7" s="18">
        <v>7.5264000000000015</v>
      </c>
      <c r="K7" s="18">
        <v>6.632639999999999</v>
      </c>
      <c r="L7" s="18">
        <v>5.92368</v>
      </c>
      <c r="M7" s="18">
        <v>6.65028</v>
      </c>
      <c r="N7" s="18">
        <v>7.5809999999999995</v>
      </c>
    </row>
    <row r="8" ht="12.75" customHeight="1">
      <c r="A8" s="9" t="s">
        <v>80</v>
      </c>
      <c r="B8" s="12" t="s">
        <v>49</v>
      </c>
      <c r="C8" s="18">
        <v>7.2</v>
      </c>
      <c r="D8" s="18">
        <v>7.37373</v>
      </c>
      <c r="E8" s="18">
        <v>6.46488</v>
      </c>
      <c r="F8" s="18">
        <v>7.68544</v>
      </c>
      <c r="G8" s="18">
        <v>7.697849999999999</v>
      </c>
      <c r="H8" s="18">
        <v>7.754059999999998</v>
      </c>
      <c r="I8" s="18">
        <v>6.241499999999999</v>
      </c>
      <c r="J8" s="18">
        <v>8.751240000000001</v>
      </c>
      <c r="K8" s="18">
        <v>5.57428</v>
      </c>
      <c r="L8" s="18">
        <v>5.73561</v>
      </c>
      <c r="M8" s="18">
        <v>6.7671</v>
      </c>
      <c r="N8" s="18">
        <v>7.4985599999999994</v>
      </c>
    </row>
    <row r="9" ht="12.75" customHeight="1">
      <c r="A9" s="9" t="s">
        <v>80</v>
      </c>
      <c r="B9" s="12" t="s">
        <v>53</v>
      </c>
      <c r="C9" s="18">
        <v>4.6396999999999995</v>
      </c>
      <c r="D9" s="18">
        <v>5.02775</v>
      </c>
      <c r="E9" s="18">
        <v>5.4853499999999995</v>
      </c>
      <c r="F9" s="18">
        <v>5.560099999999999</v>
      </c>
      <c r="G9" s="18">
        <v>5.9241</v>
      </c>
      <c r="H9" s="18">
        <v>5.125249999999999</v>
      </c>
      <c r="I9" s="18">
        <v>6.0222500000000005</v>
      </c>
      <c r="J9" s="18">
        <v>4.2646500000000005</v>
      </c>
      <c r="K9" s="18">
        <v>6.234800000000001</v>
      </c>
      <c r="L9" s="18">
        <v>4.843800000000001</v>
      </c>
      <c r="M9" s="18">
        <v>5.989749999999999</v>
      </c>
      <c r="N9" s="18">
        <v>5.61925</v>
      </c>
    </row>
    <row r="10" ht="12.75" customHeight="1">
      <c r="A10" s="9" t="s">
        <v>80</v>
      </c>
      <c r="B10" s="12" t="s">
        <v>56</v>
      </c>
      <c r="C10" s="18">
        <v>7.219199999999999</v>
      </c>
      <c r="D10" s="18">
        <v>8.904000000000002</v>
      </c>
      <c r="E10" s="18">
        <v>8.436</v>
      </c>
      <c r="F10" s="18">
        <v>7.76</v>
      </c>
      <c r="G10" s="18">
        <v>10.296</v>
      </c>
      <c r="H10" s="18">
        <v>9.3112</v>
      </c>
      <c r="I10" s="18">
        <v>9.0736</v>
      </c>
      <c r="J10" s="18">
        <v>9.302399999999999</v>
      </c>
      <c r="K10" s="18">
        <v>6.156</v>
      </c>
      <c r="L10" s="18">
        <v>9.139199999999999</v>
      </c>
      <c r="M10" s="18">
        <v>8.64</v>
      </c>
      <c r="N10" s="18">
        <v>6.016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54</v>
      </c>
      <c r="B1" s="9" t="s">
        <v>35</v>
      </c>
      <c r="C1" s="9" t="s">
        <v>101</v>
      </c>
      <c r="D1" s="9" t="s">
        <v>83</v>
      </c>
      <c r="E1" s="9" t="s">
        <v>9</v>
      </c>
    </row>
    <row r="2" ht="12.75" customHeight="1">
      <c r="A2" s="9" t="s">
        <v>43</v>
      </c>
      <c r="B2" s="9" t="s">
        <v>102</v>
      </c>
      <c r="C2" s="28" t="s">
        <v>103</v>
      </c>
      <c r="D2" s="28" t="s">
        <v>104</v>
      </c>
      <c r="E2" s="30">
        <v>5217.79515254933</v>
      </c>
    </row>
    <row r="3" ht="12.75" customHeight="1">
      <c r="A3" s="9" t="s">
        <v>43</v>
      </c>
      <c r="B3" s="9" t="s">
        <v>102</v>
      </c>
      <c r="C3" s="28" t="s">
        <v>103</v>
      </c>
      <c r="D3" s="28" t="s">
        <v>12</v>
      </c>
      <c r="E3" s="30">
        <v>5098.33681026767</v>
      </c>
    </row>
    <row r="4" ht="12.75" customHeight="1">
      <c r="A4" s="9" t="s">
        <v>43</v>
      </c>
      <c r="B4" s="9" t="s">
        <v>102</v>
      </c>
      <c r="C4" s="28" t="s">
        <v>105</v>
      </c>
      <c r="D4" s="28" t="s">
        <v>104</v>
      </c>
      <c r="E4" s="30">
        <v>6942.323695311891</v>
      </c>
    </row>
    <row r="5" ht="12.75" customHeight="1">
      <c r="A5" s="9" t="s">
        <v>43</v>
      </c>
      <c r="B5" s="9" t="s">
        <v>102</v>
      </c>
      <c r="C5" s="28" t="s">
        <v>105</v>
      </c>
      <c r="D5" s="28" t="s">
        <v>12</v>
      </c>
      <c r="E5" s="30">
        <v>6973.198185256777</v>
      </c>
    </row>
    <row r="6" ht="12.75" customHeight="1">
      <c r="A6" s="9" t="s">
        <v>43</v>
      </c>
      <c r="B6" s="9" t="s">
        <v>102</v>
      </c>
      <c r="C6" s="28" t="s">
        <v>105</v>
      </c>
      <c r="D6" s="9" t="s">
        <v>106</v>
      </c>
      <c r="E6" s="30">
        <v>6673.19818525678</v>
      </c>
    </row>
    <row r="7" ht="12.75" customHeight="1">
      <c r="A7" s="9"/>
      <c r="B7" s="9"/>
      <c r="D7" s="9"/>
      <c r="E7" s="30"/>
    </row>
    <row r="8" ht="12.75" customHeight="1">
      <c r="A8" s="9" t="s">
        <v>49</v>
      </c>
      <c r="B8" s="9" t="s">
        <v>102</v>
      </c>
      <c r="C8" s="28" t="s">
        <v>103</v>
      </c>
      <c r="D8" s="28" t="s">
        <v>104</v>
      </c>
      <c r="E8" s="30">
        <v>1721.872400341279</v>
      </c>
    </row>
    <row r="9" ht="12.75" customHeight="1">
      <c r="A9" s="9" t="s">
        <v>49</v>
      </c>
      <c r="B9" s="9" t="s">
        <v>102</v>
      </c>
      <c r="C9" s="28" t="s">
        <v>103</v>
      </c>
      <c r="D9" s="28" t="s">
        <v>12</v>
      </c>
      <c r="E9" s="30">
        <v>1682.4511473883313</v>
      </c>
    </row>
    <row r="10" ht="12.75" customHeight="1">
      <c r="A10" s="9" t="s">
        <v>49</v>
      </c>
      <c r="B10" s="9" t="s">
        <v>102</v>
      </c>
      <c r="C10" s="28" t="s">
        <v>105</v>
      </c>
      <c r="D10" s="28" t="s">
        <v>104</v>
      </c>
      <c r="E10" s="30">
        <v>2290.966819452924</v>
      </c>
    </row>
    <row r="11" ht="12.75" customHeight="1">
      <c r="A11" s="9" t="s">
        <v>49</v>
      </c>
      <c r="B11" s="9" t="s">
        <v>102</v>
      </c>
      <c r="C11" s="28" t="s">
        <v>105</v>
      </c>
      <c r="D11" s="28" t="s">
        <v>12</v>
      </c>
      <c r="E11" s="30">
        <v>2200.0</v>
      </c>
    </row>
    <row r="12" ht="12.75" customHeight="1">
      <c r="A12" s="9" t="s">
        <v>49</v>
      </c>
      <c r="B12" s="9" t="s">
        <v>102</v>
      </c>
      <c r="C12" s="28" t="s">
        <v>105</v>
      </c>
      <c r="D12" s="9" t="s">
        <v>106</v>
      </c>
      <c r="E12" s="30">
        <v>2202.1554011347375</v>
      </c>
    </row>
    <row r="13" ht="12.75" customHeight="1">
      <c r="A13" s="9"/>
      <c r="B13" s="9"/>
      <c r="D13" s="9"/>
      <c r="E13" s="30"/>
    </row>
    <row r="14" ht="12.75" customHeight="1">
      <c r="A14" s="9" t="s">
        <v>53</v>
      </c>
      <c r="B14" s="9" t="s">
        <v>102</v>
      </c>
      <c r="C14" s="28" t="s">
        <v>103</v>
      </c>
      <c r="D14" s="28" t="s">
        <v>104</v>
      </c>
      <c r="E14" s="30">
        <v>1147.9149335608527</v>
      </c>
    </row>
    <row r="15" ht="12.75" customHeight="1">
      <c r="A15" s="9" t="s">
        <v>53</v>
      </c>
      <c r="B15" s="9" t="s">
        <v>102</v>
      </c>
      <c r="C15" s="28" t="s">
        <v>103</v>
      </c>
      <c r="D15" s="28" t="s">
        <v>12</v>
      </c>
      <c r="E15" s="30">
        <v>1121.6340982588874</v>
      </c>
    </row>
    <row r="16" ht="12.75" customHeight="1">
      <c r="A16" s="9" t="s">
        <v>53</v>
      </c>
      <c r="B16" s="9" t="s">
        <v>102</v>
      </c>
      <c r="C16" s="28" t="s">
        <v>105</v>
      </c>
      <c r="D16" s="28" t="s">
        <v>104</v>
      </c>
      <c r="E16" s="30">
        <v>1527.311212968616</v>
      </c>
    </row>
    <row r="17" ht="12.75" customHeight="1">
      <c r="A17" s="9" t="s">
        <v>53</v>
      </c>
      <c r="B17" s="9" t="s">
        <v>102</v>
      </c>
      <c r="C17" s="28" t="s">
        <v>105</v>
      </c>
      <c r="D17" s="28" t="s">
        <v>12</v>
      </c>
      <c r="E17" s="30">
        <v>1470.0</v>
      </c>
    </row>
    <row r="18" ht="12.75" customHeight="1">
      <c r="A18" s="9" t="s">
        <v>53</v>
      </c>
      <c r="B18" s="9" t="s">
        <v>102</v>
      </c>
      <c r="C18" s="28" t="s">
        <v>105</v>
      </c>
      <c r="D18" s="9" t="s">
        <v>106</v>
      </c>
      <c r="E18" s="30">
        <v>1468.1036007564915</v>
      </c>
    </row>
    <row r="19" ht="12.75" customHeight="1">
      <c r="A19" s="9"/>
      <c r="B19" s="9"/>
      <c r="D19" s="9"/>
      <c r="E19" s="30"/>
    </row>
    <row r="20" ht="12.75" customHeight="1">
      <c r="A20" s="9" t="s">
        <v>56</v>
      </c>
      <c r="B20" s="9" t="s">
        <v>102</v>
      </c>
      <c r="C20" s="28" t="s">
        <v>103</v>
      </c>
      <c r="D20" s="28" t="s">
        <v>104</v>
      </c>
      <c r="E20" s="30">
        <v>581.779515254933</v>
      </c>
    </row>
    <row r="21" ht="12.75" customHeight="1">
      <c r="A21" s="9" t="s">
        <v>56</v>
      </c>
      <c r="B21" s="9" t="s">
        <v>102</v>
      </c>
      <c r="C21" s="28" t="s">
        <v>103</v>
      </c>
      <c r="D21" s="28" t="s">
        <v>12</v>
      </c>
      <c r="E21" s="30">
        <v>509.83368102676707</v>
      </c>
    </row>
    <row r="22" ht="12.75" customHeight="1">
      <c r="A22" s="9" t="s">
        <v>56</v>
      </c>
      <c r="B22" s="9" t="s">
        <v>102</v>
      </c>
      <c r="C22" s="28" t="s">
        <v>105</v>
      </c>
      <c r="D22" s="28" t="s">
        <v>104</v>
      </c>
      <c r="E22" s="30">
        <v>694.2323695311892</v>
      </c>
    </row>
    <row r="23" ht="12.75" customHeight="1">
      <c r="A23" s="9" t="s">
        <v>56</v>
      </c>
      <c r="B23" s="9" t="s">
        <v>102</v>
      </c>
      <c r="C23" s="28" t="s">
        <v>105</v>
      </c>
      <c r="D23" s="28" t="s">
        <v>12</v>
      </c>
      <c r="E23" s="30">
        <v>550.0</v>
      </c>
    </row>
    <row r="24" ht="12.75" customHeight="1">
      <c r="A24" s="9" t="s">
        <v>56</v>
      </c>
      <c r="B24" s="9" t="s">
        <v>102</v>
      </c>
      <c r="C24" s="28" t="s">
        <v>105</v>
      </c>
      <c r="D24" s="9" t="s">
        <v>106</v>
      </c>
      <c r="E24" s="30">
        <v>607.319818525678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25"/>
    <col customWidth="1" min="3" max="26" width="8.63"/>
  </cols>
  <sheetData>
    <row r="1" ht="12.75" customHeight="1">
      <c r="A1" s="31" t="s">
        <v>54</v>
      </c>
      <c r="B1" s="31" t="s">
        <v>107</v>
      </c>
      <c r="C1" s="31" t="s">
        <v>108</v>
      </c>
    </row>
    <row r="2" ht="12.75" customHeight="1">
      <c r="A2" s="12" t="s">
        <v>43</v>
      </c>
      <c r="B2" s="12" t="s">
        <v>109</v>
      </c>
      <c r="C2" s="17">
        <v>0.12</v>
      </c>
    </row>
    <row r="3" ht="12.75" customHeight="1">
      <c r="A3" s="12" t="s">
        <v>43</v>
      </c>
      <c r="B3" s="12" t="s">
        <v>110</v>
      </c>
      <c r="C3" s="17">
        <v>0.25</v>
      </c>
    </row>
    <row r="4" ht="12.75" customHeight="1">
      <c r="A4" s="12" t="s">
        <v>43</v>
      </c>
      <c r="B4" s="12" t="s">
        <v>111</v>
      </c>
      <c r="C4" s="17">
        <v>0.04</v>
      </c>
    </row>
    <row r="5" ht="12.75" customHeight="1">
      <c r="A5" s="12" t="s">
        <v>43</v>
      </c>
      <c r="B5" s="12" t="s">
        <v>112</v>
      </c>
      <c r="C5" s="17">
        <v>0.02</v>
      </c>
    </row>
    <row r="6" ht="12.75" customHeight="1">
      <c r="A6" s="12" t="s">
        <v>43</v>
      </c>
      <c r="B6" s="12" t="s">
        <v>113</v>
      </c>
      <c r="C6" s="17">
        <v>0.06</v>
      </c>
    </row>
    <row r="7" ht="12.75" customHeight="1">
      <c r="A7" s="12" t="s">
        <v>43</v>
      </c>
      <c r="B7" s="12" t="s">
        <v>114</v>
      </c>
      <c r="C7" s="17">
        <v>0.18</v>
      </c>
    </row>
    <row r="8" ht="12.75" customHeight="1">
      <c r="A8" s="12" t="s">
        <v>43</v>
      </c>
      <c r="B8" s="12" t="s">
        <v>115</v>
      </c>
      <c r="C8" s="17">
        <v>0.2</v>
      </c>
    </row>
    <row r="9" ht="12.75" customHeight="1">
      <c r="A9" s="12" t="s">
        <v>43</v>
      </c>
      <c r="B9" s="12" t="s">
        <v>116</v>
      </c>
      <c r="C9" s="17">
        <v>0.1</v>
      </c>
    </row>
    <row r="10" ht="12.75" customHeight="1">
      <c r="A10" s="12" t="s">
        <v>43</v>
      </c>
      <c r="B10" s="12" t="s">
        <v>117</v>
      </c>
      <c r="C10" s="17">
        <v>0.03</v>
      </c>
    </row>
    <row r="11" ht="12.75" customHeight="1">
      <c r="A11" s="9"/>
      <c r="B11" s="9"/>
      <c r="C11" s="9"/>
    </row>
    <row r="12" ht="12.75" customHeight="1">
      <c r="A12" s="12" t="s">
        <v>49</v>
      </c>
      <c r="B12" s="12" t="s">
        <v>109</v>
      </c>
      <c r="C12" s="17">
        <v>0.18</v>
      </c>
    </row>
    <row r="13" ht="12.75" customHeight="1">
      <c r="A13" s="12" t="s">
        <v>49</v>
      </c>
      <c r="B13" s="12" t="s">
        <v>110</v>
      </c>
      <c r="C13" s="17">
        <v>0.22</v>
      </c>
    </row>
    <row r="14" ht="12.75" customHeight="1">
      <c r="A14" s="12" t="s">
        <v>49</v>
      </c>
      <c r="B14" s="12" t="s">
        <v>111</v>
      </c>
      <c r="C14" s="17">
        <v>0.06</v>
      </c>
    </row>
    <row r="15" ht="12.75" customHeight="1">
      <c r="A15" s="12" t="s">
        <v>49</v>
      </c>
      <c r="B15" s="12" t="s">
        <v>112</v>
      </c>
      <c r="C15" s="17">
        <v>0.01</v>
      </c>
    </row>
    <row r="16" ht="12.75" customHeight="1">
      <c r="A16" s="12" t="s">
        <v>49</v>
      </c>
      <c r="B16" s="12" t="s">
        <v>113</v>
      </c>
      <c r="C16" s="17">
        <v>0.04</v>
      </c>
    </row>
    <row r="17" ht="12.75" customHeight="1">
      <c r="A17" s="12" t="s">
        <v>49</v>
      </c>
      <c r="B17" s="12" t="s">
        <v>114</v>
      </c>
      <c r="C17" s="17">
        <v>0.12</v>
      </c>
    </row>
    <row r="18" ht="12.75" customHeight="1">
      <c r="A18" s="12" t="s">
        <v>49</v>
      </c>
      <c r="B18" s="12" t="s">
        <v>115</v>
      </c>
      <c r="C18" s="17">
        <v>0.15</v>
      </c>
    </row>
    <row r="19" ht="12.75" customHeight="1">
      <c r="A19" s="12" t="s">
        <v>49</v>
      </c>
      <c r="B19" s="12" t="s">
        <v>116</v>
      </c>
      <c r="C19" s="17">
        <v>0.14</v>
      </c>
    </row>
    <row r="20" ht="12.75" customHeight="1">
      <c r="A20" s="12" t="s">
        <v>49</v>
      </c>
      <c r="B20" s="12" t="s">
        <v>117</v>
      </c>
      <c r="C20" s="17">
        <v>0.08</v>
      </c>
    </row>
    <row r="21" ht="12.75" customHeight="1">
      <c r="A21" s="9"/>
      <c r="B21" s="9"/>
      <c r="C21" s="9"/>
    </row>
    <row r="22" ht="12.75" customHeight="1">
      <c r="A22" s="12" t="s">
        <v>53</v>
      </c>
      <c r="B22" s="12" t="s">
        <v>109</v>
      </c>
      <c r="C22" s="17">
        <v>0.22</v>
      </c>
    </row>
    <row r="23" ht="12.75" customHeight="1">
      <c r="A23" s="12" t="s">
        <v>53</v>
      </c>
      <c r="B23" s="12" t="s">
        <v>110</v>
      </c>
      <c r="C23" s="17">
        <v>0.3</v>
      </c>
    </row>
    <row r="24" ht="12.75" customHeight="1">
      <c r="A24" s="12" t="s">
        <v>53</v>
      </c>
      <c r="B24" s="12" t="s">
        <v>111</v>
      </c>
      <c r="C24" s="17">
        <v>0.08</v>
      </c>
    </row>
    <row r="25" ht="12.75" customHeight="1">
      <c r="A25" s="12" t="s">
        <v>53</v>
      </c>
      <c r="B25" s="12" t="s">
        <v>112</v>
      </c>
      <c r="C25" s="17">
        <v>0.01</v>
      </c>
    </row>
    <row r="26" ht="12.75" customHeight="1">
      <c r="A26" s="12" t="s">
        <v>53</v>
      </c>
      <c r="B26" s="12" t="s">
        <v>113</v>
      </c>
      <c r="C26" s="17">
        <v>0.03</v>
      </c>
    </row>
    <row r="27" ht="12.75" customHeight="1">
      <c r="A27" s="12" t="s">
        <v>53</v>
      </c>
      <c r="B27" s="12" t="s">
        <v>114</v>
      </c>
      <c r="C27" s="17">
        <v>0.06</v>
      </c>
    </row>
    <row r="28" ht="12.75" customHeight="1">
      <c r="A28" s="12" t="s">
        <v>53</v>
      </c>
      <c r="B28" s="12" t="s">
        <v>115</v>
      </c>
      <c r="C28" s="17">
        <v>0.1</v>
      </c>
    </row>
    <row r="29" ht="12.75" customHeight="1">
      <c r="A29" s="12" t="s">
        <v>53</v>
      </c>
      <c r="B29" s="12" t="s">
        <v>116</v>
      </c>
      <c r="C29" s="17">
        <v>0.12</v>
      </c>
    </row>
    <row r="30" ht="12.75" customHeight="1">
      <c r="A30" s="12" t="s">
        <v>53</v>
      </c>
      <c r="B30" s="12" t="s">
        <v>117</v>
      </c>
      <c r="C30" s="17">
        <v>0.08</v>
      </c>
    </row>
    <row r="31" ht="12.75" customHeight="1">
      <c r="A31" s="9"/>
      <c r="B31" s="9"/>
      <c r="C31" s="9"/>
    </row>
    <row r="32" ht="12.75" customHeight="1">
      <c r="A32" s="12" t="s">
        <v>56</v>
      </c>
      <c r="B32" s="12" t="s">
        <v>109</v>
      </c>
      <c r="C32" s="17">
        <v>0.27</v>
      </c>
    </row>
    <row r="33" ht="12.75" customHeight="1">
      <c r="A33" s="12" t="s">
        <v>56</v>
      </c>
      <c r="B33" s="12" t="s">
        <v>110</v>
      </c>
      <c r="C33" s="17">
        <v>0.2</v>
      </c>
    </row>
    <row r="34" ht="12.75" customHeight="1">
      <c r="A34" s="12" t="s">
        <v>56</v>
      </c>
      <c r="B34" s="12" t="s">
        <v>111</v>
      </c>
      <c r="C34" s="17">
        <v>0.07</v>
      </c>
    </row>
    <row r="35" ht="12.75" customHeight="1">
      <c r="A35" s="12" t="s">
        <v>56</v>
      </c>
      <c r="B35" s="12" t="s">
        <v>112</v>
      </c>
      <c r="C35" s="17">
        <v>0.03</v>
      </c>
    </row>
    <row r="36" ht="12.75" customHeight="1">
      <c r="A36" s="12" t="s">
        <v>56</v>
      </c>
      <c r="B36" s="12" t="s">
        <v>113</v>
      </c>
      <c r="C36" s="17">
        <v>0.03</v>
      </c>
    </row>
    <row r="37" ht="12.75" customHeight="1">
      <c r="A37" s="12" t="s">
        <v>56</v>
      </c>
      <c r="B37" s="12" t="s">
        <v>114</v>
      </c>
      <c r="C37" s="17">
        <v>0.06</v>
      </c>
    </row>
    <row r="38" ht="12.75" customHeight="1">
      <c r="A38" s="12" t="s">
        <v>56</v>
      </c>
      <c r="B38" s="12" t="s">
        <v>115</v>
      </c>
      <c r="C38" s="17">
        <v>0.14</v>
      </c>
    </row>
    <row r="39" ht="12.75" customHeight="1">
      <c r="A39" s="12" t="s">
        <v>56</v>
      </c>
      <c r="B39" s="12" t="s">
        <v>116</v>
      </c>
      <c r="C39" s="17">
        <v>0.1</v>
      </c>
    </row>
    <row r="40" ht="12.75" customHeight="1">
      <c r="A40" s="12" t="s">
        <v>56</v>
      </c>
      <c r="B40" s="12" t="s">
        <v>117</v>
      </c>
      <c r="C40" s="17">
        <v>0.1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4.63"/>
    <col customWidth="1" min="3" max="6" width="11.38"/>
    <col customWidth="1" min="7" max="26" width="8.63"/>
  </cols>
  <sheetData>
    <row r="1" ht="12.75" customHeight="1">
      <c r="A1" s="8" t="s">
        <v>54</v>
      </c>
      <c r="B1" s="8" t="s">
        <v>62</v>
      </c>
      <c r="C1" s="32" t="s">
        <v>118</v>
      </c>
      <c r="D1" s="25"/>
      <c r="E1" s="25"/>
      <c r="F1" s="25"/>
    </row>
    <row r="2" ht="12.75" customHeight="1">
      <c r="A2" s="12" t="s">
        <v>43</v>
      </c>
      <c r="B2" s="12" t="s">
        <v>119</v>
      </c>
      <c r="C2" s="14">
        <v>166.66666666666669</v>
      </c>
      <c r="D2" s="24"/>
      <c r="E2" s="24"/>
      <c r="F2" s="24"/>
    </row>
    <row r="3" ht="12.75" customHeight="1">
      <c r="A3" s="12" t="s">
        <v>43</v>
      </c>
      <c r="B3" s="12" t="s">
        <v>120</v>
      </c>
      <c r="C3" s="14">
        <v>333.33333333333337</v>
      </c>
      <c r="D3" s="24"/>
      <c r="E3" s="24"/>
      <c r="F3" s="24"/>
    </row>
    <row r="4" ht="12.75" customHeight="1">
      <c r="A4" s="12" t="s">
        <v>43</v>
      </c>
      <c r="B4" s="12" t="s">
        <v>121</v>
      </c>
      <c r="C4" s="14">
        <v>250.0</v>
      </c>
      <c r="D4" s="24"/>
      <c r="E4" s="24"/>
      <c r="F4" s="24"/>
    </row>
    <row r="5" ht="12.75" customHeight="1">
      <c r="A5" s="12" t="s">
        <v>43</v>
      </c>
      <c r="B5" s="12" t="s">
        <v>112</v>
      </c>
      <c r="C5" s="14">
        <v>83.33333333333334</v>
      </c>
      <c r="D5" s="24"/>
      <c r="E5" s="24"/>
      <c r="F5" s="24"/>
    </row>
    <row r="6" ht="12.75" customHeight="1">
      <c r="A6" s="12" t="s">
        <v>43</v>
      </c>
      <c r="B6" s="12" t="s">
        <v>63</v>
      </c>
      <c r="C6" s="14">
        <v>833.3333333333334</v>
      </c>
      <c r="D6" s="24"/>
      <c r="E6" s="24"/>
      <c r="F6" s="24"/>
    </row>
    <row r="7" ht="12.75" customHeight="1">
      <c r="A7" s="12" t="s">
        <v>43</v>
      </c>
      <c r="B7" s="12" t="s">
        <v>122</v>
      </c>
      <c r="C7" s="14">
        <v>416.6666666666667</v>
      </c>
      <c r="D7" s="24"/>
      <c r="E7" s="24"/>
      <c r="F7" s="24"/>
    </row>
    <row r="8" ht="12.75" customHeight="1">
      <c r="A8" s="12" t="s">
        <v>43</v>
      </c>
      <c r="B8" s="12" t="s">
        <v>123</v>
      </c>
      <c r="C8" s="14">
        <v>104.16666666666667</v>
      </c>
      <c r="D8" s="24"/>
      <c r="E8" s="24"/>
      <c r="F8" s="24"/>
    </row>
    <row r="9" ht="12.75" customHeight="1">
      <c r="A9" s="12" t="s">
        <v>43</v>
      </c>
      <c r="B9" s="12" t="s">
        <v>124</v>
      </c>
      <c r="C9" s="14">
        <v>520.8333333333334</v>
      </c>
      <c r="D9" s="24"/>
      <c r="E9" s="24"/>
      <c r="F9" s="24"/>
    </row>
    <row r="10" ht="12.75" customHeight="1">
      <c r="A10" s="12" t="s">
        <v>43</v>
      </c>
      <c r="B10" s="12" t="s">
        <v>125</v>
      </c>
      <c r="C10" s="14">
        <v>312.5</v>
      </c>
      <c r="D10" s="24"/>
      <c r="E10" s="24"/>
      <c r="F10" s="24"/>
    </row>
    <row r="11" ht="12.75" customHeight="1">
      <c r="A11" s="9"/>
      <c r="B11" s="9"/>
      <c r="C11" s="9"/>
      <c r="D11" s="24"/>
      <c r="E11" s="24"/>
      <c r="F11" s="24"/>
    </row>
    <row r="12" ht="12.75" customHeight="1">
      <c r="A12" s="12" t="s">
        <v>49</v>
      </c>
      <c r="B12" s="12" t="s">
        <v>119</v>
      </c>
      <c r="C12" s="14">
        <f>Data!$H$19/12*0.2</f>
        <v>87.08333333</v>
      </c>
      <c r="D12" s="24"/>
      <c r="E12" s="24"/>
      <c r="F12" s="24"/>
    </row>
    <row r="13" ht="12.75" customHeight="1">
      <c r="A13" s="12" t="s">
        <v>49</v>
      </c>
      <c r="B13" s="12" t="s">
        <v>120</v>
      </c>
      <c r="C13" s="14">
        <f>Data!$H$19/12*0.4</f>
        <v>174.1666667</v>
      </c>
      <c r="D13" s="24"/>
      <c r="E13" s="24"/>
      <c r="F13" s="24"/>
    </row>
    <row r="14" ht="12.75" customHeight="1">
      <c r="A14" s="12" t="s">
        <v>49</v>
      </c>
      <c r="B14" s="12" t="s">
        <v>121</v>
      </c>
      <c r="C14" s="14">
        <f>Data!$H$19/12*0.3</f>
        <v>130.625</v>
      </c>
      <c r="D14" s="24"/>
      <c r="E14" s="24"/>
      <c r="F14" s="24"/>
    </row>
    <row r="15" ht="12.75" customHeight="1">
      <c r="A15" s="12" t="s">
        <v>49</v>
      </c>
      <c r="B15" s="12" t="s">
        <v>112</v>
      </c>
      <c r="C15" s="14">
        <f>Data!$H$19/12*0.1</f>
        <v>43.54166667</v>
      </c>
      <c r="D15" s="24"/>
      <c r="E15" s="24"/>
      <c r="F15" s="24"/>
    </row>
    <row r="16" ht="12.75" customHeight="1">
      <c r="A16" s="12" t="s">
        <v>49</v>
      </c>
      <c r="B16" s="12" t="s">
        <v>63</v>
      </c>
      <c r="C16" s="14">
        <f>SUM(C12:C15)</f>
        <v>435.4166667</v>
      </c>
      <c r="D16" s="24"/>
      <c r="E16" s="24"/>
      <c r="F16" s="24"/>
    </row>
    <row r="17" ht="12.75" customHeight="1">
      <c r="A17" s="12" t="s">
        <v>49</v>
      </c>
      <c r="B17" s="12" t="s">
        <v>122</v>
      </c>
      <c r="C17" s="14">
        <f>C16/2</f>
        <v>217.7083333</v>
      </c>
      <c r="D17" s="24"/>
      <c r="E17" s="24"/>
      <c r="F17" s="24"/>
    </row>
    <row r="18" ht="12.75" customHeight="1">
      <c r="A18" s="12" t="s">
        <v>49</v>
      </c>
      <c r="B18" s="12" t="s">
        <v>123</v>
      </c>
      <c r="C18" s="14">
        <f>C17/4</f>
        <v>54.42708333</v>
      </c>
      <c r="D18" s="24"/>
      <c r="E18" s="24"/>
      <c r="F18" s="24"/>
    </row>
    <row r="19" ht="12.75" customHeight="1">
      <c r="A19" s="12" t="s">
        <v>49</v>
      </c>
      <c r="B19" s="12" t="s">
        <v>124</v>
      </c>
      <c r="C19" s="14">
        <f>SUM(C17:C18)</f>
        <v>272.1354167</v>
      </c>
      <c r="D19" s="24"/>
      <c r="E19" s="24"/>
      <c r="F19" s="24"/>
    </row>
    <row r="20" ht="12.75" customHeight="1">
      <c r="A20" s="12" t="s">
        <v>49</v>
      </c>
      <c r="B20" s="12" t="s">
        <v>125</v>
      </c>
      <c r="C20" s="14">
        <f>C16-C19</f>
        <v>163.28125</v>
      </c>
      <c r="D20" s="24"/>
      <c r="E20" s="24"/>
      <c r="F20" s="24"/>
    </row>
    <row r="21" ht="12.75" customHeight="1">
      <c r="A21" s="9"/>
      <c r="B21" s="9"/>
      <c r="C21" s="9"/>
      <c r="D21" s="24"/>
      <c r="E21" s="24"/>
      <c r="F21" s="24"/>
    </row>
    <row r="22" ht="12.75" customHeight="1">
      <c r="A22" s="12" t="s">
        <v>53</v>
      </c>
      <c r="B22" s="12" t="s">
        <v>119</v>
      </c>
      <c r="C22" s="14">
        <f>Data!$H$36/12*0.2</f>
        <v>201.6666667</v>
      </c>
      <c r="D22" s="24"/>
      <c r="E22" s="24"/>
      <c r="F22" s="24"/>
    </row>
    <row r="23" ht="12.75" customHeight="1">
      <c r="A23" s="12" t="s">
        <v>53</v>
      </c>
      <c r="B23" s="12" t="s">
        <v>120</v>
      </c>
      <c r="C23" s="14">
        <f>Data!$H$36/12*0.4</f>
        <v>403.3333333</v>
      </c>
      <c r="D23" s="24"/>
      <c r="E23" s="24"/>
      <c r="F23" s="24"/>
    </row>
    <row r="24" ht="12.75" customHeight="1">
      <c r="A24" s="12" t="s">
        <v>53</v>
      </c>
      <c r="B24" s="12" t="s">
        <v>121</v>
      </c>
      <c r="C24" s="14">
        <f>Data!$H$36/12*0.3</f>
        <v>302.5</v>
      </c>
      <c r="D24" s="24"/>
      <c r="E24" s="24"/>
      <c r="F24" s="24"/>
    </row>
    <row r="25" ht="12.75" customHeight="1">
      <c r="A25" s="12" t="s">
        <v>53</v>
      </c>
      <c r="B25" s="12" t="s">
        <v>112</v>
      </c>
      <c r="C25" s="14">
        <f>Data!$H$36/12*0.1</f>
        <v>100.8333333</v>
      </c>
      <c r="D25" s="24"/>
      <c r="E25" s="24"/>
      <c r="F25" s="24"/>
    </row>
    <row r="26" ht="12.75" customHeight="1">
      <c r="A26" s="12" t="s">
        <v>53</v>
      </c>
      <c r="B26" s="12" t="s">
        <v>63</v>
      </c>
      <c r="C26" s="14">
        <f>SUM(C22:C25)</f>
        <v>1008.333333</v>
      </c>
      <c r="D26" s="24"/>
      <c r="E26" s="24"/>
      <c r="F26" s="24"/>
    </row>
    <row r="27" ht="12.75" customHeight="1">
      <c r="A27" s="12" t="s">
        <v>53</v>
      </c>
      <c r="B27" s="12" t="s">
        <v>122</v>
      </c>
      <c r="C27" s="14">
        <f>C26/2</f>
        <v>504.1666667</v>
      </c>
      <c r="D27" s="24"/>
      <c r="E27" s="24"/>
      <c r="F27" s="24"/>
    </row>
    <row r="28" ht="12.75" customHeight="1">
      <c r="A28" s="12" t="s">
        <v>53</v>
      </c>
      <c r="B28" s="12" t="s">
        <v>123</v>
      </c>
      <c r="C28" s="14">
        <f>C27/4</f>
        <v>126.0416667</v>
      </c>
      <c r="D28" s="24"/>
      <c r="E28" s="24"/>
      <c r="F28" s="24"/>
    </row>
    <row r="29" ht="12.75" customHeight="1">
      <c r="A29" s="12" t="s">
        <v>53</v>
      </c>
      <c r="B29" s="12" t="s">
        <v>124</v>
      </c>
      <c r="C29" s="14">
        <f>SUM(C27:C28)</f>
        <v>630.2083333</v>
      </c>
      <c r="D29" s="24"/>
      <c r="E29" s="24"/>
      <c r="F29" s="24"/>
    </row>
    <row r="30" ht="12.75" customHeight="1">
      <c r="A30" s="12" t="s">
        <v>53</v>
      </c>
      <c r="B30" s="12" t="s">
        <v>125</v>
      </c>
      <c r="C30" s="14">
        <f>C26-C29</f>
        <v>378.125</v>
      </c>
      <c r="D30" s="24"/>
      <c r="E30" s="24"/>
      <c r="F30" s="24"/>
    </row>
    <row r="31" ht="12.75" customHeight="1">
      <c r="A31" s="9"/>
      <c r="B31" s="9"/>
      <c r="C31" s="9"/>
      <c r="D31" s="24"/>
      <c r="E31" s="24"/>
      <c r="F31" s="24"/>
    </row>
    <row r="32" ht="12.75" customHeight="1">
      <c r="A32" s="12" t="s">
        <v>56</v>
      </c>
      <c r="B32" s="12" t="s">
        <v>119</v>
      </c>
      <c r="C32" s="14">
        <f>Data!$H$53/12*0.2</f>
        <v>183.3333333</v>
      </c>
      <c r="D32" s="24"/>
      <c r="E32" s="24"/>
      <c r="F32" s="24"/>
    </row>
    <row r="33" ht="12.75" customHeight="1">
      <c r="A33" s="12" t="s">
        <v>56</v>
      </c>
      <c r="B33" s="12" t="s">
        <v>120</v>
      </c>
      <c r="C33" s="14">
        <f>Data!$H$53/12*0.4</f>
        <v>366.6666667</v>
      </c>
      <c r="D33" s="24"/>
      <c r="E33" s="24"/>
      <c r="F33" s="24"/>
    </row>
    <row r="34" ht="12.75" customHeight="1">
      <c r="A34" s="12" t="s">
        <v>56</v>
      </c>
      <c r="B34" s="12" t="s">
        <v>121</v>
      </c>
      <c r="C34" s="14">
        <f>Data!$H$53/12*0.3</f>
        <v>275</v>
      </c>
      <c r="D34" s="24"/>
      <c r="E34" s="24"/>
      <c r="F34" s="24"/>
    </row>
    <row r="35" ht="12.75" customHeight="1">
      <c r="A35" s="12" t="s">
        <v>56</v>
      </c>
      <c r="B35" s="12" t="s">
        <v>112</v>
      </c>
      <c r="C35" s="14">
        <f>Data!$H$53/12*0.1</f>
        <v>91.66666667</v>
      </c>
      <c r="D35" s="24"/>
      <c r="E35" s="24"/>
      <c r="F35" s="24"/>
    </row>
    <row r="36" ht="12.75" customHeight="1">
      <c r="A36" s="12" t="s">
        <v>56</v>
      </c>
      <c r="B36" s="12" t="s">
        <v>63</v>
      </c>
      <c r="C36" s="14">
        <f>SUM(C32:C35)</f>
        <v>916.6666667</v>
      </c>
      <c r="D36" s="24"/>
      <c r="E36" s="24"/>
      <c r="F36" s="24"/>
    </row>
    <row r="37" ht="12.75" customHeight="1">
      <c r="A37" s="12" t="s">
        <v>56</v>
      </c>
      <c r="B37" s="12" t="s">
        <v>122</v>
      </c>
      <c r="C37" s="14">
        <f>C36/2</f>
        <v>458.3333333</v>
      </c>
      <c r="D37" s="24"/>
      <c r="E37" s="24"/>
      <c r="F37" s="24"/>
    </row>
    <row r="38" ht="12.75" customHeight="1">
      <c r="A38" s="12" t="s">
        <v>56</v>
      </c>
      <c r="B38" s="12" t="s">
        <v>123</v>
      </c>
      <c r="C38" s="14">
        <f>C37/4</f>
        <v>114.5833333</v>
      </c>
      <c r="D38" s="24"/>
      <c r="E38" s="24"/>
      <c r="F38" s="24"/>
    </row>
    <row r="39" ht="12.75" customHeight="1">
      <c r="A39" s="12" t="s">
        <v>56</v>
      </c>
      <c r="B39" s="12" t="s">
        <v>124</v>
      </c>
      <c r="C39" s="14">
        <f>SUM(C37:C38)</f>
        <v>572.9166667</v>
      </c>
      <c r="D39" s="24"/>
      <c r="E39" s="24"/>
      <c r="F39" s="24"/>
    </row>
    <row r="40" ht="12.75" customHeight="1">
      <c r="A40" s="12" t="s">
        <v>56</v>
      </c>
      <c r="B40" s="12" t="s">
        <v>125</v>
      </c>
      <c r="C40" s="14">
        <f>C36-C39</f>
        <v>343.75</v>
      </c>
      <c r="D40" s="24"/>
      <c r="E40" s="24"/>
      <c r="F40" s="24"/>
    </row>
    <row r="41" ht="12.75" customHeight="1">
      <c r="A41" s="9"/>
      <c r="B41" s="9"/>
    </row>
    <row r="42" ht="12.75" customHeight="1">
      <c r="A42" s="9"/>
      <c r="B42" s="9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>
      <c r="A67" s="9"/>
      <c r="B67" s="9"/>
      <c r="D67" s="9"/>
      <c r="E67" s="30"/>
    </row>
    <row r="68" ht="12.75" customHeight="1">
      <c r="A68" s="9"/>
      <c r="B68" s="9"/>
      <c r="D68" s="9"/>
      <c r="E68" s="30"/>
    </row>
    <row r="69" ht="12.75" customHeight="1">
      <c r="A69" s="9"/>
      <c r="B69" s="9"/>
    </row>
    <row r="70" ht="12.75" customHeight="1">
      <c r="A70" s="10"/>
      <c r="B70" s="10"/>
      <c r="C70" s="10"/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>
      <c r="C128" s="12"/>
    </row>
    <row r="129" ht="12.75" customHeight="1">
      <c r="C129" s="12"/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1.75"/>
    <col customWidth="1" min="3" max="3" width="12.13"/>
    <col customWidth="1" min="4" max="5" width="9.75"/>
    <col customWidth="1" min="6" max="6" width="10.25"/>
    <col customWidth="1" min="7" max="7" width="11.13"/>
    <col customWidth="1" min="8" max="9" width="9.63"/>
    <col customWidth="1" min="10" max="10" width="11.0"/>
    <col customWidth="1" min="11" max="26" width="8.63"/>
  </cols>
  <sheetData>
    <row r="1" ht="12.75" customHeight="1"/>
    <row r="2" ht="12.75" customHeight="1">
      <c r="A2" s="8" t="s">
        <v>126</v>
      </c>
      <c r="B2" s="11" t="str">
        <f>Summary!J10</f>
        <v>FY 14</v>
      </c>
      <c r="C2" s="11" t="str">
        <f>Summary!K10</f>
        <v>FY 15</v>
      </c>
      <c r="D2" s="11" t="str">
        <f>Summary!L10</f>
        <v>FY 16</v>
      </c>
      <c r="E2" s="11" t="str">
        <f>Summary!M10</f>
        <v>FY 17</v>
      </c>
      <c r="F2" s="11" t="str">
        <f>Summary!N10</f>
        <v>FY 18</v>
      </c>
      <c r="G2" s="11" t="str">
        <f>Summary!O10</f>
        <v>FY 19</v>
      </c>
    </row>
    <row r="3" ht="12.75" customHeight="1">
      <c r="A3" s="28" t="str">
        <f>Lists!B3</f>
        <v>Core Deposits</v>
      </c>
      <c r="B3" s="15">
        <f>SUMPRODUCT((Data!$B$2:$B$68=$A3)*(Data!$A$2:$A$68=$A$7)*(Data!$C$1:$K$1=B$2)*(Data!$C$2:$K$68))</f>
        <v>154465.5</v>
      </c>
      <c r="C3" s="15">
        <f>SUMPRODUCT((Data!$B$2:$B$68=$A3)*(Data!$A$2:$A$68=$A$7)*(Data!$C$1:$K$1=C$2)*(Data!$C$2:$K$68))</f>
        <v>137450</v>
      </c>
      <c r="D3" s="15">
        <f>SUMPRODUCT((Data!$B$2:$B$68=$A3)*(Data!$A$2:$A$68=$A$7)*(Data!$C$1:$K$1=D$2)*(Data!$C$2:$K$68))</f>
        <v>164575</v>
      </c>
      <c r="E3" s="15">
        <f>SUMPRODUCT((Data!$B$2:$B$68=$A3)*(Data!$A$2:$A$68=$A$7)*(Data!$C$1:$K$1=E$2)*(Data!$C$2:$K$68))</f>
        <v>152959</v>
      </c>
      <c r="F3" s="15">
        <f>SUMPRODUCT((Data!$B$2:$B$68=$A3)*(Data!$A$2:$A$68=$A$7)*(Data!$C$1:$K$1=F$2)*(Data!$C$2:$K$68))</f>
        <v>147959</v>
      </c>
      <c r="G3" s="15">
        <f>SUMPRODUCT((Data!$B$2:$B$68=$A3)*(Data!$A$2:$A$68=$A$7)*(Data!$C$1:$K$1=G$2)*(Data!$C$2:$K$68))</f>
        <v>153561.5</v>
      </c>
    </row>
    <row r="4" ht="12.75" customHeight="1">
      <c r="A4" s="9" t="s">
        <v>12</v>
      </c>
      <c r="B4" s="15">
        <f>SUMPRODUCT((Plan!$B$2:$B$68=$A3)*(Plan!$A$2:$A$68=$A$7)*(Plan!$C$1:$K$1=B$2)*(Plan!$C$2:$K$68))</f>
        <v>158481.603</v>
      </c>
      <c r="C4" s="15">
        <f>SUMPRODUCT((Plan!$B$2:$B$68=$A3)*(Plan!$A$2:$A$68=$A$7)*(Plan!$C$1:$K$1=C$2)*(Plan!$C$2:$K$68))</f>
        <v>148171.1</v>
      </c>
      <c r="D4" s="15">
        <f>SUMPRODUCT((Plan!$B$2:$B$68=$A3)*(Plan!$A$2:$A$68=$A$7)*(Plan!$C$1:$K$1=D$2)*(Plan!$C$2:$K$68))</f>
        <v>168853.95</v>
      </c>
      <c r="E4" s="15">
        <f>SUMPRODUCT((Plan!$B$2:$B$68=$A3)*(Plan!$A$2:$A$68=$A$7)*(Plan!$C$1:$K$1=E$2)*(Plan!$C$2:$K$68))</f>
        <v>155895.8128</v>
      </c>
      <c r="F4" s="15">
        <f>SUMPRODUCT((Plan!$B$2:$B$68=$A3)*(Plan!$A$2:$A$68=$A$7)*(Plan!$C$1:$K$1=F$2)*(Plan!$C$2:$K$68))</f>
        <v>147944.2041</v>
      </c>
      <c r="G4" s="15">
        <f>SUMPRODUCT((Plan!$B$2:$B$68=$A3)*(Plan!$A$2:$A$68=$A$7)*(Plan!$C$1:$K$1=G$2)*(Plan!$C$2:$K$68))</f>
        <v>153500.0754</v>
      </c>
    </row>
    <row r="5" ht="12.75" customHeight="1"/>
    <row r="6" ht="12.75" customHeight="1"/>
    <row r="7" ht="12.75" customHeight="1">
      <c r="A7" s="31" t="str">
        <f>Lists!B5</f>
        <v>Scotland</v>
      </c>
      <c r="B7" s="31" t="str">
        <f>Data!C1</f>
        <v>FY 12</v>
      </c>
      <c r="C7" s="31" t="str">
        <f>Data!D1</f>
        <v>FY 13</v>
      </c>
      <c r="D7" s="31" t="str">
        <f>Data!E1</f>
        <v>FY 14</v>
      </c>
      <c r="E7" s="31" t="str">
        <f>Data!F1</f>
        <v>FY 15</v>
      </c>
      <c r="F7" s="31" t="str">
        <f>Data!G1</f>
        <v>FY 16</v>
      </c>
      <c r="G7" s="31" t="str">
        <f>Data!H1</f>
        <v>FY 17</v>
      </c>
      <c r="H7" s="31" t="str">
        <f>Data!I1</f>
        <v>FY 18</v>
      </c>
      <c r="I7" s="31" t="str">
        <f>Data!J1</f>
        <v>FY 19</v>
      </c>
      <c r="J7" s="31" t="str">
        <f>Data!K1</f>
        <v>FY 20</v>
      </c>
    </row>
    <row r="8" ht="12.75" customHeight="1">
      <c r="A8" s="12" t="s">
        <v>63</v>
      </c>
      <c r="B8" s="33">
        <f>SUMPRODUCT((Data!$B$2:$B$68=$A8)*(Data!$A$2:$A$68=$A$7)*(Data!C$2:C$68))</f>
        <v>3330</v>
      </c>
      <c r="C8" s="33">
        <f>SUMPRODUCT((Data!$B$2:$B$68=$A8)*(Data!$A$2:$A$68=$A$7)*(Data!D$2:D$68))</f>
        <v>3685.5</v>
      </c>
      <c r="D8" s="33">
        <f>SUMPRODUCT((Data!$B$2:$B$68=$A8)*(Data!$A$2:$A$68=$A$7)*(Data!E$2:E$68))</f>
        <v>3818</v>
      </c>
      <c r="E8" s="33">
        <f>SUMPRODUCT((Data!$B$2:$B$68=$A8)*(Data!$A$2:$A$68=$A$7)*(Data!F$2:F$68))</f>
        <v>4464</v>
      </c>
      <c r="F8" s="33">
        <f>SUMPRODUCT((Data!$B$2:$B$68=$A8)*(Data!$A$2:$A$68=$A$7)*(Data!G$2:G$68))</f>
        <v>4794</v>
      </c>
      <c r="G8" s="33">
        <f>SUMPRODUCT((Data!$B$2:$B$68=$A8)*(Data!$A$2:$A$68=$A$7)*(Data!H$2:H$68))</f>
        <v>5225</v>
      </c>
      <c r="H8" s="33">
        <f>SUMPRODUCT((Data!$B$2:$B$68=$A8)*(Data!$A$2:$A$68=$A$7)*(Data!I$2:I$68))</f>
        <v>5376</v>
      </c>
      <c r="I8" s="33">
        <f>SUMPRODUCT((Data!$B$2:$B$68=$A8)*(Data!$A$2:$A$68=$A$7)*(Data!J$2:J$68))</f>
        <v>4794</v>
      </c>
      <c r="J8" s="33">
        <f>SUMPRODUCT((Data!$B$2:$B$68=$A8)*(Data!$A$2:$A$68=$A$7)*(Data!K$2:K$68))</f>
        <v>5225</v>
      </c>
    </row>
    <row r="9" ht="12.75" customHeight="1">
      <c r="A9" s="12" t="s">
        <v>64</v>
      </c>
      <c r="B9" s="33">
        <f>SUMPRODUCT((Data!$B$2:$B$68=$A9)*(Data!$A$2:$A$68=$A$7)*(Data!C$2:C$68))</f>
        <v>13005</v>
      </c>
      <c r="C9" s="33">
        <f>SUMPRODUCT((Data!$B$2:$B$68=$A9)*(Data!$A$2:$A$68=$A$7)*(Data!D$2:D$68))</f>
        <v>15273.895</v>
      </c>
      <c r="D9" s="33">
        <f>SUMPRODUCT((Data!$B$2:$B$68=$A9)*(Data!$A$2:$A$68=$A$7)*(Data!E$2:E$68))</f>
        <v>15875.06</v>
      </c>
      <c r="E9" s="33">
        <f>SUMPRODUCT((Data!$B$2:$B$68=$A9)*(Data!$A$2:$A$68=$A$7)*(Data!F$2:F$68))</f>
        <v>16590.27</v>
      </c>
      <c r="F9" s="33">
        <f>SUMPRODUCT((Data!$B$2:$B$68=$A9)*(Data!$A$2:$A$68=$A$7)*(Data!G$2:G$68))</f>
        <v>18318.72</v>
      </c>
      <c r="G9" s="33">
        <f>SUMPRODUCT((Data!$B$2:$B$68=$A9)*(Data!$A$2:$A$68=$A$7)*(Data!H$2:H$68))</f>
        <v>19006.65</v>
      </c>
      <c r="H9" s="33">
        <f>SUMPRODUCT((Data!$B$2:$B$68=$A9)*(Data!$A$2:$A$68=$A$7)*(Data!I$2:I$68))</f>
        <v>24008.4</v>
      </c>
      <c r="I9" s="33">
        <f>SUMPRODUCT((Data!$B$2:$B$68=$A9)*(Data!$A$2:$A$68=$A$7)*(Data!J$2:J$68))</f>
        <v>18318.72</v>
      </c>
      <c r="J9" s="33">
        <f>SUMPRODUCT((Data!$B$2:$B$68=$A9)*(Data!$A$2:$A$68=$A$7)*(Data!K$2:K$68))</f>
        <v>19006.65</v>
      </c>
    </row>
    <row r="10" ht="12.75" customHeight="1">
      <c r="A10" s="12" t="s">
        <v>65</v>
      </c>
      <c r="B10" s="34">
        <f>SUMPRODUCT((Data!$B$2:$B$68=$A10)*(Data!$A$2:$A$68=$A$7)*(Data!C$2:C$68))</f>
        <v>2.1</v>
      </c>
      <c r="C10" s="34">
        <f>SUMPRODUCT((Data!$B$2:$B$68=$A10)*(Data!$A$2:$A$68=$A$7)*(Data!D$2:D$68))</f>
        <v>2.2</v>
      </c>
      <c r="D10" s="34">
        <f>SUMPRODUCT((Data!$B$2:$B$68=$A10)*(Data!$A$2:$A$68=$A$7)*(Data!E$2:E$68))</f>
        <v>2.35</v>
      </c>
      <c r="E10" s="34">
        <f>SUMPRODUCT((Data!$B$2:$B$68=$A10)*(Data!$A$2:$A$68=$A$7)*(Data!F$2:F$68))</f>
        <v>2.4</v>
      </c>
      <c r="F10" s="34">
        <f>SUMPRODUCT((Data!$B$2:$B$68=$A10)*(Data!$A$2:$A$68=$A$7)*(Data!G$2:G$68))</f>
        <v>2.45</v>
      </c>
      <c r="G10" s="34">
        <f>SUMPRODUCT((Data!$B$2:$B$68=$A10)*(Data!$A$2:$A$68=$A$7)*(Data!H$2:H$68))</f>
        <v>3.2</v>
      </c>
      <c r="H10" s="34">
        <f>SUMPRODUCT((Data!$B$2:$B$68=$A10)*(Data!$A$2:$A$68=$A$7)*(Data!I$2:I$68))</f>
        <v>4.5</v>
      </c>
      <c r="I10" s="34">
        <f>SUMPRODUCT((Data!$B$2:$B$68=$A10)*(Data!$A$2:$A$68=$A$7)*(Data!J$2:J$68))</f>
        <v>5.625</v>
      </c>
      <c r="J10" s="34">
        <f>SUMPRODUCT((Data!$B$2:$B$68=$A10)*(Data!$A$2:$A$68=$A$7)*(Data!K$2:K$68))</f>
        <v>3.6</v>
      </c>
    </row>
    <row r="11" ht="12.75" customHeight="1">
      <c r="A11" s="12" t="s">
        <v>66</v>
      </c>
      <c r="B11" s="34">
        <f>SUMPRODUCT((Data!$B$2:$B$68=$A11)*(Data!$A$2:$A$68=$A$7)*(Data!C$2:C$68))</f>
        <v>0.67</v>
      </c>
      <c r="C11" s="34">
        <f>SUMPRODUCT((Data!$B$2:$B$68=$A11)*(Data!$A$2:$A$68=$A$7)*(Data!D$2:D$68))</f>
        <v>0.77</v>
      </c>
      <c r="D11" s="34">
        <f>SUMPRODUCT((Data!$B$2:$B$68=$A11)*(Data!$A$2:$A$68=$A$7)*(Data!E$2:E$68))</f>
        <v>0.87</v>
      </c>
      <c r="E11" s="34">
        <f>SUMPRODUCT((Data!$B$2:$B$68=$A11)*(Data!$A$2:$A$68=$A$7)*(Data!F$2:F$68))</f>
        <v>0.97</v>
      </c>
      <c r="F11" s="34">
        <f>SUMPRODUCT((Data!$B$2:$B$68=$A11)*(Data!$A$2:$A$68=$A$7)*(Data!G$2:G$68))</f>
        <v>0.67</v>
      </c>
      <c r="G11" s="34">
        <f>SUMPRODUCT((Data!$B$2:$B$68=$A11)*(Data!$A$2:$A$68=$A$7)*(Data!H$2:H$68))</f>
        <v>0.77</v>
      </c>
      <c r="H11" s="34">
        <f>SUMPRODUCT((Data!$B$2:$B$68=$A11)*(Data!$A$2:$A$68=$A$7)*(Data!I$2:I$68))</f>
        <v>0.87</v>
      </c>
      <c r="I11" s="34">
        <f>SUMPRODUCT((Data!$B$2:$B$68=$A11)*(Data!$A$2:$A$68=$A$7)*(Data!J$2:J$68))</f>
        <v>0.97</v>
      </c>
      <c r="J11" s="34">
        <f>SUMPRODUCT((Data!$B$2:$B$68=$A11)*(Data!$A$2:$A$68=$A$7)*(Data!K$2:K$68))</f>
        <v>1.07</v>
      </c>
    </row>
    <row r="12" ht="12.75" customHeight="1">
      <c r="A12" s="12" t="s">
        <v>67</v>
      </c>
      <c r="B12" s="35">
        <f>SUMPRODUCT((Data!$B$2:$B$68=$A12)*(Data!$A$2:$A$68=$A$7)*(Data!C$2:C$68))</f>
        <v>1.6</v>
      </c>
      <c r="C12" s="35">
        <f>SUMPRODUCT((Data!$B$2:$B$68=$A12)*(Data!$A$2:$A$68=$A$7)*(Data!D$2:D$68))</f>
        <v>1.7</v>
      </c>
      <c r="D12" s="35">
        <f>SUMPRODUCT((Data!$B$2:$B$68=$A12)*(Data!$A$2:$A$68=$A$7)*(Data!E$2:E$68))</f>
        <v>1.6</v>
      </c>
      <c r="E12" s="35">
        <f>SUMPRODUCT((Data!$B$2:$B$68=$A12)*(Data!$A$2:$A$68=$A$7)*(Data!F$2:F$68))</f>
        <v>1.5</v>
      </c>
      <c r="F12" s="35">
        <f>SUMPRODUCT((Data!$B$2:$B$68=$A12)*(Data!$A$2:$A$68=$A$7)*(Data!G$2:G$68))</f>
        <v>3.5</v>
      </c>
      <c r="G12" s="35">
        <f>SUMPRODUCT((Data!$B$2:$B$68=$A12)*(Data!$A$2:$A$68=$A$7)*(Data!H$2:H$68))</f>
        <v>3.6</v>
      </c>
      <c r="H12" s="35">
        <f>SUMPRODUCT((Data!$B$2:$B$68=$A12)*(Data!$A$2:$A$68=$A$7)*(Data!I$2:I$68))</f>
        <v>4.25</v>
      </c>
      <c r="I12" s="35">
        <f>SUMPRODUCT((Data!$B$2:$B$68=$A12)*(Data!$A$2:$A$68=$A$7)*(Data!J$2:J$68))</f>
        <v>5.0625</v>
      </c>
      <c r="J12" s="35">
        <f>SUMPRODUCT((Data!$B$2:$B$68=$A12)*(Data!$A$2:$A$68=$A$7)*(Data!K$2:K$68))</f>
        <v>6.078125</v>
      </c>
    </row>
    <row r="13" ht="12.75" customHeight="1">
      <c r="A13" s="12" t="s">
        <v>68</v>
      </c>
      <c r="B13" s="35">
        <f>SUMPRODUCT((Data!$B$2:$B$68=$A13)*(Data!$A$2:$A$68=$A$7)*(Data!C$2:C$68))</f>
        <v>22.4</v>
      </c>
      <c r="C13" s="35">
        <f>SUMPRODUCT((Data!$B$2:$B$68=$A13)*(Data!$A$2:$A$68=$A$7)*(Data!D$2:D$68))</f>
        <v>22.5</v>
      </c>
      <c r="D13" s="35">
        <f>SUMPRODUCT((Data!$B$2:$B$68=$A13)*(Data!$A$2:$A$68=$A$7)*(Data!E$2:E$68))</f>
        <v>25.8</v>
      </c>
      <c r="E13" s="35">
        <f>SUMPRODUCT((Data!$B$2:$B$68=$A13)*(Data!$A$2:$A$68=$A$7)*(Data!F$2:F$68))</f>
        <v>24.7</v>
      </c>
      <c r="F13" s="35">
        <f>SUMPRODUCT((Data!$B$2:$B$68=$A13)*(Data!$A$2:$A$68=$A$7)*(Data!G$2:G$68))</f>
        <v>28.6</v>
      </c>
      <c r="G13" s="35">
        <f>SUMPRODUCT((Data!$B$2:$B$68=$A13)*(Data!$A$2:$A$68=$A$7)*(Data!H$2:H$68))</f>
        <v>29.6</v>
      </c>
      <c r="H13" s="35">
        <f>SUMPRODUCT((Data!$B$2:$B$68=$A13)*(Data!$A$2:$A$68=$A$7)*(Data!I$2:I$68))</f>
        <v>31.75</v>
      </c>
      <c r="I13" s="35">
        <f>SUMPRODUCT((Data!$B$2:$B$68=$A13)*(Data!$A$2:$A$68=$A$7)*(Data!J$2:J$68))</f>
        <v>26.6875</v>
      </c>
      <c r="J13" s="35">
        <f>SUMPRODUCT((Data!$B$2:$B$68=$A13)*(Data!$A$2:$A$68=$A$7)*(Data!K$2:K$68))</f>
        <v>23.859375</v>
      </c>
    </row>
    <row r="14" ht="12.75" customHeight="1">
      <c r="A14" s="12" t="s">
        <v>69</v>
      </c>
      <c r="B14" s="35">
        <f>SUMPRODUCT((Data!$B$2:$B$68=$A14)*(Data!$A$2:$A$68=$A$7)*(Data!C$2:C$68))</f>
        <v>6.5</v>
      </c>
      <c r="C14" s="35">
        <f>SUMPRODUCT((Data!$B$2:$B$68=$A14)*(Data!$A$2:$A$68=$A$7)*(Data!D$2:D$68))</f>
        <v>6.6</v>
      </c>
      <c r="D14" s="35">
        <f>SUMPRODUCT((Data!$B$2:$B$68=$A14)*(Data!$A$2:$A$68=$A$7)*(Data!E$2:E$68))</f>
        <v>7.3</v>
      </c>
      <c r="E14" s="35">
        <f>SUMPRODUCT((Data!$B$2:$B$68=$A14)*(Data!$A$2:$A$68=$A$7)*(Data!F$2:F$68))</f>
        <v>7.3</v>
      </c>
      <c r="F14" s="35">
        <f>SUMPRODUCT((Data!$B$2:$B$68=$A14)*(Data!$A$2:$A$68=$A$7)*(Data!G$2:G$68))</f>
        <v>9.4</v>
      </c>
      <c r="G14" s="35">
        <f>SUMPRODUCT((Data!$B$2:$B$68=$A14)*(Data!$A$2:$A$68=$A$7)*(Data!H$2:H$68))</f>
        <v>9.7</v>
      </c>
      <c r="H14" s="35">
        <f>SUMPRODUCT((Data!$B$2:$B$68=$A14)*(Data!$A$2:$A$68=$A$7)*(Data!I$2:I$68))</f>
        <v>9.875</v>
      </c>
      <c r="I14" s="35">
        <f>SUMPRODUCT((Data!$B$2:$B$68=$A14)*(Data!$A$2:$A$68=$A$7)*(Data!J$2:J$68))</f>
        <v>10</v>
      </c>
      <c r="J14" s="35">
        <f>SUMPRODUCT((Data!$B$2:$B$68=$A14)*(Data!$A$2:$A$68=$A$7)*(Data!K$2:K$68))</f>
        <v>9.7</v>
      </c>
    </row>
    <row r="15" ht="12.75" customHeight="1">
      <c r="A15" s="12" t="s">
        <v>70</v>
      </c>
      <c r="B15" s="34">
        <f>SUMPRODUCT((Data!$B$2:$B$68=$A15)*(Data!$A$2:$A$68=$A$7)*(Data!C$2:C$68))</f>
        <v>1.64</v>
      </c>
      <c r="C15" s="34">
        <f>SUMPRODUCT((Data!$B$2:$B$68=$A15)*(Data!$A$2:$A$68=$A$7)*(Data!D$2:D$68))</f>
        <v>1.74</v>
      </c>
      <c r="D15" s="34">
        <f>SUMPRODUCT((Data!$B$2:$B$68=$A15)*(Data!$A$2:$A$68=$A$7)*(Data!E$2:E$68))</f>
        <v>1.84</v>
      </c>
      <c r="E15" s="34">
        <f>SUMPRODUCT((Data!$B$2:$B$68=$A15)*(Data!$A$2:$A$68=$A$7)*(Data!F$2:F$68))</f>
        <v>1.94</v>
      </c>
      <c r="F15" s="34">
        <f>SUMPRODUCT((Data!$B$2:$B$68=$A15)*(Data!$A$2:$A$68=$A$7)*(Data!G$2:G$68))</f>
        <v>1.874</v>
      </c>
      <c r="G15" s="34">
        <f>SUMPRODUCT((Data!$B$2:$B$68=$A15)*(Data!$A$2:$A$68=$A$7)*(Data!H$2:H$68))</f>
        <v>1.88</v>
      </c>
      <c r="H15" s="34">
        <f>SUMPRODUCT((Data!$B$2:$B$68=$A15)*(Data!$A$2:$A$68=$A$7)*(Data!I$2:I$68))</f>
        <v>2.1</v>
      </c>
      <c r="I15" s="34">
        <f>SUMPRODUCT((Data!$B$2:$B$68=$A15)*(Data!$A$2:$A$68=$A$7)*(Data!J$2:J$68))</f>
        <v>2.375</v>
      </c>
      <c r="J15" s="34">
        <f>SUMPRODUCT((Data!$B$2:$B$68=$A15)*(Data!$A$2:$A$68=$A$7)*(Data!K$2:K$68))</f>
        <v>2.21875</v>
      </c>
    </row>
    <row r="16" ht="12.75" customHeight="1">
      <c r="A16" s="12" t="s">
        <v>71</v>
      </c>
      <c r="B16" s="33">
        <f>SUMPRODUCT((Data!$B$2:$B$68=$A16)*(Data!$A$2:$A$68=$A$7)*(Data!C$2:C$68))</f>
        <v>270000</v>
      </c>
      <c r="C16" s="33">
        <f>SUMPRODUCT((Data!$B$2:$B$68=$A16)*(Data!$A$2:$A$68=$A$7)*(Data!D$2:D$68))</f>
        <v>270000.1</v>
      </c>
      <c r="D16" s="33">
        <f>SUMPRODUCT((Data!$B$2:$B$68=$A16)*(Data!$A$2:$A$68=$A$7)*(Data!E$2:E$68))</f>
        <v>240000</v>
      </c>
      <c r="E16" s="33">
        <f>SUMPRODUCT((Data!$B$2:$B$68=$A16)*(Data!$A$2:$A$68=$A$7)*(Data!F$2:F$68))</f>
        <v>200000</v>
      </c>
      <c r="F16" s="33">
        <f>SUMPRODUCT((Data!$B$2:$B$68=$A16)*(Data!$A$2:$A$68=$A$7)*(Data!G$2:G$68))</f>
        <v>295000</v>
      </c>
      <c r="G16" s="33">
        <f>SUMPRODUCT((Data!$B$2:$B$68=$A16)*(Data!$A$2:$A$68=$A$7)*(Data!H$2:H$68))</f>
        <v>340000</v>
      </c>
      <c r="H16" s="33">
        <f>SUMPRODUCT((Data!$B$2:$B$68=$A16)*(Data!$A$2:$A$68=$A$7)*(Data!I$2:I$68))</f>
        <v>387500</v>
      </c>
      <c r="I16" s="33">
        <f>SUMPRODUCT((Data!$B$2:$B$68=$A16)*(Data!$A$2:$A$68=$A$7)*(Data!J$2:J$68))</f>
        <v>484375</v>
      </c>
      <c r="J16" s="33">
        <f>SUMPRODUCT((Data!$B$2:$B$68=$A16)*(Data!$A$2:$A$68=$A$7)*(Data!K$2:K$68))</f>
        <v>605468.75</v>
      </c>
    </row>
    <row r="17" ht="12.75" customHeight="1">
      <c r="A17" s="12" t="s">
        <v>72</v>
      </c>
      <c r="B17" s="33">
        <f>SUMPRODUCT((Data!$B$2:$B$68=$A17)*(Data!$A$2:$A$68=$A$7)*(Data!C$2:C$68))</f>
        <v>157961.5</v>
      </c>
      <c r="C17" s="33">
        <f>SUMPRODUCT((Data!$B$2:$B$68=$A17)*(Data!$A$2:$A$68=$A$7)*(Data!D$2:D$68))</f>
        <v>157961.6</v>
      </c>
      <c r="D17" s="33">
        <f>SUMPRODUCT((Data!$B$2:$B$68=$A17)*(Data!$A$2:$A$68=$A$7)*(Data!E$2:E$68))</f>
        <v>129450</v>
      </c>
      <c r="E17" s="33">
        <f>SUMPRODUCT((Data!$B$2:$B$68=$A17)*(Data!$A$2:$A$68=$A$7)*(Data!F$2:F$68))</f>
        <v>169382.5</v>
      </c>
      <c r="F17" s="33">
        <f>SUMPRODUCT((Data!$B$2:$B$68=$A17)*(Data!$A$2:$A$68=$A$7)*(Data!G$2:G$68))</f>
        <v>176450</v>
      </c>
      <c r="G17" s="33">
        <f>SUMPRODUCT((Data!$B$2:$B$68=$A17)*(Data!$A$2:$A$68=$A$7)*(Data!H$2:H$68))</f>
        <v>160492</v>
      </c>
      <c r="H17" s="33">
        <f>SUMPRODUCT((Data!$B$2:$B$68=$A17)*(Data!$A$2:$A$68=$A$7)*(Data!I$2:I$68))</f>
        <v>200615</v>
      </c>
      <c r="I17" s="33">
        <f>SUMPRODUCT((Data!$B$2:$B$68=$A17)*(Data!$A$2:$A$68=$A$7)*(Data!J$2:J$68))</f>
        <v>250768.75</v>
      </c>
      <c r="J17" s="33">
        <f>SUMPRODUCT((Data!$B$2:$B$68=$A17)*(Data!$A$2:$A$68=$A$7)*(Data!K$2:K$68))</f>
        <v>313460.9375</v>
      </c>
    </row>
    <row r="18" ht="12.75" customHeight="1">
      <c r="A18" s="12" t="s">
        <v>46</v>
      </c>
      <c r="B18" s="33">
        <f>SUMPRODUCT((Data!$B$2:$B$68=$A18)*(Data!$A$2:$A$68=$A$7)*(Data!C$2:C$68))</f>
        <v>146825.5</v>
      </c>
      <c r="C18" s="33">
        <f>SUMPRODUCT((Data!$B$2:$B$68=$A18)*(Data!$A$2:$A$68=$A$7)*(Data!D$2:D$68))</f>
        <v>146825.6</v>
      </c>
      <c r="D18" s="33">
        <f>SUMPRODUCT((Data!$B$2:$B$68=$A18)*(Data!$A$2:$A$68=$A$7)*(Data!E$2:E$68))</f>
        <v>154465.5</v>
      </c>
      <c r="E18" s="33">
        <f>SUMPRODUCT((Data!$B$2:$B$68=$A18)*(Data!$A$2:$A$68=$A$7)*(Data!F$2:F$68))</f>
        <v>137450</v>
      </c>
      <c r="F18" s="33">
        <f>SUMPRODUCT((Data!$B$2:$B$68=$A18)*(Data!$A$2:$A$68=$A$7)*(Data!G$2:G$68))</f>
        <v>164575</v>
      </c>
      <c r="G18" s="33">
        <f>SUMPRODUCT((Data!$B$2:$B$68=$A18)*(Data!$A$2:$A$68=$A$7)*(Data!H$2:H$68))</f>
        <v>152959</v>
      </c>
      <c r="H18" s="33">
        <f>SUMPRODUCT((Data!$B$2:$B$68=$A18)*(Data!$A$2:$A$68=$A$7)*(Data!I$2:I$68))</f>
        <v>147959</v>
      </c>
      <c r="I18" s="33">
        <f>SUMPRODUCT((Data!$B$2:$B$68=$A18)*(Data!$A$2:$A$68=$A$7)*(Data!J$2:J$68))</f>
        <v>153561.5</v>
      </c>
      <c r="J18" s="33">
        <f>SUMPRODUCT((Data!$B$2:$B$68=$A18)*(Data!$A$2:$A$68=$A$7)*(Data!K$2:K$68))</f>
        <v>147959</v>
      </c>
    </row>
    <row r="19" ht="12.75" customHeight="1">
      <c r="A19" s="12" t="s">
        <v>73</v>
      </c>
      <c r="B19" s="33">
        <f>SUMPRODUCT((Data!$B$2:$B$68=$A19)*(Data!$A$2:$A$68=$A$7)*(Data!C$2:C$68))</f>
        <v>14375</v>
      </c>
      <c r="C19" s="33">
        <f>SUMPRODUCT((Data!$B$2:$B$68=$A19)*(Data!$A$2:$A$68=$A$7)*(Data!D$2:D$68))</f>
        <v>14375.1</v>
      </c>
      <c r="D19" s="33">
        <f>SUMPRODUCT((Data!$B$2:$B$68=$A19)*(Data!$A$2:$A$68=$A$7)*(Data!E$2:E$68))</f>
        <v>15770</v>
      </c>
      <c r="E19" s="33">
        <f>SUMPRODUCT((Data!$B$2:$B$68=$A19)*(Data!$A$2:$A$68=$A$7)*(Data!F$2:F$68))</f>
        <v>16350</v>
      </c>
      <c r="F19" s="33">
        <f>SUMPRODUCT((Data!$B$2:$B$68=$A19)*(Data!$A$2:$A$68=$A$7)*(Data!G$2:G$68))</f>
        <v>16935</v>
      </c>
      <c r="G19" s="33">
        <f>SUMPRODUCT((Data!$B$2:$B$68=$A19)*(Data!$A$2:$A$68=$A$7)*(Data!H$2:H$68))</f>
        <v>17450</v>
      </c>
      <c r="H19" s="33">
        <f>SUMPRODUCT((Data!$B$2:$B$68=$A19)*(Data!$A$2:$A$68=$A$7)*(Data!I$2:I$68))</f>
        <v>17950</v>
      </c>
      <c r="I19" s="33">
        <f>SUMPRODUCT((Data!$B$2:$B$68=$A19)*(Data!$A$2:$A$68=$A$7)*(Data!J$2:J$68))</f>
        <v>18450</v>
      </c>
      <c r="J19" s="33">
        <f>SUMPRODUCT((Data!$B$2:$B$68=$A19)*(Data!$A$2:$A$68=$A$7)*(Data!K$2:K$68))</f>
        <v>18950</v>
      </c>
    </row>
    <row r="20" ht="12.75" customHeight="1">
      <c r="A20" s="12" t="s">
        <v>74</v>
      </c>
      <c r="B20" s="35">
        <f>SUMPRODUCT((Data!$B$2:$B$68=$A20)*(Data!$A$2:$A$68=$A$7)*(Data!C$2:C$68))</f>
        <v>0.7</v>
      </c>
      <c r="C20" s="35">
        <f>SUMPRODUCT((Data!$B$2:$B$68=$A20)*(Data!$A$2:$A$68=$A$7)*(Data!D$2:D$68))</f>
        <v>0.8</v>
      </c>
      <c r="D20" s="35">
        <f>SUMPRODUCT((Data!$B$2:$B$68=$A20)*(Data!$A$2:$A$68=$A$7)*(Data!E$2:E$68))</f>
        <v>0.5</v>
      </c>
      <c r="E20" s="35">
        <f>SUMPRODUCT((Data!$B$2:$B$68=$A20)*(Data!$A$2:$A$68=$A$7)*(Data!F$2:F$68))</f>
        <v>0.4</v>
      </c>
      <c r="F20" s="35">
        <f>SUMPRODUCT((Data!$B$2:$B$68=$A20)*(Data!$A$2:$A$68=$A$7)*(Data!G$2:G$68))</f>
        <v>2.2</v>
      </c>
      <c r="G20" s="35">
        <f>SUMPRODUCT((Data!$B$2:$B$68=$A20)*(Data!$A$2:$A$68=$A$7)*(Data!H$2:H$68))</f>
        <v>2.3</v>
      </c>
      <c r="H20" s="35">
        <f>SUMPRODUCT((Data!$B$2:$B$68=$A20)*(Data!$A$2:$A$68=$A$7)*(Data!I$2:I$68))</f>
        <v>2.7</v>
      </c>
      <c r="I20" s="35">
        <f>SUMPRODUCT((Data!$B$2:$B$68=$A20)*(Data!$A$2:$A$68=$A$7)*(Data!J$2:J$68))</f>
        <v>2.5</v>
      </c>
      <c r="J20" s="35">
        <f>SUMPRODUCT((Data!$B$2:$B$68=$A20)*(Data!$A$2:$A$68=$A$7)*(Data!K$2:K$68))</f>
        <v>2.3</v>
      </c>
    </row>
    <row r="21" ht="12.75" customHeight="1">
      <c r="A21" s="12" t="s">
        <v>75</v>
      </c>
      <c r="B21" s="35">
        <f>SUMPRODUCT((Data!$B$2:$B$68=$A21)*(Data!$A$2:$A$68=$A$7)*(Data!C$2:C$68))</f>
        <v>1.9</v>
      </c>
      <c r="C21" s="35">
        <f>SUMPRODUCT((Data!$B$2:$B$68=$A21)*(Data!$A$2:$A$68=$A$7)*(Data!D$2:D$68))</f>
        <v>2</v>
      </c>
      <c r="D21" s="35">
        <f>SUMPRODUCT((Data!$B$2:$B$68=$A21)*(Data!$A$2:$A$68=$A$7)*(Data!E$2:E$68))</f>
        <v>2</v>
      </c>
      <c r="E21" s="35">
        <f>SUMPRODUCT((Data!$B$2:$B$68=$A21)*(Data!$A$2:$A$68=$A$7)*(Data!F$2:F$68))</f>
        <v>2</v>
      </c>
      <c r="F21" s="35">
        <f>SUMPRODUCT((Data!$B$2:$B$68=$A21)*(Data!$A$2:$A$68=$A$7)*(Data!G$2:G$68))</f>
        <v>4.1</v>
      </c>
      <c r="G21" s="35">
        <f>SUMPRODUCT((Data!$B$2:$B$68=$A21)*(Data!$A$2:$A$68=$A$7)*(Data!H$2:H$68))</f>
        <v>4.2</v>
      </c>
      <c r="H21" s="35">
        <f>SUMPRODUCT((Data!$B$2:$B$68=$A21)*(Data!$A$2:$A$68=$A$7)*(Data!I$2:I$68))</f>
        <v>3.9</v>
      </c>
      <c r="I21" s="35">
        <f>SUMPRODUCT((Data!$B$2:$B$68=$A21)*(Data!$A$2:$A$68=$A$7)*(Data!J$2:J$68))</f>
        <v>3.9</v>
      </c>
      <c r="J21" s="35">
        <f>SUMPRODUCT((Data!$B$2:$B$68=$A21)*(Data!$A$2:$A$68=$A$7)*(Data!K$2:K$68))</f>
        <v>4</v>
      </c>
    </row>
    <row r="22" ht="12.75" customHeight="1">
      <c r="A22" s="12" t="s">
        <v>76</v>
      </c>
      <c r="B22" s="35">
        <f>SUMPRODUCT((Data!$B$2:$B$68=$A22)*(Data!$A$2:$A$68=$A$7)*(Data!C$2:C$68))</f>
        <v>2.45</v>
      </c>
      <c r="C22" s="35">
        <f>SUMPRODUCT((Data!$B$2:$B$68=$A22)*(Data!$A$2:$A$68=$A$7)*(Data!D$2:D$68))</f>
        <v>2.55</v>
      </c>
      <c r="D22" s="35">
        <f>SUMPRODUCT((Data!$B$2:$B$68=$A22)*(Data!$A$2:$A$68=$A$7)*(Data!E$2:E$68))</f>
        <v>2.55</v>
      </c>
      <c r="E22" s="35">
        <f>SUMPRODUCT((Data!$B$2:$B$68=$A22)*(Data!$A$2:$A$68=$A$7)*(Data!F$2:F$68))</f>
        <v>2.65</v>
      </c>
      <c r="F22" s="35">
        <f>SUMPRODUCT((Data!$B$2:$B$68=$A22)*(Data!$A$2:$A$68=$A$7)*(Data!G$2:G$68))</f>
        <v>4.7</v>
      </c>
      <c r="G22" s="35">
        <f>SUMPRODUCT((Data!$B$2:$B$68=$A22)*(Data!$A$2:$A$68=$A$7)*(Data!H$2:H$68))</f>
        <v>4.9</v>
      </c>
      <c r="H22" s="35">
        <f>SUMPRODUCT((Data!$B$2:$B$68=$A22)*(Data!$A$2:$A$68=$A$7)*(Data!I$2:I$68))</f>
        <v>4.9</v>
      </c>
      <c r="I22" s="35">
        <f>SUMPRODUCT((Data!$B$2:$B$68=$A22)*(Data!$A$2:$A$68=$A$7)*(Data!J$2:J$68))</f>
        <v>4.6</v>
      </c>
      <c r="J22" s="35">
        <f>SUMPRODUCT((Data!$B$2:$B$68=$A22)*(Data!$A$2:$A$68=$A$7)*(Data!K$2:K$68))</f>
        <v>4.9</v>
      </c>
    </row>
    <row r="23" ht="12.75" customHeight="1">
      <c r="A23" s="12" t="s">
        <v>77</v>
      </c>
      <c r="B23" s="35">
        <f>SUMPRODUCT((Data!$B$2:$B$68=$A23)*(Data!$A$2:$A$68=$A$7)*(Data!C$2:C$68))</f>
        <v>0.7</v>
      </c>
      <c r="C23" s="35">
        <f>SUMPRODUCT((Data!$B$2:$B$68=$A23)*(Data!$A$2:$A$68=$A$7)*(Data!D$2:D$68))</f>
        <v>0.8</v>
      </c>
      <c r="D23" s="35">
        <f>SUMPRODUCT((Data!$B$2:$B$68=$A23)*(Data!$A$2:$A$68=$A$7)*(Data!E$2:E$68))</f>
        <v>0.6</v>
      </c>
      <c r="E23" s="35">
        <f>SUMPRODUCT((Data!$B$2:$B$68=$A23)*(Data!$A$2:$A$68=$A$7)*(Data!F$2:F$68))</f>
        <v>0.6</v>
      </c>
      <c r="F23" s="35">
        <f>SUMPRODUCT((Data!$B$2:$B$68=$A23)*(Data!$A$2:$A$68=$A$7)*(Data!G$2:G$68))</f>
        <v>2.5</v>
      </c>
      <c r="G23" s="35">
        <f>SUMPRODUCT((Data!$B$2:$B$68=$A23)*(Data!$A$2:$A$68=$A$7)*(Data!H$2:H$68))</f>
        <v>2.4</v>
      </c>
      <c r="H23" s="35">
        <f>SUMPRODUCT((Data!$B$2:$B$68=$A23)*(Data!$A$2:$A$68=$A$7)*(Data!I$2:I$68))</f>
        <v>2.3</v>
      </c>
      <c r="I23" s="35">
        <f>SUMPRODUCT((Data!$B$2:$B$68=$A23)*(Data!$A$2:$A$68=$A$7)*(Data!J$2:J$68))</f>
        <v>2.6</v>
      </c>
      <c r="J23" s="35">
        <f>SUMPRODUCT((Data!$B$2:$B$68=$A23)*(Data!$A$2:$A$68=$A$7)*(Data!K$2:K$68))</f>
        <v>2.5</v>
      </c>
    </row>
    <row r="24" ht="12.75" customHeight="1"/>
    <row r="25" ht="12.75" customHeight="1"/>
    <row r="26" ht="12.75" customHeight="1">
      <c r="A26" s="31" t="s">
        <v>127</v>
      </c>
      <c r="B26" s="36" t="str">
        <f t="shared" ref="B26:G26" si="1">B2</f>
        <v>FY 14</v>
      </c>
      <c r="C26" s="36" t="str">
        <f t="shared" si="1"/>
        <v>FY 15</v>
      </c>
      <c r="D26" s="36" t="str">
        <f t="shared" si="1"/>
        <v>FY 16</v>
      </c>
      <c r="E26" s="36" t="str">
        <f t="shared" si="1"/>
        <v>FY 17</v>
      </c>
      <c r="F26" s="36" t="str">
        <f t="shared" si="1"/>
        <v>FY 18</v>
      </c>
      <c r="G26" s="36" t="str">
        <f t="shared" si="1"/>
        <v>FY 19</v>
      </c>
    </row>
    <row r="27" ht="12.75" customHeight="1">
      <c r="A27" s="12" t="s">
        <v>63</v>
      </c>
      <c r="B27" s="33">
        <f t="shared" ref="B27:G27" si="2">INDEX($A$8:$J$23,MATCH($A27,$A$8:$A$23,0),MATCH(B$26,$B$7:$J$7,0)+1)</f>
        <v>3818</v>
      </c>
      <c r="C27" s="33">
        <f t="shared" si="2"/>
        <v>4464</v>
      </c>
      <c r="D27" s="33">
        <f t="shared" si="2"/>
        <v>4794</v>
      </c>
      <c r="E27" s="33">
        <f t="shared" si="2"/>
        <v>5225</v>
      </c>
      <c r="F27" s="33">
        <f t="shared" si="2"/>
        <v>5376</v>
      </c>
      <c r="G27" s="33">
        <f t="shared" si="2"/>
        <v>4794</v>
      </c>
    </row>
    <row r="28" ht="12.75" customHeight="1">
      <c r="A28" s="12" t="s">
        <v>64</v>
      </c>
      <c r="B28" s="33">
        <f t="shared" ref="B28:G28" si="3">INDEX($A$8:$J$23,MATCH($A28,$A$8:$A$23,0),MATCH(B$26,$B$7:$J$7,0)+1)</f>
        <v>15875.06</v>
      </c>
      <c r="C28" s="33">
        <f t="shared" si="3"/>
        <v>16590.27</v>
      </c>
      <c r="D28" s="33">
        <f t="shared" si="3"/>
        <v>18318.72</v>
      </c>
      <c r="E28" s="33">
        <f t="shared" si="3"/>
        <v>19006.65</v>
      </c>
      <c r="F28" s="33">
        <f t="shared" si="3"/>
        <v>24008.4</v>
      </c>
      <c r="G28" s="33">
        <f t="shared" si="3"/>
        <v>18318.72</v>
      </c>
    </row>
    <row r="29" ht="12.75" customHeight="1">
      <c r="A29" s="12" t="s">
        <v>65</v>
      </c>
      <c r="B29" s="34">
        <f t="shared" ref="B29:G29" si="4">INDEX($A$8:$J$23,MATCH($A29,$A$8:$A$23,0),MATCH(B$26,$B$7:$J$7,0)+1)</f>
        <v>2.35</v>
      </c>
      <c r="C29" s="34">
        <f t="shared" si="4"/>
        <v>2.4</v>
      </c>
      <c r="D29" s="34">
        <f t="shared" si="4"/>
        <v>2.45</v>
      </c>
      <c r="E29" s="34">
        <f t="shared" si="4"/>
        <v>3.2</v>
      </c>
      <c r="F29" s="34">
        <f t="shared" si="4"/>
        <v>4.5</v>
      </c>
      <c r="G29" s="34">
        <f t="shared" si="4"/>
        <v>5.625</v>
      </c>
    </row>
    <row r="30" ht="12.75" customHeight="1">
      <c r="A30" s="12" t="s">
        <v>66</v>
      </c>
      <c r="B30" s="34">
        <f t="shared" ref="B30:G30" si="5">INDEX($A$8:$J$23,MATCH($A30,$A$8:$A$23,0),MATCH(B$26,$B$7:$J$7,0)+1)</f>
        <v>0.87</v>
      </c>
      <c r="C30" s="34">
        <f t="shared" si="5"/>
        <v>0.97</v>
      </c>
      <c r="D30" s="34">
        <f t="shared" si="5"/>
        <v>0.67</v>
      </c>
      <c r="E30" s="34">
        <f t="shared" si="5"/>
        <v>0.77</v>
      </c>
      <c r="F30" s="34">
        <f t="shared" si="5"/>
        <v>0.87</v>
      </c>
      <c r="G30" s="34">
        <f t="shared" si="5"/>
        <v>0.97</v>
      </c>
    </row>
    <row r="31" ht="12.75" customHeight="1">
      <c r="A31" s="12" t="s">
        <v>67</v>
      </c>
      <c r="B31" s="35">
        <f t="shared" ref="B31:G31" si="6">INDEX($A$8:$J$23,MATCH($A31,$A$8:$A$23,0),MATCH(B$26,$B$7:$J$7,0)+1)</f>
        <v>1.6</v>
      </c>
      <c r="C31" s="35">
        <f t="shared" si="6"/>
        <v>1.5</v>
      </c>
      <c r="D31" s="35">
        <f t="shared" si="6"/>
        <v>3.5</v>
      </c>
      <c r="E31" s="35">
        <f t="shared" si="6"/>
        <v>3.6</v>
      </c>
      <c r="F31" s="35">
        <f t="shared" si="6"/>
        <v>4.25</v>
      </c>
      <c r="G31" s="35">
        <f t="shared" si="6"/>
        <v>5.0625</v>
      </c>
    </row>
    <row r="32" ht="12.75" customHeight="1">
      <c r="A32" s="12" t="s">
        <v>68</v>
      </c>
      <c r="B32" s="35">
        <f t="shared" ref="B32:G32" si="7">INDEX($A$8:$J$23,MATCH($A32,$A$8:$A$23,0),MATCH(B$26,$B$7:$J$7,0)+1)</f>
        <v>25.8</v>
      </c>
      <c r="C32" s="35">
        <f t="shared" si="7"/>
        <v>24.7</v>
      </c>
      <c r="D32" s="35">
        <f t="shared" si="7"/>
        <v>28.6</v>
      </c>
      <c r="E32" s="35">
        <f t="shared" si="7"/>
        <v>29.6</v>
      </c>
      <c r="F32" s="35">
        <f t="shared" si="7"/>
        <v>31.75</v>
      </c>
      <c r="G32" s="35">
        <f t="shared" si="7"/>
        <v>26.6875</v>
      </c>
    </row>
    <row r="33" ht="12.75" customHeight="1">
      <c r="A33" s="12" t="s">
        <v>69</v>
      </c>
      <c r="B33" s="35">
        <f t="shared" ref="B33:G33" si="8">INDEX($A$8:$J$23,MATCH($A33,$A$8:$A$23,0),MATCH(B$26,$B$7:$J$7,0)+1)</f>
        <v>7.3</v>
      </c>
      <c r="C33" s="35">
        <f t="shared" si="8"/>
        <v>7.3</v>
      </c>
      <c r="D33" s="35">
        <f t="shared" si="8"/>
        <v>9.4</v>
      </c>
      <c r="E33" s="35">
        <f t="shared" si="8"/>
        <v>9.7</v>
      </c>
      <c r="F33" s="35">
        <f t="shared" si="8"/>
        <v>9.875</v>
      </c>
      <c r="G33" s="35">
        <f t="shared" si="8"/>
        <v>10</v>
      </c>
    </row>
    <row r="34" ht="12.75" customHeight="1">
      <c r="A34" s="12" t="s">
        <v>70</v>
      </c>
      <c r="B34" s="34">
        <f t="shared" ref="B34:G34" si="9">INDEX($A$8:$J$23,MATCH($A34,$A$8:$A$23,0),MATCH(B$26,$B$7:$J$7,0)+1)</f>
        <v>1.84</v>
      </c>
      <c r="C34" s="34">
        <f t="shared" si="9"/>
        <v>1.94</v>
      </c>
      <c r="D34" s="34">
        <f t="shared" si="9"/>
        <v>1.874</v>
      </c>
      <c r="E34" s="34">
        <f t="shared" si="9"/>
        <v>1.88</v>
      </c>
      <c r="F34" s="34">
        <f t="shared" si="9"/>
        <v>2.1</v>
      </c>
      <c r="G34" s="34">
        <f t="shared" si="9"/>
        <v>2.375</v>
      </c>
    </row>
    <row r="35" ht="12.75" customHeight="1">
      <c r="A35" s="12" t="s">
        <v>71</v>
      </c>
      <c r="B35" s="33">
        <f t="shared" ref="B35:G35" si="10">INDEX($A$8:$J$23,MATCH($A35,$A$8:$A$23,0),MATCH(B$26,$B$7:$J$7,0)+1)</f>
        <v>240000</v>
      </c>
      <c r="C35" s="33">
        <f t="shared" si="10"/>
        <v>200000</v>
      </c>
      <c r="D35" s="33">
        <f t="shared" si="10"/>
        <v>295000</v>
      </c>
      <c r="E35" s="33">
        <f t="shared" si="10"/>
        <v>340000</v>
      </c>
      <c r="F35" s="33">
        <f t="shared" si="10"/>
        <v>387500</v>
      </c>
      <c r="G35" s="33">
        <f t="shared" si="10"/>
        <v>484375</v>
      </c>
    </row>
    <row r="36" ht="12.75" customHeight="1">
      <c r="A36" s="12" t="s">
        <v>72</v>
      </c>
      <c r="B36" s="33">
        <f t="shared" ref="B36:G36" si="11">INDEX($A$8:$J$23,MATCH($A36,$A$8:$A$23,0),MATCH(B$26,$B$7:$J$7,0)+1)</f>
        <v>129450</v>
      </c>
      <c r="C36" s="33">
        <f t="shared" si="11"/>
        <v>169382.5</v>
      </c>
      <c r="D36" s="33">
        <f t="shared" si="11"/>
        <v>176450</v>
      </c>
      <c r="E36" s="33">
        <f t="shared" si="11"/>
        <v>160492</v>
      </c>
      <c r="F36" s="33">
        <f t="shared" si="11"/>
        <v>200615</v>
      </c>
      <c r="G36" s="33">
        <f t="shared" si="11"/>
        <v>250768.75</v>
      </c>
    </row>
    <row r="37" ht="12.75" customHeight="1">
      <c r="A37" s="12" t="s">
        <v>46</v>
      </c>
      <c r="B37" s="33">
        <f t="shared" ref="B37:G37" si="12">INDEX($A$8:$J$23,MATCH($A37,$A$8:$A$23,0),MATCH(B$26,$B$7:$J$7,0)+1)</f>
        <v>154465.5</v>
      </c>
      <c r="C37" s="33">
        <f t="shared" si="12"/>
        <v>137450</v>
      </c>
      <c r="D37" s="33">
        <f t="shared" si="12"/>
        <v>164575</v>
      </c>
      <c r="E37" s="33">
        <f t="shared" si="12"/>
        <v>152959</v>
      </c>
      <c r="F37" s="33">
        <f t="shared" si="12"/>
        <v>147959</v>
      </c>
      <c r="G37" s="33">
        <f t="shared" si="12"/>
        <v>153561.5</v>
      </c>
    </row>
    <row r="38" ht="12.75" customHeight="1">
      <c r="A38" s="12" t="s">
        <v>73</v>
      </c>
      <c r="B38" s="33">
        <f t="shared" ref="B38:G38" si="13">INDEX($A$8:$J$23,MATCH($A38,$A$8:$A$23,0),MATCH(B$26,$B$7:$J$7,0)+1)</f>
        <v>15770</v>
      </c>
      <c r="C38" s="33">
        <f t="shared" si="13"/>
        <v>16350</v>
      </c>
      <c r="D38" s="33">
        <f t="shared" si="13"/>
        <v>16935</v>
      </c>
      <c r="E38" s="33">
        <f t="shared" si="13"/>
        <v>17450</v>
      </c>
      <c r="F38" s="33">
        <f t="shared" si="13"/>
        <v>17950</v>
      </c>
      <c r="G38" s="33">
        <f t="shared" si="13"/>
        <v>18450</v>
      </c>
    </row>
    <row r="39" ht="12.75" customHeight="1">
      <c r="A39" s="12" t="s">
        <v>74</v>
      </c>
      <c r="B39" s="35">
        <f t="shared" ref="B39:G39" si="14">INDEX($A$8:$J$23,MATCH($A39,$A$8:$A$23,0),MATCH(B$26,$B$7:$J$7,0)+1)</f>
        <v>0.5</v>
      </c>
      <c r="C39" s="35">
        <f t="shared" si="14"/>
        <v>0.4</v>
      </c>
      <c r="D39" s="35">
        <f t="shared" si="14"/>
        <v>2.2</v>
      </c>
      <c r="E39" s="35">
        <f t="shared" si="14"/>
        <v>2.3</v>
      </c>
      <c r="F39" s="35">
        <f t="shared" si="14"/>
        <v>2.7</v>
      </c>
      <c r="G39" s="35">
        <f t="shared" si="14"/>
        <v>2.5</v>
      </c>
    </row>
    <row r="40" ht="12.75" customHeight="1">
      <c r="A40" s="12" t="s">
        <v>75</v>
      </c>
      <c r="B40" s="35">
        <f t="shared" ref="B40:G40" si="15">INDEX($A$8:$J$23,MATCH($A40,$A$8:$A$23,0),MATCH(B$26,$B$7:$J$7,0)+1)</f>
        <v>2</v>
      </c>
      <c r="C40" s="35">
        <f t="shared" si="15"/>
        <v>2</v>
      </c>
      <c r="D40" s="35">
        <f t="shared" si="15"/>
        <v>4.1</v>
      </c>
      <c r="E40" s="35">
        <f t="shared" si="15"/>
        <v>4.2</v>
      </c>
      <c r="F40" s="35">
        <f t="shared" si="15"/>
        <v>3.9</v>
      </c>
      <c r="G40" s="35">
        <f t="shared" si="15"/>
        <v>3.9</v>
      </c>
    </row>
    <row r="41" ht="12.75" customHeight="1">
      <c r="A41" s="12" t="s">
        <v>76</v>
      </c>
      <c r="B41" s="35">
        <f t="shared" ref="B41:G41" si="16">INDEX($A$8:$J$23,MATCH($A41,$A$8:$A$23,0),MATCH(B$26,$B$7:$J$7,0)+1)</f>
        <v>2.55</v>
      </c>
      <c r="C41" s="35">
        <f t="shared" si="16"/>
        <v>2.65</v>
      </c>
      <c r="D41" s="35">
        <f t="shared" si="16"/>
        <v>4.7</v>
      </c>
      <c r="E41" s="35">
        <f t="shared" si="16"/>
        <v>4.9</v>
      </c>
      <c r="F41" s="35">
        <f t="shared" si="16"/>
        <v>4.9</v>
      </c>
      <c r="G41" s="35">
        <f t="shared" si="16"/>
        <v>4.6</v>
      </c>
    </row>
    <row r="42" ht="12.75" customHeight="1">
      <c r="A42" s="12" t="s">
        <v>77</v>
      </c>
      <c r="B42" s="35">
        <f t="shared" ref="B42:G42" si="17">INDEX($A$8:$J$23,MATCH($A42,$A$8:$A$23,0),MATCH(B$26,$B$7:$J$7,0)+1)</f>
        <v>0.6</v>
      </c>
      <c r="C42" s="35">
        <f t="shared" si="17"/>
        <v>0.6</v>
      </c>
      <c r="D42" s="35">
        <f t="shared" si="17"/>
        <v>2.5</v>
      </c>
      <c r="E42" s="35">
        <f t="shared" si="17"/>
        <v>2.4</v>
      </c>
      <c r="F42" s="35">
        <f t="shared" si="17"/>
        <v>2.3</v>
      </c>
      <c r="G42" s="35">
        <f t="shared" si="17"/>
        <v>2.6</v>
      </c>
    </row>
    <row r="43" ht="12.75" customHeight="1">
      <c r="A43" s="9"/>
    </row>
    <row r="44" ht="12.75" customHeight="1">
      <c r="A44" s="9"/>
    </row>
    <row r="45" ht="12.75" customHeight="1">
      <c r="A45" s="8" t="s">
        <v>128</v>
      </c>
      <c r="B45" s="11" t="str">
        <f t="shared" ref="B45:C45" si="18">"FY "&amp;IF(RIGHT(C45,2)-1&lt;10,"0"&amp;RIGHT(C45,2)-1,RIGHT(C45,2)-1)</f>
        <v>FY 12</v>
      </c>
      <c r="C45" s="11" t="str">
        <f t="shared" si="18"/>
        <v>FY 13</v>
      </c>
      <c r="D45" s="11" t="str">
        <f t="shared" ref="D45:I45" si="19">B26</f>
        <v>FY 14</v>
      </c>
      <c r="E45" s="11" t="str">
        <f t="shared" si="19"/>
        <v>FY 15</v>
      </c>
      <c r="F45" s="11" t="str">
        <f t="shared" si="19"/>
        <v>FY 16</v>
      </c>
      <c r="G45" s="11" t="str">
        <f t="shared" si="19"/>
        <v>FY 17</v>
      </c>
      <c r="H45" s="11" t="str">
        <f t="shared" si="19"/>
        <v>FY 18</v>
      </c>
      <c r="I45" s="11" t="str">
        <f t="shared" si="19"/>
        <v>FY 19</v>
      </c>
    </row>
    <row r="46" ht="12.75" customHeight="1">
      <c r="A46" s="28" t="s">
        <v>86</v>
      </c>
      <c r="B46" s="28">
        <f>SUMPRODUCT((Hires!$A$2:$A$10=$A46)*(Hires!$B$2:$B$10=$A$7)*(Hires!$C$1:$M$1=B$45)*(Hires!$C$2:$M$10))</f>
        <v>612</v>
      </c>
      <c r="C46" s="28">
        <f>SUMPRODUCT((Hires!$A$2:$A$10=$A46)*(Hires!$B$2:$B$10=$A$7)*(Hires!$C$1:$M$1=C$45)*(Hires!$C$2:$M$10))</f>
        <v>714</v>
      </c>
      <c r="D46" s="28">
        <f>SUMPRODUCT((Hires!$A$2:$A$10=$A46)*(Hires!$B$2:$B$10=$A$7)*(Hires!$C$1:$M$1=D$45)*(Hires!$C$2:$M$10))</f>
        <v>332</v>
      </c>
      <c r="E46" s="28">
        <f>SUMPRODUCT((Hires!$A$2:$A$10=$A46)*(Hires!$B$2:$B$10=$A$7)*(Hires!$C$1:$M$1=E$45)*(Hires!$C$2:$M$10))</f>
        <v>235</v>
      </c>
      <c r="F46" s="28">
        <f>SUMPRODUCT((Hires!$A$2:$A$10=$A46)*(Hires!$B$2:$B$10=$A$7)*(Hires!$C$1:$M$1=F$45)*(Hires!$C$2:$M$10))</f>
        <v>519</v>
      </c>
      <c r="G46" s="28">
        <f>SUMPRODUCT((Hires!$A$2:$A$10=$A46)*(Hires!$B$2:$B$10=$A$7)*(Hires!$C$1:$M$1=G$45)*(Hires!$C$2:$M$10))</f>
        <v>412</v>
      </c>
      <c r="H46" s="28">
        <f>SUMPRODUCT((Hires!$A$2:$A$10=$A46)*(Hires!$B$2:$B$10=$A$7)*(Hires!$C$1:$M$1=H$45)*(Hires!$C$2:$M$10))</f>
        <v>1020</v>
      </c>
      <c r="I46" s="28">
        <f>SUMPRODUCT((Hires!$A$2:$A$10=$A46)*(Hires!$B$2:$B$10=$A$7)*(Hires!$C$1:$M$1=I$45)*(Hires!$C$2:$M$10))</f>
        <v>1122</v>
      </c>
    </row>
    <row r="47" ht="12.75" customHeight="1">
      <c r="A47" s="9" t="s">
        <v>85</v>
      </c>
      <c r="B47" s="28">
        <f>SUMPRODUCT((Hires!$A$2:$A$10=$A47)*(Hires!$B$2:$B$10=$A$7)*(Hires!$C$1:$M$1=B$45)*(Hires!$C$2:$M$10))</f>
        <v>-816</v>
      </c>
      <c r="C47" s="28">
        <f>SUMPRODUCT((Hires!$A$2:$A$10=$A47)*(Hires!$B$2:$B$10=$A$7)*(Hires!$C$1:$M$1=C$45)*(Hires!$C$2:$M$10))</f>
        <v>-301</v>
      </c>
      <c r="D47" s="28">
        <f>SUMPRODUCT((Hires!$A$2:$A$10=$A47)*(Hires!$B$2:$B$10=$A$7)*(Hires!$C$1:$M$1=D$45)*(Hires!$C$2:$M$10))</f>
        <v>-301</v>
      </c>
      <c r="E47" s="28">
        <f>SUMPRODUCT((Hires!$A$2:$A$10=$A47)*(Hires!$B$2:$B$10=$A$7)*(Hires!$C$1:$M$1=E$45)*(Hires!$C$2:$M$10))</f>
        <v>-204</v>
      </c>
      <c r="F47" s="28">
        <f>SUMPRODUCT((Hires!$A$2:$A$10=$A47)*(Hires!$B$2:$B$10=$A$7)*(Hires!$C$1:$M$1=F$45)*(Hires!$C$2:$M$10))</f>
        <v>-354</v>
      </c>
      <c r="G47" s="28">
        <f>SUMPRODUCT((Hires!$A$2:$A$10=$A47)*(Hires!$B$2:$B$10=$A$7)*(Hires!$C$1:$M$1=G$45)*(Hires!$C$2:$M$10))</f>
        <v>-204</v>
      </c>
      <c r="H47" s="28">
        <f>SUMPRODUCT((Hires!$A$2:$A$10=$A47)*(Hires!$B$2:$B$10=$A$7)*(Hires!$C$1:$M$1=H$45)*(Hires!$C$2:$M$10))</f>
        <v>-612</v>
      </c>
      <c r="I47" s="28">
        <f>SUMPRODUCT((Hires!$A$2:$A$10=$A47)*(Hires!$B$2:$B$10=$A$7)*(Hires!$C$1:$M$1=I$45)*(Hires!$C$2:$M$10))</f>
        <v>-102</v>
      </c>
    </row>
    <row r="48" ht="12.75" customHeight="1"/>
    <row r="49" ht="12.75" customHeight="1">
      <c r="A49" s="9"/>
    </row>
    <row r="50" ht="12.75" customHeight="1">
      <c r="A50" s="31" t="s">
        <v>129</v>
      </c>
      <c r="B50" s="31" t="s">
        <v>118</v>
      </c>
    </row>
    <row r="51" ht="12.75" customHeight="1">
      <c r="A51" s="12" t="s">
        <v>119</v>
      </c>
      <c r="B51" s="15">
        <f>SUMPRODUCT((Other!$A$2:$A$40=$A$7)*(Other!$B$2:$B$40=$A51)*(Other!$C$2:$C$40))</f>
        <v>87.08333333</v>
      </c>
    </row>
    <row r="52" ht="12.75" customHeight="1">
      <c r="A52" s="12" t="s">
        <v>120</v>
      </c>
      <c r="B52" s="15">
        <f>SUMPRODUCT((Other!$A$2:$A$40=$A$7)*(Other!$B$2:$B$40=$A52)*(Other!$C$2:$C$40))</f>
        <v>174.1666667</v>
      </c>
    </row>
    <row r="53" ht="12.75" customHeight="1">
      <c r="A53" s="12" t="s">
        <v>121</v>
      </c>
      <c r="B53" s="15">
        <f>SUMPRODUCT((Other!$A$2:$A$40=$A$7)*(Other!$B$2:$B$40=$A53)*(Other!$C$2:$C$40))</f>
        <v>130.625</v>
      </c>
    </row>
    <row r="54" ht="12.75" customHeight="1">
      <c r="A54" s="12" t="s">
        <v>112</v>
      </c>
      <c r="B54" s="15">
        <f>SUMPRODUCT((Other!$A$2:$A$40=$A$7)*(Other!$B$2:$B$40=$A54)*(Other!$C$2:$C$40))</f>
        <v>43.54166667</v>
      </c>
    </row>
    <row r="55" ht="12.75" customHeight="1">
      <c r="A55" s="12" t="s">
        <v>63</v>
      </c>
      <c r="B55" s="15">
        <f>SUMPRODUCT((Other!$A$2:$A$40=$A$7)*(Other!$B$2:$B$40=$A55)*(Other!$C$2:$C$40))</f>
        <v>435.4166667</v>
      </c>
    </row>
    <row r="56" ht="12.75" customHeight="1">
      <c r="A56" s="12" t="s">
        <v>122</v>
      </c>
      <c r="B56" s="15">
        <f>SUMPRODUCT((Other!$A$2:$A$40=$A$7)*(Other!$B$2:$B$40=$A56)*(Other!$C$2:$C$40))</f>
        <v>217.7083333</v>
      </c>
    </row>
    <row r="57" ht="12.75" customHeight="1">
      <c r="A57" s="12" t="s">
        <v>123</v>
      </c>
      <c r="B57" s="15">
        <f>SUMPRODUCT((Other!$A$2:$A$40=$A$7)*(Other!$B$2:$B$40=$A57)*(Other!$C$2:$C$40))</f>
        <v>54.42708333</v>
      </c>
    </row>
    <row r="58" ht="12.75" customHeight="1">
      <c r="A58" s="12" t="s">
        <v>124</v>
      </c>
      <c r="B58" s="15">
        <f>SUMPRODUCT((Other!$A$2:$A$40=$A$7)*(Other!$B$2:$B$40=$A58)*(Other!$C$2:$C$40))</f>
        <v>272.1354167</v>
      </c>
    </row>
    <row r="59" ht="12.75" customHeight="1">
      <c r="A59" s="12" t="s">
        <v>125</v>
      </c>
      <c r="B59" s="15">
        <f>SUMPRODUCT((Other!$A$2:$A$40=$A$7)*(Other!$B$2:$B$40=$A59)*(Other!$C$2:$C$40))</f>
        <v>163.28125</v>
      </c>
    </row>
    <row r="60" ht="12.75" customHeight="1">
      <c r="A60" s="9"/>
    </row>
    <row r="61" ht="12.75" customHeight="1">
      <c r="A61" s="9"/>
    </row>
    <row r="62" ht="12.75" customHeight="1">
      <c r="A62" s="31" t="s">
        <v>102</v>
      </c>
      <c r="B62" s="31" t="s">
        <v>130</v>
      </c>
      <c r="C62" s="31" t="s">
        <v>118</v>
      </c>
    </row>
    <row r="63" ht="12.75" customHeight="1">
      <c r="A63" s="9" t="s">
        <v>104</v>
      </c>
      <c r="B63" s="28" t="s">
        <v>103</v>
      </c>
      <c r="C63" s="30">
        <f>SUMPRODUCT((FTE!$A$2:$A$24=$A$7)*(FTE!$D$2:$D$24=$A63)*(FTE!$C$2:$C$24=$B63)*(FTE!$E$2:$E$24))</f>
        <v>1721.8724</v>
      </c>
    </row>
    <row r="64" ht="12.75" customHeight="1">
      <c r="A64" s="9" t="s">
        <v>12</v>
      </c>
      <c r="B64" s="28" t="s">
        <v>103</v>
      </c>
      <c r="C64" s="30">
        <f>SUMPRODUCT((FTE!$A$2:$A$24=$A$7)*(FTE!$D$2:$D$24=$A64)*(FTE!$C$2:$C$24=$B64)*(FTE!$E$2:$E$24))</f>
        <v>1682.451147</v>
      </c>
    </row>
    <row r="65" ht="12.75" customHeight="1">
      <c r="A65" s="9" t="s">
        <v>104</v>
      </c>
      <c r="B65" s="28" t="s">
        <v>105</v>
      </c>
      <c r="C65" s="30">
        <f>SUMPRODUCT((FTE!$A$2:$A$24=$A$7)*(FTE!$D$2:$D$24=$A65)*(FTE!$C$2:$C$24=$B65)*(FTE!$E$2:$E$24))</f>
        <v>2290.966819</v>
      </c>
    </row>
    <row r="66" ht="12.75" customHeight="1">
      <c r="A66" s="9" t="s">
        <v>12</v>
      </c>
      <c r="B66" s="28" t="s">
        <v>105</v>
      </c>
      <c r="C66" s="30">
        <f>SUMPRODUCT((FTE!$A$2:$A$24=$A$7)*(FTE!$D$2:$D$24=$A66)*(FTE!$C$2:$C$24=$B66)*(FTE!$E$2:$E$24))</f>
        <v>2200</v>
      </c>
    </row>
    <row r="67" ht="12.75" customHeight="1">
      <c r="A67" s="9" t="s">
        <v>106</v>
      </c>
      <c r="B67" s="28" t="s">
        <v>105</v>
      </c>
      <c r="C67" s="30">
        <f>SUMPRODUCT((FTE!$A$2:$A$24=$A$7)*(FTE!$D$2:$D$24=$A67)*(FTE!$C$2:$C$24=$B67)*(FTE!$E$2:$E$24))</f>
        <v>2202.155401</v>
      </c>
    </row>
    <row r="68" ht="12.75" customHeight="1">
      <c r="A68" s="9"/>
    </row>
    <row r="69" ht="12.75" customHeight="1">
      <c r="A69" s="9"/>
    </row>
    <row r="70" ht="12.75" customHeight="1">
      <c r="A70" s="31" t="s">
        <v>131</v>
      </c>
      <c r="B70" s="31" t="s">
        <v>132</v>
      </c>
    </row>
    <row r="71" ht="12.75" customHeight="1">
      <c r="A71" s="12" t="s">
        <v>109</v>
      </c>
      <c r="B71" s="17">
        <f>SUMPRODUCT((General!$A$2:$A$40=$A$7)*(General!$B$2:$B$40=$A71)*(General!$C$2:$C$40))</f>
        <v>0.18</v>
      </c>
    </row>
    <row r="72" ht="12.75" customHeight="1">
      <c r="A72" s="12" t="s">
        <v>110</v>
      </c>
      <c r="B72" s="17">
        <f>SUMPRODUCT((General!$A$2:$A$40=$A$7)*(General!$B$2:$B$40=$A72)*(General!$C$2:$C$40))</f>
        <v>0.22</v>
      </c>
    </row>
    <row r="73" ht="12.75" customHeight="1">
      <c r="A73" s="12" t="s">
        <v>111</v>
      </c>
      <c r="B73" s="17">
        <f>SUMPRODUCT((General!$A$2:$A$40=$A$7)*(General!$B$2:$B$40=$A73)*(General!$C$2:$C$40))</f>
        <v>0.06</v>
      </c>
    </row>
    <row r="74" ht="12.75" customHeight="1">
      <c r="A74" s="12" t="s">
        <v>112</v>
      </c>
      <c r="B74" s="17">
        <f>SUMPRODUCT((General!$A$2:$A$40=$A$7)*(General!$B$2:$B$40=$A74)*(General!$C$2:$C$40))</f>
        <v>0.01</v>
      </c>
    </row>
    <row r="75" ht="12.75" customHeight="1">
      <c r="A75" s="12" t="s">
        <v>113</v>
      </c>
      <c r="B75" s="17">
        <f>SUMPRODUCT((General!$A$2:$A$40=$A$7)*(General!$B$2:$B$40=$A75)*(General!$C$2:$C$40))</f>
        <v>0.04</v>
      </c>
    </row>
    <row r="76" ht="12.75" customHeight="1">
      <c r="A76" s="12" t="s">
        <v>114</v>
      </c>
      <c r="B76" s="17">
        <f>SUMPRODUCT((General!$A$2:$A$40=$A$7)*(General!$B$2:$B$40=$A76)*(General!$C$2:$C$40))</f>
        <v>0.12</v>
      </c>
    </row>
    <row r="77" ht="12.75" customHeight="1">
      <c r="A77" s="12" t="s">
        <v>115</v>
      </c>
      <c r="B77" s="17">
        <f>SUMPRODUCT((General!$A$2:$A$40=$A$7)*(General!$B$2:$B$40=$A77)*(General!$C$2:$C$40))</f>
        <v>0.15</v>
      </c>
    </row>
    <row r="78" ht="12.75" customHeight="1">
      <c r="A78" s="12" t="s">
        <v>116</v>
      </c>
      <c r="B78" s="17">
        <f>SUMPRODUCT((General!$A$2:$A$40=$A$7)*(General!$B$2:$B$40=$A78)*(General!$C$2:$C$40))</f>
        <v>0.14</v>
      </c>
    </row>
    <row r="79" ht="12.75" customHeight="1">
      <c r="A79" s="12" t="s">
        <v>117</v>
      </c>
      <c r="B79" s="17">
        <f>SUMPRODUCT((General!$A$2:$A$40=$A$7)*(General!$B$2:$B$40=$A79)*(General!$C$2:$C$40))</f>
        <v>0.08</v>
      </c>
    </row>
    <row r="80" ht="12.75" customHeight="1"/>
    <row r="81" ht="12.75" customHeight="1"/>
    <row r="82" ht="12.75" customHeight="1">
      <c r="A82" s="27" t="s">
        <v>78</v>
      </c>
      <c r="B82" s="27" t="s">
        <v>79</v>
      </c>
      <c r="C82" s="11" t="s">
        <v>80</v>
      </c>
      <c r="D82" s="11" t="s">
        <v>133</v>
      </c>
      <c r="E82" s="11" t="s">
        <v>81</v>
      </c>
      <c r="F82" s="11" t="s">
        <v>134</v>
      </c>
    </row>
    <row r="83" ht="12.75" customHeight="1">
      <c r="A83" s="28" t="s">
        <v>82</v>
      </c>
      <c r="B83" s="12" t="str">
        <f>A7</f>
        <v>Scotland</v>
      </c>
      <c r="C83" s="17">
        <f>SUMIFS(Cust!C$2:C$5,Cust!$B$2:$B$5,$A$7)</f>
        <v>0.8</v>
      </c>
      <c r="D83" s="17">
        <f>1-C83</f>
        <v>0.2</v>
      </c>
      <c r="E83" s="17">
        <f>SUMIFS(Cust!D$2:D$5,Cust!$B$2:$B$5,$A$7)</f>
        <v>0.85</v>
      </c>
      <c r="F83" s="17">
        <f>1-E83</f>
        <v>0.15</v>
      </c>
    </row>
    <row r="84" ht="12.75" customHeight="1"/>
    <row r="85" ht="12.75" customHeight="1"/>
    <row r="86" ht="12.75" customHeight="1">
      <c r="A86" s="27" t="s">
        <v>87</v>
      </c>
      <c r="B86" s="27" t="s">
        <v>88</v>
      </c>
      <c r="C86" s="11" t="s">
        <v>89</v>
      </c>
      <c r="D86" s="11" t="s">
        <v>90</v>
      </c>
      <c r="E86" s="11" t="s">
        <v>91</v>
      </c>
      <c r="F86" s="11" t="s">
        <v>92</v>
      </c>
      <c r="G86" s="11" t="s">
        <v>93</v>
      </c>
      <c r="H86" s="11" t="s">
        <v>94</v>
      </c>
      <c r="I86" s="11" t="s">
        <v>95</v>
      </c>
      <c r="J86" s="11" t="s">
        <v>96</v>
      </c>
      <c r="K86" s="11" t="s">
        <v>97</v>
      </c>
      <c r="L86" s="11" t="s">
        <v>98</v>
      </c>
      <c r="M86" s="11" t="s">
        <v>99</v>
      </c>
      <c r="N86" s="11" t="s">
        <v>100</v>
      </c>
    </row>
    <row r="87" ht="12.75" customHeight="1">
      <c r="A87" s="9" t="s">
        <v>81</v>
      </c>
      <c r="B87" s="28" t="str">
        <f t="shared" ref="B87:B88" si="20">$A$7</f>
        <v>Scotland</v>
      </c>
      <c r="C87" s="18">
        <f>SUMIFS(Sick!C$2:C$10,Sick!$A$2:$A$10,$A87,Sick!$B$2:$B$10,$B87)</f>
        <v>7.7</v>
      </c>
      <c r="D87" s="18">
        <f>SUMIFS(Sick!D$2:D$10,Sick!$A$2:$A$10,$A87,Sick!$B$2:$B$10,$B87)</f>
        <v>8.9133</v>
      </c>
      <c r="E87" s="18">
        <f>SUMIFS(Sick!E$2:E$10,Sick!$A$2:$A$10,$A87,Sick!$B$2:$B$10,$B87)</f>
        <v>6.5846</v>
      </c>
      <c r="F87" s="18">
        <f>SUMIFS(Sick!F$2:F$10,Sick!$A$2:$A$10,$A87,Sick!$B$2:$B$10,$B87)</f>
        <v>8.9936</v>
      </c>
      <c r="G87" s="18">
        <f>SUMIFS(Sick!G$2:G$10,Sick!$A$2:$A$10,$A87,Sick!$B$2:$B$10,$B87)</f>
        <v>8.9133</v>
      </c>
      <c r="H87" s="18">
        <f>SUMIFS(Sick!H$2:H$10,Sick!$A$2:$A$10,$A87,Sick!$B$2:$B$10,$B87)</f>
        <v>9.0739</v>
      </c>
      <c r="I87" s="18">
        <f>SUMIFS(Sick!I$2:I$10,Sick!$A$2:$A$10,$A87,Sick!$B$2:$B$10,$B87)</f>
        <v>7.6285</v>
      </c>
      <c r="J87" s="18">
        <f>SUMIFS(Sick!J$2:J$10,Sick!$A$2:$A$10,$A87,Sick!$B$2:$B$10,$B87)</f>
        <v>8.9133</v>
      </c>
      <c r="K87" s="18">
        <f>SUMIFS(Sick!K$2:K$10,Sick!$A$2:$A$10,$A87,Sick!$B$2:$B$10,$B87)</f>
        <v>6.6649</v>
      </c>
      <c r="L87" s="18">
        <f>SUMIFS(Sick!L$2:L$10,Sick!$A$2:$A$10,$A87,Sick!$B$2:$B$10,$B87)</f>
        <v>6.5043</v>
      </c>
      <c r="M87" s="18">
        <f>SUMIFS(Sick!M$2:M$10,Sick!$A$2:$A$10,$A87,Sick!$B$2:$B$10,$B87)</f>
        <v>8.2709</v>
      </c>
      <c r="N87" s="18">
        <f>SUMIFS(Sick!N$2:N$10,Sick!$A$2:$A$10,$A87,Sick!$B$2:$B$10,$B87)</f>
        <v>8.5921</v>
      </c>
    </row>
    <row r="88" ht="12.75" customHeight="1">
      <c r="A88" s="9" t="s">
        <v>80</v>
      </c>
      <c r="B88" s="28" t="str">
        <f t="shared" si="20"/>
        <v>Scotland</v>
      </c>
      <c r="C88" s="18">
        <f>SUMIFS(Sick!C$2:C$10,Sick!$A$2:$A$10,$A88,Sick!$B$2:$B$10,$B88)</f>
        <v>7.2</v>
      </c>
      <c r="D88" s="18">
        <f>SUMIFS(Sick!D$2:D$10,Sick!$A$2:$A$10,$A88,Sick!$B$2:$B$10,$B88)</f>
        <v>7.37373</v>
      </c>
      <c r="E88" s="18">
        <f>SUMIFS(Sick!E$2:E$10,Sick!$A$2:$A$10,$A88,Sick!$B$2:$B$10,$B88)</f>
        <v>6.46488</v>
      </c>
      <c r="F88" s="18">
        <f>SUMIFS(Sick!F$2:F$10,Sick!$A$2:$A$10,$A88,Sick!$B$2:$B$10,$B88)</f>
        <v>7.68544</v>
      </c>
      <c r="G88" s="18">
        <f>SUMIFS(Sick!G$2:G$10,Sick!$A$2:$A$10,$A88,Sick!$B$2:$B$10,$B88)</f>
        <v>7.69785</v>
      </c>
      <c r="H88" s="18">
        <f>SUMIFS(Sick!H$2:H$10,Sick!$A$2:$A$10,$A88,Sick!$B$2:$B$10,$B88)</f>
        <v>7.75406</v>
      </c>
      <c r="I88" s="18">
        <f>SUMIFS(Sick!I$2:I$10,Sick!$A$2:$A$10,$A88,Sick!$B$2:$B$10,$B88)</f>
        <v>6.2415</v>
      </c>
      <c r="J88" s="18">
        <f>SUMIFS(Sick!J$2:J$10,Sick!$A$2:$A$10,$A88,Sick!$B$2:$B$10,$B88)</f>
        <v>8.75124</v>
      </c>
      <c r="K88" s="18">
        <f>SUMIFS(Sick!K$2:K$10,Sick!$A$2:$A$10,$A88,Sick!$B$2:$B$10,$B88)</f>
        <v>5.57428</v>
      </c>
      <c r="L88" s="18">
        <f>SUMIFS(Sick!L$2:L$10,Sick!$A$2:$A$10,$A88,Sick!$B$2:$B$10,$B88)</f>
        <v>5.73561</v>
      </c>
      <c r="M88" s="18">
        <f>SUMIFS(Sick!M$2:M$10,Sick!$A$2:$A$10,$A88,Sick!$B$2:$B$10,$B88)</f>
        <v>6.7671</v>
      </c>
      <c r="N88" s="18">
        <f>SUMIFS(Sick!N$2:N$10,Sick!$A$2:$A$10,$A88,Sick!$B$2:$B$10,$B88)</f>
        <v>7.49856</v>
      </c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8:G23 H9:J23">
    <cfRule type="expression" dxfId="0" priority="1" stopIfTrue="1">
      <formula>IF(#REF!=#REF!,1,0)</formula>
    </cfRule>
  </conditionalFormatting>
  <conditionalFormatting sqref="H8:J8">
    <cfRule type="expression" dxfId="0" priority="2" stopIfTrue="1">
      <formula>IF(#REF!=#REF!,1,0)</formula>
    </cfRule>
  </conditionalFormatting>
  <conditionalFormatting sqref="B27:G42">
    <cfRule type="expression" dxfId="0" priority="3" stopIfTrue="1">
      <formula>IF(#REF!=#REF!,1,0)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3.25"/>
    <col customWidth="1" min="3" max="10" width="9.63"/>
    <col customWidth="1" min="11" max="11" width="11.25"/>
    <col customWidth="1" min="12" max="12" width="4.88"/>
    <col customWidth="1" min="13" max="26" width="8.63"/>
  </cols>
  <sheetData>
    <row r="1" ht="12.75" customHeight="1"/>
    <row r="2" ht="12.75" customHeight="1">
      <c r="B2" s="31" t="str">
        <f>Calcs!$A$7</f>
        <v>Scotland</v>
      </c>
      <c r="C2" s="31" t="str">
        <f>Calcs!B7</f>
        <v>FY 12</v>
      </c>
      <c r="D2" s="31" t="str">
        <f>Calcs!C7</f>
        <v>FY 13</v>
      </c>
      <c r="E2" s="31" t="str">
        <f>Calcs!D7</f>
        <v>FY 14</v>
      </c>
      <c r="F2" s="31" t="str">
        <f>Calcs!E7</f>
        <v>FY 15</v>
      </c>
      <c r="G2" s="31" t="str">
        <f>Calcs!F7</f>
        <v>FY 16</v>
      </c>
      <c r="H2" s="31" t="str">
        <f>Calcs!G7</f>
        <v>FY 17</v>
      </c>
      <c r="I2" s="31" t="str">
        <f>Calcs!H7</f>
        <v>FY 18</v>
      </c>
      <c r="J2" s="31" t="str">
        <f>Calcs!I7</f>
        <v>FY 19</v>
      </c>
      <c r="K2" s="31" t="str">
        <f>Calcs!J7</f>
        <v>FY 20</v>
      </c>
      <c r="M2" s="31" t="s">
        <v>29</v>
      </c>
    </row>
    <row r="3" ht="12.75" customHeight="1">
      <c r="B3" s="12" t="s">
        <v>63</v>
      </c>
      <c r="C3" s="33">
        <f>SUMIFS(Data!C$2:C$69,Data!$B$2:$B$69,$B3,Data!$A$2:$A$69,$B$2)</f>
        <v>3330</v>
      </c>
      <c r="D3" s="33">
        <f>SUMIFS(Data!D$2:D$69,Data!$B$2:$B$69,$B3,Data!$A$2:$A$69,$B$2)</f>
        <v>3685.5</v>
      </c>
      <c r="E3" s="33">
        <f>SUMIFS(Data!E$2:E$69,Data!$B$2:$B$69,$B3,Data!$A$2:$A$69,$B$2)</f>
        <v>3818</v>
      </c>
      <c r="F3" s="33">
        <f>SUMIFS(Data!F$2:F$69,Data!$B$2:$B$69,$B3,Data!$A$2:$A$69,$B$2)</f>
        <v>4464</v>
      </c>
      <c r="G3" s="33">
        <f>SUMIFS(Data!G$2:G$69,Data!$B$2:$B$69,$B3,Data!$A$2:$A$69,$B$2)</f>
        <v>4794</v>
      </c>
      <c r="H3" s="33">
        <f>SUMIFS(Data!H$2:H$69,Data!$B$2:$B$69,$B3,Data!$A$2:$A$69,$B$2)</f>
        <v>5225</v>
      </c>
      <c r="I3" s="33">
        <f>SUMIFS(Data!I$2:I$69,Data!$B$2:$B$69,$B3,Data!$A$2:$A$69,$B$2)</f>
        <v>5376</v>
      </c>
      <c r="J3" s="33">
        <f>SUMIFS(Data!J$2:J$69,Data!$B$2:$B$69,$B3,Data!$A$2:$A$69,$B$2)</f>
        <v>4794</v>
      </c>
      <c r="K3" s="33">
        <f>SUMIFS(Data!K$2:K$69,Data!$B$2:$B$69,$B3,Data!$A$2:$A$69,$B$2)</f>
        <v>5225</v>
      </c>
    </row>
    <row r="4" ht="12.75" customHeight="1">
      <c r="B4" s="12" t="s">
        <v>64</v>
      </c>
      <c r="C4" s="33">
        <f>SUMIFS(Data!C$2:C$69,Data!$B$2:$B$69,$B4,Data!$A$2:$A$69,$B$2)</f>
        <v>13005</v>
      </c>
      <c r="D4" s="33">
        <f>SUMIFS(Data!D$2:D$69,Data!$B$2:$B$69,$B4,Data!$A$2:$A$69,$B$2)</f>
        <v>15273.895</v>
      </c>
      <c r="E4" s="33">
        <f>SUMIFS(Data!E$2:E$69,Data!$B$2:$B$69,$B4,Data!$A$2:$A$69,$B$2)</f>
        <v>15875.06</v>
      </c>
      <c r="F4" s="33">
        <f>SUMIFS(Data!F$2:F$69,Data!$B$2:$B$69,$B4,Data!$A$2:$A$69,$B$2)</f>
        <v>16590.27</v>
      </c>
      <c r="G4" s="33">
        <f>SUMIFS(Data!G$2:G$69,Data!$B$2:$B$69,$B4,Data!$A$2:$A$69,$B$2)</f>
        <v>18318.72</v>
      </c>
      <c r="H4" s="33">
        <f>SUMIFS(Data!H$2:H$69,Data!$B$2:$B$69,$B4,Data!$A$2:$A$69,$B$2)</f>
        <v>19006.65</v>
      </c>
      <c r="I4" s="33">
        <f>SUMIFS(Data!I$2:I$69,Data!$B$2:$B$69,$B4,Data!$A$2:$A$69,$B$2)</f>
        <v>24008.4</v>
      </c>
      <c r="J4" s="33">
        <f>SUMIFS(Data!J$2:J$69,Data!$B$2:$B$69,$B4,Data!$A$2:$A$69,$B$2)</f>
        <v>18318.72</v>
      </c>
      <c r="K4" s="33">
        <f>SUMIFS(Data!K$2:K$69,Data!$B$2:$B$69,$B4,Data!$A$2:$A$69,$B$2)</f>
        <v>19006.65</v>
      </c>
    </row>
    <row r="5" ht="12.75" customHeight="1">
      <c r="B5" s="12" t="s">
        <v>65</v>
      </c>
      <c r="C5" s="34">
        <f>SUMIFS(Data!C$2:C$69,Data!$B$2:$B$69,$B5,Data!$A$2:$A$69,$B$2)</f>
        <v>2.1</v>
      </c>
      <c r="D5" s="34">
        <f>SUMIFS(Data!D$2:D$69,Data!$B$2:$B$69,$B5,Data!$A$2:$A$69,$B$2)</f>
        <v>2.2</v>
      </c>
      <c r="E5" s="34">
        <f>SUMIFS(Data!E$2:E$69,Data!$B$2:$B$69,$B5,Data!$A$2:$A$69,$B$2)</f>
        <v>2.35</v>
      </c>
      <c r="F5" s="34">
        <f>SUMIFS(Data!F$2:F$69,Data!$B$2:$B$69,$B5,Data!$A$2:$A$69,$B$2)</f>
        <v>2.4</v>
      </c>
      <c r="G5" s="34">
        <f>SUMIFS(Data!G$2:G$69,Data!$B$2:$B$69,$B5,Data!$A$2:$A$69,$B$2)</f>
        <v>2.45</v>
      </c>
      <c r="H5" s="34">
        <f>SUMIFS(Data!H$2:H$69,Data!$B$2:$B$69,$B5,Data!$A$2:$A$69,$B$2)</f>
        <v>3.2</v>
      </c>
      <c r="I5" s="34">
        <f>SUMIFS(Data!I$2:I$69,Data!$B$2:$B$69,$B5,Data!$A$2:$A$69,$B$2)</f>
        <v>4.5</v>
      </c>
      <c r="J5" s="34">
        <f>SUMIFS(Data!J$2:J$69,Data!$B$2:$B$69,$B5,Data!$A$2:$A$69,$B$2)</f>
        <v>5.625</v>
      </c>
      <c r="K5" s="34">
        <f>SUMIFS(Data!K$2:K$69,Data!$B$2:$B$69,$B5,Data!$A$2:$A$69,$B$2)</f>
        <v>3.6</v>
      </c>
    </row>
    <row r="6" ht="12.75" customHeight="1">
      <c r="B6" s="12" t="s">
        <v>66</v>
      </c>
      <c r="C6" s="34">
        <f>SUMIFS(Data!C$2:C$69,Data!$B$2:$B$69,$B6,Data!$A$2:$A$69,$B$2)</f>
        <v>0.67</v>
      </c>
      <c r="D6" s="34">
        <f>SUMIFS(Data!D$2:D$69,Data!$B$2:$B$69,$B6,Data!$A$2:$A$69,$B$2)</f>
        <v>0.77</v>
      </c>
      <c r="E6" s="34">
        <f>SUMIFS(Data!E$2:E$69,Data!$B$2:$B$69,$B6,Data!$A$2:$A$69,$B$2)</f>
        <v>0.87</v>
      </c>
      <c r="F6" s="34">
        <f>SUMIFS(Data!F$2:F$69,Data!$B$2:$B$69,$B6,Data!$A$2:$A$69,$B$2)</f>
        <v>0.97</v>
      </c>
      <c r="G6" s="34">
        <f>SUMIFS(Data!G$2:G$69,Data!$B$2:$B$69,$B6,Data!$A$2:$A$69,$B$2)</f>
        <v>0.67</v>
      </c>
      <c r="H6" s="34">
        <f>SUMIFS(Data!H$2:H$69,Data!$B$2:$B$69,$B6,Data!$A$2:$A$69,$B$2)</f>
        <v>0.77</v>
      </c>
      <c r="I6" s="34">
        <f>SUMIFS(Data!I$2:I$69,Data!$B$2:$B$69,$B6,Data!$A$2:$A$69,$B$2)</f>
        <v>0.87</v>
      </c>
      <c r="J6" s="34">
        <f>SUMIFS(Data!J$2:J$69,Data!$B$2:$B$69,$B6,Data!$A$2:$A$69,$B$2)</f>
        <v>0.97</v>
      </c>
      <c r="K6" s="34">
        <f>SUMIFS(Data!K$2:K$69,Data!$B$2:$B$69,$B6,Data!$A$2:$A$69,$B$2)</f>
        <v>1.07</v>
      </c>
    </row>
    <row r="7" ht="12.75" customHeight="1">
      <c r="B7" s="12" t="s">
        <v>67</v>
      </c>
      <c r="C7" s="35">
        <f>SUMIFS(Data!C$2:C$69,Data!$B$2:$B$69,$B7,Data!$A$2:$A$69,$B$2)</f>
        <v>1.6</v>
      </c>
      <c r="D7" s="35">
        <f>SUMIFS(Data!D$2:D$69,Data!$B$2:$B$69,$B7,Data!$A$2:$A$69,$B$2)</f>
        <v>1.7</v>
      </c>
      <c r="E7" s="35">
        <f>SUMIFS(Data!E$2:E$69,Data!$B$2:$B$69,$B7,Data!$A$2:$A$69,$B$2)</f>
        <v>1.6</v>
      </c>
      <c r="F7" s="35">
        <f>SUMIFS(Data!F$2:F$69,Data!$B$2:$B$69,$B7,Data!$A$2:$A$69,$B$2)</f>
        <v>1.5</v>
      </c>
      <c r="G7" s="35">
        <f>SUMIFS(Data!G$2:G$69,Data!$B$2:$B$69,$B7,Data!$A$2:$A$69,$B$2)</f>
        <v>3.5</v>
      </c>
      <c r="H7" s="35">
        <f>SUMIFS(Data!H$2:H$69,Data!$B$2:$B$69,$B7,Data!$A$2:$A$69,$B$2)</f>
        <v>3.6</v>
      </c>
      <c r="I7" s="35">
        <f>SUMIFS(Data!I$2:I$69,Data!$B$2:$B$69,$B7,Data!$A$2:$A$69,$B$2)</f>
        <v>4.25</v>
      </c>
      <c r="J7" s="35">
        <f>SUMIFS(Data!J$2:J$69,Data!$B$2:$B$69,$B7,Data!$A$2:$A$69,$B$2)</f>
        <v>5.0625</v>
      </c>
      <c r="K7" s="35">
        <f>SUMIFS(Data!K$2:K$69,Data!$B$2:$B$69,$B7,Data!$A$2:$A$69,$B$2)</f>
        <v>6.078125</v>
      </c>
    </row>
    <row r="8" ht="12.75" customHeight="1">
      <c r="B8" s="12" t="s">
        <v>68</v>
      </c>
      <c r="C8" s="35">
        <f>SUMIFS(Data!C$2:C$69,Data!$B$2:$B$69,$B8,Data!$A$2:$A$69,$B$2)</f>
        <v>22.4</v>
      </c>
      <c r="D8" s="35">
        <f>SUMIFS(Data!D$2:D$69,Data!$B$2:$B$69,$B8,Data!$A$2:$A$69,$B$2)</f>
        <v>22.5</v>
      </c>
      <c r="E8" s="35">
        <f>SUMIFS(Data!E$2:E$69,Data!$B$2:$B$69,$B8,Data!$A$2:$A$69,$B$2)</f>
        <v>25.8</v>
      </c>
      <c r="F8" s="35">
        <f>SUMIFS(Data!F$2:F$69,Data!$B$2:$B$69,$B8,Data!$A$2:$A$69,$B$2)</f>
        <v>24.7</v>
      </c>
      <c r="G8" s="35">
        <f>SUMIFS(Data!G$2:G$69,Data!$B$2:$B$69,$B8,Data!$A$2:$A$69,$B$2)</f>
        <v>28.6</v>
      </c>
      <c r="H8" s="35">
        <f>SUMIFS(Data!H$2:H$69,Data!$B$2:$B$69,$B8,Data!$A$2:$A$69,$B$2)</f>
        <v>29.6</v>
      </c>
      <c r="I8" s="35">
        <f>SUMIFS(Data!I$2:I$69,Data!$B$2:$B$69,$B8,Data!$A$2:$A$69,$B$2)</f>
        <v>31.75</v>
      </c>
      <c r="J8" s="35">
        <f>SUMIFS(Data!J$2:J$69,Data!$B$2:$B$69,$B8,Data!$A$2:$A$69,$B$2)</f>
        <v>26.6875</v>
      </c>
      <c r="K8" s="35">
        <f>SUMIFS(Data!K$2:K$69,Data!$B$2:$B$69,$B8,Data!$A$2:$A$69,$B$2)</f>
        <v>23.859375</v>
      </c>
    </row>
    <row r="9" ht="12.75" customHeight="1">
      <c r="B9" s="12" t="s">
        <v>69</v>
      </c>
      <c r="C9" s="35">
        <f>SUMIFS(Data!C$2:C$69,Data!$B$2:$B$69,$B9,Data!$A$2:$A$69,$B$2)</f>
        <v>6.5</v>
      </c>
      <c r="D9" s="35">
        <f>SUMIFS(Data!D$2:D$69,Data!$B$2:$B$69,$B9,Data!$A$2:$A$69,$B$2)</f>
        <v>6.6</v>
      </c>
      <c r="E9" s="35">
        <f>SUMIFS(Data!E$2:E$69,Data!$B$2:$B$69,$B9,Data!$A$2:$A$69,$B$2)</f>
        <v>7.3</v>
      </c>
      <c r="F9" s="35">
        <f>SUMIFS(Data!F$2:F$69,Data!$B$2:$B$69,$B9,Data!$A$2:$A$69,$B$2)</f>
        <v>7.3</v>
      </c>
      <c r="G9" s="35">
        <f>SUMIFS(Data!G$2:G$69,Data!$B$2:$B$69,$B9,Data!$A$2:$A$69,$B$2)</f>
        <v>9.4</v>
      </c>
      <c r="H9" s="35">
        <f>SUMIFS(Data!H$2:H$69,Data!$B$2:$B$69,$B9,Data!$A$2:$A$69,$B$2)</f>
        <v>9.7</v>
      </c>
      <c r="I9" s="35">
        <f>SUMIFS(Data!I$2:I$69,Data!$B$2:$B$69,$B9,Data!$A$2:$A$69,$B$2)</f>
        <v>9.875</v>
      </c>
      <c r="J9" s="35">
        <f>SUMIFS(Data!J$2:J$69,Data!$B$2:$B$69,$B9,Data!$A$2:$A$69,$B$2)</f>
        <v>10</v>
      </c>
      <c r="K9" s="35">
        <f>SUMIFS(Data!K$2:K$69,Data!$B$2:$B$69,$B9,Data!$A$2:$A$69,$B$2)</f>
        <v>9.7</v>
      </c>
    </row>
    <row r="10" ht="12.75" customHeight="1">
      <c r="B10" s="12" t="s">
        <v>70</v>
      </c>
      <c r="C10" s="34">
        <f>SUMIFS(Data!C$2:C$69,Data!$B$2:$B$69,$B10,Data!$A$2:$A$69,$B$2)</f>
        <v>1.64</v>
      </c>
      <c r="D10" s="34">
        <f>SUMIFS(Data!D$2:D$69,Data!$B$2:$B$69,$B10,Data!$A$2:$A$69,$B$2)</f>
        <v>1.74</v>
      </c>
      <c r="E10" s="34">
        <f>SUMIFS(Data!E$2:E$69,Data!$B$2:$B$69,$B10,Data!$A$2:$A$69,$B$2)</f>
        <v>1.84</v>
      </c>
      <c r="F10" s="34">
        <f>SUMIFS(Data!F$2:F$69,Data!$B$2:$B$69,$B10,Data!$A$2:$A$69,$B$2)</f>
        <v>1.94</v>
      </c>
      <c r="G10" s="34">
        <f>SUMIFS(Data!G$2:G$69,Data!$B$2:$B$69,$B10,Data!$A$2:$A$69,$B$2)</f>
        <v>1.874</v>
      </c>
      <c r="H10" s="34">
        <f>SUMIFS(Data!H$2:H$69,Data!$B$2:$B$69,$B10,Data!$A$2:$A$69,$B$2)</f>
        <v>1.88</v>
      </c>
      <c r="I10" s="34">
        <f>SUMIFS(Data!I$2:I$69,Data!$B$2:$B$69,$B10,Data!$A$2:$A$69,$B$2)</f>
        <v>2.1</v>
      </c>
      <c r="J10" s="34">
        <f>SUMIFS(Data!J$2:J$69,Data!$B$2:$B$69,$B10,Data!$A$2:$A$69,$B$2)</f>
        <v>2.375</v>
      </c>
      <c r="K10" s="34">
        <f>SUMIFS(Data!K$2:K$69,Data!$B$2:$B$69,$B10,Data!$A$2:$A$69,$B$2)</f>
        <v>2.21875</v>
      </c>
    </row>
    <row r="11" ht="12.75" customHeight="1">
      <c r="B11" s="12" t="s">
        <v>71</v>
      </c>
      <c r="C11" s="33">
        <f>SUMIFS(Data!C$2:C$69,Data!$B$2:$B$69,$B11,Data!$A$2:$A$69,$B$2)</f>
        <v>270000</v>
      </c>
      <c r="D11" s="33">
        <f>SUMIFS(Data!D$2:D$69,Data!$B$2:$B$69,$B11,Data!$A$2:$A$69,$B$2)</f>
        <v>270000.1</v>
      </c>
      <c r="E11" s="33">
        <f>SUMIFS(Data!E$2:E$69,Data!$B$2:$B$69,$B11,Data!$A$2:$A$69,$B$2)</f>
        <v>240000</v>
      </c>
      <c r="F11" s="33">
        <f>SUMIFS(Data!F$2:F$69,Data!$B$2:$B$69,$B11,Data!$A$2:$A$69,$B$2)</f>
        <v>200000</v>
      </c>
      <c r="G11" s="33">
        <f>SUMIFS(Data!G$2:G$69,Data!$B$2:$B$69,$B11,Data!$A$2:$A$69,$B$2)</f>
        <v>295000</v>
      </c>
      <c r="H11" s="33">
        <f>SUMIFS(Data!H$2:H$69,Data!$B$2:$B$69,$B11,Data!$A$2:$A$69,$B$2)</f>
        <v>340000</v>
      </c>
      <c r="I11" s="33">
        <f>SUMIFS(Data!I$2:I$69,Data!$B$2:$B$69,$B11,Data!$A$2:$A$69,$B$2)</f>
        <v>387500</v>
      </c>
      <c r="J11" s="33">
        <f>SUMIFS(Data!J$2:J$69,Data!$B$2:$B$69,$B11,Data!$A$2:$A$69,$B$2)</f>
        <v>484375</v>
      </c>
      <c r="K11" s="33">
        <f>SUMIFS(Data!K$2:K$69,Data!$B$2:$B$69,$B11,Data!$A$2:$A$69,$B$2)</f>
        <v>605468.75</v>
      </c>
    </row>
    <row r="12" ht="12.75" customHeight="1">
      <c r="B12" s="12" t="s">
        <v>72</v>
      </c>
      <c r="C12" s="33">
        <f>SUMIFS(Data!C$2:C$69,Data!$B$2:$B$69,$B12,Data!$A$2:$A$69,$B$2)</f>
        <v>157961.5</v>
      </c>
      <c r="D12" s="33">
        <f>SUMIFS(Data!D$2:D$69,Data!$B$2:$B$69,$B12,Data!$A$2:$A$69,$B$2)</f>
        <v>157961.6</v>
      </c>
      <c r="E12" s="33">
        <f>SUMIFS(Data!E$2:E$69,Data!$B$2:$B$69,$B12,Data!$A$2:$A$69,$B$2)</f>
        <v>129450</v>
      </c>
      <c r="F12" s="33">
        <f>SUMIFS(Data!F$2:F$69,Data!$B$2:$B$69,$B12,Data!$A$2:$A$69,$B$2)</f>
        <v>169382.5</v>
      </c>
      <c r="G12" s="33">
        <f>SUMIFS(Data!G$2:G$69,Data!$B$2:$B$69,$B12,Data!$A$2:$A$69,$B$2)</f>
        <v>176450</v>
      </c>
      <c r="H12" s="33">
        <f>SUMIFS(Data!H$2:H$69,Data!$B$2:$B$69,$B12,Data!$A$2:$A$69,$B$2)</f>
        <v>160492</v>
      </c>
      <c r="I12" s="33">
        <f>SUMIFS(Data!I$2:I$69,Data!$B$2:$B$69,$B12,Data!$A$2:$A$69,$B$2)</f>
        <v>200615</v>
      </c>
      <c r="J12" s="33">
        <f>SUMIFS(Data!J$2:J$69,Data!$B$2:$B$69,$B12,Data!$A$2:$A$69,$B$2)</f>
        <v>250768.75</v>
      </c>
      <c r="K12" s="33">
        <f>SUMIFS(Data!K$2:K$69,Data!$B$2:$B$69,$B12,Data!$A$2:$A$69,$B$2)</f>
        <v>313460.9375</v>
      </c>
    </row>
    <row r="13" ht="12.75" customHeight="1">
      <c r="B13" s="12" t="s">
        <v>46</v>
      </c>
      <c r="C13" s="33">
        <f>SUMIFS(Data!C$2:C$69,Data!$B$2:$B$69,$B13,Data!$A$2:$A$69,$B$2)</f>
        <v>146825.5</v>
      </c>
      <c r="D13" s="33">
        <f>SUMIFS(Data!D$2:D$69,Data!$B$2:$B$69,$B13,Data!$A$2:$A$69,$B$2)</f>
        <v>146825.6</v>
      </c>
      <c r="E13" s="33">
        <f>SUMIFS(Data!E$2:E$69,Data!$B$2:$B$69,$B13,Data!$A$2:$A$69,$B$2)</f>
        <v>154465.5</v>
      </c>
      <c r="F13" s="33">
        <f>SUMIFS(Data!F$2:F$69,Data!$B$2:$B$69,$B13,Data!$A$2:$A$69,$B$2)</f>
        <v>137450</v>
      </c>
      <c r="G13" s="33">
        <f>SUMIFS(Data!G$2:G$69,Data!$B$2:$B$69,$B13,Data!$A$2:$A$69,$B$2)</f>
        <v>164575</v>
      </c>
      <c r="H13" s="33">
        <f>SUMIFS(Data!H$2:H$69,Data!$B$2:$B$69,$B13,Data!$A$2:$A$69,$B$2)</f>
        <v>152959</v>
      </c>
      <c r="I13" s="33">
        <f>SUMIFS(Data!I$2:I$69,Data!$B$2:$B$69,$B13,Data!$A$2:$A$69,$B$2)</f>
        <v>147959</v>
      </c>
      <c r="J13" s="33">
        <f>SUMIFS(Data!J$2:J$69,Data!$B$2:$B$69,$B13,Data!$A$2:$A$69,$B$2)</f>
        <v>153561.5</v>
      </c>
      <c r="K13" s="33">
        <f>SUMIFS(Data!K$2:K$69,Data!$B$2:$B$69,$B13,Data!$A$2:$A$69,$B$2)</f>
        <v>147959</v>
      </c>
    </row>
    <row r="14" ht="12.75" customHeight="1">
      <c r="B14" s="12" t="s">
        <v>73</v>
      </c>
      <c r="C14" s="33">
        <f>SUMIFS(Data!C$2:C$69,Data!$B$2:$B$69,$B14,Data!$A$2:$A$69,$B$2)</f>
        <v>14375</v>
      </c>
      <c r="D14" s="33">
        <f>SUMIFS(Data!D$2:D$69,Data!$B$2:$B$69,$B14,Data!$A$2:$A$69,$B$2)</f>
        <v>14375.1</v>
      </c>
      <c r="E14" s="33">
        <f>SUMIFS(Data!E$2:E$69,Data!$B$2:$B$69,$B14,Data!$A$2:$A$69,$B$2)</f>
        <v>15770</v>
      </c>
      <c r="F14" s="33">
        <f>SUMIFS(Data!F$2:F$69,Data!$B$2:$B$69,$B14,Data!$A$2:$A$69,$B$2)</f>
        <v>16350</v>
      </c>
      <c r="G14" s="33">
        <f>SUMIFS(Data!G$2:G$69,Data!$B$2:$B$69,$B14,Data!$A$2:$A$69,$B$2)</f>
        <v>16935</v>
      </c>
      <c r="H14" s="33">
        <f>SUMIFS(Data!H$2:H$69,Data!$B$2:$B$69,$B14,Data!$A$2:$A$69,$B$2)</f>
        <v>17450</v>
      </c>
      <c r="I14" s="33">
        <f>SUMIFS(Data!I$2:I$69,Data!$B$2:$B$69,$B14,Data!$A$2:$A$69,$B$2)</f>
        <v>17950</v>
      </c>
      <c r="J14" s="33">
        <f>SUMIFS(Data!J$2:J$69,Data!$B$2:$B$69,$B14,Data!$A$2:$A$69,$B$2)</f>
        <v>18450</v>
      </c>
      <c r="K14" s="33">
        <f>SUMIFS(Data!K$2:K$69,Data!$B$2:$B$69,$B14,Data!$A$2:$A$69,$B$2)</f>
        <v>18950</v>
      </c>
    </row>
    <row r="15" ht="12.75" customHeight="1">
      <c r="B15" s="12" t="s">
        <v>74</v>
      </c>
      <c r="C15" s="35">
        <f>SUMIFS(Data!C$2:C$69,Data!$B$2:$B$69,$B15,Data!$A$2:$A$69,$B$2)</f>
        <v>0.7</v>
      </c>
      <c r="D15" s="35">
        <f>SUMIFS(Data!D$2:D$69,Data!$B$2:$B$69,$B15,Data!$A$2:$A$69,$B$2)</f>
        <v>0.8</v>
      </c>
      <c r="E15" s="35">
        <f>SUMIFS(Data!E$2:E$69,Data!$B$2:$B$69,$B15,Data!$A$2:$A$69,$B$2)</f>
        <v>0.5</v>
      </c>
      <c r="F15" s="35">
        <f>SUMIFS(Data!F$2:F$69,Data!$B$2:$B$69,$B15,Data!$A$2:$A$69,$B$2)</f>
        <v>0.4</v>
      </c>
      <c r="G15" s="35">
        <f>SUMIFS(Data!G$2:G$69,Data!$B$2:$B$69,$B15,Data!$A$2:$A$69,$B$2)</f>
        <v>2.2</v>
      </c>
      <c r="H15" s="35">
        <f>SUMIFS(Data!H$2:H$69,Data!$B$2:$B$69,$B15,Data!$A$2:$A$69,$B$2)</f>
        <v>2.3</v>
      </c>
      <c r="I15" s="35">
        <f>SUMIFS(Data!I$2:I$69,Data!$B$2:$B$69,$B15,Data!$A$2:$A$69,$B$2)</f>
        <v>2.7</v>
      </c>
      <c r="J15" s="35">
        <f>SUMIFS(Data!J$2:J$69,Data!$B$2:$B$69,$B15,Data!$A$2:$A$69,$B$2)</f>
        <v>2.5</v>
      </c>
      <c r="K15" s="35">
        <f>SUMIFS(Data!K$2:K$69,Data!$B$2:$B$69,$B15,Data!$A$2:$A$69,$B$2)</f>
        <v>2.3</v>
      </c>
    </row>
    <row r="16" ht="12.75" customHeight="1">
      <c r="B16" s="12" t="s">
        <v>75</v>
      </c>
      <c r="C16" s="35">
        <f>SUMIFS(Data!C$2:C$69,Data!$B$2:$B$69,$B16,Data!$A$2:$A$69,$B$2)</f>
        <v>1.9</v>
      </c>
      <c r="D16" s="35">
        <f>SUMIFS(Data!D$2:D$69,Data!$B$2:$B$69,$B16,Data!$A$2:$A$69,$B$2)</f>
        <v>2</v>
      </c>
      <c r="E16" s="35">
        <f>SUMIFS(Data!E$2:E$69,Data!$B$2:$B$69,$B16,Data!$A$2:$A$69,$B$2)</f>
        <v>2</v>
      </c>
      <c r="F16" s="35">
        <f>SUMIFS(Data!F$2:F$69,Data!$B$2:$B$69,$B16,Data!$A$2:$A$69,$B$2)</f>
        <v>2</v>
      </c>
      <c r="G16" s="35">
        <f>SUMIFS(Data!G$2:G$69,Data!$B$2:$B$69,$B16,Data!$A$2:$A$69,$B$2)</f>
        <v>4.1</v>
      </c>
      <c r="H16" s="35">
        <f>SUMIFS(Data!H$2:H$69,Data!$B$2:$B$69,$B16,Data!$A$2:$A$69,$B$2)</f>
        <v>4.2</v>
      </c>
      <c r="I16" s="35">
        <f>SUMIFS(Data!I$2:I$69,Data!$B$2:$B$69,$B16,Data!$A$2:$A$69,$B$2)</f>
        <v>3.9</v>
      </c>
      <c r="J16" s="35">
        <f>SUMIFS(Data!J$2:J$69,Data!$B$2:$B$69,$B16,Data!$A$2:$A$69,$B$2)</f>
        <v>3.9</v>
      </c>
      <c r="K16" s="35">
        <f>SUMIFS(Data!K$2:K$69,Data!$B$2:$B$69,$B16,Data!$A$2:$A$69,$B$2)</f>
        <v>4</v>
      </c>
    </row>
    <row r="17" ht="12.75" customHeight="1">
      <c r="B17" s="12" t="s">
        <v>76</v>
      </c>
      <c r="C17" s="35">
        <f>SUMIFS(Data!C$2:C$69,Data!$B$2:$B$69,$B17,Data!$A$2:$A$69,$B$2)</f>
        <v>2.45</v>
      </c>
      <c r="D17" s="35">
        <f>SUMIFS(Data!D$2:D$69,Data!$B$2:$B$69,$B17,Data!$A$2:$A$69,$B$2)</f>
        <v>2.55</v>
      </c>
      <c r="E17" s="35">
        <f>SUMIFS(Data!E$2:E$69,Data!$B$2:$B$69,$B17,Data!$A$2:$A$69,$B$2)</f>
        <v>2.55</v>
      </c>
      <c r="F17" s="35">
        <f>SUMIFS(Data!F$2:F$69,Data!$B$2:$B$69,$B17,Data!$A$2:$A$69,$B$2)</f>
        <v>2.65</v>
      </c>
      <c r="G17" s="35">
        <f>SUMIFS(Data!G$2:G$69,Data!$B$2:$B$69,$B17,Data!$A$2:$A$69,$B$2)</f>
        <v>4.7</v>
      </c>
      <c r="H17" s="35">
        <f>SUMIFS(Data!H$2:H$69,Data!$B$2:$B$69,$B17,Data!$A$2:$A$69,$B$2)</f>
        <v>4.9</v>
      </c>
      <c r="I17" s="35">
        <f>SUMIFS(Data!I$2:I$69,Data!$B$2:$B$69,$B17,Data!$A$2:$A$69,$B$2)</f>
        <v>4.9</v>
      </c>
      <c r="J17" s="35">
        <f>SUMIFS(Data!J$2:J$69,Data!$B$2:$B$69,$B17,Data!$A$2:$A$69,$B$2)</f>
        <v>4.6</v>
      </c>
      <c r="K17" s="35">
        <f>SUMIFS(Data!K$2:K$69,Data!$B$2:$B$69,$B17,Data!$A$2:$A$69,$B$2)</f>
        <v>4.9</v>
      </c>
    </row>
    <row r="18" ht="12.75" customHeight="1">
      <c r="B18" s="12" t="s">
        <v>77</v>
      </c>
      <c r="C18" s="35">
        <f>SUMIFS(Data!C$2:C$69,Data!$B$2:$B$69,$B18,Data!$A$2:$A$69,$B$2)</f>
        <v>0.7</v>
      </c>
      <c r="D18" s="35">
        <f>SUMIFS(Data!D$2:D$69,Data!$B$2:$B$69,$B18,Data!$A$2:$A$69,$B$2)</f>
        <v>0.8</v>
      </c>
      <c r="E18" s="35">
        <f>SUMIFS(Data!E$2:E$69,Data!$B$2:$B$69,$B18,Data!$A$2:$A$69,$B$2)</f>
        <v>0.6</v>
      </c>
      <c r="F18" s="35">
        <f>SUMIFS(Data!F$2:F$69,Data!$B$2:$B$69,$B18,Data!$A$2:$A$69,$B$2)</f>
        <v>0.6</v>
      </c>
      <c r="G18" s="35">
        <f>SUMIFS(Data!G$2:G$69,Data!$B$2:$B$69,$B18,Data!$A$2:$A$69,$B$2)</f>
        <v>2.5</v>
      </c>
      <c r="H18" s="35">
        <f>SUMIFS(Data!H$2:H$69,Data!$B$2:$B$69,$B18,Data!$A$2:$A$69,$B$2)</f>
        <v>2.4</v>
      </c>
      <c r="I18" s="35">
        <f>SUMIFS(Data!I$2:I$69,Data!$B$2:$B$69,$B18,Data!$A$2:$A$69,$B$2)</f>
        <v>2.3</v>
      </c>
      <c r="J18" s="35">
        <f>SUMIFS(Data!J$2:J$69,Data!$B$2:$B$69,$B18,Data!$A$2:$A$69,$B$2)</f>
        <v>2.6</v>
      </c>
      <c r="K18" s="35">
        <f>SUMIFS(Data!K$2:K$69,Data!$B$2:$B$69,$B18,Data!$A$2:$A$69,$B$2)</f>
        <v>2.5</v>
      </c>
    </row>
    <row r="19" ht="12.75" customHeight="1"/>
    <row r="20" ht="12.75" customHeight="1">
      <c r="B20" s="9" t="s">
        <v>29</v>
      </c>
      <c r="C20" s="13">
        <f t="shared" ref="C20:K20" si="1">SUM(C3:C19)</f>
        <v>605537.66</v>
      </c>
      <c r="D20" s="13">
        <f t="shared" si="1"/>
        <v>608163.455</v>
      </c>
      <c r="E20" s="13">
        <f t="shared" si="1"/>
        <v>559423.97</v>
      </c>
      <c r="F20" s="13">
        <f t="shared" si="1"/>
        <v>544281.23</v>
      </c>
      <c r="G20" s="13">
        <f t="shared" si="1"/>
        <v>676132.714</v>
      </c>
      <c r="H20" s="13">
        <f t="shared" si="1"/>
        <v>695195.2</v>
      </c>
      <c r="I20" s="13">
        <f t="shared" si="1"/>
        <v>783475.545</v>
      </c>
      <c r="J20" s="13">
        <f t="shared" si="1"/>
        <v>930332.29</v>
      </c>
      <c r="K20" s="13">
        <f t="shared" si="1"/>
        <v>1110130.564</v>
      </c>
    </row>
    <row r="21" ht="12.75" customHeight="1"/>
    <row r="22" ht="12.75" customHeight="1">
      <c r="B22" s="9" t="s">
        <v>135</v>
      </c>
      <c r="C22" s="18">
        <f>C20-SUM(Calcs!B8:B24)</f>
        <v>0</v>
      </c>
      <c r="D22" s="18">
        <f>D20-SUM(Calcs!C8:C24)</f>
        <v>0</v>
      </c>
      <c r="E22" s="18">
        <f>E20-SUM(Calcs!D8:D24)</f>
        <v>0</v>
      </c>
      <c r="F22" s="18">
        <f>F20-SUM(Calcs!E8:E24)</f>
        <v>0</v>
      </c>
      <c r="G22" s="18">
        <f>G20-SUM(Calcs!F8:F24)</f>
        <v>0</v>
      </c>
      <c r="H22" s="18">
        <f>H20-SUM(Calcs!G8:G24)</f>
        <v>0</v>
      </c>
      <c r="I22" s="18">
        <f>I20-SUM(Calcs!H8:H24)</f>
        <v>0</v>
      </c>
      <c r="J22" s="18">
        <f>J20-SUM(Calcs!I8:I24)</f>
        <v>0</v>
      </c>
      <c r="K22" s="18">
        <f>K20-SUM(Calcs!J8:J24)</f>
        <v>0</v>
      </c>
      <c r="M22" s="18">
        <f>SUM(C22:L22)</f>
        <v>0</v>
      </c>
    </row>
    <row r="23" ht="12.75" customHeight="1"/>
    <row r="24" ht="12.75" customHeight="1"/>
    <row r="25" ht="12.75" customHeight="1">
      <c r="B25" s="8" t="s">
        <v>35</v>
      </c>
      <c r="C25" s="8" t="s">
        <v>136</v>
      </c>
      <c r="D25" s="8" t="s">
        <v>29</v>
      </c>
      <c r="M25" s="8" t="s">
        <v>29</v>
      </c>
    </row>
    <row r="26" ht="12.75" customHeight="1">
      <c r="B26" s="12" t="s">
        <v>119</v>
      </c>
      <c r="C26" s="28">
        <f>SUMIFS(Other!$C$2:$C$41,Other!$A$2:$A$41,$B$2,Other!$B$2:$B$41,$B26)</f>
        <v>87.08333333</v>
      </c>
      <c r="D26" s="37">
        <f>C26-Calcs!B51</f>
        <v>0</v>
      </c>
    </row>
    <row r="27" ht="12.75" customHeight="1">
      <c r="B27" s="12" t="s">
        <v>120</v>
      </c>
      <c r="C27" s="28">
        <f>SUMIFS(Other!$C$2:$C$41,Other!$A$2:$A$41,$B$2,Other!$B$2:$B$41,$B27)</f>
        <v>174.1666667</v>
      </c>
      <c r="D27" s="37">
        <f>C27-Calcs!B52</f>
        <v>0</v>
      </c>
    </row>
    <row r="28" ht="12.75" customHeight="1">
      <c r="B28" s="12" t="s">
        <v>121</v>
      </c>
      <c r="C28" s="28">
        <f>SUMIFS(Other!$C$2:$C$41,Other!$A$2:$A$41,$B$2,Other!$B$2:$B$41,$B28)</f>
        <v>130.625</v>
      </c>
      <c r="D28" s="37">
        <f>C28-Calcs!B53</f>
        <v>0</v>
      </c>
    </row>
    <row r="29" ht="12.75" customHeight="1">
      <c r="B29" s="12" t="s">
        <v>112</v>
      </c>
      <c r="C29" s="28">
        <f>SUMIFS(Other!$C$2:$C$41,Other!$A$2:$A$41,$B$2,Other!$B$2:$B$41,$B29)</f>
        <v>43.54166667</v>
      </c>
      <c r="D29" s="37">
        <f>C29-Calcs!B54</f>
        <v>0</v>
      </c>
    </row>
    <row r="30" ht="12.75" customHeight="1">
      <c r="B30" s="12" t="s">
        <v>63</v>
      </c>
      <c r="C30" s="28">
        <f>SUMIFS(Other!$C$2:$C$41,Other!$A$2:$A$41,$B$2,Other!$B$2:$B$41,$B30)</f>
        <v>435.4166667</v>
      </c>
      <c r="D30" s="37">
        <f>C30-Calcs!B55</f>
        <v>0</v>
      </c>
    </row>
    <row r="31" ht="12.75" customHeight="1">
      <c r="B31" s="12" t="s">
        <v>122</v>
      </c>
      <c r="C31" s="28">
        <f>SUMIFS(Other!$C$2:$C$41,Other!$A$2:$A$41,$B$2,Other!$B$2:$B$41,$B31)</f>
        <v>217.7083333</v>
      </c>
      <c r="D31" s="37">
        <f>C31-Calcs!B56</f>
        <v>0</v>
      </c>
    </row>
    <row r="32" ht="12.75" customHeight="1">
      <c r="B32" s="12" t="s">
        <v>123</v>
      </c>
      <c r="C32" s="28">
        <f>SUMIFS(Other!$C$2:$C$41,Other!$A$2:$A$41,$B$2,Other!$B$2:$B$41,$B32)</f>
        <v>54.42708333</v>
      </c>
      <c r="D32" s="37">
        <f>C32-Calcs!B57</f>
        <v>0</v>
      </c>
    </row>
    <row r="33" ht="12.75" customHeight="1">
      <c r="B33" s="12" t="s">
        <v>124</v>
      </c>
      <c r="C33" s="28">
        <f>SUMIFS(Other!$C$2:$C$41,Other!$A$2:$A$41,$B$2,Other!$B$2:$B$41,$B33)</f>
        <v>272.1354167</v>
      </c>
      <c r="D33" s="37">
        <f>C33-Calcs!B58</f>
        <v>0</v>
      </c>
    </row>
    <row r="34" ht="12.75" customHeight="1">
      <c r="B34" s="12" t="s">
        <v>125</v>
      </c>
      <c r="C34" s="28">
        <f>SUMIFS(Other!$C$2:$C$41,Other!$A$2:$A$41,$B$2,Other!$B$2:$B$41,$B34)</f>
        <v>163.28125</v>
      </c>
      <c r="D34" s="37">
        <f>C34-Calcs!B59</f>
        <v>0</v>
      </c>
    </row>
    <row r="35" ht="12.75" customHeight="1"/>
    <row r="36" ht="12.75" customHeight="1">
      <c r="B36" s="12" t="s">
        <v>29</v>
      </c>
      <c r="D36" s="37">
        <f>SUM(D26:D35)</f>
        <v>0</v>
      </c>
      <c r="M36" s="18">
        <f>SUM(C36:L36)</f>
        <v>0</v>
      </c>
    </row>
    <row r="37" ht="12.75" customHeight="1"/>
    <row r="38" ht="12.75" customHeight="1">
      <c r="B38" s="8" t="s">
        <v>128</v>
      </c>
      <c r="C38" s="11" t="str">
        <f>Calcs!B45</f>
        <v>FY 12</v>
      </c>
      <c r="D38" s="11" t="str">
        <f>Calcs!C45</f>
        <v>FY 13</v>
      </c>
      <c r="E38" s="11" t="str">
        <f>Calcs!D45</f>
        <v>FY 14</v>
      </c>
      <c r="F38" s="11" t="str">
        <f>Calcs!E45</f>
        <v>FY 15</v>
      </c>
      <c r="G38" s="11" t="str">
        <f>Calcs!F45</f>
        <v>FY 16</v>
      </c>
      <c r="H38" s="11" t="str">
        <f>Calcs!G45</f>
        <v>FY 17</v>
      </c>
      <c r="I38" s="11" t="str">
        <f>Calcs!H45</f>
        <v>FY 18</v>
      </c>
      <c r="J38" s="11" t="str">
        <f>Calcs!I45</f>
        <v>FY 19</v>
      </c>
      <c r="M38" s="31" t="s">
        <v>29</v>
      </c>
    </row>
    <row r="39" ht="12.75" customHeight="1">
      <c r="B39" s="28" t="s">
        <v>86</v>
      </c>
      <c r="C39" s="28">
        <f>SUMPRODUCT((Hires!$A$2:$A$10=$B39)*(Hires!$B$2:$B$10=$B$2)*(Hires!$C$1:$M$1=C$38)*(Hires!$C$2:$M$10))</f>
        <v>612</v>
      </c>
      <c r="D39" s="28">
        <f>SUMPRODUCT((Hires!$A$2:$A$10=$B39)*(Hires!$B$2:$B$10=$B$2)*(Hires!$C$1:$M$1=D$38)*(Hires!$C$2:$M$10))</f>
        <v>714</v>
      </c>
      <c r="E39" s="28">
        <f>SUMPRODUCT((Hires!$A$2:$A$10=$B39)*(Hires!$B$2:$B$10=$B$2)*(Hires!$C$1:$M$1=E$38)*(Hires!$C$2:$M$10))</f>
        <v>332</v>
      </c>
      <c r="F39" s="28">
        <f>SUMPRODUCT((Hires!$A$2:$A$10=$B39)*(Hires!$B$2:$B$10=$B$2)*(Hires!$C$1:$M$1=F$38)*(Hires!$C$2:$M$10))</f>
        <v>235</v>
      </c>
      <c r="G39" s="28">
        <f>SUMPRODUCT((Hires!$A$2:$A$10=$B39)*(Hires!$B$2:$B$10=$B$2)*(Hires!$C$1:$M$1=G$38)*(Hires!$C$2:$M$10))</f>
        <v>519</v>
      </c>
      <c r="H39" s="28">
        <f>SUMPRODUCT((Hires!$A$2:$A$10=$B39)*(Hires!$B$2:$B$10=$B$2)*(Hires!$C$1:$M$1=H$38)*(Hires!$C$2:$M$10))</f>
        <v>412</v>
      </c>
      <c r="I39" s="28">
        <f>SUMPRODUCT((Hires!$A$2:$A$10=$B39)*(Hires!$B$2:$B$10=$B$2)*(Hires!$C$1:$M$1=I$38)*(Hires!$C$2:$M$10))</f>
        <v>1020</v>
      </c>
      <c r="J39" s="28">
        <f>SUMPRODUCT((Hires!$A$2:$A$10=$B39)*(Hires!$B$2:$B$10=$B$2)*(Hires!$C$1:$M$1=J$38)*(Hires!$C$2:$M$10))</f>
        <v>1122</v>
      </c>
    </row>
    <row r="40" ht="12.75" customHeight="1">
      <c r="B40" s="9" t="s">
        <v>85</v>
      </c>
      <c r="C40" s="28">
        <f>SUMPRODUCT((Hires!$A$2:$A$10=$B40)*(Hires!$B$2:$B$10=$B$2)*(Hires!$C$1:$M$1=C$38)*(Hires!$C$2:$M$10))</f>
        <v>-816</v>
      </c>
      <c r="D40" s="28">
        <f>SUMPRODUCT((Hires!$A$2:$A$10=$B40)*(Hires!$B$2:$B$10=$B$2)*(Hires!$C$1:$M$1=D$38)*(Hires!$C$2:$M$10))</f>
        <v>-301</v>
      </c>
      <c r="E40" s="28">
        <f>SUMPRODUCT((Hires!$A$2:$A$10=$B40)*(Hires!$B$2:$B$10=$B$2)*(Hires!$C$1:$M$1=E$38)*(Hires!$C$2:$M$10))</f>
        <v>-301</v>
      </c>
      <c r="F40" s="28">
        <f>SUMPRODUCT((Hires!$A$2:$A$10=$B40)*(Hires!$B$2:$B$10=$B$2)*(Hires!$C$1:$M$1=F$38)*(Hires!$C$2:$M$10))</f>
        <v>-204</v>
      </c>
      <c r="G40" s="28">
        <f>SUMPRODUCT((Hires!$A$2:$A$10=$B40)*(Hires!$B$2:$B$10=$B$2)*(Hires!$C$1:$M$1=G$38)*(Hires!$C$2:$M$10))</f>
        <v>-354</v>
      </c>
      <c r="H40" s="28">
        <f>SUMPRODUCT((Hires!$A$2:$A$10=$B40)*(Hires!$B$2:$B$10=$B$2)*(Hires!$C$1:$M$1=H$38)*(Hires!$C$2:$M$10))</f>
        <v>-204</v>
      </c>
      <c r="I40" s="28">
        <f>SUMPRODUCT((Hires!$A$2:$A$10=$B40)*(Hires!$B$2:$B$10=$B$2)*(Hires!$C$1:$M$1=I$38)*(Hires!$C$2:$M$10))</f>
        <v>-612</v>
      </c>
      <c r="J40" s="28">
        <f>SUMPRODUCT((Hires!$A$2:$A$10=$B40)*(Hires!$B$2:$B$10=$B$2)*(Hires!$C$1:$M$1=J$38)*(Hires!$C$2:$M$10))</f>
        <v>-102</v>
      </c>
    </row>
    <row r="41" ht="12.75" customHeight="1"/>
    <row r="42" ht="12.75" customHeight="1">
      <c r="B42" s="9" t="s">
        <v>29</v>
      </c>
      <c r="C42" s="28">
        <f>SUM(C39:C41)-SUM(Calcs!B46:B47)</f>
        <v>0</v>
      </c>
      <c r="D42" s="28">
        <f>SUM(D39:D41)-SUM(Calcs!C46:C47)</f>
        <v>0</v>
      </c>
      <c r="E42" s="28">
        <f>SUM(E39:E41)-SUM(Calcs!D46:D47)</f>
        <v>0</v>
      </c>
      <c r="F42" s="28">
        <f>SUM(F39:F41)-SUM(Calcs!E46:E47)</f>
        <v>0</v>
      </c>
      <c r="G42" s="28">
        <f>SUM(G39:G41)-SUM(Calcs!F46:F47)</f>
        <v>0</v>
      </c>
      <c r="H42" s="28">
        <f>SUM(H39:H41)-SUM(Calcs!G46:G47)</f>
        <v>0</v>
      </c>
      <c r="I42" s="28">
        <f>SUM(I39:I41)-SUM(Calcs!H46:H47)</f>
        <v>0</v>
      </c>
      <c r="J42" s="28">
        <f>SUM(J39:J41)-SUM(Calcs!I46:I47)</f>
        <v>0</v>
      </c>
      <c r="M42" s="18">
        <f>SUM(C42:L42)</f>
        <v>0</v>
      </c>
    </row>
    <row r="43" ht="12.75" customHeight="1"/>
    <row r="44" ht="12.75" customHeight="1">
      <c r="B44" s="9" t="s">
        <v>137</v>
      </c>
      <c r="D44" s="28" t="str">
        <f>IF(M44=0,Lists!H2,Lists!H3)</f>
        <v>Model OK</v>
      </c>
      <c r="M44" s="28">
        <f>SUM(M3:M43)</f>
        <v>0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C3:K18">
    <cfRule type="expression" dxfId="0" priority="1" stopIfTrue="1">
      <formula>IF(#REF!=#REF!,1,0)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9.13"/>
    <col customWidth="1" min="3" max="3" width="16.63"/>
    <col customWidth="1" min="4" max="4" width="10.38"/>
    <col customWidth="1" min="5" max="5" width="14.13"/>
    <col customWidth="1" min="6" max="7" width="9.13"/>
    <col customWidth="1" min="8" max="8" width="8.75"/>
    <col customWidth="1" min="9" max="9" width="1.25"/>
    <col customWidth="1" min="10" max="14" width="9.75"/>
    <col customWidth="1" min="15" max="15" width="11.0"/>
    <col customWidth="1" min="16" max="16" width="4.75"/>
    <col customWidth="1" min="17" max="20" width="9.13"/>
    <col customWidth="1" min="21" max="21" width="24.0"/>
    <col customWidth="1" min="22" max="26" width="9.13"/>
  </cols>
  <sheetData>
    <row r="1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2.7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8.2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2.7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2.75" customHeight="1">
      <c r="A5" s="38"/>
      <c r="B5" s="38">
        <v>3.0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2.7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2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2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2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8.75" customHeight="1">
      <c r="A10" s="38"/>
      <c r="B10" s="38"/>
      <c r="C10" s="38"/>
      <c r="D10" s="38"/>
      <c r="E10" s="39" t="s">
        <v>138</v>
      </c>
      <c r="F10" s="40"/>
      <c r="G10" s="41"/>
      <c r="H10" s="41"/>
      <c r="I10" s="41"/>
      <c r="J10" s="42" t="str">
        <f>OFFSET(Lists!E1,$B$5,0,1,1)</f>
        <v>FY 14</v>
      </c>
      <c r="K10" s="42" t="str">
        <f>OFFSET(Lists!$E$1,MATCH(J10,Lists!$E$1:$E$12,0),0,1,1)</f>
        <v>FY 15</v>
      </c>
      <c r="L10" s="42" t="str">
        <f>OFFSET(Lists!$E$1,MATCH(K10,Lists!$E$1:$E$12,0),0,1,1)</f>
        <v>FY 16</v>
      </c>
      <c r="M10" s="42" t="str">
        <f>OFFSET(Lists!$E$1,MATCH(L10,Lists!$E$1:$E$12,0),0,1,1)</f>
        <v>FY 17</v>
      </c>
      <c r="N10" s="42" t="str">
        <f>OFFSET(Lists!$E$1,MATCH(M10,Lists!$E$1:$E$12,0),0,1,1)</f>
        <v>FY 18</v>
      </c>
      <c r="O10" s="42" t="str">
        <f>OFFSET(Lists!$E$1,MATCH(N10,Lists!$E$1:$E$12,0),0,1,1)</f>
        <v>FY 19</v>
      </c>
      <c r="P10" s="38"/>
      <c r="Q10" s="43"/>
      <c r="R10" s="44" t="s">
        <v>128</v>
      </c>
      <c r="S10" s="44"/>
      <c r="T10" s="45"/>
      <c r="U10" s="45"/>
      <c r="V10" s="38"/>
      <c r="W10" s="38"/>
      <c r="X10" s="38"/>
      <c r="Y10" s="38"/>
      <c r="Z10" s="38"/>
    </row>
    <row r="11" ht="12.0" customHeight="1">
      <c r="A11" s="38"/>
      <c r="B11" s="38"/>
      <c r="C11" s="38"/>
      <c r="D11" s="38"/>
      <c r="E11" s="46" t="s">
        <v>63</v>
      </c>
      <c r="F11" s="38"/>
      <c r="G11" s="38"/>
      <c r="H11" s="38"/>
      <c r="I11" s="38"/>
      <c r="J11" s="47">
        <f>Calcs!B27</f>
        <v>3818</v>
      </c>
      <c r="K11" s="48">
        <f>Calcs!C27</f>
        <v>4464</v>
      </c>
      <c r="L11" s="48">
        <f>Calcs!D27</f>
        <v>4794</v>
      </c>
      <c r="M11" s="48">
        <f>Calcs!E27</f>
        <v>5225</v>
      </c>
      <c r="N11" s="48">
        <f>Calcs!F27</f>
        <v>5376</v>
      </c>
      <c r="O11" s="49">
        <f>Calcs!G27</f>
        <v>4794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2.75" customHeight="1">
      <c r="A12" s="38"/>
      <c r="B12" s="50" t="s">
        <v>109</v>
      </c>
      <c r="C12" s="51"/>
      <c r="D12" s="52">
        <f>Calcs!B71</f>
        <v>0.18</v>
      </c>
      <c r="E12" s="46" t="s">
        <v>64</v>
      </c>
      <c r="F12" s="38"/>
      <c r="G12" s="38"/>
      <c r="H12" s="38"/>
      <c r="I12" s="38"/>
      <c r="J12" s="53">
        <f>Calcs!B28</f>
        <v>15875.06</v>
      </c>
      <c r="K12" s="54">
        <f>Calcs!C28</f>
        <v>16590.27</v>
      </c>
      <c r="L12" s="54">
        <f>Calcs!D28</f>
        <v>18318.72</v>
      </c>
      <c r="M12" s="54">
        <f>Calcs!E28</f>
        <v>19006.65</v>
      </c>
      <c r="N12" s="54">
        <f>Calcs!F28</f>
        <v>24008.4</v>
      </c>
      <c r="O12" s="55">
        <f>Calcs!G28</f>
        <v>18318.72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2.75" customHeight="1">
      <c r="A13" s="38"/>
      <c r="B13" s="56" t="s">
        <v>110</v>
      </c>
      <c r="C13" s="38"/>
      <c r="D13" s="57">
        <f>Calcs!B72</f>
        <v>0.22</v>
      </c>
      <c r="E13" s="46" t="s">
        <v>65</v>
      </c>
      <c r="F13" s="38"/>
      <c r="G13" s="38"/>
      <c r="H13" s="38"/>
      <c r="I13" s="38"/>
      <c r="J13" s="58">
        <f>Calcs!B29</f>
        <v>2.35</v>
      </c>
      <c r="K13" s="59">
        <f>Calcs!C29</f>
        <v>2.4</v>
      </c>
      <c r="L13" s="59">
        <f>Calcs!D29</f>
        <v>2.45</v>
      </c>
      <c r="M13" s="59">
        <f>Calcs!E29</f>
        <v>3.2</v>
      </c>
      <c r="N13" s="59">
        <f>Calcs!F29</f>
        <v>4.5</v>
      </c>
      <c r="O13" s="60">
        <f>Calcs!G29</f>
        <v>5.625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2.75" customHeight="1">
      <c r="A14" s="38"/>
      <c r="B14" s="56" t="s">
        <v>111</v>
      </c>
      <c r="C14" s="38"/>
      <c r="D14" s="57">
        <f>Calcs!B73</f>
        <v>0.06</v>
      </c>
      <c r="E14" s="46" t="s">
        <v>66</v>
      </c>
      <c r="F14" s="38"/>
      <c r="G14" s="38"/>
      <c r="H14" s="38"/>
      <c r="I14" s="38"/>
      <c r="J14" s="58">
        <f>Calcs!B30</f>
        <v>0.87</v>
      </c>
      <c r="K14" s="59">
        <f>Calcs!C30</f>
        <v>0.97</v>
      </c>
      <c r="L14" s="59">
        <f>Calcs!D30</f>
        <v>0.67</v>
      </c>
      <c r="M14" s="59">
        <f>Calcs!E30</f>
        <v>0.77</v>
      </c>
      <c r="N14" s="59">
        <f>Calcs!F30</f>
        <v>0.87</v>
      </c>
      <c r="O14" s="60">
        <f>Calcs!G30</f>
        <v>0.97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2.75" customHeight="1">
      <c r="A15" s="38"/>
      <c r="B15" s="56" t="s">
        <v>112</v>
      </c>
      <c r="C15" s="38"/>
      <c r="D15" s="57">
        <f>Calcs!B74</f>
        <v>0.01</v>
      </c>
      <c r="E15" s="46" t="s">
        <v>67</v>
      </c>
      <c r="F15" s="38"/>
      <c r="G15" s="38"/>
      <c r="H15" s="38"/>
      <c r="I15" s="38"/>
      <c r="J15" s="61">
        <f>Calcs!B31</f>
        <v>1.6</v>
      </c>
      <c r="K15" s="62">
        <f>Calcs!C31</f>
        <v>1.5</v>
      </c>
      <c r="L15" s="62">
        <f>Calcs!D31</f>
        <v>3.5</v>
      </c>
      <c r="M15" s="62">
        <f>Calcs!E31</f>
        <v>3.6</v>
      </c>
      <c r="N15" s="62">
        <f>Calcs!F31</f>
        <v>4.25</v>
      </c>
      <c r="O15" s="63">
        <f>Calcs!G31</f>
        <v>5.0625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2.75" customHeight="1">
      <c r="A16" s="38"/>
      <c r="B16" s="56" t="s">
        <v>113</v>
      </c>
      <c r="C16" s="64"/>
      <c r="D16" s="65">
        <f>Calcs!B75</f>
        <v>0.04</v>
      </c>
      <c r="E16" s="46" t="s">
        <v>68</v>
      </c>
      <c r="F16" s="38"/>
      <c r="G16" s="38"/>
      <c r="H16" s="38"/>
      <c r="I16" s="38"/>
      <c r="J16" s="61">
        <f>Calcs!B32</f>
        <v>25.8</v>
      </c>
      <c r="K16" s="62">
        <f>Calcs!C32</f>
        <v>24.7</v>
      </c>
      <c r="L16" s="62">
        <f>Calcs!D32</f>
        <v>28.6</v>
      </c>
      <c r="M16" s="62">
        <f>Calcs!E32</f>
        <v>29.6</v>
      </c>
      <c r="N16" s="62">
        <f>Calcs!F32</f>
        <v>31.75</v>
      </c>
      <c r="O16" s="63">
        <f>Calcs!G32</f>
        <v>26.6875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2.75" customHeight="1">
      <c r="A17" s="38"/>
      <c r="B17" s="56" t="s">
        <v>114</v>
      </c>
      <c r="C17" s="38"/>
      <c r="D17" s="57">
        <f>Calcs!B76</f>
        <v>0.12</v>
      </c>
      <c r="E17" s="46" t="s">
        <v>69</v>
      </c>
      <c r="F17" s="38"/>
      <c r="G17" s="38"/>
      <c r="H17" s="38"/>
      <c r="I17" s="38"/>
      <c r="J17" s="61">
        <f>Calcs!B33</f>
        <v>7.3</v>
      </c>
      <c r="K17" s="62">
        <f>Calcs!C33</f>
        <v>7.3</v>
      </c>
      <c r="L17" s="62">
        <f>Calcs!D33</f>
        <v>9.4</v>
      </c>
      <c r="M17" s="62">
        <f>Calcs!E33</f>
        <v>9.7</v>
      </c>
      <c r="N17" s="62">
        <f>Calcs!F33</f>
        <v>9.875</v>
      </c>
      <c r="O17" s="63">
        <f>Calcs!G33</f>
        <v>10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2.75" customHeight="1">
      <c r="A18" s="38"/>
      <c r="B18" s="56" t="s">
        <v>115</v>
      </c>
      <c r="C18" s="38"/>
      <c r="D18" s="57">
        <f>Calcs!B77</f>
        <v>0.15</v>
      </c>
      <c r="E18" s="46" t="s">
        <v>70</v>
      </c>
      <c r="F18" s="38"/>
      <c r="G18" s="38"/>
      <c r="H18" s="38"/>
      <c r="I18" s="38"/>
      <c r="J18" s="58">
        <f>Calcs!B34</f>
        <v>1.84</v>
      </c>
      <c r="K18" s="59">
        <f>Calcs!C34</f>
        <v>1.94</v>
      </c>
      <c r="L18" s="59">
        <f>Calcs!D34</f>
        <v>1.874</v>
      </c>
      <c r="M18" s="59">
        <f>Calcs!E34</f>
        <v>1.88</v>
      </c>
      <c r="N18" s="59">
        <f>Calcs!F34</f>
        <v>2.1</v>
      </c>
      <c r="O18" s="60">
        <f>Calcs!G34</f>
        <v>2.375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2.75" customHeight="1">
      <c r="A19" s="38"/>
      <c r="B19" s="56" t="s">
        <v>116</v>
      </c>
      <c r="C19" s="64"/>
      <c r="D19" s="65">
        <f>Calcs!B78</f>
        <v>0.14</v>
      </c>
      <c r="E19" s="46" t="s">
        <v>71</v>
      </c>
      <c r="F19" s="38"/>
      <c r="G19" s="38"/>
      <c r="H19" s="38"/>
      <c r="I19" s="38"/>
      <c r="J19" s="53">
        <f>Calcs!B35</f>
        <v>240000</v>
      </c>
      <c r="K19" s="54">
        <f>Calcs!C35</f>
        <v>200000</v>
      </c>
      <c r="L19" s="54">
        <f>Calcs!D35</f>
        <v>295000</v>
      </c>
      <c r="M19" s="54">
        <f>Calcs!E35</f>
        <v>340000</v>
      </c>
      <c r="N19" s="54">
        <f>Calcs!F35</f>
        <v>387500</v>
      </c>
      <c r="O19" s="55">
        <f>Calcs!G35</f>
        <v>484375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2.75" customHeight="1">
      <c r="A20" s="38"/>
      <c r="B20" s="66" t="s">
        <v>117</v>
      </c>
      <c r="C20" s="67"/>
      <c r="D20" s="68">
        <f>Calcs!B79</f>
        <v>0.08</v>
      </c>
      <c r="E20" s="46" t="s">
        <v>72</v>
      </c>
      <c r="F20" s="38"/>
      <c r="G20" s="38"/>
      <c r="H20" s="38"/>
      <c r="I20" s="38"/>
      <c r="J20" s="53">
        <f>Calcs!B36</f>
        <v>129450</v>
      </c>
      <c r="K20" s="54">
        <f>Calcs!C36</f>
        <v>169382.5</v>
      </c>
      <c r="L20" s="54">
        <f>Calcs!D36</f>
        <v>176450</v>
      </c>
      <c r="M20" s="54">
        <f>Calcs!E36</f>
        <v>160492</v>
      </c>
      <c r="N20" s="54">
        <f>Calcs!F36</f>
        <v>200615</v>
      </c>
      <c r="O20" s="55">
        <f>Calcs!G36</f>
        <v>250768.75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2.75" customHeight="1">
      <c r="A21" s="38"/>
      <c r="B21" s="38"/>
      <c r="C21" s="38"/>
      <c r="D21" s="38"/>
      <c r="E21" s="46" t="s">
        <v>46</v>
      </c>
      <c r="F21" s="38"/>
      <c r="G21" s="38"/>
      <c r="H21" s="38"/>
      <c r="I21" s="38"/>
      <c r="J21" s="53">
        <f>Calcs!B37</f>
        <v>154465.5</v>
      </c>
      <c r="K21" s="54">
        <f>Calcs!C37</f>
        <v>137450</v>
      </c>
      <c r="L21" s="54">
        <f>Calcs!D37</f>
        <v>164575</v>
      </c>
      <c r="M21" s="54">
        <f>Calcs!E37</f>
        <v>152959</v>
      </c>
      <c r="N21" s="54">
        <f>Calcs!F37</f>
        <v>147959</v>
      </c>
      <c r="O21" s="55">
        <f>Calcs!G37</f>
        <v>153561.5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2.75" customHeight="1">
      <c r="A22" s="38"/>
      <c r="B22" s="38"/>
      <c r="C22" s="38"/>
      <c r="D22" s="38"/>
      <c r="E22" s="46" t="s">
        <v>73</v>
      </c>
      <c r="F22" s="38"/>
      <c r="G22" s="38"/>
      <c r="H22" s="38"/>
      <c r="I22" s="38"/>
      <c r="J22" s="53">
        <f>Calcs!B38</f>
        <v>15770</v>
      </c>
      <c r="K22" s="54">
        <f>Calcs!C38</f>
        <v>16350</v>
      </c>
      <c r="L22" s="54">
        <f>Calcs!D38</f>
        <v>16935</v>
      </c>
      <c r="M22" s="54">
        <f>Calcs!E38</f>
        <v>17450</v>
      </c>
      <c r="N22" s="54">
        <f>Calcs!F38</f>
        <v>17950</v>
      </c>
      <c r="O22" s="55">
        <f>Calcs!G38</f>
        <v>18450</v>
      </c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2.75" customHeight="1">
      <c r="A23" s="38"/>
      <c r="B23" s="38"/>
      <c r="C23" s="38"/>
      <c r="D23" s="38"/>
      <c r="E23" s="46" t="s">
        <v>74</v>
      </c>
      <c r="F23" s="38"/>
      <c r="G23" s="38"/>
      <c r="H23" s="38"/>
      <c r="I23" s="38"/>
      <c r="J23" s="61">
        <f>Calcs!B39</f>
        <v>0.5</v>
      </c>
      <c r="K23" s="62">
        <f>Calcs!C39</f>
        <v>0.4</v>
      </c>
      <c r="L23" s="62">
        <f>Calcs!D39</f>
        <v>2.2</v>
      </c>
      <c r="M23" s="62">
        <f>Calcs!E39</f>
        <v>2.3</v>
      </c>
      <c r="N23" s="62">
        <f>Calcs!F39</f>
        <v>2.7</v>
      </c>
      <c r="O23" s="63">
        <f>Calcs!G39</f>
        <v>2.5</v>
      </c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2.75" customHeight="1">
      <c r="A24" s="38"/>
      <c r="B24" s="38"/>
      <c r="C24" s="38"/>
      <c r="D24" s="38"/>
      <c r="E24" s="46" t="s">
        <v>75</v>
      </c>
      <c r="F24" s="69"/>
      <c r="G24" s="69"/>
      <c r="H24" s="69"/>
      <c r="I24" s="69"/>
      <c r="J24" s="61">
        <f>Calcs!B40</f>
        <v>2</v>
      </c>
      <c r="K24" s="62">
        <f>Calcs!C40</f>
        <v>2</v>
      </c>
      <c r="L24" s="62">
        <f>Calcs!D40</f>
        <v>4.1</v>
      </c>
      <c r="M24" s="62">
        <f>Calcs!E40</f>
        <v>4.2</v>
      </c>
      <c r="N24" s="62">
        <f>Calcs!F40</f>
        <v>3.9</v>
      </c>
      <c r="O24" s="63">
        <f>Calcs!G40</f>
        <v>3.9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2.75" customHeight="1">
      <c r="A25" s="38"/>
      <c r="B25" s="38"/>
      <c r="C25" s="38"/>
      <c r="D25" s="38"/>
      <c r="E25" s="46" t="s">
        <v>76</v>
      </c>
      <c r="F25" s="69"/>
      <c r="G25" s="69"/>
      <c r="H25" s="69"/>
      <c r="I25" s="69"/>
      <c r="J25" s="61">
        <f>Calcs!B41</f>
        <v>2.55</v>
      </c>
      <c r="K25" s="62">
        <f>Calcs!C41</f>
        <v>2.65</v>
      </c>
      <c r="L25" s="62">
        <f>Calcs!D41</f>
        <v>4.7</v>
      </c>
      <c r="M25" s="62">
        <f>Calcs!E41</f>
        <v>4.9</v>
      </c>
      <c r="N25" s="62">
        <f>Calcs!F41</f>
        <v>4.9</v>
      </c>
      <c r="O25" s="63">
        <f>Calcs!G41</f>
        <v>4.6</v>
      </c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2.75" customHeight="1">
      <c r="A26" s="38"/>
      <c r="B26" s="38"/>
      <c r="C26" s="38"/>
      <c r="D26" s="38"/>
      <c r="E26" s="46" t="s">
        <v>77</v>
      </c>
      <c r="F26" s="69"/>
      <c r="G26" s="69"/>
      <c r="H26" s="69"/>
      <c r="I26" s="69"/>
      <c r="J26" s="70">
        <f>Calcs!B42</f>
        <v>0.6</v>
      </c>
      <c r="K26" s="71">
        <f>Calcs!C42</f>
        <v>0.6</v>
      </c>
      <c r="L26" s="71">
        <f>Calcs!D42</f>
        <v>2.5</v>
      </c>
      <c r="M26" s="71">
        <f>Calcs!E42</f>
        <v>2.4</v>
      </c>
      <c r="N26" s="71">
        <f>Calcs!F42</f>
        <v>2.3</v>
      </c>
      <c r="O26" s="72">
        <f>Calcs!G42</f>
        <v>2.6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2.75" customHeight="1">
      <c r="A27" s="38"/>
      <c r="B27" s="38"/>
      <c r="C27" s="38"/>
      <c r="D27" s="3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2.75" customHeight="1">
      <c r="A28" s="38"/>
      <c r="B28" s="38"/>
      <c r="C28" s="38"/>
      <c r="D28" s="3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2.75" customHeight="1">
      <c r="A29" s="38"/>
      <c r="B29" s="38"/>
      <c r="C29" s="38"/>
      <c r="D29" s="3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2.75" customHeight="1">
      <c r="A30" s="38"/>
      <c r="B30" s="38"/>
      <c r="C30" s="38"/>
      <c r="D30" s="38"/>
      <c r="E30" s="73" t="s">
        <v>139</v>
      </c>
      <c r="F30" s="38"/>
      <c r="G30" s="69"/>
      <c r="H30" s="69"/>
      <c r="I30" s="69"/>
      <c r="J30" s="69"/>
      <c r="K30" s="69"/>
      <c r="L30" s="74" t="str">
        <f>Calcs!A3&amp;" Trend"</f>
        <v>Core Deposits Trend</v>
      </c>
      <c r="M30" s="69"/>
      <c r="N30" s="69"/>
      <c r="O30" s="38"/>
      <c r="P30" s="38"/>
      <c r="Q30" s="38"/>
      <c r="R30" s="38"/>
      <c r="S30" s="38"/>
      <c r="T30" s="74" t="s">
        <v>140</v>
      </c>
      <c r="U30" s="38"/>
      <c r="V30" s="38"/>
      <c r="W30" s="38"/>
      <c r="X30" s="38"/>
      <c r="Y30" s="38"/>
      <c r="Z30" s="38"/>
    </row>
    <row r="31" ht="12.75" customHeight="1">
      <c r="A31" s="38"/>
      <c r="B31" s="38"/>
      <c r="C31" s="38"/>
      <c r="D31" s="38"/>
      <c r="E31" s="69"/>
      <c r="F31" s="38"/>
      <c r="G31" s="69"/>
      <c r="H31" s="69"/>
      <c r="I31" s="69"/>
      <c r="J31" s="69"/>
      <c r="K31" s="69"/>
      <c r="L31" s="38"/>
      <c r="M31" s="69"/>
      <c r="N31" s="69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2.75" customHeight="1">
      <c r="A32" s="38"/>
      <c r="B32" s="38"/>
      <c r="C32" s="38"/>
      <c r="D32" s="3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2.75" customHeight="1">
      <c r="A33" s="38"/>
      <c r="B33" s="38"/>
      <c r="C33" s="38"/>
      <c r="D33" s="3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2.75" customHeight="1">
      <c r="A34" s="38"/>
      <c r="B34" s="38"/>
      <c r="C34" s="38"/>
      <c r="D34" s="3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2.75" customHeight="1">
      <c r="A35" s="38"/>
      <c r="B35" s="50" t="s">
        <v>119</v>
      </c>
      <c r="C35" s="51"/>
      <c r="D35" s="75">
        <f>Calcs!B51</f>
        <v>87.08333333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2.75" customHeight="1">
      <c r="A36" s="38"/>
      <c r="B36" s="56" t="s">
        <v>120</v>
      </c>
      <c r="C36" s="38"/>
      <c r="D36" s="76">
        <f>Calcs!B52</f>
        <v>174.1666667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2.75" customHeight="1">
      <c r="A37" s="38"/>
      <c r="B37" s="56" t="s">
        <v>121</v>
      </c>
      <c r="C37" s="38"/>
      <c r="D37" s="76">
        <f>Calcs!B53</f>
        <v>130.625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2.75" customHeight="1">
      <c r="A38" s="38"/>
      <c r="B38" s="56" t="s">
        <v>112</v>
      </c>
      <c r="C38" s="38"/>
      <c r="D38" s="76">
        <f>Calcs!B54</f>
        <v>43.54166667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2.75" customHeight="1">
      <c r="A39" s="64"/>
      <c r="B39" s="77" t="s">
        <v>63</v>
      </c>
      <c r="C39" s="64"/>
      <c r="D39" s="78">
        <f>Calcs!B55</f>
        <v>435.4166667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2.75" customHeight="1">
      <c r="A40" s="38"/>
      <c r="B40" s="56" t="s">
        <v>122</v>
      </c>
      <c r="C40" s="38"/>
      <c r="D40" s="76">
        <f>Calcs!B56</f>
        <v>217.7083333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2.75" customHeight="1">
      <c r="A41" s="38"/>
      <c r="B41" s="56" t="s">
        <v>123</v>
      </c>
      <c r="C41" s="38"/>
      <c r="D41" s="76">
        <f>Calcs!B57</f>
        <v>54.42708333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2.75" customHeight="1">
      <c r="A42" s="64"/>
      <c r="B42" s="77" t="s">
        <v>124</v>
      </c>
      <c r="C42" s="64"/>
      <c r="D42" s="78">
        <f>Calcs!B58</f>
        <v>272.1354167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0" customHeight="1">
      <c r="A43" s="38"/>
      <c r="B43" s="79" t="s">
        <v>125</v>
      </c>
      <c r="C43" s="67"/>
      <c r="D43" s="80">
        <f>Calcs!B59</f>
        <v>163.28125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2.75" customHeight="1">
      <c r="A44" s="38"/>
      <c r="B44" s="38"/>
      <c r="C44" s="38"/>
      <c r="D44" s="38"/>
      <c r="E44" s="81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2.75" customHeight="1">
      <c r="A46" s="38"/>
      <c r="B46" s="82" t="s">
        <v>141</v>
      </c>
      <c r="C46" s="83"/>
      <c r="D46" s="83" t="str">
        <f>Check!D44</f>
        <v>Model OK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38"/>
      <c r="W46" s="38"/>
      <c r="X46" s="38"/>
      <c r="Y46" s="38"/>
      <c r="Z46" s="38"/>
    </row>
    <row r="47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9"/>
      <c r="W56" s="9"/>
      <c r="X56" s="9"/>
      <c r="Y56" s="9"/>
      <c r="Z56" s="9"/>
    </row>
    <row r="57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9"/>
      <c r="W57" s="9"/>
      <c r="X57" s="9"/>
      <c r="Y57" s="9"/>
      <c r="Z57" s="9"/>
    </row>
    <row r="58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9"/>
      <c r="W58" s="9"/>
      <c r="X58" s="9"/>
      <c r="Y58" s="9"/>
      <c r="Z58" s="9"/>
    </row>
    <row r="59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9"/>
      <c r="W59" s="9"/>
      <c r="X59" s="9"/>
      <c r="Y59" s="9"/>
      <c r="Z59" s="9"/>
    </row>
    <row r="60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9"/>
      <c r="W60" s="9"/>
      <c r="X60" s="9"/>
      <c r="Y60" s="9"/>
      <c r="Z60" s="9"/>
    </row>
    <row r="6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9"/>
      <c r="W61" s="9"/>
      <c r="X61" s="9"/>
      <c r="Y61" s="9"/>
      <c r="Z61" s="9"/>
    </row>
    <row r="62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9"/>
      <c r="W62" s="9"/>
      <c r="X62" s="9"/>
      <c r="Y62" s="9"/>
      <c r="Z62" s="9"/>
    </row>
    <row r="63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9"/>
      <c r="W63" s="9"/>
      <c r="X63" s="9"/>
      <c r="Y63" s="9"/>
      <c r="Z63" s="9"/>
    </row>
    <row r="6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9"/>
      <c r="W64" s="9"/>
      <c r="X64" s="9"/>
      <c r="Y64" s="9"/>
      <c r="Z64" s="9"/>
    </row>
    <row r="65" ht="34.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38"/>
      <c r="R66" s="38"/>
      <c r="S66" s="38"/>
      <c r="T66" s="38"/>
      <c r="U66" s="38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38"/>
      <c r="R67" s="38"/>
      <c r="S67" s="38"/>
      <c r="T67" s="38"/>
      <c r="U67" s="38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38"/>
      <c r="R68" s="38"/>
      <c r="S68" s="38"/>
      <c r="T68" s="38"/>
      <c r="U68" s="38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38"/>
      <c r="R69" s="38"/>
      <c r="S69" s="38"/>
      <c r="T69" s="38"/>
      <c r="U69" s="38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38"/>
      <c r="R70" s="38"/>
      <c r="S70" s="38"/>
      <c r="T70" s="38"/>
      <c r="U70" s="38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38"/>
      <c r="R71" s="38"/>
      <c r="S71" s="38"/>
      <c r="T71" s="38"/>
      <c r="U71" s="38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38"/>
      <c r="R72" s="38"/>
      <c r="S72" s="38"/>
      <c r="T72" s="38"/>
      <c r="U72" s="38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38"/>
      <c r="R73" s="38"/>
      <c r="S73" s="38"/>
      <c r="T73" s="38"/>
      <c r="U73" s="38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38"/>
      <c r="R74" s="38"/>
      <c r="S74" s="38"/>
      <c r="T74" s="38"/>
      <c r="U74" s="38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38"/>
      <c r="R75" s="38"/>
      <c r="S75" s="38"/>
      <c r="T75" s="38"/>
      <c r="U75" s="38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38"/>
      <c r="R76" s="38"/>
      <c r="S76" s="38"/>
      <c r="T76" s="38"/>
      <c r="U76" s="38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38"/>
      <c r="R77" s="38"/>
      <c r="S77" s="38"/>
      <c r="T77" s="38"/>
      <c r="U77" s="38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38"/>
      <c r="R78" s="38"/>
      <c r="S78" s="38"/>
      <c r="T78" s="38"/>
      <c r="U78" s="38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38"/>
      <c r="R79" s="38"/>
      <c r="S79" s="38"/>
      <c r="T79" s="38"/>
      <c r="U79" s="38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38"/>
      <c r="R80" s="38"/>
      <c r="S80" s="38"/>
      <c r="T80" s="38"/>
      <c r="U80" s="38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38"/>
      <c r="R81" s="38"/>
      <c r="S81" s="38"/>
      <c r="T81" s="38"/>
      <c r="U81" s="38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38"/>
      <c r="R82" s="38"/>
      <c r="S82" s="38"/>
      <c r="T82" s="38"/>
      <c r="U82" s="38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38"/>
      <c r="R83" s="38"/>
      <c r="S83" s="38"/>
      <c r="T83" s="38"/>
      <c r="U83" s="38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38"/>
      <c r="R84" s="38"/>
      <c r="S84" s="38"/>
      <c r="T84" s="38"/>
      <c r="U84" s="38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38"/>
      <c r="R85" s="38"/>
      <c r="S85" s="38"/>
      <c r="T85" s="38"/>
      <c r="U85" s="38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38"/>
      <c r="R86" s="38"/>
      <c r="S86" s="38"/>
      <c r="T86" s="38"/>
      <c r="U86" s="38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38"/>
      <c r="R87" s="38"/>
      <c r="S87" s="38"/>
      <c r="T87" s="38"/>
      <c r="U87" s="38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38"/>
      <c r="R88" s="38"/>
      <c r="S88" s="38"/>
      <c r="T88" s="38"/>
      <c r="U88" s="38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38"/>
      <c r="R89" s="38"/>
      <c r="S89" s="38"/>
      <c r="T89" s="38"/>
      <c r="U89" s="38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38"/>
      <c r="R90" s="38"/>
      <c r="S90" s="38"/>
      <c r="T90" s="38"/>
      <c r="U90" s="38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38"/>
      <c r="R91" s="38"/>
      <c r="S91" s="38"/>
      <c r="T91" s="38"/>
      <c r="U91" s="38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38"/>
      <c r="R92" s="38"/>
      <c r="S92" s="38"/>
      <c r="T92" s="38"/>
      <c r="U92" s="38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38"/>
      <c r="R93" s="38"/>
      <c r="S93" s="38"/>
      <c r="T93" s="38"/>
      <c r="U93" s="38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38"/>
      <c r="R94" s="38"/>
      <c r="S94" s="38"/>
      <c r="T94" s="38"/>
      <c r="U94" s="38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38"/>
      <c r="R95" s="38"/>
      <c r="S95" s="38"/>
      <c r="T95" s="38"/>
      <c r="U95" s="38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38"/>
      <c r="R96" s="38"/>
      <c r="S96" s="38"/>
      <c r="T96" s="38"/>
      <c r="U96" s="38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38"/>
      <c r="R97" s="38"/>
      <c r="S97" s="38"/>
      <c r="T97" s="38"/>
      <c r="U97" s="38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38"/>
      <c r="R98" s="38"/>
      <c r="S98" s="38"/>
      <c r="T98" s="38"/>
      <c r="U98" s="38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38"/>
      <c r="R99" s="38"/>
      <c r="S99" s="38"/>
      <c r="T99" s="38"/>
      <c r="U99" s="38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38"/>
      <c r="R100" s="38"/>
      <c r="S100" s="38"/>
      <c r="T100" s="38"/>
      <c r="U100" s="38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38"/>
      <c r="R101" s="38"/>
      <c r="S101" s="38"/>
      <c r="T101" s="38"/>
      <c r="U101" s="38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38"/>
      <c r="R102" s="38"/>
      <c r="S102" s="38"/>
      <c r="T102" s="38"/>
      <c r="U102" s="38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38"/>
      <c r="R103" s="38"/>
      <c r="S103" s="38"/>
      <c r="T103" s="38"/>
      <c r="U103" s="38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38"/>
      <c r="R104" s="38"/>
      <c r="S104" s="38"/>
      <c r="T104" s="38"/>
      <c r="U104" s="38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38"/>
      <c r="R105" s="38"/>
      <c r="S105" s="38"/>
      <c r="T105" s="38"/>
      <c r="U105" s="38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38"/>
      <c r="R106" s="38"/>
      <c r="S106" s="38"/>
      <c r="T106" s="38"/>
      <c r="U106" s="38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38"/>
      <c r="R107" s="38"/>
      <c r="S107" s="38"/>
      <c r="T107" s="38"/>
      <c r="U107" s="38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38"/>
      <c r="R108" s="38"/>
      <c r="S108" s="38"/>
      <c r="T108" s="38"/>
      <c r="U108" s="38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38"/>
      <c r="R109" s="38"/>
      <c r="S109" s="38"/>
      <c r="T109" s="38"/>
      <c r="U109" s="38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38"/>
      <c r="R110" s="38"/>
      <c r="S110" s="38"/>
      <c r="T110" s="38"/>
      <c r="U110" s="38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38"/>
      <c r="R111" s="38"/>
      <c r="S111" s="38"/>
      <c r="T111" s="38"/>
      <c r="U111" s="38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38"/>
      <c r="R112" s="38"/>
      <c r="S112" s="38"/>
      <c r="T112" s="38"/>
      <c r="U112" s="38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38"/>
      <c r="R113" s="38"/>
      <c r="S113" s="38"/>
      <c r="T113" s="38"/>
      <c r="U113" s="38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38"/>
      <c r="R114" s="38"/>
      <c r="S114" s="38"/>
      <c r="T114" s="38"/>
      <c r="U114" s="38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38"/>
      <c r="R115" s="38"/>
      <c r="S115" s="38"/>
      <c r="T115" s="38"/>
      <c r="U115" s="38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38"/>
      <c r="R116" s="38"/>
      <c r="S116" s="38"/>
      <c r="T116" s="38"/>
      <c r="U116" s="38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38"/>
      <c r="R117" s="38"/>
      <c r="S117" s="38"/>
      <c r="T117" s="38"/>
      <c r="U117" s="38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38"/>
      <c r="R118" s="38"/>
      <c r="S118" s="38"/>
      <c r="T118" s="38"/>
      <c r="U118" s="38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38"/>
      <c r="R119" s="38"/>
      <c r="S119" s="38"/>
      <c r="T119" s="38"/>
      <c r="U119" s="38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38"/>
      <c r="R120" s="38"/>
      <c r="S120" s="38"/>
      <c r="T120" s="38"/>
      <c r="U120" s="38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38"/>
      <c r="R121" s="38"/>
      <c r="S121" s="38"/>
      <c r="T121" s="38"/>
      <c r="U121" s="38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38"/>
      <c r="R122" s="38"/>
      <c r="S122" s="38"/>
      <c r="T122" s="38"/>
      <c r="U122" s="38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38"/>
      <c r="R123" s="38"/>
      <c r="S123" s="38"/>
      <c r="T123" s="38"/>
      <c r="U123" s="38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38"/>
      <c r="R124" s="38"/>
      <c r="S124" s="38"/>
      <c r="T124" s="38"/>
      <c r="U124" s="38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38"/>
      <c r="R125" s="38"/>
      <c r="S125" s="38"/>
      <c r="T125" s="38"/>
      <c r="U125" s="38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38"/>
      <c r="R126" s="38"/>
      <c r="S126" s="38"/>
      <c r="T126" s="38"/>
      <c r="U126" s="38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38"/>
      <c r="R127" s="38"/>
      <c r="S127" s="38"/>
      <c r="T127" s="38"/>
      <c r="U127" s="38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38"/>
      <c r="R128" s="38"/>
      <c r="S128" s="38"/>
      <c r="T128" s="38"/>
      <c r="U128" s="38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38"/>
      <c r="R129" s="38"/>
      <c r="S129" s="38"/>
      <c r="T129" s="38"/>
      <c r="U129" s="38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38"/>
      <c r="R130" s="38"/>
      <c r="S130" s="38"/>
      <c r="T130" s="38"/>
      <c r="U130" s="38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38"/>
      <c r="R131" s="38"/>
      <c r="S131" s="38"/>
      <c r="T131" s="38"/>
      <c r="U131" s="38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38"/>
      <c r="R132" s="38"/>
      <c r="S132" s="38"/>
      <c r="T132" s="38"/>
      <c r="U132" s="38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38"/>
      <c r="R133" s="38"/>
      <c r="S133" s="38"/>
      <c r="T133" s="38"/>
      <c r="U133" s="38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38"/>
      <c r="R134" s="38"/>
      <c r="S134" s="38"/>
      <c r="T134" s="38"/>
      <c r="U134" s="38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38"/>
      <c r="R135" s="38"/>
      <c r="S135" s="38"/>
      <c r="T135" s="38"/>
      <c r="U135" s="38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38"/>
      <c r="R136" s="38"/>
      <c r="S136" s="38"/>
      <c r="T136" s="38"/>
      <c r="U136" s="38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38"/>
      <c r="R137" s="38"/>
      <c r="S137" s="38"/>
      <c r="T137" s="38"/>
      <c r="U137" s="38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38"/>
      <c r="R138" s="38"/>
      <c r="S138" s="38"/>
      <c r="T138" s="38"/>
      <c r="U138" s="38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38"/>
      <c r="R139" s="38"/>
      <c r="S139" s="38"/>
      <c r="T139" s="38"/>
      <c r="U139" s="38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38"/>
      <c r="R140" s="38"/>
      <c r="S140" s="38"/>
      <c r="T140" s="38"/>
      <c r="U140" s="38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38"/>
      <c r="R141" s="38"/>
      <c r="S141" s="38"/>
      <c r="T141" s="38"/>
      <c r="U141" s="38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38"/>
      <c r="R142" s="38"/>
      <c r="S142" s="38"/>
      <c r="T142" s="38"/>
      <c r="U142" s="38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38"/>
      <c r="R143" s="38"/>
      <c r="S143" s="38"/>
      <c r="T143" s="38"/>
      <c r="U143" s="38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38"/>
      <c r="R144" s="38"/>
      <c r="S144" s="38"/>
      <c r="T144" s="38"/>
      <c r="U144" s="38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38"/>
      <c r="R145" s="38"/>
      <c r="S145" s="38"/>
      <c r="T145" s="38"/>
      <c r="U145" s="38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38"/>
      <c r="R146" s="38"/>
      <c r="S146" s="38"/>
      <c r="T146" s="38"/>
      <c r="U146" s="38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38"/>
      <c r="R147" s="38"/>
      <c r="S147" s="38"/>
      <c r="T147" s="38"/>
      <c r="U147" s="38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38"/>
      <c r="R148" s="38"/>
      <c r="S148" s="38"/>
      <c r="T148" s="38"/>
      <c r="U148" s="38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38"/>
      <c r="R149" s="38"/>
      <c r="S149" s="38"/>
      <c r="T149" s="38"/>
      <c r="U149" s="38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38"/>
      <c r="R150" s="38"/>
      <c r="S150" s="38"/>
      <c r="T150" s="38"/>
      <c r="U150" s="38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38"/>
      <c r="R151" s="38"/>
      <c r="S151" s="38"/>
      <c r="T151" s="38"/>
      <c r="U151" s="38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38"/>
      <c r="R152" s="38"/>
      <c r="S152" s="38"/>
      <c r="T152" s="38"/>
      <c r="U152" s="38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38"/>
      <c r="R153" s="38"/>
      <c r="S153" s="38"/>
      <c r="T153" s="38"/>
      <c r="U153" s="38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38"/>
      <c r="R154" s="38"/>
      <c r="S154" s="38"/>
      <c r="T154" s="38"/>
      <c r="U154" s="38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38"/>
      <c r="R155" s="38"/>
      <c r="S155" s="38"/>
      <c r="T155" s="38"/>
      <c r="U155" s="38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38"/>
      <c r="R156" s="38"/>
      <c r="S156" s="38"/>
      <c r="T156" s="38"/>
      <c r="U156" s="38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38"/>
      <c r="R157" s="38"/>
      <c r="S157" s="38"/>
      <c r="T157" s="38"/>
      <c r="U157" s="38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38"/>
      <c r="R158" s="38"/>
      <c r="S158" s="38"/>
      <c r="T158" s="38"/>
      <c r="U158" s="38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38"/>
      <c r="R159" s="38"/>
      <c r="S159" s="38"/>
      <c r="T159" s="38"/>
      <c r="U159" s="38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38"/>
      <c r="R160" s="38"/>
      <c r="S160" s="38"/>
      <c r="T160" s="38"/>
      <c r="U160" s="38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38"/>
      <c r="R161" s="38"/>
      <c r="S161" s="38"/>
      <c r="T161" s="38"/>
      <c r="U161" s="38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38"/>
      <c r="R162" s="38"/>
      <c r="S162" s="38"/>
      <c r="T162" s="38"/>
      <c r="U162" s="38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38"/>
      <c r="R163" s="38"/>
      <c r="S163" s="38"/>
      <c r="T163" s="38"/>
      <c r="U163" s="38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38"/>
      <c r="R164" s="38"/>
      <c r="S164" s="38"/>
      <c r="T164" s="38"/>
      <c r="U164" s="38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38"/>
      <c r="R165" s="38"/>
      <c r="S165" s="38"/>
      <c r="T165" s="38"/>
      <c r="U165" s="38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38"/>
      <c r="R166" s="38"/>
      <c r="S166" s="38"/>
      <c r="T166" s="38"/>
      <c r="U166" s="38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38"/>
      <c r="R167" s="38"/>
      <c r="S167" s="38"/>
      <c r="T167" s="38"/>
      <c r="U167" s="38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38"/>
      <c r="R168" s="38"/>
      <c r="S168" s="38"/>
      <c r="T168" s="38"/>
      <c r="U168" s="38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38"/>
      <c r="R169" s="38"/>
      <c r="S169" s="38"/>
      <c r="T169" s="38"/>
      <c r="U169" s="38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38"/>
      <c r="R170" s="38"/>
      <c r="S170" s="38"/>
      <c r="T170" s="38"/>
      <c r="U170" s="38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38"/>
      <c r="R171" s="38"/>
      <c r="S171" s="38"/>
      <c r="T171" s="38"/>
      <c r="U171" s="38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38"/>
      <c r="R172" s="38"/>
      <c r="S172" s="38"/>
      <c r="T172" s="38"/>
      <c r="U172" s="38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38"/>
      <c r="R173" s="38"/>
      <c r="S173" s="38"/>
      <c r="T173" s="38"/>
      <c r="U173" s="38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38"/>
      <c r="R174" s="38"/>
      <c r="S174" s="38"/>
      <c r="T174" s="38"/>
      <c r="U174" s="38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38"/>
      <c r="R175" s="38"/>
      <c r="S175" s="38"/>
      <c r="T175" s="38"/>
      <c r="U175" s="38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38"/>
      <c r="R176" s="38"/>
      <c r="S176" s="38"/>
      <c r="T176" s="38"/>
      <c r="U176" s="38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38"/>
      <c r="R177" s="38"/>
      <c r="S177" s="38"/>
      <c r="T177" s="38"/>
      <c r="U177" s="38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38"/>
      <c r="R178" s="38"/>
      <c r="S178" s="38"/>
      <c r="T178" s="38"/>
      <c r="U178" s="38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38"/>
      <c r="R179" s="38"/>
      <c r="S179" s="38"/>
      <c r="T179" s="38"/>
      <c r="U179" s="38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38"/>
      <c r="R180" s="38"/>
      <c r="S180" s="38"/>
      <c r="T180" s="38"/>
      <c r="U180" s="38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38"/>
      <c r="R181" s="38"/>
      <c r="S181" s="38"/>
      <c r="T181" s="38"/>
      <c r="U181" s="38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38"/>
      <c r="R182" s="38"/>
      <c r="S182" s="38"/>
      <c r="T182" s="38"/>
      <c r="U182" s="38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38"/>
      <c r="R183" s="38"/>
      <c r="S183" s="38"/>
      <c r="T183" s="38"/>
      <c r="U183" s="38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38"/>
      <c r="R184" s="38"/>
      <c r="S184" s="38"/>
      <c r="T184" s="38"/>
      <c r="U184" s="38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38"/>
      <c r="R185" s="38"/>
      <c r="S185" s="38"/>
      <c r="T185" s="38"/>
      <c r="U185" s="38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38"/>
      <c r="R186" s="38"/>
      <c r="S186" s="38"/>
      <c r="T186" s="38"/>
      <c r="U186" s="38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38"/>
      <c r="R187" s="38"/>
      <c r="S187" s="38"/>
      <c r="T187" s="38"/>
      <c r="U187" s="38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38"/>
      <c r="R188" s="38"/>
      <c r="S188" s="38"/>
      <c r="T188" s="38"/>
      <c r="U188" s="38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38"/>
      <c r="R189" s="38"/>
      <c r="S189" s="38"/>
      <c r="T189" s="38"/>
      <c r="U189" s="38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38"/>
      <c r="R190" s="38"/>
      <c r="S190" s="38"/>
      <c r="T190" s="38"/>
      <c r="U190" s="38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38"/>
      <c r="R191" s="38"/>
      <c r="S191" s="38"/>
      <c r="T191" s="38"/>
      <c r="U191" s="38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38"/>
      <c r="R192" s="38"/>
      <c r="S192" s="38"/>
      <c r="T192" s="38"/>
      <c r="U192" s="38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38"/>
      <c r="R193" s="38"/>
      <c r="S193" s="38"/>
      <c r="T193" s="38"/>
      <c r="U193" s="38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38"/>
      <c r="R194" s="38"/>
      <c r="S194" s="38"/>
      <c r="T194" s="38"/>
      <c r="U194" s="38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38"/>
      <c r="R195" s="38"/>
      <c r="S195" s="38"/>
      <c r="T195" s="38"/>
      <c r="U195" s="38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38"/>
      <c r="R196" s="38"/>
      <c r="S196" s="38"/>
      <c r="T196" s="38"/>
      <c r="U196" s="38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38"/>
      <c r="R197" s="38"/>
      <c r="S197" s="38"/>
      <c r="T197" s="38"/>
      <c r="U197" s="38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38"/>
      <c r="R198" s="38"/>
      <c r="S198" s="38"/>
      <c r="T198" s="38"/>
      <c r="U198" s="38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38"/>
      <c r="R199" s="38"/>
      <c r="S199" s="38"/>
      <c r="T199" s="38"/>
      <c r="U199" s="38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38"/>
      <c r="R200" s="38"/>
      <c r="S200" s="38"/>
      <c r="T200" s="38"/>
      <c r="U200" s="38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38"/>
      <c r="R201" s="38"/>
      <c r="S201" s="38"/>
      <c r="T201" s="38"/>
      <c r="U201" s="38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38"/>
      <c r="R202" s="38"/>
      <c r="S202" s="38"/>
      <c r="T202" s="38"/>
      <c r="U202" s="38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38"/>
      <c r="R203" s="38"/>
      <c r="S203" s="38"/>
      <c r="T203" s="38"/>
      <c r="U203" s="38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38"/>
      <c r="R204" s="38"/>
      <c r="S204" s="38"/>
      <c r="T204" s="38"/>
      <c r="U204" s="38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38"/>
      <c r="R205" s="38"/>
      <c r="S205" s="38"/>
      <c r="T205" s="38"/>
      <c r="U205" s="38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38"/>
      <c r="R206" s="38"/>
      <c r="S206" s="38"/>
      <c r="T206" s="38"/>
      <c r="U206" s="38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38"/>
      <c r="R207" s="38"/>
      <c r="S207" s="38"/>
      <c r="T207" s="38"/>
      <c r="U207" s="38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38"/>
      <c r="R208" s="38"/>
      <c r="S208" s="38"/>
      <c r="T208" s="38"/>
      <c r="U208" s="38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38"/>
      <c r="R209" s="38"/>
      <c r="S209" s="38"/>
      <c r="T209" s="38"/>
      <c r="U209" s="38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38"/>
      <c r="R210" s="38"/>
      <c r="S210" s="38"/>
      <c r="T210" s="38"/>
      <c r="U210" s="38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38"/>
      <c r="R211" s="38"/>
      <c r="S211" s="38"/>
      <c r="T211" s="38"/>
      <c r="U211" s="38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38"/>
      <c r="R212" s="38"/>
      <c r="S212" s="38"/>
      <c r="T212" s="38"/>
      <c r="U212" s="38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38"/>
      <c r="R213" s="38"/>
      <c r="S213" s="38"/>
      <c r="T213" s="38"/>
      <c r="U213" s="38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38"/>
      <c r="R214" s="38"/>
      <c r="S214" s="38"/>
      <c r="T214" s="38"/>
      <c r="U214" s="38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38"/>
      <c r="R215" s="38"/>
      <c r="S215" s="38"/>
      <c r="T215" s="38"/>
      <c r="U215" s="38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38"/>
      <c r="R216" s="38"/>
      <c r="S216" s="38"/>
      <c r="T216" s="38"/>
      <c r="U216" s="38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38"/>
      <c r="R217" s="38"/>
      <c r="S217" s="38"/>
      <c r="T217" s="38"/>
      <c r="U217" s="38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38"/>
      <c r="R218" s="38"/>
      <c r="S218" s="38"/>
      <c r="T218" s="38"/>
      <c r="U218" s="38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38"/>
      <c r="R219" s="38"/>
      <c r="S219" s="38"/>
      <c r="T219" s="38"/>
      <c r="U219" s="38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38"/>
      <c r="R220" s="38"/>
      <c r="S220" s="38"/>
      <c r="T220" s="38"/>
      <c r="U220" s="38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38"/>
      <c r="R221" s="38"/>
      <c r="S221" s="38"/>
      <c r="T221" s="38"/>
      <c r="U221" s="38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38"/>
      <c r="R222" s="38"/>
      <c r="S222" s="38"/>
      <c r="T222" s="38"/>
      <c r="U222" s="38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38"/>
      <c r="R223" s="38"/>
      <c r="S223" s="38"/>
      <c r="T223" s="38"/>
      <c r="U223" s="38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38"/>
      <c r="R224" s="38"/>
      <c r="S224" s="38"/>
      <c r="T224" s="38"/>
      <c r="U224" s="38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38"/>
      <c r="R225" s="38"/>
      <c r="S225" s="38"/>
      <c r="T225" s="38"/>
      <c r="U225" s="38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38"/>
      <c r="R226" s="38"/>
      <c r="S226" s="38"/>
      <c r="T226" s="38"/>
      <c r="U226" s="38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38"/>
      <c r="R227" s="38"/>
      <c r="S227" s="38"/>
      <c r="T227" s="38"/>
      <c r="U227" s="38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38"/>
      <c r="R228" s="38"/>
      <c r="S228" s="38"/>
      <c r="T228" s="38"/>
      <c r="U228" s="38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38"/>
      <c r="R229" s="38"/>
      <c r="S229" s="38"/>
      <c r="T229" s="38"/>
      <c r="U229" s="38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38"/>
      <c r="R230" s="38"/>
      <c r="S230" s="38"/>
      <c r="T230" s="38"/>
      <c r="U230" s="38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38"/>
      <c r="R231" s="38"/>
      <c r="S231" s="38"/>
      <c r="T231" s="38"/>
      <c r="U231" s="38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38"/>
      <c r="R232" s="38"/>
      <c r="S232" s="38"/>
      <c r="T232" s="38"/>
      <c r="U232" s="38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38"/>
      <c r="R233" s="38"/>
      <c r="S233" s="38"/>
      <c r="T233" s="38"/>
      <c r="U233" s="38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38"/>
      <c r="R234" s="38"/>
      <c r="S234" s="38"/>
      <c r="T234" s="38"/>
      <c r="U234" s="38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38"/>
      <c r="R235" s="38"/>
      <c r="S235" s="38"/>
      <c r="T235" s="38"/>
      <c r="U235" s="38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38"/>
      <c r="R236" s="38"/>
      <c r="S236" s="38"/>
      <c r="T236" s="38"/>
      <c r="U236" s="38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38"/>
      <c r="R237" s="38"/>
      <c r="S237" s="38"/>
      <c r="T237" s="38"/>
      <c r="U237" s="38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38"/>
      <c r="R238" s="38"/>
      <c r="S238" s="38"/>
      <c r="T238" s="38"/>
      <c r="U238" s="38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38"/>
      <c r="R239" s="38"/>
      <c r="S239" s="38"/>
      <c r="T239" s="38"/>
      <c r="U239" s="38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38"/>
      <c r="R240" s="38"/>
      <c r="S240" s="38"/>
      <c r="T240" s="38"/>
      <c r="U240" s="38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38"/>
      <c r="R241" s="38"/>
      <c r="S241" s="38"/>
      <c r="T241" s="38"/>
      <c r="U241" s="38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38"/>
      <c r="R242" s="38"/>
      <c r="S242" s="38"/>
      <c r="T242" s="38"/>
      <c r="U242" s="38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38"/>
      <c r="R243" s="38"/>
      <c r="S243" s="38"/>
      <c r="T243" s="38"/>
      <c r="U243" s="38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38"/>
      <c r="R244" s="38"/>
      <c r="S244" s="38"/>
      <c r="T244" s="38"/>
      <c r="U244" s="38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38"/>
      <c r="R245" s="38"/>
      <c r="S245" s="38"/>
      <c r="T245" s="38"/>
      <c r="U245" s="38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38"/>
      <c r="R246" s="38"/>
      <c r="S246" s="38"/>
      <c r="T246" s="38"/>
      <c r="U246" s="38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38"/>
      <c r="R247" s="38"/>
      <c r="S247" s="38"/>
      <c r="T247" s="38"/>
      <c r="U247" s="38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38"/>
      <c r="R248" s="38"/>
      <c r="S248" s="38"/>
      <c r="T248" s="38"/>
      <c r="U248" s="38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38"/>
      <c r="R249" s="38"/>
      <c r="S249" s="38"/>
      <c r="T249" s="38"/>
      <c r="U249" s="38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38"/>
      <c r="R250" s="38"/>
      <c r="S250" s="38"/>
      <c r="T250" s="38"/>
      <c r="U250" s="38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38"/>
      <c r="R251" s="38"/>
      <c r="S251" s="38"/>
      <c r="T251" s="38"/>
      <c r="U251" s="38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38"/>
      <c r="R252" s="38"/>
      <c r="S252" s="38"/>
      <c r="T252" s="38"/>
      <c r="U252" s="38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38"/>
      <c r="R253" s="38"/>
      <c r="S253" s="38"/>
      <c r="T253" s="38"/>
      <c r="U253" s="38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38"/>
      <c r="R254" s="38"/>
      <c r="S254" s="38"/>
      <c r="T254" s="38"/>
      <c r="U254" s="38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38"/>
      <c r="R255" s="38"/>
      <c r="S255" s="38"/>
      <c r="T255" s="38"/>
      <c r="U255" s="38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38"/>
      <c r="R256" s="38"/>
      <c r="S256" s="38"/>
      <c r="T256" s="38"/>
      <c r="U256" s="38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38"/>
      <c r="R257" s="38"/>
      <c r="S257" s="38"/>
      <c r="T257" s="38"/>
      <c r="U257" s="38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38"/>
      <c r="R258" s="38"/>
      <c r="S258" s="38"/>
      <c r="T258" s="38"/>
      <c r="U258" s="38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38"/>
      <c r="R259" s="38"/>
      <c r="S259" s="38"/>
      <c r="T259" s="38"/>
      <c r="U259" s="38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38"/>
      <c r="R260" s="38"/>
      <c r="S260" s="38"/>
      <c r="T260" s="38"/>
      <c r="U260" s="38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38"/>
      <c r="R261" s="38"/>
      <c r="S261" s="38"/>
      <c r="T261" s="38"/>
      <c r="U261" s="38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38"/>
      <c r="R262" s="38"/>
      <c r="S262" s="38"/>
      <c r="T262" s="38"/>
      <c r="U262" s="38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38"/>
      <c r="R263" s="38"/>
      <c r="S263" s="38"/>
      <c r="T263" s="38"/>
      <c r="U263" s="38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38"/>
      <c r="R264" s="38"/>
      <c r="S264" s="38"/>
      <c r="T264" s="38"/>
      <c r="U264" s="38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38"/>
      <c r="R265" s="38"/>
      <c r="S265" s="38"/>
      <c r="T265" s="38"/>
      <c r="U265" s="38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38"/>
      <c r="R266" s="38"/>
      <c r="S266" s="38"/>
      <c r="T266" s="38"/>
      <c r="U266" s="38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38"/>
      <c r="R267" s="38"/>
      <c r="S267" s="38"/>
      <c r="T267" s="38"/>
      <c r="U267" s="38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38"/>
      <c r="R268" s="38"/>
      <c r="S268" s="38"/>
      <c r="T268" s="38"/>
      <c r="U268" s="38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38"/>
      <c r="R269" s="38"/>
      <c r="S269" s="38"/>
      <c r="T269" s="38"/>
      <c r="U269" s="38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38"/>
      <c r="R270" s="38"/>
      <c r="S270" s="38"/>
      <c r="T270" s="38"/>
      <c r="U270" s="38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38"/>
      <c r="R271" s="38"/>
      <c r="S271" s="38"/>
      <c r="T271" s="38"/>
      <c r="U271" s="38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38"/>
      <c r="R272" s="38"/>
      <c r="S272" s="38"/>
      <c r="T272" s="38"/>
      <c r="U272" s="38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38"/>
      <c r="R273" s="38"/>
      <c r="S273" s="38"/>
      <c r="T273" s="38"/>
      <c r="U273" s="38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38"/>
      <c r="R274" s="38"/>
      <c r="S274" s="38"/>
      <c r="T274" s="38"/>
      <c r="U274" s="38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38"/>
      <c r="R275" s="38"/>
      <c r="S275" s="38"/>
      <c r="T275" s="38"/>
      <c r="U275" s="38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38"/>
      <c r="R276" s="38"/>
      <c r="S276" s="38"/>
      <c r="T276" s="38"/>
      <c r="U276" s="38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38"/>
      <c r="R277" s="38"/>
      <c r="S277" s="38"/>
      <c r="T277" s="38"/>
      <c r="U277" s="38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38"/>
      <c r="R278" s="38"/>
      <c r="S278" s="38"/>
      <c r="T278" s="38"/>
      <c r="U278" s="38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38"/>
      <c r="R279" s="38"/>
      <c r="S279" s="38"/>
      <c r="T279" s="38"/>
      <c r="U279" s="38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38"/>
      <c r="R280" s="38"/>
      <c r="S280" s="38"/>
      <c r="T280" s="38"/>
      <c r="U280" s="38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38"/>
      <c r="R281" s="38"/>
      <c r="S281" s="38"/>
      <c r="T281" s="38"/>
      <c r="U281" s="38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38"/>
      <c r="R282" s="38"/>
      <c r="S282" s="38"/>
      <c r="T282" s="38"/>
      <c r="U282" s="38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38"/>
      <c r="R283" s="38"/>
      <c r="S283" s="38"/>
      <c r="T283" s="38"/>
      <c r="U283" s="38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38"/>
      <c r="R284" s="38"/>
      <c r="S284" s="38"/>
      <c r="T284" s="38"/>
      <c r="U284" s="38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38"/>
      <c r="R285" s="38"/>
      <c r="S285" s="38"/>
      <c r="T285" s="38"/>
      <c r="U285" s="38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38"/>
      <c r="R286" s="38"/>
      <c r="S286" s="38"/>
      <c r="T286" s="38"/>
      <c r="U286" s="38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38"/>
      <c r="R287" s="38"/>
      <c r="S287" s="38"/>
      <c r="T287" s="38"/>
      <c r="U287" s="38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38"/>
      <c r="R288" s="38"/>
      <c r="S288" s="38"/>
      <c r="T288" s="38"/>
      <c r="U288" s="38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38"/>
      <c r="R289" s="38"/>
      <c r="S289" s="38"/>
      <c r="T289" s="38"/>
      <c r="U289" s="38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38"/>
      <c r="R290" s="38"/>
      <c r="S290" s="38"/>
      <c r="T290" s="38"/>
      <c r="U290" s="38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38"/>
      <c r="R291" s="38"/>
      <c r="S291" s="38"/>
      <c r="T291" s="38"/>
      <c r="U291" s="38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38"/>
      <c r="R292" s="38"/>
      <c r="S292" s="38"/>
      <c r="T292" s="38"/>
      <c r="U292" s="38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38"/>
      <c r="R293" s="38"/>
      <c r="S293" s="38"/>
      <c r="T293" s="38"/>
      <c r="U293" s="38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38"/>
      <c r="R294" s="38"/>
      <c r="S294" s="38"/>
      <c r="T294" s="38"/>
      <c r="U294" s="38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38"/>
      <c r="R295" s="38"/>
      <c r="S295" s="38"/>
      <c r="T295" s="38"/>
      <c r="U295" s="38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38"/>
      <c r="R296" s="38"/>
      <c r="S296" s="38"/>
      <c r="T296" s="38"/>
      <c r="U296" s="38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38"/>
      <c r="R297" s="38"/>
      <c r="S297" s="38"/>
      <c r="T297" s="38"/>
      <c r="U297" s="38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38"/>
      <c r="R298" s="38"/>
      <c r="S298" s="38"/>
      <c r="T298" s="38"/>
      <c r="U298" s="38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38"/>
      <c r="R299" s="38"/>
      <c r="S299" s="38"/>
      <c r="T299" s="38"/>
      <c r="U299" s="38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38"/>
      <c r="R300" s="38"/>
      <c r="S300" s="38"/>
      <c r="T300" s="38"/>
      <c r="U300" s="38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38"/>
      <c r="R301" s="38"/>
      <c r="S301" s="38"/>
      <c r="T301" s="38"/>
      <c r="U301" s="38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38"/>
      <c r="R302" s="38"/>
      <c r="S302" s="38"/>
      <c r="T302" s="38"/>
      <c r="U302" s="38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38"/>
      <c r="R303" s="38"/>
      <c r="S303" s="38"/>
      <c r="T303" s="38"/>
      <c r="U303" s="38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38"/>
      <c r="R304" s="38"/>
      <c r="S304" s="38"/>
      <c r="T304" s="38"/>
      <c r="U304" s="38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38"/>
      <c r="R305" s="38"/>
      <c r="S305" s="38"/>
      <c r="T305" s="38"/>
      <c r="U305" s="38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38"/>
      <c r="R306" s="38"/>
      <c r="S306" s="38"/>
      <c r="T306" s="38"/>
      <c r="U306" s="38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38"/>
      <c r="R307" s="38"/>
      <c r="S307" s="38"/>
      <c r="T307" s="38"/>
      <c r="U307" s="38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38"/>
      <c r="R308" s="38"/>
      <c r="S308" s="38"/>
      <c r="T308" s="38"/>
      <c r="U308" s="38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38"/>
      <c r="R309" s="38"/>
      <c r="S309" s="38"/>
      <c r="T309" s="38"/>
      <c r="U309" s="38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38"/>
      <c r="R310" s="38"/>
      <c r="S310" s="38"/>
      <c r="T310" s="38"/>
      <c r="U310" s="38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38"/>
      <c r="R311" s="38"/>
      <c r="S311" s="38"/>
      <c r="T311" s="38"/>
      <c r="U311" s="38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38"/>
      <c r="R312" s="38"/>
      <c r="S312" s="38"/>
      <c r="T312" s="38"/>
      <c r="U312" s="38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38"/>
      <c r="R313" s="38"/>
      <c r="S313" s="38"/>
      <c r="T313" s="38"/>
      <c r="U313" s="38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38"/>
      <c r="R314" s="38"/>
      <c r="S314" s="38"/>
      <c r="T314" s="38"/>
      <c r="U314" s="38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38"/>
      <c r="R315" s="38"/>
      <c r="S315" s="38"/>
      <c r="T315" s="38"/>
      <c r="U315" s="38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38"/>
      <c r="R316" s="38"/>
      <c r="S316" s="38"/>
      <c r="T316" s="38"/>
      <c r="U316" s="38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38"/>
      <c r="R317" s="38"/>
      <c r="S317" s="38"/>
      <c r="T317" s="38"/>
      <c r="U317" s="38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38"/>
      <c r="R318" s="38"/>
      <c r="S318" s="38"/>
      <c r="T318" s="38"/>
      <c r="U318" s="38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38"/>
      <c r="R319" s="38"/>
      <c r="S319" s="38"/>
      <c r="T319" s="38"/>
      <c r="U319" s="38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38"/>
      <c r="R320" s="38"/>
      <c r="S320" s="38"/>
      <c r="T320" s="38"/>
      <c r="U320" s="38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38"/>
      <c r="R321" s="38"/>
      <c r="S321" s="38"/>
      <c r="T321" s="38"/>
      <c r="U321" s="38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38"/>
      <c r="R322" s="38"/>
      <c r="S322" s="38"/>
      <c r="T322" s="38"/>
      <c r="U322" s="38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38"/>
      <c r="R323" s="38"/>
      <c r="S323" s="38"/>
      <c r="T323" s="38"/>
      <c r="U323" s="38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38"/>
      <c r="R324" s="38"/>
      <c r="S324" s="38"/>
      <c r="T324" s="38"/>
      <c r="U324" s="38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38"/>
      <c r="R325" s="38"/>
      <c r="S325" s="38"/>
      <c r="T325" s="38"/>
      <c r="U325" s="38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38"/>
      <c r="R326" s="38"/>
      <c r="S326" s="38"/>
      <c r="T326" s="38"/>
      <c r="U326" s="38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38"/>
      <c r="R327" s="38"/>
      <c r="S327" s="38"/>
      <c r="T327" s="38"/>
      <c r="U327" s="38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38"/>
      <c r="R328" s="38"/>
      <c r="S328" s="38"/>
      <c r="T328" s="38"/>
      <c r="U328" s="38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38"/>
      <c r="R329" s="38"/>
      <c r="S329" s="38"/>
      <c r="T329" s="38"/>
      <c r="U329" s="38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38"/>
      <c r="R330" s="38"/>
      <c r="S330" s="38"/>
      <c r="T330" s="38"/>
      <c r="U330" s="38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38"/>
      <c r="R331" s="38"/>
      <c r="S331" s="38"/>
      <c r="T331" s="38"/>
      <c r="U331" s="38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38"/>
      <c r="R332" s="38"/>
      <c r="S332" s="38"/>
      <c r="T332" s="38"/>
      <c r="U332" s="38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38"/>
      <c r="R333" s="38"/>
      <c r="S333" s="38"/>
      <c r="T333" s="38"/>
      <c r="U333" s="38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38"/>
      <c r="R334" s="38"/>
      <c r="S334" s="38"/>
      <c r="T334" s="38"/>
      <c r="U334" s="38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38"/>
      <c r="R335" s="38"/>
      <c r="S335" s="38"/>
      <c r="T335" s="38"/>
      <c r="U335" s="38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38"/>
      <c r="R336" s="38"/>
      <c r="S336" s="38"/>
      <c r="T336" s="38"/>
      <c r="U336" s="38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38"/>
      <c r="R337" s="38"/>
      <c r="S337" s="38"/>
      <c r="T337" s="38"/>
      <c r="U337" s="38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38"/>
      <c r="R338" s="38"/>
      <c r="S338" s="38"/>
      <c r="T338" s="38"/>
      <c r="U338" s="38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38"/>
      <c r="R339" s="38"/>
      <c r="S339" s="38"/>
      <c r="T339" s="38"/>
      <c r="U339" s="38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38"/>
      <c r="R340" s="38"/>
      <c r="S340" s="38"/>
      <c r="T340" s="38"/>
      <c r="U340" s="38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38"/>
      <c r="R341" s="38"/>
      <c r="S341" s="38"/>
      <c r="T341" s="38"/>
      <c r="U341" s="38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38"/>
      <c r="R342" s="38"/>
      <c r="S342" s="38"/>
      <c r="T342" s="38"/>
      <c r="U342" s="38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38"/>
      <c r="R343" s="38"/>
      <c r="S343" s="38"/>
      <c r="T343" s="38"/>
      <c r="U343" s="38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38"/>
      <c r="R344" s="38"/>
      <c r="S344" s="38"/>
      <c r="T344" s="38"/>
      <c r="U344" s="38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38"/>
      <c r="R345" s="38"/>
      <c r="S345" s="38"/>
      <c r="T345" s="38"/>
      <c r="U345" s="38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38"/>
      <c r="R346" s="38"/>
      <c r="S346" s="38"/>
      <c r="T346" s="38"/>
      <c r="U346" s="38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38"/>
      <c r="R347" s="38"/>
      <c r="S347" s="38"/>
      <c r="T347" s="38"/>
      <c r="U347" s="38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38"/>
      <c r="R348" s="38"/>
      <c r="S348" s="38"/>
      <c r="T348" s="38"/>
      <c r="U348" s="38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38"/>
      <c r="R349" s="38"/>
      <c r="S349" s="38"/>
      <c r="T349" s="38"/>
      <c r="U349" s="38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38"/>
      <c r="R350" s="38"/>
      <c r="S350" s="38"/>
      <c r="T350" s="38"/>
      <c r="U350" s="38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38"/>
      <c r="R351" s="38"/>
      <c r="S351" s="38"/>
      <c r="T351" s="38"/>
      <c r="U351" s="38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38"/>
      <c r="R352" s="38"/>
      <c r="S352" s="38"/>
      <c r="T352" s="38"/>
      <c r="U352" s="38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38"/>
      <c r="R353" s="38"/>
      <c r="S353" s="38"/>
      <c r="T353" s="38"/>
      <c r="U353" s="38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38"/>
      <c r="R354" s="38"/>
      <c r="S354" s="38"/>
      <c r="T354" s="38"/>
      <c r="U354" s="38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38"/>
      <c r="R355" s="38"/>
      <c r="S355" s="38"/>
      <c r="T355" s="38"/>
      <c r="U355" s="38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38"/>
      <c r="R356" s="38"/>
      <c r="S356" s="38"/>
      <c r="T356" s="38"/>
      <c r="U356" s="38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38"/>
      <c r="R357" s="38"/>
      <c r="S357" s="38"/>
      <c r="T357" s="38"/>
      <c r="U357" s="38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38"/>
      <c r="R358" s="38"/>
      <c r="S358" s="38"/>
      <c r="T358" s="38"/>
      <c r="U358" s="38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38"/>
      <c r="R359" s="38"/>
      <c r="S359" s="38"/>
      <c r="T359" s="38"/>
      <c r="U359" s="38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38"/>
      <c r="R360" s="38"/>
      <c r="S360" s="38"/>
      <c r="T360" s="38"/>
      <c r="U360" s="38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38"/>
      <c r="R361" s="38"/>
      <c r="S361" s="38"/>
      <c r="T361" s="38"/>
      <c r="U361" s="38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38"/>
      <c r="R362" s="38"/>
      <c r="S362" s="38"/>
      <c r="T362" s="38"/>
      <c r="U362" s="38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38"/>
      <c r="R363" s="38"/>
      <c r="S363" s="38"/>
      <c r="T363" s="38"/>
      <c r="U363" s="38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38"/>
      <c r="R364" s="38"/>
      <c r="S364" s="38"/>
      <c r="T364" s="38"/>
      <c r="U364" s="38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38"/>
      <c r="R365" s="38"/>
      <c r="S365" s="38"/>
      <c r="T365" s="38"/>
      <c r="U365" s="38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38"/>
      <c r="R366" s="38"/>
      <c r="S366" s="38"/>
      <c r="T366" s="38"/>
      <c r="U366" s="38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38"/>
      <c r="R367" s="38"/>
      <c r="S367" s="38"/>
      <c r="T367" s="38"/>
      <c r="U367" s="38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38"/>
      <c r="R368" s="38"/>
      <c r="S368" s="38"/>
      <c r="T368" s="38"/>
      <c r="U368" s="38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38"/>
      <c r="R369" s="38"/>
      <c r="S369" s="38"/>
      <c r="T369" s="38"/>
      <c r="U369" s="38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38"/>
      <c r="R370" s="38"/>
      <c r="S370" s="38"/>
      <c r="T370" s="38"/>
      <c r="U370" s="38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38"/>
      <c r="R371" s="38"/>
      <c r="S371" s="38"/>
      <c r="T371" s="38"/>
      <c r="U371" s="38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38"/>
      <c r="R372" s="38"/>
      <c r="S372" s="38"/>
      <c r="T372" s="38"/>
      <c r="U372" s="38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38"/>
      <c r="R373" s="38"/>
      <c r="S373" s="38"/>
      <c r="T373" s="38"/>
      <c r="U373" s="38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38"/>
      <c r="R374" s="38"/>
      <c r="S374" s="38"/>
      <c r="T374" s="38"/>
      <c r="U374" s="38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38"/>
      <c r="R375" s="38"/>
      <c r="S375" s="38"/>
      <c r="T375" s="38"/>
      <c r="U375" s="38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38"/>
      <c r="R376" s="38"/>
      <c r="S376" s="38"/>
      <c r="T376" s="38"/>
      <c r="U376" s="38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38"/>
      <c r="R377" s="38"/>
      <c r="S377" s="38"/>
      <c r="T377" s="38"/>
      <c r="U377" s="38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38"/>
      <c r="R378" s="38"/>
      <c r="S378" s="38"/>
      <c r="T378" s="38"/>
      <c r="U378" s="38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38"/>
      <c r="R379" s="38"/>
      <c r="S379" s="38"/>
      <c r="T379" s="38"/>
      <c r="U379" s="38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38"/>
      <c r="R380" s="38"/>
      <c r="S380" s="38"/>
      <c r="T380" s="38"/>
      <c r="U380" s="38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38"/>
      <c r="R381" s="38"/>
      <c r="S381" s="38"/>
      <c r="T381" s="38"/>
      <c r="U381" s="38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38"/>
      <c r="R382" s="38"/>
      <c r="S382" s="38"/>
      <c r="T382" s="38"/>
      <c r="U382" s="38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38"/>
      <c r="R383" s="38"/>
      <c r="S383" s="38"/>
      <c r="T383" s="38"/>
      <c r="U383" s="38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38"/>
      <c r="R384" s="38"/>
      <c r="S384" s="38"/>
      <c r="T384" s="38"/>
      <c r="U384" s="38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38"/>
      <c r="R385" s="38"/>
      <c r="S385" s="38"/>
      <c r="T385" s="38"/>
      <c r="U385" s="38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38"/>
      <c r="R386" s="38"/>
      <c r="S386" s="38"/>
      <c r="T386" s="38"/>
      <c r="U386" s="38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38"/>
      <c r="R387" s="38"/>
      <c r="S387" s="38"/>
      <c r="T387" s="38"/>
      <c r="U387" s="38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38"/>
      <c r="R388" s="38"/>
      <c r="S388" s="38"/>
      <c r="T388" s="38"/>
      <c r="U388" s="38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38"/>
      <c r="R389" s="38"/>
      <c r="S389" s="38"/>
      <c r="T389" s="38"/>
      <c r="U389" s="38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38"/>
      <c r="R390" s="38"/>
      <c r="S390" s="38"/>
      <c r="T390" s="38"/>
      <c r="U390" s="38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38"/>
      <c r="R391" s="38"/>
      <c r="S391" s="38"/>
      <c r="T391" s="38"/>
      <c r="U391" s="38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38"/>
      <c r="R392" s="38"/>
      <c r="S392" s="38"/>
      <c r="T392" s="38"/>
      <c r="U392" s="38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38"/>
      <c r="R393" s="38"/>
      <c r="S393" s="38"/>
      <c r="T393" s="38"/>
      <c r="U393" s="38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38"/>
      <c r="R394" s="38"/>
      <c r="S394" s="38"/>
      <c r="T394" s="38"/>
      <c r="U394" s="38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38"/>
      <c r="R395" s="38"/>
      <c r="S395" s="38"/>
      <c r="T395" s="38"/>
      <c r="U395" s="38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38"/>
      <c r="R396" s="38"/>
      <c r="S396" s="38"/>
      <c r="T396" s="38"/>
      <c r="U396" s="38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38"/>
      <c r="R397" s="38"/>
      <c r="S397" s="38"/>
      <c r="T397" s="38"/>
      <c r="U397" s="38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38"/>
      <c r="R398" s="38"/>
      <c r="S398" s="38"/>
      <c r="T398" s="38"/>
      <c r="U398" s="38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38"/>
      <c r="R399" s="38"/>
      <c r="S399" s="38"/>
      <c r="T399" s="38"/>
      <c r="U399" s="38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38"/>
      <c r="R400" s="38"/>
      <c r="S400" s="38"/>
      <c r="T400" s="38"/>
      <c r="U400" s="38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38"/>
      <c r="R401" s="38"/>
      <c r="S401" s="38"/>
      <c r="T401" s="38"/>
      <c r="U401" s="38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38"/>
      <c r="R402" s="38"/>
      <c r="S402" s="38"/>
      <c r="T402" s="38"/>
      <c r="U402" s="38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38"/>
      <c r="R403" s="38"/>
      <c r="S403" s="38"/>
      <c r="T403" s="38"/>
      <c r="U403" s="38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38"/>
      <c r="R404" s="38"/>
      <c r="S404" s="38"/>
      <c r="T404" s="38"/>
      <c r="U404" s="38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38"/>
      <c r="R405" s="38"/>
      <c r="S405" s="38"/>
      <c r="T405" s="38"/>
      <c r="U405" s="38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38"/>
      <c r="R406" s="38"/>
      <c r="S406" s="38"/>
      <c r="T406" s="38"/>
      <c r="U406" s="38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38"/>
      <c r="R407" s="38"/>
      <c r="S407" s="38"/>
      <c r="T407" s="38"/>
      <c r="U407" s="38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38"/>
      <c r="R408" s="38"/>
      <c r="S408" s="38"/>
      <c r="T408" s="38"/>
      <c r="U408" s="38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38"/>
      <c r="R409" s="38"/>
      <c r="S409" s="38"/>
      <c r="T409" s="38"/>
      <c r="U409" s="38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38"/>
      <c r="R410" s="38"/>
      <c r="S410" s="38"/>
      <c r="T410" s="38"/>
      <c r="U410" s="38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38"/>
      <c r="R411" s="38"/>
      <c r="S411" s="38"/>
      <c r="T411" s="38"/>
      <c r="U411" s="38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38"/>
      <c r="R412" s="38"/>
      <c r="S412" s="38"/>
      <c r="T412" s="38"/>
      <c r="U412" s="38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38"/>
      <c r="R413" s="38"/>
      <c r="S413" s="38"/>
      <c r="T413" s="38"/>
      <c r="U413" s="38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38"/>
      <c r="R414" s="38"/>
      <c r="S414" s="38"/>
      <c r="T414" s="38"/>
      <c r="U414" s="38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38"/>
      <c r="R415" s="38"/>
      <c r="S415" s="38"/>
      <c r="T415" s="38"/>
      <c r="U415" s="38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38"/>
      <c r="R416" s="38"/>
      <c r="S416" s="38"/>
      <c r="T416" s="38"/>
      <c r="U416" s="38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38"/>
      <c r="R417" s="38"/>
      <c r="S417" s="38"/>
      <c r="T417" s="38"/>
      <c r="U417" s="38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38"/>
      <c r="R418" s="38"/>
      <c r="S418" s="38"/>
      <c r="T418" s="38"/>
      <c r="U418" s="38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38"/>
      <c r="R419" s="38"/>
      <c r="S419" s="38"/>
      <c r="T419" s="38"/>
      <c r="U419" s="38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38"/>
      <c r="R420" s="38"/>
      <c r="S420" s="38"/>
      <c r="T420" s="38"/>
      <c r="U420" s="38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38"/>
      <c r="R421" s="38"/>
      <c r="S421" s="38"/>
      <c r="T421" s="38"/>
      <c r="U421" s="38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38"/>
      <c r="R422" s="38"/>
      <c r="S422" s="38"/>
      <c r="T422" s="38"/>
      <c r="U422" s="38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38"/>
      <c r="R423" s="38"/>
      <c r="S423" s="38"/>
      <c r="T423" s="38"/>
      <c r="U423" s="38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38"/>
      <c r="R424" s="38"/>
      <c r="S424" s="38"/>
      <c r="T424" s="38"/>
      <c r="U424" s="38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38"/>
      <c r="R425" s="38"/>
      <c r="S425" s="38"/>
      <c r="T425" s="38"/>
      <c r="U425" s="38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38"/>
      <c r="R426" s="38"/>
      <c r="S426" s="38"/>
      <c r="T426" s="38"/>
      <c r="U426" s="38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38"/>
      <c r="R427" s="38"/>
      <c r="S427" s="38"/>
      <c r="T427" s="38"/>
      <c r="U427" s="38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38"/>
      <c r="R428" s="38"/>
      <c r="S428" s="38"/>
      <c r="T428" s="38"/>
      <c r="U428" s="38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38"/>
      <c r="R429" s="38"/>
      <c r="S429" s="38"/>
      <c r="T429" s="38"/>
      <c r="U429" s="38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38"/>
      <c r="R430" s="38"/>
      <c r="S430" s="38"/>
      <c r="T430" s="38"/>
      <c r="U430" s="38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38"/>
      <c r="R431" s="38"/>
      <c r="S431" s="38"/>
      <c r="T431" s="38"/>
      <c r="U431" s="38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38"/>
      <c r="R432" s="38"/>
      <c r="S432" s="38"/>
      <c r="T432" s="38"/>
      <c r="U432" s="38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38"/>
      <c r="R433" s="38"/>
      <c r="S433" s="38"/>
      <c r="T433" s="38"/>
      <c r="U433" s="38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38"/>
      <c r="R434" s="38"/>
      <c r="S434" s="38"/>
      <c r="T434" s="38"/>
      <c r="U434" s="38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38"/>
      <c r="R435" s="38"/>
      <c r="S435" s="38"/>
      <c r="T435" s="38"/>
      <c r="U435" s="38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38"/>
      <c r="R436" s="38"/>
      <c r="S436" s="38"/>
      <c r="T436" s="38"/>
      <c r="U436" s="38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38"/>
      <c r="R437" s="38"/>
      <c r="S437" s="38"/>
      <c r="T437" s="38"/>
      <c r="U437" s="38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38"/>
      <c r="R438" s="38"/>
      <c r="S438" s="38"/>
      <c r="T438" s="38"/>
      <c r="U438" s="38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38"/>
      <c r="R439" s="38"/>
      <c r="S439" s="38"/>
      <c r="T439" s="38"/>
      <c r="U439" s="38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38"/>
      <c r="R440" s="38"/>
      <c r="S440" s="38"/>
      <c r="T440" s="38"/>
      <c r="U440" s="38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38"/>
      <c r="R441" s="38"/>
      <c r="S441" s="38"/>
      <c r="T441" s="38"/>
      <c r="U441" s="38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38"/>
      <c r="R442" s="38"/>
      <c r="S442" s="38"/>
      <c r="T442" s="38"/>
      <c r="U442" s="38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38"/>
      <c r="R443" s="38"/>
      <c r="S443" s="38"/>
      <c r="T443" s="38"/>
      <c r="U443" s="38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38"/>
      <c r="R444" s="38"/>
      <c r="S444" s="38"/>
      <c r="T444" s="38"/>
      <c r="U444" s="38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38"/>
      <c r="R445" s="38"/>
      <c r="S445" s="38"/>
      <c r="T445" s="38"/>
      <c r="U445" s="38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38"/>
      <c r="R446" s="38"/>
      <c r="S446" s="38"/>
      <c r="T446" s="38"/>
      <c r="U446" s="38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38"/>
      <c r="R447" s="38"/>
      <c r="S447" s="38"/>
      <c r="T447" s="38"/>
      <c r="U447" s="38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38"/>
      <c r="R448" s="38"/>
      <c r="S448" s="38"/>
      <c r="T448" s="38"/>
      <c r="U448" s="38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38"/>
      <c r="R449" s="38"/>
      <c r="S449" s="38"/>
      <c r="T449" s="38"/>
      <c r="U449" s="38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38"/>
      <c r="R450" s="38"/>
      <c r="S450" s="38"/>
      <c r="T450" s="38"/>
      <c r="U450" s="38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38"/>
      <c r="R451" s="38"/>
      <c r="S451" s="38"/>
      <c r="T451" s="38"/>
      <c r="U451" s="38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38"/>
      <c r="R452" s="38"/>
      <c r="S452" s="38"/>
      <c r="T452" s="38"/>
      <c r="U452" s="38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38"/>
      <c r="R453" s="38"/>
      <c r="S453" s="38"/>
      <c r="T453" s="38"/>
      <c r="U453" s="38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38"/>
      <c r="R454" s="38"/>
      <c r="S454" s="38"/>
      <c r="T454" s="38"/>
      <c r="U454" s="38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38"/>
      <c r="R455" s="38"/>
      <c r="S455" s="38"/>
      <c r="T455" s="38"/>
      <c r="U455" s="38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38"/>
      <c r="R456" s="38"/>
      <c r="S456" s="38"/>
      <c r="T456" s="38"/>
      <c r="U456" s="38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38"/>
      <c r="R457" s="38"/>
      <c r="S457" s="38"/>
      <c r="T457" s="38"/>
      <c r="U457" s="38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38"/>
      <c r="R458" s="38"/>
      <c r="S458" s="38"/>
      <c r="T458" s="38"/>
      <c r="U458" s="38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38"/>
      <c r="R459" s="38"/>
      <c r="S459" s="38"/>
      <c r="T459" s="38"/>
      <c r="U459" s="38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38"/>
      <c r="R460" s="38"/>
      <c r="S460" s="38"/>
      <c r="T460" s="38"/>
      <c r="U460" s="38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38"/>
      <c r="R461" s="38"/>
      <c r="S461" s="38"/>
      <c r="T461" s="38"/>
      <c r="U461" s="38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38"/>
      <c r="R462" s="38"/>
      <c r="S462" s="38"/>
      <c r="T462" s="38"/>
      <c r="U462" s="38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38"/>
      <c r="R463" s="38"/>
      <c r="S463" s="38"/>
      <c r="T463" s="38"/>
      <c r="U463" s="38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38"/>
      <c r="R464" s="38"/>
      <c r="S464" s="38"/>
      <c r="T464" s="38"/>
      <c r="U464" s="38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38"/>
      <c r="R465" s="38"/>
      <c r="S465" s="38"/>
      <c r="T465" s="38"/>
      <c r="U465" s="38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38"/>
      <c r="R466" s="38"/>
      <c r="S466" s="38"/>
      <c r="T466" s="38"/>
      <c r="U466" s="38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38"/>
      <c r="R467" s="38"/>
      <c r="S467" s="38"/>
      <c r="T467" s="38"/>
      <c r="U467" s="38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38"/>
      <c r="R468" s="38"/>
      <c r="S468" s="38"/>
      <c r="T468" s="38"/>
      <c r="U468" s="38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38"/>
      <c r="R469" s="38"/>
      <c r="S469" s="38"/>
      <c r="T469" s="38"/>
      <c r="U469" s="38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38"/>
      <c r="R470" s="38"/>
      <c r="S470" s="38"/>
      <c r="T470" s="38"/>
      <c r="U470" s="38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38"/>
      <c r="R471" s="38"/>
      <c r="S471" s="38"/>
      <c r="T471" s="38"/>
      <c r="U471" s="38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38"/>
      <c r="R472" s="38"/>
      <c r="S472" s="38"/>
      <c r="T472" s="38"/>
      <c r="U472" s="38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38"/>
      <c r="R473" s="38"/>
      <c r="S473" s="38"/>
      <c r="T473" s="38"/>
      <c r="U473" s="38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38"/>
      <c r="R474" s="38"/>
      <c r="S474" s="38"/>
      <c r="T474" s="38"/>
      <c r="U474" s="38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38"/>
      <c r="R475" s="38"/>
      <c r="S475" s="38"/>
      <c r="T475" s="38"/>
      <c r="U475" s="38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38"/>
      <c r="R476" s="38"/>
      <c r="S476" s="38"/>
      <c r="T476" s="38"/>
      <c r="U476" s="38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38"/>
      <c r="R477" s="38"/>
      <c r="S477" s="38"/>
      <c r="T477" s="38"/>
      <c r="U477" s="38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38"/>
      <c r="R478" s="38"/>
      <c r="S478" s="38"/>
      <c r="T478" s="38"/>
      <c r="U478" s="38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38"/>
      <c r="R479" s="38"/>
      <c r="S479" s="38"/>
      <c r="T479" s="38"/>
      <c r="U479" s="38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38"/>
      <c r="R480" s="38"/>
      <c r="S480" s="38"/>
      <c r="T480" s="38"/>
      <c r="U480" s="38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38"/>
      <c r="R481" s="38"/>
      <c r="S481" s="38"/>
      <c r="T481" s="38"/>
      <c r="U481" s="38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38"/>
      <c r="R482" s="38"/>
      <c r="S482" s="38"/>
      <c r="T482" s="38"/>
      <c r="U482" s="38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38"/>
      <c r="R483" s="38"/>
      <c r="S483" s="38"/>
      <c r="T483" s="38"/>
      <c r="U483" s="38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38"/>
      <c r="R484" s="38"/>
      <c r="S484" s="38"/>
      <c r="T484" s="38"/>
      <c r="U484" s="38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38"/>
      <c r="R485" s="38"/>
      <c r="S485" s="38"/>
      <c r="T485" s="38"/>
      <c r="U485" s="38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38"/>
      <c r="R486" s="38"/>
      <c r="S486" s="38"/>
      <c r="T486" s="38"/>
      <c r="U486" s="38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38"/>
      <c r="R487" s="38"/>
      <c r="S487" s="38"/>
      <c r="T487" s="38"/>
      <c r="U487" s="38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38"/>
      <c r="R488" s="38"/>
      <c r="S488" s="38"/>
      <c r="T488" s="38"/>
      <c r="U488" s="38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38"/>
      <c r="R489" s="38"/>
      <c r="S489" s="38"/>
      <c r="T489" s="38"/>
      <c r="U489" s="38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38"/>
      <c r="R490" s="38"/>
      <c r="S490" s="38"/>
      <c r="T490" s="38"/>
      <c r="U490" s="38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38"/>
      <c r="R491" s="38"/>
      <c r="S491" s="38"/>
      <c r="T491" s="38"/>
      <c r="U491" s="38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38"/>
      <c r="R492" s="38"/>
      <c r="S492" s="38"/>
      <c r="T492" s="38"/>
      <c r="U492" s="38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38"/>
      <c r="R493" s="38"/>
      <c r="S493" s="38"/>
      <c r="T493" s="38"/>
      <c r="U493" s="38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38"/>
      <c r="R494" s="38"/>
      <c r="S494" s="38"/>
      <c r="T494" s="38"/>
      <c r="U494" s="38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38"/>
      <c r="R495" s="38"/>
      <c r="S495" s="38"/>
      <c r="T495" s="38"/>
      <c r="U495" s="38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38"/>
      <c r="R496" s="38"/>
      <c r="S496" s="38"/>
      <c r="T496" s="38"/>
      <c r="U496" s="38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38"/>
      <c r="R497" s="38"/>
      <c r="S497" s="38"/>
      <c r="T497" s="38"/>
      <c r="U497" s="38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38"/>
      <c r="R498" s="38"/>
      <c r="S498" s="38"/>
      <c r="T498" s="38"/>
      <c r="U498" s="38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38"/>
      <c r="R499" s="38"/>
      <c r="S499" s="38"/>
      <c r="T499" s="38"/>
      <c r="U499" s="38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38"/>
      <c r="R500" s="38"/>
      <c r="S500" s="38"/>
      <c r="T500" s="38"/>
      <c r="U500" s="38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38"/>
      <c r="R501" s="38"/>
      <c r="S501" s="38"/>
      <c r="T501" s="38"/>
      <c r="U501" s="38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38"/>
      <c r="R502" s="38"/>
      <c r="S502" s="38"/>
      <c r="T502" s="38"/>
      <c r="U502" s="38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38"/>
      <c r="R503" s="38"/>
      <c r="S503" s="38"/>
      <c r="T503" s="38"/>
      <c r="U503" s="38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38"/>
      <c r="R504" s="38"/>
      <c r="S504" s="38"/>
      <c r="T504" s="38"/>
      <c r="U504" s="38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38"/>
      <c r="R505" s="38"/>
      <c r="S505" s="38"/>
      <c r="T505" s="38"/>
      <c r="U505" s="38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38"/>
      <c r="R506" s="38"/>
      <c r="S506" s="38"/>
      <c r="T506" s="38"/>
      <c r="U506" s="38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38"/>
      <c r="R507" s="38"/>
      <c r="S507" s="38"/>
      <c r="T507" s="38"/>
      <c r="U507" s="38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38"/>
      <c r="R508" s="38"/>
      <c r="S508" s="38"/>
      <c r="T508" s="38"/>
      <c r="U508" s="38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38"/>
      <c r="R509" s="38"/>
      <c r="S509" s="38"/>
      <c r="T509" s="38"/>
      <c r="U509" s="38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38"/>
      <c r="R510" s="38"/>
      <c r="S510" s="38"/>
      <c r="T510" s="38"/>
      <c r="U510" s="38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38"/>
      <c r="R511" s="38"/>
      <c r="S511" s="38"/>
      <c r="T511" s="38"/>
      <c r="U511" s="38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38"/>
      <c r="R512" s="38"/>
      <c r="S512" s="38"/>
      <c r="T512" s="38"/>
      <c r="U512" s="38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38"/>
      <c r="R513" s="38"/>
      <c r="S513" s="38"/>
      <c r="T513" s="38"/>
      <c r="U513" s="38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38"/>
      <c r="R514" s="38"/>
      <c r="S514" s="38"/>
      <c r="T514" s="38"/>
      <c r="U514" s="38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38"/>
      <c r="R515" s="38"/>
      <c r="S515" s="38"/>
      <c r="T515" s="38"/>
      <c r="U515" s="38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38"/>
      <c r="R516" s="38"/>
      <c r="S516" s="38"/>
      <c r="T516" s="38"/>
      <c r="U516" s="38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38"/>
      <c r="R517" s="38"/>
      <c r="S517" s="38"/>
      <c r="T517" s="38"/>
      <c r="U517" s="38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38"/>
      <c r="R518" s="38"/>
      <c r="S518" s="38"/>
      <c r="T518" s="38"/>
      <c r="U518" s="38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38"/>
      <c r="R519" s="38"/>
      <c r="S519" s="38"/>
      <c r="T519" s="38"/>
      <c r="U519" s="38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38"/>
      <c r="R520" s="38"/>
      <c r="S520" s="38"/>
      <c r="T520" s="38"/>
      <c r="U520" s="38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38"/>
      <c r="R521" s="38"/>
      <c r="S521" s="38"/>
      <c r="T521" s="38"/>
      <c r="U521" s="38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38"/>
      <c r="R522" s="38"/>
      <c r="S522" s="38"/>
      <c r="T522" s="38"/>
      <c r="U522" s="38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38"/>
      <c r="R523" s="38"/>
      <c r="S523" s="38"/>
      <c r="T523" s="38"/>
      <c r="U523" s="38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38"/>
      <c r="R524" s="38"/>
      <c r="S524" s="38"/>
      <c r="T524" s="38"/>
      <c r="U524" s="38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38"/>
      <c r="R525" s="38"/>
      <c r="S525" s="38"/>
      <c r="T525" s="38"/>
      <c r="U525" s="38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38"/>
      <c r="R526" s="38"/>
      <c r="S526" s="38"/>
      <c r="T526" s="38"/>
      <c r="U526" s="38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38"/>
      <c r="R527" s="38"/>
      <c r="S527" s="38"/>
      <c r="T527" s="38"/>
      <c r="U527" s="38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38"/>
      <c r="R528" s="38"/>
      <c r="S528" s="38"/>
      <c r="T528" s="38"/>
      <c r="U528" s="38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38"/>
      <c r="R529" s="38"/>
      <c r="S529" s="38"/>
      <c r="T529" s="38"/>
      <c r="U529" s="38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38"/>
      <c r="R530" s="38"/>
      <c r="S530" s="38"/>
      <c r="T530" s="38"/>
      <c r="U530" s="38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38"/>
      <c r="R531" s="38"/>
      <c r="S531" s="38"/>
      <c r="T531" s="38"/>
      <c r="U531" s="38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38"/>
      <c r="R532" s="38"/>
      <c r="S532" s="38"/>
      <c r="T532" s="38"/>
      <c r="U532" s="38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38"/>
      <c r="R533" s="38"/>
      <c r="S533" s="38"/>
      <c r="T533" s="38"/>
      <c r="U533" s="38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38"/>
      <c r="R534" s="38"/>
      <c r="S534" s="38"/>
      <c r="T534" s="38"/>
      <c r="U534" s="38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38"/>
      <c r="R535" s="38"/>
      <c r="S535" s="38"/>
      <c r="T535" s="38"/>
      <c r="U535" s="38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38"/>
      <c r="R536" s="38"/>
      <c r="S536" s="38"/>
      <c r="T536" s="38"/>
      <c r="U536" s="38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38"/>
      <c r="R537" s="38"/>
      <c r="S537" s="38"/>
      <c r="T537" s="38"/>
      <c r="U537" s="38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38"/>
      <c r="R538" s="38"/>
      <c r="S538" s="38"/>
      <c r="T538" s="38"/>
      <c r="U538" s="38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38"/>
      <c r="R539" s="38"/>
      <c r="S539" s="38"/>
      <c r="T539" s="38"/>
      <c r="U539" s="38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38"/>
      <c r="R540" s="38"/>
      <c r="S540" s="38"/>
      <c r="T540" s="38"/>
      <c r="U540" s="38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38"/>
      <c r="R541" s="38"/>
      <c r="S541" s="38"/>
      <c r="T541" s="38"/>
      <c r="U541" s="38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38"/>
      <c r="R542" s="38"/>
      <c r="S542" s="38"/>
      <c r="T542" s="38"/>
      <c r="U542" s="38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38"/>
      <c r="R543" s="38"/>
      <c r="S543" s="38"/>
      <c r="T543" s="38"/>
      <c r="U543" s="38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38"/>
      <c r="R544" s="38"/>
      <c r="S544" s="38"/>
      <c r="T544" s="38"/>
      <c r="U544" s="38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38"/>
      <c r="R545" s="38"/>
      <c r="S545" s="38"/>
      <c r="T545" s="38"/>
      <c r="U545" s="38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38"/>
      <c r="R546" s="38"/>
      <c r="S546" s="38"/>
      <c r="T546" s="38"/>
      <c r="U546" s="38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38"/>
      <c r="R547" s="38"/>
      <c r="S547" s="38"/>
      <c r="T547" s="38"/>
      <c r="U547" s="38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38"/>
      <c r="R548" s="38"/>
      <c r="S548" s="38"/>
      <c r="T548" s="38"/>
      <c r="U548" s="38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38"/>
      <c r="R549" s="38"/>
      <c r="S549" s="38"/>
      <c r="T549" s="38"/>
      <c r="U549" s="38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38"/>
      <c r="R550" s="38"/>
      <c r="S550" s="38"/>
      <c r="T550" s="38"/>
      <c r="U550" s="38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38"/>
      <c r="R551" s="38"/>
      <c r="S551" s="38"/>
      <c r="T551" s="38"/>
      <c r="U551" s="38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38"/>
      <c r="R552" s="38"/>
      <c r="S552" s="38"/>
      <c r="T552" s="38"/>
      <c r="U552" s="38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38"/>
      <c r="R553" s="38"/>
      <c r="S553" s="38"/>
      <c r="T553" s="38"/>
      <c r="U553" s="38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38"/>
      <c r="R554" s="38"/>
      <c r="S554" s="38"/>
      <c r="T554" s="38"/>
      <c r="U554" s="38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38"/>
      <c r="R555" s="38"/>
      <c r="S555" s="38"/>
      <c r="T555" s="38"/>
      <c r="U555" s="38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38"/>
      <c r="R556" s="38"/>
      <c r="S556" s="38"/>
      <c r="T556" s="38"/>
      <c r="U556" s="38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38"/>
      <c r="R557" s="38"/>
      <c r="S557" s="38"/>
      <c r="T557" s="38"/>
      <c r="U557" s="38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38"/>
      <c r="R558" s="38"/>
      <c r="S558" s="38"/>
      <c r="T558" s="38"/>
      <c r="U558" s="38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38"/>
      <c r="R559" s="38"/>
      <c r="S559" s="38"/>
      <c r="T559" s="38"/>
      <c r="U559" s="38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38"/>
      <c r="R560" s="38"/>
      <c r="S560" s="38"/>
      <c r="T560" s="38"/>
      <c r="U560" s="38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38"/>
      <c r="R561" s="38"/>
      <c r="S561" s="38"/>
      <c r="T561" s="38"/>
      <c r="U561" s="38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38"/>
      <c r="R562" s="38"/>
      <c r="S562" s="38"/>
      <c r="T562" s="38"/>
      <c r="U562" s="38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38"/>
      <c r="R563" s="38"/>
      <c r="S563" s="38"/>
      <c r="T563" s="38"/>
      <c r="U563" s="38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38"/>
      <c r="R564" s="38"/>
      <c r="S564" s="38"/>
      <c r="T564" s="38"/>
      <c r="U564" s="38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38"/>
      <c r="R565" s="38"/>
      <c r="S565" s="38"/>
      <c r="T565" s="38"/>
      <c r="U565" s="38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38"/>
      <c r="R566" s="38"/>
      <c r="S566" s="38"/>
      <c r="T566" s="38"/>
      <c r="U566" s="38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38"/>
      <c r="R567" s="38"/>
      <c r="S567" s="38"/>
      <c r="T567" s="38"/>
      <c r="U567" s="38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38"/>
      <c r="R568" s="38"/>
      <c r="S568" s="38"/>
      <c r="T568" s="38"/>
      <c r="U568" s="38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38"/>
      <c r="R569" s="38"/>
      <c r="S569" s="38"/>
      <c r="T569" s="38"/>
      <c r="U569" s="38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38"/>
      <c r="R570" s="38"/>
      <c r="S570" s="38"/>
      <c r="T570" s="38"/>
      <c r="U570" s="38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38"/>
      <c r="R571" s="38"/>
      <c r="S571" s="38"/>
      <c r="T571" s="38"/>
      <c r="U571" s="38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38"/>
      <c r="R572" s="38"/>
      <c r="S572" s="38"/>
      <c r="T572" s="38"/>
      <c r="U572" s="38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38"/>
      <c r="R573" s="38"/>
      <c r="S573" s="38"/>
      <c r="T573" s="38"/>
      <c r="U573" s="38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38"/>
      <c r="R574" s="38"/>
      <c r="S574" s="38"/>
      <c r="T574" s="38"/>
      <c r="U574" s="38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38"/>
      <c r="R575" s="38"/>
      <c r="S575" s="38"/>
      <c r="T575" s="38"/>
      <c r="U575" s="38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38"/>
      <c r="R576" s="38"/>
      <c r="S576" s="38"/>
      <c r="T576" s="38"/>
      <c r="U576" s="38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38"/>
      <c r="R577" s="38"/>
      <c r="S577" s="38"/>
      <c r="T577" s="38"/>
      <c r="U577" s="38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38"/>
      <c r="R578" s="38"/>
      <c r="S578" s="38"/>
      <c r="T578" s="38"/>
      <c r="U578" s="38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38"/>
      <c r="R579" s="38"/>
      <c r="S579" s="38"/>
      <c r="T579" s="38"/>
      <c r="U579" s="38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38"/>
      <c r="R580" s="38"/>
      <c r="S580" s="38"/>
      <c r="T580" s="38"/>
      <c r="U580" s="38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38"/>
      <c r="R581" s="38"/>
      <c r="S581" s="38"/>
      <c r="T581" s="38"/>
      <c r="U581" s="38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38"/>
      <c r="R582" s="38"/>
      <c r="S582" s="38"/>
      <c r="T582" s="38"/>
      <c r="U582" s="38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38"/>
      <c r="R583" s="38"/>
      <c r="S583" s="38"/>
      <c r="T583" s="38"/>
      <c r="U583" s="38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38"/>
      <c r="R584" s="38"/>
      <c r="S584" s="38"/>
      <c r="T584" s="38"/>
      <c r="U584" s="38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38"/>
      <c r="R585" s="38"/>
      <c r="S585" s="38"/>
      <c r="T585" s="38"/>
      <c r="U585" s="38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38"/>
      <c r="R586" s="38"/>
      <c r="S586" s="38"/>
      <c r="T586" s="38"/>
      <c r="U586" s="38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38"/>
      <c r="R587" s="38"/>
      <c r="S587" s="38"/>
      <c r="T587" s="38"/>
      <c r="U587" s="38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38"/>
      <c r="R588" s="38"/>
      <c r="S588" s="38"/>
      <c r="T588" s="38"/>
      <c r="U588" s="38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38"/>
      <c r="R589" s="38"/>
      <c r="S589" s="38"/>
      <c r="T589" s="38"/>
      <c r="U589" s="38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38"/>
      <c r="R590" s="38"/>
      <c r="S590" s="38"/>
      <c r="T590" s="38"/>
      <c r="U590" s="38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38"/>
      <c r="R591" s="38"/>
      <c r="S591" s="38"/>
      <c r="T591" s="38"/>
      <c r="U591" s="38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38"/>
      <c r="R592" s="38"/>
      <c r="S592" s="38"/>
      <c r="T592" s="38"/>
      <c r="U592" s="38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38"/>
      <c r="R593" s="38"/>
      <c r="S593" s="38"/>
      <c r="T593" s="38"/>
      <c r="U593" s="38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38"/>
      <c r="R594" s="38"/>
      <c r="S594" s="38"/>
      <c r="T594" s="38"/>
      <c r="U594" s="38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38"/>
      <c r="R595" s="38"/>
      <c r="S595" s="38"/>
      <c r="T595" s="38"/>
      <c r="U595" s="38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38"/>
      <c r="R596" s="38"/>
      <c r="S596" s="38"/>
      <c r="T596" s="38"/>
      <c r="U596" s="38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38"/>
      <c r="R597" s="38"/>
      <c r="S597" s="38"/>
      <c r="T597" s="38"/>
      <c r="U597" s="38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38"/>
      <c r="R598" s="38"/>
      <c r="S598" s="38"/>
      <c r="T598" s="38"/>
      <c r="U598" s="38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38"/>
      <c r="R599" s="38"/>
      <c r="S599" s="38"/>
      <c r="T599" s="38"/>
      <c r="U599" s="38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38"/>
      <c r="R600" s="38"/>
      <c r="S600" s="38"/>
      <c r="T600" s="38"/>
      <c r="U600" s="38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38"/>
      <c r="R601" s="38"/>
      <c r="S601" s="38"/>
      <c r="T601" s="38"/>
      <c r="U601" s="38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38"/>
      <c r="R602" s="38"/>
      <c r="S602" s="38"/>
      <c r="T602" s="38"/>
      <c r="U602" s="38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38"/>
      <c r="R603" s="38"/>
      <c r="S603" s="38"/>
      <c r="T603" s="38"/>
      <c r="U603" s="38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38"/>
      <c r="R604" s="38"/>
      <c r="S604" s="38"/>
      <c r="T604" s="38"/>
      <c r="U604" s="38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38"/>
      <c r="R605" s="38"/>
      <c r="S605" s="38"/>
      <c r="T605" s="38"/>
      <c r="U605" s="38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38"/>
      <c r="R606" s="38"/>
      <c r="S606" s="38"/>
      <c r="T606" s="38"/>
      <c r="U606" s="38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38"/>
      <c r="R607" s="38"/>
      <c r="S607" s="38"/>
      <c r="T607" s="38"/>
      <c r="U607" s="38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38"/>
      <c r="R608" s="38"/>
      <c r="S608" s="38"/>
      <c r="T608" s="38"/>
      <c r="U608" s="38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38"/>
      <c r="R609" s="38"/>
      <c r="S609" s="38"/>
      <c r="T609" s="38"/>
      <c r="U609" s="38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38"/>
      <c r="R610" s="38"/>
      <c r="S610" s="38"/>
      <c r="T610" s="38"/>
      <c r="U610" s="38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38"/>
      <c r="R611" s="38"/>
      <c r="S611" s="38"/>
      <c r="T611" s="38"/>
      <c r="U611" s="38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38"/>
      <c r="R612" s="38"/>
      <c r="S612" s="38"/>
      <c r="T612" s="38"/>
      <c r="U612" s="38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38"/>
      <c r="R613" s="38"/>
      <c r="S613" s="38"/>
      <c r="T613" s="38"/>
      <c r="U613" s="38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38"/>
      <c r="R614" s="38"/>
      <c r="S614" s="38"/>
      <c r="T614" s="38"/>
      <c r="U614" s="38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38"/>
      <c r="R615" s="38"/>
      <c r="S615" s="38"/>
      <c r="T615" s="38"/>
      <c r="U615" s="38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38"/>
      <c r="R616" s="38"/>
      <c r="S616" s="38"/>
      <c r="T616" s="38"/>
      <c r="U616" s="38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38"/>
      <c r="R617" s="38"/>
      <c r="S617" s="38"/>
      <c r="T617" s="38"/>
      <c r="U617" s="38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38"/>
      <c r="R618" s="38"/>
      <c r="S618" s="38"/>
      <c r="T618" s="38"/>
      <c r="U618" s="38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38"/>
      <c r="R619" s="38"/>
      <c r="S619" s="38"/>
      <c r="T619" s="38"/>
      <c r="U619" s="38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38"/>
      <c r="R620" s="38"/>
      <c r="S620" s="38"/>
      <c r="T620" s="38"/>
      <c r="U620" s="38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38"/>
      <c r="R621" s="38"/>
      <c r="S621" s="38"/>
      <c r="T621" s="38"/>
      <c r="U621" s="38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38"/>
      <c r="R622" s="38"/>
      <c r="S622" s="38"/>
      <c r="T622" s="38"/>
      <c r="U622" s="38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38"/>
      <c r="R623" s="38"/>
      <c r="S623" s="38"/>
      <c r="T623" s="38"/>
      <c r="U623" s="38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38"/>
      <c r="R624" s="38"/>
      <c r="S624" s="38"/>
      <c r="T624" s="38"/>
      <c r="U624" s="38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38"/>
      <c r="R625" s="38"/>
      <c r="S625" s="38"/>
      <c r="T625" s="38"/>
      <c r="U625" s="38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38"/>
      <c r="R626" s="38"/>
      <c r="S626" s="38"/>
      <c r="T626" s="38"/>
      <c r="U626" s="38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38"/>
      <c r="R627" s="38"/>
      <c r="S627" s="38"/>
      <c r="T627" s="38"/>
      <c r="U627" s="38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38"/>
      <c r="R628" s="38"/>
      <c r="S628" s="38"/>
      <c r="T628" s="38"/>
      <c r="U628" s="38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38"/>
      <c r="R629" s="38"/>
      <c r="S629" s="38"/>
      <c r="T629" s="38"/>
      <c r="U629" s="38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38"/>
      <c r="R630" s="38"/>
      <c r="S630" s="38"/>
      <c r="T630" s="38"/>
      <c r="U630" s="38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38"/>
      <c r="R631" s="38"/>
      <c r="S631" s="38"/>
      <c r="T631" s="38"/>
      <c r="U631" s="38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38"/>
      <c r="R632" s="38"/>
      <c r="S632" s="38"/>
      <c r="T632" s="38"/>
      <c r="U632" s="38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38"/>
      <c r="R633" s="38"/>
      <c r="S633" s="38"/>
      <c r="T633" s="38"/>
      <c r="U633" s="38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38"/>
      <c r="R634" s="38"/>
      <c r="S634" s="38"/>
      <c r="T634" s="38"/>
      <c r="U634" s="38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38"/>
      <c r="R635" s="38"/>
      <c r="S635" s="38"/>
      <c r="T635" s="38"/>
      <c r="U635" s="38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38"/>
      <c r="R636" s="38"/>
      <c r="S636" s="38"/>
      <c r="T636" s="38"/>
      <c r="U636" s="38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38"/>
      <c r="R637" s="38"/>
      <c r="S637" s="38"/>
      <c r="T637" s="38"/>
      <c r="U637" s="38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38"/>
      <c r="R638" s="38"/>
      <c r="S638" s="38"/>
      <c r="T638" s="38"/>
      <c r="U638" s="38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38"/>
      <c r="R639" s="38"/>
      <c r="S639" s="38"/>
      <c r="T639" s="38"/>
      <c r="U639" s="38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38"/>
      <c r="R640" s="38"/>
      <c r="S640" s="38"/>
      <c r="T640" s="38"/>
      <c r="U640" s="38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38"/>
      <c r="R641" s="38"/>
      <c r="S641" s="38"/>
      <c r="T641" s="38"/>
      <c r="U641" s="38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38"/>
      <c r="R642" s="38"/>
      <c r="S642" s="38"/>
      <c r="T642" s="38"/>
      <c r="U642" s="38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38"/>
      <c r="R643" s="38"/>
      <c r="S643" s="38"/>
      <c r="T643" s="38"/>
      <c r="U643" s="38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38"/>
      <c r="R644" s="38"/>
      <c r="S644" s="38"/>
      <c r="T644" s="38"/>
      <c r="U644" s="38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38"/>
      <c r="R645" s="38"/>
      <c r="S645" s="38"/>
      <c r="T645" s="38"/>
      <c r="U645" s="38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38"/>
      <c r="R646" s="38"/>
      <c r="S646" s="38"/>
      <c r="T646" s="38"/>
      <c r="U646" s="38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38"/>
      <c r="R647" s="38"/>
      <c r="S647" s="38"/>
      <c r="T647" s="38"/>
      <c r="U647" s="38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38"/>
      <c r="R648" s="38"/>
      <c r="S648" s="38"/>
      <c r="T648" s="38"/>
      <c r="U648" s="38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38"/>
      <c r="R649" s="38"/>
      <c r="S649" s="38"/>
      <c r="T649" s="38"/>
      <c r="U649" s="38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38"/>
      <c r="R650" s="38"/>
      <c r="S650" s="38"/>
      <c r="T650" s="38"/>
      <c r="U650" s="38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38"/>
      <c r="R651" s="38"/>
      <c r="S651" s="38"/>
      <c r="T651" s="38"/>
      <c r="U651" s="38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38"/>
      <c r="R652" s="38"/>
      <c r="S652" s="38"/>
      <c r="T652" s="38"/>
      <c r="U652" s="38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38"/>
      <c r="R653" s="38"/>
      <c r="S653" s="38"/>
      <c r="T653" s="38"/>
      <c r="U653" s="38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38"/>
      <c r="R654" s="38"/>
      <c r="S654" s="38"/>
      <c r="T654" s="38"/>
      <c r="U654" s="38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38"/>
      <c r="R655" s="38"/>
      <c r="S655" s="38"/>
      <c r="T655" s="38"/>
      <c r="U655" s="38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38"/>
      <c r="R656" s="38"/>
      <c r="S656" s="38"/>
      <c r="T656" s="38"/>
      <c r="U656" s="38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38"/>
      <c r="R657" s="38"/>
      <c r="S657" s="38"/>
      <c r="T657" s="38"/>
      <c r="U657" s="38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38"/>
      <c r="R658" s="38"/>
      <c r="S658" s="38"/>
      <c r="T658" s="38"/>
      <c r="U658" s="38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38"/>
      <c r="R659" s="38"/>
      <c r="S659" s="38"/>
      <c r="T659" s="38"/>
      <c r="U659" s="38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38"/>
      <c r="R660" s="38"/>
      <c r="S660" s="38"/>
      <c r="T660" s="38"/>
      <c r="U660" s="38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38"/>
      <c r="R661" s="38"/>
      <c r="S661" s="38"/>
      <c r="T661" s="38"/>
      <c r="U661" s="38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38"/>
      <c r="R662" s="38"/>
      <c r="S662" s="38"/>
      <c r="T662" s="38"/>
      <c r="U662" s="38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38"/>
      <c r="R663" s="38"/>
      <c r="S663" s="38"/>
      <c r="T663" s="38"/>
      <c r="U663" s="38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38"/>
      <c r="R664" s="38"/>
      <c r="S664" s="38"/>
      <c r="T664" s="38"/>
      <c r="U664" s="38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38"/>
      <c r="R665" s="38"/>
      <c r="S665" s="38"/>
      <c r="T665" s="38"/>
      <c r="U665" s="38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38"/>
      <c r="R666" s="38"/>
      <c r="S666" s="38"/>
      <c r="T666" s="38"/>
      <c r="U666" s="38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38"/>
      <c r="R667" s="38"/>
      <c r="S667" s="38"/>
      <c r="T667" s="38"/>
      <c r="U667" s="38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38"/>
      <c r="R668" s="38"/>
      <c r="S668" s="38"/>
      <c r="T668" s="38"/>
      <c r="U668" s="38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38"/>
      <c r="R669" s="38"/>
      <c r="S669" s="38"/>
      <c r="T669" s="38"/>
      <c r="U669" s="38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38"/>
      <c r="R670" s="38"/>
      <c r="S670" s="38"/>
      <c r="T670" s="38"/>
      <c r="U670" s="38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38"/>
      <c r="R671" s="38"/>
      <c r="S671" s="38"/>
      <c r="T671" s="38"/>
      <c r="U671" s="38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38"/>
      <c r="R672" s="38"/>
      <c r="S672" s="38"/>
      <c r="T672" s="38"/>
      <c r="U672" s="38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38"/>
      <c r="R673" s="38"/>
      <c r="S673" s="38"/>
      <c r="T673" s="38"/>
      <c r="U673" s="38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38"/>
      <c r="R674" s="38"/>
      <c r="S674" s="38"/>
      <c r="T674" s="38"/>
      <c r="U674" s="38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38"/>
      <c r="R675" s="38"/>
      <c r="S675" s="38"/>
      <c r="T675" s="38"/>
      <c r="U675" s="38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38"/>
      <c r="R676" s="38"/>
      <c r="S676" s="38"/>
      <c r="T676" s="38"/>
      <c r="U676" s="38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38"/>
      <c r="R677" s="38"/>
      <c r="S677" s="38"/>
      <c r="T677" s="38"/>
      <c r="U677" s="38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38"/>
      <c r="R678" s="38"/>
      <c r="S678" s="38"/>
      <c r="T678" s="38"/>
      <c r="U678" s="38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38"/>
      <c r="R679" s="38"/>
      <c r="S679" s="38"/>
      <c r="T679" s="38"/>
      <c r="U679" s="38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38"/>
      <c r="R680" s="38"/>
      <c r="S680" s="38"/>
      <c r="T680" s="38"/>
      <c r="U680" s="38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38"/>
      <c r="R681" s="38"/>
      <c r="S681" s="38"/>
      <c r="T681" s="38"/>
      <c r="U681" s="38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38"/>
      <c r="R682" s="38"/>
      <c r="S682" s="38"/>
      <c r="T682" s="38"/>
      <c r="U682" s="38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38"/>
      <c r="R683" s="38"/>
      <c r="S683" s="38"/>
      <c r="T683" s="38"/>
      <c r="U683" s="38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38"/>
      <c r="R684" s="38"/>
      <c r="S684" s="38"/>
      <c r="T684" s="38"/>
      <c r="U684" s="38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38"/>
      <c r="R685" s="38"/>
      <c r="S685" s="38"/>
      <c r="T685" s="38"/>
      <c r="U685" s="38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38"/>
      <c r="R686" s="38"/>
      <c r="S686" s="38"/>
      <c r="T686" s="38"/>
      <c r="U686" s="38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38"/>
      <c r="R687" s="38"/>
      <c r="S687" s="38"/>
      <c r="T687" s="38"/>
      <c r="U687" s="38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38"/>
      <c r="R688" s="38"/>
      <c r="S688" s="38"/>
      <c r="T688" s="38"/>
      <c r="U688" s="38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38"/>
      <c r="R689" s="38"/>
      <c r="S689" s="38"/>
      <c r="T689" s="38"/>
      <c r="U689" s="38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38"/>
      <c r="R690" s="38"/>
      <c r="S690" s="38"/>
      <c r="T690" s="38"/>
      <c r="U690" s="38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38"/>
      <c r="R691" s="38"/>
      <c r="S691" s="38"/>
      <c r="T691" s="38"/>
      <c r="U691" s="38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38"/>
      <c r="R692" s="38"/>
      <c r="S692" s="38"/>
      <c r="T692" s="38"/>
      <c r="U692" s="38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38"/>
      <c r="R693" s="38"/>
      <c r="S693" s="38"/>
      <c r="T693" s="38"/>
      <c r="U693" s="38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38"/>
      <c r="R694" s="38"/>
      <c r="S694" s="38"/>
      <c r="T694" s="38"/>
      <c r="U694" s="38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38"/>
      <c r="R695" s="38"/>
      <c r="S695" s="38"/>
      <c r="T695" s="38"/>
      <c r="U695" s="38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38"/>
      <c r="R696" s="38"/>
      <c r="S696" s="38"/>
      <c r="T696" s="38"/>
      <c r="U696" s="38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38"/>
      <c r="R697" s="38"/>
      <c r="S697" s="38"/>
      <c r="T697" s="38"/>
      <c r="U697" s="38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38"/>
      <c r="R698" s="38"/>
      <c r="S698" s="38"/>
      <c r="T698" s="38"/>
      <c r="U698" s="38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38"/>
      <c r="R699" s="38"/>
      <c r="S699" s="38"/>
      <c r="T699" s="38"/>
      <c r="U699" s="38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38"/>
      <c r="R700" s="38"/>
      <c r="S700" s="38"/>
      <c r="T700" s="38"/>
      <c r="U700" s="38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38"/>
      <c r="R701" s="38"/>
      <c r="S701" s="38"/>
      <c r="T701" s="38"/>
      <c r="U701" s="38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38"/>
      <c r="R702" s="38"/>
      <c r="S702" s="38"/>
      <c r="T702" s="38"/>
      <c r="U702" s="38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38"/>
      <c r="R703" s="38"/>
      <c r="S703" s="38"/>
      <c r="T703" s="38"/>
      <c r="U703" s="38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38"/>
      <c r="R704" s="38"/>
      <c r="S704" s="38"/>
      <c r="T704" s="38"/>
      <c r="U704" s="38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38"/>
      <c r="R705" s="38"/>
      <c r="S705" s="38"/>
      <c r="T705" s="38"/>
      <c r="U705" s="38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38"/>
      <c r="R706" s="38"/>
      <c r="S706" s="38"/>
      <c r="T706" s="38"/>
      <c r="U706" s="38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38"/>
      <c r="R707" s="38"/>
      <c r="S707" s="38"/>
      <c r="T707" s="38"/>
      <c r="U707" s="38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38"/>
      <c r="R708" s="38"/>
      <c r="S708" s="38"/>
      <c r="T708" s="38"/>
      <c r="U708" s="38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38"/>
      <c r="R709" s="38"/>
      <c r="S709" s="38"/>
      <c r="T709" s="38"/>
      <c r="U709" s="38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38"/>
      <c r="R710" s="38"/>
      <c r="S710" s="38"/>
      <c r="T710" s="38"/>
      <c r="U710" s="38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38"/>
      <c r="R711" s="38"/>
      <c r="S711" s="38"/>
      <c r="T711" s="38"/>
      <c r="U711" s="38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38"/>
      <c r="R712" s="38"/>
      <c r="S712" s="38"/>
      <c r="T712" s="38"/>
      <c r="U712" s="38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38"/>
      <c r="R713" s="38"/>
      <c r="S713" s="38"/>
      <c r="T713" s="38"/>
      <c r="U713" s="38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38"/>
      <c r="R714" s="38"/>
      <c r="S714" s="38"/>
      <c r="T714" s="38"/>
      <c r="U714" s="38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38"/>
      <c r="R715" s="38"/>
      <c r="S715" s="38"/>
      <c r="T715" s="38"/>
      <c r="U715" s="38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38"/>
      <c r="R716" s="38"/>
      <c r="S716" s="38"/>
      <c r="T716" s="38"/>
      <c r="U716" s="38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38"/>
      <c r="R717" s="38"/>
      <c r="S717" s="38"/>
      <c r="T717" s="38"/>
      <c r="U717" s="38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38"/>
      <c r="R718" s="38"/>
      <c r="S718" s="38"/>
      <c r="T718" s="38"/>
      <c r="U718" s="38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38"/>
      <c r="R719" s="38"/>
      <c r="S719" s="38"/>
      <c r="T719" s="38"/>
      <c r="U719" s="38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38"/>
      <c r="R720" s="38"/>
      <c r="S720" s="38"/>
      <c r="T720" s="38"/>
      <c r="U720" s="38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38"/>
      <c r="R721" s="38"/>
      <c r="S721" s="38"/>
      <c r="T721" s="38"/>
      <c r="U721" s="38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38"/>
      <c r="R722" s="38"/>
      <c r="S722" s="38"/>
      <c r="T722" s="38"/>
      <c r="U722" s="38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38"/>
      <c r="R723" s="38"/>
      <c r="S723" s="38"/>
      <c r="T723" s="38"/>
      <c r="U723" s="38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38"/>
      <c r="R724" s="38"/>
      <c r="S724" s="38"/>
      <c r="T724" s="38"/>
      <c r="U724" s="38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38"/>
      <c r="R725" s="38"/>
      <c r="S725" s="38"/>
      <c r="T725" s="38"/>
      <c r="U725" s="38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38"/>
      <c r="R726" s="38"/>
      <c r="S726" s="38"/>
      <c r="T726" s="38"/>
      <c r="U726" s="38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38"/>
      <c r="R727" s="38"/>
      <c r="S727" s="38"/>
      <c r="T727" s="38"/>
      <c r="U727" s="38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38"/>
      <c r="R728" s="38"/>
      <c r="S728" s="38"/>
      <c r="T728" s="38"/>
      <c r="U728" s="38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38"/>
      <c r="R729" s="38"/>
      <c r="S729" s="38"/>
      <c r="T729" s="38"/>
      <c r="U729" s="38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38"/>
      <c r="R730" s="38"/>
      <c r="S730" s="38"/>
      <c r="T730" s="38"/>
      <c r="U730" s="38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38"/>
      <c r="R731" s="38"/>
      <c r="S731" s="38"/>
      <c r="T731" s="38"/>
      <c r="U731" s="38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38"/>
      <c r="R732" s="38"/>
      <c r="S732" s="38"/>
      <c r="T732" s="38"/>
      <c r="U732" s="38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38"/>
      <c r="R733" s="38"/>
      <c r="S733" s="38"/>
      <c r="T733" s="38"/>
      <c r="U733" s="38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38"/>
      <c r="R734" s="38"/>
      <c r="S734" s="38"/>
      <c r="T734" s="38"/>
      <c r="U734" s="38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38"/>
      <c r="R735" s="38"/>
      <c r="S735" s="38"/>
      <c r="T735" s="38"/>
      <c r="U735" s="38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38"/>
      <c r="R736" s="38"/>
      <c r="S736" s="38"/>
      <c r="T736" s="38"/>
      <c r="U736" s="38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38"/>
      <c r="R737" s="38"/>
      <c r="S737" s="38"/>
      <c r="T737" s="38"/>
      <c r="U737" s="38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38"/>
      <c r="R738" s="38"/>
      <c r="S738" s="38"/>
      <c r="T738" s="38"/>
      <c r="U738" s="38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38"/>
      <c r="R739" s="38"/>
      <c r="S739" s="38"/>
      <c r="T739" s="38"/>
      <c r="U739" s="38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38"/>
      <c r="R740" s="38"/>
      <c r="S740" s="38"/>
      <c r="T740" s="38"/>
      <c r="U740" s="38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38"/>
      <c r="R741" s="38"/>
      <c r="S741" s="38"/>
      <c r="T741" s="38"/>
      <c r="U741" s="38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38"/>
      <c r="R742" s="38"/>
      <c r="S742" s="38"/>
      <c r="T742" s="38"/>
      <c r="U742" s="38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38"/>
      <c r="R743" s="38"/>
      <c r="S743" s="38"/>
      <c r="T743" s="38"/>
      <c r="U743" s="38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38"/>
      <c r="R744" s="38"/>
      <c r="S744" s="38"/>
      <c r="T744" s="38"/>
      <c r="U744" s="38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38"/>
      <c r="R745" s="38"/>
      <c r="S745" s="38"/>
      <c r="T745" s="38"/>
      <c r="U745" s="38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38"/>
      <c r="R746" s="38"/>
      <c r="S746" s="38"/>
      <c r="T746" s="38"/>
      <c r="U746" s="38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38"/>
      <c r="R747" s="38"/>
      <c r="S747" s="38"/>
      <c r="T747" s="38"/>
      <c r="U747" s="38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38"/>
      <c r="R748" s="38"/>
      <c r="S748" s="38"/>
      <c r="T748" s="38"/>
      <c r="U748" s="38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38"/>
      <c r="R749" s="38"/>
      <c r="S749" s="38"/>
      <c r="T749" s="38"/>
      <c r="U749" s="38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38"/>
      <c r="R750" s="38"/>
      <c r="S750" s="38"/>
      <c r="T750" s="38"/>
      <c r="U750" s="38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38"/>
      <c r="R751" s="38"/>
      <c r="S751" s="38"/>
      <c r="T751" s="38"/>
      <c r="U751" s="38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38"/>
      <c r="R752" s="38"/>
      <c r="S752" s="38"/>
      <c r="T752" s="38"/>
      <c r="U752" s="38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38"/>
      <c r="R753" s="38"/>
      <c r="S753" s="38"/>
      <c r="T753" s="38"/>
      <c r="U753" s="38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38"/>
      <c r="R754" s="38"/>
      <c r="S754" s="38"/>
      <c r="T754" s="38"/>
      <c r="U754" s="38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38"/>
      <c r="R755" s="38"/>
      <c r="S755" s="38"/>
      <c r="T755" s="38"/>
      <c r="U755" s="38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38"/>
      <c r="R756" s="38"/>
      <c r="S756" s="38"/>
      <c r="T756" s="38"/>
      <c r="U756" s="38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38"/>
      <c r="R757" s="38"/>
      <c r="S757" s="38"/>
      <c r="T757" s="38"/>
      <c r="U757" s="38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38"/>
      <c r="R758" s="38"/>
      <c r="S758" s="38"/>
      <c r="T758" s="38"/>
      <c r="U758" s="38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38"/>
      <c r="R759" s="38"/>
      <c r="S759" s="38"/>
      <c r="T759" s="38"/>
      <c r="U759" s="38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38"/>
      <c r="R760" s="38"/>
      <c r="S760" s="38"/>
      <c r="T760" s="38"/>
      <c r="U760" s="38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38"/>
      <c r="R761" s="38"/>
      <c r="S761" s="38"/>
      <c r="T761" s="38"/>
      <c r="U761" s="38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38"/>
      <c r="R762" s="38"/>
      <c r="S762" s="38"/>
      <c r="T762" s="38"/>
      <c r="U762" s="38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38"/>
      <c r="R763" s="38"/>
      <c r="S763" s="38"/>
      <c r="T763" s="38"/>
      <c r="U763" s="38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38"/>
      <c r="R764" s="38"/>
      <c r="S764" s="38"/>
      <c r="T764" s="38"/>
      <c r="U764" s="38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38"/>
      <c r="R765" s="38"/>
      <c r="S765" s="38"/>
      <c r="T765" s="38"/>
      <c r="U765" s="38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38"/>
      <c r="R766" s="38"/>
      <c r="S766" s="38"/>
      <c r="T766" s="38"/>
      <c r="U766" s="38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38"/>
      <c r="R767" s="38"/>
      <c r="S767" s="38"/>
      <c r="T767" s="38"/>
      <c r="U767" s="38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38"/>
      <c r="R768" s="38"/>
      <c r="S768" s="38"/>
      <c r="T768" s="38"/>
      <c r="U768" s="38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38"/>
      <c r="R769" s="38"/>
      <c r="S769" s="38"/>
      <c r="T769" s="38"/>
      <c r="U769" s="38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38"/>
      <c r="R770" s="38"/>
      <c r="S770" s="38"/>
      <c r="T770" s="38"/>
      <c r="U770" s="38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38"/>
      <c r="R771" s="38"/>
      <c r="S771" s="38"/>
      <c r="T771" s="38"/>
      <c r="U771" s="38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38"/>
      <c r="R772" s="38"/>
      <c r="S772" s="38"/>
      <c r="T772" s="38"/>
      <c r="U772" s="38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38"/>
      <c r="R773" s="38"/>
      <c r="S773" s="38"/>
      <c r="T773" s="38"/>
      <c r="U773" s="38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38"/>
      <c r="R774" s="38"/>
      <c r="S774" s="38"/>
      <c r="T774" s="38"/>
      <c r="U774" s="38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38"/>
      <c r="R775" s="38"/>
      <c r="S775" s="38"/>
      <c r="T775" s="38"/>
      <c r="U775" s="38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38"/>
      <c r="R776" s="38"/>
      <c r="S776" s="38"/>
      <c r="T776" s="38"/>
      <c r="U776" s="38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38"/>
      <c r="R777" s="38"/>
      <c r="S777" s="38"/>
      <c r="T777" s="38"/>
      <c r="U777" s="38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38"/>
      <c r="R778" s="38"/>
      <c r="S778" s="38"/>
      <c r="T778" s="38"/>
      <c r="U778" s="38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38"/>
      <c r="R779" s="38"/>
      <c r="S779" s="38"/>
      <c r="T779" s="38"/>
      <c r="U779" s="38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38"/>
      <c r="R780" s="38"/>
      <c r="S780" s="38"/>
      <c r="T780" s="38"/>
      <c r="U780" s="38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38"/>
      <c r="R781" s="38"/>
      <c r="S781" s="38"/>
      <c r="T781" s="38"/>
      <c r="U781" s="38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38"/>
      <c r="R782" s="38"/>
      <c r="S782" s="38"/>
      <c r="T782" s="38"/>
      <c r="U782" s="38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38"/>
      <c r="R783" s="38"/>
      <c r="S783" s="38"/>
      <c r="T783" s="38"/>
      <c r="U783" s="38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38"/>
      <c r="R784" s="38"/>
      <c r="S784" s="38"/>
      <c r="T784" s="38"/>
      <c r="U784" s="38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38"/>
      <c r="R785" s="38"/>
      <c r="S785" s="38"/>
      <c r="T785" s="38"/>
      <c r="U785" s="38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38"/>
      <c r="R786" s="38"/>
      <c r="S786" s="38"/>
      <c r="T786" s="38"/>
      <c r="U786" s="38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38"/>
      <c r="R787" s="38"/>
      <c r="S787" s="38"/>
      <c r="T787" s="38"/>
      <c r="U787" s="38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38"/>
      <c r="R788" s="38"/>
      <c r="S788" s="38"/>
      <c r="T788" s="38"/>
      <c r="U788" s="38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38"/>
      <c r="R789" s="38"/>
      <c r="S789" s="38"/>
      <c r="T789" s="38"/>
      <c r="U789" s="38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38"/>
      <c r="R790" s="38"/>
      <c r="S790" s="38"/>
      <c r="T790" s="38"/>
      <c r="U790" s="38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38"/>
      <c r="R791" s="38"/>
      <c r="S791" s="38"/>
      <c r="T791" s="38"/>
      <c r="U791" s="38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38"/>
      <c r="R792" s="38"/>
      <c r="S792" s="38"/>
      <c r="T792" s="38"/>
      <c r="U792" s="38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38"/>
      <c r="R793" s="38"/>
      <c r="S793" s="38"/>
      <c r="T793" s="38"/>
      <c r="U793" s="38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38"/>
      <c r="R794" s="38"/>
      <c r="S794" s="38"/>
      <c r="T794" s="38"/>
      <c r="U794" s="38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38"/>
      <c r="R795" s="38"/>
      <c r="S795" s="38"/>
      <c r="T795" s="38"/>
      <c r="U795" s="38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38"/>
      <c r="R796" s="38"/>
      <c r="S796" s="38"/>
      <c r="T796" s="38"/>
      <c r="U796" s="38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38"/>
      <c r="R797" s="38"/>
      <c r="S797" s="38"/>
      <c r="T797" s="38"/>
      <c r="U797" s="38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38"/>
      <c r="R798" s="38"/>
      <c r="S798" s="38"/>
      <c r="T798" s="38"/>
      <c r="U798" s="38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38"/>
      <c r="R799" s="38"/>
      <c r="S799" s="38"/>
      <c r="T799" s="38"/>
      <c r="U799" s="38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38"/>
      <c r="R800" s="38"/>
      <c r="S800" s="38"/>
      <c r="T800" s="38"/>
      <c r="U800" s="38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38"/>
      <c r="R801" s="38"/>
      <c r="S801" s="38"/>
      <c r="T801" s="38"/>
      <c r="U801" s="38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38"/>
      <c r="R802" s="38"/>
      <c r="S802" s="38"/>
      <c r="T802" s="38"/>
      <c r="U802" s="38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38"/>
      <c r="R803" s="38"/>
      <c r="S803" s="38"/>
      <c r="T803" s="38"/>
      <c r="U803" s="38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38"/>
      <c r="R804" s="38"/>
      <c r="S804" s="38"/>
      <c r="T804" s="38"/>
      <c r="U804" s="38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38"/>
      <c r="R805" s="38"/>
      <c r="S805" s="38"/>
      <c r="T805" s="38"/>
      <c r="U805" s="38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38"/>
      <c r="R806" s="38"/>
      <c r="S806" s="38"/>
      <c r="T806" s="38"/>
      <c r="U806" s="38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38"/>
      <c r="R807" s="38"/>
      <c r="S807" s="38"/>
      <c r="T807" s="38"/>
      <c r="U807" s="38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38"/>
      <c r="R808" s="38"/>
      <c r="S808" s="38"/>
      <c r="T808" s="38"/>
      <c r="U808" s="38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38"/>
      <c r="R809" s="38"/>
      <c r="S809" s="38"/>
      <c r="T809" s="38"/>
      <c r="U809" s="38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38"/>
      <c r="R810" s="38"/>
      <c r="S810" s="38"/>
      <c r="T810" s="38"/>
      <c r="U810" s="38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38"/>
      <c r="R811" s="38"/>
      <c r="S811" s="38"/>
      <c r="T811" s="38"/>
      <c r="U811" s="38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38"/>
      <c r="R812" s="38"/>
      <c r="S812" s="38"/>
      <c r="T812" s="38"/>
      <c r="U812" s="38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38"/>
      <c r="R813" s="38"/>
      <c r="S813" s="38"/>
      <c r="T813" s="38"/>
      <c r="U813" s="38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38"/>
      <c r="R814" s="38"/>
      <c r="S814" s="38"/>
      <c r="T814" s="38"/>
      <c r="U814" s="38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38"/>
      <c r="R815" s="38"/>
      <c r="S815" s="38"/>
      <c r="T815" s="38"/>
      <c r="U815" s="38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38"/>
      <c r="R816" s="38"/>
      <c r="S816" s="38"/>
      <c r="T816" s="38"/>
      <c r="U816" s="38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38"/>
      <c r="R817" s="38"/>
      <c r="S817" s="38"/>
      <c r="T817" s="38"/>
      <c r="U817" s="38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38"/>
      <c r="R818" s="38"/>
      <c r="S818" s="38"/>
      <c r="T818" s="38"/>
      <c r="U818" s="38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38"/>
      <c r="R819" s="38"/>
      <c r="S819" s="38"/>
      <c r="T819" s="38"/>
      <c r="U819" s="38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38"/>
      <c r="R820" s="38"/>
      <c r="S820" s="38"/>
      <c r="T820" s="38"/>
      <c r="U820" s="38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38"/>
      <c r="R821" s="38"/>
      <c r="S821" s="38"/>
      <c r="T821" s="38"/>
      <c r="U821" s="38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38"/>
      <c r="R822" s="38"/>
      <c r="S822" s="38"/>
      <c r="T822" s="38"/>
      <c r="U822" s="38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38"/>
      <c r="R823" s="38"/>
      <c r="S823" s="38"/>
      <c r="T823" s="38"/>
      <c r="U823" s="38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38"/>
      <c r="R824" s="38"/>
      <c r="S824" s="38"/>
      <c r="T824" s="38"/>
      <c r="U824" s="38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38"/>
      <c r="R825" s="38"/>
      <c r="S825" s="38"/>
      <c r="T825" s="38"/>
      <c r="U825" s="38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38"/>
      <c r="R826" s="38"/>
      <c r="S826" s="38"/>
      <c r="T826" s="38"/>
      <c r="U826" s="38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38"/>
      <c r="R827" s="38"/>
      <c r="S827" s="38"/>
      <c r="T827" s="38"/>
      <c r="U827" s="38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38"/>
      <c r="R828" s="38"/>
      <c r="S828" s="38"/>
      <c r="T828" s="38"/>
      <c r="U828" s="38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38"/>
      <c r="R829" s="38"/>
      <c r="S829" s="38"/>
      <c r="T829" s="38"/>
      <c r="U829" s="38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38"/>
      <c r="R830" s="38"/>
      <c r="S830" s="38"/>
      <c r="T830" s="38"/>
      <c r="U830" s="38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38"/>
      <c r="R831" s="38"/>
      <c r="S831" s="38"/>
      <c r="T831" s="38"/>
      <c r="U831" s="38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38"/>
      <c r="R832" s="38"/>
      <c r="S832" s="38"/>
      <c r="T832" s="38"/>
      <c r="U832" s="38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38"/>
      <c r="R833" s="38"/>
      <c r="S833" s="38"/>
      <c r="T833" s="38"/>
      <c r="U833" s="38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38"/>
      <c r="R834" s="38"/>
      <c r="S834" s="38"/>
      <c r="T834" s="38"/>
      <c r="U834" s="38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38"/>
      <c r="R835" s="38"/>
      <c r="S835" s="38"/>
      <c r="T835" s="38"/>
      <c r="U835" s="38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38"/>
      <c r="R836" s="38"/>
      <c r="S836" s="38"/>
      <c r="T836" s="38"/>
      <c r="U836" s="38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38"/>
      <c r="R837" s="38"/>
      <c r="S837" s="38"/>
      <c r="T837" s="38"/>
      <c r="U837" s="38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38"/>
      <c r="R838" s="38"/>
      <c r="S838" s="38"/>
      <c r="T838" s="38"/>
      <c r="U838" s="38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38"/>
      <c r="R839" s="38"/>
      <c r="S839" s="38"/>
      <c r="T839" s="38"/>
      <c r="U839" s="38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38"/>
      <c r="R840" s="38"/>
      <c r="S840" s="38"/>
      <c r="T840" s="38"/>
      <c r="U840" s="38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38"/>
      <c r="R841" s="38"/>
      <c r="S841" s="38"/>
      <c r="T841" s="38"/>
      <c r="U841" s="38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38"/>
      <c r="R842" s="38"/>
      <c r="S842" s="38"/>
      <c r="T842" s="38"/>
      <c r="U842" s="38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38"/>
      <c r="R843" s="38"/>
      <c r="S843" s="38"/>
      <c r="T843" s="38"/>
      <c r="U843" s="38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38"/>
      <c r="R844" s="38"/>
      <c r="S844" s="38"/>
      <c r="T844" s="38"/>
      <c r="U844" s="38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38"/>
      <c r="R845" s="38"/>
      <c r="S845" s="38"/>
      <c r="T845" s="38"/>
      <c r="U845" s="38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38"/>
      <c r="R846" s="38"/>
      <c r="S846" s="38"/>
      <c r="T846" s="38"/>
      <c r="U846" s="38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38"/>
      <c r="R847" s="38"/>
      <c r="S847" s="38"/>
      <c r="T847" s="38"/>
      <c r="U847" s="38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38"/>
      <c r="R848" s="38"/>
      <c r="S848" s="38"/>
      <c r="T848" s="38"/>
      <c r="U848" s="38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38"/>
      <c r="R849" s="38"/>
      <c r="S849" s="38"/>
      <c r="T849" s="38"/>
      <c r="U849" s="38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38"/>
      <c r="R850" s="38"/>
      <c r="S850" s="38"/>
      <c r="T850" s="38"/>
      <c r="U850" s="38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38"/>
      <c r="R851" s="38"/>
      <c r="S851" s="38"/>
      <c r="T851" s="38"/>
      <c r="U851" s="38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38"/>
      <c r="R852" s="38"/>
      <c r="S852" s="38"/>
      <c r="T852" s="38"/>
      <c r="U852" s="38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38"/>
      <c r="R853" s="38"/>
      <c r="S853" s="38"/>
      <c r="T853" s="38"/>
      <c r="U853" s="38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38"/>
      <c r="R854" s="38"/>
      <c r="S854" s="38"/>
      <c r="T854" s="38"/>
      <c r="U854" s="38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38"/>
      <c r="R855" s="38"/>
      <c r="S855" s="38"/>
      <c r="T855" s="38"/>
      <c r="U855" s="38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38"/>
      <c r="R856" s="38"/>
      <c r="S856" s="38"/>
      <c r="T856" s="38"/>
      <c r="U856" s="38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38"/>
      <c r="R857" s="38"/>
      <c r="S857" s="38"/>
      <c r="T857" s="38"/>
      <c r="U857" s="38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38"/>
      <c r="R858" s="38"/>
      <c r="S858" s="38"/>
      <c r="T858" s="38"/>
      <c r="U858" s="38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38"/>
      <c r="R859" s="38"/>
      <c r="S859" s="38"/>
      <c r="T859" s="38"/>
      <c r="U859" s="38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38"/>
      <c r="R860" s="38"/>
      <c r="S860" s="38"/>
      <c r="T860" s="38"/>
      <c r="U860" s="38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38"/>
      <c r="R861" s="38"/>
      <c r="S861" s="38"/>
      <c r="T861" s="38"/>
      <c r="U861" s="38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38"/>
      <c r="R862" s="38"/>
      <c r="S862" s="38"/>
      <c r="T862" s="38"/>
      <c r="U862" s="38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38"/>
      <c r="R863" s="38"/>
      <c r="S863" s="38"/>
      <c r="T863" s="38"/>
      <c r="U863" s="38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38"/>
      <c r="R864" s="38"/>
      <c r="S864" s="38"/>
      <c r="T864" s="38"/>
      <c r="U864" s="38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38"/>
      <c r="R865" s="38"/>
      <c r="S865" s="38"/>
      <c r="T865" s="38"/>
      <c r="U865" s="38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38"/>
      <c r="R866" s="38"/>
      <c r="S866" s="38"/>
      <c r="T866" s="38"/>
      <c r="U866" s="38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38"/>
      <c r="R867" s="38"/>
      <c r="S867" s="38"/>
      <c r="T867" s="38"/>
      <c r="U867" s="38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38"/>
      <c r="R868" s="38"/>
      <c r="S868" s="38"/>
      <c r="T868" s="38"/>
      <c r="U868" s="38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38"/>
      <c r="R869" s="38"/>
      <c r="S869" s="38"/>
      <c r="T869" s="38"/>
      <c r="U869" s="38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38"/>
      <c r="R870" s="38"/>
      <c r="S870" s="38"/>
      <c r="T870" s="38"/>
      <c r="U870" s="38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38"/>
      <c r="R871" s="38"/>
      <c r="S871" s="38"/>
      <c r="T871" s="38"/>
      <c r="U871" s="38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38"/>
      <c r="R872" s="38"/>
      <c r="S872" s="38"/>
      <c r="T872" s="38"/>
      <c r="U872" s="38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38"/>
      <c r="R873" s="38"/>
      <c r="S873" s="38"/>
      <c r="T873" s="38"/>
      <c r="U873" s="38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38"/>
      <c r="R874" s="38"/>
      <c r="S874" s="38"/>
      <c r="T874" s="38"/>
      <c r="U874" s="38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38"/>
      <c r="R875" s="38"/>
      <c r="S875" s="38"/>
      <c r="T875" s="38"/>
      <c r="U875" s="38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38"/>
      <c r="R876" s="38"/>
      <c r="S876" s="38"/>
      <c r="T876" s="38"/>
      <c r="U876" s="38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38"/>
      <c r="R877" s="38"/>
      <c r="S877" s="38"/>
      <c r="T877" s="38"/>
      <c r="U877" s="38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38"/>
      <c r="R878" s="38"/>
      <c r="S878" s="38"/>
      <c r="T878" s="38"/>
      <c r="U878" s="38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38"/>
      <c r="R879" s="38"/>
      <c r="S879" s="38"/>
      <c r="T879" s="38"/>
      <c r="U879" s="38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38"/>
      <c r="R880" s="38"/>
      <c r="S880" s="38"/>
      <c r="T880" s="38"/>
      <c r="U880" s="38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38"/>
      <c r="R881" s="38"/>
      <c r="S881" s="38"/>
      <c r="T881" s="38"/>
      <c r="U881" s="38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38"/>
      <c r="R882" s="38"/>
      <c r="S882" s="38"/>
      <c r="T882" s="38"/>
      <c r="U882" s="38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38"/>
      <c r="R883" s="38"/>
      <c r="S883" s="38"/>
      <c r="T883" s="38"/>
      <c r="U883" s="38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38"/>
      <c r="R884" s="38"/>
      <c r="S884" s="38"/>
      <c r="T884" s="38"/>
      <c r="U884" s="38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38"/>
      <c r="R885" s="38"/>
      <c r="S885" s="38"/>
      <c r="T885" s="38"/>
      <c r="U885" s="38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38"/>
      <c r="R886" s="38"/>
      <c r="S886" s="38"/>
      <c r="T886" s="38"/>
      <c r="U886" s="38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38"/>
      <c r="R887" s="38"/>
      <c r="S887" s="38"/>
      <c r="T887" s="38"/>
      <c r="U887" s="38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38"/>
      <c r="R888" s="38"/>
      <c r="S888" s="38"/>
      <c r="T888" s="38"/>
      <c r="U888" s="38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38"/>
      <c r="R889" s="38"/>
      <c r="S889" s="38"/>
      <c r="T889" s="38"/>
      <c r="U889" s="38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38"/>
      <c r="R890" s="38"/>
      <c r="S890" s="38"/>
      <c r="T890" s="38"/>
      <c r="U890" s="38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38"/>
      <c r="R891" s="38"/>
      <c r="S891" s="38"/>
      <c r="T891" s="38"/>
      <c r="U891" s="38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38"/>
      <c r="R892" s="38"/>
      <c r="S892" s="38"/>
      <c r="T892" s="38"/>
      <c r="U892" s="38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38"/>
      <c r="R893" s="38"/>
      <c r="S893" s="38"/>
      <c r="T893" s="38"/>
      <c r="U893" s="38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38"/>
      <c r="R894" s="38"/>
      <c r="S894" s="38"/>
      <c r="T894" s="38"/>
      <c r="U894" s="38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38"/>
      <c r="R895" s="38"/>
      <c r="S895" s="38"/>
      <c r="T895" s="38"/>
      <c r="U895" s="38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38"/>
      <c r="R896" s="38"/>
      <c r="S896" s="38"/>
      <c r="T896" s="38"/>
      <c r="U896" s="38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38"/>
      <c r="R897" s="38"/>
      <c r="S897" s="38"/>
      <c r="T897" s="38"/>
      <c r="U897" s="38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38"/>
      <c r="R898" s="38"/>
      <c r="S898" s="38"/>
      <c r="T898" s="38"/>
      <c r="U898" s="38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38"/>
      <c r="R899" s="38"/>
      <c r="S899" s="38"/>
      <c r="T899" s="38"/>
      <c r="U899" s="38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38"/>
      <c r="R900" s="38"/>
      <c r="S900" s="38"/>
      <c r="T900" s="38"/>
      <c r="U900" s="38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38"/>
      <c r="R901" s="38"/>
      <c r="S901" s="38"/>
      <c r="T901" s="38"/>
      <c r="U901" s="38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38"/>
      <c r="R902" s="38"/>
      <c r="S902" s="38"/>
      <c r="T902" s="38"/>
      <c r="U902" s="38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38"/>
      <c r="R903" s="38"/>
      <c r="S903" s="38"/>
      <c r="T903" s="38"/>
      <c r="U903" s="38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38"/>
      <c r="R904" s="38"/>
      <c r="S904" s="38"/>
      <c r="T904" s="38"/>
      <c r="U904" s="38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38"/>
      <c r="R905" s="38"/>
      <c r="S905" s="38"/>
      <c r="T905" s="38"/>
      <c r="U905" s="38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38"/>
      <c r="R906" s="38"/>
      <c r="S906" s="38"/>
      <c r="T906" s="38"/>
      <c r="U906" s="38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38"/>
      <c r="R907" s="38"/>
      <c r="S907" s="38"/>
      <c r="T907" s="38"/>
      <c r="U907" s="38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38"/>
      <c r="R908" s="38"/>
      <c r="S908" s="38"/>
      <c r="T908" s="38"/>
      <c r="U908" s="38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38"/>
      <c r="R909" s="38"/>
      <c r="S909" s="38"/>
      <c r="T909" s="38"/>
      <c r="U909" s="38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38"/>
      <c r="R910" s="38"/>
      <c r="S910" s="38"/>
      <c r="T910" s="38"/>
      <c r="U910" s="38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38"/>
      <c r="R911" s="38"/>
      <c r="S911" s="38"/>
      <c r="T911" s="38"/>
      <c r="U911" s="38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38"/>
      <c r="R912" s="38"/>
      <c r="S912" s="38"/>
      <c r="T912" s="38"/>
      <c r="U912" s="38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38"/>
      <c r="R913" s="38"/>
      <c r="S913" s="38"/>
      <c r="T913" s="38"/>
      <c r="U913" s="38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38"/>
      <c r="R914" s="38"/>
      <c r="S914" s="38"/>
      <c r="T914" s="38"/>
      <c r="U914" s="38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38"/>
      <c r="R915" s="38"/>
      <c r="S915" s="38"/>
      <c r="T915" s="38"/>
      <c r="U915" s="38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38"/>
      <c r="R916" s="38"/>
      <c r="S916" s="38"/>
      <c r="T916" s="38"/>
      <c r="U916" s="38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38"/>
      <c r="R917" s="38"/>
      <c r="S917" s="38"/>
      <c r="T917" s="38"/>
      <c r="U917" s="38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38"/>
      <c r="R918" s="38"/>
      <c r="S918" s="38"/>
      <c r="T918" s="38"/>
      <c r="U918" s="38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38"/>
      <c r="R919" s="38"/>
      <c r="S919" s="38"/>
      <c r="T919" s="38"/>
      <c r="U919" s="38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38"/>
      <c r="R920" s="38"/>
      <c r="S920" s="38"/>
      <c r="T920" s="38"/>
      <c r="U920" s="38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38"/>
      <c r="R921" s="38"/>
      <c r="S921" s="38"/>
      <c r="T921" s="38"/>
      <c r="U921" s="38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38"/>
      <c r="R922" s="38"/>
      <c r="S922" s="38"/>
      <c r="T922" s="38"/>
      <c r="U922" s="38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38"/>
      <c r="R923" s="38"/>
      <c r="S923" s="38"/>
      <c r="T923" s="38"/>
      <c r="U923" s="38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38"/>
      <c r="R924" s="38"/>
      <c r="S924" s="38"/>
      <c r="T924" s="38"/>
      <c r="U924" s="38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38"/>
      <c r="R925" s="38"/>
      <c r="S925" s="38"/>
      <c r="T925" s="38"/>
      <c r="U925" s="38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38"/>
      <c r="R926" s="38"/>
      <c r="S926" s="38"/>
      <c r="T926" s="38"/>
      <c r="U926" s="38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38"/>
      <c r="R927" s="38"/>
      <c r="S927" s="38"/>
      <c r="T927" s="38"/>
      <c r="U927" s="38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38"/>
      <c r="R928" s="38"/>
      <c r="S928" s="38"/>
      <c r="T928" s="38"/>
      <c r="U928" s="38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38"/>
      <c r="R929" s="38"/>
      <c r="S929" s="38"/>
      <c r="T929" s="38"/>
      <c r="U929" s="38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38"/>
      <c r="R930" s="38"/>
      <c r="S930" s="38"/>
      <c r="T930" s="38"/>
      <c r="U930" s="38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38"/>
      <c r="R931" s="38"/>
      <c r="S931" s="38"/>
      <c r="T931" s="38"/>
      <c r="U931" s="38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38"/>
      <c r="R932" s="38"/>
      <c r="S932" s="38"/>
      <c r="T932" s="38"/>
      <c r="U932" s="38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38"/>
      <c r="R933" s="38"/>
      <c r="S933" s="38"/>
      <c r="T933" s="38"/>
      <c r="U933" s="38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38"/>
      <c r="R934" s="38"/>
      <c r="S934" s="38"/>
      <c r="T934" s="38"/>
      <c r="U934" s="38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38"/>
      <c r="R935" s="38"/>
      <c r="S935" s="38"/>
      <c r="T935" s="38"/>
      <c r="U935" s="38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38"/>
      <c r="R936" s="38"/>
      <c r="S936" s="38"/>
      <c r="T936" s="38"/>
      <c r="U936" s="38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38"/>
      <c r="R937" s="38"/>
      <c r="S937" s="38"/>
      <c r="T937" s="38"/>
      <c r="U937" s="38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38"/>
      <c r="R938" s="38"/>
      <c r="S938" s="38"/>
      <c r="T938" s="38"/>
      <c r="U938" s="38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38"/>
      <c r="R939" s="38"/>
      <c r="S939" s="38"/>
      <c r="T939" s="38"/>
      <c r="U939" s="38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38"/>
      <c r="R940" s="38"/>
      <c r="S940" s="38"/>
      <c r="T940" s="38"/>
      <c r="U940" s="38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38"/>
      <c r="R941" s="38"/>
      <c r="S941" s="38"/>
      <c r="T941" s="38"/>
      <c r="U941" s="38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38"/>
      <c r="R942" s="38"/>
      <c r="S942" s="38"/>
      <c r="T942" s="38"/>
      <c r="U942" s="38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38"/>
      <c r="R943" s="38"/>
      <c r="S943" s="38"/>
      <c r="T943" s="38"/>
      <c r="U943" s="38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38"/>
      <c r="R944" s="38"/>
      <c r="S944" s="38"/>
      <c r="T944" s="38"/>
      <c r="U944" s="38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38"/>
      <c r="R945" s="38"/>
      <c r="S945" s="38"/>
      <c r="T945" s="38"/>
      <c r="U945" s="38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38"/>
      <c r="R946" s="38"/>
      <c r="S946" s="38"/>
      <c r="T946" s="38"/>
      <c r="U946" s="38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38"/>
      <c r="R947" s="38"/>
      <c r="S947" s="38"/>
      <c r="T947" s="38"/>
      <c r="U947" s="38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38"/>
      <c r="R948" s="38"/>
      <c r="S948" s="38"/>
      <c r="T948" s="38"/>
      <c r="U948" s="38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38"/>
      <c r="R949" s="38"/>
      <c r="S949" s="38"/>
      <c r="T949" s="38"/>
      <c r="U949" s="38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38"/>
      <c r="R950" s="38"/>
      <c r="S950" s="38"/>
      <c r="T950" s="38"/>
      <c r="U950" s="38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38"/>
      <c r="R951" s="38"/>
      <c r="S951" s="38"/>
      <c r="T951" s="38"/>
      <c r="U951" s="38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38"/>
      <c r="R952" s="38"/>
      <c r="S952" s="38"/>
      <c r="T952" s="38"/>
      <c r="U952" s="38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38"/>
      <c r="R953" s="38"/>
      <c r="S953" s="38"/>
      <c r="T953" s="38"/>
      <c r="U953" s="38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38"/>
      <c r="R954" s="38"/>
      <c r="S954" s="38"/>
      <c r="T954" s="38"/>
      <c r="U954" s="38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38"/>
      <c r="R955" s="38"/>
      <c r="S955" s="38"/>
      <c r="T955" s="38"/>
      <c r="U955" s="38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38"/>
      <c r="R956" s="38"/>
      <c r="S956" s="38"/>
      <c r="T956" s="38"/>
      <c r="U956" s="38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38"/>
      <c r="R957" s="38"/>
      <c r="S957" s="38"/>
      <c r="T957" s="38"/>
      <c r="U957" s="38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38"/>
      <c r="R958" s="38"/>
      <c r="S958" s="38"/>
      <c r="T958" s="38"/>
      <c r="U958" s="38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38"/>
      <c r="R959" s="38"/>
      <c r="S959" s="38"/>
      <c r="T959" s="38"/>
      <c r="U959" s="38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38"/>
      <c r="R960" s="38"/>
      <c r="S960" s="38"/>
      <c r="T960" s="38"/>
      <c r="U960" s="38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38"/>
      <c r="R961" s="38"/>
      <c r="S961" s="38"/>
      <c r="T961" s="38"/>
      <c r="U961" s="38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38"/>
      <c r="R962" s="38"/>
      <c r="S962" s="38"/>
      <c r="T962" s="38"/>
      <c r="U962" s="38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38"/>
      <c r="R963" s="38"/>
      <c r="S963" s="38"/>
      <c r="T963" s="38"/>
      <c r="U963" s="38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38"/>
      <c r="R964" s="38"/>
      <c r="S964" s="38"/>
      <c r="T964" s="38"/>
      <c r="U964" s="38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38"/>
      <c r="R965" s="38"/>
      <c r="S965" s="38"/>
      <c r="T965" s="38"/>
      <c r="U965" s="38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38"/>
      <c r="R966" s="38"/>
      <c r="S966" s="38"/>
      <c r="T966" s="38"/>
      <c r="U966" s="38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38"/>
      <c r="R967" s="38"/>
      <c r="S967" s="38"/>
      <c r="T967" s="38"/>
      <c r="U967" s="38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38"/>
      <c r="R968" s="38"/>
      <c r="S968" s="38"/>
      <c r="T968" s="38"/>
      <c r="U968" s="38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38"/>
      <c r="R969" s="38"/>
      <c r="S969" s="38"/>
      <c r="T969" s="38"/>
      <c r="U969" s="38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38"/>
      <c r="R970" s="38"/>
      <c r="S970" s="38"/>
      <c r="T970" s="38"/>
      <c r="U970" s="38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38"/>
      <c r="R971" s="38"/>
      <c r="S971" s="38"/>
      <c r="T971" s="38"/>
      <c r="U971" s="38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38"/>
      <c r="R972" s="38"/>
      <c r="S972" s="38"/>
      <c r="T972" s="38"/>
      <c r="U972" s="38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38"/>
      <c r="R973" s="38"/>
      <c r="S973" s="38"/>
      <c r="T973" s="38"/>
      <c r="U973" s="38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38"/>
      <c r="R974" s="38"/>
      <c r="S974" s="38"/>
      <c r="T974" s="38"/>
      <c r="U974" s="38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38"/>
      <c r="R975" s="38"/>
      <c r="S975" s="38"/>
      <c r="T975" s="38"/>
      <c r="U975" s="38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38"/>
      <c r="R976" s="38"/>
      <c r="S976" s="38"/>
      <c r="T976" s="38"/>
      <c r="U976" s="38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38"/>
      <c r="R977" s="38"/>
      <c r="S977" s="38"/>
      <c r="T977" s="38"/>
      <c r="U977" s="38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38"/>
      <c r="R978" s="38"/>
      <c r="S978" s="38"/>
      <c r="T978" s="38"/>
      <c r="U978" s="38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38"/>
      <c r="R979" s="38"/>
      <c r="S979" s="38"/>
      <c r="T979" s="38"/>
      <c r="U979" s="38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38"/>
      <c r="R980" s="38"/>
      <c r="S980" s="38"/>
      <c r="T980" s="38"/>
      <c r="U980" s="38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38"/>
      <c r="R981" s="38"/>
      <c r="S981" s="38"/>
      <c r="T981" s="38"/>
      <c r="U981" s="38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38"/>
      <c r="R982" s="38"/>
      <c r="S982" s="38"/>
      <c r="T982" s="38"/>
      <c r="U982" s="38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38"/>
      <c r="R983" s="38"/>
      <c r="S983" s="38"/>
      <c r="T983" s="38"/>
      <c r="U983" s="38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38"/>
      <c r="R984" s="38"/>
      <c r="S984" s="38"/>
      <c r="T984" s="38"/>
      <c r="U984" s="38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38"/>
      <c r="R985" s="38"/>
      <c r="S985" s="38"/>
      <c r="T985" s="38"/>
      <c r="U985" s="38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38"/>
      <c r="R986" s="38"/>
      <c r="S986" s="38"/>
      <c r="T986" s="38"/>
      <c r="U986" s="38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38"/>
      <c r="R987" s="38"/>
      <c r="S987" s="38"/>
      <c r="T987" s="38"/>
      <c r="U987" s="38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38"/>
      <c r="R988" s="38"/>
      <c r="S988" s="38"/>
      <c r="T988" s="38"/>
      <c r="U988" s="38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38"/>
      <c r="R989" s="38"/>
      <c r="S989" s="38"/>
      <c r="T989" s="38"/>
      <c r="U989" s="38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38"/>
      <c r="R990" s="38"/>
      <c r="S990" s="38"/>
      <c r="T990" s="38"/>
      <c r="U990" s="38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38"/>
      <c r="R991" s="38"/>
      <c r="S991" s="38"/>
      <c r="T991" s="38"/>
      <c r="U991" s="38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38"/>
      <c r="R992" s="38"/>
      <c r="S992" s="38"/>
      <c r="T992" s="38"/>
      <c r="U992" s="38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38"/>
      <c r="R993" s="38"/>
      <c r="S993" s="38"/>
      <c r="T993" s="38"/>
      <c r="U993" s="38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38"/>
      <c r="R994" s="38"/>
      <c r="S994" s="38"/>
      <c r="T994" s="38"/>
      <c r="U994" s="38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38"/>
      <c r="R995" s="38"/>
      <c r="S995" s="38"/>
      <c r="T995" s="38"/>
      <c r="U995" s="38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38"/>
      <c r="R996" s="38"/>
      <c r="S996" s="38"/>
      <c r="T996" s="38"/>
      <c r="U996" s="38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38"/>
      <c r="R997" s="38"/>
      <c r="S997" s="38"/>
      <c r="T997" s="38"/>
      <c r="U997" s="38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38"/>
      <c r="R998" s="38"/>
      <c r="S998" s="38"/>
      <c r="T998" s="38"/>
      <c r="U998" s="38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38"/>
      <c r="R999" s="38"/>
      <c r="S999" s="38"/>
      <c r="T999" s="38"/>
      <c r="U999" s="38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38"/>
      <c r="R1000" s="38"/>
      <c r="S1000" s="38"/>
      <c r="T1000" s="38"/>
      <c r="U1000" s="38"/>
      <c r="V1000" s="9"/>
      <c r="W1000" s="9"/>
      <c r="X1000" s="9"/>
      <c r="Y1000" s="9"/>
      <c r="Z1000" s="9"/>
    </row>
  </sheetData>
  <conditionalFormatting sqref="J10:O10">
    <cfRule type="expression" dxfId="1" priority="1" stopIfTrue="1">
      <formula>IF(RIGHT(J$10,2)*1&gt;13,1,0)</formula>
    </cfRule>
  </conditionalFormatting>
  <printOptions/>
  <pageMargins bottom="1.0" footer="0.0" header="0.0" left="0.75" right="0.75" top="1.0"/>
  <pageSetup paperSize="9" orientation="landscape"/>
  <rowBreaks count="1" manualBreakCount="1">
    <brk id="4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2004-09-26T05:23:07Z</dcterms:created>
  <dc:creator>User</dc:creator>
</cp:coreProperties>
</file>