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5A06C7-31A9-4506-8B16-8C7FC2FB14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0" r:id="rId1"/>
    <sheet name="mapping" sheetId="2" r:id="rId2"/>
    <sheet name="Data" sheetId="1" r:id="rId3"/>
    <sheet name="Calculations" sheetId="5" r:id="rId4"/>
  </sheets>
  <definedNames>
    <definedName name="_xlnm._FilterDatabase" localSheetId="2" hidden="1">Data!$L$5:$L$1888</definedName>
    <definedName name="_xlnm._FilterDatabase" localSheetId="1" hidden="1">mapping!$S$5:$S$212</definedName>
    <definedName name="CodeHours">INDEX(tblSalaries[],,14)</definedName>
    <definedName name="Continent">INDEX(tblSalaries[],,13)</definedName>
    <definedName name="Country">INDEX(tblSalaries[],,10)</definedName>
    <definedName name="Graph2_Data">OFFSET(Graph2_ref,0,CHOOSE(Calculations!$AH$3,0,8),8,6)</definedName>
    <definedName name="Graph2_ref">Calculations!$AG$22</definedName>
    <definedName name="Graph3_Data">OFFSET(Graph3_ref,0,CHOOSE(Calculations!$AX$3,0,8),8,6)</definedName>
    <definedName name="Graph3_ref">Calculations!$AW$9</definedName>
    <definedName name="JobType">tblSalaries[Job Type]</definedName>
    <definedName name="lstCleanCountry">mapping!$AD$5:$AD$107</definedName>
    <definedName name="lstContinents">mapping!$AF$5:$AF$10</definedName>
    <definedName name="lstContinents2">mapping!$AF$15:$AF$20</definedName>
    <definedName name="lstGraph2">mapping!$AL$5:$AL$6</definedName>
    <definedName name="lstJobTypes">mapping!$AB$5:$AB$14</definedName>
    <definedName name="_xlnm.Print_Area" localSheetId="0">Dashboard!$A$1:$AO$41</definedName>
    <definedName name="rData">Calculations!$AH$35:$AL$41</definedName>
    <definedName name="Salaries">INDEX(tblSalaries[],,16)</definedName>
    <definedName name="tblHours">mapping!$AH$5:$AJ$10</definedName>
    <definedName name="WarningResponse">10</definedName>
    <definedName name="YearsExp">INDEX(tblSalaries[],,12)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6" i="5" l="1"/>
  <c r="X7" i="5" s="1"/>
  <c r="Y7" i="5" s="1"/>
  <c r="Z7" i="5" s="1"/>
  <c r="AA7" i="5" s="1"/>
  <c r="AB7" i="5" s="1"/>
  <c r="C6" i="5"/>
  <c r="D6" i="5" s="1"/>
  <c r="AG2" i="5"/>
  <c r="AH3" i="5" s="1"/>
  <c r="AW2" i="5"/>
  <c r="AX3" i="5" s="1"/>
  <c r="CE33" i="5"/>
  <c r="CJ33" i="5" s="1"/>
  <c r="CS33" i="5"/>
  <c r="CS32" i="5"/>
  <c r="CE18" i="5"/>
  <c r="CJ18" i="5" s="1"/>
  <c r="CE20" i="5"/>
  <c r="CO20" i="5" s="1"/>
  <c r="CE21" i="5"/>
  <c r="CO21" i="5" s="1"/>
  <c r="CE22" i="5"/>
  <c r="CO22" i="5" s="1"/>
  <c r="CE23" i="5"/>
  <c r="CO23" i="5" s="1"/>
  <c r="CE24" i="5"/>
  <c r="CO24" i="5" s="1"/>
  <c r="CE25" i="5"/>
  <c r="CO25" i="5" s="1"/>
  <c r="CE26" i="5"/>
  <c r="CO26" i="5" s="1"/>
  <c r="CE27" i="5"/>
  <c r="CO27" i="5" s="1"/>
  <c r="CE28" i="5"/>
  <c r="CO28" i="5" s="1"/>
  <c r="CE29" i="5"/>
  <c r="CO29" i="5" s="1"/>
  <c r="CE30" i="5"/>
  <c r="CO30" i="5" s="1"/>
  <c r="CE31" i="5"/>
  <c r="CJ31" i="5" s="1"/>
  <c r="CE32" i="5"/>
  <c r="CJ32" i="5" s="1"/>
  <c r="CE19" i="5"/>
  <c r="CO19" i="5" s="1"/>
  <c r="CC19" i="5"/>
  <c r="CM19" i="5" s="1"/>
  <c r="CC20" i="5"/>
  <c r="CM20" i="5" s="1"/>
  <c r="CC21" i="5"/>
  <c r="CM21" i="5" s="1"/>
  <c r="CV21" i="5" s="1"/>
  <c r="CC22" i="5"/>
  <c r="CM22" i="5" s="1"/>
  <c r="CC23" i="5"/>
  <c r="CM23" i="5" s="1"/>
  <c r="CC24" i="5"/>
  <c r="CM24" i="5" s="1"/>
  <c r="CC25" i="5"/>
  <c r="CM25" i="5" s="1"/>
  <c r="CC26" i="5"/>
  <c r="CM26" i="5" s="1"/>
  <c r="CC27" i="5"/>
  <c r="CM27" i="5" s="1"/>
  <c r="CC28" i="5"/>
  <c r="CM28" i="5" s="1"/>
  <c r="CC29" i="5"/>
  <c r="CM29" i="5" s="1"/>
  <c r="CC30" i="5"/>
  <c r="CM30" i="5" s="1"/>
  <c r="CC31" i="5"/>
  <c r="CM31" i="5" s="1"/>
  <c r="CC32" i="5"/>
  <c r="CM32" i="5" s="1"/>
  <c r="CC33" i="5"/>
  <c r="CM33" i="5" s="1"/>
  <c r="CC18" i="5"/>
  <c r="CM18" i="5" s="1"/>
  <c r="CB19" i="5"/>
  <c r="CG19" i="5" s="1"/>
  <c r="CB20" i="5"/>
  <c r="CL20" i="5" s="1"/>
  <c r="CB21" i="5"/>
  <c r="CL21" i="5" s="1"/>
  <c r="CB22" i="5"/>
  <c r="CL22" i="5" s="1"/>
  <c r="CB23" i="5"/>
  <c r="CL23" i="5" s="1"/>
  <c r="CB24" i="5"/>
  <c r="CL24" i="5" s="1"/>
  <c r="CB25" i="5"/>
  <c r="CL25" i="5" s="1"/>
  <c r="CB26" i="5"/>
  <c r="CL26" i="5" s="1"/>
  <c r="CB27" i="5"/>
  <c r="CL27" i="5" s="1"/>
  <c r="CB28" i="5"/>
  <c r="CL28" i="5" s="1"/>
  <c r="CB29" i="5"/>
  <c r="CL29" i="5" s="1"/>
  <c r="CB30" i="5"/>
  <c r="CL30" i="5" s="1"/>
  <c r="CB31" i="5"/>
  <c r="CL31" i="5" s="1"/>
  <c r="CB32" i="5"/>
  <c r="CL32" i="5" s="1"/>
  <c r="CB33" i="5"/>
  <c r="CL33" i="5" s="1"/>
  <c r="CB18" i="5"/>
  <c r="CG18" i="5" s="1"/>
  <c r="CD19" i="5"/>
  <c r="CN19" i="5" s="1"/>
  <c r="CD20" i="5"/>
  <c r="CN20" i="5" s="1"/>
  <c r="CD21" i="5"/>
  <c r="CN21" i="5" s="1"/>
  <c r="CD22" i="5"/>
  <c r="CN22" i="5" s="1"/>
  <c r="CD23" i="5"/>
  <c r="CN23" i="5" s="1"/>
  <c r="CD24" i="5"/>
  <c r="CN24" i="5" s="1"/>
  <c r="CD25" i="5"/>
  <c r="CN25" i="5" s="1"/>
  <c r="CD26" i="5"/>
  <c r="CN26" i="5" s="1"/>
  <c r="CD27" i="5"/>
  <c r="CN27" i="5" s="1"/>
  <c r="CD28" i="5"/>
  <c r="CN28" i="5" s="1"/>
  <c r="CD29" i="5"/>
  <c r="CI29" i="5" s="1"/>
  <c r="CD30" i="5"/>
  <c r="CN30" i="5" s="1"/>
  <c r="CD31" i="5"/>
  <c r="CN31" i="5" s="1"/>
  <c r="CD32" i="5"/>
  <c r="CN32" i="5" s="1"/>
  <c r="CD33" i="5"/>
  <c r="CN33" i="5" s="1"/>
  <c r="CD18" i="5"/>
  <c r="CN18" i="5" s="1"/>
  <c r="CS18" i="5"/>
  <c r="CS19" i="5"/>
  <c r="CS20" i="5"/>
  <c r="CS21" i="5"/>
  <c r="CS22" i="5"/>
  <c r="CS23" i="5"/>
  <c r="CS24" i="5"/>
  <c r="CS25" i="5"/>
  <c r="CS26" i="5"/>
  <c r="CS27" i="5"/>
  <c r="CS28" i="5"/>
  <c r="CS29" i="5"/>
  <c r="CS30" i="5"/>
  <c r="CS31" i="5"/>
  <c r="BO3" i="5"/>
  <c r="BR17" i="5" s="1"/>
  <c r="BL8" i="5"/>
  <c r="B14" i="10" s="1"/>
  <c r="CJ29" i="5" l="1"/>
  <c r="CJ27" i="5"/>
  <c r="CJ25" i="5"/>
  <c r="CJ23" i="5"/>
  <c r="CJ21" i="5"/>
  <c r="CJ19" i="5"/>
  <c r="CH32" i="5"/>
  <c r="CH30" i="5"/>
  <c r="CH28" i="5"/>
  <c r="CH26" i="5"/>
  <c r="CH24" i="5"/>
  <c r="CH22" i="5"/>
  <c r="CH20" i="5"/>
  <c r="CH33" i="5"/>
  <c r="CH31" i="5"/>
  <c r="CJ30" i="5"/>
  <c r="CH29" i="5"/>
  <c r="CJ28" i="5"/>
  <c r="CH27" i="5"/>
  <c r="CJ26" i="5"/>
  <c r="CH25" i="5"/>
  <c r="CJ24" i="5"/>
  <c r="CH23" i="5"/>
  <c r="CJ22" i="5"/>
  <c r="CH21" i="5"/>
  <c r="CQ21" i="5" s="1" a="1"/>
  <c r="CQ21" i="5" s="1"/>
  <c r="CU21" i="5" s="1"/>
  <c r="CJ20" i="5"/>
  <c r="CH19" i="5"/>
  <c r="CI33" i="5"/>
  <c r="CG33" i="5"/>
  <c r="CI32" i="5"/>
  <c r="CG32" i="5"/>
  <c r="CI31" i="5"/>
  <c r="CG31" i="5"/>
  <c r="CI30" i="5"/>
  <c r="CG30" i="5"/>
  <c r="CG29" i="5"/>
  <c r="CI28" i="5"/>
  <c r="CV28" i="5" s="1"/>
  <c r="CG28" i="5"/>
  <c r="CI27" i="5"/>
  <c r="CG27" i="5"/>
  <c r="CI26" i="5"/>
  <c r="CG26" i="5"/>
  <c r="CI25" i="5"/>
  <c r="CV25" i="5" s="1"/>
  <c r="CG25" i="5"/>
  <c r="CI24" i="5"/>
  <c r="CG24" i="5"/>
  <c r="CI23" i="5"/>
  <c r="CG23" i="5"/>
  <c r="CI22" i="5"/>
  <c r="CG22" i="5"/>
  <c r="CI21" i="5"/>
  <c r="CG21" i="5"/>
  <c r="CI20" i="5"/>
  <c r="CG20" i="5"/>
  <c r="CI19" i="5"/>
  <c r="CH18" i="5"/>
  <c r="CL18" i="5"/>
  <c r="CO18" i="5"/>
  <c r="CN29" i="5"/>
  <c r="CV29" i="5" s="1"/>
  <c r="CL19" i="5"/>
  <c r="CV19" i="5" s="1"/>
  <c r="CV30" i="5"/>
  <c r="CV24" i="5"/>
  <c r="CV20" i="5"/>
  <c r="CO33" i="5"/>
  <c r="CV33" i="5" s="1" a="1"/>
  <c r="CV33" i="5" s="1"/>
  <c r="CO32" i="5"/>
  <c r="CV32" i="5" s="1"/>
  <c r="CO31" i="5"/>
  <c r="CV31" i="5" s="1"/>
  <c r="CT31" i="5"/>
  <c r="CT33" i="5"/>
  <c r="CT32" i="5"/>
  <c r="CT29" i="5"/>
  <c r="CT27" i="5"/>
  <c r="CT25" i="5"/>
  <c r="CT23" i="5"/>
  <c r="CT21" i="5"/>
  <c r="CT19" i="5"/>
  <c r="CT30" i="5"/>
  <c r="CT28" i="5"/>
  <c r="CT26" i="5"/>
  <c r="CT24" i="5"/>
  <c r="CT22" i="5"/>
  <c r="CT20" i="5"/>
  <c r="CT18" i="5"/>
  <c r="CV27" i="5"/>
  <c r="CI18" i="5"/>
  <c r="CV22" i="5"/>
  <c r="BL9" i="5"/>
  <c r="CQ28" i="5" l="1" a="1"/>
  <c r="CQ28" i="5" s="1"/>
  <c r="CU28" i="5" s="1"/>
  <c r="CQ27" i="5" a="1"/>
  <c r="CQ27" i="5" s="1"/>
  <c r="CU27" i="5" s="1"/>
  <c r="CQ26" i="5" a="1"/>
  <c r="CQ26" i="5" s="1"/>
  <c r="CU26" i="5" s="1"/>
  <c r="CV26" i="5"/>
  <c r="CQ25" i="5" a="1"/>
  <c r="CQ25" i="5" s="1"/>
  <c r="CU25" i="5" s="1"/>
  <c r="BL10" i="5"/>
  <c r="B15" i="10"/>
  <c r="W7" i="2"/>
  <c r="W8" i="2"/>
  <c r="O138" i="2" s="1"/>
  <c r="P138" i="2" s="1"/>
  <c r="W9" i="2"/>
  <c r="W10" i="2"/>
  <c r="W11" i="2"/>
  <c r="W12" i="2"/>
  <c r="O130" i="2" s="1"/>
  <c r="P130" i="2" s="1"/>
  <c r="W13" i="2"/>
  <c r="O81" i="2" s="1"/>
  <c r="P81" i="2" s="1"/>
  <c r="W14" i="2"/>
  <c r="O9" i="2" s="1"/>
  <c r="P9" i="2" s="1"/>
  <c r="W15" i="2"/>
  <c r="O74" i="2" s="1"/>
  <c r="P74" i="2" s="1"/>
  <c r="W16" i="2"/>
  <c r="O76" i="2" s="1"/>
  <c r="P76" i="2" s="1"/>
  <c r="W17" i="2"/>
  <c r="W18" i="2"/>
  <c r="W19" i="2"/>
  <c r="O58" i="2" s="1"/>
  <c r="P58" i="2" s="1"/>
  <c r="W20" i="2"/>
  <c r="W21" i="2"/>
  <c r="W22" i="2"/>
  <c r="W23" i="2"/>
  <c r="W24" i="2"/>
  <c r="W25" i="2"/>
  <c r="W26" i="2"/>
  <c r="W27" i="2"/>
  <c r="W28" i="2"/>
  <c r="W29" i="2"/>
  <c r="O15" i="2" s="1"/>
  <c r="P15" i="2" s="1"/>
  <c r="W30" i="2"/>
  <c r="W31" i="2"/>
  <c r="O77" i="2" s="1"/>
  <c r="P77" i="2" s="1"/>
  <c r="W32" i="2"/>
  <c r="W33" i="2"/>
  <c r="W34" i="2"/>
  <c r="W35" i="2"/>
  <c r="W36" i="2"/>
  <c r="W37" i="2"/>
  <c r="O133" i="2" s="1"/>
  <c r="P133" i="2" s="1"/>
  <c r="W38" i="2"/>
  <c r="W39" i="2"/>
  <c r="W40" i="2"/>
  <c r="W41" i="2"/>
  <c r="W42" i="2"/>
  <c r="W43" i="2"/>
  <c r="O37" i="2" s="1"/>
  <c r="P37" i="2" s="1"/>
  <c r="W44" i="2"/>
  <c r="W45" i="2"/>
  <c r="W46" i="2"/>
  <c r="W47" i="2"/>
  <c r="W48" i="2"/>
  <c r="W49" i="2"/>
  <c r="O59" i="2" s="1"/>
  <c r="P59" i="2" s="1"/>
  <c r="W50" i="2"/>
  <c r="W51" i="2"/>
  <c r="O116" i="2" s="1"/>
  <c r="P116" i="2" s="1"/>
  <c r="W52" i="2"/>
  <c r="O33" i="2" s="1"/>
  <c r="P33" i="2" s="1"/>
  <c r="W53" i="2"/>
  <c r="W54" i="2"/>
  <c r="W55" i="2"/>
  <c r="O126" i="2" s="1"/>
  <c r="P126" i="2" s="1"/>
  <c r="W56" i="2"/>
  <c r="W57" i="2"/>
  <c r="W58" i="2"/>
  <c r="O134" i="2" s="1"/>
  <c r="P134" i="2" s="1"/>
  <c r="W59" i="2"/>
  <c r="W60" i="2"/>
  <c r="W61" i="2"/>
  <c r="W62" i="2"/>
  <c r="W63" i="2"/>
  <c r="O65" i="2" s="1"/>
  <c r="P65" i="2" s="1"/>
  <c r="W64" i="2"/>
  <c r="W65" i="2"/>
  <c r="W66" i="2"/>
  <c r="W67" i="2"/>
  <c r="O109" i="2" s="1"/>
  <c r="P109" i="2" s="1"/>
  <c r="W68" i="2"/>
  <c r="W69" i="2"/>
  <c r="W70" i="2"/>
  <c r="W71" i="2"/>
  <c r="O13" i="2" s="1"/>
  <c r="P13" i="2" s="1"/>
  <c r="W72" i="2"/>
  <c r="O117" i="2" s="1"/>
  <c r="P117" i="2" s="1"/>
  <c r="W73" i="2"/>
  <c r="O52" i="2" s="1"/>
  <c r="P52" i="2" s="1"/>
  <c r="W74" i="2"/>
  <c r="W75" i="2"/>
  <c r="W76" i="2"/>
  <c r="W77" i="2"/>
  <c r="W78" i="2"/>
  <c r="W79" i="2"/>
  <c r="W80" i="2"/>
  <c r="W81" i="2"/>
  <c r="O121" i="2" s="1"/>
  <c r="P121" i="2" s="1"/>
  <c r="W82" i="2"/>
  <c r="O32" i="2" s="1"/>
  <c r="P32" i="2" s="1"/>
  <c r="W83" i="2"/>
  <c r="O125" i="2" s="1"/>
  <c r="P125" i="2" s="1"/>
  <c r="W84" i="2"/>
  <c r="O7" i="2" s="1"/>
  <c r="P7" i="2" s="1"/>
  <c r="W85" i="2"/>
  <c r="O25" i="2" s="1"/>
  <c r="P25" i="2" s="1"/>
  <c r="W86" i="2"/>
  <c r="W87" i="2"/>
  <c r="W88" i="2"/>
  <c r="O34" i="2" s="1"/>
  <c r="P34" i="2" s="1"/>
  <c r="W89" i="2"/>
  <c r="O35" i="2" s="1"/>
  <c r="P35" i="2" s="1"/>
  <c r="W90" i="2"/>
  <c r="W91" i="2"/>
  <c r="W92" i="2"/>
  <c r="O49" i="2" s="1"/>
  <c r="P49" i="2" s="1"/>
  <c r="W93" i="2"/>
  <c r="W94" i="2"/>
  <c r="W95" i="2"/>
  <c r="O70" i="2" s="1"/>
  <c r="P70" i="2" s="1"/>
  <c r="W96" i="2"/>
  <c r="W97" i="2"/>
  <c r="W98" i="2"/>
  <c r="W99" i="2"/>
  <c r="O43" i="2" s="1"/>
  <c r="P43" i="2" s="1"/>
  <c r="W100" i="2"/>
  <c r="W101" i="2"/>
  <c r="W102" i="2"/>
  <c r="W103" i="2"/>
  <c r="W104" i="2"/>
  <c r="O139" i="2" s="1"/>
  <c r="P139" i="2" s="1"/>
  <c r="W105" i="2"/>
  <c r="W106" i="2"/>
  <c r="W107" i="2"/>
  <c r="O86" i="2" s="1"/>
  <c r="P86" i="2" s="1"/>
  <c r="W108" i="2"/>
  <c r="W109" i="2"/>
  <c r="W110" i="2"/>
  <c r="W111" i="2"/>
  <c r="W112" i="2"/>
  <c r="O110" i="2" s="1"/>
  <c r="P110" i="2" s="1"/>
  <c r="W113" i="2"/>
  <c r="W114" i="2"/>
  <c r="W115" i="2"/>
  <c r="W116" i="2"/>
  <c r="W117" i="2"/>
  <c r="O94" i="2" s="1"/>
  <c r="P94" i="2" s="1"/>
  <c r="W118" i="2"/>
  <c r="O61" i="2" s="1"/>
  <c r="P61" i="2" s="1"/>
  <c r="W119" i="2"/>
  <c r="W120" i="2"/>
  <c r="O98" i="2" s="1"/>
  <c r="P98" i="2" s="1"/>
  <c r="W121" i="2"/>
  <c r="O100" i="2" s="1"/>
  <c r="P100" i="2" s="1"/>
  <c r="W122" i="2"/>
  <c r="W123" i="2"/>
  <c r="O104" i="2" s="1"/>
  <c r="P104" i="2" s="1"/>
  <c r="W124" i="2"/>
  <c r="W125" i="2"/>
  <c r="W126" i="2"/>
  <c r="W127" i="2"/>
  <c r="O21" i="2" s="1"/>
  <c r="P21" i="2" s="1"/>
  <c r="W128" i="2"/>
  <c r="W129" i="2"/>
  <c r="W130" i="2"/>
  <c r="W131" i="2"/>
  <c r="O26" i="2" s="1"/>
  <c r="P26" i="2" s="1"/>
  <c r="W132" i="2"/>
  <c r="O128" i="2" s="1"/>
  <c r="P128" i="2" s="1"/>
  <c r="W133" i="2"/>
  <c r="O11" i="2" s="1"/>
  <c r="P11" i="2" s="1"/>
  <c r="W134" i="2"/>
  <c r="O54" i="2" s="1"/>
  <c r="P54" i="2" s="1"/>
  <c r="W135" i="2"/>
  <c r="W136" i="2"/>
  <c r="O136" i="2" s="1"/>
  <c r="P136" i="2" s="1"/>
  <c r="W137" i="2"/>
  <c r="O79" i="2" s="1"/>
  <c r="P79" i="2" s="1"/>
  <c r="W138" i="2"/>
  <c r="W139" i="2"/>
  <c r="O30" i="2" s="1"/>
  <c r="P30" i="2" s="1"/>
  <c r="W140" i="2"/>
  <c r="O19" i="2" s="1"/>
  <c r="P19" i="2" s="1"/>
  <c r="W141" i="2"/>
  <c r="O45" i="2" s="1"/>
  <c r="P45" i="2" s="1"/>
  <c r="W142" i="2"/>
  <c r="O29" i="2" s="1"/>
  <c r="P29" i="2" s="1"/>
  <c r="W143" i="2"/>
  <c r="O22" i="2" s="1"/>
  <c r="P22" i="2" s="1"/>
  <c r="W144" i="2"/>
  <c r="W145" i="2"/>
  <c r="W146" i="2"/>
  <c r="W147" i="2"/>
  <c r="W148" i="2"/>
  <c r="W149" i="2"/>
  <c r="W150" i="2"/>
  <c r="O23" i="2" s="1"/>
  <c r="P23" i="2" s="1"/>
  <c r="W151" i="2"/>
  <c r="W152" i="2"/>
  <c r="W153" i="2"/>
  <c r="W154" i="2"/>
  <c r="W155" i="2"/>
  <c r="O17" i="2" s="1"/>
  <c r="P17" i="2" s="1"/>
  <c r="W156" i="2"/>
  <c r="O73" i="2" s="1"/>
  <c r="P73" i="2" s="1"/>
  <c r="W157" i="2"/>
  <c r="O113" i="2" s="1"/>
  <c r="P113" i="2" s="1"/>
  <c r="W158" i="2"/>
  <c r="W159" i="2"/>
  <c r="O67" i="2" s="1"/>
  <c r="P67" i="2" s="1"/>
  <c r="W160" i="2"/>
  <c r="O20" i="2" s="1"/>
  <c r="P20" i="2" s="1"/>
  <c r="W161" i="2"/>
  <c r="O39" i="2" s="1"/>
  <c r="P39" i="2" s="1"/>
  <c r="W162" i="2"/>
  <c r="W163" i="2"/>
  <c r="W164" i="2"/>
  <c r="W165" i="2"/>
  <c r="O56" i="2" s="1"/>
  <c r="P56" i="2" s="1"/>
  <c r="W166" i="2"/>
  <c r="O38" i="2" s="1"/>
  <c r="P38" i="2" s="1"/>
  <c r="W167" i="2"/>
  <c r="W168" i="2"/>
  <c r="W169" i="2"/>
  <c r="W170" i="2"/>
  <c r="W171" i="2"/>
  <c r="O91" i="2" s="1"/>
  <c r="P91" i="2" s="1"/>
  <c r="W172" i="2"/>
  <c r="W173" i="2"/>
  <c r="W174" i="2"/>
  <c r="W175" i="2"/>
  <c r="O63" i="2" s="1"/>
  <c r="P63" i="2" s="1"/>
  <c r="W176" i="2"/>
  <c r="O55" i="2" s="1"/>
  <c r="P55" i="2" s="1"/>
  <c r="W177" i="2"/>
  <c r="W178" i="2"/>
  <c r="W179" i="2"/>
  <c r="W180" i="2"/>
  <c r="O42" i="2" s="1"/>
  <c r="P42" i="2" s="1"/>
  <c r="W181" i="2"/>
  <c r="O14" i="2" s="1"/>
  <c r="P14" i="2" s="1"/>
  <c r="W182" i="2"/>
  <c r="W183" i="2"/>
  <c r="O6" i="2" s="1"/>
  <c r="P6" i="2" s="1"/>
  <c r="W184" i="2"/>
  <c r="O69" i="2" s="1"/>
  <c r="P69" i="2" s="1"/>
  <c r="W185" i="2"/>
  <c r="W186" i="2"/>
  <c r="W187" i="2"/>
  <c r="W188" i="2"/>
  <c r="O97" i="2" s="1"/>
  <c r="P97" i="2" s="1"/>
  <c r="W189" i="2"/>
  <c r="W190" i="2"/>
  <c r="W191" i="2"/>
  <c r="O62" i="2" s="1"/>
  <c r="P62" i="2" s="1"/>
  <c r="W192" i="2"/>
  <c r="O82" i="2" s="1"/>
  <c r="P82" i="2" s="1"/>
  <c r="O8" i="2"/>
  <c r="P8" i="2" s="1"/>
  <c r="O41" i="2"/>
  <c r="P41" i="2" s="1"/>
  <c r="O48" i="2"/>
  <c r="P48" i="2" s="1"/>
  <c r="O66" i="2"/>
  <c r="P66" i="2" s="1"/>
  <c r="O68" i="2"/>
  <c r="P68" i="2" s="1"/>
  <c r="O85" i="2"/>
  <c r="P85" i="2" s="1"/>
  <c r="O87" i="2"/>
  <c r="P87" i="2" s="1"/>
  <c r="O90" i="2"/>
  <c r="P90" i="2" s="1"/>
  <c r="O92" i="2"/>
  <c r="P92" i="2" s="1"/>
  <c r="O93" i="2"/>
  <c r="P93" i="2" s="1"/>
  <c r="O101" i="2"/>
  <c r="P101" i="2" s="1"/>
  <c r="O103" i="2"/>
  <c r="P103" i="2" s="1"/>
  <c r="O106" i="2"/>
  <c r="P106" i="2" s="1"/>
  <c r="O107" i="2"/>
  <c r="P107" i="2" s="1"/>
  <c r="O108" i="2"/>
  <c r="P108" i="2" s="1"/>
  <c r="O112" i="2"/>
  <c r="P112" i="2" s="1"/>
  <c r="O123" i="2"/>
  <c r="P123" i="2" s="1"/>
  <c r="O127" i="2"/>
  <c r="P127" i="2" s="1"/>
  <c r="O135" i="2"/>
  <c r="P135" i="2" s="1"/>
  <c r="O137" i="2"/>
  <c r="P137" i="2" s="1"/>
  <c r="O40" i="2"/>
  <c r="P40" i="2" s="1"/>
  <c r="O111" i="2"/>
  <c r="P111" i="2" s="1"/>
  <c r="O115" i="2"/>
  <c r="P115" i="2" s="1"/>
  <c r="O95" i="2"/>
  <c r="P95" i="2" s="1"/>
  <c r="O57" i="2"/>
  <c r="P57" i="2" s="1"/>
  <c r="O96" i="2"/>
  <c r="P96" i="2" s="1"/>
  <c r="O99" i="2"/>
  <c r="P99" i="2" s="1"/>
  <c r="O47" i="2"/>
  <c r="P47" i="2" s="1"/>
  <c r="O75" i="2"/>
  <c r="P75" i="2" s="1"/>
  <c r="O44" i="2"/>
  <c r="P44" i="2" s="1"/>
  <c r="O31" i="2"/>
  <c r="P31" i="2" s="1"/>
  <c r="O84" i="2"/>
  <c r="P84" i="2" s="1"/>
  <c r="O102" i="2"/>
  <c r="P102" i="2" s="1"/>
  <c r="O16" i="2"/>
  <c r="P16" i="2" s="1"/>
  <c r="O46" i="2"/>
  <c r="P46" i="2" s="1"/>
  <c r="O18" i="2"/>
  <c r="P18" i="2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72" i="2" l="1"/>
  <c r="P72" i="2" s="1"/>
  <c r="O132" i="2"/>
  <c r="P132" i="2" s="1"/>
  <c r="O119" i="2"/>
  <c r="P119" i="2" s="1"/>
  <c r="O80" i="2"/>
  <c r="P80" i="2" s="1"/>
  <c r="O60" i="2"/>
  <c r="P60" i="2" s="1"/>
  <c r="O131" i="2"/>
  <c r="P131" i="2" s="1"/>
  <c r="O12" i="2"/>
  <c r="P12" i="2" s="1"/>
  <c r="O71" i="2"/>
  <c r="P71" i="2" s="1"/>
  <c r="O118" i="2"/>
  <c r="P118" i="2" s="1"/>
  <c r="O53" i="2"/>
  <c r="P53" i="2" s="1"/>
  <c r="O27" i="2"/>
  <c r="P27" i="2" s="1"/>
  <c r="O83" i="2"/>
  <c r="P83" i="2" s="1"/>
  <c r="O64" i="2"/>
  <c r="P64" i="2" s="1"/>
  <c r="CQ33" i="5" a="1"/>
  <c r="CQ33" i="5" s="1"/>
  <c r="CU33" i="5" s="1"/>
  <c r="CV3" i="5"/>
  <c r="E5" i="10" s="1"/>
  <c r="CV5" i="5"/>
  <c r="E7" i="10" s="1"/>
  <c r="CV6" i="5"/>
  <c r="E8" i="10" s="1"/>
  <c r="CV7" i="5"/>
  <c r="E9" i="10" s="1"/>
  <c r="CV4" i="5"/>
  <c r="E6" i="10" s="1"/>
  <c r="BL11" i="5"/>
  <c r="B16" i="10"/>
  <c r="O124" i="2"/>
  <c r="P124" i="2" s="1"/>
  <c r="O122" i="2"/>
  <c r="P122" i="2" s="1"/>
  <c r="O120" i="2"/>
  <c r="P120" i="2" s="1"/>
  <c r="O114" i="2"/>
  <c r="P114" i="2" s="1"/>
  <c r="O88" i="2"/>
  <c r="P88" i="2" s="1"/>
  <c r="O78" i="2"/>
  <c r="P78" i="2" s="1"/>
  <c r="O50" i="2"/>
  <c r="P50" i="2" s="1"/>
  <c r="O36" i="2"/>
  <c r="P36" i="2" s="1"/>
  <c r="O28" i="2"/>
  <c r="P28" i="2" s="1"/>
  <c r="O24" i="2"/>
  <c r="P24" i="2" s="1"/>
  <c r="O10" i="2"/>
  <c r="P10" i="2" s="1"/>
  <c r="O129" i="2"/>
  <c r="P129" i="2" s="1"/>
  <c r="O105" i="2"/>
  <c r="P105" i="2" s="1"/>
  <c r="O89" i="2"/>
  <c r="P89" i="2" s="1"/>
  <c r="O51" i="2"/>
  <c r="P51" i="2" s="1"/>
  <c r="BL12" i="5" l="1"/>
  <c r="B17" i="10"/>
  <c r="O6" i="5"/>
  <c r="O7" i="5" s="1"/>
  <c r="E4" i="5"/>
  <c r="D4" i="5"/>
  <c r="C5" i="5"/>
  <c r="D5" i="5" s="1"/>
  <c r="P7" i="5" l="1"/>
  <c r="Q7" i="5" s="1"/>
  <c r="B18" i="10"/>
  <c r="E5" i="5"/>
  <c r="R7" i="5" l="1"/>
  <c r="S7" i="5" s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BO19" i="5" l="1" a="1"/>
  <c r="BO19" i="5" s="1"/>
  <c r="BO21" i="5" a="1"/>
  <c r="BO21" i="5" s="1"/>
  <c r="BO23" i="5" a="1"/>
  <c r="BO23" i="5" s="1"/>
  <c r="BO25" i="5" a="1"/>
  <c r="BO25" i="5" s="1"/>
  <c r="BO27" i="5" a="1"/>
  <c r="BO27" i="5" s="1"/>
  <c r="BO29" i="5" a="1"/>
  <c r="BO29" i="5" s="1"/>
  <c r="BO31" i="5" a="1"/>
  <c r="BO31" i="5" s="1"/>
  <c r="BO33" i="5" a="1"/>
  <c r="BO33" i="5" s="1"/>
  <c r="BO35" i="5" a="1"/>
  <c r="BO35" i="5" s="1"/>
  <c r="BO37" i="5" a="1"/>
  <c r="BO37" i="5" s="1"/>
  <c r="BO39" i="5" a="1"/>
  <c r="BO39" i="5" s="1"/>
  <c r="BO41" i="5" a="1"/>
  <c r="BO41" i="5" s="1"/>
  <c r="BO43" i="5" a="1"/>
  <c r="BO43" i="5" s="1"/>
  <c r="BO45" i="5" a="1"/>
  <c r="BO45" i="5" s="1"/>
  <c r="BO47" i="5" a="1"/>
  <c r="BO47" i="5" s="1"/>
  <c r="BO49" i="5" a="1"/>
  <c r="BO49" i="5" s="1"/>
  <c r="BO51" i="5" a="1"/>
  <c r="BO51" i="5" s="1"/>
  <c r="BO53" i="5" a="1"/>
  <c r="BO53" i="5" s="1"/>
  <c r="BO55" i="5" a="1"/>
  <c r="BO55" i="5" s="1"/>
  <c r="BO57" i="5" a="1"/>
  <c r="BO57" i="5" s="1"/>
  <c r="BO59" i="5" a="1"/>
  <c r="BO59" i="5" s="1"/>
  <c r="BO61" i="5" a="1"/>
  <c r="BO61" i="5" s="1"/>
  <c r="BO63" i="5" a="1"/>
  <c r="BO63" i="5" s="1"/>
  <c r="BO65" i="5" a="1"/>
  <c r="BO65" i="5" s="1"/>
  <c r="BO67" i="5" a="1"/>
  <c r="BO67" i="5" s="1"/>
  <c r="BO69" i="5" a="1"/>
  <c r="BO69" i="5" s="1"/>
  <c r="BO71" i="5" a="1"/>
  <c r="BO71" i="5" s="1"/>
  <c r="BO73" i="5" a="1"/>
  <c r="BO73" i="5" s="1"/>
  <c r="BO75" i="5" a="1"/>
  <c r="BO75" i="5" s="1"/>
  <c r="BO77" i="5" a="1"/>
  <c r="BO77" i="5" s="1"/>
  <c r="BO79" i="5" a="1"/>
  <c r="BO79" i="5" s="1"/>
  <c r="BO81" i="5" a="1"/>
  <c r="BO81" i="5" s="1"/>
  <c r="BO83" i="5" a="1"/>
  <c r="BO83" i="5" s="1"/>
  <c r="BO85" i="5" a="1"/>
  <c r="BO85" i="5" s="1"/>
  <c r="BO87" i="5" a="1"/>
  <c r="BO87" i="5" s="1"/>
  <c r="BO89" i="5" a="1"/>
  <c r="BO89" i="5" s="1"/>
  <c r="BO91" i="5" a="1"/>
  <c r="BO91" i="5" s="1"/>
  <c r="BO93" i="5" a="1"/>
  <c r="BO93" i="5" s="1"/>
  <c r="BO95" i="5" a="1"/>
  <c r="BO95" i="5" s="1"/>
  <c r="BO97" i="5" a="1"/>
  <c r="BO97" i="5" s="1"/>
  <c r="BO99" i="5" a="1"/>
  <c r="BO99" i="5" s="1"/>
  <c r="BO101" i="5" a="1"/>
  <c r="BO101" i="5" s="1"/>
  <c r="BO104" i="5" a="1"/>
  <c r="BO104" i="5" s="1"/>
  <c r="BO106" i="5" a="1"/>
  <c r="BO106" i="5" s="1"/>
  <c r="BO108" i="5" a="1"/>
  <c r="BO108" i="5" s="1"/>
  <c r="BO110" i="5" a="1"/>
  <c r="BO110" i="5" s="1"/>
  <c r="BO112" i="5" a="1"/>
  <c r="BO112" i="5" s="1"/>
  <c r="BO114" i="5" a="1"/>
  <c r="BO114" i="5" s="1"/>
  <c r="BO116" i="5" a="1"/>
  <c r="BO116" i="5" s="1"/>
  <c r="BO118" i="5" a="1"/>
  <c r="BO118" i="5" s="1"/>
  <c r="BO120" i="5" a="1"/>
  <c r="BO120" i="5" s="1"/>
  <c r="BO48" i="5" a="1"/>
  <c r="BO48" i="5" s="1"/>
  <c r="BO52" i="5" a="1"/>
  <c r="BO52" i="5" s="1"/>
  <c r="BO56" i="5" a="1"/>
  <c r="BO56" i="5" s="1"/>
  <c r="BO60" i="5" a="1"/>
  <c r="BO60" i="5" s="1"/>
  <c r="BO64" i="5" a="1"/>
  <c r="BO64" i="5" s="1"/>
  <c r="BO68" i="5" a="1"/>
  <c r="BO68" i="5" s="1"/>
  <c r="BO72" i="5" a="1"/>
  <c r="BO72" i="5" s="1"/>
  <c r="BO76" i="5" a="1"/>
  <c r="BO76" i="5" s="1"/>
  <c r="BO80" i="5" a="1"/>
  <c r="BO80" i="5" s="1"/>
  <c r="BO84" i="5" a="1"/>
  <c r="BO84" i="5" s="1"/>
  <c r="BO88" i="5" a="1"/>
  <c r="BO88" i="5" s="1"/>
  <c r="BO92" i="5" a="1"/>
  <c r="BO92" i="5" s="1"/>
  <c r="BO96" i="5" a="1"/>
  <c r="BO96" i="5" s="1"/>
  <c r="BO100" i="5" a="1"/>
  <c r="BO100" i="5" s="1"/>
  <c r="BO105" i="5" a="1"/>
  <c r="BO105" i="5" s="1"/>
  <c r="BO109" i="5" a="1"/>
  <c r="BO109" i="5" s="1"/>
  <c r="BO113" i="5" a="1"/>
  <c r="BO113" i="5" s="1"/>
  <c r="BO117" i="5" a="1"/>
  <c r="BO117" i="5" s="1"/>
  <c r="BO18" i="5" a="1"/>
  <c r="BO18" i="5" s="1"/>
  <c r="BO20" i="5" a="1"/>
  <c r="BO20" i="5" s="1"/>
  <c r="BO22" i="5" a="1"/>
  <c r="BO22" i="5" s="1"/>
  <c r="BO24" i="5" a="1"/>
  <c r="BO24" i="5" s="1"/>
  <c r="BO26" i="5" a="1"/>
  <c r="BO26" i="5" s="1"/>
  <c r="BO28" i="5" a="1"/>
  <c r="BO28" i="5" s="1"/>
  <c r="BO30" i="5" a="1"/>
  <c r="BO30" i="5" s="1"/>
  <c r="BO32" i="5" a="1"/>
  <c r="BO32" i="5" s="1"/>
  <c r="BO34" i="5" a="1"/>
  <c r="BO34" i="5" s="1"/>
  <c r="BO36" i="5" a="1"/>
  <c r="BO36" i="5" s="1"/>
  <c r="BO38" i="5" a="1"/>
  <c r="BO38" i="5" s="1"/>
  <c r="BO40" i="5" a="1"/>
  <c r="BO40" i="5" s="1"/>
  <c r="BO42" i="5" a="1"/>
  <c r="BO42" i="5" s="1"/>
  <c r="BO44" i="5" a="1"/>
  <c r="BO44" i="5" s="1"/>
  <c r="BO46" i="5" a="1"/>
  <c r="BO46" i="5" s="1"/>
  <c r="BO50" i="5" a="1"/>
  <c r="BO50" i="5" s="1"/>
  <c r="BO54" i="5" a="1"/>
  <c r="BO54" i="5" s="1"/>
  <c r="BO58" i="5" a="1"/>
  <c r="BO58" i="5" s="1"/>
  <c r="BO62" i="5" a="1"/>
  <c r="BO62" i="5" s="1"/>
  <c r="BO66" i="5" a="1"/>
  <c r="BO66" i="5" s="1"/>
  <c r="BO70" i="5" a="1"/>
  <c r="BO70" i="5" s="1"/>
  <c r="BO74" i="5" a="1"/>
  <c r="BO74" i="5" s="1"/>
  <c r="BO78" i="5" a="1"/>
  <c r="BO78" i="5" s="1"/>
  <c r="BO82" i="5" a="1"/>
  <c r="BO82" i="5" s="1"/>
  <c r="BO86" i="5" a="1"/>
  <c r="BO86" i="5" s="1"/>
  <c r="BO90" i="5" a="1"/>
  <c r="BO90" i="5" s="1"/>
  <c r="BO94" i="5" a="1"/>
  <c r="BO94" i="5" s="1"/>
  <c r="BO98" i="5" a="1"/>
  <c r="BO98" i="5" s="1"/>
  <c r="BO102" i="5" a="1"/>
  <c r="BO102" i="5" s="1"/>
  <c r="BO107" i="5" a="1"/>
  <c r="BO107" i="5" s="1"/>
  <c r="BO111" i="5" a="1"/>
  <c r="BO111" i="5" s="1"/>
  <c r="BO115" i="5" a="1"/>
  <c r="BO115" i="5" s="1"/>
  <c r="BO119" i="5" a="1"/>
  <c r="BO119" i="5" s="1"/>
  <c r="BO103" i="5" a="1"/>
  <c r="BO103" i="5" s="1"/>
  <c r="BP20" i="5" a="1"/>
  <c r="BP20" i="5" s="1"/>
  <c r="BP22" i="5" a="1"/>
  <c r="BP22" i="5" s="1"/>
  <c r="BP24" i="5" a="1"/>
  <c r="BP24" i="5" s="1"/>
  <c r="BP26" i="5" a="1"/>
  <c r="BP26" i="5" s="1"/>
  <c r="BP28" i="5" a="1"/>
  <c r="BP28" i="5" s="1"/>
  <c r="BP30" i="5" a="1"/>
  <c r="BP30" i="5" s="1"/>
  <c r="BP32" i="5" a="1"/>
  <c r="BP32" i="5" s="1"/>
  <c r="BP34" i="5" a="1"/>
  <c r="BP34" i="5" s="1"/>
  <c r="BP36" i="5" a="1"/>
  <c r="BP36" i="5" s="1"/>
  <c r="BP38" i="5" a="1"/>
  <c r="BP38" i="5" s="1"/>
  <c r="BP40" i="5" a="1"/>
  <c r="BP40" i="5" s="1"/>
  <c r="BP42" i="5" a="1"/>
  <c r="BP42" i="5" s="1"/>
  <c r="BP44" i="5" a="1"/>
  <c r="BP44" i="5" s="1"/>
  <c r="BP46" i="5" a="1"/>
  <c r="BP46" i="5" s="1"/>
  <c r="BP48" i="5" a="1"/>
  <c r="BP48" i="5" s="1"/>
  <c r="BP50" i="5" a="1"/>
  <c r="BP50" i="5" s="1"/>
  <c r="BP52" i="5" a="1"/>
  <c r="BP52" i="5" s="1"/>
  <c r="BP54" i="5" a="1"/>
  <c r="BP54" i="5" s="1"/>
  <c r="BP56" i="5" a="1"/>
  <c r="BP56" i="5" s="1"/>
  <c r="BP58" i="5" a="1"/>
  <c r="BP58" i="5" s="1"/>
  <c r="BP60" i="5" a="1"/>
  <c r="BP60" i="5" s="1"/>
  <c r="BP62" i="5" a="1"/>
  <c r="BP62" i="5" s="1"/>
  <c r="BP64" i="5" a="1"/>
  <c r="BP64" i="5" s="1"/>
  <c r="BP66" i="5" a="1"/>
  <c r="BP66" i="5" s="1"/>
  <c r="BP68" i="5" a="1"/>
  <c r="BP68" i="5" s="1"/>
  <c r="BP70" i="5" a="1"/>
  <c r="BP70" i="5" s="1"/>
  <c r="BP72" i="5" a="1"/>
  <c r="BP72" i="5" s="1"/>
  <c r="BP74" i="5" a="1"/>
  <c r="BP74" i="5" s="1"/>
  <c r="BP76" i="5" a="1"/>
  <c r="BP76" i="5" s="1"/>
  <c r="BP78" i="5" a="1"/>
  <c r="BP78" i="5" s="1"/>
  <c r="BP80" i="5" a="1"/>
  <c r="BP80" i="5" s="1"/>
  <c r="BP82" i="5" a="1"/>
  <c r="BP82" i="5" s="1"/>
  <c r="BP84" i="5" a="1"/>
  <c r="BP84" i="5" s="1"/>
  <c r="BP86" i="5" a="1"/>
  <c r="BP86" i="5" s="1"/>
  <c r="BP19" i="5" a="1"/>
  <c r="BP19" i="5" s="1"/>
  <c r="BP21" i="5" a="1"/>
  <c r="BP21" i="5" s="1"/>
  <c r="BP23" i="5" a="1"/>
  <c r="BP23" i="5" s="1"/>
  <c r="BP25" i="5" a="1"/>
  <c r="BP25" i="5" s="1"/>
  <c r="BP27" i="5" a="1"/>
  <c r="BP27" i="5" s="1"/>
  <c r="BP29" i="5" a="1"/>
  <c r="BP29" i="5" s="1"/>
  <c r="BP31" i="5" a="1"/>
  <c r="BP31" i="5" s="1"/>
  <c r="BP33" i="5" a="1"/>
  <c r="BP33" i="5" s="1"/>
  <c r="BP35" i="5" a="1"/>
  <c r="BP35" i="5" s="1"/>
  <c r="BP37" i="5" a="1"/>
  <c r="BP37" i="5" s="1"/>
  <c r="BP39" i="5" a="1"/>
  <c r="BP39" i="5" s="1"/>
  <c r="BP41" i="5" a="1"/>
  <c r="BP41" i="5" s="1"/>
  <c r="BP43" i="5" a="1"/>
  <c r="BP43" i="5" s="1"/>
  <c r="BP45" i="5" a="1"/>
  <c r="BP45" i="5" s="1"/>
  <c r="BP47" i="5" a="1"/>
  <c r="BP47" i="5" s="1"/>
  <c r="BP49" i="5" a="1"/>
  <c r="BP49" i="5" s="1"/>
  <c r="BP51" i="5" a="1"/>
  <c r="BP51" i="5" s="1"/>
  <c r="BP53" i="5" a="1"/>
  <c r="BP53" i="5" s="1"/>
  <c r="BP55" i="5" a="1"/>
  <c r="BP55" i="5" s="1"/>
  <c r="BP57" i="5" a="1"/>
  <c r="BP57" i="5" s="1"/>
  <c r="BP59" i="5" a="1"/>
  <c r="BP59" i="5" s="1"/>
  <c r="BP61" i="5" a="1"/>
  <c r="BP61" i="5" s="1"/>
  <c r="BP63" i="5" a="1"/>
  <c r="BP63" i="5" s="1"/>
  <c r="BP65" i="5" a="1"/>
  <c r="BP65" i="5" s="1"/>
  <c r="BP67" i="5" a="1"/>
  <c r="BP67" i="5" s="1"/>
  <c r="BP69" i="5" a="1"/>
  <c r="BP69" i="5" s="1"/>
  <c r="BP71" i="5" a="1"/>
  <c r="BP71" i="5" s="1"/>
  <c r="BP73" i="5" a="1"/>
  <c r="BP73" i="5" s="1"/>
  <c r="BP75" i="5" a="1"/>
  <c r="BP75" i="5" s="1"/>
  <c r="BP77" i="5" a="1"/>
  <c r="BP77" i="5" s="1"/>
  <c r="BP79" i="5" a="1"/>
  <c r="BP79" i="5" s="1"/>
  <c r="BP81" i="5" a="1"/>
  <c r="BP81" i="5" s="1"/>
  <c r="BP83" i="5" a="1"/>
  <c r="BP83" i="5" s="1"/>
  <c r="BP85" i="5" a="1"/>
  <c r="BP85" i="5" s="1"/>
  <c r="BP87" i="5" a="1"/>
  <c r="BP87" i="5" s="1"/>
  <c r="BP89" i="5" a="1"/>
  <c r="BP89" i="5" s="1"/>
  <c r="BP91" i="5" a="1"/>
  <c r="BP91" i="5" s="1"/>
  <c r="BP93" i="5" a="1"/>
  <c r="BP93" i="5" s="1"/>
  <c r="BP95" i="5" a="1"/>
  <c r="BP95" i="5" s="1"/>
  <c r="BP97" i="5" a="1"/>
  <c r="BP97" i="5" s="1"/>
  <c r="BP99" i="5" a="1"/>
  <c r="BP99" i="5" s="1"/>
  <c r="BP101" i="5" a="1"/>
  <c r="BP101" i="5" s="1"/>
  <c r="BP103" i="5" a="1"/>
  <c r="BP103" i="5" s="1"/>
  <c r="BP105" i="5" a="1"/>
  <c r="BP105" i="5" s="1"/>
  <c r="BP107" i="5" a="1"/>
  <c r="BP107" i="5" s="1"/>
  <c r="BP109" i="5" a="1"/>
  <c r="BP109" i="5" s="1"/>
  <c r="BP111" i="5" a="1"/>
  <c r="BP111" i="5" s="1"/>
  <c r="BP113" i="5" a="1"/>
  <c r="BP113" i="5" s="1"/>
  <c r="BP115" i="5" a="1"/>
  <c r="BP115" i="5" s="1"/>
  <c r="BP117" i="5" a="1"/>
  <c r="BP117" i="5" s="1"/>
  <c r="BP119" i="5" a="1"/>
  <c r="BP119" i="5" s="1"/>
  <c r="BP18" i="5" a="1"/>
  <c r="BP18" i="5" s="1"/>
  <c r="BP88" i="5" a="1"/>
  <c r="BP88" i="5" s="1"/>
  <c r="BP90" i="5" a="1"/>
  <c r="BP90" i="5" s="1"/>
  <c r="BP92" i="5" a="1"/>
  <c r="BP92" i="5" s="1"/>
  <c r="BP94" i="5" a="1"/>
  <c r="BP94" i="5" s="1"/>
  <c r="BP96" i="5" a="1"/>
  <c r="BP96" i="5" s="1"/>
  <c r="BP98" i="5" a="1"/>
  <c r="BP98" i="5" s="1"/>
  <c r="BP100" i="5" a="1"/>
  <c r="BP100" i="5" s="1"/>
  <c r="BP102" i="5" a="1"/>
  <c r="BP102" i="5" s="1"/>
  <c r="BP104" i="5" a="1"/>
  <c r="BP104" i="5" s="1"/>
  <c r="BP106" i="5" a="1"/>
  <c r="BP106" i="5" s="1"/>
  <c r="BP108" i="5" a="1"/>
  <c r="BP108" i="5" s="1"/>
  <c r="BP110" i="5" a="1"/>
  <c r="BP110" i="5" s="1"/>
  <c r="BP112" i="5" a="1"/>
  <c r="BP112" i="5" s="1"/>
  <c r="BP114" i="5" a="1"/>
  <c r="BP114" i="5" s="1"/>
  <c r="BP116" i="5" a="1"/>
  <c r="BP116" i="5" s="1"/>
  <c r="BP118" i="5" a="1"/>
  <c r="BP118" i="5" s="1"/>
  <c r="BP120" i="5" a="1"/>
  <c r="BP120" i="5" s="1"/>
  <c r="N1887" i="1"/>
  <c r="P1887" i="1"/>
  <c r="N1883" i="1"/>
  <c r="P1883" i="1"/>
  <c r="N1879" i="1"/>
  <c r="P1879" i="1"/>
  <c r="N1877" i="1"/>
  <c r="P1877" i="1"/>
  <c r="N1875" i="1"/>
  <c r="P1875" i="1"/>
  <c r="N1873" i="1"/>
  <c r="P1873" i="1"/>
  <c r="N1871" i="1"/>
  <c r="P1871" i="1"/>
  <c r="N1869" i="1"/>
  <c r="P1869" i="1"/>
  <c r="N1867" i="1"/>
  <c r="P1867" i="1"/>
  <c r="N1865" i="1"/>
  <c r="P1865" i="1"/>
  <c r="N1863" i="1"/>
  <c r="P1863" i="1"/>
  <c r="N1861" i="1"/>
  <c r="P1861" i="1"/>
  <c r="N1859" i="1"/>
  <c r="P1859" i="1"/>
  <c r="N1857" i="1"/>
  <c r="P1857" i="1"/>
  <c r="N1855" i="1"/>
  <c r="P1855" i="1"/>
  <c r="N1853" i="1"/>
  <c r="P1853" i="1"/>
  <c r="N1851" i="1"/>
  <c r="P1851" i="1"/>
  <c r="N1847" i="1"/>
  <c r="P1847" i="1"/>
  <c r="N1827" i="1"/>
  <c r="P1827" i="1"/>
  <c r="N1823" i="1"/>
  <c r="P1823" i="1"/>
  <c r="N1819" i="1"/>
  <c r="P1819" i="1"/>
  <c r="N1813" i="1"/>
  <c r="P1813" i="1"/>
  <c r="N1809" i="1"/>
  <c r="P1809" i="1"/>
  <c r="N1805" i="1"/>
  <c r="P1805" i="1"/>
  <c r="N1803" i="1"/>
  <c r="P1803" i="1"/>
  <c r="N1801" i="1"/>
  <c r="P1801" i="1"/>
  <c r="N1799" i="1"/>
  <c r="P1799" i="1"/>
  <c r="N1797" i="1"/>
  <c r="P1797" i="1"/>
  <c r="N1795" i="1"/>
  <c r="P1795" i="1"/>
  <c r="N1793" i="1"/>
  <c r="P1793" i="1"/>
  <c r="N1789" i="1"/>
  <c r="P1789" i="1"/>
  <c r="N1783" i="1"/>
  <c r="P1783" i="1"/>
  <c r="N1781" i="1"/>
  <c r="P1781" i="1"/>
  <c r="N1775" i="1"/>
  <c r="P1775" i="1"/>
  <c r="N1771" i="1"/>
  <c r="P1771" i="1"/>
  <c r="N1767" i="1"/>
  <c r="P1767" i="1"/>
  <c r="N1763" i="1"/>
  <c r="P1763" i="1"/>
  <c r="N1759" i="1"/>
  <c r="P1759" i="1"/>
  <c r="N1757" i="1"/>
  <c r="P1757" i="1"/>
  <c r="N1755" i="1"/>
  <c r="P1755" i="1"/>
  <c r="N1743" i="1"/>
  <c r="P1743" i="1"/>
  <c r="N1737" i="1"/>
  <c r="P1737" i="1"/>
  <c r="N1733" i="1"/>
  <c r="P1733" i="1"/>
  <c r="N1885" i="1"/>
  <c r="P1885" i="1"/>
  <c r="N1881" i="1"/>
  <c r="P1881" i="1"/>
  <c r="N1849" i="1"/>
  <c r="P1849" i="1"/>
  <c r="N1845" i="1"/>
  <c r="P1845" i="1"/>
  <c r="N1843" i="1"/>
  <c r="P1843" i="1"/>
  <c r="N1841" i="1"/>
  <c r="P1841" i="1"/>
  <c r="N1839" i="1"/>
  <c r="P1839" i="1"/>
  <c r="N1837" i="1"/>
  <c r="P1837" i="1"/>
  <c r="N1835" i="1"/>
  <c r="P1835" i="1"/>
  <c r="N1833" i="1"/>
  <c r="P1833" i="1"/>
  <c r="N1831" i="1"/>
  <c r="P1831" i="1"/>
  <c r="N1829" i="1"/>
  <c r="P1829" i="1"/>
  <c r="N1825" i="1"/>
  <c r="P1825" i="1"/>
  <c r="N1821" i="1"/>
  <c r="P1821" i="1"/>
  <c r="N1817" i="1"/>
  <c r="P1817" i="1"/>
  <c r="N1815" i="1"/>
  <c r="P1815" i="1"/>
  <c r="N1811" i="1"/>
  <c r="P1811" i="1"/>
  <c r="N1807" i="1"/>
  <c r="P1807" i="1"/>
  <c r="N1791" i="1"/>
  <c r="P1791" i="1"/>
  <c r="N1787" i="1"/>
  <c r="P1787" i="1"/>
  <c r="N1785" i="1"/>
  <c r="P1785" i="1"/>
  <c r="N1779" i="1"/>
  <c r="P1779" i="1"/>
  <c r="N1777" i="1"/>
  <c r="P1777" i="1"/>
  <c r="N1773" i="1"/>
  <c r="P1773" i="1"/>
  <c r="N1769" i="1"/>
  <c r="P1769" i="1"/>
  <c r="N1765" i="1"/>
  <c r="P1765" i="1"/>
  <c r="N1761" i="1"/>
  <c r="P1761" i="1"/>
  <c r="N1753" i="1"/>
  <c r="P1753" i="1"/>
  <c r="N1751" i="1"/>
  <c r="P1751" i="1"/>
  <c r="N1749" i="1"/>
  <c r="P1749" i="1"/>
  <c r="N1747" i="1"/>
  <c r="P1747" i="1"/>
  <c r="N1745" i="1"/>
  <c r="P1745" i="1"/>
  <c r="N1741" i="1"/>
  <c r="P1741" i="1"/>
  <c r="N1739" i="1"/>
  <c r="P1739" i="1"/>
  <c r="N1735" i="1"/>
  <c r="P1735" i="1"/>
  <c r="N1731" i="1"/>
  <c r="P1731" i="1"/>
  <c r="N1725" i="1"/>
  <c r="P1725" i="1"/>
  <c r="N1721" i="1"/>
  <c r="P1721" i="1"/>
  <c r="N1717" i="1"/>
  <c r="P1717" i="1"/>
  <c r="N1711" i="1"/>
  <c r="P1711" i="1"/>
  <c r="N1709" i="1"/>
  <c r="P1709" i="1"/>
  <c r="N1707" i="1"/>
  <c r="P1707" i="1"/>
  <c r="N1705" i="1"/>
  <c r="P1705" i="1"/>
  <c r="N1703" i="1"/>
  <c r="P1703" i="1"/>
  <c r="N1701" i="1"/>
  <c r="P1701" i="1"/>
  <c r="N1699" i="1"/>
  <c r="P1699" i="1"/>
  <c r="N1697" i="1"/>
  <c r="P1697" i="1"/>
  <c r="N1695" i="1"/>
  <c r="P1695" i="1"/>
  <c r="N1691" i="1"/>
  <c r="P1691" i="1"/>
  <c r="N1689" i="1"/>
  <c r="P1689" i="1"/>
  <c r="N1687" i="1"/>
  <c r="P1687" i="1"/>
  <c r="N1683" i="1"/>
  <c r="P1683" i="1"/>
  <c r="N1679" i="1"/>
  <c r="P1679" i="1"/>
  <c r="N1677" i="1"/>
  <c r="P1677" i="1"/>
  <c r="N1675" i="1"/>
  <c r="P1675" i="1"/>
  <c r="N1673" i="1"/>
  <c r="P1673" i="1"/>
  <c r="N1671" i="1"/>
  <c r="P1671" i="1"/>
  <c r="N1669" i="1"/>
  <c r="P1669" i="1"/>
  <c r="N1663" i="1"/>
  <c r="P1663" i="1"/>
  <c r="N1661" i="1"/>
  <c r="P1661" i="1"/>
  <c r="N1659" i="1"/>
  <c r="P1659" i="1"/>
  <c r="N1655" i="1"/>
  <c r="P1655" i="1"/>
  <c r="N1653" i="1"/>
  <c r="P1653" i="1"/>
  <c r="N1651" i="1"/>
  <c r="P1651" i="1"/>
  <c r="N1647" i="1"/>
  <c r="P1647" i="1"/>
  <c r="N1645" i="1"/>
  <c r="P1645" i="1"/>
  <c r="N1643" i="1"/>
  <c r="P1643" i="1"/>
  <c r="N1635" i="1"/>
  <c r="P1635" i="1"/>
  <c r="N1631" i="1"/>
  <c r="P1631" i="1"/>
  <c r="N1627" i="1"/>
  <c r="P1627" i="1"/>
  <c r="N1623" i="1"/>
  <c r="P1623" i="1"/>
  <c r="N1619" i="1"/>
  <c r="P1619" i="1"/>
  <c r="N1617" i="1"/>
  <c r="P1617" i="1"/>
  <c r="N1611" i="1"/>
  <c r="P1611" i="1"/>
  <c r="N1609" i="1"/>
  <c r="P1609" i="1"/>
  <c r="N1607" i="1"/>
  <c r="P1607" i="1"/>
  <c r="N1605" i="1"/>
  <c r="P1605" i="1"/>
  <c r="N1601" i="1"/>
  <c r="P1601" i="1"/>
  <c r="N1597" i="1"/>
  <c r="P1597" i="1"/>
  <c r="N1593" i="1"/>
  <c r="P1593" i="1"/>
  <c r="N1589" i="1"/>
  <c r="P1589" i="1"/>
  <c r="N1563" i="1"/>
  <c r="P1563" i="1"/>
  <c r="N1547" i="1"/>
  <c r="P1547" i="1"/>
  <c r="N1545" i="1"/>
  <c r="P1545" i="1"/>
  <c r="N1541" i="1"/>
  <c r="P1541" i="1"/>
  <c r="N1537" i="1"/>
  <c r="P1537" i="1"/>
  <c r="N1531" i="1"/>
  <c r="P1531" i="1"/>
  <c r="N1527" i="1"/>
  <c r="P1527" i="1"/>
  <c r="N1517" i="1"/>
  <c r="P1517" i="1"/>
  <c r="N1515" i="1"/>
  <c r="P1515" i="1"/>
  <c r="N1513" i="1"/>
  <c r="P1513" i="1"/>
  <c r="N1511" i="1"/>
  <c r="P1511" i="1"/>
  <c r="N1509" i="1"/>
  <c r="P1509" i="1"/>
  <c r="N1507" i="1"/>
  <c r="P1507" i="1"/>
  <c r="N1505" i="1"/>
  <c r="P1505" i="1"/>
  <c r="N1503" i="1"/>
  <c r="P1503" i="1"/>
  <c r="N1501" i="1"/>
  <c r="P1501" i="1"/>
  <c r="N1499" i="1"/>
  <c r="P1499" i="1"/>
  <c r="N1497" i="1"/>
  <c r="P1497" i="1"/>
  <c r="N1495" i="1"/>
  <c r="P1495" i="1"/>
  <c r="N1491" i="1"/>
  <c r="P1491" i="1"/>
  <c r="N1487" i="1"/>
  <c r="P1487" i="1"/>
  <c r="N1485" i="1"/>
  <c r="P1485" i="1"/>
  <c r="N1483" i="1"/>
  <c r="P1483" i="1"/>
  <c r="N1481" i="1"/>
  <c r="P1481" i="1"/>
  <c r="N1477" i="1"/>
  <c r="P1477" i="1"/>
  <c r="N1473" i="1"/>
  <c r="P1473" i="1"/>
  <c r="N1469" i="1"/>
  <c r="P1469" i="1"/>
  <c r="N1465" i="1"/>
  <c r="P1465" i="1"/>
  <c r="N1463" i="1"/>
  <c r="P1463" i="1"/>
  <c r="N1461" i="1"/>
  <c r="P1461" i="1"/>
  <c r="N1459" i="1"/>
  <c r="P1459" i="1"/>
  <c r="N1457" i="1"/>
  <c r="P1457" i="1"/>
  <c r="N1455" i="1"/>
  <c r="P1455" i="1"/>
  <c r="N1451" i="1"/>
  <c r="P1451" i="1"/>
  <c r="N1447" i="1"/>
  <c r="P1447" i="1"/>
  <c r="N1443" i="1"/>
  <c r="P1443" i="1"/>
  <c r="N1439" i="1"/>
  <c r="P1439" i="1"/>
  <c r="N1431" i="1"/>
  <c r="P1431" i="1"/>
  <c r="N1429" i="1"/>
  <c r="P1429" i="1"/>
  <c r="N1427" i="1"/>
  <c r="P1427" i="1"/>
  <c r="N1425" i="1"/>
  <c r="P1425" i="1"/>
  <c r="N1423" i="1"/>
  <c r="P1423" i="1"/>
  <c r="N1421" i="1"/>
  <c r="P1421" i="1"/>
  <c r="N1419" i="1"/>
  <c r="P1419" i="1"/>
  <c r="N1417" i="1"/>
  <c r="P1417" i="1"/>
  <c r="N1415" i="1"/>
  <c r="P1415" i="1"/>
  <c r="N1413" i="1"/>
  <c r="P1413" i="1"/>
  <c r="N1411" i="1"/>
  <c r="P1411" i="1"/>
  <c r="N1409" i="1"/>
  <c r="P1409" i="1"/>
  <c r="N1407" i="1"/>
  <c r="P1407" i="1"/>
  <c r="N1405" i="1"/>
  <c r="P1405" i="1"/>
  <c r="N1403" i="1"/>
  <c r="P1403" i="1"/>
  <c r="N1401" i="1"/>
  <c r="P1401" i="1"/>
  <c r="N1399" i="1"/>
  <c r="P1399" i="1"/>
  <c r="N1397" i="1"/>
  <c r="P1397" i="1"/>
  <c r="N1395" i="1"/>
  <c r="P1395" i="1"/>
  <c r="N1393" i="1"/>
  <c r="P1393" i="1"/>
  <c r="N1391" i="1"/>
  <c r="P1391" i="1"/>
  <c r="N1389" i="1"/>
  <c r="P1389" i="1"/>
  <c r="N1387" i="1"/>
  <c r="P1387" i="1"/>
  <c r="N1385" i="1"/>
  <c r="P1385" i="1"/>
  <c r="N1383" i="1"/>
  <c r="P1383" i="1"/>
  <c r="N1381" i="1"/>
  <c r="P1381" i="1"/>
  <c r="N1379" i="1"/>
  <c r="P1379" i="1"/>
  <c r="N1377" i="1"/>
  <c r="P1377" i="1"/>
  <c r="N1375" i="1"/>
  <c r="P1375" i="1"/>
  <c r="N1373" i="1"/>
  <c r="P1373" i="1"/>
  <c r="N1371" i="1"/>
  <c r="P1371" i="1"/>
  <c r="N1369" i="1"/>
  <c r="P1369" i="1"/>
  <c r="N1367" i="1"/>
  <c r="P1367" i="1"/>
  <c r="N1365" i="1"/>
  <c r="P1365" i="1"/>
  <c r="N1363" i="1"/>
  <c r="P1363" i="1"/>
  <c r="N1361" i="1"/>
  <c r="P1361" i="1"/>
  <c r="N1359" i="1"/>
  <c r="P1359" i="1"/>
  <c r="N1357" i="1"/>
  <c r="P1357" i="1"/>
  <c r="N1355" i="1"/>
  <c r="P1355" i="1"/>
  <c r="N1353" i="1"/>
  <c r="P1353" i="1"/>
  <c r="N1351" i="1"/>
  <c r="P1351" i="1"/>
  <c r="N1349" i="1"/>
  <c r="P1349" i="1"/>
  <c r="N1347" i="1"/>
  <c r="P1347" i="1"/>
  <c r="N1345" i="1"/>
  <c r="P1345" i="1"/>
  <c r="N1343" i="1"/>
  <c r="P1343" i="1"/>
  <c r="N1341" i="1"/>
  <c r="P1341" i="1"/>
  <c r="N1339" i="1"/>
  <c r="P1339" i="1"/>
  <c r="N1337" i="1"/>
  <c r="P1337" i="1"/>
  <c r="N1335" i="1"/>
  <c r="P1335" i="1"/>
  <c r="N1333" i="1"/>
  <c r="P1333" i="1"/>
  <c r="N1331" i="1"/>
  <c r="P1331" i="1"/>
  <c r="N1329" i="1"/>
  <c r="P1329" i="1"/>
  <c r="N1327" i="1"/>
  <c r="P1327" i="1"/>
  <c r="N1325" i="1"/>
  <c r="P1325" i="1"/>
  <c r="N1323" i="1"/>
  <c r="P1323" i="1"/>
  <c r="N1321" i="1"/>
  <c r="P1321" i="1"/>
  <c r="N1319" i="1"/>
  <c r="P1319" i="1"/>
  <c r="N1317" i="1"/>
  <c r="P1317" i="1"/>
  <c r="N1315" i="1"/>
  <c r="P1315" i="1"/>
  <c r="N1313" i="1"/>
  <c r="P1313" i="1"/>
  <c r="N1311" i="1"/>
  <c r="P1311" i="1"/>
  <c r="N1309" i="1"/>
  <c r="P1309" i="1"/>
  <c r="N1307" i="1"/>
  <c r="P1307" i="1"/>
  <c r="N1305" i="1"/>
  <c r="P1305" i="1"/>
  <c r="N1303" i="1"/>
  <c r="P1303" i="1"/>
  <c r="N1301" i="1"/>
  <c r="P1301" i="1"/>
  <c r="N1299" i="1"/>
  <c r="P1299" i="1"/>
  <c r="N1297" i="1"/>
  <c r="P1297" i="1"/>
  <c r="N1295" i="1"/>
  <c r="P1295" i="1"/>
  <c r="N1293" i="1"/>
  <c r="P1293" i="1"/>
  <c r="N1291" i="1"/>
  <c r="P1291" i="1"/>
  <c r="N1289" i="1"/>
  <c r="P1289" i="1"/>
  <c r="N1287" i="1"/>
  <c r="P1287" i="1"/>
  <c r="N1285" i="1"/>
  <c r="P1285" i="1"/>
  <c r="N1283" i="1"/>
  <c r="P1283" i="1"/>
  <c r="N1281" i="1"/>
  <c r="P1281" i="1"/>
  <c r="N1279" i="1"/>
  <c r="P1279" i="1"/>
  <c r="N1277" i="1"/>
  <c r="P1277" i="1"/>
  <c r="N1275" i="1"/>
  <c r="P1275" i="1"/>
  <c r="N1273" i="1"/>
  <c r="P1273" i="1"/>
  <c r="N1271" i="1"/>
  <c r="P1271" i="1"/>
  <c r="N1269" i="1"/>
  <c r="P1269" i="1"/>
  <c r="N1267" i="1"/>
  <c r="P1267" i="1"/>
  <c r="N1265" i="1"/>
  <c r="P1265" i="1"/>
  <c r="N1263" i="1"/>
  <c r="P1263" i="1"/>
  <c r="N1261" i="1"/>
  <c r="P1261" i="1"/>
  <c r="N1259" i="1"/>
  <c r="P1259" i="1"/>
  <c r="N1257" i="1"/>
  <c r="P1257" i="1"/>
  <c r="N1255" i="1"/>
  <c r="P1255" i="1"/>
  <c r="N1253" i="1"/>
  <c r="P1253" i="1"/>
  <c r="N1251" i="1"/>
  <c r="P1251" i="1"/>
  <c r="N1249" i="1"/>
  <c r="P1249" i="1"/>
  <c r="N1247" i="1"/>
  <c r="P1247" i="1"/>
  <c r="N1245" i="1"/>
  <c r="P1245" i="1"/>
  <c r="N1243" i="1"/>
  <c r="P1243" i="1"/>
  <c r="N1241" i="1"/>
  <c r="P1241" i="1"/>
  <c r="N1239" i="1"/>
  <c r="P1239" i="1"/>
  <c r="N1237" i="1"/>
  <c r="P1237" i="1"/>
  <c r="N1235" i="1"/>
  <c r="P1235" i="1"/>
  <c r="N1233" i="1"/>
  <c r="P1233" i="1"/>
  <c r="N1231" i="1"/>
  <c r="P1231" i="1"/>
  <c r="N1229" i="1"/>
  <c r="P1229" i="1"/>
  <c r="N1227" i="1"/>
  <c r="P1227" i="1"/>
  <c r="N1225" i="1"/>
  <c r="P1225" i="1"/>
  <c r="N1223" i="1"/>
  <c r="P1223" i="1"/>
  <c r="N1221" i="1"/>
  <c r="P1221" i="1"/>
  <c r="N1219" i="1"/>
  <c r="P1219" i="1"/>
  <c r="N1217" i="1"/>
  <c r="P1217" i="1"/>
  <c r="N1215" i="1"/>
  <c r="P1215" i="1"/>
  <c r="N1213" i="1"/>
  <c r="P1213" i="1"/>
  <c r="N1211" i="1"/>
  <c r="P1211" i="1"/>
  <c r="N1209" i="1"/>
  <c r="P1209" i="1"/>
  <c r="N1207" i="1"/>
  <c r="P1207" i="1"/>
  <c r="N1205" i="1"/>
  <c r="P1205" i="1"/>
  <c r="N1203" i="1"/>
  <c r="P1203" i="1"/>
  <c r="N1201" i="1"/>
  <c r="P1201" i="1"/>
  <c r="N1199" i="1"/>
  <c r="P1199" i="1"/>
  <c r="N1197" i="1"/>
  <c r="P1197" i="1"/>
  <c r="N1195" i="1"/>
  <c r="P1195" i="1"/>
  <c r="N1193" i="1"/>
  <c r="P1193" i="1"/>
  <c r="N1191" i="1"/>
  <c r="P1191" i="1"/>
  <c r="N1189" i="1"/>
  <c r="P1189" i="1"/>
  <c r="N1187" i="1"/>
  <c r="P1187" i="1"/>
  <c r="N1185" i="1"/>
  <c r="P1185" i="1"/>
  <c r="N1183" i="1"/>
  <c r="P1183" i="1"/>
  <c r="N1181" i="1"/>
  <c r="P1181" i="1"/>
  <c r="N1179" i="1"/>
  <c r="P1179" i="1"/>
  <c r="N1177" i="1"/>
  <c r="P1177" i="1"/>
  <c r="N1175" i="1"/>
  <c r="P1175" i="1"/>
  <c r="N1173" i="1"/>
  <c r="P1173" i="1"/>
  <c r="N1171" i="1"/>
  <c r="P1171" i="1"/>
  <c r="N1169" i="1"/>
  <c r="P1169" i="1"/>
  <c r="N1167" i="1"/>
  <c r="P1167" i="1"/>
  <c r="N1165" i="1"/>
  <c r="P1165" i="1"/>
  <c r="N1163" i="1"/>
  <c r="P1163" i="1"/>
  <c r="N1161" i="1"/>
  <c r="P1161" i="1"/>
  <c r="N1159" i="1"/>
  <c r="P1159" i="1"/>
  <c r="N1157" i="1"/>
  <c r="P1157" i="1"/>
  <c r="N1155" i="1"/>
  <c r="P1155" i="1"/>
  <c r="N1153" i="1"/>
  <c r="P1153" i="1"/>
  <c r="N1151" i="1"/>
  <c r="P1151" i="1"/>
  <c r="N1149" i="1"/>
  <c r="P1149" i="1"/>
  <c r="N1147" i="1"/>
  <c r="P1147" i="1"/>
  <c r="N1145" i="1"/>
  <c r="P1145" i="1"/>
  <c r="N1143" i="1"/>
  <c r="P1143" i="1"/>
  <c r="N1141" i="1"/>
  <c r="P1141" i="1"/>
  <c r="N1139" i="1"/>
  <c r="P1139" i="1"/>
  <c r="N1137" i="1"/>
  <c r="P1137" i="1"/>
  <c r="N1135" i="1"/>
  <c r="P1135" i="1"/>
  <c r="N1133" i="1"/>
  <c r="P1133" i="1"/>
  <c r="N1131" i="1"/>
  <c r="P1131" i="1"/>
  <c r="N1129" i="1"/>
  <c r="P1129" i="1"/>
  <c r="N1127" i="1"/>
  <c r="P1127" i="1"/>
  <c r="N1125" i="1"/>
  <c r="P1125" i="1"/>
  <c r="N1123" i="1"/>
  <c r="P1123" i="1"/>
  <c r="N1121" i="1"/>
  <c r="P1121" i="1"/>
  <c r="N1119" i="1"/>
  <c r="P1119" i="1"/>
  <c r="N1117" i="1"/>
  <c r="P1117" i="1"/>
  <c r="N1115" i="1"/>
  <c r="P1115" i="1"/>
  <c r="N1113" i="1"/>
  <c r="P1113" i="1"/>
  <c r="N1111" i="1"/>
  <c r="P1111" i="1"/>
  <c r="N1109" i="1"/>
  <c r="P1109" i="1"/>
  <c r="N1107" i="1"/>
  <c r="P1107" i="1"/>
  <c r="N1105" i="1"/>
  <c r="P1105" i="1"/>
  <c r="N1103" i="1"/>
  <c r="P1103" i="1"/>
  <c r="N1101" i="1"/>
  <c r="P1101" i="1"/>
  <c r="N1099" i="1"/>
  <c r="P1099" i="1"/>
  <c r="N1097" i="1"/>
  <c r="P1097" i="1"/>
  <c r="N1095" i="1"/>
  <c r="P1095" i="1"/>
  <c r="N1093" i="1"/>
  <c r="P1093" i="1"/>
  <c r="N1091" i="1"/>
  <c r="P1091" i="1"/>
  <c r="N1089" i="1"/>
  <c r="P1089" i="1"/>
  <c r="N1087" i="1"/>
  <c r="P1087" i="1"/>
  <c r="N1085" i="1"/>
  <c r="P1085" i="1"/>
  <c r="N1083" i="1"/>
  <c r="P1083" i="1"/>
  <c r="N1081" i="1"/>
  <c r="P1081" i="1"/>
  <c r="N1079" i="1"/>
  <c r="P1079" i="1"/>
  <c r="N1077" i="1"/>
  <c r="P1077" i="1"/>
  <c r="N1075" i="1"/>
  <c r="P1075" i="1"/>
  <c r="N1073" i="1"/>
  <c r="P1073" i="1"/>
  <c r="N1071" i="1"/>
  <c r="P1071" i="1"/>
  <c r="N1069" i="1"/>
  <c r="P1069" i="1"/>
  <c r="N1067" i="1"/>
  <c r="P1067" i="1"/>
  <c r="N1065" i="1"/>
  <c r="P1065" i="1"/>
  <c r="N1063" i="1"/>
  <c r="P1063" i="1"/>
  <c r="N1061" i="1"/>
  <c r="P1061" i="1"/>
  <c r="N1059" i="1"/>
  <c r="P1059" i="1"/>
  <c r="N1057" i="1"/>
  <c r="P1057" i="1"/>
  <c r="N1055" i="1"/>
  <c r="P1055" i="1"/>
  <c r="N1053" i="1"/>
  <c r="P1053" i="1"/>
  <c r="N1051" i="1"/>
  <c r="P1051" i="1"/>
  <c r="N1049" i="1"/>
  <c r="P1049" i="1"/>
  <c r="N1047" i="1"/>
  <c r="P1047" i="1"/>
  <c r="N1045" i="1"/>
  <c r="P1045" i="1"/>
  <c r="N1043" i="1"/>
  <c r="P1043" i="1"/>
  <c r="N1041" i="1"/>
  <c r="P1041" i="1"/>
  <c r="N1039" i="1"/>
  <c r="P1039" i="1"/>
  <c r="N1037" i="1"/>
  <c r="P1037" i="1"/>
  <c r="N1035" i="1"/>
  <c r="P1035" i="1"/>
  <c r="N1033" i="1"/>
  <c r="P1033" i="1"/>
  <c r="N1031" i="1"/>
  <c r="P1031" i="1"/>
  <c r="N1029" i="1"/>
  <c r="P1029" i="1"/>
  <c r="N1027" i="1"/>
  <c r="P1027" i="1"/>
  <c r="N1025" i="1"/>
  <c r="P1025" i="1"/>
  <c r="N1023" i="1"/>
  <c r="P1023" i="1"/>
  <c r="N1021" i="1"/>
  <c r="P1021" i="1"/>
  <c r="N1019" i="1"/>
  <c r="P1019" i="1"/>
  <c r="N1017" i="1"/>
  <c r="P1017" i="1"/>
  <c r="N1015" i="1"/>
  <c r="P1015" i="1"/>
  <c r="N1013" i="1"/>
  <c r="P1013" i="1"/>
  <c r="N1011" i="1"/>
  <c r="P1011" i="1"/>
  <c r="N1009" i="1"/>
  <c r="P1009" i="1"/>
  <c r="N1007" i="1"/>
  <c r="P1007" i="1"/>
  <c r="N1005" i="1"/>
  <c r="P1005" i="1"/>
  <c r="N1003" i="1"/>
  <c r="P1003" i="1"/>
  <c r="N1001" i="1"/>
  <c r="P1001" i="1"/>
  <c r="N999" i="1"/>
  <c r="P999" i="1"/>
  <c r="N997" i="1"/>
  <c r="P997" i="1"/>
  <c r="N995" i="1"/>
  <c r="P995" i="1"/>
  <c r="N993" i="1"/>
  <c r="P993" i="1"/>
  <c r="N991" i="1"/>
  <c r="P991" i="1"/>
  <c r="N989" i="1"/>
  <c r="P989" i="1"/>
  <c r="N987" i="1"/>
  <c r="P987" i="1"/>
  <c r="N985" i="1"/>
  <c r="P985" i="1"/>
  <c r="N983" i="1"/>
  <c r="P983" i="1"/>
  <c r="N981" i="1"/>
  <c r="P981" i="1"/>
  <c r="N979" i="1"/>
  <c r="P979" i="1"/>
  <c r="N977" i="1"/>
  <c r="P977" i="1"/>
  <c r="N975" i="1"/>
  <c r="P975" i="1"/>
  <c r="N973" i="1"/>
  <c r="P973" i="1"/>
  <c r="N971" i="1"/>
  <c r="P971" i="1"/>
  <c r="N969" i="1"/>
  <c r="P969" i="1"/>
  <c r="N967" i="1"/>
  <c r="P967" i="1"/>
  <c r="N965" i="1"/>
  <c r="P965" i="1"/>
  <c r="N963" i="1"/>
  <c r="P963" i="1"/>
  <c r="N961" i="1"/>
  <c r="P961" i="1"/>
  <c r="N959" i="1"/>
  <c r="P959" i="1"/>
  <c r="N957" i="1"/>
  <c r="P957" i="1"/>
  <c r="N955" i="1"/>
  <c r="P955" i="1"/>
  <c r="N953" i="1"/>
  <c r="P953" i="1"/>
  <c r="N951" i="1"/>
  <c r="P951" i="1"/>
  <c r="N949" i="1"/>
  <c r="P949" i="1"/>
  <c r="N947" i="1"/>
  <c r="P947" i="1"/>
  <c r="N945" i="1"/>
  <c r="P945" i="1"/>
  <c r="N943" i="1"/>
  <c r="P943" i="1"/>
  <c r="N941" i="1"/>
  <c r="P941" i="1"/>
  <c r="N939" i="1"/>
  <c r="P939" i="1"/>
  <c r="N937" i="1"/>
  <c r="P937" i="1"/>
  <c r="N935" i="1"/>
  <c r="P935" i="1"/>
  <c r="N933" i="1"/>
  <c r="P933" i="1"/>
  <c r="N931" i="1"/>
  <c r="P931" i="1"/>
  <c r="N929" i="1"/>
  <c r="P929" i="1"/>
  <c r="N927" i="1"/>
  <c r="P927" i="1"/>
  <c r="N925" i="1"/>
  <c r="P925" i="1"/>
  <c r="N923" i="1"/>
  <c r="P923" i="1"/>
  <c r="N921" i="1"/>
  <c r="P921" i="1"/>
  <c r="N919" i="1"/>
  <c r="P919" i="1"/>
  <c r="N917" i="1"/>
  <c r="P917" i="1"/>
  <c r="N915" i="1"/>
  <c r="P915" i="1"/>
  <c r="N913" i="1"/>
  <c r="P913" i="1"/>
  <c r="N911" i="1"/>
  <c r="P911" i="1"/>
  <c r="N909" i="1"/>
  <c r="P909" i="1"/>
  <c r="N907" i="1"/>
  <c r="P907" i="1"/>
  <c r="N905" i="1"/>
  <c r="P905" i="1"/>
  <c r="N903" i="1"/>
  <c r="P903" i="1"/>
  <c r="N901" i="1"/>
  <c r="P901" i="1"/>
  <c r="N899" i="1"/>
  <c r="P899" i="1"/>
  <c r="N897" i="1"/>
  <c r="P897" i="1"/>
  <c r="N895" i="1"/>
  <c r="P895" i="1"/>
  <c r="N893" i="1"/>
  <c r="P893" i="1"/>
  <c r="N891" i="1"/>
  <c r="P891" i="1"/>
  <c r="N889" i="1"/>
  <c r="P889" i="1"/>
  <c r="N887" i="1"/>
  <c r="P887" i="1"/>
  <c r="N885" i="1"/>
  <c r="P885" i="1"/>
  <c r="N883" i="1"/>
  <c r="P883" i="1"/>
  <c r="N881" i="1"/>
  <c r="P881" i="1"/>
  <c r="N879" i="1"/>
  <c r="P879" i="1"/>
  <c r="N877" i="1"/>
  <c r="P877" i="1"/>
  <c r="N875" i="1"/>
  <c r="P875" i="1"/>
  <c r="N873" i="1"/>
  <c r="P873" i="1"/>
  <c r="N871" i="1"/>
  <c r="P871" i="1"/>
  <c r="N869" i="1"/>
  <c r="P869" i="1"/>
  <c r="N867" i="1"/>
  <c r="P867" i="1"/>
  <c r="N865" i="1"/>
  <c r="P865" i="1"/>
  <c r="N863" i="1"/>
  <c r="P863" i="1"/>
  <c r="N861" i="1"/>
  <c r="P861" i="1"/>
  <c r="N859" i="1"/>
  <c r="P859" i="1"/>
  <c r="N857" i="1"/>
  <c r="P857" i="1"/>
  <c r="N855" i="1"/>
  <c r="P855" i="1"/>
  <c r="N853" i="1"/>
  <c r="P853" i="1"/>
  <c r="N851" i="1"/>
  <c r="P851" i="1"/>
  <c r="N849" i="1"/>
  <c r="P849" i="1"/>
  <c r="N847" i="1"/>
  <c r="P847" i="1"/>
  <c r="N845" i="1"/>
  <c r="P845" i="1"/>
  <c r="N843" i="1"/>
  <c r="P843" i="1"/>
  <c r="N841" i="1"/>
  <c r="P841" i="1"/>
  <c r="N839" i="1"/>
  <c r="P839" i="1"/>
  <c r="N837" i="1"/>
  <c r="P837" i="1"/>
  <c r="N835" i="1"/>
  <c r="P835" i="1"/>
  <c r="N833" i="1"/>
  <c r="P833" i="1"/>
  <c r="N831" i="1"/>
  <c r="P831" i="1"/>
  <c r="N829" i="1"/>
  <c r="P829" i="1"/>
  <c r="N827" i="1"/>
  <c r="P827" i="1"/>
  <c r="N825" i="1"/>
  <c r="P825" i="1"/>
  <c r="N823" i="1"/>
  <c r="P823" i="1"/>
  <c r="N821" i="1"/>
  <c r="P821" i="1"/>
  <c r="N819" i="1"/>
  <c r="P819" i="1"/>
  <c r="N817" i="1"/>
  <c r="P817" i="1"/>
  <c r="N815" i="1"/>
  <c r="P815" i="1"/>
  <c r="N813" i="1"/>
  <c r="P813" i="1"/>
  <c r="N811" i="1"/>
  <c r="P811" i="1"/>
  <c r="N809" i="1"/>
  <c r="P809" i="1"/>
  <c r="N807" i="1"/>
  <c r="P807" i="1"/>
  <c r="N805" i="1"/>
  <c r="P805" i="1"/>
  <c r="N803" i="1"/>
  <c r="P803" i="1"/>
  <c r="N801" i="1"/>
  <c r="P801" i="1"/>
  <c r="N799" i="1"/>
  <c r="P799" i="1"/>
  <c r="N797" i="1"/>
  <c r="P797" i="1"/>
  <c r="N795" i="1"/>
  <c r="P795" i="1"/>
  <c r="N793" i="1"/>
  <c r="P793" i="1"/>
  <c r="N791" i="1"/>
  <c r="P791" i="1"/>
  <c r="N789" i="1"/>
  <c r="P789" i="1"/>
  <c r="N787" i="1"/>
  <c r="P787" i="1"/>
  <c r="N785" i="1"/>
  <c r="P785" i="1"/>
  <c r="N783" i="1"/>
  <c r="P783" i="1"/>
  <c r="N781" i="1"/>
  <c r="P781" i="1"/>
  <c r="N779" i="1"/>
  <c r="P779" i="1"/>
  <c r="N777" i="1"/>
  <c r="P777" i="1"/>
  <c r="N775" i="1"/>
  <c r="P775" i="1"/>
  <c r="N773" i="1"/>
  <c r="P773" i="1"/>
  <c r="N771" i="1"/>
  <c r="P771" i="1"/>
  <c r="N769" i="1"/>
  <c r="P769" i="1"/>
  <c r="N767" i="1"/>
  <c r="P767" i="1"/>
  <c r="N765" i="1"/>
  <c r="P765" i="1"/>
  <c r="N763" i="1"/>
  <c r="P763" i="1"/>
  <c r="N761" i="1"/>
  <c r="P761" i="1"/>
  <c r="N759" i="1"/>
  <c r="P759" i="1"/>
  <c r="N757" i="1"/>
  <c r="P757" i="1"/>
  <c r="N755" i="1"/>
  <c r="P755" i="1"/>
  <c r="N753" i="1"/>
  <c r="P753" i="1"/>
  <c r="N751" i="1"/>
  <c r="P751" i="1"/>
  <c r="N749" i="1"/>
  <c r="P749" i="1"/>
  <c r="N747" i="1"/>
  <c r="P747" i="1"/>
  <c r="N745" i="1"/>
  <c r="P745" i="1"/>
  <c r="N743" i="1"/>
  <c r="P743" i="1"/>
  <c r="N741" i="1"/>
  <c r="P741" i="1"/>
  <c r="N739" i="1"/>
  <c r="P739" i="1"/>
  <c r="N737" i="1"/>
  <c r="P737" i="1"/>
  <c r="N735" i="1"/>
  <c r="P735" i="1"/>
  <c r="N733" i="1"/>
  <c r="P733" i="1"/>
  <c r="N731" i="1"/>
  <c r="P731" i="1"/>
  <c r="N729" i="1"/>
  <c r="P729" i="1"/>
  <c r="N727" i="1"/>
  <c r="P727" i="1"/>
  <c r="N725" i="1"/>
  <c r="P725" i="1"/>
  <c r="N723" i="1"/>
  <c r="P723" i="1"/>
  <c r="N721" i="1"/>
  <c r="P721" i="1"/>
  <c r="N719" i="1"/>
  <c r="P719" i="1"/>
  <c r="N717" i="1"/>
  <c r="P717" i="1"/>
  <c r="N715" i="1"/>
  <c r="P715" i="1"/>
  <c r="N713" i="1"/>
  <c r="P713" i="1"/>
  <c r="N711" i="1"/>
  <c r="P711" i="1"/>
  <c r="N709" i="1"/>
  <c r="P709" i="1"/>
  <c r="N707" i="1"/>
  <c r="P707" i="1"/>
  <c r="N705" i="1"/>
  <c r="P705" i="1"/>
  <c r="N703" i="1"/>
  <c r="P703" i="1"/>
  <c r="N701" i="1"/>
  <c r="P701" i="1"/>
  <c r="N699" i="1"/>
  <c r="P699" i="1"/>
  <c r="N697" i="1"/>
  <c r="P697" i="1"/>
  <c r="N695" i="1"/>
  <c r="P695" i="1"/>
  <c r="N693" i="1"/>
  <c r="P693" i="1"/>
  <c r="N691" i="1"/>
  <c r="P691" i="1"/>
  <c r="N689" i="1"/>
  <c r="P689" i="1"/>
  <c r="N687" i="1"/>
  <c r="P687" i="1"/>
  <c r="N685" i="1"/>
  <c r="P685" i="1"/>
  <c r="N683" i="1"/>
  <c r="P683" i="1"/>
  <c r="N681" i="1"/>
  <c r="P681" i="1"/>
  <c r="N679" i="1"/>
  <c r="P679" i="1"/>
  <c r="N677" i="1"/>
  <c r="P677" i="1"/>
  <c r="N675" i="1"/>
  <c r="P675" i="1"/>
  <c r="N673" i="1"/>
  <c r="P673" i="1"/>
  <c r="N671" i="1"/>
  <c r="P671" i="1"/>
  <c r="N669" i="1"/>
  <c r="P669" i="1"/>
  <c r="N667" i="1"/>
  <c r="P667" i="1"/>
  <c r="N665" i="1"/>
  <c r="P665" i="1"/>
  <c r="N663" i="1"/>
  <c r="P663" i="1"/>
  <c r="N661" i="1"/>
  <c r="P661" i="1"/>
  <c r="N659" i="1"/>
  <c r="P659" i="1"/>
  <c r="N657" i="1"/>
  <c r="P657" i="1"/>
  <c r="N655" i="1"/>
  <c r="P655" i="1"/>
  <c r="N653" i="1"/>
  <c r="P653" i="1"/>
  <c r="N651" i="1"/>
  <c r="P651" i="1"/>
  <c r="N649" i="1"/>
  <c r="P649" i="1"/>
  <c r="N647" i="1"/>
  <c r="P647" i="1"/>
  <c r="N645" i="1"/>
  <c r="P645" i="1"/>
  <c r="N1729" i="1"/>
  <c r="P1729" i="1"/>
  <c r="N1727" i="1"/>
  <c r="P1727" i="1"/>
  <c r="N1723" i="1"/>
  <c r="P1723" i="1"/>
  <c r="N1719" i="1"/>
  <c r="P1719" i="1"/>
  <c r="N1715" i="1"/>
  <c r="P1715" i="1"/>
  <c r="N1713" i="1"/>
  <c r="P1713" i="1"/>
  <c r="N1693" i="1"/>
  <c r="P1693" i="1"/>
  <c r="N1685" i="1"/>
  <c r="P1685" i="1"/>
  <c r="N1681" i="1"/>
  <c r="P1681" i="1"/>
  <c r="N1667" i="1"/>
  <c r="P1667" i="1"/>
  <c r="N1665" i="1"/>
  <c r="P1665" i="1"/>
  <c r="N1657" i="1"/>
  <c r="P1657" i="1"/>
  <c r="N1649" i="1"/>
  <c r="P1649" i="1"/>
  <c r="N1641" i="1"/>
  <c r="P1641" i="1"/>
  <c r="N1639" i="1"/>
  <c r="P1639" i="1"/>
  <c r="N1637" i="1"/>
  <c r="P1637" i="1"/>
  <c r="N1633" i="1"/>
  <c r="P1633" i="1"/>
  <c r="N1629" i="1"/>
  <c r="P1629" i="1"/>
  <c r="N1625" i="1"/>
  <c r="P1625" i="1"/>
  <c r="N1621" i="1"/>
  <c r="P1621" i="1"/>
  <c r="N1615" i="1"/>
  <c r="P1615" i="1"/>
  <c r="N1613" i="1"/>
  <c r="P1613" i="1"/>
  <c r="N1603" i="1"/>
  <c r="P1603" i="1"/>
  <c r="N1599" i="1"/>
  <c r="P1599" i="1"/>
  <c r="N1595" i="1"/>
  <c r="P1595" i="1"/>
  <c r="N1591" i="1"/>
  <c r="P1591" i="1"/>
  <c r="N1587" i="1"/>
  <c r="P1587" i="1"/>
  <c r="N1585" i="1"/>
  <c r="P1585" i="1"/>
  <c r="N1583" i="1"/>
  <c r="P1583" i="1"/>
  <c r="N1581" i="1"/>
  <c r="P1581" i="1"/>
  <c r="N1579" i="1"/>
  <c r="P1579" i="1"/>
  <c r="N1577" i="1"/>
  <c r="P1577" i="1"/>
  <c r="N1575" i="1"/>
  <c r="P1575" i="1"/>
  <c r="N1573" i="1"/>
  <c r="P1573" i="1"/>
  <c r="N1571" i="1"/>
  <c r="P1571" i="1"/>
  <c r="N1569" i="1"/>
  <c r="P1569" i="1"/>
  <c r="N1567" i="1"/>
  <c r="P1567" i="1"/>
  <c r="N1565" i="1"/>
  <c r="P1565" i="1"/>
  <c r="N1561" i="1"/>
  <c r="P1561" i="1"/>
  <c r="N1559" i="1"/>
  <c r="P1559" i="1"/>
  <c r="N1557" i="1"/>
  <c r="P1557" i="1"/>
  <c r="N1555" i="1"/>
  <c r="P1555" i="1"/>
  <c r="N1553" i="1"/>
  <c r="P1553" i="1"/>
  <c r="N1551" i="1"/>
  <c r="P1551" i="1"/>
  <c r="N1549" i="1"/>
  <c r="P1549" i="1"/>
  <c r="N1543" i="1"/>
  <c r="P1543" i="1"/>
  <c r="N1539" i="1"/>
  <c r="P1539" i="1"/>
  <c r="N1535" i="1"/>
  <c r="P1535" i="1"/>
  <c r="N1533" i="1"/>
  <c r="P1533" i="1"/>
  <c r="N1529" i="1"/>
  <c r="P1529" i="1"/>
  <c r="N1525" i="1"/>
  <c r="P1525" i="1"/>
  <c r="N1523" i="1"/>
  <c r="P1523" i="1"/>
  <c r="N1521" i="1"/>
  <c r="P1521" i="1"/>
  <c r="N1519" i="1"/>
  <c r="P1519" i="1"/>
  <c r="N1493" i="1"/>
  <c r="P1493" i="1"/>
  <c r="N1489" i="1"/>
  <c r="P1489" i="1"/>
  <c r="N1479" i="1"/>
  <c r="P1479" i="1"/>
  <c r="N1475" i="1"/>
  <c r="P1475" i="1"/>
  <c r="N1471" i="1"/>
  <c r="P1471" i="1"/>
  <c r="N1467" i="1"/>
  <c r="P1467" i="1"/>
  <c r="N1453" i="1"/>
  <c r="P1453" i="1"/>
  <c r="N1449" i="1"/>
  <c r="P1449" i="1"/>
  <c r="N1445" i="1"/>
  <c r="P1445" i="1"/>
  <c r="N1441" i="1"/>
  <c r="P1441" i="1"/>
  <c r="N1437" i="1"/>
  <c r="P1437" i="1"/>
  <c r="N1435" i="1"/>
  <c r="P1435" i="1"/>
  <c r="N1433" i="1"/>
  <c r="P1433" i="1"/>
  <c r="N1888" i="1"/>
  <c r="P1888" i="1"/>
  <c r="N1886" i="1"/>
  <c r="P1886" i="1"/>
  <c r="N1884" i="1"/>
  <c r="P1884" i="1"/>
  <c r="N1882" i="1"/>
  <c r="P1882" i="1"/>
  <c r="N1880" i="1"/>
  <c r="P1880" i="1"/>
  <c r="N1878" i="1"/>
  <c r="P1878" i="1"/>
  <c r="N1876" i="1"/>
  <c r="P1876" i="1"/>
  <c r="N1874" i="1"/>
  <c r="P1874" i="1"/>
  <c r="N1872" i="1"/>
  <c r="P1872" i="1"/>
  <c r="N1870" i="1"/>
  <c r="P1870" i="1"/>
  <c r="N1868" i="1"/>
  <c r="P1868" i="1"/>
  <c r="N1866" i="1"/>
  <c r="P1866" i="1"/>
  <c r="N1864" i="1"/>
  <c r="P1864" i="1"/>
  <c r="N1862" i="1"/>
  <c r="P1862" i="1"/>
  <c r="N1860" i="1"/>
  <c r="P1860" i="1"/>
  <c r="N1858" i="1"/>
  <c r="P1858" i="1"/>
  <c r="N1856" i="1"/>
  <c r="P1856" i="1"/>
  <c r="N1854" i="1"/>
  <c r="P1854" i="1"/>
  <c r="N1852" i="1"/>
  <c r="P1852" i="1"/>
  <c r="N1850" i="1"/>
  <c r="P1850" i="1"/>
  <c r="N1848" i="1"/>
  <c r="P1848" i="1"/>
  <c r="N1846" i="1"/>
  <c r="P1846" i="1"/>
  <c r="N1844" i="1"/>
  <c r="P1844" i="1"/>
  <c r="N1842" i="1"/>
  <c r="P1842" i="1"/>
  <c r="N1840" i="1"/>
  <c r="P1840" i="1"/>
  <c r="N1838" i="1"/>
  <c r="P1838" i="1"/>
  <c r="N1836" i="1"/>
  <c r="P1836" i="1"/>
  <c r="N1834" i="1"/>
  <c r="P1834" i="1"/>
  <c r="N1832" i="1"/>
  <c r="P1832" i="1"/>
  <c r="N1830" i="1"/>
  <c r="P1830" i="1"/>
  <c r="N1828" i="1"/>
  <c r="P1828" i="1"/>
  <c r="N1826" i="1"/>
  <c r="P1826" i="1"/>
  <c r="N1824" i="1"/>
  <c r="P1824" i="1"/>
  <c r="N1822" i="1"/>
  <c r="P1822" i="1"/>
  <c r="N1820" i="1"/>
  <c r="P1820" i="1"/>
  <c r="N1818" i="1"/>
  <c r="P1818" i="1"/>
  <c r="N1816" i="1"/>
  <c r="P1816" i="1"/>
  <c r="N1814" i="1"/>
  <c r="P1814" i="1"/>
  <c r="N1812" i="1"/>
  <c r="P1812" i="1"/>
  <c r="N1810" i="1"/>
  <c r="P1810" i="1"/>
  <c r="N1808" i="1"/>
  <c r="P1808" i="1"/>
  <c r="N1806" i="1"/>
  <c r="P1806" i="1"/>
  <c r="N1804" i="1"/>
  <c r="P1804" i="1"/>
  <c r="N1802" i="1"/>
  <c r="P1802" i="1"/>
  <c r="N1800" i="1"/>
  <c r="P1800" i="1"/>
  <c r="N1798" i="1"/>
  <c r="P1798" i="1"/>
  <c r="N1796" i="1"/>
  <c r="P1796" i="1"/>
  <c r="N1794" i="1"/>
  <c r="P1794" i="1"/>
  <c r="N1792" i="1"/>
  <c r="P1792" i="1"/>
  <c r="N1790" i="1"/>
  <c r="P1790" i="1"/>
  <c r="N1788" i="1"/>
  <c r="P1788" i="1"/>
  <c r="N1786" i="1"/>
  <c r="P1786" i="1"/>
  <c r="N1784" i="1"/>
  <c r="P1784" i="1"/>
  <c r="N1782" i="1"/>
  <c r="P1782" i="1"/>
  <c r="N1780" i="1"/>
  <c r="P1780" i="1"/>
  <c r="N1778" i="1"/>
  <c r="P1778" i="1"/>
  <c r="N1776" i="1"/>
  <c r="P1776" i="1"/>
  <c r="N1774" i="1"/>
  <c r="P1774" i="1"/>
  <c r="N1772" i="1"/>
  <c r="P1772" i="1"/>
  <c r="N1770" i="1"/>
  <c r="P1770" i="1"/>
  <c r="N1768" i="1"/>
  <c r="P1768" i="1"/>
  <c r="N1766" i="1"/>
  <c r="P1766" i="1"/>
  <c r="N1764" i="1"/>
  <c r="P1764" i="1"/>
  <c r="N1762" i="1"/>
  <c r="P1762" i="1"/>
  <c r="N1760" i="1"/>
  <c r="P1760" i="1"/>
  <c r="N1758" i="1"/>
  <c r="P1758" i="1"/>
  <c r="N1756" i="1"/>
  <c r="P1756" i="1"/>
  <c r="N1754" i="1"/>
  <c r="P1754" i="1"/>
  <c r="N1752" i="1"/>
  <c r="P1752" i="1"/>
  <c r="N1750" i="1"/>
  <c r="P1750" i="1"/>
  <c r="N1748" i="1"/>
  <c r="P1748" i="1"/>
  <c r="N1746" i="1"/>
  <c r="P1746" i="1"/>
  <c r="N1744" i="1"/>
  <c r="P1744" i="1"/>
  <c r="N1742" i="1"/>
  <c r="P1742" i="1"/>
  <c r="N1740" i="1"/>
  <c r="P1740" i="1"/>
  <c r="N1738" i="1"/>
  <c r="P1738" i="1"/>
  <c r="N1736" i="1"/>
  <c r="P1736" i="1"/>
  <c r="N1734" i="1"/>
  <c r="P1734" i="1"/>
  <c r="N1732" i="1"/>
  <c r="P1732" i="1"/>
  <c r="N1730" i="1"/>
  <c r="P1730" i="1"/>
  <c r="N1728" i="1"/>
  <c r="P1728" i="1"/>
  <c r="N1726" i="1"/>
  <c r="P1726" i="1"/>
  <c r="N1724" i="1"/>
  <c r="P1724" i="1"/>
  <c r="N1722" i="1"/>
  <c r="P1722" i="1"/>
  <c r="N1720" i="1"/>
  <c r="P1720" i="1"/>
  <c r="N1718" i="1"/>
  <c r="P1718" i="1"/>
  <c r="N1716" i="1"/>
  <c r="P1716" i="1"/>
  <c r="N1714" i="1"/>
  <c r="P1714" i="1"/>
  <c r="N1712" i="1"/>
  <c r="P1712" i="1"/>
  <c r="N1710" i="1"/>
  <c r="P1710" i="1"/>
  <c r="N1708" i="1"/>
  <c r="P1708" i="1"/>
  <c r="N1706" i="1"/>
  <c r="P1706" i="1"/>
  <c r="N1704" i="1"/>
  <c r="P1704" i="1"/>
  <c r="N1702" i="1"/>
  <c r="P1702" i="1"/>
  <c r="N1700" i="1"/>
  <c r="P1700" i="1"/>
  <c r="N1698" i="1"/>
  <c r="P1698" i="1"/>
  <c r="N1696" i="1"/>
  <c r="P1696" i="1"/>
  <c r="N1694" i="1"/>
  <c r="P1694" i="1"/>
  <c r="N1692" i="1"/>
  <c r="P1692" i="1"/>
  <c r="N1690" i="1"/>
  <c r="P1690" i="1"/>
  <c r="N1688" i="1"/>
  <c r="P1688" i="1"/>
  <c r="N1686" i="1"/>
  <c r="P1686" i="1"/>
  <c r="N1684" i="1"/>
  <c r="P1684" i="1"/>
  <c r="N1682" i="1"/>
  <c r="P1682" i="1"/>
  <c r="N1680" i="1"/>
  <c r="P1680" i="1"/>
  <c r="N1678" i="1"/>
  <c r="P1678" i="1"/>
  <c r="N1676" i="1"/>
  <c r="P1676" i="1"/>
  <c r="N1674" i="1"/>
  <c r="P1674" i="1"/>
  <c r="N1672" i="1"/>
  <c r="P1672" i="1"/>
  <c r="N1670" i="1"/>
  <c r="P1670" i="1"/>
  <c r="N1668" i="1"/>
  <c r="P1668" i="1"/>
  <c r="N1666" i="1"/>
  <c r="P1666" i="1"/>
  <c r="N1664" i="1"/>
  <c r="P1664" i="1"/>
  <c r="N1662" i="1"/>
  <c r="P1662" i="1"/>
  <c r="N1660" i="1"/>
  <c r="P1660" i="1"/>
  <c r="N1658" i="1"/>
  <c r="P1658" i="1"/>
  <c r="N1656" i="1"/>
  <c r="P1656" i="1"/>
  <c r="N1654" i="1"/>
  <c r="P1654" i="1"/>
  <c r="N1652" i="1"/>
  <c r="P1652" i="1"/>
  <c r="N1650" i="1"/>
  <c r="P1650" i="1"/>
  <c r="N1648" i="1"/>
  <c r="P1648" i="1"/>
  <c r="N1646" i="1"/>
  <c r="P1646" i="1"/>
  <c r="N1644" i="1"/>
  <c r="P1644" i="1"/>
  <c r="N1642" i="1"/>
  <c r="P1642" i="1"/>
  <c r="N1640" i="1"/>
  <c r="P1640" i="1"/>
  <c r="N1638" i="1"/>
  <c r="P1638" i="1"/>
  <c r="N1636" i="1"/>
  <c r="P1636" i="1"/>
  <c r="N1634" i="1"/>
  <c r="P1634" i="1"/>
  <c r="N1632" i="1"/>
  <c r="P1632" i="1"/>
  <c r="N1630" i="1"/>
  <c r="P1630" i="1"/>
  <c r="N1628" i="1"/>
  <c r="P1628" i="1"/>
  <c r="N1626" i="1"/>
  <c r="P1626" i="1"/>
  <c r="N1624" i="1"/>
  <c r="P1624" i="1"/>
  <c r="N1622" i="1"/>
  <c r="P1622" i="1"/>
  <c r="N1620" i="1"/>
  <c r="P1620" i="1"/>
  <c r="N1618" i="1"/>
  <c r="P1618" i="1"/>
  <c r="N1616" i="1"/>
  <c r="P1616" i="1"/>
  <c r="N1614" i="1"/>
  <c r="P1614" i="1"/>
  <c r="N1612" i="1"/>
  <c r="P1612" i="1"/>
  <c r="N1610" i="1"/>
  <c r="P1610" i="1"/>
  <c r="N1608" i="1"/>
  <c r="P1608" i="1"/>
  <c r="N1606" i="1"/>
  <c r="P1606" i="1"/>
  <c r="N1604" i="1"/>
  <c r="P1604" i="1"/>
  <c r="N1602" i="1"/>
  <c r="P1602" i="1"/>
  <c r="N1600" i="1"/>
  <c r="P1600" i="1"/>
  <c r="N1598" i="1"/>
  <c r="P1598" i="1"/>
  <c r="N1596" i="1"/>
  <c r="P1596" i="1"/>
  <c r="N1594" i="1"/>
  <c r="P1594" i="1"/>
  <c r="N1592" i="1"/>
  <c r="P1592" i="1"/>
  <c r="N1590" i="1"/>
  <c r="P1590" i="1"/>
  <c r="N1588" i="1"/>
  <c r="P1588" i="1"/>
  <c r="N1586" i="1"/>
  <c r="P1586" i="1"/>
  <c r="N1584" i="1"/>
  <c r="P1584" i="1"/>
  <c r="N1582" i="1"/>
  <c r="P1582" i="1"/>
  <c r="N1580" i="1"/>
  <c r="P1580" i="1"/>
  <c r="N1578" i="1"/>
  <c r="P1578" i="1"/>
  <c r="N1576" i="1"/>
  <c r="P1576" i="1"/>
  <c r="N1574" i="1"/>
  <c r="P1574" i="1"/>
  <c r="N1572" i="1"/>
  <c r="P1572" i="1"/>
  <c r="N1570" i="1"/>
  <c r="P1570" i="1"/>
  <c r="N1568" i="1"/>
  <c r="P1568" i="1"/>
  <c r="N1566" i="1"/>
  <c r="P1566" i="1"/>
  <c r="N1564" i="1"/>
  <c r="P1564" i="1"/>
  <c r="N1562" i="1"/>
  <c r="P1562" i="1"/>
  <c r="N1560" i="1"/>
  <c r="P1560" i="1"/>
  <c r="N1558" i="1"/>
  <c r="P1558" i="1"/>
  <c r="N1556" i="1"/>
  <c r="P1556" i="1"/>
  <c r="N1554" i="1"/>
  <c r="P1554" i="1"/>
  <c r="N1552" i="1"/>
  <c r="P1552" i="1"/>
  <c r="N1550" i="1"/>
  <c r="P1550" i="1"/>
  <c r="N1548" i="1"/>
  <c r="P1548" i="1"/>
  <c r="N1546" i="1"/>
  <c r="P1546" i="1"/>
  <c r="N1544" i="1"/>
  <c r="P1544" i="1"/>
  <c r="N1542" i="1"/>
  <c r="P1542" i="1"/>
  <c r="N1540" i="1"/>
  <c r="P1540" i="1"/>
  <c r="N1538" i="1"/>
  <c r="P1538" i="1"/>
  <c r="N1536" i="1"/>
  <c r="P1536" i="1"/>
  <c r="N1534" i="1"/>
  <c r="P1534" i="1"/>
  <c r="N1532" i="1"/>
  <c r="P1532" i="1"/>
  <c r="N1530" i="1"/>
  <c r="P1530" i="1"/>
  <c r="N1528" i="1"/>
  <c r="P1528" i="1"/>
  <c r="N1526" i="1"/>
  <c r="P1526" i="1"/>
  <c r="N1524" i="1"/>
  <c r="P1524" i="1"/>
  <c r="N1522" i="1"/>
  <c r="P1522" i="1"/>
  <c r="N1520" i="1"/>
  <c r="P1520" i="1"/>
  <c r="N1518" i="1"/>
  <c r="P1518" i="1"/>
  <c r="N1516" i="1"/>
  <c r="P1516" i="1"/>
  <c r="N1514" i="1"/>
  <c r="P1514" i="1"/>
  <c r="N1512" i="1"/>
  <c r="P1512" i="1"/>
  <c r="N1510" i="1"/>
  <c r="P1510" i="1"/>
  <c r="N1508" i="1"/>
  <c r="P1508" i="1"/>
  <c r="N1506" i="1"/>
  <c r="P1506" i="1"/>
  <c r="N1504" i="1"/>
  <c r="P1504" i="1"/>
  <c r="N1502" i="1"/>
  <c r="P1502" i="1"/>
  <c r="N1500" i="1"/>
  <c r="P1500" i="1"/>
  <c r="N1498" i="1"/>
  <c r="P1498" i="1"/>
  <c r="N1496" i="1"/>
  <c r="P1496" i="1"/>
  <c r="N1494" i="1"/>
  <c r="P1494" i="1"/>
  <c r="N1492" i="1"/>
  <c r="P1492" i="1"/>
  <c r="N1490" i="1"/>
  <c r="P1490" i="1"/>
  <c r="N1488" i="1"/>
  <c r="P1488" i="1"/>
  <c r="N1486" i="1"/>
  <c r="P1486" i="1"/>
  <c r="N1484" i="1"/>
  <c r="P1484" i="1"/>
  <c r="N1482" i="1"/>
  <c r="P1482" i="1"/>
  <c r="N1480" i="1"/>
  <c r="P1480" i="1"/>
  <c r="N1478" i="1"/>
  <c r="P1478" i="1"/>
  <c r="N1476" i="1"/>
  <c r="P1476" i="1"/>
  <c r="N1474" i="1"/>
  <c r="P1474" i="1"/>
  <c r="N1472" i="1"/>
  <c r="P1472" i="1"/>
  <c r="N1470" i="1"/>
  <c r="P1470" i="1"/>
  <c r="N1468" i="1"/>
  <c r="P1468" i="1"/>
  <c r="N1466" i="1"/>
  <c r="P1466" i="1"/>
  <c r="N1464" i="1"/>
  <c r="P1464" i="1"/>
  <c r="N1462" i="1"/>
  <c r="P1462" i="1"/>
  <c r="N1460" i="1"/>
  <c r="P1460" i="1"/>
  <c r="N1458" i="1"/>
  <c r="P1458" i="1"/>
  <c r="N1456" i="1"/>
  <c r="P1456" i="1"/>
  <c r="N1454" i="1"/>
  <c r="P1454" i="1"/>
  <c r="N1452" i="1"/>
  <c r="P1452" i="1"/>
  <c r="N1450" i="1"/>
  <c r="P1450" i="1"/>
  <c r="N1448" i="1"/>
  <c r="P1448" i="1"/>
  <c r="N1446" i="1"/>
  <c r="P1446" i="1"/>
  <c r="N1444" i="1"/>
  <c r="P1444" i="1"/>
  <c r="N1442" i="1"/>
  <c r="P1442" i="1"/>
  <c r="N1440" i="1"/>
  <c r="P1440" i="1"/>
  <c r="N1438" i="1"/>
  <c r="P1438" i="1"/>
  <c r="N1436" i="1"/>
  <c r="P1436" i="1"/>
  <c r="N1434" i="1"/>
  <c r="P1434" i="1"/>
  <c r="N1432" i="1"/>
  <c r="P1432" i="1"/>
  <c r="N1430" i="1"/>
  <c r="P1430" i="1"/>
  <c r="N1428" i="1"/>
  <c r="P1428" i="1"/>
  <c r="N1426" i="1"/>
  <c r="P1426" i="1"/>
  <c r="N1424" i="1"/>
  <c r="P1424" i="1"/>
  <c r="N1422" i="1"/>
  <c r="P1422" i="1"/>
  <c r="N1420" i="1"/>
  <c r="P1420" i="1"/>
  <c r="N1418" i="1"/>
  <c r="P1418" i="1"/>
  <c r="N1416" i="1"/>
  <c r="P1416" i="1"/>
  <c r="N1414" i="1"/>
  <c r="P1414" i="1"/>
  <c r="N1412" i="1"/>
  <c r="P1412" i="1"/>
  <c r="N1410" i="1"/>
  <c r="P1410" i="1"/>
  <c r="N1408" i="1"/>
  <c r="P1408" i="1"/>
  <c r="N1406" i="1"/>
  <c r="P1406" i="1"/>
  <c r="N1404" i="1"/>
  <c r="P1404" i="1"/>
  <c r="N1402" i="1"/>
  <c r="P1402" i="1"/>
  <c r="N1400" i="1"/>
  <c r="P1400" i="1"/>
  <c r="N1398" i="1"/>
  <c r="P1398" i="1"/>
  <c r="N1396" i="1"/>
  <c r="P1396" i="1"/>
  <c r="N1394" i="1"/>
  <c r="P1394" i="1"/>
  <c r="N1392" i="1"/>
  <c r="P1392" i="1"/>
  <c r="N1390" i="1"/>
  <c r="P1390" i="1"/>
  <c r="N1388" i="1"/>
  <c r="P1388" i="1"/>
  <c r="N1386" i="1"/>
  <c r="P1386" i="1"/>
  <c r="N1384" i="1"/>
  <c r="P1384" i="1"/>
  <c r="N1382" i="1"/>
  <c r="P1382" i="1"/>
  <c r="N1380" i="1"/>
  <c r="P1380" i="1"/>
  <c r="N1378" i="1"/>
  <c r="P1378" i="1"/>
  <c r="N1376" i="1"/>
  <c r="P1376" i="1"/>
  <c r="N1374" i="1"/>
  <c r="P1374" i="1"/>
  <c r="N1372" i="1"/>
  <c r="P1372" i="1"/>
  <c r="N1370" i="1"/>
  <c r="P1370" i="1"/>
  <c r="N1368" i="1"/>
  <c r="P1368" i="1"/>
  <c r="N1366" i="1"/>
  <c r="P1366" i="1"/>
  <c r="N1364" i="1"/>
  <c r="P1364" i="1"/>
  <c r="N1362" i="1"/>
  <c r="P1362" i="1"/>
  <c r="N1360" i="1"/>
  <c r="P1360" i="1"/>
  <c r="N1358" i="1"/>
  <c r="P1358" i="1"/>
  <c r="N1356" i="1"/>
  <c r="P1356" i="1"/>
  <c r="N1354" i="1"/>
  <c r="P1354" i="1"/>
  <c r="N1352" i="1"/>
  <c r="P1352" i="1"/>
  <c r="N1350" i="1"/>
  <c r="P1350" i="1"/>
  <c r="N1348" i="1"/>
  <c r="P1348" i="1"/>
  <c r="N1346" i="1"/>
  <c r="P1346" i="1"/>
  <c r="N1344" i="1"/>
  <c r="P1344" i="1"/>
  <c r="N1342" i="1"/>
  <c r="P1342" i="1"/>
  <c r="N1340" i="1"/>
  <c r="P1340" i="1"/>
  <c r="N1338" i="1"/>
  <c r="P1338" i="1"/>
  <c r="N1336" i="1"/>
  <c r="P1336" i="1"/>
  <c r="N1334" i="1"/>
  <c r="P1334" i="1"/>
  <c r="N1332" i="1"/>
  <c r="P1332" i="1"/>
  <c r="N1330" i="1"/>
  <c r="P1330" i="1"/>
  <c r="N1328" i="1"/>
  <c r="P1328" i="1"/>
  <c r="N1326" i="1"/>
  <c r="P1326" i="1"/>
  <c r="N1324" i="1"/>
  <c r="P1324" i="1"/>
  <c r="N1322" i="1"/>
  <c r="P1322" i="1"/>
  <c r="N1320" i="1"/>
  <c r="P1320" i="1"/>
  <c r="N1318" i="1"/>
  <c r="P1318" i="1"/>
  <c r="N1316" i="1"/>
  <c r="P1316" i="1"/>
  <c r="N1314" i="1"/>
  <c r="P1314" i="1"/>
  <c r="N1312" i="1"/>
  <c r="P1312" i="1"/>
  <c r="N1310" i="1"/>
  <c r="P1310" i="1"/>
  <c r="N1308" i="1"/>
  <c r="P1308" i="1"/>
  <c r="N1306" i="1"/>
  <c r="P1306" i="1"/>
  <c r="N1304" i="1"/>
  <c r="P1304" i="1"/>
  <c r="N1302" i="1"/>
  <c r="P1302" i="1"/>
  <c r="N1300" i="1"/>
  <c r="P1300" i="1"/>
  <c r="N1298" i="1"/>
  <c r="P1298" i="1"/>
  <c r="N1296" i="1"/>
  <c r="P1296" i="1"/>
  <c r="N1294" i="1"/>
  <c r="P1294" i="1"/>
  <c r="N1292" i="1"/>
  <c r="P1292" i="1"/>
  <c r="N1290" i="1"/>
  <c r="P1290" i="1"/>
  <c r="N1288" i="1"/>
  <c r="P1288" i="1"/>
  <c r="N1286" i="1"/>
  <c r="P1286" i="1"/>
  <c r="N1284" i="1"/>
  <c r="P1284" i="1"/>
  <c r="N1282" i="1"/>
  <c r="P1282" i="1"/>
  <c r="N1280" i="1"/>
  <c r="P1280" i="1"/>
  <c r="N1278" i="1"/>
  <c r="P1278" i="1"/>
  <c r="N1276" i="1"/>
  <c r="P1276" i="1"/>
  <c r="N1274" i="1"/>
  <c r="P1274" i="1"/>
  <c r="N1272" i="1"/>
  <c r="P1272" i="1"/>
  <c r="N1270" i="1"/>
  <c r="P1270" i="1"/>
  <c r="N1268" i="1"/>
  <c r="P1268" i="1"/>
  <c r="N1266" i="1"/>
  <c r="P1266" i="1"/>
  <c r="N1264" i="1"/>
  <c r="P1264" i="1"/>
  <c r="N1262" i="1"/>
  <c r="P1262" i="1"/>
  <c r="N1260" i="1"/>
  <c r="P1260" i="1"/>
  <c r="N1258" i="1"/>
  <c r="P1258" i="1"/>
  <c r="N1256" i="1"/>
  <c r="P1256" i="1"/>
  <c r="N1254" i="1"/>
  <c r="P1254" i="1"/>
  <c r="N1252" i="1"/>
  <c r="P1252" i="1"/>
  <c r="N1250" i="1"/>
  <c r="P1250" i="1"/>
  <c r="N1248" i="1"/>
  <c r="P1248" i="1"/>
  <c r="N1246" i="1"/>
  <c r="P1246" i="1"/>
  <c r="N1244" i="1"/>
  <c r="P1244" i="1"/>
  <c r="N1242" i="1"/>
  <c r="P1242" i="1"/>
  <c r="N1240" i="1"/>
  <c r="P1240" i="1"/>
  <c r="N1238" i="1"/>
  <c r="P1238" i="1"/>
  <c r="N1236" i="1"/>
  <c r="P1236" i="1"/>
  <c r="N1234" i="1"/>
  <c r="P1234" i="1"/>
  <c r="N1232" i="1"/>
  <c r="P1232" i="1"/>
  <c r="N1230" i="1"/>
  <c r="P1230" i="1"/>
  <c r="N1228" i="1"/>
  <c r="P1228" i="1"/>
  <c r="N1226" i="1"/>
  <c r="P1226" i="1"/>
  <c r="N1224" i="1"/>
  <c r="P1224" i="1"/>
  <c r="N1222" i="1"/>
  <c r="P1222" i="1"/>
  <c r="N1220" i="1"/>
  <c r="P1220" i="1"/>
  <c r="N1218" i="1"/>
  <c r="P1218" i="1"/>
  <c r="N1216" i="1"/>
  <c r="P1216" i="1"/>
  <c r="N1214" i="1"/>
  <c r="P1214" i="1"/>
  <c r="N1212" i="1"/>
  <c r="P1212" i="1"/>
  <c r="N1210" i="1"/>
  <c r="P1210" i="1"/>
  <c r="N1208" i="1"/>
  <c r="P1208" i="1"/>
  <c r="N1206" i="1"/>
  <c r="P1206" i="1"/>
  <c r="N1204" i="1"/>
  <c r="P1204" i="1"/>
  <c r="N1202" i="1"/>
  <c r="P1202" i="1"/>
  <c r="N1200" i="1"/>
  <c r="P1200" i="1"/>
  <c r="N1198" i="1"/>
  <c r="P1198" i="1"/>
  <c r="N1196" i="1"/>
  <c r="P1196" i="1"/>
  <c r="N1194" i="1"/>
  <c r="P1194" i="1"/>
  <c r="N1192" i="1"/>
  <c r="P1192" i="1"/>
  <c r="N1190" i="1"/>
  <c r="P1190" i="1"/>
  <c r="N1188" i="1"/>
  <c r="P1188" i="1"/>
  <c r="N1186" i="1"/>
  <c r="P1186" i="1"/>
  <c r="N1184" i="1"/>
  <c r="P1184" i="1"/>
  <c r="N1182" i="1"/>
  <c r="P1182" i="1"/>
  <c r="N1180" i="1"/>
  <c r="P1180" i="1"/>
  <c r="N1178" i="1"/>
  <c r="P1178" i="1"/>
  <c r="N1176" i="1"/>
  <c r="P1176" i="1"/>
  <c r="N1174" i="1"/>
  <c r="P1174" i="1"/>
  <c r="N1172" i="1"/>
  <c r="P1172" i="1"/>
  <c r="N1170" i="1"/>
  <c r="P1170" i="1"/>
  <c r="N1168" i="1"/>
  <c r="P1168" i="1"/>
  <c r="N1166" i="1"/>
  <c r="P1166" i="1"/>
  <c r="N1164" i="1"/>
  <c r="P1164" i="1"/>
  <c r="N1162" i="1"/>
  <c r="P1162" i="1"/>
  <c r="N1160" i="1"/>
  <c r="P1160" i="1"/>
  <c r="N1158" i="1"/>
  <c r="P1158" i="1"/>
  <c r="N1156" i="1"/>
  <c r="P1156" i="1"/>
  <c r="N1154" i="1"/>
  <c r="P1154" i="1"/>
  <c r="N1152" i="1"/>
  <c r="P1152" i="1"/>
  <c r="N1150" i="1"/>
  <c r="P1150" i="1"/>
  <c r="N1148" i="1"/>
  <c r="P1148" i="1"/>
  <c r="N1146" i="1"/>
  <c r="P1146" i="1"/>
  <c r="N1144" i="1"/>
  <c r="P1144" i="1"/>
  <c r="N1142" i="1"/>
  <c r="P1142" i="1"/>
  <c r="N1140" i="1"/>
  <c r="P1140" i="1"/>
  <c r="N1138" i="1"/>
  <c r="P1138" i="1"/>
  <c r="N1136" i="1"/>
  <c r="P1136" i="1"/>
  <c r="N1134" i="1"/>
  <c r="P1134" i="1"/>
  <c r="N1132" i="1"/>
  <c r="P1132" i="1"/>
  <c r="N1130" i="1"/>
  <c r="P1130" i="1"/>
  <c r="N1128" i="1"/>
  <c r="P1128" i="1"/>
  <c r="N1126" i="1"/>
  <c r="P1126" i="1"/>
  <c r="N1124" i="1"/>
  <c r="P1124" i="1"/>
  <c r="N1122" i="1"/>
  <c r="P1122" i="1"/>
  <c r="N1120" i="1"/>
  <c r="P1120" i="1"/>
  <c r="N1118" i="1"/>
  <c r="P1118" i="1"/>
  <c r="N1116" i="1"/>
  <c r="P1116" i="1"/>
  <c r="N1114" i="1"/>
  <c r="P1114" i="1"/>
  <c r="N1112" i="1"/>
  <c r="P1112" i="1"/>
  <c r="N1110" i="1"/>
  <c r="P1110" i="1"/>
  <c r="N1108" i="1"/>
  <c r="P1108" i="1"/>
  <c r="N1106" i="1"/>
  <c r="P1106" i="1"/>
  <c r="N1104" i="1"/>
  <c r="P1104" i="1"/>
  <c r="N1102" i="1"/>
  <c r="P1102" i="1"/>
  <c r="N1100" i="1"/>
  <c r="P1100" i="1"/>
  <c r="N1098" i="1"/>
  <c r="P1098" i="1"/>
  <c r="N1096" i="1"/>
  <c r="P1096" i="1"/>
  <c r="N1094" i="1"/>
  <c r="P1094" i="1"/>
  <c r="N1092" i="1"/>
  <c r="P1092" i="1"/>
  <c r="N1090" i="1"/>
  <c r="P1090" i="1"/>
  <c r="N1088" i="1"/>
  <c r="P1088" i="1"/>
  <c r="N1086" i="1"/>
  <c r="P1086" i="1"/>
  <c r="N1084" i="1"/>
  <c r="P1084" i="1"/>
  <c r="N1082" i="1"/>
  <c r="P1082" i="1"/>
  <c r="N1080" i="1"/>
  <c r="P1080" i="1"/>
  <c r="N1078" i="1"/>
  <c r="P1078" i="1"/>
  <c r="N1076" i="1"/>
  <c r="P1076" i="1"/>
  <c r="N1074" i="1"/>
  <c r="P1074" i="1"/>
  <c r="N1072" i="1"/>
  <c r="P1072" i="1"/>
  <c r="N1070" i="1"/>
  <c r="P1070" i="1"/>
  <c r="N1068" i="1"/>
  <c r="P1068" i="1"/>
  <c r="N1066" i="1"/>
  <c r="P1066" i="1"/>
  <c r="N1064" i="1"/>
  <c r="P1064" i="1"/>
  <c r="N1062" i="1"/>
  <c r="P1062" i="1"/>
  <c r="N1060" i="1"/>
  <c r="P1060" i="1"/>
  <c r="N1058" i="1"/>
  <c r="P1058" i="1"/>
  <c r="N1056" i="1"/>
  <c r="P1056" i="1"/>
  <c r="N1054" i="1"/>
  <c r="P1054" i="1"/>
  <c r="N1052" i="1"/>
  <c r="P1052" i="1"/>
  <c r="N1050" i="1"/>
  <c r="P1050" i="1"/>
  <c r="N1048" i="1"/>
  <c r="P1048" i="1"/>
  <c r="N1046" i="1"/>
  <c r="P1046" i="1"/>
  <c r="N1044" i="1"/>
  <c r="P1044" i="1"/>
  <c r="N1042" i="1"/>
  <c r="P1042" i="1"/>
  <c r="N1040" i="1"/>
  <c r="P1040" i="1"/>
  <c r="N1038" i="1"/>
  <c r="P1038" i="1"/>
  <c r="N1036" i="1"/>
  <c r="P1036" i="1"/>
  <c r="N1034" i="1"/>
  <c r="P1034" i="1"/>
  <c r="N1032" i="1"/>
  <c r="P1032" i="1"/>
  <c r="N1030" i="1"/>
  <c r="P1030" i="1"/>
  <c r="N1028" i="1"/>
  <c r="P1028" i="1"/>
  <c r="N1026" i="1"/>
  <c r="P1026" i="1"/>
  <c r="N1024" i="1"/>
  <c r="P1024" i="1"/>
  <c r="N1022" i="1"/>
  <c r="P1022" i="1"/>
  <c r="N1020" i="1"/>
  <c r="P1020" i="1"/>
  <c r="N1018" i="1"/>
  <c r="P1018" i="1"/>
  <c r="N1016" i="1"/>
  <c r="P1016" i="1"/>
  <c r="N1014" i="1"/>
  <c r="P1014" i="1"/>
  <c r="N1012" i="1"/>
  <c r="P1012" i="1"/>
  <c r="N1010" i="1"/>
  <c r="P1010" i="1"/>
  <c r="N1008" i="1"/>
  <c r="P1008" i="1"/>
  <c r="N1006" i="1"/>
  <c r="P1006" i="1"/>
  <c r="N1004" i="1"/>
  <c r="P1004" i="1"/>
  <c r="N1002" i="1"/>
  <c r="P1002" i="1"/>
  <c r="N1000" i="1"/>
  <c r="P1000" i="1"/>
  <c r="N643" i="1"/>
  <c r="P643" i="1"/>
  <c r="N641" i="1"/>
  <c r="P641" i="1"/>
  <c r="N639" i="1"/>
  <c r="P639" i="1"/>
  <c r="N637" i="1"/>
  <c r="P637" i="1"/>
  <c r="N635" i="1"/>
  <c r="P635" i="1"/>
  <c r="N633" i="1"/>
  <c r="P633" i="1"/>
  <c r="N631" i="1"/>
  <c r="P631" i="1"/>
  <c r="N629" i="1"/>
  <c r="P629" i="1"/>
  <c r="N627" i="1"/>
  <c r="P627" i="1"/>
  <c r="N625" i="1"/>
  <c r="P625" i="1"/>
  <c r="N623" i="1"/>
  <c r="P623" i="1"/>
  <c r="N621" i="1"/>
  <c r="P621" i="1"/>
  <c r="N619" i="1"/>
  <c r="P619" i="1"/>
  <c r="N617" i="1"/>
  <c r="P617" i="1"/>
  <c r="N615" i="1"/>
  <c r="P615" i="1"/>
  <c r="N613" i="1"/>
  <c r="P613" i="1"/>
  <c r="N611" i="1"/>
  <c r="P611" i="1"/>
  <c r="N609" i="1"/>
  <c r="P609" i="1"/>
  <c r="N607" i="1"/>
  <c r="P607" i="1"/>
  <c r="N605" i="1"/>
  <c r="P605" i="1"/>
  <c r="N603" i="1"/>
  <c r="P603" i="1"/>
  <c r="N601" i="1"/>
  <c r="P601" i="1"/>
  <c r="N599" i="1"/>
  <c r="P599" i="1"/>
  <c r="N597" i="1"/>
  <c r="P597" i="1"/>
  <c r="N595" i="1"/>
  <c r="P595" i="1"/>
  <c r="N593" i="1"/>
  <c r="P593" i="1"/>
  <c r="N591" i="1"/>
  <c r="P591" i="1"/>
  <c r="N589" i="1"/>
  <c r="P589" i="1"/>
  <c r="N587" i="1"/>
  <c r="P587" i="1"/>
  <c r="N585" i="1"/>
  <c r="P585" i="1"/>
  <c r="N583" i="1"/>
  <c r="P583" i="1"/>
  <c r="N581" i="1"/>
  <c r="P581" i="1"/>
  <c r="N579" i="1"/>
  <c r="P579" i="1"/>
  <c r="N577" i="1"/>
  <c r="P577" i="1"/>
  <c r="N575" i="1"/>
  <c r="P575" i="1"/>
  <c r="N573" i="1"/>
  <c r="P573" i="1"/>
  <c r="N571" i="1"/>
  <c r="P571" i="1"/>
  <c r="N569" i="1"/>
  <c r="P569" i="1"/>
  <c r="N567" i="1"/>
  <c r="P567" i="1"/>
  <c r="N565" i="1"/>
  <c r="P565" i="1"/>
  <c r="N563" i="1"/>
  <c r="P563" i="1"/>
  <c r="N561" i="1"/>
  <c r="P561" i="1"/>
  <c r="N559" i="1"/>
  <c r="P559" i="1"/>
  <c r="N557" i="1"/>
  <c r="P557" i="1"/>
  <c r="N555" i="1"/>
  <c r="P555" i="1"/>
  <c r="N553" i="1"/>
  <c r="P553" i="1"/>
  <c r="N551" i="1"/>
  <c r="P551" i="1"/>
  <c r="N549" i="1"/>
  <c r="P549" i="1"/>
  <c r="N547" i="1"/>
  <c r="P547" i="1"/>
  <c r="N545" i="1"/>
  <c r="P545" i="1"/>
  <c r="N543" i="1"/>
  <c r="P543" i="1"/>
  <c r="N541" i="1"/>
  <c r="P541" i="1"/>
  <c r="N539" i="1"/>
  <c r="P539" i="1"/>
  <c r="N537" i="1"/>
  <c r="P537" i="1"/>
  <c r="N535" i="1"/>
  <c r="P535" i="1"/>
  <c r="N533" i="1"/>
  <c r="P533" i="1"/>
  <c r="N531" i="1"/>
  <c r="P531" i="1"/>
  <c r="N529" i="1"/>
  <c r="P529" i="1"/>
  <c r="N527" i="1"/>
  <c r="P527" i="1"/>
  <c r="N525" i="1"/>
  <c r="P525" i="1"/>
  <c r="N523" i="1"/>
  <c r="P523" i="1"/>
  <c r="N521" i="1"/>
  <c r="P521" i="1"/>
  <c r="N519" i="1"/>
  <c r="P519" i="1"/>
  <c r="N517" i="1"/>
  <c r="P517" i="1"/>
  <c r="N515" i="1"/>
  <c r="P515" i="1"/>
  <c r="N513" i="1"/>
  <c r="P513" i="1"/>
  <c r="N511" i="1"/>
  <c r="P511" i="1"/>
  <c r="N509" i="1"/>
  <c r="P509" i="1"/>
  <c r="N507" i="1"/>
  <c r="P507" i="1"/>
  <c r="N505" i="1"/>
  <c r="P505" i="1"/>
  <c r="N503" i="1"/>
  <c r="P503" i="1"/>
  <c r="N501" i="1"/>
  <c r="P501" i="1"/>
  <c r="N499" i="1"/>
  <c r="P499" i="1"/>
  <c r="N497" i="1"/>
  <c r="P497" i="1"/>
  <c r="N495" i="1"/>
  <c r="P495" i="1"/>
  <c r="N493" i="1"/>
  <c r="P493" i="1"/>
  <c r="N491" i="1"/>
  <c r="P491" i="1"/>
  <c r="N489" i="1"/>
  <c r="P489" i="1"/>
  <c r="N487" i="1"/>
  <c r="P487" i="1"/>
  <c r="N485" i="1"/>
  <c r="P485" i="1"/>
  <c r="N483" i="1"/>
  <c r="P483" i="1"/>
  <c r="N481" i="1"/>
  <c r="P481" i="1"/>
  <c r="N479" i="1"/>
  <c r="P479" i="1"/>
  <c r="N477" i="1"/>
  <c r="P477" i="1"/>
  <c r="N475" i="1"/>
  <c r="P475" i="1"/>
  <c r="N473" i="1"/>
  <c r="P473" i="1"/>
  <c r="N471" i="1"/>
  <c r="P471" i="1"/>
  <c r="N469" i="1"/>
  <c r="P469" i="1"/>
  <c r="N467" i="1"/>
  <c r="P467" i="1"/>
  <c r="N465" i="1"/>
  <c r="P465" i="1"/>
  <c r="N463" i="1"/>
  <c r="P463" i="1"/>
  <c r="N461" i="1"/>
  <c r="P461" i="1"/>
  <c r="N459" i="1"/>
  <c r="P459" i="1"/>
  <c r="N457" i="1"/>
  <c r="P457" i="1"/>
  <c r="N455" i="1"/>
  <c r="P455" i="1"/>
  <c r="N453" i="1"/>
  <c r="P453" i="1"/>
  <c r="N451" i="1"/>
  <c r="P451" i="1"/>
  <c r="N449" i="1"/>
  <c r="P449" i="1"/>
  <c r="N447" i="1"/>
  <c r="P447" i="1"/>
  <c r="N445" i="1"/>
  <c r="P445" i="1"/>
  <c r="N443" i="1"/>
  <c r="P443" i="1"/>
  <c r="N441" i="1"/>
  <c r="P441" i="1"/>
  <c r="N439" i="1"/>
  <c r="P439" i="1"/>
  <c r="N437" i="1"/>
  <c r="P437" i="1"/>
  <c r="N435" i="1"/>
  <c r="P435" i="1"/>
  <c r="N433" i="1"/>
  <c r="P433" i="1"/>
  <c r="N431" i="1"/>
  <c r="P431" i="1"/>
  <c r="N429" i="1"/>
  <c r="P429" i="1"/>
  <c r="N427" i="1"/>
  <c r="P427" i="1"/>
  <c r="N425" i="1"/>
  <c r="P425" i="1"/>
  <c r="N423" i="1"/>
  <c r="P423" i="1"/>
  <c r="N421" i="1"/>
  <c r="P421" i="1"/>
  <c r="N419" i="1"/>
  <c r="P419" i="1"/>
  <c r="N417" i="1"/>
  <c r="P417" i="1"/>
  <c r="N415" i="1"/>
  <c r="P415" i="1"/>
  <c r="N413" i="1"/>
  <c r="P413" i="1"/>
  <c r="N411" i="1"/>
  <c r="P411" i="1"/>
  <c r="N409" i="1"/>
  <c r="P409" i="1"/>
  <c r="N407" i="1"/>
  <c r="P407" i="1"/>
  <c r="N405" i="1"/>
  <c r="P405" i="1"/>
  <c r="N403" i="1"/>
  <c r="P403" i="1"/>
  <c r="N401" i="1"/>
  <c r="P401" i="1"/>
  <c r="N399" i="1"/>
  <c r="P399" i="1"/>
  <c r="N397" i="1"/>
  <c r="P397" i="1"/>
  <c r="N395" i="1"/>
  <c r="P395" i="1"/>
  <c r="N393" i="1"/>
  <c r="P393" i="1"/>
  <c r="N391" i="1"/>
  <c r="P391" i="1"/>
  <c r="N389" i="1"/>
  <c r="P389" i="1"/>
  <c r="N387" i="1"/>
  <c r="P387" i="1"/>
  <c r="N385" i="1"/>
  <c r="P385" i="1"/>
  <c r="N383" i="1"/>
  <c r="P383" i="1"/>
  <c r="N381" i="1"/>
  <c r="P381" i="1"/>
  <c r="N379" i="1"/>
  <c r="P379" i="1"/>
  <c r="N377" i="1"/>
  <c r="P377" i="1"/>
  <c r="N375" i="1"/>
  <c r="P375" i="1"/>
  <c r="N373" i="1"/>
  <c r="P373" i="1"/>
  <c r="N371" i="1"/>
  <c r="P371" i="1"/>
  <c r="N369" i="1"/>
  <c r="P369" i="1"/>
  <c r="N367" i="1"/>
  <c r="P367" i="1"/>
  <c r="N365" i="1"/>
  <c r="P365" i="1"/>
  <c r="N363" i="1"/>
  <c r="P363" i="1"/>
  <c r="N361" i="1"/>
  <c r="P361" i="1"/>
  <c r="N359" i="1"/>
  <c r="P359" i="1"/>
  <c r="N357" i="1"/>
  <c r="P357" i="1"/>
  <c r="N355" i="1"/>
  <c r="P355" i="1"/>
  <c r="N353" i="1"/>
  <c r="P353" i="1"/>
  <c r="N351" i="1"/>
  <c r="P351" i="1"/>
  <c r="N349" i="1"/>
  <c r="P349" i="1"/>
  <c r="N347" i="1"/>
  <c r="P347" i="1"/>
  <c r="N345" i="1"/>
  <c r="P345" i="1"/>
  <c r="N343" i="1"/>
  <c r="P343" i="1"/>
  <c r="N341" i="1"/>
  <c r="P341" i="1"/>
  <c r="N339" i="1"/>
  <c r="P339" i="1"/>
  <c r="N337" i="1"/>
  <c r="P337" i="1"/>
  <c r="N335" i="1"/>
  <c r="P335" i="1"/>
  <c r="N333" i="1"/>
  <c r="P333" i="1"/>
  <c r="N331" i="1"/>
  <c r="P331" i="1"/>
  <c r="N329" i="1"/>
  <c r="P329" i="1"/>
  <c r="N327" i="1"/>
  <c r="P327" i="1"/>
  <c r="N325" i="1"/>
  <c r="P325" i="1"/>
  <c r="N323" i="1"/>
  <c r="P323" i="1"/>
  <c r="N321" i="1"/>
  <c r="P321" i="1"/>
  <c r="N319" i="1"/>
  <c r="P319" i="1"/>
  <c r="N317" i="1"/>
  <c r="P317" i="1"/>
  <c r="N315" i="1"/>
  <c r="P315" i="1"/>
  <c r="N313" i="1"/>
  <c r="P313" i="1"/>
  <c r="N311" i="1"/>
  <c r="P311" i="1"/>
  <c r="N309" i="1"/>
  <c r="P309" i="1"/>
  <c r="N307" i="1"/>
  <c r="P307" i="1"/>
  <c r="N305" i="1"/>
  <c r="P305" i="1"/>
  <c r="N303" i="1"/>
  <c r="P303" i="1"/>
  <c r="N301" i="1"/>
  <c r="P301" i="1"/>
  <c r="N299" i="1"/>
  <c r="P299" i="1"/>
  <c r="N297" i="1"/>
  <c r="P297" i="1"/>
  <c r="N295" i="1"/>
  <c r="P295" i="1"/>
  <c r="N293" i="1"/>
  <c r="P293" i="1"/>
  <c r="N291" i="1"/>
  <c r="P291" i="1"/>
  <c r="N289" i="1"/>
  <c r="P289" i="1"/>
  <c r="N287" i="1"/>
  <c r="P287" i="1"/>
  <c r="N285" i="1"/>
  <c r="P285" i="1"/>
  <c r="N283" i="1"/>
  <c r="P283" i="1"/>
  <c r="N281" i="1"/>
  <c r="P281" i="1"/>
  <c r="N279" i="1"/>
  <c r="P279" i="1"/>
  <c r="N277" i="1"/>
  <c r="P277" i="1"/>
  <c r="N275" i="1"/>
  <c r="P275" i="1"/>
  <c r="N273" i="1"/>
  <c r="P273" i="1"/>
  <c r="N271" i="1"/>
  <c r="P271" i="1"/>
  <c r="N269" i="1"/>
  <c r="P269" i="1"/>
  <c r="N267" i="1"/>
  <c r="P267" i="1"/>
  <c r="N265" i="1"/>
  <c r="P265" i="1"/>
  <c r="N263" i="1"/>
  <c r="P263" i="1"/>
  <c r="N261" i="1"/>
  <c r="P261" i="1"/>
  <c r="N259" i="1"/>
  <c r="P259" i="1"/>
  <c r="N257" i="1"/>
  <c r="P257" i="1"/>
  <c r="N255" i="1"/>
  <c r="P255" i="1"/>
  <c r="N253" i="1"/>
  <c r="P253" i="1"/>
  <c r="N251" i="1"/>
  <c r="P251" i="1"/>
  <c r="N249" i="1"/>
  <c r="P249" i="1"/>
  <c r="N247" i="1"/>
  <c r="P247" i="1"/>
  <c r="N245" i="1"/>
  <c r="P245" i="1"/>
  <c r="N243" i="1"/>
  <c r="P243" i="1"/>
  <c r="N241" i="1"/>
  <c r="P241" i="1"/>
  <c r="N239" i="1"/>
  <c r="P239" i="1"/>
  <c r="N237" i="1"/>
  <c r="P237" i="1"/>
  <c r="N235" i="1"/>
  <c r="P235" i="1"/>
  <c r="N233" i="1"/>
  <c r="P233" i="1"/>
  <c r="N231" i="1"/>
  <c r="P231" i="1"/>
  <c r="N229" i="1"/>
  <c r="P229" i="1"/>
  <c r="N227" i="1"/>
  <c r="P227" i="1"/>
  <c r="N225" i="1"/>
  <c r="P225" i="1"/>
  <c r="N223" i="1"/>
  <c r="P223" i="1"/>
  <c r="N221" i="1"/>
  <c r="P221" i="1"/>
  <c r="N219" i="1"/>
  <c r="P219" i="1"/>
  <c r="N217" i="1"/>
  <c r="P217" i="1"/>
  <c r="N215" i="1"/>
  <c r="P215" i="1"/>
  <c r="N213" i="1"/>
  <c r="P213" i="1"/>
  <c r="N211" i="1"/>
  <c r="P211" i="1"/>
  <c r="N209" i="1"/>
  <c r="P209" i="1"/>
  <c r="N207" i="1"/>
  <c r="P207" i="1"/>
  <c r="N205" i="1"/>
  <c r="P205" i="1"/>
  <c r="N203" i="1"/>
  <c r="P203" i="1"/>
  <c r="N201" i="1"/>
  <c r="P201" i="1"/>
  <c r="N199" i="1"/>
  <c r="P199" i="1"/>
  <c r="N197" i="1"/>
  <c r="P197" i="1"/>
  <c r="N195" i="1"/>
  <c r="P195" i="1"/>
  <c r="N193" i="1"/>
  <c r="P193" i="1"/>
  <c r="N191" i="1"/>
  <c r="P191" i="1"/>
  <c r="N189" i="1"/>
  <c r="P189" i="1"/>
  <c r="N187" i="1"/>
  <c r="P187" i="1"/>
  <c r="N185" i="1"/>
  <c r="P185" i="1"/>
  <c r="N183" i="1"/>
  <c r="P183" i="1"/>
  <c r="N181" i="1"/>
  <c r="P181" i="1"/>
  <c r="N179" i="1"/>
  <c r="P179" i="1"/>
  <c r="N177" i="1"/>
  <c r="P177" i="1"/>
  <c r="N175" i="1"/>
  <c r="P175" i="1"/>
  <c r="N173" i="1"/>
  <c r="P173" i="1"/>
  <c r="N171" i="1"/>
  <c r="P171" i="1"/>
  <c r="N169" i="1"/>
  <c r="P169" i="1"/>
  <c r="N167" i="1"/>
  <c r="P167" i="1"/>
  <c r="N165" i="1"/>
  <c r="P165" i="1"/>
  <c r="N163" i="1"/>
  <c r="P163" i="1"/>
  <c r="N161" i="1"/>
  <c r="P161" i="1"/>
  <c r="N159" i="1"/>
  <c r="P159" i="1"/>
  <c r="N157" i="1"/>
  <c r="P157" i="1"/>
  <c r="N155" i="1"/>
  <c r="P155" i="1"/>
  <c r="N153" i="1"/>
  <c r="P153" i="1"/>
  <c r="N151" i="1"/>
  <c r="P151" i="1"/>
  <c r="N149" i="1"/>
  <c r="P149" i="1"/>
  <c r="N147" i="1"/>
  <c r="P147" i="1"/>
  <c r="N145" i="1"/>
  <c r="P145" i="1"/>
  <c r="N143" i="1"/>
  <c r="P143" i="1"/>
  <c r="N141" i="1"/>
  <c r="P141" i="1"/>
  <c r="N139" i="1"/>
  <c r="P139" i="1"/>
  <c r="N137" i="1"/>
  <c r="P137" i="1"/>
  <c r="N135" i="1"/>
  <c r="P135" i="1"/>
  <c r="N133" i="1"/>
  <c r="P133" i="1"/>
  <c r="N998" i="1"/>
  <c r="P998" i="1"/>
  <c r="N996" i="1"/>
  <c r="P996" i="1"/>
  <c r="N994" i="1"/>
  <c r="P994" i="1"/>
  <c r="N992" i="1"/>
  <c r="P992" i="1"/>
  <c r="N990" i="1"/>
  <c r="P990" i="1"/>
  <c r="N988" i="1"/>
  <c r="P988" i="1"/>
  <c r="N986" i="1"/>
  <c r="P986" i="1"/>
  <c r="N984" i="1"/>
  <c r="P984" i="1"/>
  <c r="N982" i="1"/>
  <c r="P982" i="1"/>
  <c r="N980" i="1"/>
  <c r="P980" i="1"/>
  <c r="N978" i="1"/>
  <c r="P978" i="1"/>
  <c r="N976" i="1"/>
  <c r="P976" i="1"/>
  <c r="N974" i="1"/>
  <c r="P974" i="1"/>
  <c r="N972" i="1"/>
  <c r="P972" i="1"/>
  <c r="N970" i="1"/>
  <c r="P970" i="1"/>
  <c r="N968" i="1"/>
  <c r="P968" i="1"/>
  <c r="N966" i="1"/>
  <c r="P966" i="1"/>
  <c r="N964" i="1"/>
  <c r="P964" i="1"/>
  <c r="N962" i="1"/>
  <c r="P962" i="1"/>
  <c r="N960" i="1"/>
  <c r="P960" i="1"/>
  <c r="N958" i="1"/>
  <c r="P958" i="1"/>
  <c r="N956" i="1"/>
  <c r="P956" i="1"/>
  <c r="N954" i="1"/>
  <c r="P954" i="1"/>
  <c r="N952" i="1"/>
  <c r="P952" i="1"/>
  <c r="N950" i="1"/>
  <c r="P950" i="1"/>
  <c r="N948" i="1"/>
  <c r="P948" i="1"/>
  <c r="N946" i="1"/>
  <c r="P946" i="1"/>
  <c r="N944" i="1"/>
  <c r="P944" i="1"/>
  <c r="N942" i="1"/>
  <c r="P942" i="1"/>
  <c r="N940" i="1"/>
  <c r="P940" i="1"/>
  <c r="N938" i="1"/>
  <c r="P938" i="1"/>
  <c r="N936" i="1"/>
  <c r="P936" i="1"/>
  <c r="N934" i="1"/>
  <c r="P934" i="1"/>
  <c r="N932" i="1"/>
  <c r="P932" i="1"/>
  <c r="N930" i="1"/>
  <c r="P930" i="1"/>
  <c r="N928" i="1"/>
  <c r="P928" i="1"/>
  <c r="N926" i="1"/>
  <c r="P926" i="1"/>
  <c r="N924" i="1"/>
  <c r="P924" i="1"/>
  <c r="N922" i="1"/>
  <c r="P922" i="1"/>
  <c r="N920" i="1"/>
  <c r="P920" i="1"/>
  <c r="N918" i="1"/>
  <c r="P918" i="1"/>
  <c r="N916" i="1"/>
  <c r="P916" i="1"/>
  <c r="N914" i="1"/>
  <c r="P914" i="1"/>
  <c r="N912" i="1"/>
  <c r="P912" i="1"/>
  <c r="N910" i="1"/>
  <c r="P910" i="1"/>
  <c r="N908" i="1"/>
  <c r="P908" i="1"/>
  <c r="N906" i="1"/>
  <c r="P906" i="1"/>
  <c r="N904" i="1"/>
  <c r="P904" i="1"/>
  <c r="N902" i="1"/>
  <c r="P902" i="1"/>
  <c r="N900" i="1"/>
  <c r="P900" i="1"/>
  <c r="N898" i="1"/>
  <c r="P898" i="1"/>
  <c r="N896" i="1"/>
  <c r="P896" i="1"/>
  <c r="N894" i="1"/>
  <c r="P894" i="1"/>
  <c r="N892" i="1"/>
  <c r="P892" i="1"/>
  <c r="N890" i="1"/>
  <c r="P890" i="1"/>
  <c r="N888" i="1"/>
  <c r="P888" i="1"/>
  <c r="N886" i="1"/>
  <c r="P886" i="1"/>
  <c r="N884" i="1"/>
  <c r="P884" i="1"/>
  <c r="N882" i="1"/>
  <c r="P882" i="1"/>
  <c r="N880" i="1"/>
  <c r="P880" i="1"/>
  <c r="N878" i="1"/>
  <c r="P878" i="1"/>
  <c r="N876" i="1"/>
  <c r="P876" i="1"/>
  <c r="N874" i="1"/>
  <c r="P874" i="1"/>
  <c r="N872" i="1"/>
  <c r="P872" i="1"/>
  <c r="N870" i="1"/>
  <c r="P870" i="1"/>
  <c r="N868" i="1"/>
  <c r="P868" i="1"/>
  <c r="N866" i="1"/>
  <c r="P866" i="1"/>
  <c r="N864" i="1"/>
  <c r="P864" i="1"/>
  <c r="N862" i="1"/>
  <c r="P862" i="1"/>
  <c r="N860" i="1"/>
  <c r="P860" i="1"/>
  <c r="N858" i="1"/>
  <c r="P858" i="1"/>
  <c r="N856" i="1"/>
  <c r="P856" i="1"/>
  <c r="N854" i="1"/>
  <c r="P854" i="1"/>
  <c r="N852" i="1"/>
  <c r="P852" i="1"/>
  <c r="N850" i="1"/>
  <c r="P850" i="1"/>
  <c r="N848" i="1"/>
  <c r="P848" i="1"/>
  <c r="N846" i="1"/>
  <c r="P846" i="1"/>
  <c r="N844" i="1"/>
  <c r="P844" i="1"/>
  <c r="N842" i="1"/>
  <c r="P842" i="1"/>
  <c r="N840" i="1"/>
  <c r="P840" i="1"/>
  <c r="N838" i="1"/>
  <c r="P838" i="1"/>
  <c r="N836" i="1"/>
  <c r="P836" i="1"/>
  <c r="N834" i="1"/>
  <c r="P834" i="1"/>
  <c r="N832" i="1"/>
  <c r="P832" i="1"/>
  <c r="N830" i="1"/>
  <c r="P830" i="1"/>
  <c r="N828" i="1"/>
  <c r="P828" i="1"/>
  <c r="N826" i="1"/>
  <c r="P826" i="1"/>
  <c r="N824" i="1"/>
  <c r="P824" i="1"/>
  <c r="N822" i="1"/>
  <c r="P822" i="1"/>
  <c r="N820" i="1"/>
  <c r="P820" i="1"/>
  <c r="N818" i="1"/>
  <c r="P818" i="1"/>
  <c r="N816" i="1"/>
  <c r="P816" i="1"/>
  <c r="N814" i="1"/>
  <c r="P814" i="1"/>
  <c r="N812" i="1"/>
  <c r="P812" i="1"/>
  <c r="N810" i="1"/>
  <c r="P810" i="1"/>
  <c r="N808" i="1"/>
  <c r="P808" i="1"/>
  <c r="N806" i="1"/>
  <c r="P806" i="1"/>
  <c r="N804" i="1"/>
  <c r="P804" i="1"/>
  <c r="N802" i="1"/>
  <c r="P802" i="1"/>
  <c r="N800" i="1"/>
  <c r="P800" i="1"/>
  <c r="N798" i="1"/>
  <c r="P798" i="1"/>
  <c r="N796" i="1"/>
  <c r="P796" i="1"/>
  <c r="N794" i="1"/>
  <c r="P794" i="1"/>
  <c r="N792" i="1"/>
  <c r="P792" i="1"/>
  <c r="N790" i="1"/>
  <c r="P790" i="1"/>
  <c r="N788" i="1"/>
  <c r="P788" i="1"/>
  <c r="N786" i="1"/>
  <c r="P786" i="1"/>
  <c r="N784" i="1"/>
  <c r="P784" i="1"/>
  <c r="N782" i="1"/>
  <c r="P782" i="1"/>
  <c r="N780" i="1"/>
  <c r="P780" i="1"/>
  <c r="N778" i="1"/>
  <c r="P778" i="1"/>
  <c r="N776" i="1"/>
  <c r="P776" i="1"/>
  <c r="N774" i="1"/>
  <c r="P774" i="1"/>
  <c r="N772" i="1"/>
  <c r="P772" i="1"/>
  <c r="N770" i="1"/>
  <c r="P770" i="1"/>
  <c r="N768" i="1"/>
  <c r="P768" i="1"/>
  <c r="N766" i="1"/>
  <c r="P766" i="1"/>
  <c r="N764" i="1"/>
  <c r="P764" i="1"/>
  <c r="N762" i="1"/>
  <c r="P762" i="1"/>
  <c r="N760" i="1"/>
  <c r="P760" i="1"/>
  <c r="N758" i="1"/>
  <c r="P758" i="1"/>
  <c r="N756" i="1"/>
  <c r="P756" i="1"/>
  <c r="N754" i="1"/>
  <c r="P754" i="1"/>
  <c r="N752" i="1"/>
  <c r="P752" i="1"/>
  <c r="N750" i="1"/>
  <c r="P750" i="1"/>
  <c r="N748" i="1"/>
  <c r="P748" i="1"/>
  <c r="N746" i="1"/>
  <c r="P746" i="1"/>
  <c r="N744" i="1"/>
  <c r="P744" i="1"/>
  <c r="N742" i="1"/>
  <c r="P742" i="1"/>
  <c r="N740" i="1"/>
  <c r="P740" i="1"/>
  <c r="N738" i="1"/>
  <c r="P738" i="1"/>
  <c r="N736" i="1"/>
  <c r="P736" i="1"/>
  <c r="N734" i="1"/>
  <c r="P734" i="1"/>
  <c r="N732" i="1"/>
  <c r="P732" i="1"/>
  <c r="N730" i="1"/>
  <c r="P730" i="1"/>
  <c r="N728" i="1"/>
  <c r="P728" i="1"/>
  <c r="N726" i="1"/>
  <c r="P726" i="1"/>
  <c r="N724" i="1"/>
  <c r="P724" i="1"/>
  <c r="N722" i="1"/>
  <c r="P722" i="1"/>
  <c r="N720" i="1"/>
  <c r="P720" i="1"/>
  <c r="N718" i="1"/>
  <c r="P718" i="1"/>
  <c r="N716" i="1"/>
  <c r="P716" i="1"/>
  <c r="N714" i="1"/>
  <c r="P714" i="1"/>
  <c r="N712" i="1"/>
  <c r="P712" i="1"/>
  <c r="N710" i="1"/>
  <c r="P710" i="1"/>
  <c r="N708" i="1"/>
  <c r="P708" i="1"/>
  <c r="N706" i="1"/>
  <c r="P706" i="1"/>
  <c r="N704" i="1"/>
  <c r="P704" i="1"/>
  <c r="N702" i="1"/>
  <c r="P702" i="1"/>
  <c r="N700" i="1"/>
  <c r="P700" i="1"/>
  <c r="N698" i="1"/>
  <c r="P698" i="1"/>
  <c r="N696" i="1"/>
  <c r="P696" i="1"/>
  <c r="N694" i="1"/>
  <c r="P694" i="1"/>
  <c r="N692" i="1"/>
  <c r="P692" i="1"/>
  <c r="N690" i="1"/>
  <c r="P690" i="1"/>
  <c r="N688" i="1"/>
  <c r="P688" i="1"/>
  <c r="N686" i="1"/>
  <c r="P686" i="1"/>
  <c r="N684" i="1"/>
  <c r="P684" i="1"/>
  <c r="N682" i="1"/>
  <c r="P682" i="1"/>
  <c r="N680" i="1"/>
  <c r="P680" i="1"/>
  <c r="N678" i="1"/>
  <c r="P678" i="1"/>
  <c r="N676" i="1"/>
  <c r="P676" i="1"/>
  <c r="N674" i="1"/>
  <c r="P674" i="1"/>
  <c r="N672" i="1"/>
  <c r="P672" i="1"/>
  <c r="N670" i="1"/>
  <c r="P670" i="1"/>
  <c r="N668" i="1"/>
  <c r="P668" i="1"/>
  <c r="N666" i="1"/>
  <c r="P666" i="1"/>
  <c r="N664" i="1"/>
  <c r="P664" i="1"/>
  <c r="N662" i="1"/>
  <c r="P662" i="1"/>
  <c r="N660" i="1"/>
  <c r="P660" i="1"/>
  <c r="N658" i="1"/>
  <c r="P658" i="1"/>
  <c r="N656" i="1"/>
  <c r="P656" i="1"/>
  <c r="N654" i="1"/>
  <c r="P654" i="1"/>
  <c r="N652" i="1"/>
  <c r="P652" i="1"/>
  <c r="N650" i="1"/>
  <c r="P650" i="1"/>
  <c r="N648" i="1"/>
  <c r="P648" i="1"/>
  <c r="N646" i="1"/>
  <c r="P646" i="1"/>
  <c r="N644" i="1"/>
  <c r="P644" i="1"/>
  <c r="N642" i="1"/>
  <c r="P642" i="1"/>
  <c r="N640" i="1"/>
  <c r="P640" i="1"/>
  <c r="N638" i="1"/>
  <c r="P638" i="1"/>
  <c r="N636" i="1"/>
  <c r="P636" i="1"/>
  <c r="N634" i="1"/>
  <c r="P634" i="1"/>
  <c r="N632" i="1"/>
  <c r="P632" i="1"/>
  <c r="N630" i="1"/>
  <c r="P630" i="1"/>
  <c r="N628" i="1"/>
  <c r="P628" i="1"/>
  <c r="N626" i="1"/>
  <c r="P626" i="1"/>
  <c r="N624" i="1"/>
  <c r="P624" i="1"/>
  <c r="N622" i="1"/>
  <c r="P622" i="1"/>
  <c r="N620" i="1"/>
  <c r="P620" i="1"/>
  <c r="N618" i="1"/>
  <c r="P618" i="1"/>
  <c r="N616" i="1"/>
  <c r="P616" i="1"/>
  <c r="N614" i="1"/>
  <c r="P614" i="1"/>
  <c r="N612" i="1"/>
  <c r="P612" i="1"/>
  <c r="N610" i="1"/>
  <c r="P610" i="1"/>
  <c r="N608" i="1"/>
  <c r="P608" i="1"/>
  <c r="N606" i="1"/>
  <c r="P606" i="1"/>
  <c r="N604" i="1"/>
  <c r="P604" i="1"/>
  <c r="N602" i="1"/>
  <c r="P602" i="1"/>
  <c r="N600" i="1"/>
  <c r="P600" i="1"/>
  <c r="N598" i="1"/>
  <c r="P598" i="1"/>
  <c r="N596" i="1"/>
  <c r="P596" i="1"/>
  <c r="N594" i="1"/>
  <c r="P594" i="1"/>
  <c r="N592" i="1"/>
  <c r="P592" i="1"/>
  <c r="N590" i="1"/>
  <c r="P590" i="1"/>
  <c r="N588" i="1"/>
  <c r="P588" i="1"/>
  <c r="N586" i="1"/>
  <c r="P586" i="1"/>
  <c r="N584" i="1"/>
  <c r="P584" i="1"/>
  <c r="N582" i="1"/>
  <c r="P582" i="1"/>
  <c r="N580" i="1"/>
  <c r="P580" i="1"/>
  <c r="N578" i="1"/>
  <c r="P578" i="1"/>
  <c r="N576" i="1"/>
  <c r="P576" i="1"/>
  <c r="N574" i="1"/>
  <c r="P574" i="1"/>
  <c r="N572" i="1"/>
  <c r="P572" i="1"/>
  <c r="N570" i="1"/>
  <c r="P570" i="1"/>
  <c r="N568" i="1"/>
  <c r="P568" i="1"/>
  <c r="N566" i="1"/>
  <c r="P566" i="1"/>
  <c r="N564" i="1"/>
  <c r="P564" i="1"/>
  <c r="N562" i="1"/>
  <c r="P562" i="1"/>
  <c r="N560" i="1"/>
  <c r="P560" i="1"/>
  <c r="N558" i="1"/>
  <c r="P558" i="1"/>
  <c r="N556" i="1"/>
  <c r="P556" i="1"/>
  <c r="N554" i="1"/>
  <c r="P554" i="1"/>
  <c r="N552" i="1"/>
  <c r="P552" i="1"/>
  <c r="N550" i="1"/>
  <c r="P550" i="1"/>
  <c r="N548" i="1"/>
  <c r="P548" i="1"/>
  <c r="N546" i="1"/>
  <c r="P546" i="1"/>
  <c r="N544" i="1"/>
  <c r="P544" i="1"/>
  <c r="N542" i="1"/>
  <c r="P542" i="1"/>
  <c r="N540" i="1"/>
  <c r="P540" i="1"/>
  <c r="N538" i="1"/>
  <c r="P538" i="1"/>
  <c r="N536" i="1"/>
  <c r="P536" i="1"/>
  <c r="N534" i="1"/>
  <c r="P534" i="1"/>
  <c r="N532" i="1"/>
  <c r="P532" i="1"/>
  <c r="N530" i="1"/>
  <c r="P530" i="1"/>
  <c r="N528" i="1"/>
  <c r="P528" i="1"/>
  <c r="N526" i="1"/>
  <c r="P526" i="1"/>
  <c r="N524" i="1"/>
  <c r="P524" i="1"/>
  <c r="N522" i="1"/>
  <c r="P522" i="1"/>
  <c r="N520" i="1"/>
  <c r="P520" i="1"/>
  <c r="N518" i="1"/>
  <c r="P518" i="1"/>
  <c r="N131" i="1"/>
  <c r="P131" i="1"/>
  <c r="N129" i="1"/>
  <c r="P129" i="1"/>
  <c r="N127" i="1"/>
  <c r="P127" i="1"/>
  <c r="N125" i="1"/>
  <c r="P125" i="1"/>
  <c r="N123" i="1"/>
  <c r="P123" i="1"/>
  <c r="N121" i="1"/>
  <c r="P121" i="1"/>
  <c r="N119" i="1"/>
  <c r="P119" i="1"/>
  <c r="N117" i="1"/>
  <c r="P117" i="1"/>
  <c r="N115" i="1"/>
  <c r="P115" i="1"/>
  <c r="N113" i="1"/>
  <c r="P113" i="1"/>
  <c r="N111" i="1"/>
  <c r="P111" i="1"/>
  <c r="N109" i="1"/>
  <c r="P109" i="1"/>
  <c r="N107" i="1"/>
  <c r="P107" i="1"/>
  <c r="N105" i="1"/>
  <c r="P105" i="1"/>
  <c r="N103" i="1"/>
  <c r="P103" i="1"/>
  <c r="N101" i="1"/>
  <c r="P101" i="1"/>
  <c r="N99" i="1"/>
  <c r="P99" i="1"/>
  <c r="N97" i="1"/>
  <c r="P97" i="1"/>
  <c r="N95" i="1"/>
  <c r="P95" i="1"/>
  <c r="N93" i="1"/>
  <c r="P93" i="1"/>
  <c r="N91" i="1"/>
  <c r="P91" i="1"/>
  <c r="N89" i="1"/>
  <c r="P89" i="1"/>
  <c r="N87" i="1"/>
  <c r="P87" i="1"/>
  <c r="N85" i="1"/>
  <c r="P85" i="1"/>
  <c r="N83" i="1"/>
  <c r="P83" i="1"/>
  <c r="N81" i="1"/>
  <c r="P81" i="1"/>
  <c r="N79" i="1"/>
  <c r="P79" i="1"/>
  <c r="N77" i="1"/>
  <c r="P77" i="1"/>
  <c r="N75" i="1"/>
  <c r="P75" i="1"/>
  <c r="N73" i="1"/>
  <c r="P73" i="1"/>
  <c r="N71" i="1"/>
  <c r="P71" i="1"/>
  <c r="N69" i="1"/>
  <c r="P69" i="1"/>
  <c r="N67" i="1"/>
  <c r="P67" i="1"/>
  <c r="N65" i="1"/>
  <c r="P65" i="1"/>
  <c r="N63" i="1"/>
  <c r="P63" i="1"/>
  <c r="N61" i="1"/>
  <c r="P61" i="1"/>
  <c r="N59" i="1"/>
  <c r="P59" i="1"/>
  <c r="N57" i="1"/>
  <c r="P57" i="1"/>
  <c r="N55" i="1"/>
  <c r="P55" i="1"/>
  <c r="N53" i="1"/>
  <c r="P53" i="1"/>
  <c r="N51" i="1"/>
  <c r="P51" i="1"/>
  <c r="N49" i="1"/>
  <c r="P49" i="1"/>
  <c r="N47" i="1"/>
  <c r="P47" i="1"/>
  <c r="N45" i="1"/>
  <c r="P45" i="1"/>
  <c r="N43" i="1"/>
  <c r="P43" i="1"/>
  <c r="N41" i="1"/>
  <c r="P41" i="1"/>
  <c r="N39" i="1"/>
  <c r="P39" i="1"/>
  <c r="N37" i="1"/>
  <c r="P37" i="1"/>
  <c r="N35" i="1"/>
  <c r="P35" i="1"/>
  <c r="N33" i="1"/>
  <c r="P33" i="1"/>
  <c r="N31" i="1"/>
  <c r="P31" i="1"/>
  <c r="N29" i="1"/>
  <c r="P29" i="1"/>
  <c r="N27" i="1"/>
  <c r="P27" i="1"/>
  <c r="N25" i="1"/>
  <c r="P25" i="1"/>
  <c r="N23" i="1"/>
  <c r="P23" i="1"/>
  <c r="N21" i="1"/>
  <c r="P21" i="1"/>
  <c r="N19" i="1"/>
  <c r="P19" i="1"/>
  <c r="N17" i="1"/>
  <c r="P17" i="1"/>
  <c r="N15" i="1"/>
  <c r="P15" i="1"/>
  <c r="N13" i="1"/>
  <c r="P13" i="1"/>
  <c r="N11" i="1"/>
  <c r="P11" i="1"/>
  <c r="N9" i="1"/>
  <c r="P9" i="1"/>
  <c r="N7" i="1"/>
  <c r="P7" i="1"/>
  <c r="N516" i="1"/>
  <c r="P516" i="1"/>
  <c r="N514" i="1"/>
  <c r="P514" i="1"/>
  <c r="N512" i="1"/>
  <c r="P512" i="1"/>
  <c r="N510" i="1"/>
  <c r="P510" i="1"/>
  <c r="N508" i="1"/>
  <c r="P508" i="1"/>
  <c r="N506" i="1"/>
  <c r="P506" i="1"/>
  <c r="N504" i="1"/>
  <c r="P504" i="1"/>
  <c r="N502" i="1"/>
  <c r="P502" i="1"/>
  <c r="N500" i="1"/>
  <c r="P500" i="1"/>
  <c r="N498" i="1"/>
  <c r="P498" i="1"/>
  <c r="N496" i="1"/>
  <c r="P496" i="1"/>
  <c r="N494" i="1"/>
  <c r="P494" i="1"/>
  <c r="N492" i="1"/>
  <c r="P492" i="1"/>
  <c r="N490" i="1"/>
  <c r="P490" i="1"/>
  <c r="N488" i="1"/>
  <c r="P488" i="1"/>
  <c r="N486" i="1"/>
  <c r="P486" i="1"/>
  <c r="N484" i="1"/>
  <c r="P484" i="1"/>
  <c r="N482" i="1"/>
  <c r="P482" i="1"/>
  <c r="N480" i="1"/>
  <c r="P480" i="1"/>
  <c r="N478" i="1"/>
  <c r="P478" i="1"/>
  <c r="N476" i="1"/>
  <c r="P476" i="1"/>
  <c r="N474" i="1"/>
  <c r="P474" i="1"/>
  <c r="N472" i="1"/>
  <c r="P472" i="1"/>
  <c r="N470" i="1"/>
  <c r="P470" i="1"/>
  <c r="N468" i="1"/>
  <c r="P468" i="1"/>
  <c r="N466" i="1"/>
  <c r="P466" i="1"/>
  <c r="N464" i="1"/>
  <c r="P464" i="1"/>
  <c r="N462" i="1"/>
  <c r="P462" i="1"/>
  <c r="N460" i="1"/>
  <c r="P460" i="1"/>
  <c r="N458" i="1"/>
  <c r="P458" i="1"/>
  <c r="N456" i="1"/>
  <c r="P456" i="1"/>
  <c r="N454" i="1"/>
  <c r="P454" i="1"/>
  <c r="N452" i="1"/>
  <c r="P452" i="1"/>
  <c r="N450" i="1"/>
  <c r="P450" i="1"/>
  <c r="N448" i="1"/>
  <c r="P448" i="1"/>
  <c r="N446" i="1"/>
  <c r="P446" i="1"/>
  <c r="N444" i="1"/>
  <c r="P444" i="1"/>
  <c r="N442" i="1"/>
  <c r="P442" i="1"/>
  <c r="N440" i="1"/>
  <c r="P440" i="1"/>
  <c r="N438" i="1"/>
  <c r="P438" i="1"/>
  <c r="N436" i="1"/>
  <c r="P436" i="1"/>
  <c r="N434" i="1"/>
  <c r="P434" i="1"/>
  <c r="N432" i="1"/>
  <c r="P432" i="1"/>
  <c r="N430" i="1"/>
  <c r="P430" i="1"/>
  <c r="N428" i="1"/>
  <c r="P428" i="1"/>
  <c r="N426" i="1"/>
  <c r="P426" i="1"/>
  <c r="N424" i="1"/>
  <c r="P424" i="1"/>
  <c r="N422" i="1"/>
  <c r="P422" i="1"/>
  <c r="N420" i="1"/>
  <c r="P420" i="1"/>
  <c r="N418" i="1"/>
  <c r="P418" i="1"/>
  <c r="N416" i="1"/>
  <c r="P416" i="1"/>
  <c r="N414" i="1"/>
  <c r="P414" i="1"/>
  <c r="N412" i="1"/>
  <c r="P412" i="1"/>
  <c r="N410" i="1"/>
  <c r="P410" i="1"/>
  <c r="N408" i="1"/>
  <c r="P408" i="1"/>
  <c r="N406" i="1"/>
  <c r="P406" i="1"/>
  <c r="N404" i="1"/>
  <c r="P404" i="1"/>
  <c r="N402" i="1"/>
  <c r="P402" i="1"/>
  <c r="N400" i="1"/>
  <c r="P400" i="1"/>
  <c r="N398" i="1"/>
  <c r="P398" i="1"/>
  <c r="N396" i="1"/>
  <c r="P396" i="1"/>
  <c r="N394" i="1"/>
  <c r="P394" i="1"/>
  <c r="N392" i="1"/>
  <c r="P392" i="1"/>
  <c r="N390" i="1"/>
  <c r="P390" i="1"/>
  <c r="N388" i="1"/>
  <c r="P388" i="1"/>
  <c r="N386" i="1"/>
  <c r="P386" i="1"/>
  <c r="N384" i="1"/>
  <c r="P384" i="1"/>
  <c r="N382" i="1"/>
  <c r="P382" i="1"/>
  <c r="N380" i="1"/>
  <c r="P380" i="1"/>
  <c r="N378" i="1"/>
  <c r="P378" i="1"/>
  <c r="N376" i="1"/>
  <c r="P376" i="1"/>
  <c r="N374" i="1"/>
  <c r="P374" i="1"/>
  <c r="N372" i="1"/>
  <c r="P372" i="1"/>
  <c r="N370" i="1"/>
  <c r="P370" i="1"/>
  <c r="N368" i="1"/>
  <c r="P368" i="1"/>
  <c r="N366" i="1"/>
  <c r="P366" i="1"/>
  <c r="N364" i="1"/>
  <c r="P364" i="1"/>
  <c r="N362" i="1"/>
  <c r="P362" i="1"/>
  <c r="N360" i="1"/>
  <c r="P360" i="1"/>
  <c r="N358" i="1"/>
  <c r="P358" i="1"/>
  <c r="N356" i="1"/>
  <c r="P356" i="1"/>
  <c r="N354" i="1"/>
  <c r="P354" i="1"/>
  <c r="N352" i="1"/>
  <c r="P352" i="1"/>
  <c r="N350" i="1"/>
  <c r="P350" i="1"/>
  <c r="N348" i="1"/>
  <c r="P348" i="1"/>
  <c r="N346" i="1"/>
  <c r="P346" i="1"/>
  <c r="N344" i="1"/>
  <c r="P344" i="1"/>
  <c r="N342" i="1"/>
  <c r="P342" i="1"/>
  <c r="N340" i="1"/>
  <c r="P340" i="1"/>
  <c r="N338" i="1"/>
  <c r="P338" i="1"/>
  <c r="N336" i="1"/>
  <c r="P336" i="1"/>
  <c r="N334" i="1"/>
  <c r="P334" i="1"/>
  <c r="N332" i="1"/>
  <c r="P332" i="1"/>
  <c r="N330" i="1"/>
  <c r="P330" i="1"/>
  <c r="N328" i="1"/>
  <c r="P328" i="1"/>
  <c r="N326" i="1"/>
  <c r="P326" i="1"/>
  <c r="N324" i="1"/>
  <c r="P324" i="1"/>
  <c r="N322" i="1"/>
  <c r="P322" i="1"/>
  <c r="N320" i="1"/>
  <c r="P320" i="1"/>
  <c r="N318" i="1"/>
  <c r="P318" i="1"/>
  <c r="N316" i="1"/>
  <c r="P316" i="1"/>
  <c r="N314" i="1"/>
  <c r="P314" i="1"/>
  <c r="N312" i="1"/>
  <c r="P312" i="1"/>
  <c r="N310" i="1"/>
  <c r="P310" i="1"/>
  <c r="N308" i="1"/>
  <c r="P308" i="1"/>
  <c r="N306" i="1"/>
  <c r="P306" i="1"/>
  <c r="N304" i="1"/>
  <c r="P304" i="1"/>
  <c r="N302" i="1"/>
  <c r="P302" i="1"/>
  <c r="N300" i="1"/>
  <c r="P300" i="1"/>
  <c r="N298" i="1"/>
  <c r="P298" i="1"/>
  <c r="N296" i="1"/>
  <c r="P296" i="1"/>
  <c r="N294" i="1"/>
  <c r="P294" i="1"/>
  <c r="N292" i="1"/>
  <c r="P292" i="1"/>
  <c r="N290" i="1"/>
  <c r="P290" i="1"/>
  <c r="N288" i="1"/>
  <c r="P288" i="1"/>
  <c r="N286" i="1"/>
  <c r="P286" i="1"/>
  <c r="N284" i="1"/>
  <c r="P284" i="1"/>
  <c r="N282" i="1"/>
  <c r="P282" i="1"/>
  <c r="N280" i="1"/>
  <c r="P280" i="1"/>
  <c r="N278" i="1"/>
  <c r="P278" i="1"/>
  <c r="N276" i="1"/>
  <c r="P276" i="1"/>
  <c r="N274" i="1"/>
  <c r="P274" i="1"/>
  <c r="N272" i="1"/>
  <c r="P272" i="1"/>
  <c r="N270" i="1"/>
  <c r="P270" i="1"/>
  <c r="N268" i="1"/>
  <c r="P268" i="1"/>
  <c r="N266" i="1"/>
  <c r="P266" i="1"/>
  <c r="N264" i="1"/>
  <c r="P264" i="1"/>
  <c r="N262" i="1"/>
  <c r="P262" i="1"/>
  <c r="N260" i="1"/>
  <c r="P260" i="1"/>
  <c r="N258" i="1"/>
  <c r="P258" i="1"/>
  <c r="N256" i="1"/>
  <c r="P256" i="1"/>
  <c r="N254" i="1"/>
  <c r="P254" i="1"/>
  <c r="N252" i="1"/>
  <c r="P252" i="1"/>
  <c r="N250" i="1"/>
  <c r="P250" i="1"/>
  <c r="N248" i="1"/>
  <c r="P248" i="1"/>
  <c r="N246" i="1"/>
  <c r="P246" i="1"/>
  <c r="N244" i="1"/>
  <c r="P244" i="1"/>
  <c r="N242" i="1"/>
  <c r="P242" i="1"/>
  <c r="N240" i="1"/>
  <c r="P240" i="1"/>
  <c r="N238" i="1"/>
  <c r="P238" i="1"/>
  <c r="N236" i="1"/>
  <c r="P236" i="1"/>
  <c r="N234" i="1"/>
  <c r="P234" i="1"/>
  <c r="N232" i="1"/>
  <c r="P232" i="1"/>
  <c r="N230" i="1"/>
  <c r="P230" i="1"/>
  <c r="N228" i="1"/>
  <c r="P228" i="1"/>
  <c r="N226" i="1"/>
  <c r="P226" i="1"/>
  <c r="N224" i="1"/>
  <c r="P224" i="1"/>
  <c r="N222" i="1"/>
  <c r="P222" i="1"/>
  <c r="N220" i="1"/>
  <c r="P220" i="1"/>
  <c r="N218" i="1"/>
  <c r="P218" i="1"/>
  <c r="N216" i="1"/>
  <c r="P216" i="1"/>
  <c r="N214" i="1"/>
  <c r="P214" i="1"/>
  <c r="N212" i="1"/>
  <c r="P212" i="1"/>
  <c r="N210" i="1"/>
  <c r="P210" i="1"/>
  <c r="N208" i="1"/>
  <c r="P208" i="1"/>
  <c r="N206" i="1"/>
  <c r="P206" i="1"/>
  <c r="N204" i="1"/>
  <c r="P204" i="1"/>
  <c r="N202" i="1"/>
  <c r="P202" i="1"/>
  <c r="N200" i="1"/>
  <c r="P200" i="1"/>
  <c r="N198" i="1"/>
  <c r="P198" i="1"/>
  <c r="N196" i="1"/>
  <c r="P196" i="1"/>
  <c r="N194" i="1"/>
  <c r="P194" i="1"/>
  <c r="N192" i="1"/>
  <c r="P192" i="1"/>
  <c r="N190" i="1"/>
  <c r="P190" i="1"/>
  <c r="N188" i="1"/>
  <c r="P188" i="1"/>
  <c r="N186" i="1"/>
  <c r="P186" i="1"/>
  <c r="N184" i="1"/>
  <c r="P184" i="1"/>
  <c r="N182" i="1"/>
  <c r="P182" i="1"/>
  <c r="N180" i="1"/>
  <c r="P180" i="1"/>
  <c r="N178" i="1"/>
  <c r="P178" i="1"/>
  <c r="N176" i="1"/>
  <c r="P176" i="1"/>
  <c r="N174" i="1"/>
  <c r="P174" i="1"/>
  <c r="N172" i="1"/>
  <c r="P172" i="1"/>
  <c r="N170" i="1"/>
  <c r="P170" i="1"/>
  <c r="N168" i="1"/>
  <c r="P168" i="1"/>
  <c r="N166" i="1"/>
  <c r="P166" i="1"/>
  <c r="N164" i="1"/>
  <c r="P164" i="1"/>
  <c r="N162" i="1"/>
  <c r="P162" i="1"/>
  <c r="N160" i="1"/>
  <c r="P160" i="1"/>
  <c r="N158" i="1"/>
  <c r="P158" i="1"/>
  <c r="N156" i="1"/>
  <c r="P156" i="1"/>
  <c r="N154" i="1"/>
  <c r="P154" i="1"/>
  <c r="N152" i="1"/>
  <c r="P152" i="1"/>
  <c r="N150" i="1"/>
  <c r="P150" i="1"/>
  <c r="N148" i="1"/>
  <c r="P148" i="1"/>
  <c r="N146" i="1"/>
  <c r="P146" i="1"/>
  <c r="N144" i="1"/>
  <c r="P144" i="1"/>
  <c r="N142" i="1"/>
  <c r="P142" i="1"/>
  <c r="N140" i="1"/>
  <c r="P140" i="1"/>
  <c r="N138" i="1"/>
  <c r="P138" i="1"/>
  <c r="N136" i="1"/>
  <c r="P136" i="1"/>
  <c r="N134" i="1"/>
  <c r="P134" i="1"/>
  <c r="N132" i="1"/>
  <c r="P132" i="1"/>
  <c r="N130" i="1"/>
  <c r="P130" i="1"/>
  <c r="N128" i="1"/>
  <c r="P128" i="1"/>
  <c r="N126" i="1"/>
  <c r="P126" i="1"/>
  <c r="N124" i="1"/>
  <c r="P124" i="1"/>
  <c r="N122" i="1"/>
  <c r="P122" i="1"/>
  <c r="N120" i="1"/>
  <c r="P120" i="1"/>
  <c r="N118" i="1"/>
  <c r="P118" i="1"/>
  <c r="N116" i="1"/>
  <c r="P116" i="1"/>
  <c r="N114" i="1"/>
  <c r="P114" i="1"/>
  <c r="N112" i="1"/>
  <c r="P112" i="1"/>
  <c r="N110" i="1"/>
  <c r="P110" i="1"/>
  <c r="N108" i="1"/>
  <c r="P108" i="1"/>
  <c r="N106" i="1"/>
  <c r="P106" i="1"/>
  <c r="N104" i="1"/>
  <c r="P104" i="1"/>
  <c r="N102" i="1"/>
  <c r="P102" i="1"/>
  <c r="N100" i="1"/>
  <c r="P100" i="1"/>
  <c r="N98" i="1"/>
  <c r="P98" i="1"/>
  <c r="N96" i="1"/>
  <c r="P96" i="1"/>
  <c r="N94" i="1"/>
  <c r="P94" i="1"/>
  <c r="N92" i="1"/>
  <c r="P92" i="1"/>
  <c r="N90" i="1"/>
  <c r="P90" i="1"/>
  <c r="N88" i="1"/>
  <c r="P88" i="1"/>
  <c r="N86" i="1"/>
  <c r="P86" i="1"/>
  <c r="N84" i="1"/>
  <c r="P84" i="1"/>
  <c r="N82" i="1"/>
  <c r="P82" i="1"/>
  <c r="N80" i="1"/>
  <c r="P80" i="1"/>
  <c r="N78" i="1"/>
  <c r="P78" i="1"/>
  <c r="N76" i="1"/>
  <c r="P76" i="1"/>
  <c r="N74" i="1"/>
  <c r="P74" i="1"/>
  <c r="N72" i="1"/>
  <c r="P72" i="1"/>
  <c r="N70" i="1"/>
  <c r="P70" i="1"/>
  <c r="N68" i="1"/>
  <c r="P68" i="1"/>
  <c r="N66" i="1"/>
  <c r="P66" i="1"/>
  <c r="N64" i="1"/>
  <c r="P64" i="1"/>
  <c r="N62" i="1"/>
  <c r="P62" i="1"/>
  <c r="N60" i="1"/>
  <c r="P60" i="1"/>
  <c r="N58" i="1"/>
  <c r="P58" i="1"/>
  <c r="N56" i="1"/>
  <c r="P56" i="1"/>
  <c r="N54" i="1"/>
  <c r="P54" i="1"/>
  <c r="N52" i="1"/>
  <c r="P52" i="1"/>
  <c r="N50" i="1"/>
  <c r="P50" i="1"/>
  <c r="N48" i="1"/>
  <c r="P48" i="1"/>
  <c r="N46" i="1"/>
  <c r="P46" i="1"/>
  <c r="N44" i="1"/>
  <c r="P44" i="1"/>
  <c r="N42" i="1"/>
  <c r="P42" i="1"/>
  <c r="N40" i="1"/>
  <c r="P40" i="1"/>
  <c r="N38" i="1"/>
  <c r="P38" i="1"/>
  <c r="N36" i="1"/>
  <c r="P36" i="1"/>
  <c r="N34" i="1"/>
  <c r="P34" i="1"/>
  <c r="N32" i="1"/>
  <c r="P32" i="1"/>
  <c r="N30" i="1"/>
  <c r="P30" i="1"/>
  <c r="N28" i="1"/>
  <c r="P28" i="1"/>
  <c r="N26" i="1"/>
  <c r="P26" i="1"/>
  <c r="N24" i="1"/>
  <c r="P24" i="1"/>
  <c r="N22" i="1"/>
  <c r="P22" i="1"/>
  <c r="N20" i="1"/>
  <c r="P20" i="1"/>
  <c r="N18" i="1"/>
  <c r="P18" i="1"/>
  <c r="N16" i="1"/>
  <c r="P16" i="1"/>
  <c r="N14" i="1"/>
  <c r="P14" i="1"/>
  <c r="N12" i="1"/>
  <c r="P12" i="1"/>
  <c r="N10" i="1"/>
  <c r="P10" i="1"/>
  <c r="N8" i="1"/>
  <c r="P8" i="1"/>
  <c r="N6" i="1"/>
  <c r="P6" i="1"/>
  <c r="C8" i="2"/>
  <c r="G15" i="1" s="1"/>
  <c r="Q15" i="1" s="1"/>
  <c r="C9" i="2"/>
  <c r="G202" i="1" s="1"/>
  <c r="Q202" i="1" s="1"/>
  <c r="C10" i="2"/>
  <c r="G50" i="1" s="1"/>
  <c r="Q50" i="1" s="1"/>
  <c r="C11" i="2"/>
  <c r="C12" i="2"/>
  <c r="G78" i="1" s="1"/>
  <c r="Q78" i="1" s="1"/>
  <c r="C13" i="2"/>
  <c r="G1545" i="1" s="1"/>
  <c r="Q1545" i="1" s="1"/>
  <c r="C14" i="2"/>
  <c r="C15" i="2"/>
  <c r="C16" i="2"/>
  <c r="C17" i="2"/>
  <c r="C18" i="2"/>
  <c r="C19" i="2"/>
  <c r="C20" i="2"/>
  <c r="G944" i="1" s="1"/>
  <c r="Q944" i="1" s="1"/>
  <c r="C21" i="2"/>
  <c r="C22" i="2"/>
  <c r="C23" i="2"/>
  <c r="C24" i="2"/>
  <c r="C25" i="2"/>
  <c r="G919" i="1" s="1"/>
  <c r="Q919" i="1" s="1"/>
  <c r="C26" i="2"/>
  <c r="C28" i="2"/>
  <c r="C29" i="2"/>
  <c r="C30" i="2"/>
  <c r="C31" i="2"/>
  <c r="C32" i="2"/>
  <c r="C33" i="2"/>
  <c r="C34" i="2"/>
  <c r="C35" i="2"/>
  <c r="G1190" i="1" s="1"/>
  <c r="Q1190" i="1" s="1"/>
  <c r="C36" i="2"/>
  <c r="C37" i="2"/>
  <c r="C38" i="2"/>
  <c r="C39" i="2"/>
  <c r="C40" i="2"/>
  <c r="C41" i="2"/>
  <c r="C42" i="2"/>
  <c r="C43" i="2"/>
  <c r="C44" i="2"/>
  <c r="C7" i="2"/>
  <c r="G52" i="1" s="1"/>
  <c r="Q52" i="1" s="1"/>
  <c r="G6" i="1"/>
  <c r="Q6" i="1" s="1"/>
  <c r="G7" i="1"/>
  <c r="Q7" i="1" s="1"/>
  <c r="G8" i="1"/>
  <c r="Q8" i="1" s="1"/>
  <c r="G9" i="1"/>
  <c r="Q9" i="1" s="1"/>
  <c r="G10" i="1"/>
  <c r="Q10" i="1" s="1"/>
  <c r="G11" i="1"/>
  <c r="Q11" i="1" s="1"/>
  <c r="G13" i="1"/>
  <c r="Q13" i="1" s="1"/>
  <c r="G14" i="1"/>
  <c r="Q14" i="1" s="1"/>
  <c r="G17" i="1"/>
  <c r="Q17" i="1" s="1"/>
  <c r="G19" i="1"/>
  <c r="Q19" i="1" s="1"/>
  <c r="G20" i="1"/>
  <c r="Q20" i="1" s="1"/>
  <c r="G21" i="1"/>
  <c r="Q21" i="1" s="1"/>
  <c r="G22" i="1"/>
  <c r="Q22" i="1" s="1"/>
  <c r="G23" i="1"/>
  <c r="Q23" i="1" s="1"/>
  <c r="G25" i="1"/>
  <c r="Q25" i="1" s="1"/>
  <c r="G26" i="1"/>
  <c r="Q26" i="1" s="1"/>
  <c r="G27" i="1"/>
  <c r="Q27" i="1" s="1"/>
  <c r="G29" i="1"/>
  <c r="Q29" i="1" s="1"/>
  <c r="G30" i="1"/>
  <c r="Q30" i="1" s="1"/>
  <c r="G31" i="1"/>
  <c r="Q31" i="1" s="1"/>
  <c r="G34" i="1"/>
  <c r="Q34" i="1" s="1"/>
  <c r="G35" i="1"/>
  <c r="Q35" i="1" s="1"/>
  <c r="G38" i="1"/>
  <c r="Q38" i="1" s="1"/>
  <c r="G40" i="1"/>
  <c r="Q40" i="1" s="1"/>
  <c r="G41" i="1"/>
  <c r="Q41" i="1" s="1"/>
  <c r="G42" i="1"/>
  <c r="Q42" i="1" s="1"/>
  <c r="G45" i="1"/>
  <c r="Q45" i="1" s="1"/>
  <c r="G47" i="1"/>
  <c r="Q47" i="1" s="1"/>
  <c r="G48" i="1"/>
  <c r="Q48" i="1" s="1"/>
  <c r="G51" i="1"/>
  <c r="Q51" i="1" s="1"/>
  <c r="G53" i="1"/>
  <c r="Q53" i="1" s="1"/>
  <c r="G54" i="1"/>
  <c r="Q54" i="1" s="1"/>
  <c r="G57" i="1"/>
  <c r="Q57" i="1" s="1"/>
  <c r="G58" i="1"/>
  <c r="Q58" i="1" s="1"/>
  <c r="G59" i="1"/>
  <c r="Q59" i="1" s="1"/>
  <c r="G62" i="1"/>
  <c r="Q62" i="1" s="1"/>
  <c r="G63" i="1"/>
  <c r="Q63" i="1" s="1"/>
  <c r="G64" i="1"/>
  <c r="Q64" i="1" s="1"/>
  <c r="G66" i="1"/>
  <c r="Q66" i="1" s="1"/>
  <c r="G68" i="1"/>
  <c r="Q68" i="1" s="1"/>
  <c r="G71" i="1"/>
  <c r="Q71" i="1" s="1"/>
  <c r="G72" i="1"/>
  <c r="Q72" i="1" s="1"/>
  <c r="G73" i="1"/>
  <c r="Q73" i="1" s="1"/>
  <c r="G74" i="1"/>
  <c r="Q74" i="1" s="1"/>
  <c r="G75" i="1"/>
  <c r="Q75" i="1" s="1"/>
  <c r="G77" i="1"/>
  <c r="Q77" i="1" s="1"/>
  <c r="G79" i="1"/>
  <c r="Q79" i="1" s="1"/>
  <c r="G80" i="1"/>
  <c r="Q80" i="1" s="1"/>
  <c r="G82" i="1"/>
  <c r="Q82" i="1" s="1"/>
  <c r="G83" i="1"/>
  <c r="Q83" i="1" s="1"/>
  <c r="G84" i="1"/>
  <c r="Q84" i="1" s="1"/>
  <c r="G86" i="1"/>
  <c r="Q86" i="1" s="1"/>
  <c r="G87" i="1"/>
  <c r="Q87" i="1" s="1"/>
  <c r="G89" i="1"/>
  <c r="Q89" i="1" s="1"/>
  <c r="G90" i="1"/>
  <c r="Q90" i="1" s="1"/>
  <c r="G91" i="1"/>
  <c r="Q91" i="1" s="1"/>
  <c r="G92" i="1"/>
  <c r="Q92" i="1" s="1"/>
  <c r="G94" i="1"/>
  <c r="Q94" i="1" s="1"/>
  <c r="G95" i="1"/>
  <c r="Q95" i="1" s="1"/>
  <c r="G97" i="1"/>
  <c r="Q97" i="1" s="1"/>
  <c r="G98" i="1"/>
  <c r="Q98" i="1" s="1"/>
  <c r="G99" i="1"/>
  <c r="Q99" i="1" s="1"/>
  <c r="G100" i="1"/>
  <c r="Q100" i="1" s="1"/>
  <c r="G101" i="1"/>
  <c r="Q101" i="1" s="1"/>
  <c r="G102" i="1"/>
  <c r="Q102" i="1" s="1"/>
  <c r="G103" i="1"/>
  <c r="Q103" i="1" s="1"/>
  <c r="G104" i="1"/>
  <c r="Q104" i="1" s="1"/>
  <c r="G105" i="1"/>
  <c r="Q105" i="1" s="1"/>
  <c r="G106" i="1"/>
  <c r="Q106" i="1" s="1"/>
  <c r="G107" i="1"/>
  <c r="Q107" i="1" s="1"/>
  <c r="G108" i="1"/>
  <c r="Q108" i="1" s="1"/>
  <c r="G109" i="1"/>
  <c r="Q109" i="1" s="1"/>
  <c r="G110" i="1"/>
  <c r="Q110" i="1" s="1"/>
  <c r="G111" i="1"/>
  <c r="Q111" i="1" s="1"/>
  <c r="G113" i="1"/>
  <c r="Q113" i="1" s="1"/>
  <c r="G114" i="1"/>
  <c r="Q114" i="1" s="1"/>
  <c r="G115" i="1"/>
  <c r="Q115" i="1" s="1"/>
  <c r="G116" i="1"/>
  <c r="Q116" i="1" s="1"/>
  <c r="G117" i="1"/>
  <c r="Q117" i="1" s="1"/>
  <c r="G118" i="1"/>
  <c r="Q118" i="1" s="1"/>
  <c r="G119" i="1"/>
  <c r="Q119" i="1" s="1"/>
  <c r="G120" i="1"/>
  <c r="Q120" i="1" s="1"/>
  <c r="G121" i="1"/>
  <c r="Q121" i="1" s="1"/>
  <c r="G122" i="1"/>
  <c r="Q122" i="1" s="1"/>
  <c r="G124" i="1"/>
  <c r="Q124" i="1" s="1"/>
  <c r="G125" i="1"/>
  <c r="Q125" i="1" s="1"/>
  <c r="G127" i="1"/>
  <c r="Q127" i="1" s="1"/>
  <c r="G128" i="1"/>
  <c r="Q128" i="1" s="1"/>
  <c r="G129" i="1"/>
  <c r="Q129" i="1" s="1"/>
  <c r="G130" i="1"/>
  <c r="Q130" i="1" s="1"/>
  <c r="G131" i="1"/>
  <c r="Q131" i="1" s="1"/>
  <c r="G132" i="1"/>
  <c r="Q132" i="1" s="1"/>
  <c r="G134" i="1"/>
  <c r="Q134" i="1" s="1"/>
  <c r="G135" i="1"/>
  <c r="Q135" i="1" s="1"/>
  <c r="G137" i="1"/>
  <c r="Q137" i="1" s="1"/>
  <c r="G141" i="1"/>
  <c r="Q141" i="1" s="1"/>
  <c r="G144" i="1"/>
  <c r="Q144" i="1" s="1"/>
  <c r="G145" i="1"/>
  <c r="Q145" i="1" s="1"/>
  <c r="G146" i="1"/>
  <c r="Q146" i="1" s="1"/>
  <c r="G147" i="1"/>
  <c r="Q147" i="1" s="1"/>
  <c r="G148" i="1"/>
  <c r="Q148" i="1" s="1"/>
  <c r="G149" i="1"/>
  <c r="Q149" i="1" s="1"/>
  <c r="G150" i="1"/>
  <c r="Q150" i="1" s="1"/>
  <c r="G151" i="1"/>
  <c r="Q151" i="1" s="1"/>
  <c r="G152" i="1"/>
  <c r="Q152" i="1" s="1"/>
  <c r="G153" i="1"/>
  <c r="Q153" i="1" s="1"/>
  <c r="G154" i="1"/>
  <c r="Q154" i="1" s="1"/>
  <c r="G155" i="1"/>
  <c r="Q155" i="1" s="1"/>
  <c r="G156" i="1"/>
  <c r="Q156" i="1" s="1"/>
  <c r="G157" i="1"/>
  <c r="Q157" i="1" s="1"/>
  <c r="G158" i="1"/>
  <c r="Q158" i="1" s="1"/>
  <c r="G159" i="1"/>
  <c r="Q159" i="1" s="1"/>
  <c r="G160" i="1"/>
  <c r="Q160" i="1" s="1"/>
  <c r="G163" i="1"/>
  <c r="Q163" i="1" s="1"/>
  <c r="G164" i="1"/>
  <c r="Q164" i="1" s="1"/>
  <c r="G165" i="1"/>
  <c r="Q165" i="1" s="1"/>
  <c r="G166" i="1"/>
  <c r="Q166" i="1" s="1"/>
  <c r="G169" i="1"/>
  <c r="Q169" i="1" s="1"/>
  <c r="G170" i="1"/>
  <c r="Q170" i="1" s="1"/>
  <c r="G171" i="1"/>
  <c r="Q171" i="1" s="1"/>
  <c r="G175" i="1"/>
  <c r="Q175" i="1" s="1"/>
  <c r="G176" i="1"/>
  <c r="Q176" i="1" s="1"/>
  <c r="G178" i="1"/>
  <c r="Q178" i="1" s="1"/>
  <c r="G179" i="1"/>
  <c r="Q179" i="1" s="1"/>
  <c r="G182" i="1"/>
  <c r="Q182" i="1" s="1"/>
  <c r="G183" i="1"/>
  <c r="Q183" i="1" s="1"/>
  <c r="G184" i="1"/>
  <c r="Q184" i="1" s="1"/>
  <c r="G185" i="1"/>
  <c r="Q185" i="1" s="1"/>
  <c r="G186" i="1"/>
  <c r="Q186" i="1" s="1"/>
  <c r="G187" i="1"/>
  <c r="Q187" i="1" s="1"/>
  <c r="G188" i="1"/>
  <c r="Q188" i="1" s="1"/>
  <c r="G190" i="1"/>
  <c r="Q190" i="1" s="1"/>
  <c r="G191" i="1"/>
  <c r="Q191" i="1" s="1"/>
  <c r="G193" i="1"/>
  <c r="Q193" i="1" s="1"/>
  <c r="G194" i="1"/>
  <c r="Q194" i="1" s="1"/>
  <c r="G195" i="1"/>
  <c r="Q195" i="1" s="1"/>
  <c r="G196" i="1"/>
  <c r="Q196" i="1" s="1"/>
  <c r="G197" i="1"/>
  <c r="Q197" i="1" s="1"/>
  <c r="G199" i="1"/>
  <c r="Q199" i="1" s="1"/>
  <c r="G200" i="1"/>
  <c r="Q200" i="1" s="1"/>
  <c r="G203" i="1"/>
  <c r="Q203" i="1" s="1"/>
  <c r="G204" i="1"/>
  <c r="Q204" i="1" s="1"/>
  <c r="G208" i="1"/>
  <c r="Q208" i="1" s="1"/>
  <c r="G209" i="1"/>
  <c r="Q209" i="1" s="1"/>
  <c r="G210" i="1"/>
  <c r="Q210" i="1" s="1"/>
  <c r="G211" i="1"/>
  <c r="Q211" i="1" s="1"/>
  <c r="G212" i="1"/>
  <c r="Q212" i="1" s="1"/>
  <c r="G213" i="1"/>
  <c r="Q213" i="1" s="1"/>
  <c r="G214" i="1"/>
  <c r="Q214" i="1" s="1"/>
  <c r="G215" i="1"/>
  <c r="Q215" i="1" s="1"/>
  <c r="G216" i="1"/>
  <c r="Q216" i="1" s="1"/>
  <c r="G217" i="1"/>
  <c r="Q217" i="1" s="1"/>
  <c r="G218" i="1"/>
  <c r="Q218" i="1" s="1"/>
  <c r="G219" i="1"/>
  <c r="Q219" i="1" s="1"/>
  <c r="G222" i="1"/>
  <c r="Q222" i="1" s="1"/>
  <c r="G223" i="1"/>
  <c r="Q223" i="1" s="1"/>
  <c r="G225" i="1"/>
  <c r="Q225" i="1" s="1"/>
  <c r="G226" i="1"/>
  <c r="Q226" i="1" s="1"/>
  <c r="G230" i="1"/>
  <c r="Q230" i="1" s="1"/>
  <c r="G231" i="1"/>
  <c r="Q231" i="1" s="1"/>
  <c r="G232" i="1"/>
  <c r="Q232" i="1" s="1"/>
  <c r="G233" i="1"/>
  <c r="Q233" i="1" s="1"/>
  <c r="G235" i="1"/>
  <c r="Q235" i="1" s="1"/>
  <c r="G236" i="1"/>
  <c r="Q236" i="1" s="1"/>
  <c r="G240" i="1"/>
  <c r="Q240" i="1" s="1"/>
  <c r="G241" i="1"/>
  <c r="Q241" i="1" s="1"/>
  <c r="G242" i="1"/>
  <c r="Q242" i="1" s="1"/>
  <c r="G243" i="1"/>
  <c r="Q243" i="1" s="1"/>
  <c r="G244" i="1"/>
  <c r="Q244" i="1" s="1"/>
  <c r="G246" i="1"/>
  <c r="Q246" i="1" s="1"/>
  <c r="G247" i="1"/>
  <c r="Q247" i="1" s="1"/>
  <c r="G248" i="1"/>
  <c r="Q248" i="1" s="1"/>
  <c r="G249" i="1"/>
  <c r="Q249" i="1" s="1"/>
  <c r="G250" i="1"/>
  <c r="Q250" i="1" s="1"/>
  <c r="G251" i="1"/>
  <c r="Q251" i="1" s="1"/>
  <c r="G252" i="1"/>
  <c r="Q252" i="1" s="1"/>
  <c r="G253" i="1"/>
  <c r="Q253" i="1" s="1"/>
  <c r="G254" i="1"/>
  <c r="Q254" i="1" s="1"/>
  <c r="G256" i="1"/>
  <c r="Q256" i="1" s="1"/>
  <c r="G258" i="1"/>
  <c r="Q258" i="1" s="1"/>
  <c r="G262" i="1"/>
  <c r="Q262" i="1" s="1"/>
  <c r="G263" i="1"/>
  <c r="Q263" i="1" s="1"/>
  <c r="G264" i="1"/>
  <c r="Q264" i="1" s="1"/>
  <c r="G265" i="1"/>
  <c r="Q265" i="1" s="1"/>
  <c r="G267" i="1"/>
  <c r="Q267" i="1" s="1"/>
  <c r="G268" i="1"/>
  <c r="Q268" i="1" s="1"/>
  <c r="G269" i="1"/>
  <c r="Q269" i="1" s="1"/>
  <c r="G270" i="1"/>
  <c r="Q270" i="1" s="1"/>
  <c r="G271" i="1"/>
  <c r="Q271" i="1" s="1"/>
  <c r="G272" i="1"/>
  <c r="Q272" i="1" s="1"/>
  <c r="G273" i="1"/>
  <c r="Q273" i="1" s="1"/>
  <c r="G274" i="1"/>
  <c r="Q274" i="1" s="1"/>
  <c r="G276" i="1"/>
  <c r="Q276" i="1" s="1"/>
  <c r="G277" i="1"/>
  <c r="Q277" i="1" s="1"/>
  <c r="G278" i="1"/>
  <c r="Q278" i="1" s="1"/>
  <c r="G279" i="1"/>
  <c r="Q279" i="1" s="1"/>
  <c r="G280" i="1"/>
  <c r="Q280" i="1" s="1"/>
  <c r="G281" i="1"/>
  <c r="Q281" i="1" s="1"/>
  <c r="G282" i="1"/>
  <c r="Q282" i="1" s="1"/>
  <c r="G283" i="1"/>
  <c r="Q283" i="1" s="1"/>
  <c r="G284" i="1"/>
  <c r="Q284" i="1" s="1"/>
  <c r="G287" i="1"/>
  <c r="Q287" i="1" s="1"/>
  <c r="G288" i="1"/>
  <c r="Q288" i="1" s="1"/>
  <c r="G289" i="1"/>
  <c r="Q289" i="1" s="1"/>
  <c r="G291" i="1"/>
  <c r="Q291" i="1" s="1"/>
  <c r="G292" i="1"/>
  <c r="Q292" i="1" s="1"/>
  <c r="G294" i="1"/>
  <c r="Q294" i="1" s="1"/>
  <c r="G295" i="1"/>
  <c r="Q295" i="1" s="1"/>
  <c r="G297" i="1"/>
  <c r="Q297" i="1" s="1"/>
  <c r="G298" i="1"/>
  <c r="Q298" i="1" s="1"/>
  <c r="G299" i="1"/>
  <c r="Q299" i="1" s="1"/>
  <c r="G300" i="1"/>
  <c r="Q300" i="1" s="1"/>
  <c r="G301" i="1"/>
  <c r="Q301" i="1" s="1"/>
  <c r="G303" i="1"/>
  <c r="Q303" i="1" s="1"/>
  <c r="G305" i="1"/>
  <c r="Q305" i="1" s="1"/>
  <c r="G306" i="1"/>
  <c r="Q306" i="1" s="1"/>
  <c r="G307" i="1"/>
  <c r="Q307" i="1" s="1"/>
  <c r="G309" i="1"/>
  <c r="Q309" i="1" s="1"/>
  <c r="G311" i="1"/>
  <c r="Q311" i="1" s="1"/>
  <c r="G313" i="1"/>
  <c r="Q313" i="1" s="1"/>
  <c r="G316" i="1"/>
  <c r="Q316" i="1" s="1"/>
  <c r="G317" i="1"/>
  <c r="Q317" i="1" s="1"/>
  <c r="G318" i="1"/>
  <c r="Q318" i="1" s="1"/>
  <c r="G319" i="1"/>
  <c r="Q319" i="1" s="1"/>
  <c r="G321" i="1"/>
  <c r="Q321" i="1" s="1"/>
  <c r="G322" i="1"/>
  <c r="Q322" i="1" s="1"/>
  <c r="G323" i="1"/>
  <c r="Q323" i="1" s="1"/>
  <c r="G325" i="1"/>
  <c r="Q325" i="1" s="1"/>
  <c r="G326" i="1"/>
  <c r="Q326" i="1" s="1"/>
  <c r="G328" i="1"/>
  <c r="Q328" i="1" s="1"/>
  <c r="G329" i="1"/>
  <c r="Q329" i="1" s="1"/>
  <c r="G330" i="1"/>
  <c r="Q330" i="1" s="1"/>
  <c r="G331" i="1"/>
  <c r="Q331" i="1" s="1"/>
  <c r="G333" i="1"/>
  <c r="Q333" i="1" s="1"/>
  <c r="G334" i="1"/>
  <c r="Q334" i="1" s="1"/>
  <c r="G336" i="1"/>
  <c r="Q336" i="1" s="1"/>
  <c r="G337" i="1"/>
  <c r="Q337" i="1" s="1"/>
  <c r="G338" i="1"/>
  <c r="Q338" i="1" s="1"/>
  <c r="G340" i="1"/>
  <c r="Q340" i="1" s="1"/>
  <c r="G341" i="1"/>
  <c r="Q341" i="1" s="1"/>
  <c r="G342" i="1"/>
  <c r="Q342" i="1" s="1"/>
  <c r="G343" i="1"/>
  <c r="Q343" i="1" s="1"/>
  <c r="G344" i="1"/>
  <c r="Q344" i="1" s="1"/>
  <c r="G345" i="1"/>
  <c r="Q345" i="1" s="1"/>
  <c r="G346" i="1"/>
  <c r="Q346" i="1" s="1"/>
  <c r="G348" i="1"/>
  <c r="Q348" i="1" s="1"/>
  <c r="G349" i="1"/>
  <c r="Q349" i="1" s="1"/>
  <c r="G352" i="1"/>
  <c r="Q352" i="1" s="1"/>
  <c r="G353" i="1"/>
  <c r="Q353" i="1" s="1"/>
  <c r="G354" i="1"/>
  <c r="Q354" i="1" s="1"/>
  <c r="G356" i="1"/>
  <c r="Q356" i="1" s="1"/>
  <c r="G357" i="1"/>
  <c r="Q357" i="1" s="1"/>
  <c r="G358" i="1"/>
  <c r="Q358" i="1" s="1"/>
  <c r="G359" i="1"/>
  <c r="Q359" i="1" s="1"/>
  <c r="G360" i="1"/>
  <c r="Q360" i="1" s="1"/>
  <c r="G362" i="1"/>
  <c r="Q362" i="1" s="1"/>
  <c r="G364" i="1"/>
  <c r="Q364" i="1" s="1"/>
  <c r="G365" i="1"/>
  <c r="Q365" i="1" s="1"/>
  <c r="G366" i="1"/>
  <c r="Q366" i="1" s="1"/>
  <c r="G367" i="1"/>
  <c r="Q367" i="1" s="1"/>
  <c r="G368" i="1"/>
  <c r="Q368" i="1" s="1"/>
  <c r="G370" i="1"/>
  <c r="Q370" i="1" s="1"/>
  <c r="G371" i="1"/>
  <c r="Q371" i="1" s="1"/>
  <c r="G372" i="1"/>
  <c r="Q372" i="1" s="1"/>
  <c r="G378" i="1"/>
  <c r="Q378" i="1" s="1"/>
  <c r="G380" i="1"/>
  <c r="Q380" i="1" s="1"/>
  <c r="G381" i="1"/>
  <c r="Q381" i="1" s="1"/>
  <c r="G382" i="1"/>
  <c r="Q382" i="1" s="1"/>
  <c r="G385" i="1"/>
  <c r="Q385" i="1" s="1"/>
  <c r="G386" i="1"/>
  <c r="Q386" i="1" s="1"/>
  <c r="G387" i="1"/>
  <c r="Q387" i="1" s="1"/>
  <c r="G388" i="1"/>
  <c r="Q388" i="1" s="1"/>
  <c r="G389" i="1"/>
  <c r="Q389" i="1" s="1"/>
  <c r="G391" i="1"/>
  <c r="Q391" i="1" s="1"/>
  <c r="G392" i="1"/>
  <c r="Q392" i="1" s="1"/>
  <c r="G393" i="1"/>
  <c r="Q393" i="1" s="1"/>
  <c r="G394" i="1"/>
  <c r="Q394" i="1" s="1"/>
  <c r="G396" i="1"/>
  <c r="Q396" i="1" s="1"/>
  <c r="G397" i="1"/>
  <c r="Q397" i="1" s="1"/>
  <c r="G398" i="1"/>
  <c r="Q398" i="1" s="1"/>
  <c r="G399" i="1"/>
  <c r="Q399" i="1" s="1"/>
  <c r="G401" i="1"/>
  <c r="Q401" i="1" s="1"/>
  <c r="G402" i="1"/>
  <c r="Q402" i="1" s="1"/>
  <c r="G405" i="1"/>
  <c r="Q405" i="1" s="1"/>
  <c r="G407" i="1"/>
  <c r="Q407" i="1" s="1"/>
  <c r="G408" i="1"/>
  <c r="Q408" i="1" s="1"/>
  <c r="G410" i="1"/>
  <c r="Q410" i="1" s="1"/>
  <c r="G411" i="1"/>
  <c r="Q411" i="1" s="1"/>
  <c r="G412" i="1"/>
  <c r="Q412" i="1" s="1"/>
  <c r="G413" i="1"/>
  <c r="Q413" i="1" s="1"/>
  <c r="G414" i="1"/>
  <c r="Q414" i="1" s="1"/>
  <c r="G415" i="1"/>
  <c r="Q415" i="1" s="1"/>
  <c r="G418" i="1"/>
  <c r="Q418" i="1" s="1"/>
  <c r="G419" i="1"/>
  <c r="Q419" i="1" s="1"/>
  <c r="G420" i="1"/>
  <c r="Q420" i="1" s="1"/>
  <c r="G421" i="1"/>
  <c r="Q421" i="1" s="1"/>
  <c r="G422" i="1"/>
  <c r="Q422" i="1" s="1"/>
  <c r="G425" i="1"/>
  <c r="Q425" i="1" s="1"/>
  <c r="G426" i="1"/>
  <c r="Q426" i="1" s="1"/>
  <c r="G427" i="1"/>
  <c r="Q427" i="1" s="1"/>
  <c r="G428" i="1"/>
  <c r="Q428" i="1" s="1"/>
  <c r="G429" i="1"/>
  <c r="Q429" i="1" s="1"/>
  <c r="G431" i="1"/>
  <c r="Q431" i="1" s="1"/>
  <c r="G432" i="1"/>
  <c r="Q432" i="1" s="1"/>
  <c r="G433" i="1"/>
  <c r="Q433" i="1" s="1"/>
  <c r="G434" i="1"/>
  <c r="Q434" i="1" s="1"/>
  <c r="G435" i="1"/>
  <c r="Q435" i="1" s="1"/>
  <c r="G436" i="1"/>
  <c r="Q436" i="1" s="1"/>
  <c r="G437" i="1"/>
  <c r="Q437" i="1" s="1"/>
  <c r="G441" i="1"/>
  <c r="Q441" i="1" s="1"/>
  <c r="G444" i="1"/>
  <c r="Q444" i="1" s="1"/>
  <c r="G445" i="1"/>
  <c r="Q445" i="1" s="1"/>
  <c r="G446" i="1"/>
  <c r="Q446" i="1" s="1"/>
  <c r="G448" i="1"/>
  <c r="Q448" i="1" s="1"/>
  <c r="G450" i="1"/>
  <c r="Q450" i="1" s="1"/>
  <c r="G452" i="1"/>
  <c r="Q452" i="1" s="1"/>
  <c r="G453" i="1"/>
  <c r="Q453" i="1" s="1"/>
  <c r="G455" i="1"/>
  <c r="Q455" i="1" s="1"/>
  <c r="G458" i="1"/>
  <c r="Q458" i="1" s="1"/>
  <c r="G459" i="1"/>
  <c r="Q459" i="1" s="1"/>
  <c r="G460" i="1"/>
  <c r="Q460" i="1" s="1"/>
  <c r="G462" i="1"/>
  <c r="Q462" i="1" s="1"/>
  <c r="G464" i="1"/>
  <c r="Q464" i="1" s="1"/>
  <c r="G467" i="1"/>
  <c r="Q467" i="1" s="1"/>
  <c r="G468" i="1"/>
  <c r="Q468" i="1" s="1"/>
  <c r="G469" i="1"/>
  <c r="Q469" i="1" s="1"/>
  <c r="G471" i="1"/>
  <c r="Q471" i="1" s="1"/>
  <c r="G472" i="1"/>
  <c r="Q472" i="1" s="1"/>
  <c r="G474" i="1"/>
  <c r="Q474" i="1" s="1"/>
  <c r="G475" i="1"/>
  <c r="Q475" i="1" s="1"/>
  <c r="G476" i="1"/>
  <c r="Q476" i="1" s="1"/>
  <c r="G477" i="1"/>
  <c r="Q477" i="1" s="1"/>
  <c r="G478" i="1"/>
  <c r="Q478" i="1" s="1"/>
  <c r="G479" i="1"/>
  <c r="Q479" i="1" s="1"/>
  <c r="G482" i="1"/>
  <c r="Q482" i="1" s="1"/>
  <c r="G483" i="1"/>
  <c r="Q483" i="1" s="1"/>
  <c r="G485" i="1"/>
  <c r="Q485" i="1" s="1"/>
  <c r="G486" i="1"/>
  <c r="Q486" i="1" s="1"/>
  <c r="G487" i="1"/>
  <c r="Q487" i="1" s="1"/>
  <c r="G490" i="1"/>
  <c r="Q490" i="1" s="1"/>
  <c r="G491" i="1"/>
  <c r="Q491" i="1" s="1"/>
  <c r="G493" i="1"/>
  <c r="Q493" i="1" s="1"/>
  <c r="G497" i="1"/>
  <c r="Q497" i="1" s="1"/>
  <c r="G499" i="1"/>
  <c r="Q499" i="1" s="1"/>
  <c r="G500" i="1"/>
  <c r="Q500" i="1" s="1"/>
  <c r="G501" i="1"/>
  <c r="Q501" i="1" s="1"/>
  <c r="G504" i="1"/>
  <c r="Q504" i="1" s="1"/>
  <c r="G506" i="1"/>
  <c r="Q506" i="1" s="1"/>
  <c r="G507" i="1"/>
  <c r="Q507" i="1" s="1"/>
  <c r="G510" i="1"/>
  <c r="Q510" i="1" s="1"/>
  <c r="G511" i="1"/>
  <c r="Q511" i="1" s="1"/>
  <c r="G512" i="1"/>
  <c r="Q512" i="1" s="1"/>
  <c r="G513" i="1"/>
  <c r="Q513" i="1" s="1"/>
  <c r="G514" i="1"/>
  <c r="Q514" i="1" s="1"/>
  <c r="G515" i="1"/>
  <c r="Q515" i="1" s="1"/>
  <c r="G516" i="1"/>
  <c r="Q516" i="1" s="1"/>
  <c r="G518" i="1"/>
  <c r="Q518" i="1" s="1"/>
  <c r="G519" i="1"/>
  <c r="Q519" i="1" s="1"/>
  <c r="G520" i="1"/>
  <c r="Q520" i="1" s="1"/>
  <c r="G522" i="1"/>
  <c r="Q522" i="1" s="1"/>
  <c r="G525" i="1"/>
  <c r="Q525" i="1" s="1"/>
  <c r="G526" i="1"/>
  <c r="Q526" i="1" s="1"/>
  <c r="G528" i="1"/>
  <c r="Q528" i="1" s="1"/>
  <c r="G530" i="1"/>
  <c r="Q530" i="1" s="1"/>
  <c r="G531" i="1"/>
  <c r="Q531" i="1" s="1"/>
  <c r="G532" i="1"/>
  <c r="Q532" i="1" s="1"/>
  <c r="G534" i="1"/>
  <c r="Q534" i="1" s="1"/>
  <c r="G535" i="1"/>
  <c r="Q535" i="1" s="1"/>
  <c r="G539" i="1"/>
  <c r="Q539" i="1" s="1"/>
  <c r="G540" i="1"/>
  <c r="Q540" i="1" s="1"/>
  <c r="G541" i="1"/>
  <c r="Q541" i="1" s="1"/>
  <c r="G543" i="1"/>
  <c r="Q543" i="1" s="1"/>
  <c r="G544" i="1"/>
  <c r="Q544" i="1" s="1"/>
  <c r="G545" i="1"/>
  <c r="Q545" i="1" s="1"/>
  <c r="G546" i="1"/>
  <c r="Q546" i="1" s="1"/>
  <c r="G547" i="1"/>
  <c r="Q547" i="1" s="1"/>
  <c r="G548" i="1"/>
  <c r="Q548" i="1" s="1"/>
  <c r="G551" i="1"/>
  <c r="Q551" i="1" s="1"/>
  <c r="G552" i="1"/>
  <c r="Q552" i="1" s="1"/>
  <c r="G554" i="1"/>
  <c r="Q554" i="1" s="1"/>
  <c r="G555" i="1"/>
  <c r="Q555" i="1" s="1"/>
  <c r="G556" i="1"/>
  <c r="Q556" i="1" s="1"/>
  <c r="G557" i="1"/>
  <c r="Q557" i="1" s="1"/>
  <c r="G558" i="1"/>
  <c r="Q558" i="1" s="1"/>
  <c r="G559" i="1"/>
  <c r="Q559" i="1" s="1"/>
  <c r="G561" i="1"/>
  <c r="Q561" i="1" s="1"/>
  <c r="G562" i="1"/>
  <c r="Q562" i="1" s="1"/>
  <c r="G565" i="1"/>
  <c r="Q565" i="1" s="1"/>
  <c r="G566" i="1"/>
  <c r="Q566" i="1" s="1"/>
  <c r="G569" i="1"/>
  <c r="Q569" i="1" s="1"/>
  <c r="G570" i="1"/>
  <c r="Q570" i="1" s="1"/>
  <c r="G572" i="1"/>
  <c r="Q572" i="1" s="1"/>
  <c r="G573" i="1"/>
  <c r="Q573" i="1" s="1"/>
  <c r="G575" i="1"/>
  <c r="Q575" i="1" s="1"/>
  <c r="G576" i="1"/>
  <c r="Q576" i="1" s="1"/>
  <c r="G577" i="1"/>
  <c r="Q577" i="1" s="1"/>
  <c r="G579" i="1"/>
  <c r="Q579" i="1" s="1"/>
  <c r="G580" i="1"/>
  <c r="Q580" i="1" s="1"/>
  <c r="G582" i="1"/>
  <c r="Q582" i="1" s="1"/>
  <c r="G583" i="1"/>
  <c r="Q583" i="1" s="1"/>
  <c r="G584" i="1"/>
  <c r="Q584" i="1" s="1"/>
  <c r="G585" i="1"/>
  <c r="Q585" i="1" s="1"/>
  <c r="G587" i="1"/>
  <c r="Q587" i="1" s="1"/>
  <c r="G589" i="1"/>
  <c r="Q589" i="1" s="1"/>
  <c r="G590" i="1"/>
  <c r="Q590" i="1" s="1"/>
  <c r="G592" i="1"/>
  <c r="Q592" i="1" s="1"/>
  <c r="G593" i="1"/>
  <c r="Q593" i="1" s="1"/>
  <c r="G594" i="1"/>
  <c r="Q594" i="1" s="1"/>
  <c r="G595" i="1"/>
  <c r="Q595" i="1" s="1"/>
  <c r="G597" i="1"/>
  <c r="Q597" i="1" s="1"/>
  <c r="G598" i="1"/>
  <c r="Q598" i="1" s="1"/>
  <c r="G599" i="1"/>
  <c r="Q599" i="1" s="1"/>
  <c r="G600" i="1"/>
  <c r="Q600" i="1" s="1"/>
  <c r="G603" i="1"/>
  <c r="Q603" i="1" s="1"/>
  <c r="G605" i="1"/>
  <c r="Q605" i="1" s="1"/>
  <c r="G606" i="1"/>
  <c r="Q606" i="1" s="1"/>
  <c r="G609" i="1"/>
  <c r="Q609" i="1" s="1"/>
  <c r="G610" i="1"/>
  <c r="Q610" i="1" s="1"/>
  <c r="G613" i="1"/>
  <c r="Q613" i="1" s="1"/>
  <c r="G615" i="1"/>
  <c r="Q615" i="1" s="1"/>
  <c r="G616" i="1"/>
  <c r="Q616" i="1" s="1"/>
  <c r="G618" i="1"/>
  <c r="Q618" i="1" s="1"/>
  <c r="G619" i="1"/>
  <c r="Q619" i="1" s="1"/>
  <c r="G620" i="1"/>
  <c r="Q620" i="1" s="1"/>
  <c r="G622" i="1"/>
  <c r="Q622" i="1" s="1"/>
  <c r="G623" i="1"/>
  <c r="Q623" i="1" s="1"/>
  <c r="G625" i="1"/>
  <c r="Q625" i="1" s="1"/>
  <c r="G628" i="1"/>
  <c r="Q628" i="1" s="1"/>
  <c r="G634" i="1"/>
  <c r="Q634" i="1" s="1"/>
  <c r="G638" i="1"/>
  <c r="Q638" i="1" s="1"/>
  <c r="G639" i="1"/>
  <c r="Q639" i="1" s="1"/>
  <c r="G644" i="1"/>
  <c r="Q644" i="1" s="1"/>
  <c r="G645" i="1"/>
  <c r="Q645" i="1" s="1"/>
  <c r="G647" i="1"/>
  <c r="Q647" i="1" s="1"/>
  <c r="G648" i="1"/>
  <c r="Q648" i="1" s="1"/>
  <c r="G652" i="1"/>
  <c r="Q652" i="1" s="1"/>
  <c r="G653" i="1"/>
  <c r="Q653" i="1" s="1"/>
  <c r="G657" i="1"/>
  <c r="Q657" i="1" s="1"/>
  <c r="G660" i="1"/>
  <c r="Q660" i="1" s="1"/>
  <c r="G661" i="1"/>
  <c r="Q661" i="1" s="1"/>
  <c r="G662" i="1"/>
  <c r="Q662" i="1" s="1"/>
  <c r="G663" i="1"/>
  <c r="Q663" i="1" s="1"/>
  <c r="G664" i="1"/>
  <c r="Q664" i="1" s="1"/>
  <c r="G665" i="1"/>
  <c r="Q665" i="1" s="1"/>
  <c r="G667" i="1"/>
  <c r="Q667" i="1" s="1"/>
  <c r="G673" i="1"/>
  <c r="Q673" i="1" s="1"/>
  <c r="G676" i="1"/>
  <c r="Q676" i="1" s="1"/>
  <c r="G679" i="1"/>
  <c r="Q679" i="1" s="1"/>
  <c r="G680" i="1"/>
  <c r="Q680" i="1" s="1"/>
  <c r="G683" i="1"/>
  <c r="Q683" i="1" s="1"/>
  <c r="G685" i="1"/>
  <c r="Q685" i="1" s="1"/>
  <c r="G694" i="1"/>
  <c r="Q694" i="1" s="1"/>
  <c r="G697" i="1"/>
  <c r="Q697" i="1" s="1"/>
  <c r="G704" i="1"/>
  <c r="Q704" i="1" s="1"/>
  <c r="G705" i="1"/>
  <c r="Q705" i="1" s="1"/>
  <c r="G712" i="1"/>
  <c r="Q712" i="1" s="1"/>
  <c r="G715" i="1"/>
  <c r="Q715" i="1" s="1"/>
  <c r="G717" i="1"/>
  <c r="Q717" i="1" s="1"/>
  <c r="G721" i="1"/>
  <c r="Q721" i="1" s="1"/>
  <c r="G724" i="1"/>
  <c r="Q724" i="1" s="1"/>
  <c r="G727" i="1"/>
  <c r="Q727" i="1" s="1"/>
  <c r="G728" i="1"/>
  <c r="Q728" i="1" s="1"/>
  <c r="G732" i="1"/>
  <c r="Q732" i="1" s="1"/>
  <c r="G734" i="1"/>
  <c r="Q734" i="1" s="1"/>
  <c r="G735" i="1"/>
  <c r="Q735" i="1" s="1"/>
  <c r="G739" i="1"/>
  <c r="Q739" i="1" s="1"/>
  <c r="G740" i="1"/>
  <c r="Q740" i="1" s="1"/>
  <c r="G742" i="1"/>
  <c r="Q742" i="1" s="1"/>
  <c r="G743" i="1"/>
  <c r="Q743" i="1" s="1"/>
  <c r="G746" i="1"/>
  <c r="Q746" i="1" s="1"/>
  <c r="G747" i="1"/>
  <c r="Q747" i="1" s="1"/>
  <c r="G752" i="1"/>
  <c r="Q752" i="1" s="1"/>
  <c r="G753" i="1"/>
  <c r="Q753" i="1" s="1"/>
  <c r="G754" i="1"/>
  <c r="Q754" i="1" s="1"/>
  <c r="G755" i="1"/>
  <c r="Q755" i="1" s="1"/>
  <c r="G757" i="1"/>
  <c r="Q757" i="1" s="1"/>
  <c r="G758" i="1"/>
  <c r="Q758" i="1" s="1"/>
  <c r="G762" i="1"/>
  <c r="Q762" i="1" s="1"/>
  <c r="G764" i="1"/>
  <c r="Q764" i="1" s="1"/>
  <c r="G766" i="1"/>
  <c r="Q766" i="1" s="1"/>
  <c r="G767" i="1"/>
  <c r="Q767" i="1" s="1"/>
  <c r="G774" i="1"/>
  <c r="Q774" i="1" s="1"/>
  <c r="G776" i="1"/>
  <c r="Q776" i="1" s="1"/>
  <c r="G779" i="1"/>
  <c r="Q779" i="1" s="1"/>
  <c r="G781" i="1"/>
  <c r="Q781" i="1" s="1"/>
  <c r="G785" i="1"/>
  <c r="Q785" i="1" s="1"/>
  <c r="G791" i="1"/>
  <c r="Q791" i="1" s="1"/>
  <c r="G793" i="1"/>
  <c r="Q793" i="1" s="1"/>
  <c r="G796" i="1"/>
  <c r="Q796" i="1" s="1"/>
  <c r="G798" i="1"/>
  <c r="Q798" i="1" s="1"/>
  <c r="G800" i="1"/>
  <c r="Q800" i="1" s="1"/>
  <c r="G801" i="1"/>
  <c r="Q801" i="1" s="1"/>
  <c r="G802" i="1"/>
  <c r="Q802" i="1" s="1"/>
  <c r="G805" i="1"/>
  <c r="Q805" i="1" s="1"/>
  <c r="G810" i="1"/>
  <c r="Q810" i="1" s="1"/>
  <c r="G813" i="1"/>
  <c r="Q813" i="1" s="1"/>
  <c r="G814" i="1"/>
  <c r="Q814" i="1" s="1"/>
  <c r="G816" i="1"/>
  <c r="Q816" i="1" s="1"/>
  <c r="G818" i="1"/>
  <c r="Q818" i="1" s="1"/>
  <c r="G820" i="1"/>
  <c r="Q820" i="1" s="1"/>
  <c r="G827" i="1"/>
  <c r="Q827" i="1" s="1"/>
  <c r="G829" i="1"/>
  <c r="Q829" i="1" s="1"/>
  <c r="G830" i="1"/>
  <c r="Q830" i="1" s="1"/>
  <c r="G831" i="1"/>
  <c r="Q831" i="1" s="1"/>
  <c r="G835" i="1"/>
  <c r="Q835" i="1" s="1"/>
  <c r="G841" i="1"/>
  <c r="Q841" i="1" s="1"/>
  <c r="G843" i="1"/>
  <c r="Q843" i="1" s="1"/>
  <c r="G844" i="1"/>
  <c r="Q844" i="1" s="1"/>
  <c r="G845" i="1"/>
  <c r="Q845" i="1" s="1"/>
  <c r="G846" i="1"/>
  <c r="Q846" i="1" s="1"/>
  <c r="G847" i="1"/>
  <c r="Q847" i="1" s="1"/>
  <c r="G849" i="1"/>
  <c r="Q849" i="1" s="1"/>
  <c r="G850" i="1"/>
  <c r="Q850" i="1" s="1"/>
  <c r="G851" i="1"/>
  <c r="Q851" i="1" s="1"/>
  <c r="G853" i="1"/>
  <c r="Q853" i="1" s="1"/>
  <c r="G854" i="1"/>
  <c r="Q854" i="1" s="1"/>
  <c r="G855" i="1"/>
  <c r="Q855" i="1" s="1"/>
  <c r="G856" i="1"/>
  <c r="Q856" i="1" s="1"/>
  <c r="G857" i="1"/>
  <c r="Q857" i="1" s="1"/>
  <c r="G858" i="1"/>
  <c r="Q858" i="1" s="1"/>
  <c r="G859" i="1"/>
  <c r="Q859" i="1" s="1"/>
  <c r="G860" i="1"/>
  <c r="Q860" i="1" s="1"/>
  <c r="G861" i="1"/>
  <c r="Q861" i="1" s="1"/>
  <c r="G862" i="1"/>
  <c r="Q862" i="1" s="1"/>
  <c r="G863" i="1"/>
  <c r="Q863" i="1" s="1"/>
  <c r="G864" i="1"/>
  <c r="Q864" i="1" s="1"/>
  <c r="G865" i="1"/>
  <c r="Q865" i="1" s="1"/>
  <c r="G867" i="1"/>
  <c r="Q867" i="1" s="1"/>
  <c r="G870" i="1"/>
  <c r="Q870" i="1" s="1"/>
  <c r="G874" i="1"/>
  <c r="Q874" i="1" s="1"/>
  <c r="G875" i="1"/>
  <c r="Q875" i="1" s="1"/>
  <c r="G877" i="1"/>
  <c r="Q877" i="1" s="1"/>
  <c r="G879" i="1"/>
  <c r="Q879" i="1" s="1"/>
  <c r="G880" i="1"/>
  <c r="Q880" i="1" s="1"/>
  <c r="G889" i="1"/>
  <c r="Q889" i="1" s="1"/>
  <c r="G891" i="1"/>
  <c r="Q891" i="1" s="1"/>
  <c r="G892" i="1"/>
  <c r="Q892" i="1" s="1"/>
  <c r="G894" i="1"/>
  <c r="Q894" i="1" s="1"/>
  <c r="G896" i="1"/>
  <c r="Q896" i="1" s="1"/>
  <c r="G900" i="1"/>
  <c r="Q900" i="1" s="1"/>
  <c r="G903" i="1"/>
  <c r="Q903" i="1" s="1"/>
  <c r="G912" i="1"/>
  <c r="Q912" i="1" s="1"/>
  <c r="G915" i="1"/>
  <c r="Q915" i="1" s="1"/>
  <c r="G916" i="1"/>
  <c r="Q916" i="1" s="1"/>
  <c r="G918" i="1"/>
  <c r="Q918" i="1" s="1"/>
  <c r="G920" i="1"/>
  <c r="Q920" i="1" s="1"/>
  <c r="G923" i="1"/>
  <c r="Q923" i="1" s="1"/>
  <c r="G924" i="1"/>
  <c r="Q924" i="1" s="1"/>
  <c r="G925" i="1"/>
  <c r="Q925" i="1" s="1"/>
  <c r="G926" i="1"/>
  <c r="Q926" i="1" s="1"/>
  <c r="G927" i="1"/>
  <c r="Q927" i="1" s="1"/>
  <c r="G929" i="1"/>
  <c r="Q929" i="1" s="1"/>
  <c r="G933" i="1"/>
  <c r="Q933" i="1" s="1"/>
  <c r="G935" i="1"/>
  <c r="Q935" i="1" s="1"/>
  <c r="G936" i="1"/>
  <c r="Q936" i="1" s="1"/>
  <c r="G937" i="1"/>
  <c r="Q937" i="1" s="1"/>
  <c r="G941" i="1"/>
  <c r="Q941" i="1" s="1"/>
  <c r="G942" i="1"/>
  <c r="Q942" i="1" s="1"/>
  <c r="G943" i="1"/>
  <c r="Q943" i="1" s="1"/>
  <c r="G945" i="1"/>
  <c r="Q945" i="1" s="1"/>
  <c r="G949" i="1"/>
  <c r="Q949" i="1" s="1"/>
  <c r="G952" i="1"/>
  <c r="Q952" i="1" s="1"/>
  <c r="G954" i="1"/>
  <c r="Q954" i="1" s="1"/>
  <c r="G957" i="1"/>
  <c r="Q957" i="1" s="1"/>
  <c r="G963" i="1"/>
  <c r="Q963" i="1" s="1"/>
  <c r="G966" i="1"/>
  <c r="Q966" i="1" s="1"/>
  <c r="G969" i="1"/>
  <c r="Q969" i="1" s="1"/>
  <c r="G972" i="1"/>
  <c r="Q972" i="1" s="1"/>
  <c r="G973" i="1"/>
  <c r="Q973" i="1" s="1"/>
  <c r="G978" i="1"/>
  <c r="Q978" i="1" s="1"/>
  <c r="G987" i="1"/>
  <c r="Q987" i="1" s="1"/>
  <c r="G992" i="1"/>
  <c r="Q992" i="1" s="1"/>
  <c r="G997" i="1"/>
  <c r="Q997" i="1" s="1"/>
  <c r="G1000" i="1"/>
  <c r="Q1000" i="1" s="1"/>
  <c r="G1001" i="1"/>
  <c r="Q1001" i="1" s="1"/>
  <c r="G1005" i="1"/>
  <c r="Q1005" i="1" s="1"/>
  <c r="G1008" i="1"/>
  <c r="Q1008" i="1" s="1"/>
  <c r="G1010" i="1"/>
  <c r="Q1010" i="1" s="1"/>
  <c r="G1013" i="1"/>
  <c r="Q1013" i="1" s="1"/>
  <c r="G1017" i="1"/>
  <c r="Q1017" i="1" s="1"/>
  <c r="G1018" i="1"/>
  <c r="Q1018" i="1" s="1"/>
  <c r="G1019" i="1"/>
  <c r="Q1019" i="1" s="1"/>
  <c r="G1023" i="1"/>
  <c r="Q1023" i="1" s="1"/>
  <c r="G1025" i="1"/>
  <c r="Q1025" i="1" s="1"/>
  <c r="G1030" i="1"/>
  <c r="Q1030" i="1" s="1"/>
  <c r="G1031" i="1"/>
  <c r="Q1031" i="1" s="1"/>
  <c r="G1032" i="1"/>
  <c r="Q1032" i="1" s="1"/>
  <c r="G1038" i="1"/>
  <c r="Q1038" i="1" s="1"/>
  <c r="G1044" i="1"/>
  <c r="Q1044" i="1" s="1"/>
  <c r="G1047" i="1"/>
  <c r="Q1047" i="1" s="1"/>
  <c r="G1050" i="1"/>
  <c r="Q1050" i="1" s="1"/>
  <c r="G1053" i="1"/>
  <c r="Q1053" i="1" s="1"/>
  <c r="G1056" i="1"/>
  <c r="Q1056" i="1" s="1"/>
  <c r="G1059" i="1"/>
  <c r="Q1059" i="1" s="1"/>
  <c r="G1067" i="1"/>
  <c r="Q1067" i="1" s="1"/>
  <c r="G1073" i="1"/>
  <c r="Q1073" i="1" s="1"/>
  <c r="G1084" i="1"/>
  <c r="Q1084" i="1" s="1"/>
  <c r="G1097" i="1"/>
  <c r="Q1097" i="1" s="1"/>
  <c r="G1099" i="1"/>
  <c r="Q1099" i="1" s="1"/>
  <c r="G1106" i="1"/>
  <c r="Q1106" i="1" s="1"/>
  <c r="G1116" i="1"/>
  <c r="Q1116" i="1" s="1"/>
  <c r="G1118" i="1"/>
  <c r="Q1118" i="1" s="1"/>
  <c r="G1122" i="1"/>
  <c r="Q1122" i="1" s="1"/>
  <c r="G1123" i="1"/>
  <c r="Q1123" i="1" s="1"/>
  <c r="G1129" i="1"/>
  <c r="Q1129" i="1" s="1"/>
  <c r="G1130" i="1"/>
  <c r="Q1130" i="1" s="1"/>
  <c r="G1133" i="1"/>
  <c r="Q1133" i="1" s="1"/>
  <c r="G1137" i="1"/>
  <c r="Q1137" i="1" s="1"/>
  <c r="G1138" i="1"/>
  <c r="Q1138" i="1" s="1"/>
  <c r="G1140" i="1"/>
  <c r="Q1140" i="1" s="1"/>
  <c r="G1141" i="1"/>
  <c r="Q1141" i="1" s="1"/>
  <c r="G1142" i="1"/>
  <c r="Q1142" i="1" s="1"/>
  <c r="G1145" i="1"/>
  <c r="Q1145" i="1" s="1"/>
  <c r="G1146" i="1"/>
  <c r="Q1146" i="1" s="1"/>
  <c r="G1147" i="1"/>
  <c r="Q1147" i="1" s="1"/>
  <c r="G1151" i="1"/>
  <c r="Q1151" i="1" s="1"/>
  <c r="G1157" i="1"/>
  <c r="Q1157" i="1" s="1"/>
  <c r="G1160" i="1"/>
  <c r="Q1160" i="1" s="1"/>
  <c r="G1162" i="1"/>
  <c r="Q1162" i="1" s="1"/>
  <c r="G1163" i="1"/>
  <c r="Q1163" i="1" s="1"/>
  <c r="G1164" i="1"/>
  <c r="Q1164" i="1" s="1"/>
  <c r="G1165" i="1"/>
  <c r="Q1165" i="1" s="1"/>
  <c r="G1168" i="1"/>
  <c r="Q1168" i="1" s="1"/>
  <c r="G1170" i="1"/>
  <c r="Q1170" i="1" s="1"/>
  <c r="G1171" i="1"/>
  <c r="Q1171" i="1" s="1"/>
  <c r="G1175" i="1"/>
  <c r="Q1175" i="1" s="1"/>
  <c r="G1176" i="1"/>
  <c r="Q1176" i="1" s="1"/>
  <c r="G1177" i="1"/>
  <c r="Q1177" i="1" s="1"/>
  <c r="G1181" i="1"/>
  <c r="Q1181" i="1" s="1"/>
  <c r="G1186" i="1"/>
  <c r="Q1186" i="1" s="1"/>
  <c r="G1188" i="1"/>
  <c r="Q1188" i="1" s="1"/>
  <c r="G1189" i="1"/>
  <c r="Q1189" i="1" s="1"/>
  <c r="G1192" i="1"/>
  <c r="Q1192" i="1" s="1"/>
  <c r="G1195" i="1"/>
  <c r="Q1195" i="1" s="1"/>
  <c r="G1196" i="1"/>
  <c r="Q1196" i="1" s="1"/>
  <c r="G1197" i="1"/>
  <c r="Q1197" i="1" s="1"/>
  <c r="G1198" i="1"/>
  <c r="Q1198" i="1" s="1"/>
  <c r="G1199" i="1"/>
  <c r="Q1199" i="1" s="1"/>
  <c r="G1203" i="1"/>
  <c r="Q1203" i="1" s="1"/>
  <c r="G1204" i="1"/>
  <c r="Q1204" i="1" s="1"/>
  <c r="G1205" i="1"/>
  <c r="Q1205" i="1" s="1"/>
  <c r="G1206" i="1"/>
  <c r="Q1206" i="1" s="1"/>
  <c r="G1208" i="1"/>
  <c r="Q1208" i="1" s="1"/>
  <c r="G1212" i="1"/>
  <c r="Q1212" i="1" s="1"/>
  <c r="G1221" i="1"/>
  <c r="Q1221" i="1" s="1"/>
  <c r="G1225" i="1"/>
  <c r="Q1225" i="1" s="1"/>
  <c r="G1226" i="1"/>
  <c r="Q1226" i="1" s="1"/>
  <c r="G1227" i="1"/>
  <c r="Q1227" i="1" s="1"/>
  <c r="G1230" i="1"/>
  <c r="Q1230" i="1" s="1"/>
  <c r="G1231" i="1"/>
  <c r="Q1231" i="1" s="1"/>
  <c r="G1233" i="1"/>
  <c r="Q1233" i="1" s="1"/>
  <c r="G1235" i="1"/>
  <c r="Q1235" i="1" s="1"/>
  <c r="G1239" i="1"/>
  <c r="Q1239" i="1" s="1"/>
  <c r="G1242" i="1"/>
  <c r="Q1242" i="1" s="1"/>
  <c r="G1243" i="1"/>
  <c r="Q1243" i="1" s="1"/>
  <c r="G1244" i="1"/>
  <c r="Q1244" i="1" s="1"/>
  <c r="G1246" i="1"/>
  <c r="Q1246" i="1" s="1"/>
  <c r="G1247" i="1"/>
  <c r="Q1247" i="1" s="1"/>
  <c r="G1248" i="1"/>
  <c r="Q1248" i="1" s="1"/>
  <c r="G1250" i="1"/>
  <c r="Q1250" i="1" s="1"/>
  <c r="G1251" i="1"/>
  <c r="Q1251" i="1" s="1"/>
  <c r="G1252" i="1"/>
  <c r="Q1252" i="1" s="1"/>
  <c r="G1255" i="1"/>
  <c r="Q1255" i="1" s="1"/>
  <c r="G1257" i="1"/>
  <c r="Q1257" i="1" s="1"/>
  <c r="G1258" i="1"/>
  <c r="Q1258" i="1" s="1"/>
  <c r="G1261" i="1"/>
  <c r="Q1261" i="1" s="1"/>
  <c r="G1262" i="1"/>
  <c r="Q1262" i="1" s="1"/>
  <c r="G1263" i="1"/>
  <c r="Q1263" i="1" s="1"/>
  <c r="G1266" i="1"/>
  <c r="Q1266" i="1" s="1"/>
  <c r="G1267" i="1"/>
  <c r="Q1267" i="1" s="1"/>
  <c r="G1268" i="1"/>
  <c r="Q1268" i="1" s="1"/>
  <c r="G1269" i="1"/>
  <c r="Q1269" i="1" s="1"/>
  <c r="G1270" i="1"/>
  <c r="Q1270" i="1" s="1"/>
  <c r="G1271" i="1"/>
  <c r="Q1271" i="1" s="1"/>
  <c r="G1275" i="1"/>
  <c r="Q1275" i="1" s="1"/>
  <c r="G1276" i="1"/>
  <c r="Q1276" i="1" s="1"/>
  <c r="G1278" i="1"/>
  <c r="Q1278" i="1" s="1"/>
  <c r="G1283" i="1"/>
  <c r="Q1283" i="1" s="1"/>
  <c r="G1289" i="1"/>
  <c r="Q1289" i="1" s="1"/>
  <c r="G1290" i="1"/>
  <c r="Q1290" i="1" s="1"/>
  <c r="G1297" i="1"/>
  <c r="Q1297" i="1" s="1"/>
  <c r="G1298" i="1"/>
  <c r="Q1298" i="1" s="1"/>
  <c r="G1299" i="1"/>
  <c r="Q1299" i="1" s="1"/>
  <c r="G1300" i="1"/>
  <c r="Q1300" i="1" s="1"/>
  <c r="G1308" i="1"/>
  <c r="Q1308" i="1" s="1"/>
  <c r="G1309" i="1"/>
  <c r="Q1309" i="1" s="1"/>
  <c r="G1315" i="1"/>
  <c r="Q1315" i="1" s="1"/>
  <c r="G1316" i="1"/>
  <c r="Q1316" i="1" s="1"/>
  <c r="G1318" i="1"/>
  <c r="Q1318" i="1" s="1"/>
  <c r="G1319" i="1"/>
  <c r="Q1319" i="1" s="1"/>
  <c r="G1322" i="1"/>
  <c r="Q1322" i="1" s="1"/>
  <c r="G1324" i="1"/>
  <c r="Q1324" i="1" s="1"/>
  <c r="G1327" i="1"/>
  <c r="Q1327" i="1" s="1"/>
  <c r="G1329" i="1"/>
  <c r="Q1329" i="1" s="1"/>
  <c r="G1331" i="1"/>
  <c r="Q1331" i="1" s="1"/>
  <c r="G1333" i="1"/>
  <c r="Q1333" i="1" s="1"/>
  <c r="G1336" i="1"/>
  <c r="Q1336" i="1" s="1"/>
  <c r="G1337" i="1"/>
  <c r="Q1337" i="1" s="1"/>
  <c r="G1341" i="1"/>
  <c r="Q1341" i="1" s="1"/>
  <c r="G1343" i="1"/>
  <c r="Q1343" i="1" s="1"/>
  <c r="G1345" i="1"/>
  <c r="Q1345" i="1" s="1"/>
  <c r="G1346" i="1"/>
  <c r="Q1346" i="1" s="1"/>
  <c r="G1347" i="1"/>
  <c r="Q1347" i="1" s="1"/>
  <c r="G1348" i="1"/>
  <c r="Q1348" i="1" s="1"/>
  <c r="G1349" i="1"/>
  <c r="Q1349" i="1" s="1"/>
  <c r="G1350" i="1"/>
  <c r="Q1350" i="1" s="1"/>
  <c r="G1351" i="1"/>
  <c r="Q1351" i="1" s="1"/>
  <c r="G1352" i="1"/>
  <c r="Q1352" i="1" s="1"/>
  <c r="G1353" i="1"/>
  <c r="Q1353" i="1" s="1"/>
  <c r="G1354" i="1"/>
  <c r="Q1354" i="1" s="1"/>
  <c r="G1355" i="1"/>
  <c r="Q1355" i="1" s="1"/>
  <c r="G1356" i="1"/>
  <c r="Q1356" i="1" s="1"/>
  <c r="G1357" i="1"/>
  <c r="Q1357" i="1" s="1"/>
  <c r="G1358" i="1"/>
  <c r="Q1358" i="1" s="1"/>
  <c r="G1359" i="1"/>
  <c r="Q1359" i="1" s="1"/>
  <c r="G1361" i="1"/>
  <c r="Q1361" i="1" s="1"/>
  <c r="G1363" i="1"/>
  <c r="Q1363" i="1" s="1"/>
  <c r="G1364" i="1"/>
  <c r="Q1364" i="1" s="1"/>
  <c r="G1365" i="1"/>
  <c r="Q1365" i="1" s="1"/>
  <c r="G1367" i="1"/>
  <c r="Q1367" i="1" s="1"/>
  <c r="G1368" i="1"/>
  <c r="Q1368" i="1" s="1"/>
  <c r="G1369" i="1"/>
  <c r="Q1369" i="1" s="1"/>
  <c r="G1370" i="1"/>
  <c r="Q1370" i="1" s="1"/>
  <c r="G1371" i="1"/>
  <c r="Q1371" i="1" s="1"/>
  <c r="G1372" i="1"/>
  <c r="Q1372" i="1" s="1"/>
  <c r="G1373" i="1"/>
  <c r="Q1373" i="1" s="1"/>
  <c r="G1374" i="1"/>
  <c r="Q1374" i="1" s="1"/>
  <c r="G1375" i="1"/>
  <c r="Q1375" i="1" s="1"/>
  <c r="G1376" i="1"/>
  <c r="Q1376" i="1" s="1"/>
  <c r="G1377" i="1"/>
  <c r="Q1377" i="1" s="1"/>
  <c r="G1378" i="1"/>
  <c r="Q1378" i="1" s="1"/>
  <c r="G1379" i="1"/>
  <c r="Q1379" i="1" s="1"/>
  <c r="G1380" i="1"/>
  <c r="Q1380" i="1" s="1"/>
  <c r="G1381" i="1"/>
  <c r="Q1381" i="1" s="1"/>
  <c r="G1382" i="1"/>
  <c r="Q1382" i="1" s="1"/>
  <c r="G1384" i="1"/>
  <c r="Q1384" i="1" s="1"/>
  <c r="G1385" i="1"/>
  <c r="Q1385" i="1" s="1"/>
  <c r="G1386" i="1"/>
  <c r="Q1386" i="1" s="1"/>
  <c r="G1388" i="1"/>
  <c r="Q1388" i="1" s="1"/>
  <c r="G1389" i="1"/>
  <c r="Q1389" i="1" s="1"/>
  <c r="G1390" i="1"/>
  <c r="Q1390" i="1" s="1"/>
  <c r="G1391" i="1"/>
  <c r="Q1391" i="1" s="1"/>
  <c r="G1392" i="1"/>
  <c r="Q1392" i="1" s="1"/>
  <c r="G1393" i="1"/>
  <c r="Q1393" i="1" s="1"/>
  <c r="G1394" i="1"/>
  <c r="Q1394" i="1" s="1"/>
  <c r="G1396" i="1"/>
  <c r="Q1396" i="1" s="1"/>
  <c r="G1397" i="1"/>
  <c r="Q1397" i="1" s="1"/>
  <c r="G1398" i="1"/>
  <c r="Q1398" i="1" s="1"/>
  <c r="G1399" i="1"/>
  <c r="Q1399" i="1" s="1"/>
  <c r="G1400" i="1"/>
  <c r="Q1400" i="1" s="1"/>
  <c r="G1401" i="1"/>
  <c r="Q1401" i="1" s="1"/>
  <c r="G1402" i="1"/>
  <c r="Q1402" i="1" s="1"/>
  <c r="G1403" i="1"/>
  <c r="Q1403" i="1" s="1"/>
  <c r="G1404" i="1"/>
  <c r="Q1404" i="1" s="1"/>
  <c r="G1405" i="1"/>
  <c r="Q1405" i="1" s="1"/>
  <c r="G1406" i="1"/>
  <c r="Q1406" i="1" s="1"/>
  <c r="G1407" i="1"/>
  <c r="Q1407" i="1" s="1"/>
  <c r="G1409" i="1"/>
  <c r="Q1409" i="1" s="1"/>
  <c r="G1410" i="1"/>
  <c r="Q1410" i="1" s="1"/>
  <c r="G1411" i="1"/>
  <c r="Q1411" i="1" s="1"/>
  <c r="G1414" i="1"/>
  <c r="Q1414" i="1" s="1"/>
  <c r="G1415" i="1"/>
  <c r="Q1415" i="1" s="1"/>
  <c r="G1416" i="1"/>
  <c r="Q1416" i="1" s="1"/>
  <c r="G1418" i="1"/>
  <c r="Q1418" i="1" s="1"/>
  <c r="G1420" i="1"/>
  <c r="Q1420" i="1" s="1"/>
  <c r="G1424" i="1"/>
  <c r="Q1424" i="1" s="1"/>
  <c r="G1426" i="1"/>
  <c r="Q1426" i="1" s="1"/>
  <c r="G1429" i="1"/>
  <c r="Q1429" i="1" s="1"/>
  <c r="G1430" i="1"/>
  <c r="Q1430" i="1" s="1"/>
  <c r="G1442" i="1"/>
  <c r="Q1442" i="1" s="1"/>
  <c r="G1450" i="1"/>
  <c r="Q1450" i="1" s="1"/>
  <c r="G1451" i="1"/>
  <c r="Q1451" i="1" s="1"/>
  <c r="G1452" i="1"/>
  <c r="Q1452" i="1" s="1"/>
  <c r="G1453" i="1"/>
  <c r="Q1453" i="1" s="1"/>
  <c r="G1454" i="1"/>
  <c r="Q1454" i="1" s="1"/>
  <c r="G1455" i="1"/>
  <c r="Q1455" i="1" s="1"/>
  <c r="G1457" i="1"/>
  <c r="Q1457" i="1" s="1"/>
  <c r="G1458" i="1"/>
  <c r="Q1458" i="1" s="1"/>
  <c r="G1459" i="1"/>
  <c r="Q1459" i="1" s="1"/>
  <c r="G1461" i="1"/>
  <c r="Q1461" i="1" s="1"/>
  <c r="G1464" i="1"/>
  <c r="Q1464" i="1" s="1"/>
  <c r="G1465" i="1"/>
  <c r="Q1465" i="1" s="1"/>
  <c r="G1467" i="1"/>
  <c r="Q1467" i="1" s="1"/>
  <c r="G1468" i="1"/>
  <c r="Q1468" i="1" s="1"/>
  <c r="G1470" i="1"/>
  <c r="Q1470" i="1" s="1"/>
  <c r="G1472" i="1"/>
  <c r="Q1472" i="1" s="1"/>
  <c r="G1473" i="1"/>
  <c r="Q1473" i="1" s="1"/>
  <c r="G1475" i="1"/>
  <c r="Q1475" i="1" s="1"/>
  <c r="G1476" i="1"/>
  <c r="Q1476" i="1" s="1"/>
  <c r="G1477" i="1"/>
  <c r="Q1477" i="1" s="1"/>
  <c r="G1481" i="1"/>
  <c r="Q1481" i="1" s="1"/>
  <c r="G1482" i="1"/>
  <c r="Q1482" i="1" s="1"/>
  <c r="G1485" i="1"/>
  <c r="Q1485" i="1" s="1"/>
  <c r="G1486" i="1"/>
  <c r="Q1486" i="1" s="1"/>
  <c r="G1487" i="1"/>
  <c r="Q1487" i="1" s="1"/>
  <c r="G1488" i="1"/>
  <c r="Q1488" i="1" s="1"/>
  <c r="G1489" i="1"/>
  <c r="Q1489" i="1" s="1"/>
  <c r="G1490" i="1"/>
  <c r="Q1490" i="1" s="1"/>
  <c r="G1491" i="1"/>
  <c r="Q1491" i="1" s="1"/>
  <c r="G1492" i="1"/>
  <c r="Q1492" i="1" s="1"/>
  <c r="G1493" i="1"/>
  <c r="Q1493" i="1" s="1"/>
  <c r="G1494" i="1"/>
  <c r="Q1494" i="1" s="1"/>
  <c r="G1495" i="1"/>
  <c r="Q1495" i="1" s="1"/>
  <c r="G1496" i="1"/>
  <c r="Q1496" i="1" s="1"/>
  <c r="G1497" i="1"/>
  <c r="Q1497" i="1" s="1"/>
  <c r="G1498" i="1"/>
  <c r="Q1498" i="1" s="1"/>
  <c r="G1499" i="1"/>
  <c r="Q1499" i="1" s="1"/>
  <c r="G1502" i="1"/>
  <c r="Q1502" i="1" s="1"/>
  <c r="G1503" i="1"/>
  <c r="Q1503" i="1" s="1"/>
  <c r="G1504" i="1"/>
  <c r="Q1504" i="1" s="1"/>
  <c r="G1507" i="1"/>
  <c r="Q1507" i="1" s="1"/>
  <c r="G1513" i="1"/>
  <c r="Q1513" i="1" s="1"/>
  <c r="G1514" i="1"/>
  <c r="Q1514" i="1" s="1"/>
  <c r="G1516" i="1"/>
  <c r="Q1516" i="1" s="1"/>
  <c r="G1517" i="1"/>
  <c r="Q1517" i="1" s="1"/>
  <c r="G1522" i="1"/>
  <c r="Q1522" i="1" s="1"/>
  <c r="G1524" i="1"/>
  <c r="Q1524" i="1" s="1"/>
  <c r="G1525" i="1"/>
  <c r="Q1525" i="1" s="1"/>
  <c r="G1526" i="1"/>
  <c r="Q1526" i="1" s="1"/>
  <c r="G1528" i="1"/>
  <c r="Q1528" i="1" s="1"/>
  <c r="G1529" i="1"/>
  <c r="Q1529" i="1" s="1"/>
  <c r="G1532" i="1"/>
  <c r="Q1532" i="1" s="1"/>
  <c r="G1534" i="1"/>
  <c r="Q1534" i="1" s="1"/>
  <c r="G1535" i="1"/>
  <c r="Q1535" i="1" s="1"/>
  <c r="G1536" i="1"/>
  <c r="Q1536" i="1" s="1"/>
  <c r="G1537" i="1"/>
  <c r="Q1537" i="1" s="1"/>
  <c r="G1538" i="1"/>
  <c r="Q1538" i="1" s="1"/>
  <c r="G1540" i="1"/>
  <c r="Q1540" i="1" s="1"/>
  <c r="G1542" i="1"/>
  <c r="Q1542" i="1" s="1"/>
  <c r="G1543" i="1"/>
  <c r="Q1543" i="1" s="1"/>
  <c r="G1546" i="1"/>
  <c r="Q1546" i="1" s="1"/>
  <c r="G1548" i="1"/>
  <c r="Q1548" i="1" s="1"/>
  <c r="G1550" i="1"/>
  <c r="Q1550" i="1" s="1"/>
  <c r="G1556" i="1"/>
  <c r="Q1556" i="1" s="1"/>
  <c r="G1558" i="1"/>
  <c r="Q1558" i="1" s="1"/>
  <c r="G1560" i="1"/>
  <c r="Q1560" i="1" s="1"/>
  <c r="G1561" i="1"/>
  <c r="Q1561" i="1" s="1"/>
  <c r="G1563" i="1"/>
  <c r="Q1563" i="1" s="1"/>
  <c r="G1567" i="1"/>
  <c r="Q1567" i="1" s="1"/>
  <c r="G1568" i="1"/>
  <c r="Q1568" i="1" s="1"/>
  <c r="G1569" i="1"/>
  <c r="Q1569" i="1" s="1"/>
  <c r="G1570" i="1"/>
  <c r="Q1570" i="1" s="1"/>
  <c r="G1571" i="1"/>
  <c r="Q1571" i="1" s="1"/>
  <c r="G1572" i="1"/>
  <c r="Q1572" i="1" s="1"/>
  <c r="G1576" i="1"/>
  <c r="Q1576" i="1" s="1"/>
  <c r="G1577" i="1"/>
  <c r="Q1577" i="1" s="1"/>
  <c r="G1579" i="1"/>
  <c r="Q1579" i="1" s="1"/>
  <c r="G1580" i="1"/>
  <c r="Q1580" i="1" s="1"/>
  <c r="G1582" i="1"/>
  <c r="Q1582" i="1" s="1"/>
  <c r="G1583" i="1"/>
  <c r="Q1583" i="1" s="1"/>
  <c r="G1584" i="1"/>
  <c r="Q1584" i="1" s="1"/>
  <c r="G1585" i="1"/>
  <c r="Q1585" i="1" s="1"/>
  <c r="G1586" i="1"/>
  <c r="Q1586" i="1" s="1"/>
  <c r="G1587" i="1"/>
  <c r="Q1587" i="1" s="1"/>
  <c r="G1588" i="1"/>
  <c r="Q1588" i="1" s="1"/>
  <c r="G1589" i="1"/>
  <c r="Q1589" i="1" s="1"/>
  <c r="G1590" i="1"/>
  <c r="Q1590" i="1" s="1"/>
  <c r="G1591" i="1"/>
  <c r="Q1591" i="1" s="1"/>
  <c r="G1595" i="1"/>
  <c r="Q1595" i="1" s="1"/>
  <c r="G1596" i="1"/>
  <c r="Q1596" i="1" s="1"/>
  <c r="G1600" i="1"/>
  <c r="Q1600" i="1" s="1"/>
  <c r="G1602" i="1"/>
  <c r="Q1602" i="1" s="1"/>
  <c r="G1605" i="1"/>
  <c r="Q1605" i="1" s="1"/>
  <c r="G1607" i="1"/>
  <c r="Q1607" i="1" s="1"/>
  <c r="G1608" i="1"/>
  <c r="Q1608" i="1" s="1"/>
  <c r="G1610" i="1"/>
  <c r="Q1610" i="1" s="1"/>
  <c r="G1611" i="1"/>
  <c r="Q1611" i="1" s="1"/>
  <c r="G1613" i="1"/>
  <c r="Q1613" i="1" s="1"/>
  <c r="G1615" i="1"/>
  <c r="Q1615" i="1" s="1"/>
  <c r="G1617" i="1"/>
  <c r="Q1617" i="1" s="1"/>
  <c r="G1618" i="1"/>
  <c r="Q1618" i="1" s="1"/>
  <c r="G1619" i="1"/>
  <c r="Q1619" i="1" s="1"/>
  <c r="G1620" i="1"/>
  <c r="Q1620" i="1" s="1"/>
  <c r="G1621" i="1"/>
  <c r="Q1621" i="1" s="1"/>
  <c r="G1622" i="1"/>
  <c r="Q1622" i="1" s="1"/>
  <c r="G1630" i="1"/>
  <c r="Q1630" i="1" s="1"/>
  <c r="G1632" i="1"/>
  <c r="Q1632" i="1" s="1"/>
  <c r="G1633" i="1"/>
  <c r="Q1633" i="1" s="1"/>
  <c r="G1634" i="1"/>
  <c r="Q1634" i="1" s="1"/>
  <c r="G1635" i="1"/>
  <c r="Q1635" i="1" s="1"/>
  <c r="G1637" i="1"/>
  <c r="Q1637" i="1" s="1"/>
  <c r="G1638" i="1"/>
  <c r="Q1638" i="1" s="1"/>
  <c r="G1639" i="1"/>
  <c r="Q1639" i="1" s="1"/>
  <c r="G1640" i="1"/>
  <c r="Q1640" i="1" s="1"/>
  <c r="G1642" i="1"/>
  <c r="Q1642" i="1" s="1"/>
  <c r="G1643" i="1"/>
  <c r="Q1643" i="1" s="1"/>
  <c r="G1644" i="1"/>
  <c r="Q1644" i="1" s="1"/>
  <c r="G1645" i="1"/>
  <c r="Q1645" i="1" s="1"/>
  <c r="G1651" i="1"/>
  <c r="Q1651" i="1" s="1"/>
  <c r="G1652" i="1"/>
  <c r="Q1652" i="1" s="1"/>
  <c r="G1656" i="1"/>
  <c r="Q1656" i="1" s="1"/>
  <c r="G1658" i="1"/>
  <c r="Q1658" i="1" s="1"/>
  <c r="G1660" i="1"/>
  <c r="Q1660" i="1" s="1"/>
  <c r="G1661" i="1"/>
  <c r="Q1661" i="1" s="1"/>
  <c r="G1662" i="1"/>
  <c r="Q1662" i="1" s="1"/>
  <c r="G1665" i="1"/>
  <c r="Q1665" i="1" s="1"/>
  <c r="G1666" i="1"/>
  <c r="Q1666" i="1" s="1"/>
  <c r="G1668" i="1"/>
  <c r="Q1668" i="1" s="1"/>
  <c r="G1669" i="1"/>
  <c r="Q1669" i="1" s="1"/>
  <c r="G1670" i="1"/>
  <c r="Q1670" i="1" s="1"/>
  <c r="G1671" i="1"/>
  <c r="Q1671" i="1" s="1"/>
  <c r="G1672" i="1"/>
  <c r="Q1672" i="1" s="1"/>
  <c r="G1673" i="1"/>
  <c r="Q1673" i="1" s="1"/>
  <c r="G1674" i="1"/>
  <c r="Q1674" i="1" s="1"/>
  <c r="G1675" i="1"/>
  <c r="Q1675" i="1" s="1"/>
  <c r="G1680" i="1"/>
  <c r="Q1680" i="1" s="1"/>
  <c r="G1682" i="1"/>
  <c r="Q1682" i="1" s="1"/>
  <c r="G1684" i="1"/>
  <c r="Q1684" i="1" s="1"/>
  <c r="G1685" i="1"/>
  <c r="Q1685" i="1" s="1"/>
  <c r="G1688" i="1"/>
  <c r="Q1688" i="1" s="1"/>
  <c r="G1693" i="1"/>
  <c r="Q1693" i="1" s="1"/>
  <c r="G1696" i="1"/>
  <c r="Q1696" i="1" s="1"/>
  <c r="G1701" i="1"/>
  <c r="Q1701" i="1" s="1"/>
  <c r="G1702" i="1"/>
  <c r="Q1702" i="1" s="1"/>
  <c r="G1703" i="1"/>
  <c r="Q1703" i="1" s="1"/>
  <c r="G1704" i="1"/>
  <c r="Q1704" i="1" s="1"/>
  <c r="G1705" i="1"/>
  <c r="Q1705" i="1" s="1"/>
  <c r="G1707" i="1"/>
  <c r="Q1707" i="1" s="1"/>
  <c r="G1708" i="1"/>
  <c r="Q1708" i="1" s="1"/>
  <c r="G1709" i="1"/>
  <c r="Q1709" i="1" s="1"/>
  <c r="G1710" i="1"/>
  <c r="Q1710" i="1" s="1"/>
  <c r="G1711" i="1"/>
  <c r="Q1711" i="1" s="1"/>
  <c r="G1712" i="1"/>
  <c r="Q1712" i="1" s="1"/>
  <c r="G1715" i="1"/>
  <c r="Q1715" i="1" s="1"/>
  <c r="G1716" i="1"/>
  <c r="Q1716" i="1" s="1"/>
  <c r="G1719" i="1"/>
  <c r="Q1719" i="1" s="1"/>
  <c r="G1723" i="1"/>
  <c r="Q1723" i="1" s="1"/>
  <c r="G1724" i="1"/>
  <c r="Q1724" i="1" s="1"/>
  <c r="G1726" i="1"/>
  <c r="Q1726" i="1" s="1"/>
  <c r="G1727" i="1"/>
  <c r="Q1727" i="1" s="1"/>
  <c r="G1728" i="1"/>
  <c r="Q1728" i="1" s="1"/>
  <c r="G1729" i="1"/>
  <c r="Q1729" i="1" s="1"/>
  <c r="G1730" i="1"/>
  <c r="Q1730" i="1" s="1"/>
  <c r="G1731" i="1"/>
  <c r="Q1731" i="1" s="1"/>
  <c r="G1732" i="1"/>
  <c r="Q1732" i="1" s="1"/>
  <c r="G1733" i="1"/>
  <c r="Q1733" i="1" s="1"/>
  <c r="G1736" i="1"/>
  <c r="Q1736" i="1" s="1"/>
  <c r="G1737" i="1"/>
  <c r="Q1737" i="1" s="1"/>
  <c r="G1739" i="1"/>
  <c r="Q1739" i="1" s="1"/>
  <c r="G1741" i="1"/>
  <c r="Q1741" i="1" s="1"/>
  <c r="G1742" i="1"/>
  <c r="Q1742" i="1" s="1"/>
  <c r="G1749" i="1"/>
  <c r="Q1749" i="1" s="1"/>
  <c r="G1752" i="1"/>
  <c r="Q1752" i="1" s="1"/>
  <c r="G1753" i="1"/>
  <c r="Q1753" i="1" s="1"/>
  <c r="G1754" i="1"/>
  <c r="Q1754" i="1" s="1"/>
  <c r="G1755" i="1"/>
  <c r="Q1755" i="1" s="1"/>
  <c r="G1756" i="1"/>
  <c r="Q1756" i="1" s="1"/>
  <c r="G1757" i="1"/>
  <c r="Q1757" i="1" s="1"/>
  <c r="G1758" i="1"/>
  <c r="Q1758" i="1" s="1"/>
  <c r="G1759" i="1"/>
  <c r="Q1759" i="1" s="1"/>
  <c r="G1760" i="1"/>
  <c r="Q1760" i="1" s="1"/>
  <c r="G1763" i="1"/>
  <c r="Q1763" i="1" s="1"/>
  <c r="G1764" i="1"/>
  <c r="Q1764" i="1" s="1"/>
  <c r="G1765" i="1"/>
  <c r="Q1765" i="1" s="1"/>
  <c r="G1767" i="1"/>
  <c r="Q1767" i="1" s="1"/>
  <c r="G1768" i="1"/>
  <c r="Q1768" i="1" s="1"/>
  <c r="G1769" i="1"/>
  <c r="Q1769" i="1" s="1"/>
  <c r="G1770" i="1"/>
  <c r="Q1770" i="1" s="1"/>
  <c r="G1773" i="1"/>
  <c r="Q1773" i="1" s="1"/>
  <c r="G1779" i="1"/>
  <c r="Q1779" i="1" s="1"/>
  <c r="G1781" i="1"/>
  <c r="Q1781" i="1" s="1"/>
  <c r="G1783" i="1"/>
  <c r="Q1783" i="1" s="1"/>
  <c r="G1784" i="1"/>
  <c r="Q1784" i="1" s="1"/>
  <c r="G1785" i="1"/>
  <c r="Q1785" i="1" s="1"/>
  <c r="G1786" i="1"/>
  <c r="Q1786" i="1" s="1"/>
  <c r="G1787" i="1"/>
  <c r="Q1787" i="1" s="1"/>
  <c r="G1788" i="1"/>
  <c r="Q1788" i="1" s="1"/>
  <c r="G1790" i="1"/>
  <c r="Q1790" i="1" s="1"/>
  <c r="G1791" i="1"/>
  <c r="Q1791" i="1" s="1"/>
  <c r="G1792" i="1"/>
  <c r="Q1792" i="1" s="1"/>
  <c r="G1799" i="1"/>
  <c r="Q1799" i="1" s="1"/>
  <c r="G1800" i="1"/>
  <c r="Q1800" i="1" s="1"/>
  <c r="G1801" i="1"/>
  <c r="Q1801" i="1" s="1"/>
  <c r="G1802" i="1"/>
  <c r="Q1802" i="1" s="1"/>
  <c r="G1803" i="1"/>
  <c r="Q1803" i="1" s="1"/>
  <c r="G1804" i="1"/>
  <c r="Q1804" i="1" s="1"/>
  <c r="G1805" i="1"/>
  <c r="Q1805" i="1" s="1"/>
  <c r="G1806" i="1"/>
  <c r="Q1806" i="1" s="1"/>
  <c r="G1807" i="1"/>
  <c r="Q1807" i="1" s="1"/>
  <c r="G1808" i="1"/>
  <c r="Q1808" i="1" s="1"/>
  <c r="G1809" i="1"/>
  <c r="Q1809" i="1" s="1"/>
  <c r="G1810" i="1"/>
  <c r="Q1810" i="1" s="1"/>
  <c r="G1811" i="1"/>
  <c r="Q1811" i="1" s="1"/>
  <c r="G1812" i="1"/>
  <c r="Q1812" i="1" s="1"/>
  <c r="G1813" i="1"/>
  <c r="Q1813" i="1" s="1"/>
  <c r="G1815" i="1"/>
  <c r="Q1815" i="1" s="1"/>
  <c r="G1816" i="1"/>
  <c r="Q1816" i="1" s="1"/>
  <c r="G1817" i="1"/>
  <c r="Q1817" i="1" s="1"/>
  <c r="G1818" i="1"/>
  <c r="Q1818" i="1" s="1"/>
  <c r="G1824" i="1"/>
  <c r="Q1824" i="1" s="1"/>
  <c r="G1825" i="1"/>
  <c r="Q1825" i="1" s="1"/>
  <c r="G1827" i="1"/>
  <c r="Q1827" i="1" s="1"/>
  <c r="G1828" i="1"/>
  <c r="Q1828" i="1" s="1"/>
  <c r="G1829" i="1"/>
  <c r="Q1829" i="1" s="1"/>
  <c r="G1830" i="1"/>
  <c r="Q1830" i="1" s="1"/>
  <c r="G1831" i="1"/>
  <c r="Q1831" i="1" s="1"/>
  <c r="G1832" i="1"/>
  <c r="Q1832" i="1" s="1"/>
  <c r="G1833" i="1"/>
  <c r="Q1833" i="1" s="1"/>
  <c r="G1834" i="1"/>
  <c r="Q1834" i="1" s="1"/>
  <c r="G1837" i="1"/>
  <c r="Q1837" i="1" s="1"/>
  <c r="G1843" i="1"/>
  <c r="Q1843" i="1" s="1"/>
  <c r="G1845" i="1"/>
  <c r="Q1845" i="1" s="1"/>
  <c r="G1846" i="1"/>
  <c r="Q1846" i="1" s="1"/>
  <c r="G1850" i="1"/>
  <c r="Q1850" i="1" s="1"/>
  <c r="G1851" i="1"/>
  <c r="Q1851" i="1" s="1"/>
  <c r="G1855" i="1"/>
  <c r="Q1855" i="1" s="1"/>
  <c r="G1856" i="1"/>
  <c r="Q1856" i="1" s="1"/>
  <c r="G1857" i="1"/>
  <c r="Q1857" i="1" s="1"/>
  <c r="G1859" i="1"/>
  <c r="Q1859" i="1" s="1"/>
  <c r="G1861" i="1"/>
  <c r="Q1861" i="1" s="1"/>
  <c r="G1867" i="1"/>
  <c r="Q1867" i="1" s="1"/>
  <c r="G1869" i="1"/>
  <c r="Q1869" i="1" s="1"/>
  <c r="G1870" i="1"/>
  <c r="Q1870" i="1" s="1"/>
  <c r="G1871" i="1"/>
  <c r="Q1871" i="1" s="1"/>
  <c r="G1873" i="1"/>
  <c r="Q1873" i="1" s="1"/>
  <c r="G1875" i="1"/>
  <c r="Q1875" i="1" s="1"/>
  <c r="G1876" i="1"/>
  <c r="Q1876" i="1" s="1"/>
  <c r="G1877" i="1"/>
  <c r="Q1877" i="1" s="1"/>
  <c r="G1878" i="1"/>
  <c r="Q1878" i="1" s="1"/>
  <c r="G1879" i="1"/>
  <c r="Q1879" i="1" s="1"/>
  <c r="G1880" i="1"/>
  <c r="Q1880" i="1" s="1"/>
  <c r="G1883" i="1"/>
  <c r="Q1883" i="1" s="1"/>
  <c r="G1884" i="1"/>
  <c r="Q1884" i="1" s="1"/>
  <c r="G1885" i="1"/>
  <c r="Q1885" i="1" s="1"/>
  <c r="G1886" i="1"/>
  <c r="Q1886" i="1" s="1"/>
  <c r="G1887" i="1"/>
  <c r="Q1887" i="1" s="1"/>
  <c r="G1888" i="1"/>
  <c r="Q1888" i="1" s="1"/>
  <c r="G672" i="1" l="1"/>
  <c r="Q672" i="1" s="1"/>
  <c r="G43" i="1"/>
  <c r="Q43" i="1" s="1"/>
  <c r="G678" i="1"/>
  <c r="Q678" i="1" s="1"/>
  <c r="G39" i="1"/>
  <c r="Q39" i="1" s="1"/>
  <c r="G1623" i="1"/>
  <c r="Q1623" i="1" s="1"/>
  <c r="G1597" i="1"/>
  <c r="Q1597" i="1" s="1"/>
  <c r="G674" i="1"/>
  <c r="Q674" i="1" s="1"/>
  <c r="G36" i="1"/>
  <c r="Q36" i="1" s="1"/>
  <c r="F24" i="5" a="1"/>
  <c r="F24" i="5" s="1"/>
  <c r="D30" i="5" a="1"/>
  <c r="D30" i="5" s="1"/>
  <c r="G25" i="5" a="1"/>
  <c r="G25" i="5" s="1"/>
  <c r="G24" i="5" a="1"/>
  <c r="G24" i="5" s="1"/>
  <c r="F27" i="5" a="1"/>
  <c r="F27" i="5" s="1"/>
  <c r="D32" i="5" a="1"/>
  <c r="D32" i="5" s="1"/>
  <c r="F25" i="5" a="1"/>
  <c r="F25" i="5" s="1"/>
  <c r="C23" i="5" a="1"/>
  <c r="C23" i="5" s="1"/>
  <c r="D31" i="5" a="1"/>
  <c r="D31" i="5" s="1"/>
  <c r="E32" i="5" a="1"/>
  <c r="E32" i="5" s="1"/>
  <c r="H28" i="5" a="1"/>
  <c r="H28" i="5" s="1"/>
  <c r="H31" i="5" a="1"/>
  <c r="H31" i="5" s="1"/>
  <c r="G30" i="5" a="1"/>
  <c r="G30" i="5" s="1"/>
  <c r="E24" i="5" a="1"/>
  <c r="E24" i="5" s="1"/>
  <c r="G31" i="5" a="1"/>
  <c r="G31" i="5" s="1"/>
  <c r="H27" i="5" a="1"/>
  <c r="H27" i="5" s="1"/>
  <c r="D23" i="5" a="1"/>
  <c r="D23" i="5" s="1"/>
  <c r="C27" i="5" a="1"/>
  <c r="C27" i="5" s="1"/>
  <c r="F30" i="5" a="1"/>
  <c r="F30" i="5" s="1"/>
  <c r="E27" i="5" a="1"/>
  <c r="E27" i="5" s="1"/>
  <c r="D24" i="5" a="1"/>
  <c r="D24" i="5" s="1"/>
  <c r="G28" i="5" a="1"/>
  <c r="G28" i="5" s="1"/>
  <c r="G32" i="5" a="1"/>
  <c r="G32" i="5" s="1"/>
  <c r="D29" i="5" a="1"/>
  <c r="D29" i="5" s="1"/>
  <c r="H25" i="5" a="1"/>
  <c r="H25" i="5" s="1"/>
  <c r="C32" i="5" a="1"/>
  <c r="C32" i="5" s="1"/>
  <c r="C25" i="5" a="1"/>
  <c r="C25" i="5" s="1"/>
  <c r="E25" i="5" a="1"/>
  <c r="E25" i="5" s="1"/>
  <c r="AJ10" i="5" a="1"/>
  <c r="AJ10" i="5" s="1"/>
  <c r="AL10" i="5" a="1"/>
  <c r="AL10" i="5" s="1"/>
  <c r="AJ11" i="5" a="1"/>
  <c r="AJ11" i="5" s="1"/>
  <c r="AL11" i="5" a="1"/>
  <c r="AL11" i="5" s="1"/>
  <c r="AJ12" i="5" a="1"/>
  <c r="AJ12" i="5" s="1"/>
  <c r="AL12" i="5" a="1"/>
  <c r="AL12" i="5" s="1"/>
  <c r="AJ13" i="5" a="1"/>
  <c r="AJ13" i="5" s="1"/>
  <c r="AL13" i="5" a="1"/>
  <c r="AL13" i="5" s="1"/>
  <c r="AJ14" i="5" a="1"/>
  <c r="AJ14" i="5" s="1"/>
  <c r="AL14" i="5" a="1"/>
  <c r="AL14" i="5" s="1"/>
  <c r="AJ15" i="5" a="1"/>
  <c r="AJ15" i="5" s="1"/>
  <c r="AL15" i="5" a="1"/>
  <c r="AL15" i="5" s="1"/>
  <c r="AH11" i="5" a="1"/>
  <c r="AH11" i="5" s="1"/>
  <c r="AH13" i="5" a="1"/>
  <c r="AH13" i="5" s="1"/>
  <c r="AH15" i="5" a="1"/>
  <c r="AH15" i="5" s="1"/>
  <c r="AI10" i="5" a="1"/>
  <c r="AI10" i="5" s="1"/>
  <c r="AK10" i="5" a="1"/>
  <c r="AK10" i="5" s="1"/>
  <c r="AI11" i="5" a="1"/>
  <c r="AI11" i="5" s="1"/>
  <c r="AK11" i="5" a="1"/>
  <c r="AK11" i="5" s="1"/>
  <c r="AI12" i="5" a="1"/>
  <c r="AI12" i="5" s="1"/>
  <c r="AK12" i="5" a="1"/>
  <c r="AK12" i="5" s="1"/>
  <c r="AI13" i="5" a="1"/>
  <c r="AI13" i="5" s="1"/>
  <c r="AK13" i="5" a="1"/>
  <c r="AK13" i="5" s="1"/>
  <c r="AI14" i="5" a="1"/>
  <c r="AI14" i="5" s="1"/>
  <c r="AK14" i="5" a="1"/>
  <c r="AK14" i="5" s="1"/>
  <c r="AI15" i="5" a="1"/>
  <c r="AI15" i="5" s="1"/>
  <c r="AK15" i="5" a="1"/>
  <c r="AK15" i="5" s="1"/>
  <c r="AH10" i="5" a="1"/>
  <c r="AH10" i="5" s="1"/>
  <c r="AH12" i="5" a="1"/>
  <c r="AH12" i="5" s="1"/>
  <c r="AH14" i="5" a="1"/>
  <c r="AH14" i="5" s="1"/>
  <c r="CQ24" i="5" a="1"/>
  <c r="CQ24" i="5" s="1"/>
  <c r="CU24" i="5" s="1"/>
  <c r="CQ20" i="5" a="1"/>
  <c r="CQ20" i="5" s="1"/>
  <c r="CU20" i="5" s="1"/>
  <c r="CQ22" i="5" a="1"/>
  <c r="CQ22" i="5" s="1"/>
  <c r="CU22" i="5" s="1"/>
  <c r="C26" i="5" a="1"/>
  <c r="C26" i="5" s="1"/>
  <c r="F29" i="5" a="1"/>
  <c r="F29" i="5" s="1"/>
  <c r="E26" i="5" a="1"/>
  <c r="E26" i="5" s="1"/>
  <c r="H23" i="5" a="1"/>
  <c r="H23" i="5" s="1"/>
  <c r="C28" i="5" a="1"/>
  <c r="C28" i="5" s="1"/>
  <c r="C31" i="5" a="1"/>
  <c r="C31" i="5" s="1"/>
  <c r="H32" i="5" a="1"/>
  <c r="H32" i="5" s="1"/>
  <c r="E31" i="5" a="1"/>
  <c r="E31" i="5" s="1"/>
  <c r="G29" i="5" a="1"/>
  <c r="G29" i="5" s="1"/>
  <c r="D28" i="5" a="1"/>
  <c r="D28" i="5" s="1"/>
  <c r="F26" i="5" a="1"/>
  <c r="F26" i="5" s="1"/>
  <c r="H24" i="5" a="1"/>
  <c r="H24" i="5" s="1"/>
  <c r="E23" i="5" a="1"/>
  <c r="E23" i="5" s="1"/>
  <c r="E30" i="5" a="1"/>
  <c r="E30" i="5" s="1"/>
  <c r="D27" i="5" a="1"/>
  <c r="D27" i="5" s="1"/>
  <c r="C30" i="5" a="1"/>
  <c r="C30" i="5" s="1"/>
  <c r="F31" i="5" a="1"/>
  <c r="F31" i="5" s="1"/>
  <c r="H29" i="5" a="1"/>
  <c r="H29" i="5" s="1"/>
  <c r="E28" i="5" a="1"/>
  <c r="E28" i="5" s="1"/>
  <c r="G26" i="5" a="1"/>
  <c r="G26" i="5" s="1"/>
  <c r="D25" i="5" a="1"/>
  <c r="D25" i="5" s="1"/>
  <c r="I25" i="5" s="1"/>
  <c r="F23" i="5" a="1"/>
  <c r="F23" i="5" s="1"/>
  <c r="C24" i="5" a="1"/>
  <c r="C24" i="5" s="1"/>
  <c r="C29" i="5" a="1"/>
  <c r="C29" i="5" s="1"/>
  <c r="F32" i="5" a="1"/>
  <c r="F32" i="5" s="1"/>
  <c r="I32" i="5" s="1"/>
  <c r="H30" i="5" a="1"/>
  <c r="H30" i="5" s="1"/>
  <c r="E29" i="5" a="1"/>
  <c r="E29" i="5" s="1"/>
  <c r="BO7" i="5"/>
  <c r="BP7" i="5"/>
  <c r="F28" i="5" a="1"/>
  <c r="F28" i="5" s="1"/>
  <c r="H26" i="5" a="1"/>
  <c r="H26" i="5" s="1"/>
  <c r="G27" i="5" a="1"/>
  <c r="G27" i="5" s="1"/>
  <c r="D26" i="5" a="1"/>
  <c r="D26" i="5" s="1"/>
  <c r="G23" i="5" a="1"/>
  <c r="G23" i="5" s="1"/>
  <c r="AQ10" i="5" a="1"/>
  <c r="AQ10" i="5" s="1"/>
  <c r="AS10" i="5" a="1"/>
  <c r="AS10" i="5" s="1"/>
  <c r="AQ11" i="5" a="1"/>
  <c r="AQ11" i="5" s="1"/>
  <c r="AS11" i="5" a="1"/>
  <c r="AS11" i="5" s="1"/>
  <c r="AQ12" i="5" a="1"/>
  <c r="AQ12" i="5" s="1"/>
  <c r="AS12" i="5" a="1"/>
  <c r="AS12" i="5" s="1"/>
  <c r="AQ13" i="5" a="1"/>
  <c r="AQ13" i="5" s="1"/>
  <c r="AS13" i="5" a="1"/>
  <c r="AS13" i="5" s="1"/>
  <c r="AQ14" i="5" a="1"/>
  <c r="AQ14" i="5" s="1"/>
  <c r="AS14" i="5" a="1"/>
  <c r="AS14" i="5" s="1"/>
  <c r="AQ15" i="5" a="1"/>
  <c r="AQ15" i="5" s="1"/>
  <c r="AS15" i="5" a="1"/>
  <c r="AS15" i="5" s="1"/>
  <c r="AP11" i="5" a="1"/>
  <c r="AP11" i="5" s="1"/>
  <c r="AP13" i="5" a="1"/>
  <c r="AP13" i="5" s="1"/>
  <c r="AP15" i="5" a="1"/>
  <c r="AP15" i="5" s="1"/>
  <c r="AR10" i="5" a="1"/>
  <c r="AR10" i="5" s="1"/>
  <c r="AT10" i="5" a="1"/>
  <c r="AT10" i="5" s="1"/>
  <c r="AR11" i="5" a="1"/>
  <c r="AR11" i="5" s="1"/>
  <c r="AT11" i="5" a="1"/>
  <c r="AT11" i="5" s="1"/>
  <c r="AR12" i="5" a="1"/>
  <c r="AR12" i="5" s="1"/>
  <c r="AT12" i="5" a="1"/>
  <c r="AT12" i="5" s="1"/>
  <c r="AR13" i="5" a="1"/>
  <c r="AR13" i="5" s="1"/>
  <c r="AT13" i="5" a="1"/>
  <c r="AT13" i="5" s="1"/>
  <c r="AR14" i="5" a="1"/>
  <c r="AR14" i="5" s="1"/>
  <c r="AT14" i="5" a="1"/>
  <c r="AT14" i="5" s="1"/>
  <c r="AR15" i="5" a="1"/>
  <c r="AR15" i="5" s="1"/>
  <c r="AT15" i="5" a="1"/>
  <c r="AT15" i="5" s="1"/>
  <c r="AP12" i="5" a="1"/>
  <c r="AP12" i="5" s="1"/>
  <c r="AP14" i="5" a="1"/>
  <c r="AP14" i="5" s="1"/>
  <c r="AP10" i="5" a="1"/>
  <c r="AP10" i="5" s="1"/>
  <c r="G1839" i="1"/>
  <c r="Q1839" i="1" s="1"/>
  <c r="G1821" i="1"/>
  <c r="Q1821" i="1" s="1"/>
  <c r="G1794" i="1"/>
  <c r="Q1794" i="1" s="1"/>
  <c r="G1762" i="1"/>
  <c r="Q1762" i="1" s="1"/>
  <c r="G1478" i="1"/>
  <c r="Q1478" i="1" s="1"/>
  <c r="G1474" i="1"/>
  <c r="Q1474" i="1" s="1"/>
  <c r="G1835" i="1"/>
  <c r="Q1835" i="1" s="1"/>
  <c r="G1714" i="1"/>
  <c r="Q1714" i="1" s="1"/>
  <c r="G1395" i="1"/>
  <c r="Q1395" i="1" s="1"/>
  <c r="G1317" i="1"/>
  <c r="Q1317" i="1" s="1"/>
  <c r="G1139" i="1"/>
  <c r="Q1139" i="1" s="1"/>
  <c r="G1028" i="1"/>
  <c r="Q1028" i="1" s="1"/>
  <c r="G1015" i="1"/>
  <c r="Q1015" i="1" s="1"/>
  <c r="G817" i="1"/>
  <c r="Q817" i="1" s="1"/>
  <c r="G815" i="1"/>
  <c r="Q815" i="1" s="1"/>
  <c r="G1434" i="1"/>
  <c r="Q1434" i="1" s="1"/>
  <c r="G1273" i="1"/>
  <c r="Q1273" i="1" s="1"/>
  <c r="G1172" i="1"/>
  <c r="Q1172" i="1" s="1"/>
  <c r="G1051" i="1"/>
  <c r="Q1051" i="1" s="1"/>
  <c r="G1049" i="1"/>
  <c r="Q1049" i="1" s="1"/>
  <c r="G1045" i="1"/>
  <c r="Q1045" i="1" s="1"/>
  <c r="G1043" i="1"/>
  <c r="Q1043" i="1" s="1"/>
  <c r="G999" i="1"/>
  <c r="Q999" i="1" s="1"/>
  <c r="G996" i="1"/>
  <c r="Q996" i="1" s="1"/>
  <c r="G991" i="1"/>
  <c r="Q991" i="1" s="1"/>
  <c r="G979" i="1"/>
  <c r="Q979" i="1" s="1"/>
  <c r="G750" i="1"/>
  <c r="Q750" i="1" s="1"/>
  <c r="G726" i="1"/>
  <c r="Q726" i="1" s="1"/>
  <c r="G722" i="1"/>
  <c r="Q722" i="1" s="1"/>
  <c r="G720" i="1"/>
  <c r="Q720" i="1" s="1"/>
  <c r="G708" i="1"/>
  <c r="Q708" i="1" s="1"/>
  <c r="G542" i="1"/>
  <c r="Q542" i="1" s="1"/>
  <c r="G538" i="1"/>
  <c r="Q538" i="1" s="1"/>
  <c r="G350" i="1"/>
  <c r="Q350" i="1" s="1"/>
  <c r="G221" i="1"/>
  <c r="Q221" i="1" s="1"/>
  <c r="G1874" i="1"/>
  <c r="Q1874" i="1" s="1"/>
  <c r="G1872" i="1"/>
  <c r="Q1872" i="1" s="1"/>
  <c r="G1868" i="1"/>
  <c r="Q1868" i="1" s="1"/>
  <c r="G1866" i="1"/>
  <c r="Q1866" i="1" s="1"/>
  <c r="G1853" i="1"/>
  <c r="Q1853" i="1" s="1"/>
  <c r="G1842" i="1"/>
  <c r="Q1842" i="1" s="1"/>
  <c r="G1823" i="1"/>
  <c r="Q1823" i="1" s="1"/>
  <c r="G1819" i="1"/>
  <c r="Q1819" i="1" s="1"/>
  <c r="G1797" i="1"/>
  <c r="Q1797" i="1" s="1"/>
  <c r="G1780" i="1"/>
  <c r="Q1780" i="1" s="1"/>
  <c r="G1778" i="1"/>
  <c r="Q1778" i="1" s="1"/>
  <c r="G1746" i="1"/>
  <c r="Q1746" i="1" s="1"/>
  <c r="G1720" i="1"/>
  <c r="Q1720" i="1" s="1"/>
  <c r="G1718" i="1"/>
  <c r="Q1718" i="1" s="1"/>
  <c r="G1706" i="1"/>
  <c r="Q1706" i="1" s="1"/>
  <c r="G1697" i="1"/>
  <c r="Q1697" i="1" s="1"/>
  <c r="G1695" i="1"/>
  <c r="Q1695" i="1" s="1"/>
  <c r="G1689" i="1"/>
  <c r="Q1689" i="1" s="1"/>
  <c r="G1683" i="1"/>
  <c r="Q1683" i="1" s="1"/>
  <c r="G1681" i="1"/>
  <c r="Q1681" i="1" s="1"/>
  <c r="G1679" i="1"/>
  <c r="Q1679" i="1" s="1"/>
  <c r="G1647" i="1"/>
  <c r="Q1647" i="1" s="1"/>
  <c r="G1626" i="1"/>
  <c r="Q1626" i="1" s="1"/>
  <c r="G1592" i="1"/>
  <c r="Q1592" i="1" s="1"/>
  <c r="G1541" i="1"/>
  <c r="Q1541" i="1" s="1"/>
  <c r="G1515" i="1"/>
  <c r="Q1515" i="1" s="1"/>
  <c r="G1480" i="1"/>
  <c r="Q1480" i="1" s="1"/>
  <c r="G1438" i="1"/>
  <c r="Q1438" i="1" s="1"/>
  <c r="G1428" i="1"/>
  <c r="Q1428" i="1" s="1"/>
  <c r="G1311" i="1"/>
  <c r="Q1311" i="1" s="1"/>
  <c r="G1264" i="1"/>
  <c r="Q1264" i="1" s="1"/>
  <c r="G1260" i="1"/>
  <c r="Q1260" i="1" s="1"/>
  <c r="G1200" i="1"/>
  <c r="Q1200" i="1" s="1"/>
  <c r="G1194" i="1"/>
  <c r="Q1194" i="1" s="1"/>
  <c r="G1149" i="1"/>
  <c r="Q1149" i="1" s="1"/>
  <c r="G1117" i="1"/>
  <c r="Q1117" i="1" s="1"/>
  <c r="G1109" i="1"/>
  <c r="Q1109" i="1" s="1"/>
  <c r="G1101" i="1"/>
  <c r="Q1101" i="1" s="1"/>
  <c r="G1078" i="1"/>
  <c r="Q1078" i="1" s="1"/>
  <c r="G1070" i="1"/>
  <c r="Q1070" i="1" s="1"/>
  <c r="G1041" i="1"/>
  <c r="Q1041" i="1" s="1"/>
  <c r="G1004" i="1"/>
  <c r="Q1004" i="1" s="1"/>
  <c r="G921" i="1"/>
  <c r="Q921" i="1" s="1"/>
  <c r="G887" i="1"/>
  <c r="Q887" i="1" s="1"/>
  <c r="G871" i="1"/>
  <c r="Q871" i="1" s="1"/>
  <c r="G821" i="1"/>
  <c r="Q821" i="1" s="1"/>
  <c r="G792" i="1"/>
  <c r="Q792" i="1" s="1"/>
  <c r="G698" i="1"/>
  <c r="Q698" i="1" s="1"/>
  <c r="G696" i="1"/>
  <c r="Q696" i="1" s="1"/>
  <c r="G692" i="1"/>
  <c r="Q692" i="1" s="1"/>
  <c r="G637" i="1"/>
  <c r="Q637" i="1" s="1"/>
  <c r="G373" i="1"/>
  <c r="Q373" i="1" s="1"/>
  <c r="G369" i="1"/>
  <c r="Q369" i="1" s="1"/>
  <c r="G1125" i="1"/>
  <c r="Q1125" i="1" s="1"/>
  <c r="G1112" i="1"/>
  <c r="Q1112" i="1" s="1"/>
  <c r="G1107" i="1"/>
  <c r="Q1107" i="1" s="1"/>
  <c r="G1104" i="1"/>
  <c r="Q1104" i="1" s="1"/>
  <c r="G1096" i="1"/>
  <c r="Q1096" i="1" s="1"/>
  <c r="G1072" i="1"/>
  <c r="Q1072" i="1" s="1"/>
  <c r="G1776" i="1"/>
  <c r="Q1776" i="1" s="1"/>
  <c r="G1766" i="1"/>
  <c r="Q1766" i="1" s="1"/>
  <c r="G1456" i="1"/>
  <c r="Q1456" i="1" s="1"/>
  <c r="G1383" i="1"/>
  <c r="Q1383" i="1" s="1"/>
  <c r="G1325" i="1"/>
  <c r="Q1325" i="1" s="1"/>
  <c r="G1323" i="1"/>
  <c r="Q1323" i="1" s="1"/>
  <c r="G1307" i="1"/>
  <c r="Q1307" i="1" s="1"/>
  <c r="G633" i="1"/>
  <c r="Q633" i="1" s="1"/>
  <c r="G564" i="1"/>
  <c r="Q564" i="1" s="1"/>
  <c r="G473" i="1"/>
  <c r="Q473" i="1" s="1"/>
  <c r="G465" i="1"/>
  <c r="Q465" i="1" s="1"/>
  <c r="G463" i="1"/>
  <c r="Q463" i="1" s="1"/>
  <c r="G1882" i="1"/>
  <c r="Q1882" i="1" s="1"/>
  <c r="G1858" i="1"/>
  <c r="Q1858" i="1" s="1"/>
  <c r="G1692" i="1"/>
  <c r="Q1692" i="1" s="1"/>
  <c r="G1667" i="1"/>
  <c r="Q1667" i="1" s="1"/>
  <c r="G1653" i="1"/>
  <c r="Q1653" i="1" s="1"/>
  <c r="G1631" i="1"/>
  <c r="Q1631" i="1" s="1"/>
  <c r="G1609" i="1"/>
  <c r="Q1609" i="1" s="1"/>
  <c r="G1604" i="1"/>
  <c r="Q1604" i="1" s="1"/>
  <c r="G1527" i="1"/>
  <c r="Q1527" i="1" s="1"/>
  <c r="G1512" i="1"/>
  <c r="Q1512" i="1" s="1"/>
  <c r="G1285" i="1"/>
  <c r="Q1285" i="1" s="1"/>
  <c r="G1272" i="1"/>
  <c r="Q1272" i="1" s="1"/>
  <c r="G1154" i="1"/>
  <c r="Q1154" i="1" s="1"/>
  <c r="G1144" i="1"/>
  <c r="Q1144" i="1" s="1"/>
  <c r="G1132" i="1"/>
  <c r="Q1132" i="1" s="1"/>
  <c r="G1033" i="1"/>
  <c r="Q1033" i="1" s="1"/>
  <c r="G977" i="1"/>
  <c r="Q977" i="1" s="1"/>
  <c r="G869" i="1"/>
  <c r="Q869" i="1" s="1"/>
  <c r="G840" i="1"/>
  <c r="Q840" i="1" s="1"/>
  <c r="G819" i="1"/>
  <c r="Q819" i="1" s="1"/>
  <c r="G406" i="1"/>
  <c r="Q406" i="1" s="1"/>
  <c r="G400" i="1"/>
  <c r="Q400" i="1" s="1"/>
  <c r="G332" i="1"/>
  <c r="Q332" i="1" s="1"/>
  <c r="G314" i="1"/>
  <c r="Q314" i="1" s="1"/>
  <c r="G245" i="1"/>
  <c r="Q245" i="1" s="1"/>
  <c r="G1565" i="1"/>
  <c r="Q1565" i="1" s="1"/>
  <c r="G1523" i="1"/>
  <c r="Q1523" i="1" s="1"/>
  <c r="G1521" i="1"/>
  <c r="Q1521" i="1" s="1"/>
  <c r="G1295" i="1"/>
  <c r="Q1295" i="1" s="1"/>
  <c r="G1215" i="1"/>
  <c r="Q1215" i="1" s="1"/>
  <c r="G1075" i="1"/>
  <c r="Q1075" i="1" s="1"/>
  <c r="G523" i="1"/>
  <c r="Q523" i="1" s="1"/>
  <c r="G239" i="1"/>
  <c r="Q239" i="1" s="1"/>
  <c r="G32" i="1"/>
  <c r="Q32" i="1" s="1"/>
  <c r="G1844" i="1"/>
  <c r="Q1844" i="1" s="1"/>
  <c r="G1826" i="1"/>
  <c r="Q1826" i="1" s="1"/>
  <c r="G1814" i="1"/>
  <c r="Q1814" i="1" s="1"/>
  <c r="G1798" i="1"/>
  <c r="Q1798" i="1" s="1"/>
  <c r="G1789" i="1"/>
  <c r="Q1789" i="1" s="1"/>
  <c r="G1748" i="1"/>
  <c r="Q1748" i="1" s="1"/>
  <c r="G1743" i="1"/>
  <c r="Q1743" i="1" s="1"/>
  <c r="G1735" i="1"/>
  <c r="Q1735" i="1" s="1"/>
  <c r="G1648" i="1"/>
  <c r="Q1648" i="1" s="1"/>
  <c r="G1641" i="1"/>
  <c r="Q1641" i="1" s="1"/>
  <c r="G1575" i="1"/>
  <c r="Q1575" i="1" s="1"/>
  <c r="G1500" i="1"/>
  <c r="Q1500" i="1" s="1"/>
  <c r="G1342" i="1"/>
  <c r="Q1342" i="1" s="1"/>
  <c r="G1339" i="1"/>
  <c r="Q1339" i="1" s="1"/>
  <c r="G1304" i="1"/>
  <c r="Q1304" i="1" s="1"/>
  <c r="G1293" i="1"/>
  <c r="Q1293" i="1" s="1"/>
  <c r="G1219" i="1"/>
  <c r="Q1219" i="1" s="1"/>
  <c r="G1185" i="1"/>
  <c r="Q1185" i="1" s="1"/>
  <c r="G1178" i="1"/>
  <c r="Q1178" i="1" s="1"/>
  <c r="G1174" i="1"/>
  <c r="Q1174" i="1" s="1"/>
  <c r="G1128" i="1"/>
  <c r="Q1128" i="1" s="1"/>
  <c r="G1086" i="1"/>
  <c r="Q1086" i="1" s="1"/>
  <c r="G1037" i="1"/>
  <c r="Q1037" i="1" s="1"/>
  <c r="G1014" i="1"/>
  <c r="Q1014" i="1" s="1"/>
  <c r="G1006" i="1"/>
  <c r="Q1006" i="1" s="1"/>
  <c r="G939" i="1"/>
  <c r="Q939" i="1" s="1"/>
  <c r="G928" i="1"/>
  <c r="Q928" i="1" s="1"/>
  <c r="G914" i="1"/>
  <c r="Q914" i="1" s="1"/>
  <c r="G907" i="1"/>
  <c r="Q907" i="1" s="1"/>
  <c r="G902" i="1"/>
  <c r="Q902" i="1" s="1"/>
  <c r="G787" i="1"/>
  <c r="Q787" i="1" s="1"/>
  <c r="G783" i="1"/>
  <c r="Q783" i="1" s="1"/>
  <c r="G780" i="1"/>
  <c r="Q780" i="1" s="1"/>
  <c r="G773" i="1"/>
  <c r="Q773" i="1" s="1"/>
  <c r="G733" i="1"/>
  <c r="Q733" i="1" s="1"/>
  <c r="G553" i="1"/>
  <c r="Q553" i="1" s="1"/>
  <c r="G536" i="1"/>
  <c r="Q536" i="1" s="1"/>
  <c r="G496" i="1"/>
  <c r="Q496" i="1" s="1"/>
  <c r="G443" i="1"/>
  <c r="Q443" i="1" s="1"/>
  <c r="G227" i="1"/>
  <c r="Q227" i="1" s="1"/>
  <c r="G189" i="1"/>
  <c r="Q189" i="1" s="1"/>
  <c r="G173" i="1"/>
  <c r="Q173" i="1" s="1"/>
  <c r="G168" i="1"/>
  <c r="Q168" i="1" s="1"/>
  <c r="G142" i="1"/>
  <c r="Q142" i="1" s="1"/>
  <c r="G140" i="1"/>
  <c r="Q140" i="1" s="1"/>
  <c r="G112" i="1"/>
  <c r="Q112" i="1" s="1"/>
  <c r="G93" i="1"/>
  <c r="Q93" i="1" s="1"/>
  <c r="G423" i="1"/>
  <c r="Q423" i="1" s="1"/>
  <c r="G376" i="1"/>
  <c r="Q376" i="1" s="1"/>
  <c r="G207" i="1"/>
  <c r="Q207" i="1" s="1"/>
  <c r="G12" i="1"/>
  <c r="Q12" i="1" s="1"/>
  <c r="G1725" i="1"/>
  <c r="Q1725" i="1" s="1"/>
  <c r="G1598" i="1"/>
  <c r="Q1598" i="1" s="1"/>
  <c r="G1387" i="1"/>
  <c r="Q1387" i="1" s="1"/>
  <c r="G1237" i="1"/>
  <c r="Q1237" i="1" s="1"/>
  <c r="G1224" i="1"/>
  <c r="Q1224" i="1" s="1"/>
  <c r="G1169" i="1"/>
  <c r="Q1169" i="1" s="1"/>
  <c r="G995" i="1"/>
  <c r="Q995" i="1" s="1"/>
  <c r="G822" i="1"/>
  <c r="Q822" i="1" s="1"/>
  <c r="G730" i="1"/>
  <c r="Q730" i="1" s="1"/>
  <c r="G711" i="1"/>
  <c r="Q711" i="1" s="1"/>
  <c r="G409" i="1"/>
  <c r="Q409" i="1" s="1"/>
  <c r="G361" i="1"/>
  <c r="Q361" i="1" s="1"/>
  <c r="G286" i="1"/>
  <c r="Q286" i="1" s="1"/>
  <c r="G46" i="1"/>
  <c r="Q46" i="1" s="1"/>
  <c r="G37" i="1"/>
  <c r="Q37" i="1" s="1"/>
  <c r="G649" i="1"/>
  <c r="Q649" i="1" s="1"/>
  <c r="G1863" i="1"/>
  <c r="Q1863" i="1" s="1"/>
  <c r="G1657" i="1"/>
  <c r="Q1657" i="1" s="1"/>
  <c r="G1547" i="1"/>
  <c r="Q1547" i="1" s="1"/>
  <c r="G1340" i="1"/>
  <c r="Q1340" i="1" s="1"/>
  <c r="G1222" i="1"/>
  <c r="Q1222" i="1" s="1"/>
  <c r="G1173" i="1"/>
  <c r="Q1173" i="1" s="1"/>
  <c r="G1143" i="1"/>
  <c r="Q1143" i="1" s="1"/>
  <c r="G1002" i="1"/>
  <c r="Q1002" i="1" s="1"/>
  <c r="G1417" i="1"/>
  <c r="Q1417" i="1" s="1"/>
  <c r="G811" i="1"/>
  <c r="Q811" i="1" s="1"/>
  <c r="G749" i="1"/>
  <c r="Q749" i="1" s="1"/>
  <c r="G586" i="1"/>
  <c r="Q586" i="1" s="1"/>
  <c r="G794" i="1"/>
  <c r="Q794" i="1" s="1"/>
  <c r="G395" i="1"/>
  <c r="Q395" i="1" s="1"/>
  <c r="G315" i="1"/>
  <c r="Q315" i="1" s="1"/>
  <c r="G327" i="1"/>
  <c r="Q327" i="1" s="1"/>
  <c r="G946" i="1"/>
  <c r="Q946" i="1" s="1"/>
  <c r="G162" i="1"/>
  <c r="Q162" i="1" s="1"/>
  <c r="G1848" i="1"/>
  <c r="Q1848" i="1" s="1"/>
  <c r="G1782" i="1"/>
  <c r="Q1782" i="1" s="1"/>
  <c r="G1761" i="1"/>
  <c r="Q1761" i="1" s="1"/>
  <c r="G1722" i="1"/>
  <c r="Q1722" i="1" s="1"/>
  <c r="G1691" i="1"/>
  <c r="Q1691" i="1" s="1"/>
  <c r="G1677" i="1"/>
  <c r="Q1677" i="1" s="1"/>
  <c r="G1663" i="1"/>
  <c r="Q1663" i="1" s="1"/>
  <c r="G1655" i="1"/>
  <c r="Q1655" i="1" s="1"/>
  <c r="G1649" i="1"/>
  <c r="Q1649" i="1" s="1"/>
  <c r="G1636" i="1"/>
  <c r="Q1636" i="1" s="1"/>
  <c r="G1574" i="1"/>
  <c r="Q1574" i="1" s="1"/>
  <c r="G1549" i="1"/>
  <c r="Q1549" i="1" s="1"/>
  <c r="G1531" i="1"/>
  <c r="Q1531" i="1" s="1"/>
  <c r="G1510" i="1"/>
  <c r="Q1510" i="1" s="1"/>
  <c r="G1479" i="1"/>
  <c r="Q1479" i="1" s="1"/>
  <c r="G1471" i="1"/>
  <c r="Q1471" i="1" s="1"/>
  <c r="G1466" i="1"/>
  <c r="Q1466" i="1" s="1"/>
  <c r="G1444" i="1"/>
  <c r="Q1444" i="1" s="1"/>
  <c r="G1432" i="1"/>
  <c r="Q1432" i="1" s="1"/>
  <c r="G1366" i="1"/>
  <c r="Q1366" i="1" s="1"/>
  <c r="G1330" i="1"/>
  <c r="Q1330" i="1" s="1"/>
  <c r="G1305" i="1"/>
  <c r="Q1305" i="1" s="1"/>
  <c r="G1303" i="1"/>
  <c r="Q1303" i="1" s="1"/>
  <c r="G1294" i="1"/>
  <c r="Q1294" i="1" s="1"/>
  <c r="G1288" i="1"/>
  <c r="Q1288" i="1" s="1"/>
  <c r="G1236" i="1"/>
  <c r="Q1236" i="1" s="1"/>
  <c r="G1216" i="1"/>
  <c r="Q1216" i="1" s="1"/>
  <c r="G1213" i="1"/>
  <c r="Q1213" i="1" s="1"/>
  <c r="G1167" i="1"/>
  <c r="Q1167" i="1" s="1"/>
  <c r="G1131" i="1"/>
  <c r="Q1131" i="1" s="1"/>
  <c r="G1127" i="1"/>
  <c r="Q1127" i="1" s="1"/>
  <c r="G1121" i="1"/>
  <c r="Q1121" i="1" s="1"/>
  <c r="G1115" i="1"/>
  <c r="Q1115" i="1" s="1"/>
  <c r="G1087" i="1"/>
  <c r="Q1087" i="1" s="1"/>
  <c r="G1085" i="1"/>
  <c r="Q1085" i="1" s="1"/>
  <c r="G1079" i="1"/>
  <c r="Q1079" i="1" s="1"/>
  <c r="G1076" i="1"/>
  <c r="Q1076" i="1" s="1"/>
  <c r="G1062" i="1"/>
  <c r="Q1062" i="1" s="1"/>
  <c r="G1052" i="1"/>
  <c r="Q1052" i="1" s="1"/>
  <c r="G1042" i="1"/>
  <c r="Q1042" i="1" s="1"/>
  <c r="G1035" i="1"/>
  <c r="Q1035" i="1" s="1"/>
  <c r="G1020" i="1"/>
  <c r="Q1020" i="1" s="1"/>
  <c r="G983" i="1"/>
  <c r="Q983" i="1" s="1"/>
  <c r="G955" i="1"/>
  <c r="Q955" i="1" s="1"/>
  <c r="G938" i="1"/>
  <c r="Q938" i="1" s="1"/>
  <c r="G934" i="1"/>
  <c r="Q934" i="1" s="1"/>
  <c r="G873" i="1"/>
  <c r="Q873" i="1" s="1"/>
  <c r="G837" i="1"/>
  <c r="Q837" i="1" s="1"/>
  <c r="G823" i="1"/>
  <c r="Q823" i="1" s="1"/>
  <c r="G790" i="1"/>
  <c r="Q790" i="1" s="1"/>
  <c r="G768" i="1"/>
  <c r="Q768" i="1" s="1"/>
  <c r="G738" i="1"/>
  <c r="Q738" i="1" s="1"/>
  <c r="G713" i="1"/>
  <c r="Q713" i="1" s="1"/>
  <c r="G611" i="1"/>
  <c r="Q611" i="1" s="1"/>
  <c r="G588" i="1"/>
  <c r="Q588" i="1" s="1"/>
  <c r="G560" i="1"/>
  <c r="Q560" i="1" s="1"/>
  <c r="G527" i="1"/>
  <c r="Q527" i="1" s="1"/>
  <c r="G517" i="1"/>
  <c r="Q517" i="1" s="1"/>
  <c r="G509" i="1"/>
  <c r="Q509" i="1" s="1"/>
  <c r="G502" i="1"/>
  <c r="Q502" i="1" s="1"/>
  <c r="G484" i="1"/>
  <c r="Q484" i="1" s="1"/>
  <c r="G457" i="1"/>
  <c r="Q457" i="1" s="1"/>
  <c r="G375" i="1"/>
  <c r="Q375" i="1" s="1"/>
  <c r="G355" i="1"/>
  <c r="Q355" i="1" s="1"/>
  <c r="G351" i="1"/>
  <c r="Q351" i="1" s="1"/>
  <c r="G347" i="1"/>
  <c r="Q347" i="1" s="1"/>
  <c r="G310" i="1"/>
  <c r="Q310" i="1" s="1"/>
  <c r="G308" i="1"/>
  <c r="Q308" i="1" s="1"/>
  <c r="G304" i="1"/>
  <c r="Q304" i="1" s="1"/>
  <c r="G302" i="1"/>
  <c r="Q302" i="1" s="1"/>
  <c r="G238" i="1"/>
  <c r="Q238" i="1" s="1"/>
  <c r="G192" i="1"/>
  <c r="Q192" i="1" s="1"/>
  <c r="G139" i="1"/>
  <c r="Q139" i="1" s="1"/>
  <c r="G123" i="1"/>
  <c r="Q123" i="1" s="1"/>
  <c r="G69" i="1"/>
  <c r="Q69" i="1" s="1"/>
  <c r="G67" i="1"/>
  <c r="Q67" i="1" s="1"/>
  <c r="G65" i="1"/>
  <c r="Q65" i="1" s="1"/>
  <c r="G61" i="1"/>
  <c r="Q61" i="1" s="1"/>
  <c r="G56" i="1"/>
  <c r="Q56" i="1" s="1"/>
  <c r="G16" i="1"/>
  <c r="Q16" i="1" s="1"/>
  <c r="G1822" i="1"/>
  <c r="Q1822" i="1" s="1"/>
  <c r="G1566" i="1"/>
  <c r="Q1566" i="1" s="1"/>
  <c r="G1544" i="1"/>
  <c r="Q1544" i="1" s="1"/>
  <c r="G1360" i="1"/>
  <c r="Q1360" i="1" s="1"/>
  <c r="G1344" i="1"/>
  <c r="Q1344" i="1" s="1"/>
  <c r="G1320" i="1"/>
  <c r="Q1320" i="1" s="1"/>
  <c r="G1217" i="1"/>
  <c r="Q1217" i="1" s="1"/>
  <c r="G1100" i="1"/>
  <c r="Q1100" i="1" s="1"/>
  <c r="G1080" i="1"/>
  <c r="Q1080" i="1" s="1"/>
  <c r="G1058" i="1"/>
  <c r="Q1058" i="1" s="1"/>
  <c r="G384" i="1"/>
  <c r="Q384" i="1" s="1"/>
  <c r="G1744" i="1"/>
  <c r="Q1744" i="1" s="1"/>
  <c r="G1111" i="1"/>
  <c r="Q1111" i="1" s="1"/>
  <c r="G1105" i="1"/>
  <c r="Q1105" i="1" s="1"/>
  <c r="G1064" i="1"/>
  <c r="Q1064" i="1" s="1"/>
  <c r="G832" i="1"/>
  <c r="Q832" i="1" s="1"/>
  <c r="G809" i="1"/>
  <c r="Q809" i="1" s="1"/>
  <c r="G1881" i="1"/>
  <c r="Q1881" i="1" s="1"/>
  <c r="G1862" i="1"/>
  <c r="Q1862" i="1" s="1"/>
  <c r="G1840" i="1"/>
  <c r="Q1840" i="1" s="1"/>
  <c r="G1836" i="1"/>
  <c r="Q1836" i="1" s="1"/>
  <c r="G1820" i="1"/>
  <c r="Q1820" i="1" s="1"/>
  <c r="G1796" i="1"/>
  <c r="Q1796" i="1" s="1"/>
  <c r="G1772" i="1"/>
  <c r="Q1772" i="1" s="1"/>
  <c r="G1751" i="1"/>
  <c r="Q1751" i="1" s="1"/>
  <c r="G1740" i="1"/>
  <c r="Q1740" i="1" s="1"/>
  <c r="G1625" i="1"/>
  <c r="Q1625" i="1" s="1"/>
  <c r="G1616" i="1"/>
  <c r="Q1616" i="1" s="1"/>
  <c r="G1612" i="1"/>
  <c r="Q1612" i="1" s="1"/>
  <c r="G1594" i="1"/>
  <c r="Q1594" i="1" s="1"/>
  <c r="G1562" i="1"/>
  <c r="Q1562" i="1" s="1"/>
  <c r="G1557" i="1"/>
  <c r="Q1557" i="1" s="1"/>
  <c r="G1436" i="1"/>
  <c r="Q1436" i="1" s="1"/>
  <c r="G1422" i="1"/>
  <c r="Q1422" i="1" s="1"/>
  <c r="G1284" i="1"/>
  <c r="Q1284" i="1" s="1"/>
  <c r="G1184" i="1"/>
  <c r="Q1184" i="1" s="1"/>
  <c r="G1156" i="1"/>
  <c r="Q1156" i="1" s="1"/>
  <c r="G1091" i="1"/>
  <c r="Q1091" i="1" s="1"/>
  <c r="G1024" i="1"/>
  <c r="Q1024" i="1" s="1"/>
  <c r="G988" i="1"/>
  <c r="Q988" i="1" s="1"/>
  <c r="G981" i="1"/>
  <c r="Q981" i="1" s="1"/>
  <c r="G913" i="1"/>
  <c r="Q913" i="1" s="1"/>
  <c r="G883" i="1"/>
  <c r="Q883" i="1" s="1"/>
  <c r="G836" i="1"/>
  <c r="Q836" i="1" s="1"/>
  <c r="G806" i="1"/>
  <c r="Q806" i="1" s="1"/>
  <c r="G702" i="1"/>
  <c r="Q702" i="1" s="1"/>
  <c r="G668" i="1"/>
  <c r="Q668" i="1" s="1"/>
  <c r="G631" i="1"/>
  <c r="Q631" i="1" s="1"/>
  <c r="G339" i="1"/>
  <c r="Q339" i="1" s="1"/>
  <c r="G335" i="1"/>
  <c r="Q335" i="1" s="1"/>
  <c r="G180" i="1"/>
  <c r="Q180" i="1" s="1"/>
  <c r="G1838" i="1"/>
  <c r="Q1838" i="1" s="1"/>
  <c r="G1793" i="1"/>
  <c r="Q1793" i="1" s="1"/>
  <c r="G1738" i="1"/>
  <c r="Q1738" i="1" s="1"/>
  <c r="G1734" i="1"/>
  <c r="Q1734" i="1" s="1"/>
  <c r="G1721" i="1"/>
  <c r="Q1721" i="1" s="1"/>
  <c r="G1717" i="1"/>
  <c r="Q1717" i="1" s="1"/>
  <c r="G1713" i="1"/>
  <c r="Q1713" i="1" s="1"/>
  <c r="G1678" i="1"/>
  <c r="Q1678" i="1" s="1"/>
  <c r="G1650" i="1"/>
  <c r="Q1650" i="1" s="1"/>
  <c r="G1628" i="1"/>
  <c r="Q1628" i="1" s="1"/>
  <c r="G1614" i="1"/>
  <c r="Q1614" i="1" s="1"/>
  <c r="G1606" i="1"/>
  <c r="Q1606" i="1" s="1"/>
  <c r="G1601" i="1"/>
  <c r="Q1601" i="1" s="1"/>
  <c r="G1564" i="1"/>
  <c r="Q1564" i="1" s="1"/>
  <c r="G1552" i="1"/>
  <c r="Q1552" i="1" s="1"/>
  <c r="G1533" i="1"/>
  <c r="Q1533" i="1" s="1"/>
  <c r="G1519" i="1"/>
  <c r="Q1519" i="1" s="1"/>
  <c r="G1484" i="1"/>
  <c r="Q1484" i="1" s="1"/>
  <c r="G1440" i="1"/>
  <c r="Q1440" i="1" s="1"/>
  <c r="G1335" i="1"/>
  <c r="Q1335" i="1" s="1"/>
  <c r="G1313" i="1"/>
  <c r="Q1313" i="1" s="1"/>
  <c r="G1301" i="1"/>
  <c r="Q1301" i="1" s="1"/>
  <c r="G1292" i="1"/>
  <c r="Q1292" i="1" s="1"/>
  <c r="G1286" i="1"/>
  <c r="Q1286" i="1" s="1"/>
  <c r="G1282" i="1"/>
  <c r="Q1282" i="1" s="1"/>
  <c r="G1274" i="1"/>
  <c r="Q1274" i="1" s="1"/>
  <c r="G1256" i="1"/>
  <c r="Q1256" i="1" s="1"/>
  <c r="G1202" i="1"/>
  <c r="Q1202" i="1" s="1"/>
  <c r="G1180" i="1"/>
  <c r="Q1180" i="1" s="1"/>
  <c r="G1135" i="1"/>
  <c r="Q1135" i="1" s="1"/>
  <c r="G1113" i="1"/>
  <c r="Q1113" i="1" s="1"/>
  <c r="G1103" i="1"/>
  <c r="Q1103" i="1" s="1"/>
  <c r="G1074" i="1"/>
  <c r="Q1074" i="1" s="1"/>
  <c r="G1068" i="1"/>
  <c r="Q1068" i="1" s="1"/>
  <c r="G1060" i="1"/>
  <c r="Q1060" i="1" s="1"/>
  <c r="G1054" i="1"/>
  <c r="Q1054" i="1" s="1"/>
  <c r="G1026" i="1"/>
  <c r="Q1026" i="1" s="1"/>
  <c r="G1022" i="1"/>
  <c r="Q1022" i="1" s="1"/>
  <c r="G1011" i="1"/>
  <c r="Q1011" i="1" s="1"/>
  <c r="G985" i="1"/>
  <c r="Q985" i="1" s="1"/>
  <c r="G838" i="1"/>
  <c r="Q838" i="1" s="1"/>
  <c r="G834" i="1"/>
  <c r="Q834" i="1" s="1"/>
  <c r="G804" i="1"/>
  <c r="Q804" i="1" s="1"/>
  <c r="G760" i="1"/>
  <c r="Q760" i="1" s="1"/>
  <c r="G688" i="1"/>
  <c r="Q688" i="1" s="1"/>
  <c r="G666" i="1"/>
  <c r="Q666" i="1" s="1"/>
  <c r="G654" i="1"/>
  <c r="Q654" i="1" s="1"/>
  <c r="G643" i="1"/>
  <c r="Q643" i="1" s="1"/>
  <c r="G607" i="1"/>
  <c r="Q607" i="1" s="1"/>
  <c r="G591" i="1"/>
  <c r="Q591" i="1" s="1"/>
  <c r="G403" i="1"/>
  <c r="Q403" i="1" s="1"/>
  <c r="G1841" i="1"/>
  <c r="Q1841" i="1" s="1"/>
  <c r="G1747" i="1"/>
  <c r="Q1747" i="1" s="1"/>
  <c r="G1686" i="1"/>
  <c r="Q1686" i="1" s="1"/>
  <c r="G1520" i="1"/>
  <c r="Q1520" i="1" s="1"/>
  <c r="G1334" i="1"/>
  <c r="Q1334" i="1" s="1"/>
  <c r="G1210" i="1"/>
  <c r="Q1210" i="1" s="1"/>
  <c r="G1159" i="1"/>
  <c r="Q1159" i="1" s="1"/>
  <c r="G1148" i="1"/>
  <c r="Q1148" i="1" s="1"/>
  <c r="G1134" i="1"/>
  <c r="Q1134" i="1" s="1"/>
  <c r="G1126" i="1"/>
  <c r="Q1126" i="1" s="1"/>
  <c r="G1089" i="1"/>
  <c r="Q1089" i="1" s="1"/>
  <c r="G737" i="1"/>
  <c r="Q737" i="1" s="1"/>
  <c r="G567" i="1"/>
  <c r="Q567" i="1" s="1"/>
  <c r="G549" i="1"/>
  <c r="Q549" i="1" s="1"/>
  <c r="G481" i="1"/>
  <c r="Q481" i="1" s="1"/>
  <c r="G255" i="1"/>
  <c r="Q255" i="1" s="1"/>
  <c r="G234" i="1"/>
  <c r="Q234" i="1" s="1"/>
  <c r="G1698" i="1"/>
  <c r="Q1698" i="1" s="1"/>
  <c r="G1694" i="1"/>
  <c r="Q1694" i="1" s="1"/>
  <c r="G1690" i="1"/>
  <c r="Q1690" i="1" s="1"/>
  <c r="G1664" i="1"/>
  <c r="Q1664" i="1" s="1"/>
  <c r="G1629" i="1"/>
  <c r="Q1629" i="1" s="1"/>
  <c r="G1603" i="1"/>
  <c r="Q1603" i="1" s="1"/>
  <c r="G1599" i="1"/>
  <c r="Q1599" i="1" s="1"/>
  <c r="G1460" i="1"/>
  <c r="Q1460" i="1" s="1"/>
  <c r="G1443" i="1"/>
  <c r="Q1443" i="1" s="1"/>
  <c r="G1220" i="1"/>
  <c r="Q1220" i="1" s="1"/>
  <c r="G1182" i="1"/>
  <c r="Q1182" i="1" s="1"/>
  <c r="G1158" i="1"/>
  <c r="Q1158" i="1" s="1"/>
  <c r="G1153" i="1"/>
  <c r="Q1153" i="1" s="1"/>
  <c r="G1081" i="1"/>
  <c r="Q1081" i="1" s="1"/>
  <c r="G1077" i="1"/>
  <c r="Q1077" i="1" s="1"/>
  <c r="G906" i="1"/>
  <c r="Q906" i="1" s="1"/>
  <c r="G494" i="1"/>
  <c r="Q494" i="1" s="1"/>
  <c r="G489" i="1"/>
  <c r="Q489" i="1" s="1"/>
  <c r="G456" i="1"/>
  <c r="Q456" i="1" s="1"/>
  <c r="G261" i="1"/>
  <c r="Q261" i="1" s="1"/>
  <c r="G181" i="1"/>
  <c r="Q181" i="1" s="1"/>
  <c r="G161" i="1"/>
  <c r="Q161" i="1" s="1"/>
  <c r="G1254" i="1"/>
  <c r="Q1254" i="1" s="1"/>
  <c r="G1864" i="1"/>
  <c r="Q1864" i="1" s="1"/>
  <c r="G1854" i="1"/>
  <c r="Q1854" i="1" s="1"/>
  <c r="G1849" i="1"/>
  <c r="Q1849" i="1" s="1"/>
  <c r="G1775" i="1"/>
  <c r="Q1775" i="1" s="1"/>
  <c r="G1750" i="1"/>
  <c r="Q1750" i="1" s="1"/>
  <c r="G1659" i="1"/>
  <c r="Q1659" i="1" s="1"/>
  <c r="G1627" i="1"/>
  <c r="Q1627" i="1" s="1"/>
  <c r="G1573" i="1"/>
  <c r="Q1573" i="1" s="1"/>
  <c r="G1530" i="1"/>
  <c r="Q1530" i="1" s="1"/>
  <c r="G1518" i="1"/>
  <c r="Q1518" i="1" s="1"/>
  <c r="G1509" i="1"/>
  <c r="Q1509" i="1" s="1"/>
  <c r="G1462" i="1"/>
  <c r="Q1462" i="1" s="1"/>
  <c r="G1234" i="1"/>
  <c r="Q1234" i="1" s="1"/>
  <c r="G1229" i="1"/>
  <c r="Q1229" i="1" s="1"/>
  <c r="G1209" i="1"/>
  <c r="Q1209" i="1" s="1"/>
  <c r="G1166" i="1"/>
  <c r="Q1166" i="1" s="1"/>
  <c r="G1152" i="1"/>
  <c r="Q1152" i="1" s="1"/>
  <c r="G1119" i="1"/>
  <c r="Q1119" i="1" s="1"/>
  <c r="G1095" i="1"/>
  <c r="Q1095" i="1" s="1"/>
  <c r="G1083" i="1"/>
  <c r="Q1083" i="1" s="1"/>
  <c r="G1071" i="1"/>
  <c r="Q1071" i="1" s="1"/>
  <c r="G1066" i="1"/>
  <c r="Q1066" i="1" s="1"/>
  <c r="G1055" i="1"/>
  <c r="Q1055" i="1" s="1"/>
  <c r="G917" i="1"/>
  <c r="Q917" i="1" s="1"/>
  <c r="G904" i="1"/>
  <c r="Q904" i="1" s="1"/>
  <c r="G736" i="1"/>
  <c r="Q736" i="1" s="1"/>
  <c r="G508" i="1"/>
  <c r="Q508" i="1" s="1"/>
  <c r="G498" i="1"/>
  <c r="Q498" i="1" s="1"/>
  <c r="G488" i="1"/>
  <c r="Q488" i="1" s="1"/>
  <c r="G447" i="1"/>
  <c r="Q447" i="1" s="1"/>
  <c r="G377" i="1"/>
  <c r="Q377" i="1" s="1"/>
  <c r="G324" i="1"/>
  <c r="Q324" i="1" s="1"/>
  <c r="G259" i="1"/>
  <c r="Q259" i="1" s="1"/>
  <c r="G228" i="1"/>
  <c r="Q228" i="1" s="1"/>
  <c r="G206" i="1"/>
  <c r="Q206" i="1" s="1"/>
  <c r="G133" i="1"/>
  <c r="Q133" i="1" s="1"/>
  <c r="G60" i="1"/>
  <c r="Q60" i="1" s="1"/>
  <c r="G1795" i="1"/>
  <c r="Q1795" i="1" s="1"/>
  <c r="G1774" i="1"/>
  <c r="Q1774" i="1" s="1"/>
  <c r="G1745" i="1"/>
  <c r="Q1745" i="1" s="1"/>
  <c r="G1700" i="1"/>
  <c r="Q1700" i="1" s="1"/>
  <c r="G1687" i="1"/>
  <c r="Q1687" i="1" s="1"/>
  <c r="G1654" i="1"/>
  <c r="Q1654" i="1" s="1"/>
  <c r="G1646" i="1"/>
  <c r="Q1646" i="1" s="1"/>
  <c r="G1593" i="1"/>
  <c r="Q1593" i="1" s="1"/>
  <c r="G1581" i="1"/>
  <c r="Q1581" i="1" s="1"/>
  <c r="G1447" i="1"/>
  <c r="Q1447" i="1" s="1"/>
  <c r="G1441" i="1"/>
  <c r="Q1441" i="1" s="1"/>
  <c r="G1321" i="1"/>
  <c r="Q1321" i="1" s="1"/>
  <c r="G1312" i="1"/>
  <c r="Q1312" i="1" s="1"/>
  <c r="G1228" i="1"/>
  <c r="Q1228" i="1" s="1"/>
  <c r="G1223" i="1"/>
  <c r="Q1223" i="1" s="1"/>
  <c r="G1218" i="1"/>
  <c r="Q1218" i="1" s="1"/>
  <c r="G1183" i="1"/>
  <c r="Q1183" i="1" s="1"/>
  <c r="G1098" i="1"/>
  <c r="Q1098" i="1" s="1"/>
  <c r="G1093" i="1"/>
  <c r="Q1093" i="1" s="1"/>
  <c r="G1082" i="1"/>
  <c r="Q1082" i="1" s="1"/>
  <c r="G1065" i="1"/>
  <c r="Q1065" i="1" s="1"/>
  <c r="G895" i="1"/>
  <c r="Q895" i="1" s="1"/>
  <c r="G770" i="1"/>
  <c r="Q770" i="1" s="1"/>
  <c r="G745" i="1"/>
  <c r="Q745" i="1" s="1"/>
  <c r="G568" i="1"/>
  <c r="Q568" i="1" s="1"/>
  <c r="G533" i="1"/>
  <c r="Q533" i="1" s="1"/>
  <c r="G524" i="1"/>
  <c r="Q524" i="1" s="1"/>
  <c r="G470" i="1"/>
  <c r="Q470" i="1" s="1"/>
  <c r="G461" i="1"/>
  <c r="Q461" i="1" s="1"/>
  <c r="G430" i="1"/>
  <c r="Q430" i="1" s="1"/>
  <c r="G416" i="1"/>
  <c r="Q416" i="1" s="1"/>
  <c r="G363" i="1"/>
  <c r="Q363" i="1" s="1"/>
  <c r="G290" i="1"/>
  <c r="Q290" i="1" s="1"/>
  <c r="G136" i="1"/>
  <c r="Q136" i="1" s="1"/>
  <c r="G85" i="1"/>
  <c r="Q85" i="1" s="1"/>
  <c r="G81" i="1"/>
  <c r="Q81" i="1" s="1"/>
  <c r="G55" i="1"/>
  <c r="Q55" i="1" s="1"/>
  <c r="G1699" i="1"/>
  <c r="Q1699" i="1" s="1"/>
  <c r="G1554" i="1"/>
  <c r="Q1554" i="1" s="1"/>
  <c r="G1238" i="1"/>
  <c r="Q1238" i="1" s="1"/>
  <c r="G982" i="1"/>
  <c r="Q982" i="1" s="1"/>
  <c r="G1771" i="1"/>
  <c r="Q1771" i="1" s="1"/>
  <c r="G1280" i="1"/>
  <c r="Q1280" i="1" s="1"/>
  <c r="G940" i="1"/>
  <c r="Q940" i="1" s="1"/>
  <c r="G1865" i="1"/>
  <c r="Q1865" i="1" s="1"/>
  <c r="G1240" i="1"/>
  <c r="Q1240" i="1" s="1"/>
  <c r="G960" i="1"/>
  <c r="Q960" i="1" s="1"/>
  <c r="G1860" i="1"/>
  <c r="Q1860" i="1" s="1"/>
  <c r="G1852" i="1"/>
  <c r="Q1852" i="1" s="1"/>
  <c r="G1214" i="1"/>
  <c r="Q1214" i="1" s="1"/>
  <c r="G908" i="1"/>
  <c r="Q908" i="1" s="1"/>
  <c r="G1847" i="1"/>
  <c r="Q1847" i="1" s="1"/>
  <c r="G1777" i="1"/>
  <c r="Q1777" i="1" s="1"/>
  <c r="G1511" i="1"/>
  <c r="Q1511" i="1" s="1"/>
  <c r="G888" i="1"/>
  <c r="Q888" i="1" s="1"/>
  <c r="G670" i="1"/>
  <c r="Q670" i="1" s="1"/>
  <c r="G275" i="1"/>
  <c r="Q275" i="1" s="1"/>
  <c r="G1114" i="1"/>
  <c r="Q1114" i="1" s="1"/>
  <c r="G24" i="1"/>
  <c r="Q24" i="1" s="1"/>
  <c r="G28" i="1"/>
  <c r="Q28" i="1" s="1"/>
  <c r="G177" i="1"/>
  <c r="Q177" i="1" s="1"/>
  <c r="G266" i="1"/>
  <c r="Q266" i="1" s="1"/>
  <c r="G404" i="1"/>
  <c r="Q404" i="1" s="1"/>
  <c r="G424" i="1"/>
  <c r="Q424" i="1" s="1"/>
  <c r="G440" i="1"/>
  <c r="Q440" i="1" s="1"/>
  <c r="G596" i="1"/>
  <c r="Q596" i="1" s="1"/>
  <c r="G602" i="1"/>
  <c r="Q602" i="1" s="1"/>
  <c r="G630" i="1"/>
  <c r="Q630" i="1" s="1"/>
  <c r="G642" i="1"/>
  <c r="Q642" i="1" s="1"/>
  <c r="G646" i="1"/>
  <c r="Q646" i="1" s="1"/>
  <c r="G669" i="1"/>
  <c r="Q669" i="1" s="1"/>
  <c r="G677" i="1"/>
  <c r="Q677" i="1" s="1"/>
  <c r="G681" i="1"/>
  <c r="Q681" i="1" s="1"/>
  <c r="G689" i="1"/>
  <c r="Q689" i="1" s="1"/>
  <c r="G693" i="1"/>
  <c r="Q693" i="1" s="1"/>
  <c r="G701" i="1"/>
  <c r="Q701" i="1" s="1"/>
  <c r="G709" i="1"/>
  <c r="Q709" i="1" s="1"/>
  <c r="G725" i="1"/>
  <c r="Q725" i="1" s="1"/>
  <c r="G729" i="1"/>
  <c r="Q729" i="1" s="1"/>
  <c r="G741" i="1"/>
  <c r="Q741" i="1" s="1"/>
  <c r="G761" i="1"/>
  <c r="Q761" i="1" s="1"/>
  <c r="G765" i="1"/>
  <c r="Q765" i="1" s="1"/>
  <c r="G769" i="1"/>
  <c r="Q769" i="1" s="1"/>
  <c r="G777" i="1"/>
  <c r="Q777" i="1" s="1"/>
  <c r="G789" i="1"/>
  <c r="Q789" i="1" s="1"/>
  <c r="G797" i="1"/>
  <c r="Q797" i="1" s="1"/>
  <c r="G812" i="1"/>
  <c r="Q812" i="1" s="1"/>
  <c r="G824" i="1"/>
  <c r="Q824" i="1" s="1"/>
  <c r="G828" i="1"/>
  <c r="Q828" i="1" s="1"/>
  <c r="G839" i="1"/>
  <c r="Q839" i="1" s="1"/>
  <c r="G842" i="1"/>
  <c r="Q842" i="1" s="1"/>
  <c r="G866" i="1"/>
  <c r="Q866" i="1" s="1"/>
  <c r="G878" i="1"/>
  <c r="Q878" i="1" s="1"/>
  <c r="G882" i="1"/>
  <c r="Q882" i="1" s="1"/>
  <c r="G886" i="1"/>
  <c r="Q886" i="1" s="1"/>
  <c r="G893" i="1"/>
  <c r="Q893" i="1" s="1"/>
  <c r="G897" i="1"/>
  <c r="Q897" i="1" s="1"/>
  <c r="G901" i="1"/>
  <c r="Q901" i="1" s="1"/>
  <c r="G905" i="1"/>
  <c r="Q905" i="1" s="1"/>
  <c r="G909" i="1"/>
  <c r="Q909" i="1" s="1"/>
  <c r="G18" i="1"/>
  <c r="Q18" i="1" s="1"/>
  <c r="G33" i="1"/>
  <c r="Q33" i="1" s="1"/>
  <c r="G88" i="1"/>
  <c r="Q88" i="1" s="1"/>
  <c r="G96" i="1"/>
  <c r="Q96" i="1" s="1"/>
  <c r="G143" i="1"/>
  <c r="Q143" i="1" s="1"/>
  <c r="G167" i="1"/>
  <c r="Q167" i="1" s="1"/>
  <c r="G198" i="1"/>
  <c r="Q198" i="1" s="1"/>
  <c r="G201" i="1"/>
  <c r="Q201" i="1" s="1"/>
  <c r="G205" i="1"/>
  <c r="Q205" i="1" s="1"/>
  <c r="G220" i="1"/>
  <c r="Q220" i="1" s="1"/>
  <c r="G224" i="1"/>
  <c r="Q224" i="1" s="1"/>
  <c r="G260" i="1"/>
  <c r="Q260" i="1" s="1"/>
  <c r="G296" i="1"/>
  <c r="Q296" i="1" s="1"/>
  <c r="G312" i="1"/>
  <c r="Q312" i="1" s="1"/>
  <c r="G320" i="1"/>
  <c r="Q320" i="1" s="1"/>
  <c r="G374" i="1"/>
  <c r="Q374" i="1" s="1"/>
  <c r="G390" i="1"/>
  <c r="Q390" i="1" s="1"/>
  <c r="G438" i="1"/>
  <c r="Q438" i="1" s="1"/>
  <c r="G442" i="1"/>
  <c r="Q442" i="1" s="1"/>
  <c r="G454" i="1"/>
  <c r="Q454" i="1" s="1"/>
  <c r="G466" i="1"/>
  <c r="Q466" i="1" s="1"/>
  <c r="G492" i="1"/>
  <c r="Q492" i="1" s="1"/>
  <c r="G604" i="1"/>
  <c r="Q604" i="1" s="1"/>
  <c r="G608" i="1"/>
  <c r="Q608" i="1" s="1"/>
  <c r="G612" i="1"/>
  <c r="Q612" i="1" s="1"/>
  <c r="G632" i="1"/>
  <c r="Q632" i="1" s="1"/>
  <c r="G636" i="1"/>
  <c r="Q636" i="1" s="1"/>
  <c r="G640" i="1"/>
  <c r="Q640" i="1" s="1"/>
  <c r="G651" i="1"/>
  <c r="Q651" i="1" s="1"/>
  <c r="G655" i="1"/>
  <c r="Q655" i="1" s="1"/>
  <c r="G659" i="1"/>
  <c r="Q659" i="1" s="1"/>
  <c r="G675" i="1"/>
  <c r="Q675" i="1" s="1"/>
  <c r="G687" i="1"/>
  <c r="Q687" i="1" s="1"/>
  <c r="G691" i="1"/>
  <c r="Q691" i="1" s="1"/>
  <c r="G695" i="1"/>
  <c r="Q695" i="1" s="1"/>
  <c r="G699" i="1"/>
  <c r="Q699" i="1" s="1"/>
  <c r="G703" i="1"/>
  <c r="Q703" i="1" s="1"/>
  <c r="G707" i="1"/>
  <c r="Q707" i="1" s="1"/>
  <c r="G719" i="1"/>
  <c r="Q719" i="1" s="1"/>
  <c r="G723" i="1"/>
  <c r="Q723" i="1" s="1"/>
  <c r="G731" i="1"/>
  <c r="Q731" i="1" s="1"/>
  <c r="G751" i="1"/>
  <c r="Q751" i="1" s="1"/>
  <c r="G763" i="1"/>
  <c r="Q763" i="1" s="1"/>
  <c r="G771" i="1"/>
  <c r="Q771" i="1" s="1"/>
  <c r="G775" i="1"/>
  <c r="Q775" i="1" s="1"/>
  <c r="G795" i="1"/>
  <c r="Q795" i="1" s="1"/>
  <c r="G799" i="1"/>
  <c r="Q799" i="1" s="1"/>
  <c r="G803" i="1"/>
  <c r="Q803" i="1" s="1"/>
  <c r="G807" i="1"/>
  <c r="Q807" i="1" s="1"/>
  <c r="G826" i="1"/>
  <c r="Q826" i="1" s="1"/>
  <c r="G833" i="1"/>
  <c r="Q833" i="1" s="1"/>
  <c r="G848" i="1"/>
  <c r="Q848" i="1" s="1"/>
  <c r="G868" i="1"/>
  <c r="Q868" i="1" s="1"/>
  <c r="G872" i="1"/>
  <c r="Q872" i="1" s="1"/>
  <c r="G876" i="1"/>
  <c r="Q876" i="1" s="1"/>
  <c r="G884" i="1"/>
  <c r="Q884" i="1" s="1"/>
  <c r="G899" i="1"/>
  <c r="Q899" i="1" s="1"/>
  <c r="G911" i="1"/>
  <c r="Q911" i="1" s="1"/>
  <c r="G922" i="1"/>
  <c r="Q922" i="1" s="1"/>
  <c r="G932" i="1"/>
  <c r="Q932" i="1" s="1"/>
  <c r="G986" i="1"/>
  <c r="Q986" i="1" s="1"/>
  <c r="G994" i="1"/>
  <c r="Q994" i="1" s="1"/>
  <c r="G1009" i="1"/>
  <c r="Q1009" i="1" s="1"/>
  <c r="G1021" i="1"/>
  <c r="Q1021" i="1" s="1"/>
  <c r="G1029" i="1"/>
  <c r="Q1029" i="1" s="1"/>
  <c r="G126" i="1"/>
  <c r="Q126" i="1" s="1"/>
  <c r="G138" i="1"/>
  <c r="Q138" i="1" s="1"/>
  <c r="G172" i="1"/>
  <c r="Q172" i="1" s="1"/>
  <c r="G285" i="1"/>
  <c r="Q285" i="1" s="1"/>
  <c r="G293" i="1"/>
  <c r="Q293" i="1" s="1"/>
  <c r="G379" i="1"/>
  <c r="Q379" i="1" s="1"/>
  <c r="G383" i="1"/>
  <c r="Q383" i="1" s="1"/>
  <c r="G417" i="1"/>
  <c r="Q417" i="1" s="1"/>
  <c r="G439" i="1"/>
  <c r="Q439" i="1" s="1"/>
  <c r="G449" i="1"/>
  <c r="Q449" i="1" s="1"/>
  <c r="G495" i="1"/>
  <c r="Q495" i="1" s="1"/>
  <c r="G503" i="1"/>
  <c r="Q503" i="1" s="1"/>
  <c r="G629" i="1"/>
  <c r="Q629" i="1" s="1"/>
  <c r="G635" i="1"/>
  <c r="Q635" i="1" s="1"/>
  <c r="G641" i="1"/>
  <c r="Q641" i="1" s="1"/>
  <c r="G650" i="1"/>
  <c r="Q650" i="1" s="1"/>
  <c r="G656" i="1"/>
  <c r="Q656" i="1" s="1"/>
  <c r="G682" i="1"/>
  <c r="Q682" i="1" s="1"/>
  <c r="G686" i="1"/>
  <c r="Q686" i="1" s="1"/>
  <c r="G700" i="1"/>
  <c r="Q700" i="1" s="1"/>
  <c r="G706" i="1"/>
  <c r="Q706" i="1" s="1"/>
  <c r="G716" i="1"/>
  <c r="Q716" i="1" s="1"/>
  <c r="G756" i="1"/>
  <c r="Q756" i="1" s="1"/>
  <c r="G784" i="1"/>
  <c r="Q784" i="1" s="1"/>
  <c r="G881" i="1"/>
  <c r="Q881" i="1" s="1"/>
  <c r="G898" i="1"/>
  <c r="Q898" i="1" s="1"/>
  <c r="G910" i="1"/>
  <c r="Q910" i="1" s="1"/>
  <c r="G930" i="1"/>
  <c r="Q930" i="1" s="1"/>
  <c r="G980" i="1"/>
  <c r="Q980" i="1" s="1"/>
  <c r="G984" i="1"/>
  <c r="Q984" i="1" s="1"/>
  <c r="G1003" i="1"/>
  <c r="Q1003" i="1" s="1"/>
  <c r="G1007" i="1"/>
  <c r="Q1007" i="1" s="1"/>
  <c r="G1012" i="1"/>
  <c r="Q1012" i="1" s="1"/>
  <c r="G1016" i="1"/>
  <c r="Q1016" i="1" s="1"/>
  <c r="G1034" i="1"/>
  <c r="Q1034" i="1" s="1"/>
  <c r="G1046" i="1"/>
  <c r="Q1046" i="1" s="1"/>
  <c r="G1057" i="1"/>
  <c r="Q1057" i="1" s="1"/>
  <c r="G1061" i="1"/>
  <c r="Q1061" i="1" s="1"/>
  <c r="G1069" i="1"/>
  <c r="Q1069" i="1" s="1"/>
  <c r="G1088" i="1"/>
  <c r="Q1088" i="1" s="1"/>
  <c r="G1092" i="1"/>
  <c r="Q1092" i="1" s="1"/>
  <c r="G1108" i="1"/>
  <c r="Q1108" i="1" s="1"/>
  <c r="G1120" i="1"/>
  <c r="Q1120" i="1" s="1"/>
  <c r="G1124" i="1"/>
  <c r="Q1124" i="1" s="1"/>
  <c r="G1155" i="1"/>
  <c r="Q1155" i="1" s="1"/>
  <c r="G1179" i="1"/>
  <c r="Q1179" i="1" s="1"/>
  <c r="G1187" i="1"/>
  <c r="Q1187" i="1" s="1"/>
  <c r="G1191" i="1"/>
  <c r="Q1191" i="1" s="1"/>
  <c r="G1207" i="1"/>
  <c r="Q1207" i="1" s="1"/>
  <c r="G1211" i="1"/>
  <c r="Q1211" i="1" s="1"/>
  <c r="G1253" i="1"/>
  <c r="Q1253" i="1" s="1"/>
  <c r="G1265" i="1"/>
  <c r="Q1265" i="1" s="1"/>
  <c r="G1287" i="1"/>
  <c r="Q1287" i="1" s="1"/>
  <c r="G1291" i="1"/>
  <c r="Q1291" i="1" s="1"/>
  <c r="G1302" i="1"/>
  <c r="Q1302" i="1" s="1"/>
  <c r="G1306" i="1"/>
  <c r="Q1306" i="1" s="1"/>
  <c r="G1310" i="1"/>
  <c r="Q1310" i="1" s="1"/>
  <c r="G1314" i="1"/>
  <c r="Q1314" i="1" s="1"/>
  <c r="G1338" i="1"/>
  <c r="Q1338" i="1" s="1"/>
  <c r="G1362" i="1"/>
  <c r="Q1362" i="1" s="1"/>
  <c r="G1421" i="1"/>
  <c r="Q1421" i="1" s="1"/>
  <c r="G1425" i="1"/>
  <c r="Q1425" i="1" s="1"/>
  <c r="G1433" i="1"/>
  <c r="Q1433" i="1" s="1"/>
  <c r="G1437" i="1"/>
  <c r="Q1437" i="1" s="1"/>
  <c r="G1445" i="1"/>
  <c r="Q1445" i="1" s="1"/>
  <c r="G1449" i="1"/>
  <c r="Q1449" i="1" s="1"/>
  <c r="G49" i="1"/>
  <c r="Q49" i="1" s="1"/>
  <c r="G174" i="1"/>
  <c r="Q174" i="1" s="1"/>
  <c r="G229" i="1"/>
  <c r="Q229" i="1" s="1"/>
  <c r="G237" i="1"/>
  <c r="Q237" i="1" s="1"/>
  <c r="G257" i="1"/>
  <c r="Q257" i="1" s="1"/>
  <c r="G451" i="1"/>
  <c r="Q451" i="1" s="1"/>
  <c r="G505" i="1"/>
  <c r="Q505" i="1" s="1"/>
  <c r="G521" i="1"/>
  <c r="Q521" i="1" s="1"/>
  <c r="G621" i="1"/>
  <c r="Q621" i="1" s="1"/>
  <c r="G627" i="1"/>
  <c r="Q627" i="1" s="1"/>
  <c r="G658" i="1"/>
  <c r="Q658" i="1" s="1"/>
  <c r="G684" i="1"/>
  <c r="Q684" i="1" s="1"/>
  <c r="G690" i="1"/>
  <c r="Q690" i="1" s="1"/>
  <c r="G710" i="1"/>
  <c r="Q710" i="1" s="1"/>
  <c r="G714" i="1"/>
  <c r="Q714" i="1" s="1"/>
  <c r="G718" i="1"/>
  <c r="Q718" i="1" s="1"/>
  <c r="G744" i="1"/>
  <c r="Q744" i="1" s="1"/>
  <c r="G748" i="1"/>
  <c r="Q748" i="1" s="1"/>
  <c r="G772" i="1"/>
  <c r="Q772" i="1" s="1"/>
  <c r="G778" i="1"/>
  <c r="Q778" i="1" s="1"/>
  <c r="G782" i="1"/>
  <c r="Q782" i="1" s="1"/>
  <c r="G786" i="1"/>
  <c r="Q786" i="1" s="1"/>
  <c r="G808" i="1"/>
  <c r="Q808" i="1" s="1"/>
  <c r="G825" i="1"/>
  <c r="Q825" i="1" s="1"/>
  <c r="G885" i="1"/>
  <c r="Q885" i="1" s="1"/>
  <c r="G890" i="1"/>
  <c r="Q890" i="1" s="1"/>
  <c r="G931" i="1"/>
  <c r="Q931" i="1" s="1"/>
  <c r="G1027" i="1"/>
  <c r="Q1027" i="1" s="1"/>
  <c r="G1048" i="1"/>
  <c r="Q1048" i="1" s="1"/>
  <c r="G1063" i="1"/>
  <c r="Q1063" i="1" s="1"/>
  <c r="G1090" i="1"/>
  <c r="Q1090" i="1" s="1"/>
  <c r="G1102" i="1"/>
  <c r="Q1102" i="1" s="1"/>
  <c r="G1110" i="1"/>
  <c r="Q1110" i="1" s="1"/>
  <c r="G1150" i="1"/>
  <c r="Q1150" i="1" s="1"/>
  <c r="G1161" i="1"/>
  <c r="Q1161" i="1" s="1"/>
  <c r="G1193" i="1"/>
  <c r="Q1193" i="1" s="1"/>
  <c r="G1201" i="1"/>
  <c r="Q1201" i="1" s="1"/>
  <c r="G1259" i="1"/>
  <c r="Q1259" i="1" s="1"/>
  <c r="G1277" i="1"/>
  <c r="Q1277" i="1" s="1"/>
  <c r="G1281" i="1"/>
  <c r="Q1281" i="1" s="1"/>
  <c r="G1296" i="1"/>
  <c r="Q1296" i="1" s="1"/>
  <c r="G1332" i="1"/>
  <c r="Q1332" i="1" s="1"/>
  <c r="G1408" i="1"/>
  <c r="Q1408" i="1" s="1"/>
  <c r="G1419" i="1"/>
  <c r="Q1419" i="1" s="1"/>
  <c r="G1423" i="1"/>
  <c r="Q1423" i="1" s="1"/>
  <c r="G1435" i="1"/>
  <c r="Q1435" i="1" s="1"/>
  <c r="G1439" i="1"/>
  <c r="Q1439" i="1" s="1"/>
  <c r="G1483" i="1"/>
  <c r="Q1483" i="1" s="1"/>
  <c r="G1501" i="1"/>
  <c r="Q1501" i="1" s="1"/>
  <c r="G1505" i="1"/>
  <c r="Q1505" i="1" s="1"/>
  <c r="G1508" i="1"/>
  <c r="Q1508" i="1" s="1"/>
  <c r="G1539" i="1"/>
  <c r="Q1539" i="1" s="1"/>
  <c r="G1555" i="1"/>
  <c r="Q1555" i="1" s="1"/>
  <c r="G1559" i="1"/>
  <c r="Q1559" i="1" s="1"/>
  <c r="G1578" i="1"/>
  <c r="Q1578" i="1" s="1"/>
  <c r="G480" i="1"/>
  <c r="Q480" i="1" s="1"/>
  <c r="G852" i="1"/>
  <c r="Q852" i="1" s="1"/>
  <c r="G998" i="1"/>
  <c r="Q998" i="1" s="1"/>
  <c r="G1136" i="1"/>
  <c r="Q1136" i="1" s="1"/>
  <c r="G1040" i="1"/>
  <c r="Q1040" i="1" s="1"/>
  <c r="G1094" i="1"/>
  <c r="Q1094" i="1" s="1"/>
  <c r="G1431" i="1"/>
  <c r="Q1431" i="1" s="1"/>
  <c r="G70" i="1"/>
  <c r="Q70" i="1" s="1"/>
  <c r="G537" i="1"/>
  <c r="Q537" i="1" s="1"/>
  <c r="G614" i="1"/>
  <c r="Q614" i="1" s="1"/>
  <c r="G626" i="1"/>
  <c r="Q626" i="1" s="1"/>
  <c r="G953" i="1"/>
  <c r="Q953" i="1" s="1"/>
  <c r="G961" i="1"/>
  <c r="Q961" i="1" s="1"/>
  <c r="G964" i="1"/>
  <c r="Q964" i="1" s="1"/>
  <c r="G44" i="1"/>
  <c r="Q44" i="1" s="1"/>
  <c r="G76" i="1"/>
  <c r="Q76" i="1" s="1"/>
  <c r="G563" i="1"/>
  <c r="Q563" i="1" s="1"/>
  <c r="G574" i="1"/>
  <c r="Q574" i="1" s="1"/>
  <c r="G578" i="1"/>
  <c r="Q578" i="1" s="1"/>
  <c r="G601" i="1"/>
  <c r="Q601" i="1" s="1"/>
  <c r="G624" i="1"/>
  <c r="Q624" i="1" s="1"/>
  <c r="G671" i="1"/>
  <c r="Q671" i="1" s="1"/>
  <c r="G759" i="1"/>
  <c r="Q759" i="1" s="1"/>
  <c r="G947" i="1"/>
  <c r="Q947" i="1" s="1"/>
  <c r="G951" i="1"/>
  <c r="Q951" i="1" s="1"/>
  <c r="G959" i="1"/>
  <c r="Q959" i="1" s="1"/>
  <c r="G970" i="1"/>
  <c r="Q970" i="1" s="1"/>
  <c r="G974" i="1"/>
  <c r="Q974" i="1" s="1"/>
  <c r="G990" i="1"/>
  <c r="Q990" i="1" s="1"/>
  <c r="G571" i="1"/>
  <c r="Q571" i="1" s="1"/>
  <c r="G581" i="1"/>
  <c r="Q581" i="1" s="1"/>
  <c r="G788" i="1"/>
  <c r="Q788" i="1" s="1"/>
  <c r="G950" i="1"/>
  <c r="Q950" i="1" s="1"/>
  <c r="G956" i="1"/>
  <c r="Q956" i="1" s="1"/>
  <c r="G962" i="1"/>
  <c r="Q962" i="1" s="1"/>
  <c r="G971" i="1"/>
  <c r="Q971" i="1" s="1"/>
  <c r="G976" i="1"/>
  <c r="Q976" i="1" s="1"/>
  <c r="G989" i="1"/>
  <c r="Q989" i="1" s="1"/>
  <c r="G1249" i="1"/>
  <c r="Q1249" i="1" s="1"/>
  <c r="G1279" i="1"/>
  <c r="Q1279" i="1" s="1"/>
  <c r="G1326" i="1"/>
  <c r="Q1326" i="1" s="1"/>
  <c r="G1413" i="1"/>
  <c r="Q1413" i="1" s="1"/>
  <c r="G1469" i="1"/>
  <c r="Q1469" i="1" s="1"/>
  <c r="G529" i="1"/>
  <c r="Q529" i="1" s="1"/>
  <c r="G617" i="1"/>
  <c r="Q617" i="1" s="1"/>
  <c r="G948" i="1"/>
  <c r="Q948" i="1" s="1"/>
  <c r="G958" i="1"/>
  <c r="Q958" i="1" s="1"/>
  <c r="G968" i="1"/>
  <c r="Q968" i="1" s="1"/>
  <c r="G1036" i="1"/>
  <c r="Q1036" i="1" s="1"/>
  <c r="G1241" i="1"/>
  <c r="Q1241" i="1" s="1"/>
  <c r="G1245" i="1"/>
  <c r="Q1245" i="1" s="1"/>
  <c r="G1328" i="1"/>
  <c r="Q1328" i="1" s="1"/>
  <c r="G1412" i="1"/>
  <c r="Q1412" i="1" s="1"/>
  <c r="G1427" i="1"/>
  <c r="Q1427" i="1" s="1"/>
  <c r="G1463" i="1"/>
  <c r="Q1463" i="1" s="1"/>
  <c r="G1551" i="1"/>
  <c r="Q1551" i="1" s="1"/>
  <c r="G1676" i="1"/>
  <c r="Q1676" i="1" s="1"/>
  <c r="G1553" i="1"/>
  <c r="Q1553" i="1" s="1"/>
  <c r="G1448" i="1"/>
  <c r="Q1448" i="1" s="1"/>
  <c r="G1039" i="1"/>
  <c r="Q1039" i="1" s="1"/>
  <c r="G965" i="1"/>
  <c r="Q965" i="1" s="1"/>
  <c r="G1624" i="1"/>
  <c r="Q1624" i="1" s="1"/>
  <c r="G1506" i="1"/>
  <c r="Q1506" i="1" s="1"/>
  <c r="G1446" i="1"/>
  <c r="Q1446" i="1" s="1"/>
  <c r="G1232" i="1"/>
  <c r="Q1232" i="1" s="1"/>
  <c r="G993" i="1"/>
  <c r="Q993" i="1" s="1"/>
  <c r="G975" i="1"/>
  <c r="Q975" i="1" s="1"/>
  <c r="G967" i="1"/>
  <c r="Q967" i="1" s="1"/>
  <c r="G550" i="1"/>
  <c r="Q550" i="1" s="1"/>
  <c r="O17" i="5" l="1" a="1"/>
  <c r="O17" i="5" s="1"/>
  <c r="AM10" i="5"/>
  <c r="AH23" i="5" s="1"/>
  <c r="AM14" i="5"/>
  <c r="AI27" i="5" s="1"/>
  <c r="AU10" i="5"/>
  <c r="AT23" i="5" s="1"/>
  <c r="AM12" i="5"/>
  <c r="AL25" i="5" s="1"/>
  <c r="AK23" i="5"/>
  <c r="AJ23" i="5"/>
  <c r="AU12" i="5"/>
  <c r="AP25" i="5" s="1"/>
  <c r="AU14" i="5"/>
  <c r="AT27" i="5" s="1"/>
  <c r="AU15" i="5"/>
  <c r="AR28" i="5" s="1"/>
  <c r="AU11" i="5"/>
  <c r="AT24" i="5" s="1"/>
  <c r="AM13" i="5"/>
  <c r="AI26" i="5" s="1"/>
  <c r="AA17" i="5" a="1"/>
  <c r="AA17" i="5" s="1"/>
  <c r="AA13" i="5" a="1"/>
  <c r="AA13" i="5" s="1"/>
  <c r="AA9" i="5" a="1"/>
  <c r="AA9" i="5" s="1"/>
  <c r="AA16" i="5" a="1"/>
  <c r="AA16" i="5" s="1"/>
  <c r="AA12" i="5" a="1"/>
  <c r="AA12" i="5" s="1"/>
  <c r="Z13" i="5" a="1"/>
  <c r="Z13" i="5" s="1"/>
  <c r="Z12" i="5" a="1"/>
  <c r="Z12" i="5" s="1"/>
  <c r="Z9" i="5" a="1"/>
  <c r="Z9" i="5" s="1"/>
  <c r="Z15" i="5" a="1"/>
  <c r="Z15" i="5" s="1"/>
  <c r="Z14" i="5" a="1"/>
  <c r="Z14" i="5" s="1"/>
  <c r="Y15" i="5" a="1"/>
  <c r="Y15" i="5" s="1"/>
  <c r="Y18" i="5" a="1"/>
  <c r="Y18" i="5" s="1"/>
  <c r="Y10" i="5" a="1"/>
  <c r="Y10" i="5" s="1"/>
  <c r="Y13" i="5" a="1"/>
  <c r="Y13" i="5" s="1"/>
  <c r="Y16" i="5" a="1"/>
  <c r="Y16" i="5" s="1"/>
  <c r="P9" i="5" a="1"/>
  <c r="P9" i="5" s="1"/>
  <c r="X14" i="5" a="1"/>
  <c r="X14" i="5" s="1"/>
  <c r="X17" i="5" a="1"/>
  <c r="X17" i="5" s="1"/>
  <c r="O16" i="5" a="1"/>
  <c r="O16" i="5" s="1"/>
  <c r="O9" i="5" a="1"/>
  <c r="O9" i="5" s="1"/>
  <c r="O11" i="5" a="1"/>
  <c r="O11" i="5" s="1"/>
  <c r="X12" i="5" a="1"/>
  <c r="X12" i="5" s="1"/>
  <c r="X15" i="5" a="1"/>
  <c r="X15" i="5" s="1"/>
  <c r="O18" i="5" a="1"/>
  <c r="O18" i="5" s="1"/>
  <c r="O10" i="5" a="1"/>
  <c r="O10" i="5" s="1"/>
  <c r="O13" i="5" a="1"/>
  <c r="O13" i="5" s="1"/>
  <c r="AU13" i="5"/>
  <c r="AS26" i="5" s="1"/>
  <c r="AM15" i="5"/>
  <c r="AL28" i="5" s="1"/>
  <c r="AM11" i="5"/>
  <c r="AK24" i="5" s="1"/>
  <c r="AA15" i="5" a="1"/>
  <c r="AA15" i="5" s="1"/>
  <c r="AA28" i="5" s="1"/>
  <c r="AA11" i="5" a="1"/>
  <c r="AA11" i="5" s="1"/>
  <c r="AA18" i="5" a="1"/>
  <c r="AA18" i="5" s="1"/>
  <c r="AA14" i="5" a="1"/>
  <c r="AA14" i="5" s="1"/>
  <c r="AA27" i="5" s="1"/>
  <c r="AA10" i="5" a="1"/>
  <c r="AA10" i="5" s="1"/>
  <c r="Z17" i="5" a="1"/>
  <c r="Z17" i="5" s="1"/>
  <c r="Z16" i="5" a="1"/>
  <c r="Z16" i="5" s="1"/>
  <c r="Z29" i="5" s="1"/>
  <c r="Z11" i="5" a="1"/>
  <c r="Z11" i="5" s="1"/>
  <c r="Z10" i="5" a="1"/>
  <c r="Z10" i="5" s="1"/>
  <c r="Z23" i="5" s="1"/>
  <c r="Z18" i="5" a="1"/>
  <c r="Z18" i="5" s="1"/>
  <c r="Z31" i="5" s="1"/>
  <c r="Y11" i="5" a="1"/>
  <c r="Y11" i="5" s="1"/>
  <c r="Y14" i="5" a="1"/>
  <c r="Y14" i="5" s="1"/>
  <c r="Y17" i="5" a="1"/>
  <c r="Y17" i="5" s="1"/>
  <c r="Y9" i="5" a="1"/>
  <c r="Y9" i="5" s="1"/>
  <c r="Y12" i="5" a="1"/>
  <c r="Y12" i="5" s="1"/>
  <c r="X18" i="5" a="1"/>
  <c r="X18" i="5" s="1"/>
  <c r="X10" i="5" a="1"/>
  <c r="X10" i="5" s="1"/>
  <c r="X13" i="5" a="1"/>
  <c r="X13" i="5" s="1"/>
  <c r="O12" i="5" a="1"/>
  <c r="O12" i="5" s="1"/>
  <c r="O15" i="5" a="1"/>
  <c r="O15" i="5" s="1"/>
  <c r="X16" i="5" a="1"/>
  <c r="X16" i="5" s="1"/>
  <c r="X9" i="5" a="1"/>
  <c r="X9" i="5" s="1"/>
  <c r="X11" i="5" a="1"/>
  <c r="X11" i="5" s="1"/>
  <c r="O14" i="5" a="1"/>
  <c r="O14" i="5" s="1"/>
  <c r="P22" i="5"/>
  <c r="P47" i="5" s="1"/>
  <c r="AB11" i="5" a="1"/>
  <c r="AB11" i="5" s="1"/>
  <c r="AB24" i="5" s="1"/>
  <c r="AB13" i="5" a="1"/>
  <c r="AB13" i="5" s="1"/>
  <c r="AB26" i="5" s="1"/>
  <c r="AB15" i="5" a="1"/>
  <c r="AB15" i="5" s="1"/>
  <c r="AB28" i="5" s="1"/>
  <c r="AB17" i="5" a="1"/>
  <c r="AB17" i="5" s="1"/>
  <c r="AB30" i="5" s="1"/>
  <c r="AB10" i="5" a="1"/>
  <c r="AB10" i="5" s="1"/>
  <c r="AB23" i="5" s="1"/>
  <c r="AB12" i="5" a="1"/>
  <c r="AB12" i="5" s="1"/>
  <c r="AB25" i="5" s="1"/>
  <c r="AB14" i="5" a="1"/>
  <c r="AB14" i="5" s="1"/>
  <c r="AB27" i="5" s="1"/>
  <c r="AB16" i="5" a="1"/>
  <c r="AB16" i="5" s="1"/>
  <c r="AB29" i="5" s="1"/>
  <c r="AB18" i="5" a="1"/>
  <c r="AB18" i="5" s="1"/>
  <c r="AB31" i="5" s="1"/>
  <c r="AB9" i="5" a="1"/>
  <c r="AB9" i="5" s="1"/>
  <c r="AB22" i="5" s="1"/>
  <c r="P10" i="5" a="1"/>
  <c r="P10" i="5" s="1"/>
  <c r="I31" i="5"/>
  <c r="I27" i="5"/>
  <c r="I28" i="5"/>
  <c r="I30" i="5"/>
  <c r="I24" i="5"/>
  <c r="CQ29" i="5" a="1"/>
  <c r="CQ29" i="5" s="1"/>
  <c r="CU29" i="5" s="1"/>
  <c r="I23" i="5"/>
  <c r="I29" i="5"/>
  <c r="CQ19" i="5" a="1"/>
  <c r="CQ19" i="5" s="1"/>
  <c r="CU19" i="5" s="1"/>
  <c r="CQ31" i="5" a="1"/>
  <c r="CQ31" i="5" s="1"/>
  <c r="CU31" i="5" s="1"/>
  <c r="CQ30" i="5" a="1"/>
  <c r="CQ30" i="5" s="1"/>
  <c r="CU30" i="5" s="1"/>
  <c r="CQ18" i="5"/>
  <c r="CU18" i="5" s="1"/>
  <c r="CQ32" i="5" a="1"/>
  <c r="CQ32" i="5" s="1"/>
  <c r="CU32" i="5" s="1"/>
  <c r="AH16" i="5"/>
  <c r="I26" i="5"/>
  <c r="AP16" i="5"/>
  <c r="R18" i="5" a="1"/>
  <c r="R18" i="5" s="1"/>
  <c r="R16" i="5" a="1"/>
  <c r="R16" i="5" s="1"/>
  <c r="R14" i="5" a="1"/>
  <c r="R14" i="5" s="1"/>
  <c r="R12" i="5" a="1"/>
  <c r="R12" i="5" s="1"/>
  <c r="R10" i="5" a="1"/>
  <c r="R10" i="5" s="1"/>
  <c r="BN116" i="5" a="1"/>
  <c r="BN116" i="5" s="1"/>
  <c r="BN108" i="5" a="1"/>
  <c r="BN108" i="5" s="1"/>
  <c r="BN100" i="5" a="1"/>
  <c r="BN100" i="5" s="1"/>
  <c r="BN92" i="5" a="1"/>
  <c r="BN92" i="5" s="1"/>
  <c r="BN84" i="5" a="1"/>
  <c r="BN84" i="5" s="1"/>
  <c r="BN77" i="5" a="1"/>
  <c r="BN77" i="5" s="1"/>
  <c r="BN69" i="5" a="1"/>
  <c r="BN69" i="5" s="1"/>
  <c r="BN61" i="5" a="1"/>
  <c r="BN61" i="5" s="1"/>
  <c r="BN53" i="5" a="1"/>
  <c r="BN53" i="5" s="1"/>
  <c r="BN45" i="5" a="1"/>
  <c r="BN45" i="5" s="1"/>
  <c r="BN37" i="5" a="1"/>
  <c r="BN37" i="5" s="1"/>
  <c r="BN29" i="5" a="1"/>
  <c r="BN29" i="5" s="1"/>
  <c r="BN27" i="5" a="1"/>
  <c r="BN27" i="5" s="1"/>
  <c r="BN117" i="5" a="1"/>
  <c r="BN117" i="5" s="1"/>
  <c r="BN109" i="5" a="1"/>
  <c r="BN109" i="5" s="1"/>
  <c r="BN101" i="5" a="1"/>
  <c r="BN101" i="5" s="1"/>
  <c r="BN93" i="5" a="1"/>
  <c r="BN93" i="5" s="1"/>
  <c r="BN85" i="5" a="1"/>
  <c r="BN85" i="5" s="1"/>
  <c r="BN78" i="5" a="1"/>
  <c r="BN78" i="5" s="1"/>
  <c r="BN70" i="5" a="1"/>
  <c r="BN70" i="5" s="1"/>
  <c r="BN62" i="5" a="1"/>
  <c r="BN62" i="5" s="1"/>
  <c r="BN54" i="5" a="1"/>
  <c r="BN54" i="5" s="1"/>
  <c r="BN46" i="5" a="1"/>
  <c r="BN46" i="5" s="1"/>
  <c r="BN38" i="5" a="1"/>
  <c r="BN38" i="5" s="1"/>
  <c r="BN30" i="5" a="1"/>
  <c r="BN30" i="5" s="1"/>
  <c r="Q11" i="5" a="1"/>
  <c r="Q11" i="5" s="1"/>
  <c r="Q15" i="5" a="1"/>
  <c r="Q15" i="5" s="1"/>
  <c r="P18" i="5" a="1"/>
  <c r="P18" i="5" s="1"/>
  <c r="P14" i="5" a="1"/>
  <c r="P14" i="5" s="1"/>
  <c r="P17" i="5" a="1"/>
  <c r="P17" i="5" s="1"/>
  <c r="P13" i="5" a="1"/>
  <c r="P13" i="5" s="1"/>
  <c r="G12" i="5" a="1"/>
  <c r="G12" i="5" s="1"/>
  <c r="H15" i="5" a="1"/>
  <c r="H15" i="5" s="1"/>
  <c r="C10" i="5" a="1"/>
  <c r="C10" i="5" s="1"/>
  <c r="F10" i="5" a="1"/>
  <c r="F10" i="5" s="1"/>
  <c r="G13" i="5" a="1"/>
  <c r="G13" i="5" s="1"/>
  <c r="H16" i="5" a="1"/>
  <c r="H16" i="5" s="1"/>
  <c r="C15" i="5" a="1"/>
  <c r="C15" i="5" s="1"/>
  <c r="G10" i="5" a="1"/>
  <c r="G10" i="5" s="1"/>
  <c r="H13" i="5" a="1"/>
  <c r="H13" i="5" s="1"/>
  <c r="D17" i="5" a="1"/>
  <c r="D17" i="5" s="1"/>
  <c r="C16" i="5" a="1"/>
  <c r="C16" i="5" s="1"/>
  <c r="G11" i="5" a="1"/>
  <c r="G11" i="5" s="1"/>
  <c r="H14" i="5" a="1"/>
  <c r="H14" i="5" s="1"/>
  <c r="D18" i="5" a="1"/>
  <c r="D18" i="5" s="1"/>
  <c r="F9" i="5" a="1"/>
  <c r="F9" i="5" s="1"/>
  <c r="H11" i="5" a="1"/>
  <c r="H11" i="5" s="1"/>
  <c r="D15" i="5" a="1"/>
  <c r="D15" i="5" s="1"/>
  <c r="E18" i="5" a="1"/>
  <c r="E18" i="5" s="1"/>
  <c r="G9" i="5" a="1"/>
  <c r="G9" i="5" s="1"/>
  <c r="H12" i="5" a="1"/>
  <c r="H12" i="5" s="1"/>
  <c r="D16" i="5" a="1"/>
  <c r="D16" i="5" s="1"/>
  <c r="C11" i="5" a="1"/>
  <c r="C11" i="5" s="1"/>
  <c r="H9" i="5" a="1"/>
  <c r="H9" i="5" s="1"/>
  <c r="D13" i="5" a="1"/>
  <c r="D13" i="5" s="1"/>
  <c r="E16" i="5" a="1"/>
  <c r="E16" i="5" s="1"/>
  <c r="C12" i="5" a="1"/>
  <c r="C12" i="5" s="1"/>
  <c r="H10" i="5" a="1"/>
  <c r="H10" i="5" s="1"/>
  <c r="D14" i="5" a="1"/>
  <c r="D14" i="5" s="1"/>
  <c r="E17" i="5" a="1"/>
  <c r="E17" i="5" s="1"/>
  <c r="C17" i="5" a="1"/>
  <c r="C17" i="5" s="1"/>
  <c r="BG13" i="5" a="1"/>
  <c r="BG13" i="5" s="1"/>
  <c r="BF15" i="5" a="1"/>
  <c r="BF15" i="5" s="1"/>
  <c r="BI11" i="5" a="1"/>
  <c r="BI11" i="5" s="1"/>
  <c r="BI13" i="5" a="1"/>
  <c r="BI13" i="5" s="1"/>
  <c r="BI15" i="5" a="1"/>
  <c r="BI15" i="5" s="1"/>
  <c r="AY10" i="5" a="1"/>
  <c r="AY10" i="5" s="1"/>
  <c r="AY12" i="5" a="1"/>
  <c r="AY12" i="5" s="1"/>
  <c r="AY14" i="5" a="1"/>
  <c r="AY14" i="5" s="1"/>
  <c r="AX11" i="5" a="1"/>
  <c r="AX11" i="5" s="1"/>
  <c r="BJ10" i="5" a="1"/>
  <c r="BJ10" i="5" s="1"/>
  <c r="BJ12" i="5" a="1"/>
  <c r="BJ12" i="5" s="1"/>
  <c r="BJ14" i="5" a="1"/>
  <c r="BJ14" i="5" s="1"/>
  <c r="BF14" i="5" a="1"/>
  <c r="BF14" i="5" s="1"/>
  <c r="AZ11" i="5" a="1"/>
  <c r="AZ11" i="5" s="1"/>
  <c r="AZ13" i="5" a="1"/>
  <c r="AZ13" i="5" s="1"/>
  <c r="AZ15" i="5" a="1"/>
  <c r="AZ15" i="5" s="1"/>
  <c r="AX10" i="5" a="1"/>
  <c r="AX10" i="5" s="1"/>
  <c r="BG12" i="5" a="1"/>
  <c r="BG12" i="5" s="1"/>
  <c r="BF11" i="5" a="1"/>
  <c r="BF11" i="5" s="1"/>
  <c r="BA11" i="5" a="1"/>
  <c r="BA11" i="5" s="1"/>
  <c r="BA13" i="5" a="1"/>
  <c r="BA13" i="5" s="1"/>
  <c r="BA15" i="5" a="1"/>
  <c r="BA15" i="5" s="1"/>
  <c r="BH10" i="5" a="1"/>
  <c r="BH10" i="5" s="1"/>
  <c r="BH12" i="5" a="1"/>
  <c r="BH12" i="5" s="1"/>
  <c r="BH14" i="5" a="1"/>
  <c r="BH14" i="5" s="1"/>
  <c r="BF12" i="5" a="1"/>
  <c r="BF12" i="5" s="1"/>
  <c r="BB10" i="5" a="1"/>
  <c r="BB10" i="5" s="1"/>
  <c r="BB12" i="5" a="1"/>
  <c r="BB12" i="5" s="1"/>
  <c r="BB14" i="5" a="1"/>
  <c r="BB14" i="5" s="1"/>
  <c r="AX14" i="5" a="1"/>
  <c r="AX14" i="5" s="1"/>
  <c r="AL16" i="5"/>
  <c r="AR16" i="5"/>
  <c r="AK16" i="5"/>
  <c r="AQ16" i="5"/>
  <c r="BN21" i="5" a="1"/>
  <c r="BN21" i="5" s="1"/>
  <c r="BN114" i="5" a="1"/>
  <c r="BN114" i="5" s="1"/>
  <c r="BN106" i="5" a="1"/>
  <c r="BN106" i="5" s="1"/>
  <c r="BN98" i="5" a="1"/>
  <c r="BN98" i="5" s="1"/>
  <c r="BN90" i="5" a="1"/>
  <c r="BN90" i="5" s="1"/>
  <c r="BN82" i="5" a="1"/>
  <c r="BN82" i="5" s="1"/>
  <c r="BN75" i="5" a="1"/>
  <c r="BN75" i="5" s="1"/>
  <c r="BN67" i="5" a="1"/>
  <c r="BN67" i="5" s="1"/>
  <c r="BN59" i="5" a="1"/>
  <c r="BN59" i="5" s="1"/>
  <c r="BN51" i="5" a="1"/>
  <c r="BN51" i="5" s="1"/>
  <c r="BN43" i="5" a="1"/>
  <c r="BN43" i="5" s="1"/>
  <c r="BN35" i="5" a="1"/>
  <c r="BN35" i="5" s="1"/>
  <c r="BN26" i="5" a="1"/>
  <c r="BN26" i="5" s="1"/>
  <c r="BN23" i="5" a="1"/>
  <c r="BN23" i="5" s="1"/>
  <c r="BN115" i="5" a="1"/>
  <c r="BN115" i="5" s="1"/>
  <c r="BN107" i="5" a="1"/>
  <c r="BN107" i="5" s="1"/>
  <c r="BN99" i="5" a="1"/>
  <c r="BN99" i="5" s="1"/>
  <c r="BN91" i="5" a="1"/>
  <c r="BN91" i="5" s="1"/>
  <c r="BN83" i="5" a="1"/>
  <c r="BN83" i="5" s="1"/>
  <c r="BN76" i="5" a="1"/>
  <c r="BN76" i="5" s="1"/>
  <c r="BN68" i="5" a="1"/>
  <c r="BN68" i="5" s="1"/>
  <c r="BN60" i="5" a="1"/>
  <c r="BN60" i="5" s="1"/>
  <c r="BN52" i="5" a="1"/>
  <c r="BN52" i="5" s="1"/>
  <c r="BN44" i="5" a="1"/>
  <c r="BN44" i="5" s="1"/>
  <c r="BN36" i="5" a="1"/>
  <c r="BN36" i="5" s="1"/>
  <c r="BN28" i="5" a="1"/>
  <c r="BN28" i="5" s="1"/>
  <c r="S72" i="5"/>
  <c r="Q12" i="5" a="1"/>
  <c r="Q12" i="5" s="1"/>
  <c r="Q16" i="5" a="1"/>
  <c r="Q16" i="5" s="1"/>
  <c r="BN25" i="5" a="1"/>
  <c r="BN25" i="5" s="1"/>
  <c r="S60" i="5"/>
  <c r="S48" i="5"/>
  <c r="R17" i="5" a="1"/>
  <c r="R17" i="5" s="1"/>
  <c r="R15" i="5" a="1"/>
  <c r="R15" i="5" s="1"/>
  <c r="R28" i="5" s="1"/>
  <c r="R13" i="5" a="1"/>
  <c r="R13" i="5" s="1"/>
  <c r="R11" i="5" a="1"/>
  <c r="R11" i="5" s="1"/>
  <c r="R24" i="5" s="1"/>
  <c r="R53" i="5" s="1"/>
  <c r="R9" i="5" a="1"/>
  <c r="R9" i="5" s="1"/>
  <c r="BN120" i="5" a="1"/>
  <c r="BN120" i="5" s="1"/>
  <c r="BN112" i="5" a="1"/>
  <c r="BN112" i="5" s="1"/>
  <c r="BN104" i="5" a="1"/>
  <c r="BN104" i="5" s="1"/>
  <c r="BN96" i="5" a="1"/>
  <c r="BN96" i="5" s="1"/>
  <c r="BN88" i="5" a="1"/>
  <c r="BN88" i="5" s="1"/>
  <c r="BN81" i="5" a="1"/>
  <c r="BN81" i="5" s="1"/>
  <c r="BN73" i="5" a="1"/>
  <c r="BN73" i="5" s="1"/>
  <c r="BN65" i="5" a="1"/>
  <c r="BN65" i="5" s="1"/>
  <c r="BN57" i="5" a="1"/>
  <c r="BN57" i="5" s="1"/>
  <c r="BN49" i="5" a="1"/>
  <c r="BN49" i="5" s="1"/>
  <c r="BN41" i="5" a="1"/>
  <c r="BN41" i="5" s="1"/>
  <c r="BN33" i="5" a="1"/>
  <c r="BN33" i="5" s="1"/>
  <c r="BN22" i="5" a="1"/>
  <c r="BN22" i="5" s="1"/>
  <c r="BN19" i="5" a="1"/>
  <c r="BN19" i="5" s="1"/>
  <c r="BN113" i="5" a="1"/>
  <c r="BN113" i="5" s="1"/>
  <c r="BN105" i="5" a="1"/>
  <c r="BN105" i="5" s="1"/>
  <c r="BN97" i="5" a="1"/>
  <c r="BN97" i="5" s="1"/>
  <c r="BN89" i="5" a="1"/>
  <c r="BN89" i="5" s="1"/>
  <c r="BN74" i="5" a="1"/>
  <c r="BN74" i="5" s="1"/>
  <c r="BN66" i="5" a="1"/>
  <c r="BN66" i="5" s="1"/>
  <c r="BN58" i="5" a="1"/>
  <c r="BN58" i="5" s="1"/>
  <c r="BN50" i="5" a="1"/>
  <c r="BN50" i="5" s="1"/>
  <c r="BN42" i="5" a="1"/>
  <c r="BN42" i="5" s="1"/>
  <c r="BN34" i="5" a="1"/>
  <c r="BN34" i="5" s="1"/>
  <c r="BN24" i="5" a="1"/>
  <c r="BN24" i="5" s="1"/>
  <c r="Q9" i="5" a="1"/>
  <c r="Q9" i="5" s="1"/>
  <c r="Q13" i="5" a="1"/>
  <c r="Q13" i="5" s="1"/>
  <c r="Q17" i="5" a="1"/>
  <c r="Q17" i="5" s="1"/>
  <c r="Q51" i="5"/>
  <c r="P16" i="5" a="1"/>
  <c r="P16" i="5" s="1"/>
  <c r="P12" i="5" a="1"/>
  <c r="P12" i="5" s="1"/>
  <c r="P15" i="5" a="1"/>
  <c r="P15" i="5" s="1"/>
  <c r="P11" i="5" a="1"/>
  <c r="P11" i="5" s="1"/>
  <c r="D11" i="5" a="1"/>
  <c r="D11" i="5" s="1"/>
  <c r="E14" i="5" a="1"/>
  <c r="E14" i="5" s="1"/>
  <c r="F17" i="5" a="1"/>
  <c r="F17" i="5" s="1"/>
  <c r="C18" i="5" a="1"/>
  <c r="C18" i="5" s="1"/>
  <c r="D12" i="5" a="1"/>
  <c r="D12" i="5" s="1"/>
  <c r="E15" i="5" a="1"/>
  <c r="E15" i="5" s="1"/>
  <c r="F18" i="5" a="1"/>
  <c r="F18" i="5" s="1"/>
  <c r="D9" i="5" a="1"/>
  <c r="D9" i="5" s="1"/>
  <c r="E12" i="5" a="1"/>
  <c r="E12" i="5" s="1"/>
  <c r="F15" i="5" a="1"/>
  <c r="F15" i="5" s="1"/>
  <c r="G18" i="5" a="1"/>
  <c r="G18" i="5" s="1"/>
  <c r="D10" i="5" a="1"/>
  <c r="D10" i="5" s="1"/>
  <c r="E13" i="5" a="1"/>
  <c r="E13" i="5" s="1"/>
  <c r="F16" i="5" a="1"/>
  <c r="F16" i="5" s="1"/>
  <c r="C13" i="5" a="1"/>
  <c r="C13" i="5" s="1"/>
  <c r="E10" i="5" a="1"/>
  <c r="E10" i="5" s="1"/>
  <c r="F13" i="5" a="1"/>
  <c r="F13" i="5" s="1"/>
  <c r="G16" i="5" a="1"/>
  <c r="G16" i="5" s="1"/>
  <c r="C14" i="5" a="1"/>
  <c r="C14" i="5" s="1"/>
  <c r="E11" i="5" a="1"/>
  <c r="E11" i="5" s="1"/>
  <c r="F14" i="5" a="1"/>
  <c r="F14" i="5" s="1"/>
  <c r="G17" i="5" a="1"/>
  <c r="G17" i="5" s="1"/>
  <c r="C9" i="5" a="1"/>
  <c r="C9" i="5" s="1"/>
  <c r="F11" i="5" a="1"/>
  <c r="F11" i="5" s="1"/>
  <c r="G14" i="5" a="1"/>
  <c r="G14" i="5" s="1"/>
  <c r="H17" i="5" a="1"/>
  <c r="H17" i="5" s="1"/>
  <c r="E9" i="5" a="1"/>
  <c r="E9" i="5" s="1"/>
  <c r="F12" i="5" a="1"/>
  <c r="F12" i="5" s="1"/>
  <c r="G15" i="5" a="1"/>
  <c r="G15" i="5" s="1"/>
  <c r="H18" i="5" a="1"/>
  <c r="H18" i="5" s="1"/>
  <c r="BG11" i="5" a="1"/>
  <c r="BG11" i="5" s="1"/>
  <c r="BG15" i="5" a="1"/>
  <c r="BG15" i="5" s="1"/>
  <c r="BI10" i="5" a="1"/>
  <c r="BI10" i="5" s="1"/>
  <c r="BI12" i="5" a="1"/>
  <c r="BI12" i="5" s="1"/>
  <c r="BI14" i="5" a="1"/>
  <c r="BI14" i="5" s="1"/>
  <c r="BF13" i="5" a="1"/>
  <c r="BF13" i="5" s="1"/>
  <c r="AY11" i="5" a="1"/>
  <c r="AY11" i="5" s="1"/>
  <c r="AY13" i="5" a="1"/>
  <c r="AY13" i="5" s="1"/>
  <c r="AY15" i="5" a="1"/>
  <c r="AY15" i="5" s="1"/>
  <c r="AX15" i="5" a="1"/>
  <c r="AX15" i="5" s="1"/>
  <c r="BJ11" i="5" a="1"/>
  <c r="BJ11" i="5" s="1"/>
  <c r="BJ13" i="5" a="1"/>
  <c r="BJ13" i="5" s="1"/>
  <c r="BJ15" i="5" a="1"/>
  <c r="BJ15" i="5" s="1"/>
  <c r="AZ10" i="5" a="1"/>
  <c r="AZ10" i="5" s="1"/>
  <c r="AZ12" i="5" a="1"/>
  <c r="AZ12" i="5" s="1"/>
  <c r="AZ14" i="5" a="1"/>
  <c r="AZ14" i="5" s="1"/>
  <c r="AX12" i="5" a="1"/>
  <c r="AX12" i="5" s="1"/>
  <c r="BG10" i="5" a="1"/>
  <c r="BG10" i="5" s="1"/>
  <c r="BG14" i="5" a="1"/>
  <c r="BG14" i="5" s="1"/>
  <c r="BA10" i="5" a="1"/>
  <c r="BA10" i="5" s="1"/>
  <c r="BA12" i="5" a="1"/>
  <c r="BA12" i="5" s="1"/>
  <c r="BA14" i="5" a="1"/>
  <c r="BA14" i="5" s="1"/>
  <c r="AX13" i="5" a="1"/>
  <c r="AX13" i="5" s="1"/>
  <c r="BH11" i="5" a="1"/>
  <c r="BH11" i="5" s="1"/>
  <c r="BH13" i="5" a="1"/>
  <c r="BH13" i="5" s="1"/>
  <c r="BH15" i="5" a="1"/>
  <c r="BH15" i="5" s="1"/>
  <c r="BF10" i="5" a="1"/>
  <c r="BF10" i="5" s="1"/>
  <c r="BB11" i="5" a="1"/>
  <c r="BB11" i="5" s="1"/>
  <c r="BB13" i="5" a="1"/>
  <c r="BB13" i="5" s="1"/>
  <c r="BB15" i="5" a="1"/>
  <c r="BB15" i="5" s="1"/>
  <c r="AJ16" i="5"/>
  <c r="AT16" i="5"/>
  <c r="AI16" i="5"/>
  <c r="AS16" i="5"/>
  <c r="BN18" i="5" a="1"/>
  <c r="BN18" i="5" s="1"/>
  <c r="BN118" i="5" a="1"/>
  <c r="BN118" i="5" s="1"/>
  <c r="BN110" i="5" a="1"/>
  <c r="BN110" i="5" s="1"/>
  <c r="BN102" i="5" a="1"/>
  <c r="BN102" i="5" s="1"/>
  <c r="BN94" i="5" a="1"/>
  <c r="BN94" i="5" s="1"/>
  <c r="BN86" i="5" a="1"/>
  <c r="BN86" i="5" s="1"/>
  <c r="BN79" i="5" a="1"/>
  <c r="BN79" i="5" s="1"/>
  <c r="BN71" i="5" a="1"/>
  <c r="BN71" i="5" s="1"/>
  <c r="BN63" i="5" a="1"/>
  <c r="BN63" i="5" s="1"/>
  <c r="BN55" i="5" a="1"/>
  <c r="BN55" i="5" s="1"/>
  <c r="BN47" i="5" a="1"/>
  <c r="BN47" i="5" s="1"/>
  <c r="BN39" i="5" a="1"/>
  <c r="BN39" i="5" s="1"/>
  <c r="BN31" i="5" a="1"/>
  <c r="BN31" i="5" s="1"/>
  <c r="BN20" i="5" a="1"/>
  <c r="BN20" i="5" s="1"/>
  <c r="BN119" i="5" a="1"/>
  <c r="BN119" i="5" s="1"/>
  <c r="BN111" i="5" a="1"/>
  <c r="BN111" i="5" s="1"/>
  <c r="BN103" i="5" a="1"/>
  <c r="BN103" i="5" s="1"/>
  <c r="BN95" i="5" a="1"/>
  <c r="BN95" i="5" s="1"/>
  <c r="BN87" i="5" a="1"/>
  <c r="BN87" i="5" s="1"/>
  <c r="BN80" i="5" a="1"/>
  <c r="BN80" i="5" s="1"/>
  <c r="BN72" i="5" a="1"/>
  <c r="BN72" i="5" s="1"/>
  <c r="BN64" i="5" a="1"/>
  <c r="BN64" i="5" s="1"/>
  <c r="BN56" i="5" a="1"/>
  <c r="BN56" i="5" s="1"/>
  <c r="BN48" i="5" a="1"/>
  <c r="BN48" i="5" s="1"/>
  <c r="BN40" i="5" a="1"/>
  <c r="BN40" i="5" s="1"/>
  <c r="BN32" i="5" a="1"/>
  <c r="BN32" i="5" s="1"/>
  <c r="R66" i="5"/>
  <c r="Q10" i="5" a="1"/>
  <c r="Q10" i="5" s="1"/>
  <c r="Q23" i="5" s="1"/>
  <c r="Q50" i="5" s="1"/>
  <c r="Q14" i="5" a="1"/>
  <c r="Q14" i="5" s="1"/>
  <c r="Q18" i="5" a="1"/>
  <c r="Q18" i="5" s="1"/>
  <c r="S9" i="5" a="1"/>
  <c r="S9" i="5" s="1"/>
  <c r="S10" i="5" a="1"/>
  <c r="S10" i="5" s="1"/>
  <c r="S23" i="5" s="1"/>
  <c r="S50" i="5" s="1"/>
  <c r="S11" i="5" a="1"/>
  <c r="S11" i="5" s="1"/>
  <c r="S24" i="5" s="1"/>
  <c r="S53" i="5" s="1"/>
  <c r="S12" i="5" a="1"/>
  <c r="S12" i="5" s="1"/>
  <c r="S25" i="5" s="1"/>
  <c r="S13" i="5" a="1"/>
  <c r="S13" i="5" s="1"/>
  <c r="S26" i="5" s="1"/>
  <c r="S14" i="5" a="1"/>
  <c r="S14" i="5" s="1"/>
  <c r="S27" i="5" s="1"/>
  <c r="S15" i="5" a="1"/>
  <c r="S15" i="5" s="1"/>
  <c r="S16" i="5" a="1"/>
  <c r="S16" i="5" s="1"/>
  <c r="S29" i="5" s="1"/>
  <c r="S17" i="5" a="1"/>
  <c r="S17" i="5" s="1"/>
  <c r="S30" i="5" s="1"/>
  <c r="S18" i="5" a="1"/>
  <c r="S18" i="5" s="1"/>
  <c r="S31" i="5" s="1"/>
  <c r="AI23" i="5" l="1"/>
  <c r="AK27" i="5"/>
  <c r="AP23" i="5"/>
  <c r="AH27" i="5"/>
  <c r="AS28" i="5"/>
  <c r="AP27" i="5"/>
  <c r="AJ27" i="5"/>
  <c r="AS23" i="5"/>
  <c r="AL27" i="5"/>
  <c r="AJ26" i="5"/>
  <c r="AS25" i="5"/>
  <c r="AH26" i="5"/>
  <c r="AK26" i="5"/>
  <c r="AP26" i="5"/>
  <c r="AI28" i="5"/>
  <c r="AQ26" i="5"/>
  <c r="AT26" i="5"/>
  <c r="AP24" i="5"/>
  <c r="AJ25" i="5"/>
  <c r="AK25" i="5"/>
  <c r="AR24" i="5"/>
  <c r="AQ28" i="5"/>
  <c r="AT28" i="5"/>
  <c r="AJ28" i="5"/>
  <c r="AK28" i="5"/>
  <c r="AR23" i="5"/>
  <c r="AL24" i="5"/>
  <c r="AI25" i="5"/>
  <c r="AQ23" i="5"/>
  <c r="AR26" i="5"/>
  <c r="AL23" i="5"/>
  <c r="AI24" i="5"/>
  <c r="AP28" i="5"/>
  <c r="AR27" i="5"/>
  <c r="AH28" i="5"/>
  <c r="AS24" i="5"/>
  <c r="AR25" i="5"/>
  <c r="AL26" i="5"/>
  <c r="AQ25" i="5"/>
  <c r="AT25" i="5"/>
  <c r="S28" i="5"/>
  <c r="AH24" i="5"/>
  <c r="AH25" i="5"/>
  <c r="AS27" i="5"/>
  <c r="AQ24" i="5"/>
  <c r="AJ24" i="5"/>
  <c r="AQ27" i="5"/>
  <c r="X25" i="5"/>
  <c r="O57" i="5" s="1"/>
  <c r="Y25" i="5"/>
  <c r="P57" i="5" s="1"/>
  <c r="Y30" i="5"/>
  <c r="P72" i="5" s="1"/>
  <c r="X30" i="5"/>
  <c r="O72" i="5" s="1"/>
  <c r="Y24" i="5"/>
  <c r="P54" i="5" s="1"/>
  <c r="X24" i="5"/>
  <c r="O54" i="5" s="1"/>
  <c r="Y26" i="5"/>
  <c r="P60" i="5" s="1"/>
  <c r="X26" i="5"/>
  <c r="O60" i="5" s="1"/>
  <c r="X31" i="5"/>
  <c r="O75" i="5" s="1"/>
  <c r="Y31" i="5"/>
  <c r="P75" i="5" s="1"/>
  <c r="AA23" i="5"/>
  <c r="R51" i="5" s="1"/>
  <c r="AA31" i="5"/>
  <c r="Z27" i="5"/>
  <c r="Z22" i="5"/>
  <c r="Q48" i="5" s="1"/>
  <c r="Z26" i="5"/>
  <c r="AA29" i="5"/>
  <c r="R69" i="5" s="1"/>
  <c r="AA26" i="5"/>
  <c r="R60" i="5" s="1"/>
  <c r="Y22" i="5"/>
  <c r="P48" i="5" s="1"/>
  <c r="X22" i="5"/>
  <c r="O48" i="5" s="1"/>
  <c r="X27" i="5"/>
  <c r="O63" i="5" s="1"/>
  <c r="Y27" i="5"/>
  <c r="P63" i="5" s="1"/>
  <c r="X29" i="5"/>
  <c r="O69" i="5" s="1"/>
  <c r="Y29" i="5"/>
  <c r="P69" i="5" s="1"/>
  <c r="X23" i="5"/>
  <c r="O51" i="5" s="1"/>
  <c r="Y23" i="5"/>
  <c r="P51" i="5" s="1"/>
  <c r="Y28" i="5"/>
  <c r="P66" i="5" s="1"/>
  <c r="X28" i="5"/>
  <c r="O66" i="5" s="1"/>
  <c r="AU16" i="5"/>
  <c r="AR29" i="5" s="1"/>
  <c r="AM16" i="5"/>
  <c r="AI29" i="5" s="1"/>
  <c r="Z24" i="5"/>
  <c r="Z30" i="5"/>
  <c r="Q72" i="5" s="1"/>
  <c r="AA24" i="5"/>
  <c r="R54" i="5" s="1"/>
  <c r="Z28" i="5"/>
  <c r="Q66" i="5" s="1"/>
  <c r="Z25" i="5"/>
  <c r="AA25" i="5"/>
  <c r="R57" i="5" s="1"/>
  <c r="AA22" i="5"/>
  <c r="AA30" i="5"/>
  <c r="R72" i="5" s="1"/>
  <c r="S22" i="5"/>
  <c r="R26" i="5"/>
  <c r="Q27" i="5"/>
  <c r="Q62" i="5" s="1"/>
  <c r="O24" i="5"/>
  <c r="O53" i="5" s="1"/>
  <c r="P24" i="5"/>
  <c r="P53" i="5" s="1"/>
  <c r="P25" i="5"/>
  <c r="P56" i="5" s="1"/>
  <c r="O25" i="5"/>
  <c r="O56" i="5" s="1"/>
  <c r="R59" i="5"/>
  <c r="Q26" i="5"/>
  <c r="O26" i="5"/>
  <c r="O59" i="5" s="1"/>
  <c r="P26" i="5"/>
  <c r="P59" i="5" s="1"/>
  <c r="P27" i="5"/>
  <c r="P62" i="5" s="1"/>
  <c r="O27" i="5"/>
  <c r="O62" i="5" s="1"/>
  <c r="P23" i="5"/>
  <c r="P50" i="5" s="1"/>
  <c r="O23" i="5"/>
  <c r="O50" i="5" s="1"/>
  <c r="Q25" i="5"/>
  <c r="Q56" i="5" s="1"/>
  <c r="Q28" i="5"/>
  <c r="Q65" i="5" s="1"/>
  <c r="R25" i="5"/>
  <c r="R56" i="5" s="1"/>
  <c r="R29" i="5"/>
  <c r="R68" i="5" s="1"/>
  <c r="O22" i="5"/>
  <c r="O47" i="5" s="1"/>
  <c r="Q31" i="5"/>
  <c r="O28" i="5"/>
  <c r="O65" i="5" s="1"/>
  <c r="P28" i="5"/>
  <c r="P65" i="5" s="1"/>
  <c r="P29" i="5"/>
  <c r="P68" i="5" s="1"/>
  <c r="O29" i="5"/>
  <c r="O68" i="5" s="1"/>
  <c r="Q30" i="5"/>
  <c r="Q71" i="5" s="1"/>
  <c r="Q22" i="5"/>
  <c r="Q47" i="5" s="1"/>
  <c r="O30" i="5"/>
  <c r="P30" i="5"/>
  <c r="P71" i="5" s="1"/>
  <c r="P31" i="5"/>
  <c r="P74" i="5" s="1"/>
  <c r="O31" i="5"/>
  <c r="O74" i="5" s="1"/>
  <c r="O71" i="5"/>
  <c r="R22" i="5"/>
  <c r="R47" i="5" s="1"/>
  <c r="R30" i="5"/>
  <c r="R71" i="5" s="1"/>
  <c r="Q29" i="5"/>
  <c r="Q68" i="5" s="1"/>
  <c r="Q24" i="5"/>
  <c r="Q53" i="5" s="1"/>
  <c r="R23" i="5"/>
  <c r="R50" i="5" s="1"/>
  <c r="R27" i="5"/>
  <c r="R62" i="5" s="1"/>
  <c r="R31" i="5"/>
  <c r="R74" i="5" s="1"/>
  <c r="CU4" i="5"/>
  <c r="C6" i="10" s="1"/>
  <c r="S65" i="5"/>
  <c r="CU5" i="5"/>
  <c r="C7" i="10" s="1"/>
  <c r="CU3" i="5"/>
  <c r="C5" i="10" s="1"/>
  <c r="CU6" i="5"/>
  <c r="C8" i="10" s="1"/>
  <c r="CU7" i="5"/>
  <c r="C9" i="10" s="1"/>
  <c r="BN7" i="5"/>
  <c r="Q75" i="5"/>
  <c r="BR40" i="5"/>
  <c r="BR56" i="5"/>
  <c r="BR72" i="5"/>
  <c r="BR87" i="5"/>
  <c r="BR103" i="5"/>
  <c r="BR119" i="5"/>
  <c r="BR31" i="5"/>
  <c r="BR47" i="5"/>
  <c r="BR63" i="5"/>
  <c r="BR79" i="5"/>
  <c r="BR94" i="5"/>
  <c r="BR110" i="5"/>
  <c r="BR18" i="5"/>
  <c r="BR24" i="5"/>
  <c r="BR42" i="5"/>
  <c r="BR58" i="5"/>
  <c r="BR74" i="5"/>
  <c r="BR97" i="5"/>
  <c r="BR113" i="5"/>
  <c r="BR22" i="5"/>
  <c r="BR41" i="5"/>
  <c r="BR57" i="5"/>
  <c r="BR73" i="5"/>
  <c r="BR88" i="5"/>
  <c r="BR104" i="5"/>
  <c r="BR120" i="5"/>
  <c r="BR25" i="5"/>
  <c r="BR36" i="5"/>
  <c r="BR52" i="5"/>
  <c r="BR68" i="5"/>
  <c r="BR83" i="5"/>
  <c r="BR99" i="5"/>
  <c r="BR115" i="5"/>
  <c r="BR26" i="5"/>
  <c r="BR43" i="5"/>
  <c r="BR59" i="5"/>
  <c r="BR75" i="5"/>
  <c r="BR90" i="5"/>
  <c r="BR106" i="5"/>
  <c r="BR21" i="5"/>
  <c r="BR30" i="5"/>
  <c r="BR46" i="5"/>
  <c r="BR62" i="5"/>
  <c r="BR78" i="5"/>
  <c r="BR93" i="5"/>
  <c r="BR109" i="5"/>
  <c r="BR27" i="5"/>
  <c r="BR37" i="5"/>
  <c r="BR53" i="5"/>
  <c r="BR69" i="5"/>
  <c r="BR84" i="5"/>
  <c r="BR100" i="5"/>
  <c r="BR116" i="5"/>
  <c r="BR32" i="5"/>
  <c r="BR48" i="5"/>
  <c r="BR64" i="5"/>
  <c r="BR80" i="5"/>
  <c r="BR95" i="5"/>
  <c r="BR111" i="5"/>
  <c r="BR20" i="5"/>
  <c r="BR39" i="5"/>
  <c r="BR55" i="5"/>
  <c r="BR71" i="5"/>
  <c r="BR86" i="5"/>
  <c r="BR102" i="5"/>
  <c r="BR118" i="5"/>
  <c r="BR34" i="5"/>
  <c r="BR50" i="5"/>
  <c r="BR66" i="5"/>
  <c r="BR89" i="5"/>
  <c r="BR105" i="5"/>
  <c r="BR19" i="5"/>
  <c r="BR33" i="5"/>
  <c r="BR49" i="5"/>
  <c r="BR65" i="5"/>
  <c r="BR81" i="5"/>
  <c r="BR96" i="5"/>
  <c r="BR112" i="5"/>
  <c r="BR28" i="5"/>
  <c r="BR44" i="5"/>
  <c r="BR60" i="5"/>
  <c r="BR76" i="5"/>
  <c r="BR91" i="5"/>
  <c r="BR107" i="5"/>
  <c r="BR23" i="5"/>
  <c r="BR35" i="5"/>
  <c r="BR51" i="5"/>
  <c r="BR67" i="5"/>
  <c r="BR82" i="5"/>
  <c r="BR98" i="5"/>
  <c r="BR114" i="5"/>
  <c r="BR38" i="5"/>
  <c r="BR54" i="5"/>
  <c r="BR70" i="5"/>
  <c r="BR85" i="5"/>
  <c r="BR101" i="5"/>
  <c r="BR117" i="5"/>
  <c r="BR29" i="5"/>
  <c r="BR45" i="5"/>
  <c r="BR61" i="5"/>
  <c r="BR77" i="5"/>
  <c r="BR92" i="5"/>
  <c r="BR108" i="5"/>
  <c r="R48" i="5"/>
  <c r="BA16" i="5"/>
  <c r="BG16" i="5"/>
  <c r="AZ16" i="5"/>
  <c r="I18" i="5"/>
  <c r="Q63" i="5"/>
  <c r="BB16" i="5"/>
  <c r="BH16" i="5"/>
  <c r="AX16" i="5"/>
  <c r="I16" i="5"/>
  <c r="I15" i="5"/>
  <c r="I10" i="5"/>
  <c r="Q59" i="5"/>
  <c r="Q54" i="5"/>
  <c r="Q74" i="5"/>
  <c r="Q69" i="5"/>
  <c r="R63" i="5"/>
  <c r="S56" i="5"/>
  <c r="S68" i="5"/>
  <c r="S51" i="5"/>
  <c r="S63" i="5"/>
  <c r="S75" i="5"/>
  <c r="BI16" i="5"/>
  <c r="I9" i="5"/>
  <c r="I14" i="5"/>
  <c r="I13" i="5"/>
  <c r="Q60" i="5"/>
  <c r="S47" i="5"/>
  <c r="S59" i="5"/>
  <c r="S71" i="5"/>
  <c r="S54" i="5"/>
  <c r="S66" i="5"/>
  <c r="BJ16" i="5"/>
  <c r="AY16" i="5"/>
  <c r="I17" i="5"/>
  <c r="I12" i="5"/>
  <c r="I11" i="5"/>
  <c r="Q57" i="5"/>
  <c r="R65" i="5"/>
  <c r="R75" i="5"/>
  <c r="S62" i="5"/>
  <c r="S74" i="5"/>
  <c r="S57" i="5"/>
  <c r="S69" i="5"/>
  <c r="BF16" i="5"/>
  <c r="F40" i="5"/>
  <c r="E37" i="5"/>
  <c r="G41" i="5"/>
  <c r="D46" i="5"/>
  <c r="F39" i="5"/>
  <c r="H43" i="5"/>
  <c r="G44" i="5"/>
  <c r="H44" i="5"/>
  <c r="E38" i="5"/>
  <c r="G42" i="5"/>
  <c r="F42" i="5"/>
  <c r="H46" i="5"/>
  <c r="D44" i="5"/>
  <c r="F37" i="5"/>
  <c r="F38" i="5"/>
  <c r="H42" i="5"/>
  <c r="F44" i="5"/>
  <c r="H37" i="5"/>
  <c r="F43" i="5"/>
  <c r="G37" i="5"/>
  <c r="D42" i="5"/>
  <c r="E41" i="5"/>
  <c r="G46" i="5"/>
  <c r="H40" i="5"/>
  <c r="E45" i="5"/>
  <c r="F41" i="5"/>
  <c r="E44" i="5"/>
  <c r="D37" i="5"/>
  <c r="D43" i="5"/>
  <c r="H45" i="5"/>
  <c r="H39" i="5"/>
  <c r="E39" i="5"/>
  <c r="E40" i="5"/>
  <c r="G40" i="5"/>
  <c r="G39" i="5"/>
  <c r="D38" i="5"/>
  <c r="E42" i="5"/>
  <c r="D40" i="5"/>
  <c r="D41" i="5"/>
  <c r="G45" i="5"/>
  <c r="F46" i="5"/>
  <c r="G43" i="5"/>
  <c r="H38" i="5"/>
  <c r="D45" i="5"/>
  <c r="F45" i="5"/>
  <c r="D39" i="5"/>
  <c r="E43" i="5"/>
  <c r="E46" i="5"/>
  <c r="G38" i="5"/>
  <c r="H41" i="5"/>
  <c r="AP29" i="5" l="1"/>
  <c r="AS29" i="5"/>
  <c r="AL29" i="5"/>
  <c r="AQ29" i="5"/>
  <c r="AK29" i="5"/>
  <c r="AT29" i="5"/>
  <c r="AH29" i="5"/>
  <c r="AJ29" i="5"/>
  <c r="BS108" i="5"/>
  <c r="BS92" i="5"/>
  <c r="BS77" i="5"/>
  <c r="BS61" i="5"/>
  <c r="BS45" i="5"/>
  <c r="BS29" i="5"/>
  <c r="BS117" i="5"/>
  <c r="BS101" i="5"/>
  <c r="BS85" i="5"/>
  <c r="BS70" i="5"/>
  <c r="BS54" i="5"/>
  <c r="BS38" i="5"/>
  <c r="BS114" i="5"/>
  <c r="BS98" i="5"/>
  <c r="BS82" i="5"/>
  <c r="BS67" i="5"/>
  <c r="BS51" i="5"/>
  <c r="BS35" i="5"/>
  <c r="BS23" i="5"/>
  <c r="BS107" i="5"/>
  <c r="BS91" i="5"/>
  <c r="BS76" i="5"/>
  <c r="BS60" i="5"/>
  <c r="BS44" i="5"/>
  <c r="BS28" i="5"/>
  <c r="BS112" i="5"/>
  <c r="BS96" i="5"/>
  <c r="BS81" i="5"/>
  <c r="BS65" i="5"/>
  <c r="BS49" i="5"/>
  <c r="BS33" i="5"/>
  <c r="BS19" i="5"/>
  <c r="BS105" i="5"/>
  <c r="BS89" i="5"/>
  <c r="BS66" i="5"/>
  <c r="BS50" i="5"/>
  <c r="BS34" i="5"/>
  <c r="BS118" i="5"/>
  <c r="BS102" i="5"/>
  <c r="BS86" i="5"/>
  <c r="BS71" i="5"/>
  <c r="BS55" i="5"/>
  <c r="BS39" i="5"/>
  <c r="BS20" i="5"/>
  <c r="BS111" i="5"/>
  <c r="BS95" i="5"/>
  <c r="BS80" i="5"/>
  <c r="BS64" i="5"/>
  <c r="BS48" i="5"/>
  <c r="BS32" i="5"/>
  <c r="BS116" i="5"/>
  <c r="BS100" i="5"/>
  <c r="BS84" i="5"/>
  <c r="BS69" i="5"/>
  <c r="BS53" i="5"/>
  <c r="BS37" i="5"/>
  <c r="BS27" i="5"/>
  <c r="BS109" i="5"/>
  <c r="BS93" i="5"/>
  <c r="BS78" i="5"/>
  <c r="BS62" i="5"/>
  <c r="BS46" i="5"/>
  <c r="BS30" i="5"/>
  <c r="BS21" i="5"/>
  <c r="BS106" i="5"/>
  <c r="BS90" i="5"/>
  <c r="BS75" i="5"/>
  <c r="BS59" i="5"/>
  <c r="BS43" i="5"/>
  <c r="BS26" i="5"/>
  <c r="BS115" i="5"/>
  <c r="BS99" i="5"/>
  <c r="BS83" i="5"/>
  <c r="BS68" i="5"/>
  <c r="BS52" i="5"/>
  <c r="BS36" i="5"/>
  <c r="BS25" i="5"/>
  <c r="BS120" i="5"/>
  <c r="BS104" i="5"/>
  <c r="BS88" i="5"/>
  <c r="BS73" i="5"/>
  <c r="BS57" i="5"/>
  <c r="BS41" i="5"/>
  <c r="BS22" i="5"/>
  <c r="BS113" i="5"/>
  <c r="BS97" i="5"/>
  <c r="BS74" i="5"/>
  <c r="BS58" i="5"/>
  <c r="BS42" i="5"/>
  <c r="BS24" i="5"/>
  <c r="BS18" i="5"/>
  <c r="BS110" i="5"/>
  <c r="BS94" i="5"/>
  <c r="BS79" i="5"/>
  <c r="BS63" i="5"/>
  <c r="BS47" i="5"/>
  <c r="BS31" i="5"/>
  <c r="BS119" i="5"/>
  <c r="BS103" i="5"/>
  <c r="BS87" i="5"/>
  <c r="BS72" i="5"/>
  <c r="BS56" i="5"/>
  <c r="BS40" i="5"/>
  <c r="G47" i="5" a="1"/>
  <c r="G47" i="5" s="1"/>
  <c r="H47" i="5" a="1"/>
  <c r="H47" i="5" s="1"/>
  <c r="E47" i="5" a="1"/>
  <c r="E47" i="5" s="1"/>
  <c r="D47" i="5" a="1"/>
  <c r="D47" i="5" s="1"/>
  <c r="F47" i="5" a="1"/>
  <c r="F47" i="5" s="1"/>
  <c r="C37" i="5"/>
  <c r="I37" i="5"/>
  <c r="I42" i="5"/>
  <c r="C42" i="5"/>
  <c r="C46" i="5"/>
  <c r="I46" i="5"/>
  <c r="C43" i="5"/>
  <c r="I43" i="5"/>
  <c r="I45" i="5"/>
  <c r="C45" i="5"/>
  <c r="I40" i="5"/>
  <c r="C40" i="5"/>
  <c r="C44" i="5"/>
  <c r="I44" i="5"/>
  <c r="I39" i="5"/>
  <c r="C39" i="5"/>
  <c r="I41" i="5"/>
  <c r="C41" i="5"/>
  <c r="C38" i="5"/>
  <c r="I38" i="5"/>
  <c r="AG34" i="5" l="1" a="1"/>
  <c r="BV18" i="5" a="1"/>
  <c r="BU18" i="5" a="1"/>
  <c r="BY18" i="5" a="1"/>
  <c r="BX18" i="5" a="1"/>
  <c r="BW18" i="5" a="1"/>
  <c r="I47" i="5" a="1"/>
  <c r="I47" i="5" s="1"/>
  <c r="AL6" i="10" s="1"/>
  <c r="C47" i="5" a="1"/>
  <c r="C47" i="5" s="1"/>
  <c r="AK34" i="5" l="1"/>
  <c r="AI37" i="5"/>
  <c r="AG40" i="5"/>
  <c r="AL34" i="5"/>
  <c r="AJ37" i="5"/>
  <c r="AH40" i="5"/>
  <c r="AG35" i="5"/>
  <c r="AK37" i="5"/>
  <c r="AI40" i="5"/>
  <c r="AH35" i="5"/>
  <c r="AL37" i="5"/>
  <c r="AJ40" i="5"/>
  <c r="AI35" i="5"/>
  <c r="AG38" i="5"/>
  <c r="AK40" i="5"/>
  <c r="AJ35" i="5"/>
  <c r="AH38" i="5"/>
  <c r="AL40" i="5"/>
  <c r="AK35" i="5"/>
  <c r="AI38" i="5"/>
  <c r="AG41" i="5"/>
  <c r="AL35" i="5"/>
  <c r="AJ38" i="5"/>
  <c r="AH41" i="5"/>
  <c r="AG36" i="5"/>
  <c r="AK38" i="5"/>
  <c r="AI41" i="5"/>
  <c r="AH36" i="5"/>
  <c r="AL38" i="5"/>
  <c r="AJ41" i="5"/>
  <c r="AI36" i="5"/>
  <c r="AG39" i="5"/>
  <c r="AK41" i="5"/>
  <c r="AJ36" i="5"/>
  <c r="AH39" i="5"/>
  <c r="AL41" i="5"/>
  <c r="AG34" i="5"/>
  <c r="AK36" i="5"/>
  <c r="AI39" i="5"/>
  <c r="AH34" i="5"/>
  <c r="AL36" i="5"/>
  <c r="AJ39" i="5"/>
  <c r="AI34" i="5"/>
  <c r="AG37" i="5"/>
  <c r="AK39" i="5"/>
  <c r="AJ34" i="5"/>
  <c r="AH37" i="5"/>
  <c r="AL39" i="5"/>
  <c r="BY111" i="5"/>
  <c r="BY95" i="5"/>
  <c r="BY79" i="5"/>
  <c r="BY63" i="5"/>
  <c r="BY47" i="5"/>
  <c r="BY31" i="5"/>
  <c r="BY118" i="5"/>
  <c r="BY102" i="5"/>
  <c r="BY86" i="5"/>
  <c r="BY70" i="5"/>
  <c r="BY54" i="5"/>
  <c r="BY38" i="5"/>
  <c r="BY22" i="5"/>
  <c r="BY89" i="5"/>
  <c r="BY57" i="5"/>
  <c r="BY25" i="5"/>
  <c r="BY96" i="5"/>
  <c r="BY64" i="5"/>
  <c r="BY32" i="5"/>
  <c r="BY101" i="5"/>
  <c r="BY69" i="5"/>
  <c r="BY37" i="5"/>
  <c r="BY108" i="5"/>
  <c r="BY76" i="5"/>
  <c r="BY44" i="5"/>
  <c r="BY18" i="5"/>
  <c r="BY107" i="5"/>
  <c r="BY91" i="5"/>
  <c r="BY75" i="5"/>
  <c r="BY59" i="5"/>
  <c r="BY43" i="5"/>
  <c r="BY27" i="5"/>
  <c r="BY114" i="5"/>
  <c r="BY98" i="5"/>
  <c r="BY82" i="5"/>
  <c r="BY66" i="5"/>
  <c r="BY50" i="5"/>
  <c r="BY34" i="5"/>
  <c r="BY113" i="5"/>
  <c r="BY81" i="5"/>
  <c r="BY49" i="5"/>
  <c r="BY120" i="5"/>
  <c r="BY88" i="5"/>
  <c r="BY56" i="5"/>
  <c r="BY24" i="5"/>
  <c r="BY93" i="5"/>
  <c r="BY61" i="5"/>
  <c r="BY29" i="5"/>
  <c r="BY100" i="5"/>
  <c r="BY68" i="5"/>
  <c r="BY36" i="5"/>
  <c r="BY119" i="5"/>
  <c r="BY103" i="5"/>
  <c r="BY87" i="5"/>
  <c r="BY71" i="5"/>
  <c r="BY55" i="5"/>
  <c r="BY39" i="5"/>
  <c r="BY23" i="5"/>
  <c r="BY110" i="5"/>
  <c r="BY94" i="5"/>
  <c r="BY78" i="5"/>
  <c r="BY62" i="5"/>
  <c r="BY46" i="5"/>
  <c r="BY30" i="5"/>
  <c r="BY105" i="5"/>
  <c r="BY73" i="5"/>
  <c r="BY41" i="5"/>
  <c r="BY112" i="5"/>
  <c r="BY80" i="5"/>
  <c r="BY48" i="5"/>
  <c r="BY117" i="5"/>
  <c r="BY85" i="5"/>
  <c r="BY53" i="5"/>
  <c r="BY21" i="5"/>
  <c r="BY92" i="5"/>
  <c r="BY60" i="5"/>
  <c r="BY28" i="5"/>
  <c r="BY115" i="5"/>
  <c r="BY99" i="5"/>
  <c r="BY83" i="5"/>
  <c r="BY67" i="5"/>
  <c r="BY51" i="5"/>
  <c r="BY35" i="5"/>
  <c r="BY19" i="5"/>
  <c r="BY106" i="5"/>
  <c r="BY90" i="5"/>
  <c r="BY74" i="5"/>
  <c r="BY58" i="5"/>
  <c r="BY42" i="5"/>
  <c r="BY26" i="5"/>
  <c r="BY97" i="5"/>
  <c r="BY65" i="5"/>
  <c r="BY33" i="5"/>
  <c r="BY104" i="5"/>
  <c r="BY72" i="5"/>
  <c r="BY40" i="5"/>
  <c r="BY109" i="5"/>
  <c r="BY77" i="5"/>
  <c r="BY45" i="5"/>
  <c r="BY116" i="5"/>
  <c r="BY84" i="5"/>
  <c r="BY52" i="5"/>
  <c r="BY20" i="5"/>
  <c r="BV119" i="5"/>
  <c r="BV111" i="5"/>
  <c r="BV103" i="5"/>
  <c r="BV95" i="5"/>
  <c r="BV87" i="5"/>
  <c r="BV79" i="5"/>
  <c r="BV71" i="5"/>
  <c r="BV63" i="5"/>
  <c r="BV55" i="5"/>
  <c r="BV47" i="5"/>
  <c r="BV39" i="5"/>
  <c r="BV31" i="5"/>
  <c r="BV23" i="5"/>
  <c r="BV118" i="5"/>
  <c r="BV110" i="5"/>
  <c r="BV102" i="5"/>
  <c r="BV94" i="5"/>
  <c r="BV86" i="5"/>
  <c r="BV78" i="5"/>
  <c r="BV70" i="5"/>
  <c r="BV62" i="5"/>
  <c r="BV54" i="5"/>
  <c r="BV46" i="5"/>
  <c r="BV38" i="5"/>
  <c r="BV30" i="5"/>
  <c r="BV22" i="5"/>
  <c r="BV109" i="5"/>
  <c r="BV93" i="5"/>
  <c r="BV77" i="5"/>
  <c r="BV61" i="5"/>
  <c r="BV45" i="5"/>
  <c r="BV29" i="5"/>
  <c r="BV116" i="5"/>
  <c r="BV100" i="5"/>
  <c r="BV84" i="5"/>
  <c r="BV68" i="5"/>
  <c r="BV52" i="5"/>
  <c r="BV36" i="5"/>
  <c r="BV20" i="5"/>
  <c r="BV105" i="5"/>
  <c r="BV89" i="5"/>
  <c r="BV73" i="5"/>
  <c r="BV57" i="5"/>
  <c r="BV41" i="5"/>
  <c r="BV25" i="5"/>
  <c r="BV112" i="5"/>
  <c r="BV96" i="5"/>
  <c r="BV80" i="5"/>
  <c r="BV64" i="5"/>
  <c r="BV48" i="5"/>
  <c r="BV32" i="5"/>
  <c r="BV18" i="5"/>
  <c r="BV115" i="5"/>
  <c r="BV107" i="5"/>
  <c r="BV99" i="5"/>
  <c r="BV91" i="5"/>
  <c r="BV83" i="5"/>
  <c r="BV75" i="5"/>
  <c r="BV67" i="5"/>
  <c r="BV59" i="5"/>
  <c r="BV51" i="5"/>
  <c r="BV43" i="5"/>
  <c r="BV35" i="5"/>
  <c r="BV27" i="5"/>
  <c r="BV19" i="5"/>
  <c r="BV114" i="5"/>
  <c r="BV106" i="5"/>
  <c r="BV98" i="5"/>
  <c r="BV90" i="5"/>
  <c r="BV82" i="5"/>
  <c r="BV74" i="5"/>
  <c r="BV66" i="5"/>
  <c r="BV58" i="5"/>
  <c r="BV50" i="5"/>
  <c r="BV42" i="5"/>
  <c r="BV34" i="5"/>
  <c r="BV26" i="5"/>
  <c r="BV117" i="5"/>
  <c r="BV101" i="5"/>
  <c r="BV85" i="5"/>
  <c r="BV69" i="5"/>
  <c r="BV53" i="5"/>
  <c r="BV37" i="5"/>
  <c r="BV21" i="5"/>
  <c r="BV108" i="5"/>
  <c r="BV92" i="5"/>
  <c r="BV76" i="5"/>
  <c r="BV60" i="5"/>
  <c r="BV44" i="5"/>
  <c r="BV28" i="5"/>
  <c r="BV113" i="5"/>
  <c r="BV97" i="5"/>
  <c r="BV81" i="5"/>
  <c r="BV65" i="5"/>
  <c r="BV49" i="5"/>
  <c r="BV33" i="5"/>
  <c r="BV120" i="5"/>
  <c r="BV104" i="5"/>
  <c r="BV88" i="5"/>
  <c r="BV72" i="5"/>
  <c r="BV56" i="5"/>
  <c r="BV40" i="5"/>
  <c r="BV24" i="5"/>
  <c r="BW18" i="5"/>
  <c r="BW107" i="5"/>
  <c r="BW91" i="5"/>
  <c r="BW75" i="5"/>
  <c r="BW59" i="5"/>
  <c r="BW43" i="5"/>
  <c r="BW27" i="5"/>
  <c r="BW114" i="5"/>
  <c r="BW98" i="5"/>
  <c r="BW82" i="5"/>
  <c r="BW66" i="5"/>
  <c r="BW50" i="5"/>
  <c r="BW34" i="5"/>
  <c r="BW113" i="5"/>
  <c r="BW81" i="5"/>
  <c r="BW49" i="5"/>
  <c r="BW120" i="5"/>
  <c r="BW88" i="5"/>
  <c r="BW56" i="5"/>
  <c r="BW24" i="5"/>
  <c r="BW93" i="5"/>
  <c r="BW61" i="5"/>
  <c r="BW29" i="5"/>
  <c r="BW100" i="5"/>
  <c r="BW68" i="5"/>
  <c r="BW36" i="5"/>
  <c r="BW119" i="5"/>
  <c r="BW103" i="5"/>
  <c r="BW87" i="5"/>
  <c r="BW71" i="5"/>
  <c r="BW55" i="5"/>
  <c r="BW39" i="5"/>
  <c r="BW23" i="5"/>
  <c r="BW110" i="5"/>
  <c r="BW94" i="5"/>
  <c r="BW78" i="5"/>
  <c r="BW62" i="5"/>
  <c r="BW46" i="5"/>
  <c r="BW30" i="5"/>
  <c r="BW105" i="5"/>
  <c r="BW73" i="5"/>
  <c r="BW41" i="5"/>
  <c r="BW112" i="5"/>
  <c r="BW80" i="5"/>
  <c r="BW48" i="5"/>
  <c r="BW117" i="5"/>
  <c r="BW85" i="5"/>
  <c r="BW53" i="5"/>
  <c r="BW21" i="5"/>
  <c r="BW92" i="5"/>
  <c r="BW60" i="5"/>
  <c r="BW28" i="5"/>
  <c r="BW115" i="5"/>
  <c r="BW99" i="5"/>
  <c r="BW83" i="5"/>
  <c r="BW67" i="5"/>
  <c r="BW51" i="5"/>
  <c r="BW35" i="5"/>
  <c r="BW19" i="5"/>
  <c r="BW106" i="5"/>
  <c r="BW90" i="5"/>
  <c r="BW74" i="5"/>
  <c r="BW58" i="5"/>
  <c r="BW42" i="5"/>
  <c r="BW26" i="5"/>
  <c r="BW97" i="5"/>
  <c r="BW65" i="5"/>
  <c r="BW33" i="5"/>
  <c r="BW104" i="5"/>
  <c r="BW72" i="5"/>
  <c r="BW40" i="5"/>
  <c r="BW109" i="5"/>
  <c r="BW77" i="5"/>
  <c r="BW45" i="5"/>
  <c r="BW116" i="5"/>
  <c r="BW84" i="5"/>
  <c r="BW52" i="5"/>
  <c r="BW20" i="5"/>
  <c r="BW111" i="5"/>
  <c r="BW95" i="5"/>
  <c r="BW79" i="5"/>
  <c r="BW63" i="5"/>
  <c r="BW47" i="5"/>
  <c r="BW31" i="5"/>
  <c r="BW118" i="5"/>
  <c r="BW102" i="5"/>
  <c r="BW86" i="5"/>
  <c r="BW70" i="5"/>
  <c r="BW54" i="5"/>
  <c r="BW38" i="5"/>
  <c r="BW22" i="5"/>
  <c r="BW89" i="5"/>
  <c r="BW57" i="5"/>
  <c r="BW25" i="5"/>
  <c r="BW96" i="5"/>
  <c r="BW64" i="5"/>
  <c r="BW32" i="5"/>
  <c r="BW101" i="5"/>
  <c r="BW69" i="5"/>
  <c r="BW37" i="5"/>
  <c r="BW108" i="5"/>
  <c r="BW76" i="5"/>
  <c r="BW44" i="5"/>
  <c r="BX18" i="5"/>
  <c r="BX107" i="5"/>
  <c r="BX91" i="5"/>
  <c r="BX75" i="5"/>
  <c r="BX59" i="5"/>
  <c r="BX43" i="5"/>
  <c r="BX27" i="5"/>
  <c r="BX114" i="5"/>
  <c r="BX98" i="5"/>
  <c r="BX82" i="5"/>
  <c r="BX66" i="5"/>
  <c r="BX50" i="5"/>
  <c r="BX34" i="5"/>
  <c r="BX117" i="5"/>
  <c r="BX85" i="5"/>
  <c r="BX53" i="5"/>
  <c r="BX21" i="5"/>
  <c r="BX92" i="5"/>
  <c r="BX60" i="5"/>
  <c r="BX28" i="5"/>
  <c r="BX97" i="5"/>
  <c r="BX65" i="5"/>
  <c r="BX33" i="5"/>
  <c r="BX104" i="5"/>
  <c r="BX72" i="5"/>
  <c r="BX40" i="5"/>
  <c r="BX119" i="5"/>
  <c r="BX103" i="5"/>
  <c r="BX87" i="5"/>
  <c r="BX71" i="5"/>
  <c r="BX55" i="5"/>
  <c r="BX39" i="5"/>
  <c r="BX23" i="5"/>
  <c r="BX110" i="5"/>
  <c r="BX94" i="5"/>
  <c r="BX78" i="5"/>
  <c r="BX62" i="5"/>
  <c r="BX46" i="5"/>
  <c r="BX30" i="5"/>
  <c r="BX109" i="5"/>
  <c r="BX77" i="5"/>
  <c r="BX45" i="5"/>
  <c r="BX116" i="5"/>
  <c r="BX84" i="5"/>
  <c r="BX52" i="5"/>
  <c r="BX20" i="5"/>
  <c r="BX89" i="5"/>
  <c r="BX57" i="5"/>
  <c r="BX25" i="5"/>
  <c r="BX96" i="5"/>
  <c r="BX64" i="5"/>
  <c r="BX32" i="5"/>
  <c r="BX115" i="5"/>
  <c r="BX99" i="5"/>
  <c r="BX83" i="5"/>
  <c r="BX67" i="5"/>
  <c r="BX51" i="5"/>
  <c r="BX35" i="5"/>
  <c r="BX19" i="5"/>
  <c r="BX106" i="5"/>
  <c r="BX90" i="5"/>
  <c r="BX74" i="5"/>
  <c r="BX58" i="5"/>
  <c r="BX42" i="5"/>
  <c r="BX26" i="5"/>
  <c r="BX101" i="5"/>
  <c r="BX69" i="5"/>
  <c r="BX37" i="5"/>
  <c r="BX108" i="5"/>
  <c r="BX76" i="5"/>
  <c r="BX44" i="5"/>
  <c r="BX113" i="5"/>
  <c r="BX81" i="5"/>
  <c r="BX49" i="5"/>
  <c r="BX120" i="5"/>
  <c r="BX88" i="5"/>
  <c r="BX56" i="5"/>
  <c r="BX24" i="5"/>
  <c r="BX111" i="5"/>
  <c r="BX95" i="5"/>
  <c r="BX79" i="5"/>
  <c r="BX63" i="5"/>
  <c r="BX47" i="5"/>
  <c r="BX31" i="5"/>
  <c r="BX118" i="5"/>
  <c r="BX102" i="5"/>
  <c r="BX86" i="5"/>
  <c r="BX70" i="5"/>
  <c r="BX54" i="5"/>
  <c r="BX38" i="5"/>
  <c r="BX22" i="5"/>
  <c r="BX93" i="5"/>
  <c r="BX61" i="5"/>
  <c r="BX29" i="5"/>
  <c r="BX100" i="5"/>
  <c r="BX68" i="5"/>
  <c r="BX36" i="5"/>
  <c r="BX105" i="5"/>
  <c r="BX73" i="5"/>
  <c r="BX41" i="5"/>
  <c r="BX112" i="5"/>
  <c r="BX80" i="5"/>
  <c r="BX48" i="5"/>
  <c r="BU18" i="5"/>
  <c r="BU115" i="5"/>
  <c r="BU107" i="5"/>
  <c r="BU99" i="5"/>
  <c r="BU91" i="5"/>
  <c r="BU83" i="5"/>
  <c r="BU75" i="5"/>
  <c r="BU67" i="5"/>
  <c r="BU59" i="5"/>
  <c r="BU51" i="5"/>
  <c r="BU43" i="5"/>
  <c r="BU35" i="5"/>
  <c r="BU27" i="5"/>
  <c r="BU19" i="5"/>
  <c r="BU114" i="5"/>
  <c r="BU106" i="5"/>
  <c r="BU98" i="5"/>
  <c r="BU90" i="5"/>
  <c r="BU82" i="5"/>
  <c r="BU74" i="5"/>
  <c r="BU66" i="5"/>
  <c r="BU58" i="5"/>
  <c r="BU50" i="5"/>
  <c r="BU42" i="5"/>
  <c r="BU34" i="5"/>
  <c r="BU26" i="5"/>
  <c r="BU105" i="5"/>
  <c r="BU89" i="5"/>
  <c r="BU73" i="5"/>
  <c r="BU57" i="5"/>
  <c r="BU41" i="5"/>
  <c r="BU25" i="5"/>
  <c r="BU112" i="5"/>
  <c r="BU96" i="5"/>
  <c r="BU80" i="5"/>
  <c r="BU64" i="5"/>
  <c r="BU48" i="5"/>
  <c r="BU32" i="5"/>
  <c r="BU20" i="5"/>
  <c r="BU109" i="5"/>
  <c r="BU93" i="5"/>
  <c r="BU77" i="5"/>
  <c r="BU61" i="5"/>
  <c r="BU45" i="5"/>
  <c r="BU29" i="5"/>
  <c r="BU116" i="5"/>
  <c r="BU100" i="5"/>
  <c r="BU84" i="5"/>
  <c r="BU68" i="5"/>
  <c r="BU52" i="5"/>
  <c r="BU36" i="5"/>
  <c r="BU22" i="5"/>
  <c r="BU119" i="5"/>
  <c r="BU111" i="5"/>
  <c r="BU103" i="5"/>
  <c r="BU95" i="5"/>
  <c r="BU87" i="5"/>
  <c r="BU79" i="5"/>
  <c r="BU71" i="5"/>
  <c r="BU63" i="5"/>
  <c r="BU55" i="5"/>
  <c r="BU47" i="5"/>
  <c r="BU39" i="5"/>
  <c r="BU31" i="5"/>
  <c r="BU23" i="5"/>
  <c r="BU118" i="5"/>
  <c r="BU110" i="5"/>
  <c r="BU102" i="5"/>
  <c r="BU94" i="5"/>
  <c r="BU86" i="5"/>
  <c r="BU78" i="5"/>
  <c r="BU70" i="5"/>
  <c r="BU62" i="5"/>
  <c r="BU54" i="5"/>
  <c r="BU46" i="5"/>
  <c r="BU38" i="5"/>
  <c r="BU30" i="5"/>
  <c r="BU113" i="5"/>
  <c r="BU97" i="5"/>
  <c r="BU81" i="5"/>
  <c r="BU65" i="5"/>
  <c r="BU49" i="5"/>
  <c r="BU33" i="5"/>
  <c r="BU120" i="5"/>
  <c r="BU104" i="5"/>
  <c r="BU88" i="5"/>
  <c r="BU72" i="5"/>
  <c r="BU56" i="5"/>
  <c r="BU40" i="5"/>
  <c r="BU24" i="5"/>
  <c r="BU117" i="5"/>
  <c r="BU101" i="5"/>
  <c r="BU85" i="5"/>
  <c r="BU69" i="5"/>
  <c r="BU53" i="5"/>
  <c r="BU37" i="5"/>
  <c r="BU21" i="5"/>
  <c r="BU108" i="5"/>
  <c r="BU92" i="5"/>
  <c r="BU76" i="5"/>
  <c r="BU60" i="5"/>
  <c r="BU44" i="5"/>
  <c r="BU28" i="5"/>
  <c r="BO8" i="5" l="1"/>
  <c r="L14" i="10" s="1"/>
  <c r="BP12" i="5"/>
  <c r="BN11" i="5"/>
  <c r="F17" i="10" s="1"/>
  <c r="BP9" i="5"/>
  <c r="P15" i="10" s="1"/>
  <c r="S15" i="10" s="1"/>
  <c r="BO9" i="5"/>
  <c r="L15" i="10" s="1"/>
  <c r="BN8" i="5"/>
  <c r="F14" i="10" s="1"/>
  <c r="BN10" i="5"/>
  <c r="F16" i="10" s="1"/>
  <c r="BM10" i="5"/>
  <c r="C16" i="10" s="1"/>
  <c r="BO11" i="5"/>
  <c r="L17" i="10" s="1"/>
  <c r="BP8" i="5"/>
  <c r="P14" i="10" s="1"/>
  <c r="S14" i="10" s="1"/>
  <c r="BM8" i="5"/>
  <c r="C14" i="10" s="1"/>
  <c r="BN12" i="5"/>
  <c r="F18" i="10" s="1"/>
  <c r="BM11" i="5"/>
  <c r="C17" i="10" s="1"/>
  <c r="BP11" i="5"/>
  <c r="P17" i="10" s="1"/>
  <c r="S17" i="10" s="1"/>
  <c r="BO12" i="5"/>
  <c r="L18" i="10" s="1"/>
  <c r="BO10" i="5"/>
  <c r="L16" i="10" s="1"/>
  <c r="BN9" i="5"/>
  <c r="F15" i="10" s="1"/>
  <c r="BM9" i="5"/>
  <c r="C15" i="10" s="1"/>
  <c r="BM12" i="5"/>
  <c r="C18" i="10" s="1"/>
  <c r="BP10" i="5"/>
  <c r="P16" i="10" s="1"/>
  <c r="S16" i="10" s="1"/>
  <c r="P18" i="10"/>
  <c r="S18" i="10" s="1"/>
  <c r="J24" i="5" l="1"/>
  <c r="J28" i="5" l="1"/>
  <c r="J29" i="5"/>
  <c r="J26" i="5"/>
  <c r="J25" i="5"/>
  <c r="J32" i="5"/>
  <c r="J23" i="5"/>
  <c r="J17" i="5"/>
  <c r="J13" i="5"/>
  <c r="J15" i="5"/>
  <c r="J11" i="5"/>
  <c r="J9" i="5"/>
  <c r="J18" i="5"/>
  <c r="J46" i="5" s="1"/>
  <c r="J14" i="5"/>
  <c r="J42" i="5" s="1"/>
  <c r="J16" i="5"/>
  <c r="J12" i="5"/>
  <c r="J40" i="5" s="1"/>
  <c r="J10" i="5"/>
  <c r="J38" i="5" s="1"/>
  <c r="J31" i="5"/>
  <c r="J27" i="5"/>
  <c r="J22" i="5"/>
  <c r="J30" i="5"/>
  <c r="J39" i="5" l="1"/>
  <c r="J37" i="5"/>
  <c r="J43" i="5"/>
  <c r="J45" i="5"/>
  <c r="J44" i="5"/>
  <c r="J41" i="5"/>
  <c r="J47" i="5" l="1" a="1"/>
  <c r="J47" i="5" s="1"/>
  <c r="AL5" i="10" s="1"/>
  <c r="AW22" i="5" a="1"/>
  <c r="AZ26" i="5" s="1"/>
  <c r="AX27" i="5" l="1"/>
  <c r="AY24" i="5"/>
  <c r="BA29" i="5"/>
  <c r="BB29" i="5"/>
  <c r="AX24" i="5"/>
  <c r="AZ28" i="5"/>
  <c r="AX22" i="5"/>
  <c r="BB23" i="5"/>
  <c r="BB26" i="5"/>
  <c r="BA25" i="5"/>
  <c r="BA26" i="5"/>
  <c r="AY28" i="5"/>
  <c r="AY22" i="5"/>
  <c r="AX23" i="5"/>
  <c r="BA22" i="5"/>
  <c r="BA23" i="5"/>
  <c r="AW27" i="5"/>
  <c r="AX25" i="5"/>
  <c r="AW22" i="5"/>
  <c r="AW29" i="5"/>
  <c r="AY23" i="5"/>
  <c r="AY27" i="5"/>
  <c r="AZ29" i="5"/>
  <c r="AZ22" i="5"/>
  <c r="AW28" i="5"/>
  <c r="AW25" i="5"/>
  <c r="AZ27" i="5"/>
  <c r="BA27" i="5"/>
  <c r="AZ23" i="5"/>
  <c r="BA28" i="5"/>
  <c r="AY29" i="5"/>
  <c r="AW23" i="5"/>
  <c r="AX28" i="5"/>
  <c r="AZ24" i="5"/>
  <c r="BB27" i="5"/>
  <c r="BA24" i="5"/>
  <c r="AW26" i="5"/>
  <c r="BB24" i="5"/>
  <c r="AW24" i="5"/>
  <c r="AZ25" i="5"/>
  <c r="AX29" i="5"/>
  <c r="BB22" i="5"/>
  <c r="AY25" i="5"/>
  <c r="BB25" i="5"/>
  <c r="BB28" i="5"/>
  <c r="AX26" i="5"/>
  <c r="AY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VOYER Jean-Marc</author>
  </authors>
  <commentList>
    <comment ref="V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PPP : Purchasing Power Parity</t>
        </r>
        <r>
          <rPr>
            <sz val="9"/>
            <color indexed="81"/>
            <rFont val="Tahoma"/>
            <family val="2"/>
          </rPr>
          <t xml:space="preserve">
PPP is an economic theory that allow to compare the standard of living between countries by taking account the impact of their exchange rates.
Source = http://en.wikipedia.org/wiki/Purchasing_power_parity
The reference is the USA. 
Example : 
PPP India = 13.09
PPP USA =  1 
Salary India = 5000 US$
PPP India Salary = 5000 * 13.09/1 = 65450$ US
So a 5000$ US salary in India is equivalent to 65450$ in USA.
</t>
        </r>
      </text>
    </comment>
  </commentList>
</comments>
</file>

<file path=xl/sharedStrings.xml><?xml version="1.0" encoding="utf-8"?>
<sst xmlns="http://schemas.openxmlformats.org/spreadsheetml/2006/main" count="13844" uniqueCount="4465">
  <si>
    <t>Timestamp</t>
  </si>
  <si>
    <t>Your Salary</t>
  </si>
  <si>
    <t>Currency</t>
  </si>
  <si>
    <t>Your Job Title</t>
  </si>
  <si>
    <t>Where do you work</t>
  </si>
  <si>
    <t>How many hours of a day you work on Excel</t>
  </si>
  <si>
    <t>USD</t>
  </si>
  <si>
    <t>MIS Analyst</t>
  </si>
  <si>
    <t>India</t>
  </si>
  <si>
    <t>4 to 6 hours a day</t>
  </si>
  <si>
    <t>15000 usd</t>
  </si>
  <si>
    <t>cost control</t>
  </si>
  <si>
    <t>europe/Croatia</t>
  </si>
  <si>
    <t>All the 8 hours baby, all the 8!</t>
  </si>
  <si>
    <t>Financial Analyst</t>
  </si>
  <si>
    <t>USA</t>
  </si>
  <si>
    <t>Quality Control</t>
  </si>
  <si>
    <t>Pakistan</t>
  </si>
  <si>
    <t>2 to 3 hours per day</t>
  </si>
  <si>
    <t>Quality Engineer</t>
  </si>
  <si>
    <t>Analyst</t>
  </si>
  <si>
    <t>Iceland</t>
  </si>
  <si>
    <t>EUR</t>
  </si>
  <si>
    <t>senior project manager</t>
  </si>
  <si>
    <t>Germany</t>
  </si>
  <si>
    <t>1 or 2 hours a day</t>
  </si>
  <si>
    <t>Assistant SP&amp;A</t>
  </si>
  <si>
    <t>Ukraine</t>
  </si>
  <si>
    <t>44000 $</t>
  </si>
  <si>
    <t>CFO</t>
  </si>
  <si>
    <t>Portugal</t>
  </si>
  <si>
    <t>PKR 8,000</t>
  </si>
  <si>
    <t>PKR</t>
  </si>
  <si>
    <t xml:space="preserve">Audit Trainee </t>
  </si>
  <si>
    <t>â‚¬ 51650</t>
  </si>
  <si>
    <t>Training Specialist</t>
  </si>
  <si>
    <t>Ireland</t>
  </si>
  <si>
    <t>quality engineer</t>
  </si>
  <si>
    <t>Hungary</t>
  </si>
  <si>
    <t>749000 INR</t>
  </si>
  <si>
    <t>INR</t>
  </si>
  <si>
    <t>Senion Analyst</t>
  </si>
  <si>
    <t>business analyst</t>
  </si>
  <si>
    <t>Project Engineer</t>
  </si>
  <si>
    <t>Sr Project Engineer</t>
  </si>
  <si>
    <t>Business Development</t>
  </si>
  <si>
    <t>Switzerland</t>
  </si>
  <si>
    <t>Excel Report Writer</t>
  </si>
  <si>
    <t>South Africa</t>
  </si>
  <si>
    <t>AGM</t>
  </si>
  <si>
    <t>GM</t>
  </si>
  <si>
    <t>DSE Co-ordinator</t>
  </si>
  <si>
    <t>Manager</t>
  </si>
  <si>
    <t>Marketing Director</t>
  </si>
  <si>
    <t>40000 us</t>
  </si>
  <si>
    <t>sales and marketing</t>
  </si>
  <si>
    <t>ksa</t>
  </si>
  <si>
    <t>Analyst II</t>
  </si>
  <si>
    <t>Project Leader</t>
  </si>
  <si>
    <t>Belgium</t>
  </si>
  <si>
    <t>900000 INR</t>
  </si>
  <si>
    <t>Applications Engineer</t>
  </si>
  <si>
    <t>Rs 600000</t>
  </si>
  <si>
    <t>strategy manager</t>
  </si>
  <si>
    <t>Chief of the department of public budget analisis and forecasting</t>
  </si>
  <si>
    <t>Russia</t>
  </si>
  <si>
    <t>360000 INR</t>
  </si>
  <si>
    <t>Specialist</t>
  </si>
  <si>
    <t>Â£35000</t>
  </si>
  <si>
    <t>GBP</t>
  </si>
  <si>
    <t>Management Information Analyst</t>
  </si>
  <si>
    <t>UK</t>
  </si>
  <si>
    <t>Senior Analyst</t>
  </si>
  <si>
    <t>Romania</t>
  </si>
  <si>
    <t>1600 $</t>
  </si>
  <si>
    <t>Poland</t>
  </si>
  <si>
    <t>Senior Consultant</t>
  </si>
  <si>
    <t>Portfolio Manager</t>
  </si>
  <si>
    <t>Design Engineer</t>
  </si>
  <si>
    <t>Academic Advisor</t>
  </si>
  <si>
    <t>Rs. 400000</t>
  </si>
  <si>
    <t>Coordination</t>
  </si>
  <si>
    <t>AUD</t>
  </si>
  <si>
    <t>consultant</t>
  </si>
  <si>
    <t>Australia</t>
  </si>
  <si>
    <t>Business Analsyt</t>
  </si>
  <si>
    <t>CAD</t>
  </si>
  <si>
    <t>Product Engineer</t>
  </si>
  <si>
    <t>Canada</t>
  </si>
  <si>
    <t>Senior Accountant</t>
  </si>
  <si>
    <t>Scientist</t>
  </si>
  <si>
    <t>Team Lead</t>
  </si>
  <si>
    <t>Senior intelligence analyst</t>
  </si>
  <si>
    <t>Freelance consultant</t>
  </si>
  <si>
    <t>â‚¬ 45</t>
  </si>
  <si>
    <t>Online Traffic Manager / Web Analist</t>
  </si>
  <si>
    <t>The Netherlands</t>
  </si>
  <si>
    <t>100000 USD</t>
  </si>
  <si>
    <t>Seinor Financial Analyst</t>
  </si>
  <si>
    <t>Senior Accounting Supervisor</t>
  </si>
  <si>
    <t>2000 Euros</t>
  </si>
  <si>
    <t>PPC Manager</t>
  </si>
  <si>
    <t>Financial Planner</t>
  </si>
  <si>
    <t>Â£18000</t>
  </si>
  <si>
    <t>Building Design and Performance Researcher</t>
  </si>
  <si>
    <t>Project leader</t>
  </si>
  <si>
    <t>France</t>
  </si>
  <si>
    <t>Engineering Data Analyst</t>
  </si>
  <si>
    <t>Sales Analyst</t>
  </si>
  <si>
    <t>CANADA</t>
  </si>
  <si>
    <t>Coordinator Of Costa and Buget</t>
  </si>
  <si>
    <t>Brasil</t>
  </si>
  <si>
    <t>SAP consultant</t>
  </si>
  <si>
    <t>FR</t>
  </si>
  <si>
    <t>â‚¬ 38000</t>
  </si>
  <si>
    <t>busines analist</t>
  </si>
  <si>
    <t>head of data</t>
  </si>
  <si>
    <t>Business Systems Analyst</t>
  </si>
  <si>
    <t>Financial Analyst II</t>
  </si>
  <si>
    <t>Mngr MI</t>
  </si>
  <si>
    <t>RSA</t>
  </si>
  <si>
    <t>sales analyst</t>
  </si>
  <si>
    <t>Consumer Research Program Manager</t>
  </si>
  <si>
    <t>$AUD100000</t>
  </si>
  <si>
    <t>technical trainer</t>
  </si>
  <si>
    <t>Process Flow Coordinator</t>
  </si>
  <si>
    <t>United Arab Emirates</t>
  </si>
  <si>
    <t>Process Improvement Specialist</t>
  </si>
  <si>
    <t>Excel Programmer Consultant</t>
  </si>
  <si>
    <t>US $60,000</t>
  </si>
  <si>
    <t>Statistical Analyst</t>
  </si>
  <si>
    <t>Us$ 18000</t>
  </si>
  <si>
    <t>Operational Analyst</t>
  </si>
  <si>
    <t>Saudi Arabia</t>
  </si>
  <si>
    <t>Exceler</t>
  </si>
  <si>
    <t>Marketing Analyst</t>
  </si>
  <si>
    <t>Panama</t>
  </si>
  <si>
    <t>Â£30000</t>
  </si>
  <si>
    <t>Database Manager</t>
  </si>
  <si>
    <t>Director</t>
  </si>
  <si>
    <t>Manager, Forecasts &amp; Budgets</t>
  </si>
  <si>
    <t>US $ 31330.00</t>
  </si>
  <si>
    <t>VBA Analyst</t>
  </si>
  <si>
    <t>Brazil</t>
  </si>
  <si>
    <t>Senior Scheduling Engineer</t>
  </si>
  <si>
    <t>81,000USD</t>
  </si>
  <si>
    <t>Strategy Consultant</t>
  </si>
  <si>
    <t>Admin</t>
  </si>
  <si>
    <t>IT Asset Administrator</t>
  </si>
  <si>
    <t>Director of Marketing</t>
  </si>
  <si>
    <t>Graphic Design Manager</t>
  </si>
  <si>
    <t>Rs. 12,000/-</t>
  </si>
  <si>
    <t>Financial Consultant</t>
  </si>
  <si>
    <t>Data Analyst</t>
  </si>
  <si>
    <t>Paraeducator</t>
  </si>
  <si>
    <t>91,000 USD</t>
  </si>
  <si>
    <t>Channel Marketing Manager</t>
  </si>
  <si>
    <t xml:space="preserve">Sales and Marketing Analyst </t>
  </si>
  <si>
    <t>Production Scheduler</t>
  </si>
  <si>
    <t>80k</t>
  </si>
  <si>
    <t>financial analyst</t>
  </si>
  <si>
    <t>Product Specialist</t>
  </si>
  <si>
    <t>IT support</t>
  </si>
  <si>
    <t>arabian Gulf</t>
  </si>
  <si>
    <t>sr. project coordinator</t>
  </si>
  <si>
    <t>Sr Administrative Assistant</t>
  </si>
  <si>
    <t>Mexico</t>
  </si>
  <si>
    <t>IT Analyst</t>
  </si>
  <si>
    <t>Project manager</t>
  </si>
  <si>
    <t>Greece</t>
  </si>
  <si>
    <t>Innovation Analyst</t>
  </si>
  <si>
    <t>Singapore</t>
  </si>
  <si>
    <t>$85,000+</t>
  </si>
  <si>
    <t>Strategic Analyst</t>
  </si>
  <si>
    <t>Transportation Specialist</t>
  </si>
  <si>
    <t>$58,000 USD</t>
  </si>
  <si>
    <t>Operations Programs Support</t>
  </si>
  <si>
    <t>Accounting Coordinator</t>
  </si>
  <si>
    <t>Asst.Manager Finance</t>
  </si>
  <si>
    <t>UAE</t>
  </si>
  <si>
    <t>Operations Cost Analyst</t>
  </si>
  <si>
    <t>Financial Controller</t>
  </si>
  <si>
    <t>Utilization Analyst</t>
  </si>
  <si>
    <t>Researcher</t>
  </si>
  <si>
    <t>Colombia</t>
  </si>
  <si>
    <t>Market Analyst</t>
  </si>
  <si>
    <t>Excel ?!? What Excel?</t>
  </si>
  <si>
    <t>Web Developer</t>
  </si>
  <si>
    <t>Sr. Acct</t>
  </si>
  <si>
    <t>Information Systems Specialist</t>
  </si>
  <si>
    <t>Analytics lead</t>
  </si>
  <si>
    <t>Actuary</t>
  </si>
  <si>
    <t>US $44,000</t>
  </si>
  <si>
    <t>School Tech Coordinator</t>
  </si>
  <si>
    <t>sr accountant</t>
  </si>
  <si>
    <t>36000 usd</t>
  </si>
  <si>
    <t>senior accountant</t>
  </si>
  <si>
    <t>Turkey</t>
  </si>
  <si>
    <t>Freelance</t>
  </si>
  <si>
    <t>DBA</t>
  </si>
  <si>
    <t>Research Analyst</t>
  </si>
  <si>
    <t>Project Manager</t>
  </si>
  <si>
    <t>Market Research Analyst</t>
  </si>
  <si>
    <t>Manager : Accounts</t>
  </si>
  <si>
    <t>project manager</t>
  </si>
  <si>
    <t>canada</t>
  </si>
  <si>
    <t>Inventory manger</t>
  </si>
  <si>
    <t>Business Analyst</t>
  </si>
  <si>
    <t>$62,000 CND</t>
  </si>
  <si>
    <t>Process Technician</t>
  </si>
  <si>
    <t>28000rs</t>
  </si>
  <si>
    <t>MIS Team Leader</t>
  </si>
  <si>
    <t>Finance Director</t>
  </si>
  <si>
    <t>Industrial Engineer</t>
  </si>
  <si>
    <t>data analyst</t>
  </si>
  <si>
    <t>Senior Financial &amp; Systems Analyst</t>
  </si>
  <si>
    <t>project manager - metrics</t>
  </si>
  <si>
    <t>Informatics Research Analyst</t>
  </si>
  <si>
    <t>Business Technical Consultant</t>
  </si>
  <si>
    <t>Business Operations Reporting Analyst</t>
  </si>
  <si>
    <t>Program Services Coordinator</t>
  </si>
  <si>
    <t>Specialist - Finance Planning and Analysis</t>
  </si>
  <si>
    <t>Sr Accountant</t>
  </si>
  <si>
    <t>Proces auditor</t>
  </si>
  <si>
    <t>90000 USD</t>
  </si>
  <si>
    <t>Senior Data Quality Analyst</t>
  </si>
  <si>
    <t>Sr Business Analyst</t>
  </si>
  <si>
    <t>COST ACCOUNTANT</t>
  </si>
  <si>
    <t>Â£32250</t>
  </si>
  <si>
    <t>project Support</t>
  </si>
  <si>
    <t>managerial</t>
  </si>
  <si>
    <t>Program Analyst</t>
  </si>
  <si>
    <t>Team Lead - Computer Discounts</t>
  </si>
  <si>
    <t>Change Architect</t>
  </si>
  <si>
    <t>Telecom Technician</t>
  </si>
  <si>
    <t>Rs. 1300000</t>
  </si>
  <si>
    <t>Manager, Asset Optimization</t>
  </si>
  <si>
    <t>Financialcontroller</t>
  </si>
  <si>
    <t xml:space="preserve">Accounting </t>
  </si>
  <si>
    <t>Consultant, HR Services &amp; Governance</t>
  </si>
  <si>
    <t>Rs 5 lakh</t>
  </si>
  <si>
    <t>QA Executive</t>
  </si>
  <si>
    <t>Senior Actuarial Analyst</t>
  </si>
  <si>
    <t>Sr. Associate</t>
  </si>
  <si>
    <t>Budget Analyst</t>
  </si>
  <si>
    <t>B.I. Data Analyst II</t>
  </si>
  <si>
    <t>Rd. 11 lakhs</t>
  </si>
  <si>
    <t>Asst manager investor relations and business analytics</t>
  </si>
  <si>
    <t>Industrial Engineer (Fed)</t>
  </si>
  <si>
    <t>Informatics specialist</t>
  </si>
  <si>
    <t>Trainee Management Accountant</t>
  </si>
  <si>
    <t>Senior analyst</t>
  </si>
  <si>
    <t>Director of Analytics</t>
  </si>
  <si>
    <t>Executive Assistant</t>
  </si>
  <si>
    <t>Project Speciast</t>
  </si>
  <si>
    <t>Sales Coordinator &amp; Analytical Support</t>
  </si>
  <si>
    <t>analyst</t>
  </si>
  <si>
    <t>Senior Staff Accountant</t>
  </si>
  <si>
    <t>Consultant - Retail Mkts</t>
  </si>
  <si>
    <t>Process Manager</t>
  </si>
  <si>
    <t>Project Manager (Process Owner)</t>
  </si>
  <si>
    <t>60000 CAD$</t>
  </si>
  <si>
    <t>Demographer</t>
  </si>
  <si>
    <t>Administrative Assistant</t>
  </si>
  <si>
    <t>Accounting/Financial Analyst</t>
  </si>
  <si>
    <t>Business Process Specialist</t>
  </si>
  <si>
    <t>Sr Financial Analyst</t>
  </si>
  <si>
    <t>Asst. Manager (MIS)</t>
  </si>
  <si>
    <t>US$ 99000</t>
  </si>
  <si>
    <t>Business Controller</t>
  </si>
  <si>
    <t>controller</t>
  </si>
  <si>
    <t>Rs. 275000</t>
  </si>
  <si>
    <t>low level monitoring</t>
  </si>
  <si>
    <t>INR 16000</t>
  </si>
  <si>
    <t>Administrative</t>
  </si>
  <si>
    <t>Service Line Coordinator</t>
  </si>
  <si>
    <t>Strategic Sourcing Manager</t>
  </si>
  <si>
    <t>INR18Lacs or US$36000</t>
  </si>
  <si>
    <t>Chief Manager</t>
  </si>
  <si>
    <t>Engineer</t>
  </si>
  <si>
    <t>Business Intelligence Analyst</t>
  </si>
  <si>
    <t>â‚¬ 50000</t>
  </si>
  <si>
    <t>Sr. Financial Analyst</t>
  </si>
  <si>
    <t>Buyer</t>
  </si>
  <si>
    <t>program manager</t>
  </si>
  <si>
    <t>Reporting Analyst Team Lead</t>
  </si>
  <si>
    <t>Operations Expert</t>
  </si>
  <si>
    <t>Director of Finance</t>
  </si>
  <si>
    <t>Information Analyst II</t>
  </si>
  <si>
    <t>45k</t>
  </si>
  <si>
    <t>Accounting Assistant</t>
  </si>
  <si>
    <t>Tax Professional</t>
  </si>
  <si>
    <t>Bermuda</t>
  </si>
  <si>
    <t>INR 500000</t>
  </si>
  <si>
    <t>INR 350k</t>
  </si>
  <si>
    <t>Jr. Executive Finance</t>
  </si>
  <si>
    <t>Assistant Controller</t>
  </si>
  <si>
    <t>US$ 138K</t>
  </si>
  <si>
    <t>Project engineer</t>
  </si>
  <si>
    <t>Thailand</t>
  </si>
  <si>
    <t>Cash Officer</t>
  </si>
  <si>
    <t>Technical support specialist</t>
  </si>
  <si>
    <t>ServiceDesk Supervisor</t>
  </si>
  <si>
    <t>medical biller</t>
  </si>
  <si>
    <t>Sr. Strategic Development Specialist</t>
  </si>
  <si>
    <t>VP - Procurment</t>
  </si>
  <si>
    <t>52500.00 USD</t>
  </si>
  <si>
    <t>HRIS Analyst</t>
  </si>
  <si>
    <t>Procurement manager</t>
  </si>
  <si>
    <t>Energy Analyst</t>
  </si>
  <si>
    <t>Accountant</t>
  </si>
  <si>
    <t>Branch head -sales</t>
  </si>
  <si>
    <t>retail buyer</t>
  </si>
  <si>
    <t>1000 â‚¬</t>
  </si>
  <si>
    <t>HR Specialist</t>
  </si>
  <si>
    <t>Director of Finance and Accounting</t>
  </si>
  <si>
    <t>Manager Business Control</t>
  </si>
  <si>
    <t>Manager Pricing</t>
  </si>
  <si>
    <t>Insurance Manager</t>
  </si>
  <si>
    <t>US$ 96k</t>
  </si>
  <si>
    <t>Freellance</t>
  </si>
  <si>
    <t>category manager</t>
  </si>
  <si>
    <t>Customer Operations Analyst</t>
  </si>
  <si>
    <t>$31,000 USD</t>
  </si>
  <si>
    <t>Site Technician</t>
  </si>
  <si>
    <t>Excel Consultant</t>
  </si>
  <si>
    <t>Senior Project Manager</t>
  </si>
  <si>
    <t>Rs 470000</t>
  </si>
  <si>
    <t>Web Statistics Analyst</t>
  </si>
  <si>
    <t>Business Data Analyst I</t>
  </si>
  <si>
    <t>Â£60000</t>
  </si>
  <si>
    <t>Decision Analyst &amp; Modeller</t>
  </si>
  <si>
    <t>Ops Adminstrator</t>
  </si>
  <si>
    <t>Sr. Global marketing Specialist</t>
  </si>
  <si>
    <t>financial accountant</t>
  </si>
  <si>
    <t>Software Consultant</t>
  </si>
  <si>
    <t>Anaylst</t>
  </si>
  <si>
    <t>rs 2.76 lakhs per year</t>
  </si>
  <si>
    <t>$77,000 USD</t>
  </si>
  <si>
    <t>senior accounting coordinator</t>
  </si>
  <si>
    <t>Demand Planning Mgr</t>
  </si>
  <si>
    <t>VP / Credit Administrator</t>
  </si>
  <si>
    <t>DP specialist</t>
  </si>
  <si>
    <t>Analyst 2</t>
  </si>
  <si>
    <t>VP</t>
  </si>
  <si>
    <t>35,000 Philippine Peso</t>
  </si>
  <si>
    <t>Global Problem Management - IT</t>
  </si>
  <si>
    <t>Philippines</t>
  </si>
  <si>
    <t>Enterprise Performance Metrics Manager</t>
  </si>
  <si>
    <t>University Relations Intern</t>
  </si>
  <si>
    <t>Auxiliar Administrativo</t>
  </si>
  <si>
    <t>Engineering Tech Sr.</t>
  </si>
  <si>
    <t>36000 $</t>
  </si>
  <si>
    <t>Senior Specialist</t>
  </si>
  <si>
    <t>moneymaker</t>
  </si>
  <si>
    <t>INR 15,00,000</t>
  </si>
  <si>
    <t>Consultant</t>
  </si>
  <si>
    <t>AED100000</t>
  </si>
  <si>
    <t>AED</t>
  </si>
  <si>
    <t>Dubai</t>
  </si>
  <si>
    <t>MIS</t>
  </si>
  <si>
    <t>management accountant</t>
  </si>
  <si>
    <t>Â£31000</t>
  </si>
  <si>
    <t>Telecoms Engineer</t>
  </si>
  <si>
    <t>Software Support</t>
  </si>
  <si>
    <t>Projects Planner</t>
  </si>
  <si>
    <t>4.5 lakh INR</t>
  </si>
  <si>
    <t>Mathematical Data Analyist</t>
  </si>
  <si>
    <t>sales support</t>
  </si>
  <si>
    <t xml:space="preserve">Rs.1.8 lakhs </t>
  </si>
  <si>
    <t>Administrative Officer</t>
  </si>
  <si>
    <t>IS Manager</t>
  </si>
  <si>
    <t xml:space="preserve">Support Specialist </t>
  </si>
  <si>
    <t>FA</t>
  </si>
  <si>
    <t>VP of Finance</t>
  </si>
  <si>
    <t>36,000 USD</t>
  </si>
  <si>
    <t>PRODUCTION ASSISTANT</t>
  </si>
  <si>
    <t>65000 euro</t>
  </si>
  <si>
    <t>germany</t>
  </si>
  <si>
    <t>HR Analyst</t>
  </si>
  <si>
    <t>Plant Controller</t>
  </si>
  <si>
    <t>consultant bi</t>
  </si>
  <si>
    <t>The netherlands</t>
  </si>
  <si>
    <t>Royalties Coordinator</t>
  </si>
  <si>
    <t>Â£20000/year but i work part time 30h/week</t>
  </si>
  <si>
    <t>Graduate Structural Engineer</t>
  </si>
  <si>
    <t>Operations Analyst</t>
  </si>
  <si>
    <t>Marketing</t>
  </si>
  <si>
    <t xml:space="preserve">Finance, Manager </t>
  </si>
  <si>
    <t>Sr. Business Analyst</t>
  </si>
  <si>
    <t>150000 MXN</t>
  </si>
  <si>
    <t>MXN</t>
  </si>
  <si>
    <t>Information Analyst</t>
  </si>
  <si>
    <t>Financial Specialist</t>
  </si>
  <si>
    <t>Management Analyst</t>
  </si>
  <si>
    <t>INR 1000000</t>
  </si>
  <si>
    <t>Dp manager</t>
  </si>
  <si>
    <t>director of analytics</t>
  </si>
  <si>
    <t>US$ 4.545</t>
  </si>
  <si>
    <t>Supply Processes Analyst</t>
  </si>
  <si>
    <t>Â£29000</t>
  </si>
  <si>
    <t>ICT Technical Analyst</t>
  </si>
  <si>
    <t>Sourcing Specialist</t>
  </si>
  <si>
    <t>PhP 456,000</t>
  </si>
  <si>
    <t>Reporting Shared Services Oferring Lead</t>
  </si>
  <si>
    <t>Sales Analytics Manager</t>
  </si>
  <si>
    <t>22000 usd</t>
  </si>
  <si>
    <t>Product Manager Sr</t>
  </si>
  <si>
    <t>Database Architect</t>
  </si>
  <si>
    <t>CAD 65000</t>
  </si>
  <si>
    <t>Product developer</t>
  </si>
  <si>
    <t>Supply Chain Analyst</t>
  </si>
  <si>
    <t>financial planning</t>
  </si>
  <si>
    <t>400000 INR</t>
  </si>
  <si>
    <t>Test Analyst</t>
  </si>
  <si>
    <t>project manager, project finance consultant</t>
  </si>
  <si>
    <t>Israel</t>
  </si>
  <si>
    <t>QC Fabrication Inspector</t>
  </si>
  <si>
    <t>Manager of Trade Investment &amp; Analysis</t>
  </si>
  <si>
    <t>30000 Rs</t>
  </si>
  <si>
    <t>Business Analysit</t>
  </si>
  <si>
    <t>Assistant Outside Plant Project Manager</t>
  </si>
  <si>
    <t>operation-manager</t>
  </si>
  <si>
    <t>63000 USD</t>
  </si>
  <si>
    <t>Senior Financial Analyst</t>
  </si>
  <si>
    <t>Bangladesh</t>
  </si>
  <si>
    <t>100,000 US$ equiv</t>
  </si>
  <si>
    <t>Senior Data Analyst</t>
  </si>
  <si>
    <t>3.8 k</t>
  </si>
  <si>
    <t>MIS EXCUTIVE</t>
  </si>
  <si>
    <t>Advisor</t>
  </si>
  <si>
    <t>Online Analyst</t>
  </si>
  <si>
    <t>General Manager</t>
  </si>
  <si>
    <t>Sr Staff Engineer</t>
  </si>
  <si>
    <t>3,70,000</t>
  </si>
  <si>
    <t>Senior Design Associate</t>
  </si>
  <si>
    <t>Planning and Analysis Supervisor</t>
  </si>
  <si>
    <t>asset manager</t>
  </si>
  <si>
    <t>Transportation Engineer</t>
  </si>
  <si>
    <t>web marketing analyst</t>
  </si>
  <si>
    <t>170000 usd</t>
  </si>
  <si>
    <t>RS</t>
  </si>
  <si>
    <t>62500.00 USD</t>
  </si>
  <si>
    <t>Director of Payroll</t>
  </si>
  <si>
    <t>480 000 SEK / 70000 US$</t>
  </si>
  <si>
    <t>SEK</t>
  </si>
  <si>
    <t>IT consultant</t>
  </si>
  <si>
    <t>Sweden</t>
  </si>
  <si>
    <t>Commercial Manager</t>
  </si>
  <si>
    <t>Quality Assurance Officer</t>
  </si>
  <si>
    <t>Senior Treasury Analyst</t>
  </si>
  <si>
    <t>Supervisor, Contracts, Rebates, Chargebacks and Returns</t>
  </si>
  <si>
    <t>ceo</t>
  </si>
  <si>
    <t>480000 Rs.</t>
  </si>
  <si>
    <t>System Manager</t>
  </si>
  <si>
    <t>2207,00</t>
  </si>
  <si>
    <t>director</t>
  </si>
  <si>
    <t>Rs. 500000</t>
  </si>
  <si>
    <t>Owner</t>
  </si>
  <si>
    <t>Senior Business Analyst</t>
  </si>
  <si>
    <t xml:space="preserve">marketing and sales </t>
  </si>
  <si>
    <t>Managing Director</t>
  </si>
  <si>
    <t>INR 5,40,000</t>
  </si>
  <si>
    <t>Senior Billing Engineer</t>
  </si>
  <si>
    <t>Quality Analyst</t>
  </si>
  <si>
    <t>46000 usd</t>
  </si>
  <si>
    <t>Financial analyst</t>
  </si>
  <si>
    <t>Economist</t>
  </si>
  <si>
    <t>Rs 6.2 lakhs</t>
  </si>
  <si>
    <t>assistant manager (finance)</t>
  </si>
  <si>
    <t>Â£28000</t>
  </si>
  <si>
    <t>Central Services Manager</t>
  </si>
  <si>
    <t xml:space="preserve">Trainer </t>
  </si>
  <si>
    <t>continuous improvement team member</t>
  </si>
  <si>
    <t>MIS Officer</t>
  </si>
  <si>
    <t>IR Manager</t>
  </si>
  <si>
    <t>7,50,000 INR</t>
  </si>
  <si>
    <t>99147 $</t>
  </si>
  <si>
    <t>Chief Specialist of Economics &amp; Planning</t>
  </si>
  <si>
    <t>Campus Budget Officer</t>
  </si>
  <si>
    <t>Management Ananlyst</t>
  </si>
  <si>
    <t>Sales Operations Analyst</t>
  </si>
  <si>
    <t>120000 BDT</t>
  </si>
  <si>
    <t>BDT</t>
  </si>
  <si>
    <t>Computer Operator</t>
  </si>
  <si>
    <t>ENGINEER</t>
  </si>
  <si>
    <t>Sr Management Analytst 2</t>
  </si>
  <si>
    <t>Accounting Manager</t>
  </si>
  <si>
    <t>Controller</t>
  </si>
  <si>
    <t>Information Research Technician II</t>
  </si>
  <si>
    <t>Sr. Systems Engineer</t>
  </si>
  <si>
    <t>Senior Purchasing Officer</t>
  </si>
  <si>
    <t>United Arab Emriate</t>
  </si>
  <si>
    <t>Mgmt Accountant</t>
  </si>
  <si>
    <t xml:space="preserve">Sr financial analyst </t>
  </si>
  <si>
    <t>Department Manager</t>
  </si>
  <si>
    <t>Â¢ 14.000.000,00</t>
  </si>
  <si>
    <t>COSTARICAN</t>
  </si>
  <si>
    <t>Businees Adminstratot</t>
  </si>
  <si>
    <t>Costa Rica</t>
  </si>
  <si>
    <t xml:space="preserve">Staff assistant </t>
  </si>
  <si>
    <t>Sr. Accountant</t>
  </si>
  <si>
    <t>Air Planning Analyst</t>
  </si>
  <si>
    <t>Credit Analyst</t>
  </si>
  <si>
    <t>financial management consultant</t>
  </si>
  <si>
    <t>US$115000</t>
  </si>
  <si>
    <t>Â£66000</t>
  </si>
  <si>
    <t>IT Project Manager, EMEA</t>
  </si>
  <si>
    <t>INR 200000</t>
  </si>
  <si>
    <t>IS Director</t>
  </si>
  <si>
    <t>8500 USD</t>
  </si>
  <si>
    <t>teacher</t>
  </si>
  <si>
    <t>iran</t>
  </si>
  <si>
    <t>250000 to 270000</t>
  </si>
  <si>
    <t>Excel trainer</t>
  </si>
  <si>
    <t>Finland</t>
  </si>
  <si>
    <t>20000 RS</t>
  </si>
  <si>
    <t>WFM Team Lead</t>
  </si>
  <si>
    <t xml:space="preserve">US $30,000.00 </t>
  </si>
  <si>
    <t>Supervisor</t>
  </si>
  <si>
    <t>30000 $</t>
  </si>
  <si>
    <t>BI Developer</t>
  </si>
  <si>
    <t>engineer</t>
  </si>
  <si>
    <t>Planner</t>
  </si>
  <si>
    <t>Â£65000</t>
  </si>
  <si>
    <t>US $6,629.00</t>
  </si>
  <si>
    <t>Dominican Republic</t>
  </si>
  <si>
    <t>senior analyst</t>
  </si>
  <si>
    <t>Assesor</t>
  </si>
  <si>
    <t>Financial Analys</t>
  </si>
  <si>
    <t>Sr. Information Systems Analyst</t>
  </si>
  <si>
    <t>Senior Claims Analyst</t>
  </si>
  <si>
    <t>INR 40L</t>
  </si>
  <si>
    <t>Sr Mgr Finance</t>
  </si>
  <si>
    <t>Rs. 300000</t>
  </si>
  <si>
    <t>Web Portal Manager</t>
  </si>
  <si>
    <t>manager - MIS &amp; operations planning</t>
  </si>
  <si>
    <t>web analyst</t>
  </si>
  <si>
    <t>INR 30,00,000</t>
  </si>
  <si>
    <t>Management Consultant</t>
  </si>
  <si>
    <t>Continuos improvment</t>
  </si>
  <si>
    <t>Canad</t>
  </si>
  <si>
    <t>Direct marketing manager</t>
  </si>
  <si>
    <t>5000 $</t>
  </si>
  <si>
    <t>mis</t>
  </si>
  <si>
    <t>Wine Analyst</t>
  </si>
  <si>
    <t>500000 rupees</t>
  </si>
  <si>
    <t>FinanceManager</t>
  </si>
  <si>
    <t>Somalia</t>
  </si>
  <si>
    <t>Regional Manager</t>
  </si>
  <si>
    <t>7500 USD</t>
  </si>
  <si>
    <t>HR reporting analyst</t>
  </si>
  <si>
    <t>Finalcial Reporting Analyst</t>
  </si>
  <si>
    <t>800000 rupees</t>
  </si>
  <si>
    <t>Partner</t>
  </si>
  <si>
    <t>operations tech</t>
  </si>
  <si>
    <t>Â£38000</t>
  </si>
  <si>
    <t>Commercial Accountant</t>
  </si>
  <si>
    <t>52,000 Cdn</t>
  </si>
  <si>
    <t>Office Manager</t>
  </si>
  <si>
    <t>Prod Mgr</t>
  </si>
  <si>
    <t>Graphics/Web Document Designer</t>
  </si>
  <si>
    <t>Business intelligence manager</t>
  </si>
  <si>
    <t>CDN $70,000</t>
  </si>
  <si>
    <t>Program Manager</t>
  </si>
  <si>
    <t>5250 $</t>
  </si>
  <si>
    <t>Treasure Specialist</t>
  </si>
  <si>
    <t>Republic of Georgia</t>
  </si>
  <si>
    <t>Business Manager</t>
  </si>
  <si>
    <t>clerk</t>
  </si>
  <si>
    <t>Researcher &amp; Data Analyst</t>
  </si>
  <si>
    <t>Â£28500</t>
  </si>
  <si>
    <t>Data Quality &amp; Analysis Manager</t>
  </si>
  <si>
    <t>Resource managment Analyst</t>
  </si>
  <si>
    <t>Estonia</t>
  </si>
  <si>
    <t>Account Executive</t>
  </si>
  <si>
    <t>video production</t>
  </si>
  <si>
    <t>mozambique</t>
  </si>
  <si>
    <t>principal engineer</t>
  </si>
  <si>
    <t>budget analyst</t>
  </si>
  <si>
    <t>US$169,000</t>
  </si>
  <si>
    <t>Category Director (Marketing)</t>
  </si>
  <si>
    <t>Senior consultant accounting</t>
  </si>
  <si>
    <t>Norway</t>
  </si>
  <si>
    <t>Zar 1080000</t>
  </si>
  <si>
    <t>ZAR</t>
  </si>
  <si>
    <t>Finance manager</t>
  </si>
  <si>
    <t>South africa</t>
  </si>
  <si>
    <t>GB Sterling 59k</t>
  </si>
  <si>
    <t>Health and safety advisor</t>
  </si>
  <si>
    <t>Workforce Analyst</t>
  </si>
  <si>
    <t>Sr. Marketing Solutions Analyst</t>
  </si>
  <si>
    <t>20000 US$</t>
  </si>
  <si>
    <t>Managing Partner</t>
  </si>
  <si>
    <t>Administration Officer</t>
  </si>
  <si>
    <t>BAS</t>
  </si>
  <si>
    <t>USD 108,000</t>
  </si>
  <si>
    <t>200000 Rupees</t>
  </si>
  <si>
    <t>chemist</t>
  </si>
  <si>
    <t>LOGISTIC MANAGER</t>
  </si>
  <si>
    <t>Rs. 7,20,000/-</t>
  </si>
  <si>
    <t>Manager Finance</t>
  </si>
  <si>
    <t>23000 USD</t>
  </si>
  <si>
    <t>IT solutions coordinator</t>
  </si>
  <si>
    <t>Business Modeller</t>
  </si>
  <si>
    <t>Sr QS</t>
  </si>
  <si>
    <t>15000 â‚¬</t>
  </si>
  <si>
    <t>Report Analyst</t>
  </si>
  <si>
    <t>Spain</t>
  </si>
  <si>
    <t>Rs 6L</t>
  </si>
  <si>
    <t>Business Co ordinator</t>
  </si>
  <si>
    <t>Rs 500000</t>
  </si>
  <si>
    <t>duty manager</t>
  </si>
  <si>
    <t>Retail Store Manager</t>
  </si>
  <si>
    <t>Â£16400</t>
  </si>
  <si>
    <t>Job Build analyst</t>
  </si>
  <si>
    <t>Associate</t>
  </si>
  <si>
    <t>$150000pa</t>
  </si>
  <si>
    <t>57000 USD</t>
  </si>
  <si>
    <t>project finance manager</t>
  </si>
  <si>
    <t>israel</t>
  </si>
  <si>
    <t>Metrics Analyst</t>
  </si>
  <si>
    <t>Asst.Manager</t>
  </si>
  <si>
    <t>Accounting Operations Manager</t>
  </si>
  <si>
    <t>Vice President, Analyst</t>
  </si>
  <si>
    <t>COO</t>
  </si>
  <si>
    <t>EUR 49248</t>
  </si>
  <si>
    <t>Financial Advisor</t>
  </si>
  <si>
    <t>Netherlands</t>
  </si>
  <si>
    <t>Production Manager</t>
  </si>
  <si>
    <t>Manager - Finance</t>
  </si>
  <si>
    <t>Process Design Consultant</t>
  </si>
  <si>
    <t>vba specialist</t>
  </si>
  <si>
    <t xml:space="preserve">Analytical Department Director </t>
  </si>
  <si>
    <t>120k</t>
  </si>
  <si>
    <t>manager</t>
  </si>
  <si>
    <t>nz</t>
  </si>
  <si>
    <t>US$95K</t>
  </si>
  <si>
    <t>Director of Supply Chain</t>
  </si>
  <si>
    <t>Central America</t>
  </si>
  <si>
    <t>Research Assistant</t>
  </si>
  <si>
    <t>73,000 GBP</t>
  </si>
  <si>
    <t>Finance Manager</t>
  </si>
  <si>
    <t>Excel professional</t>
  </si>
  <si>
    <t>self-employed</t>
  </si>
  <si>
    <t>PKR 50,000</t>
  </si>
  <si>
    <t>Trainer</t>
  </si>
  <si>
    <t>Business analyst</t>
  </si>
  <si>
    <t>deputy manager</t>
  </si>
  <si>
    <t>Research Associate</t>
  </si>
  <si>
    <t>Reports Coordinator</t>
  </si>
  <si>
    <t>Quality Compliance Manager</t>
  </si>
  <si>
    <t>80,000 USD</t>
  </si>
  <si>
    <t>Cost Analyst</t>
  </si>
  <si>
    <t>Japan</t>
  </si>
  <si>
    <t>Â£20000</t>
  </si>
  <si>
    <t>IT Consultant</t>
  </si>
  <si>
    <t>Intelligence Analyst</t>
  </si>
  <si>
    <t>Marketing Specialist</t>
  </si>
  <si>
    <t>Proyect Manager</t>
  </si>
  <si>
    <t>IT Specialist</t>
  </si>
  <si>
    <t>CONTROLLER</t>
  </si>
  <si>
    <t>BRA</t>
  </si>
  <si>
    <t>Technical Support Technician</t>
  </si>
  <si>
    <t>Director, Supply Chain Operations</t>
  </si>
  <si>
    <t>Workflow Analyst</t>
  </si>
  <si>
    <t>95000 USD</t>
  </si>
  <si>
    <t>AUD $155,000</t>
  </si>
  <si>
    <t>Finance Manager Business Services</t>
  </si>
  <si>
    <t>NZ $80,000</t>
  </si>
  <si>
    <t>NZD</t>
  </si>
  <si>
    <t>Accountant/Analyst</t>
  </si>
  <si>
    <t>New Zealand</t>
  </si>
  <si>
    <t>Costing Analysis</t>
  </si>
  <si>
    <t>Sales Operations Supervisor</t>
  </si>
  <si>
    <t>Â£28800</t>
  </si>
  <si>
    <t>Â£21000</t>
  </si>
  <si>
    <t>USD 4285.00</t>
  </si>
  <si>
    <t>Assistant</t>
  </si>
  <si>
    <t>In Charge</t>
  </si>
  <si>
    <t>Guyana</t>
  </si>
  <si>
    <t>$22,000 AUD</t>
  </si>
  <si>
    <t>CEO</t>
  </si>
  <si>
    <t>coordinator lismore regional airport</t>
  </si>
  <si>
    <t>Mgr Op Excellence</t>
  </si>
  <si>
    <t>Pricing and Strategy Specialist</t>
  </si>
  <si>
    <t>Sr. Human Resources Analyst</t>
  </si>
  <si>
    <t>Performance Improvement Analyst</t>
  </si>
  <si>
    <t>Sr. Analyst</t>
  </si>
  <si>
    <t>finance</t>
  </si>
  <si>
    <t>china</t>
  </si>
  <si>
    <t>$36 000</t>
  </si>
  <si>
    <t>Consulting</t>
  </si>
  <si>
    <t xml:space="preserve">Technology consultant </t>
  </si>
  <si>
    <t>4,00,000</t>
  </si>
  <si>
    <t>BPO</t>
  </si>
  <si>
    <t>General manager</t>
  </si>
  <si>
    <t>Technical Analyst</t>
  </si>
  <si>
    <t>Head Accounts</t>
  </si>
  <si>
    <t>90 k</t>
  </si>
  <si>
    <t>Operations</t>
  </si>
  <si>
    <t>Rs. 20000</t>
  </si>
  <si>
    <t>Talati</t>
  </si>
  <si>
    <t>Product manager</t>
  </si>
  <si>
    <t>Helicopter Mechanic</t>
  </si>
  <si>
    <t>Program/Mgt Analyst</t>
  </si>
  <si>
    <t>Director, Analytics</t>
  </si>
  <si>
    <t>Purchasing Manager</t>
  </si>
  <si>
    <t>owner</t>
  </si>
  <si>
    <t>Incharge</t>
  </si>
  <si>
    <t>Sales Assistant</t>
  </si>
  <si>
    <t>INR 420000</t>
  </si>
  <si>
    <t>Assistant EDP</t>
  </si>
  <si>
    <t>Sales ops</t>
  </si>
  <si>
    <t>1150 $</t>
  </si>
  <si>
    <t>QS</t>
  </si>
  <si>
    <t>Sri Lanka</t>
  </si>
  <si>
    <t>INR 850,000</t>
  </si>
  <si>
    <t>AGM Finance</t>
  </si>
  <si>
    <t>Sales Controller</t>
  </si>
  <si>
    <t>1 lakh 60 thousand INR/Year</t>
  </si>
  <si>
    <t>MIS Executive</t>
  </si>
  <si>
    <t>SYSTEM MANAGER</t>
  </si>
  <si>
    <t>A$85000</t>
  </si>
  <si>
    <t>Project coordinator</t>
  </si>
  <si>
    <t>executive</t>
  </si>
  <si>
    <t>Indonesia</t>
  </si>
  <si>
    <t>Rs60000</t>
  </si>
  <si>
    <t>Quantity Surveyor</t>
  </si>
  <si>
    <t xml:space="preserve">Content Analyst </t>
  </si>
  <si>
    <t>A$170000</t>
  </si>
  <si>
    <t>senior business analyst</t>
  </si>
  <si>
    <t>Corporate Accountant</t>
  </si>
  <si>
    <t>Rs. 200000</t>
  </si>
  <si>
    <t>Auditor</t>
  </si>
  <si>
    <t>program coordinator - automotive</t>
  </si>
  <si>
    <t>Rs 300000</t>
  </si>
  <si>
    <t>Planning Engineer</t>
  </si>
  <si>
    <t>4000000 INR</t>
  </si>
  <si>
    <t>Senior Executive</t>
  </si>
  <si>
    <t>4500000 inr/pa</t>
  </si>
  <si>
    <t>cmo</t>
  </si>
  <si>
    <t>25000 INR</t>
  </si>
  <si>
    <t>Rs 4,00,000</t>
  </si>
  <si>
    <t>Sr Processor</t>
  </si>
  <si>
    <t>6,00,000</t>
  </si>
  <si>
    <t>Organiser</t>
  </si>
  <si>
    <t>Quality officer</t>
  </si>
  <si>
    <t>bangkok</t>
  </si>
  <si>
    <t>Executive</t>
  </si>
  <si>
    <t>Rs 800000</t>
  </si>
  <si>
    <t>BI Consultant</t>
  </si>
  <si>
    <t>Rs. 4.32 Lakhs</t>
  </si>
  <si>
    <t>Assistant Manager - IT</t>
  </si>
  <si>
    <t>Coordinator</t>
  </si>
  <si>
    <t>MANAGER</t>
  </si>
  <si>
    <t>Asst Mgr</t>
  </si>
  <si>
    <t>Accounts Officer</t>
  </si>
  <si>
    <t>INR 9,50,000</t>
  </si>
  <si>
    <t>Investment Banker</t>
  </si>
  <si>
    <t>INR 165000</t>
  </si>
  <si>
    <t>Co-operative bank</t>
  </si>
  <si>
    <t>Cad Engineer</t>
  </si>
  <si>
    <t>Mis Analyst</t>
  </si>
  <si>
    <t>INR 2 l;acks</t>
  </si>
  <si>
    <t>MIS EXECUTIVE</t>
  </si>
  <si>
    <t>Rs 480000</t>
  </si>
  <si>
    <t>PMO</t>
  </si>
  <si>
    <t>Asst. Manager(Commercial)</t>
  </si>
  <si>
    <t>230000 INR</t>
  </si>
  <si>
    <t>23000 Rupees</t>
  </si>
  <si>
    <t>Education Officer</t>
  </si>
  <si>
    <t>Management Accountant</t>
  </si>
  <si>
    <t>Saudi Arabai</t>
  </si>
  <si>
    <t>Us$24000</t>
  </si>
  <si>
    <t>Sales Coordinator</t>
  </si>
  <si>
    <t>TA</t>
  </si>
  <si>
    <t>2.5lakh</t>
  </si>
  <si>
    <t>ASM</t>
  </si>
  <si>
    <t>principal developer</t>
  </si>
  <si>
    <t>220000 in INR</t>
  </si>
  <si>
    <t>Accounts Payable Analyst</t>
  </si>
  <si>
    <t>Maint Sys Support Specialist</t>
  </si>
  <si>
    <t>Rs. 260000</t>
  </si>
  <si>
    <t>1,20,000 INR</t>
  </si>
  <si>
    <t>Rs. 144000</t>
  </si>
  <si>
    <t>Team Leader</t>
  </si>
  <si>
    <t>inr 11.5</t>
  </si>
  <si>
    <t>manager portfolio monitoring</t>
  </si>
  <si>
    <t>33,500 US $</t>
  </si>
  <si>
    <t>Sr. Executive Finance &amp; Accounts</t>
  </si>
  <si>
    <t>AREA SALES MANAGER</t>
  </si>
  <si>
    <t>govt</t>
  </si>
  <si>
    <t>4500 rs. per month</t>
  </si>
  <si>
    <t>COMPUTER OPERATOR</t>
  </si>
  <si>
    <t>Business Executive</t>
  </si>
  <si>
    <t>Team Lead Mis</t>
  </si>
  <si>
    <t>3000 $</t>
  </si>
  <si>
    <t>Call Centre Consultant</t>
  </si>
  <si>
    <t>Cambodia</t>
  </si>
  <si>
    <t>250000 rupees</t>
  </si>
  <si>
    <t>MIS executive</t>
  </si>
  <si>
    <t>Rs. 150000</t>
  </si>
  <si>
    <t>Oprations head</t>
  </si>
  <si>
    <t>Asst. Manager</t>
  </si>
  <si>
    <t>accounts</t>
  </si>
  <si>
    <t>25000 rupess</t>
  </si>
  <si>
    <t>370000 inr</t>
  </si>
  <si>
    <t>Cost Accountant</t>
  </si>
  <si>
    <t>senior executive</t>
  </si>
  <si>
    <t>Rs 10000</t>
  </si>
  <si>
    <t>Intern</t>
  </si>
  <si>
    <t>4,80,000 Ruppes</t>
  </si>
  <si>
    <t>Re. 4.5 Lacs Per Annum</t>
  </si>
  <si>
    <t>inr 2300000</t>
  </si>
  <si>
    <t>Audit Manager</t>
  </si>
  <si>
    <t>15000 USD</t>
  </si>
  <si>
    <t>Audit - senior assistant</t>
  </si>
  <si>
    <t>Lithuania</t>
  </si>
  <si>
    <t>tech operator (oil)</t>
  </si>
  <si>
    <t>uae</t>
  </si>
  <si>
    <t xml:space="preserve">mis </t>
  </si>
  <si>
    <t>Inr 60000</t>
  </si>
  <si>
    <t>Asstt manager</t>
  </si>
  <si>
    <t>Rs 15000</t>
  </si>
  <si>
    <t>Import &amp; Export Documentation Executive</t>
  </si>
  <si>
    <t>Systems Manager</t>
  </si>
  <si>
    <t>Program management</t>
  </si>
  <si>
    <t>PKR 17000</t>
  </si>
  <si>
    <t>Accounts Manager</t>
  </si>
  <si>
    <t xml:space="preserve">Rs.4lk </t>
  </si>
  <si>
    <t>sr. mis executive</t>
  </si>
  <si>
    <t>USD130000</t>
  </si>
  <si>
    <t>Modeller</t>
  </si>
  <si>
    <t>Rs. 250000</t>
  </si>
  <si>
    <t>INR 390000 PA</t>
  </si>
  <si>
    <t>Sr Financial Execative</t>
  </si>
  <si>
    <t>Asst Mngr</t>
  </si>
  <si>
    <t>Ind Rs.10,00,000.00</t>
  </si>
  <si>
    <t>Sr Associate</t>
  </si>
  <si>
    <t>8 Lakhs</t>
  </si>
  <si>
    <t>6 Lac Rs</t>
  </si>
  <si>
    <t>ERP Co-Ordinator</t>
  </si>
  <si>
    <t>Revenue Manager</t>
  </si>
  <si>
    <t>Accounts analyst</t>
  </si>
  <si>
    <t>EGYPT</t>
  </si>
  <si>
    <t>Estimator</t>
  </si>
  <si>
    <t>Egypt</t>
  </si>
  <si>
    <t>50 k per month</t>
  </si>
  <si>
    <t>4800 $</t>
  </si>
  <si>
    <t>Data Analysis</t>
  </si>
  <si>
    <t>Bhutan</t>
  </si>
  <si>
    <t>66000 â‚¬</t>
  </si>
  <si>
    <t>Logistics Analyst</t>
  </si>
  <si>
    <t>PROCSS ASOCIATE</t>
  </si>
  <si>
    <t>Reporting Analyst</t>
  </si>
  <si>
    <t>Corporate Finance Manager</t>
  </si>
  <si>
    <t>GBP21798</t>
  </si>
  <si>
    <t>compliance manager</t>
  </si>
  <si>
    <t>Merchandiser</t>
  </si>
  <si>
    <t>INR 30000</t>
  </si>
  <si>
    <t>Project Lead</t>
  </si>
  <si>
    <t>INR240000</t>
  </si>
  <si>
    <t>SR. ACCOUNTS EXECUTIVE</t>
  </si>
  <si>
    <t>Â£ 24000</t>
  </si>
  <si>
    <t>Business Support Specialist</t>
  </si>
  <si>
    <t>US $ 11,000</t>
  </si>
  <si>
    <t>Assistant Manager - Group MIS</t>
  </si>
  <si>
    <t>Rs. 225000</t>
  </si>
  <si>
    <t>Company Systems Integration Manager</t>
  </si>
  <si>
    <t>Nigeria</t>
  </si>
  <si>
    <t>INR 20000</t>
  </si>
  <si>
    <t>EXECUTIVE</t>
  </si>
  <si>
    <t>INR 700000</t>
  </si>
  <si>
    <t>Sales Management Analyst</t>
  </si>
  <si>
    <t>Asst Production Planner</t>
  </si>
  <si>
    <t>Consultat</t>
  </si>
  <si>
    <t>Denmark</t>
  </si>
  <si>
    <t xml:space="preserve">System Analyst </t>
  </si>
  <si>
    <t>14960 $</t>
  </si>
  <si>
    <t>Stock Controller</t>
  </si>
  <si>
    <t>ACCOUNTANT</t>
  </si>
  <si>
    <t>Accounts Supervisor</t>
  </si>
  <si>
    <t>KSA</t>
  </si>
  <si>
    <t>95000 AUD</t>
  </si>
  <si>
    <t>Data Analyst - Report Writer</t>
  </si>
  <si>
    <t>Rs 1200000</t>
  </si>
  <si>
    <t xml:space="preserve">Regional Formwork Head </t>
  </si>
  <si>
    <t>BRANCH ACCOUNTANT</t>
  </si>
  <si>
    <t>$1,589.00/per month</t>
  </si>
  <si>
    <t>Accounting Head</t>
  </si>
  <si>
    <t>OPEX CONTROL</t>
  </si>
  <si>
    <t>2.2 lakhs per annum</t>
  </si>
  <si>
    <t>Associate Software Engineer</t>
  </si>
  <si>
    <t>45000 $</t>
  </si>
  <si>
    <t>italy</t>
  </si>
  <si>
    <t>Rs 40000</t>
  </si>
  <si>
    <t>Banker</t>
  </si>
  <si>
    <t>Dhs 2800 + Accomodation</t>
  </si>
  <si>
    <t>180000 PKR</t>
  </si>
  <si>
    <t>S&amp;D Reporting &amp; Analysis Team Leader</t>
  </si>
  <si>
    <t>AUS$36000</t>
  </si>
  <si>
    <t>Key Expert User</t>
  </si>
  <si>
    <t>2.25 lakhs per year(prof income)</t>
  </si>
  <si>
    <t>company secretary</t>
  </si>
  <si>
    <t>Mis executiv</t>
  </si>
  <si>
    <t>INR 400000</t>
  </si>
  <si>
    <t>BDM</t>
  </si>
  <si>
    <t>CA$66000</t>
  </si>
  <si>
    <t>Programmer-analyst</t>
  </si>
  <si>
    <t>security analyst</t>
  </si>
  <si>
    <t>Rs 450000</t>
  </si>
  <si>
    <t>Material Planner</t>
  </si>
  <si>
    <t>VP Infrastructure</t>
  </si>
  <si>
    <t>ONE LACK FIFTY THOUSAND(INR)</t>
  </si>
  <si>
    <t>WORKING WITH PRODUCT TEAM OF MAKEMYTRIP.COM</t>
  </si>
  <si>
    <t>Rs. 8000</t>
  </si>
  <si>
    <t>Cashier</t>
  </si>
  <si>
    <t>Technician</t>
  </si>
  <si>
    <t>Aud 65000</t>
  </si>
  <si>
    <t>Market analyst</t>
  </si>
  <si>
    <t>Rs. 377000</t>
  </si>
  <si>
    <t>Team Developer</t>
  </si>
  <si>
    <t>Reporting Assistant</t>
  </si>
  <si>
    <t>Loss Prevention Finance Coordinator</t>
  </si>
  <si>
    <t>ZAR900,000</t>
  </si>
  <si>
    <t>Senior Research Analyst</t>
  </si>
  <si>
    <t>Director, IT/Operations</t>
  </si>
  <si>
    <t>Rs. 450000</t>
  </si>
  <si>
    <t>Sr. Executive</t>
  </si>
  <si>
    <t>Operations Support Coordinator</t>
  </si>
  <si>
    <t>Sr. Executive MIS</t>
  </si>
  <si>
    <t>accountant</t>
  </si>
  <si>
    <t>24000 $</t>
  </si>
  <si>
    <t>Logistic KA Manager</t>
  </si>
  <si>
    <t>Croatia</t>
  </si>
  <si>
    <t>Rs 20000</t>
  </si>
  <si>
    <t>INR 650000</t>
  </si>
  <si>
    <t>Deputy Manager</t>
  </si>
  <si>
    <t>Management Trainee</t>
  </si>
  <si>
    <t>3500 Rs</t>
  </si>
  <si>
    <t>MNR</t>
  </si>
  <si>
    <t>BPO information process enabler</t>
  </si>
  <si>
    <t>Â£55000</t>
  </si>
  <si>
    <t>Financial controller</t>
  </si>
  <si>
    <t>R$3.000,00</t>
  </si>
  <si>
    <t>Market Intelligence Analyst</t>
  </si>
  <si>
    <t>sr financial analyst</t>
  </si>
  <si>
    <t>12000 $</t>
  </si>
  <si>
    <t>Investment manager</t>
  </si>
  <si>
    <t>INR 1700000</t>
  </si>
  <si>
    <t>Operations Lead</t>
  </si>
  <si>
    <t>US$30,000</t>
  </si>
  <si>
    <t>Financial Control Section Headm</t>
  </si>
  <si>
    <t>Inonesia</t>
  </si>
  <si>
    <t>Application Developer</t>
  </si>
  <si>
    <t>High School Teacher</t>
  </si>
  <si>
    <t>5.5 lakhs</t>
  </si>
  <si>
    <t>65000 ron</t>
  </si>
  <si>
    <t>RON</t>
  </si>
  <si>
    <t>HR Planning Specialist</t>
  </si>
  <si>
    <t>15600 â‚¬</t>
  </si>
  <si>
    <t>Managment controller</t>
  </si>
  <si>
    <t>Rs.6,00,000/-</t>
  </si>
  <si>
    <t>AO</t>
  </si>
  <si>
    <t>Rs. 6,00,000</t>
  </si>
  <si>
    <t>business analyist</t>
  </si>
  <si>
    <t>13000 USD</t>
  </si>
  <si>
    <t>900000 Rs</t>
  </si>
  <si>
    <t>actuary</t>
  </si>
  <si>
    <t>Analysis Quality</t>
  </si>
  <si>
    <t>Colombia - South America</t>
  </si>
  <si>
    <t>1200000 Rs</t>
  </si>
  <si>
    <t>2 lac</t>
  </si>
  <si>
    <t>Bio-Statiscian</t>
  </si>
  <si>
    <t>Management Intern</t>
  </si>
  <si>
    <t>INR 2,00,000</t>
  </si>
  <si>
    <t>30000 eur</t>
  </si>
  <si>
    <t>financialcotroller</t>
  </si>
  <si>
    <t>portugal</t>
  </si>
  <si>
    <t>Rs. 10,00,000</t>
  </si>
  <si>
    <t>Financial Analyist</t>
  </si>
  <si>
    <t>Marketing Manager</t>
  </si>
  <si>
    <t>Europe</t>
  </si>
  <si>
    <t>Dir of Analytics</t>
  </si>
  <si>
    <t>Rs. 550000</t>
  </si>
  <si>
    <t>Reporting Manager</t>
  </si>
  <si>
    <t>Data Research Assistant</t>
  </si>
  <si>
    <t>Rs. 45000</t>
  </si>
  <si>
    <t>Uruguay</t>
  </si>
  <si>
    <t>Guide for About.com</t>
  </si>
  <si>
    <t>Policy advisor</t>
  </si>
  <si>
    <t>Aruba</t>
  </si>
  <si>
    <t>R134000</t>
  </si>
  <si>
    <t>Security Access Governance Analyst</t>
  </si>
  <si>
    <t>IT Capacity Planner</t>
  </si>
  <si>
    <t>supply chain manager</t>
  </si>
  <si>
    <t>indonesia</t>
  </si>
  <si>
    <t>Boss</t>
  </si>
  <si>
    <t>Director, P&amp;A</t>
  </si>
  <si>
    <t>125 $</t>
  </si>
  <si>
    <t>Project controls manager</t>
  </si>
  <si>
    <t>senior associate</t>
  </si>
  <si>
    <t>Principal Financial Analyst</t>
  </si>
  <si>
    <t>Store keeper</t>
  </si>
  <si>
    <t xml:space="preserve">qa team supervisor </t>
  </si>
  <si>
    <t>Supply Chain Administrator</t>
  </si>
  <si>
    <t>sup</t>
  </si>
  <si>
    <t>Cost Trainee</t>
  </si>
  <si>
    <t>62000 USD</t>
  </si>
  <si>
    <t>Deputy Manager Finance</t>
  </si>
  <si>
    <t>Qatar</t>
  </si>
  <si>
    <t>3 lacs P.A</t>
  </si>
  <si>
    <t>Sales</t>
  </si>
  <si>
    <t>Medical information analist</t>
  </si>
  <si>
    <t>US 2130</t>
  </si>
  <si>
    <t>Training Coordinator</t>
  </si>
  <si>
    <t>saudi arabia</t>
  </si>
  <si>
    <t>Rs.60000/-</t>
  </si>
  <si>
    <t>Article (Internship) - CA</t>
  </si>
  <si>
    <t>Asst Manager</t>
  </si>
  <si>
    <t>Rs. 35000</t>
  </si>
  <si>
    <t>Assistant Manager</t>
  </si>
  <si>
    <t>$125000 / a excl bonus</t>
  </si>
  <si>
    <t>Commercial Director</t>
  </si>
  <si>
    <t>400000 Rs</t>
  </si>
  <si>
    <t>Finance Staff</t>
  </si>
  <si>
    <t>Viet Nam</t>
  </si>
  <si>
    <t>inr 500000</t>
  </si>
  <si>
    <t>team coach</t>
  </si>
  <si>
    <t>100,000 usd</t>
  </si>
  <si>
    <t>MÃ©xico</t>
  </si>
  <si>
    <t>Accountancy</t>
  </si>
  <si>
    <t>INR 23 L</t>
  </si>
  <si>
    <t>Manager - Business Planning &amp; Reporting</t>
  </si>
  <si>
    <t>rs 100000</t>
  </si>
  <si>
    <t>ASST VICE PREDISDENT</t>
  </si>
  <si>
    <t>co ordinator</t>
  </si>
  <si>
    <t>5,00,000 INR</t>
  </si>
  <si>
    <t>Engagement Lead</t>
  </si>
  <si>
    <t>PhP168000</t>
  </si>
  <si>
    <t>Clerk</t>
  </si>
  <si>
    <t xml:space="preserve">Document controller </t>
  </si>
  <si>
    <t xml:space="preserve">Kuwait </t>
  </si>
  <si>
    <t>180000 INR</t>
  </si>
  <si>
    <t>Rs 600000/-</t>
  </si>
  <si>
    <t>Financial Modeller</t>
  </si>
  <si>
    <t>Cost accountant</t>
  </si>
  <si>
    <t>banker</t>
  </si>
  <si>
    <t>1050000 INR</t>
  </si>
  <si>
    <t>Manager Market Reesrach</t>
  </si>
  <si>
    <t>QA Supervisor</t>
  </si>
  <si>
    <t>Czech Republic</t>
  </si>
  <si>
    <t>486000 INR</t>
  </si>
  <si>
    <t>Assistant manager</t>
  </si>
  <si>
    <t>Zimbabwe</t>
  </si>
  <si>
    <t>HR Advisor - Systems &amp; MI</t>
  </si>
  <si>
    <t>300000RS</t>
  </si>
  <si>
    <t>ANALYST</t>
  </si>
  <si>
    <t>C&amp;B Manager</t>
  </si>
  <si>
    <t>Senior Marketing Analyst</t>
  </si>
  <si>
    <t>operation supervisor</t>
  </si>
  <si>
    <t>MIS TEAM MEMBER</t>
  </si>
  <si>
    <t>7 Lakhs</t>
  </si>
  <si>
    <t>Business Support Executive</t>
  </si>
  <si>
    <t>analytic</t>
  </si>
  <si>
    <t>Slovenia</t>
  </si>
  <si>
    <t>50000 GBP</t>
  </si>
  <si>
    <t>Finance Analyst</t>
  </si>
  <si>
    <t>Credit Controller</t>
  </si>
  <si>
    <t>R$ 19.200,00</t>
  </si>
  <si>
    <t>Programmer</t>
  </si>
  <si>
    <t>business</t>
  </si>
  <si>
    <t>Rs.7,00,000</t>
  </si>
  <si>
    <t>Albania</t>
  </si>
  <si>
    <t>Reconciliation Manager in Textile Mill</t>
  </si>
  <si>
    <t>Reporting Supervisor</t>
  </si>
  <si>
    <t>Financial Expert</t>
  </si>
  <si>
    <t>Iran</t>
  </si>
  <si>
    <t>usd 2000 per month</t>
  </si>
  <si>
    <t>sr manager</t>
  </si>
  <si>
    <t>Client Manager</t>
  </si>
  <si>
    <t>BI</t>
  </si>
  <si>
    <t>INR 600K</t>
  </si>
  <si>
    <t>Asst. Mgr. Finance</t>
  </si>
  <si>
    <t>600000 INR</t>
  </si>
  <si>
    <t>Zambia</t>
  </si>
  <si>
    <t>42000 â‚¬</t>
  </si>
  <si>
    <t>Construction Engineer</t>
  </si>
  <si>
    <t>Marketing Insights Manager</t>
  </si>
  <si>
    <t>Risk analyst</t>
  </si>
  <si>
    <t>data analist</t>
  </si>
  <si>
    <t>netherlands</t>
  </si>
  <si>
    <t>2,000,000 Naira</t>
  </si>
  <si>
    <t>Head Business Advisory</t>
  </si>
  <si>
    <t>48000 $</t>
  </si>
  <si>
    <t>Merchandise planner</t>
  </si>
  <si>
    <t>NZ</t>
  </si>
  <si>
    <t>NZ$ 75000</t>
  </si>
  <si>
    <t>New  Zealand</t>
  </si>
  <si>
    <t>Software Tester</t>
  </si>
  <si>
    <t>Billing manager</t>
  </si>
  <si>
    <t>AUD90000</t>
  </si>
  <si>
    <t>Quality Executive</t>
  </si>
  <si>
    <t>AU$65</t>
  </si>
  <si>
    <t xml:space="preserve">Business Support </t>
  </si>
  <si>
    <t>Sales Manager</t>
  </si>
  <si>
    <t>Finance Officer</t>
  </si>
  <si>
    <t>Assistant Fleet Analyst</t>
  </si>
  <si>
    <t>Operations Coordinator</t>
  </si>
  <si>
    <t>AUD$200,000</t>
  </si>
  <si>
    <t>Director, Informatics</t>
  </si>
  <si>
    <t>admin</t>
  </si>
  <si>
    <t>Sustainability Strategy Advisor</t>
  </si>
  <si>
    <t>AUD$70,000</t>
  </si>
  <si>
    <t>USD 85000.00</t>
  </si>
  <si>
    <t>Reporting and DB Analyist</t>
  </si>
  <si>
    <t>A$107000</t>
  </si>
  <si>
    <t>malaysia</t>
  </si>
  <si>
    <t>AU$52.000</t>
  </si>
  <si>
    <t>Shipping Administrator</t>
  </si>
  <si>
    <t>VP, Operational Analytics</t>
  </si>
  <si>
    <t>Finance analyst</t>
  </si>
  <si>
    <t>China</t>
  </si>
  <si>
    <t>HSLP Data Analyst</t>
  </si>
  <si>
    <t>US$12,000/year</t>
  </si>
  <si>
    <t>Asia</t>
  </si>
  <si>
    <t>Retired Government Officer, having knowledge in excel.</t>
  </si>
  <si>
    <t>1200000 INR</t>
  </si>
  <si>
    <t>RM48,000</t>
  </si>
  <si>
    <t>Credit Risk Manager</t>
  </si>
  <si>
    <t>Malaysia</t>
  </si>
  <si>
    <t>NZD 180000</t>
  </si>
  <si>
    <t>Rs.5,45,000</t>
  </si>
  <si>
    <t>Rs.10,00,000</t>
  </si>
  <si>
    <t>Credit Manager - Loans</t>
  </si>
  <si>
    <t>Audit executive</t>
  </si>
  <si>
    <t>INDIA</t>
  </si>
  <si>
    <t>$45,000  USD</t>
  </si>
  <si>
    <t>Staff accountant -- Auditing</t>
  </si>
  <si>
    <t>Asst Manager - Quality</t>
  </si>
  <si>
    <t>Principal Analyst</t>
  </si>
  <si>
    <t>Business Consultant</t>
  </si>
  <si>
    <t>Ass Research  Manager</t>
  </si>
  <si>
    <t>Data Specialist</t>
  </si>
  <si>
    <t>350000 Rs</t>
  </si>
  <si>
    <t>LKR 240000</t>
  </si>
  <si>
    <t>LKR</t>
  </si>
  <si>
    <t>Rs.6.4 lakhs</t>
  </si>
  <si>
    <t>Sr.Analyst - Process Excellence</t>
  </si>
  <si>
    <t>Operations Management</t>
  </si>
  <si>
    <t>R308 500</t>
  </si>
  <si>
    <t>Management Information Consultant</t>
  </si>
  <si>
    <t>associate analyst</t>
  </si>
  <si>
    <t>usd 20.000</t>
  </si>
  <si>
    <t>Head of Financial Reporting</t>
  </si>
  <si>
    <t>Paraguay</t>
  </si>
  <si>
    <t>Softwar Engineer</t>
  </si>
  <si>
    <t>SGD92,000</t>
  </si>
  <si>
    <t>SGD</t>
  </si>
  <si>
    <t>INR 4.5 Lac</t>
  </si>
  <si>
    <t>Rs.5.7 lacs</t>
  </si>
  <si>
    <t>MIS &amp; Analysis</t>
  </si>
  <si>
    <t>Net- 56000Rs, Gross - 61000Rs</t>
  </si>
  <si>
    <t xml:space="preserve">Asst. Manager </t>
  </si>
  <si>
    <t>Project Managment Office</t>
  </si>
  <si>
    <t>Audit Assistant</t>
  </si>
  <si>
    <t>singapore</t>
  </si>
  <si>
    <t>Rs. 4,00,000/-</t>
  </si>
  <si>
    <t xml:space="preserve">3 Lakh </t>
  </si>
  <si>
    <t>ACCOUNTS</t>
  </si>
  <si>
    <t>Area Sales Manager</t>
  </si>
  <si>
    <t>PK RS 456000</t>
  </si>
  <si>
    <t>Strategic Planning Executive</t>
  </si>
  <si>
    <t xml:space="preserve">Rs 4,20,000 </t>
  </si>
  <si>
    <t>Category Operations Supv.</t>
  </si>
  <si>
    <t>Kuwait</t>
  </si>
  <si>
    <t>10 Lakh</t>
  </si>
  <si>
    <t>Teaching</t>
  </si>
  <si>
    <t>USD 60000</t>
  </si>
  <si>
    <t>Excel Developer</t>
  </si>
  <si>
    <t>Report Specialist</t>
  </si>
  <si>
    <t>Project Controlling (MIS Reports)</t>
  </si>
  <si>
    <t>2,00,000 INR</t>
  </si>
  <si>
    <t>Monitoring &amp; evaluation officer</t>
  </si>
  <si>
    <t>Accounts Exec</t>
  </si>
  <si>
    <t>Rs. 700000</t>
  </si>
  <si>
    <t>55000 usd</t>
  </si>
  <si>
    <t>planning &amp; Sales Control emploee</t>
  </si>
  <si>
    <t>RRHH</t>
  </si>
  <si>
    <t>SPAIN</t>
  </si>
  <si>
    <t>Rs. 1200000</t>
  </si>
  <si>
    <t>BA</t>
  </si>
  <si>
    <t>16000 euro</t>
  </si>
  <si>
    <t>Management Information Systems</t>
  </si>
  <si>
    <t>ZAR240000</t>
  </si>
  <si>
    <t>Bookkeeper</t>
  </si>
  <si>
    <t>Sr Exec - Finance</t>
  </si>
  <si>
    <t xml:space="preserve">INR 530000 </t>
  </si>
  <si>
    <t>Project Administrator</t>
  </si>
  <si>
    <t>1500 $</t>
  </si>
  <si>
    <t>Rs 200000</t>
  </si>
  <si>
    <t>Business Development Executive</t>
  </si>
  <si>
    <t>2LAKHS</t>
  </si>
  <si>
    <t>Rs. 25000</t>
  </si>
  <si>
    <t>Professional consultant-Finance</t>
  </si>
  <si>
    <t>1600000Rs</t>
  </si>
  <si>
    <t>Manager Fin</t>
  </si>
  <si>
    <t>business data analyst</t>
  </si>
  <si>
    <t>Rs. 438000</t>
  </si>
  <si>
    <t>Assistant Professor</t>
  </si>
  <si>
    <t>Â£50</t>
  </si>
  <si>
    <t>Production manager</t>
  </si>
  <si>
    <t>INR 2.5 Lakh</t>
  </si>
  <si>
    <t xml:space="preserve">SR. MIS </t>
  </si>
  <si>
    <t>Data Entry Operator</t>
  </si>
  <si>
    <t>INR 2500000</t>
  </si>
  <si>
    <t>Vice President</t>
  </si>
  <si>
    <t>finance assistant</t>
  </si>
  <si>
    <t>finance controller</t>
  </si>
  <si>
    <t>Manufacturing consultant</t>
  </si>
  <si>
    <t>Â£63000</t>
  </si>
  <si>
    <t>Business Improvement Specialist</t>
  </si>
  <si>
    <t>50000 US $ per year</t>
  </si>
  <si>
    <t>Sr. Manager MIS</t>
  </si>
  <si>
    <t>50000 INR</t>
  </si>
  <si>
    <t>Sr.Supervisor</t>
  </si>
  <si>
    <t>Policy, Performance and Research Officer</t>
  </si>
  <si>
    <t>Â£23000</t>
  </si>
  <si>
    <t>Rs500000</t>
  </si>
  <si>
    <t>40000 euro</t>
  </si>
  <si>
    <t>Accounting analyst</t>
  </si>
  <si>
    <t>Business Operations Co-ordinator</t>
  </si>
  <si>
    <t>Project Control Analyst</t>
  </si>
  <si>
    <t>MDM Executive (Business Analyst)</t>
  </si>
  <si>
    <t>Data analyst</t>
  </si>
  <si>
    <t>OFFICER</t>
  </si>
  <si>
    <t>PAKISTAN</t>
  </si>
  <si>
    <t>Â£40000</t>
  </si>
  <si>
    <t>Spare Part Coordinator</t>
  </si>
  <si>
    <t>coordinator</t>
  </si>
  <si>
    <t>Systems Analyst</t>
  </si>
  <si>
    <t>Rs. 15000</t>
  </si>
  <si>
    <t>Logistics Operation Analyst</t>
  </si>
  <si>
    <t>Rs. 600000</t>
  </si>
  <si>
    <t>Company Secretary</t>
  </si>
  <si>
    <t>INR 300000</t>
  </si>
  <si>
    <t>R100,000</t>
  </si>
  <si>
    <t>Q.A.Officer</t>
  </si>
  <si>
    <t>Â£45000</t>
  </si>
  <si>
    <t>Assistant Director - Performance Information</t>
  </si>
  <si>
    <t>Â£25000</t>
  </si>
  <si>
    <t>Developer</t>
  </si>
  <si>
    <t>Development (Project &amp; Planning) Manager</t>
  </si>
  <si>
    <t>GBP Â£45200</t>
  </si>
  <si>
    <t>Clinical audit manager</t>
  </si>
  <si>
    <t>252000 INR</t>
  </si>
  <si>
    <t>Inventory Manager</t>
  </si>
  <si>
    <t>information Analyst</t>
  </si>
  <si>
    <t>Development Manager</t>
  </si>
  <si>
    <t>AED 120000</t>
  </si>
  <si>
    <t>MI Specialist</t>
  </si>
  <si>
    <t>Network Enginer</t>
  </si>
  <si>
    <t>Rs. 900000</t>
  </si>
  <si>
    <t>officer</t>
  </si>
  <si>
    <t>Sr. Team Lead - MIS</t>
  </si>
  <si>
    <t>KEY</t>
  </si>
  <si>
    <t>Â£15000</t>
  </si>
  <si>
    <t>â‚¬ 45000</t>
  </si>
  <si>
    <t>Sales Planning</t>
  </si>
  <si>
    <t>Rs 2400000</t>
  </si>
  <si>
    <t>GM Finance</t>
  </si>
  <si>
    <t>PhP 216,000</t>
  </si>
  <si>
    <t>Performance manager</t>
  </si>
  <si>
    <t>software engineer</t>
  </si>
  <si>
    <t>200000 rupees</t>
  </si>
  <si>
    <t>MIS Sr. Executive</t>
  </si>
  <si>
    <t>Translator</t>
  </si>
  <si>
    <t>Business Anaylyst</t>
  </si>
  <si>
    <t>INR 853000</t>
  </si>
  <si>
    <t>Lead Research Analyst</t>
  </si>
  <si>
    <t>Management Information Manager</t>
  </si>
  <si>
    <t>Continental Europe</t>
  </si>
  <si>
    <t>Data Management Officer</t>
  </si>
  <si>
    <t>Reporting Accountant</t>
  </si>
  <si>
    <t>â‚¬70k</t>
  </si>
  <si>
    <t>Construction Planner</t>
  </si>
  <si>
    <t>Assistant Accountant</t>
  </si>
  <si>
    <t>BI Analyst</t>
  </si>
  <si>
    <t>MI Analyst</t>
  </si>
  <si>
    <t>Accounts Assistant</t>
  </si>
  <si>
    <t>Montenegro</t>
  </si>
  <si>
    <t>Â£37500</t>
  </si>
  <si>
    <t>Corporate Finance Executive</t>
  </si>
  <si>
    <t>Rs. 59,000 (Per Month)</t>
  </si>
  <si>
    <t>Manager-Operation</t>
  </si>
  <si>
    <t>R366252</t>
  </si>
  <si>
    <t>Financial Analysist</t>
  </si>
  <si>
    <t>AM Ops</t>
  </si>
  <si>
    <t>Rs.5,00,000</t>
  </si>
  <si>
    <t>pricing and cost manager</t>
  </si>
  <si>
    <t>mexico</t>
  </si>
  <si>
    <t>Catlog associates</t>
  </si>
  <si>
    <t>Â£51,000/$81,600</t>
  </si>
  <si>
    <t>Business Analyst - Central Finance</t>
  </si>
  <si>
    <t>Analista de Produccion</t>
  </si>
  <si>
    <t>Republica Dominicana</t>
  </si>
  <si>
    <t>CAD$65000</t>
  </si>
  <si>
    <t>IT Analyst (Reporting)</t>
  </si>
  <si>
    <t>$50,000 U.S.</t>
  </si>
  <si>
    <t>Â£80000</t>
  </si>
  <si>
    <t>R$ 54000</t>
  </si>
  <si>
    <t>Logistics Coordinator</t>
  </si>
  <si>
    <t>8725 $</t>
  </si>
  <si>
    <t>Â£32000</t>
  </si>
  <si>
    <t>Service Analyst</t>
  </si>
  <si>
    <t>Â£43000</t>
  </si>
  <si>
    <t>Head of Finance</t>
  </si>
  <si>
    <t>CAD $53,000/-</t>
  </si>
  <si>
    <t>INR 20 Lakhs p.a.</t>
  </si>
  <si>
    <t>4.5 laks</t>
  </si>
  <si>
    <t>Business Intelligence Manager</t>
  </si>
  <si>
    <t>Network Administrator</t>
  </si>
  <si>
    <t>GBPÂ£32000</t>
  </si>
  <si>
    <t>Performance Analyst</t>
  </si>
  <si>
    <t>Data Entry Clerk III</t>
  </si>
  <si>
    <t>Rs. 350000</t>
  </si>
  <si>
    <t>officer accounts</t>
  </si>
  <si>
    <t>S$50000</t>
  </si>
  <si>
    <t>Cost Controlling Executive</t>
  </si>
  <si>
    <t>Administration Manager</t>
  </si>
  <si>
    <t>Argentina</t>
  </si>
  <si>
    <t>216000 AED</t>
  </si>
  <si>
    <t>Rupees : 2,000,000</t>
  </si>
  <si>
    <t>Excel Corporate Trainer</t>
  </si>
  <si>
    <t>Quality Management</t>
  </si>
  <si>
    <t>5000  PLN   net</t>
  </si>
  <si>
    <t>PLN</t>
  </si>
  <si>
    <t>US$ 7,200</t>
  </si>
  <si>
    <t>Supervisor MIS</t>
  </si>
  <si>
    <t>Rs 5,40,000</t>
  </si>
  <si>
    <t>Business Analyst - Solutions</t>
  </si>
  <si>
    <t>KES 4.3 million</t>
  </si>
  <si>
    <t>KENYA</t>
  </si>
  <si>
    <t>Kenya</t>
  </si>
  <si>
    <t>82.000 Euro (pre-tax)</t>
  </si>
  <si>
    <t>Finance Project Manager</t>
  </si>
  <si>
    <t>Manager, Strategy &amp; Insights</t>
  </si>
  <si>
    <t>Financial/Data Analyst</t>
  </si>
  <si>
    <t>Euro 15.000</t>
  </si>
  <si>
    <t>business consultant</t>
  </si>
  <si>
    <t>Italy</t>
  </si>
  <si>
    <t>Documentation Consultant</t>
  </si>
  <si>
    <t>Sr. Consultant</t>
  </si>
  <si>
    <t>investment accountant</t>
  </si>
  <si>
    <t>Officer Production</t>
  </si>
  <si>
    <t>warehouse management</t>
  </si>
  <si>
    <t>GREECE</t>
  </si>
  <si>
    <t>Chief Accountant</t>
  </si>
  <si>
    <t>Manager F &amp; A</t>
  </si>
  <si>
    <t>Quality Assurance Engineer</t>
  </si>
  <si>
    <t>DKK 625000</t>
  </si>
  <si>
    <t>DKK</t>
  </si>
  <si>
    <t>Manager Business Controlling</t>
  </si>
  <si>
    <t>sample manager</t>
  </si>
  <si>
    <t>Practice Manager</t>
  </si>
  <si>
    <t>INR 750,000</t>
  </si>
  <si>
    <t>marketing specialist</t>
  </si>
  <si>
    <t>40,000 US</t>
  </si>
  <si>
    <t>Staff Accountant</t>
  </si>
  <si>
    <t>Manager Corporate Finance</t>
  </si>
  <si>
    <t>Latin America</t>
  </si>
  <si>
    <t>INR 450000</t>
  </si>
  <si>
    <t>ASSISTANT MANAGER</t>
  </si>
  <si>
    <t>700000 INR</t>
  </si>
  <si>
    <t>Lead Executive MIS</t>
  </si>
  <si>
    <t>Snr Business Analyst</t>
  </si>
  <si>
    <t>QATAR</t>
  </si>
  <si>
    <t>assurance manager</t>
  </si>
  <si>
    <t>$40K</t>
  </si>
  <si>
    <t>SOX,SAP, Insurance Coordinator</t>
  </si>
  <si>
    <t>Pakistan, Angola</t>
  </si>
  <si>
    <t>Â£26000</t>
  </si>
  <si>
    <t>Financial Accountant</t>
  </si>
  <si>
    <t>Pmo</t>
  </si>
  <si>
    <t>62.000 euro</t>
  </si>
  <si>
    <t>Stafmember</t>
  </si>
  <si>
    <t>â‚¬35,000 / â‚¬44,000</t>
  </si>
  <si>
    <t>education advisor</t>
  </si>
  <si>
    <t>the Netherlands</t>
  </si>
  <si>
    <t>Senior Accounts Clerk</t>
  </si>
  <si>
    <t>Infection Prevention Surveillance Specialist</t>
  </si>
  <si>
    <t>IDR 4000000</t>
  </si>
  <si>
    <t>IDR</t>
  </si>
  <si>
    <t>Office Instructor</t>
  </si>
  <si>
    <t>GBP 34000</t>
  </si>
  <si>
    <t>Investment Accountant</t>
  </si>
  <si>
    <t>dkk 450000</t>
  </si>
  <si>
    <t>85000 USD</t>
  </si>
  <si>
    <t xml:space="preserve">Senior Executive Compensation Analyst </t>
  </si>
  <si>
    <t>USD72000</t>
  </si>
  <si>
    <t>Markets Adviser</t>
  </si>
  <si>
    <t>GBP 43,000</t>
  </si>
  <si>
    <t>Â£25750</t>
  </si>
  <si>
    <t>Program &amp; Policy Analyst-Advanced</t>
  </si>
  <si>
    <t>systems accountant</t>
  </si>
  <si>
    <t>Sr. Systems Analyst</t>
  </si>
  <si>
    <t>Environmental Information Analyst</t>
  </si>
  <si>
    <t>Develope</t>
  </si>
  <si>
    <t>it manager</t>
  </si>
  <si>
    <t>MONGOLIAN</t>
  </si>
  <si>
    <t>Mongolia</t>
  </si>
  <si>
    <t>RM3000</t>
  </si>
  <si>
    <t>Process Engineering</t>
  </si>
  <si>
    <t>120,000  US$</t>
  </si>
  <si>
    <t>Consultant - Process Improvement</t>
  </si>
  <si>
    <t>Senior Materials Handler</t>
  </si>
  <si>
    <t>Certified Public Accountant</t>
  </si>
  <si>
    <t>Manager - Marketing Analytics</t>
  </si>
  <si>
    <t>Contractor/Consultant</t>
  </si>
  <si>
    <t>AUD $43000</t>
  </si>
  <si>
    <t>Operations Support Officer</t>
  </si>
  <si>
    <t>master scheduler</t>
  </si>
  <si>
    <t>Practice Manager - Business Operations</t>
  </si>
  <si>
    <t>48000 $AUD</t>
  </si>
  <si>
    <t>Staff Assistant</t>
  </si>
  <si>
    <t>AVP Securitisation</t>
  </si>
  <si>
    <t>Asstt. Manager</t>
  </si>
  <si>
    <t>MYR89500</t>
  </si>
  <si>
    <t>USD 11800 (INR 650000)</t>
  </si>
  <si>
    <t>Assistant Data Analyst</t>
  </si>
  <si>
    <t>Rs.3.6 Lakhs pa</t>
  </si>
  <si>
    <t>Team Leader WFM</t>
  </si>
  <si>
    <t>manager operation</t>
  </si>
  <si>
    <t>srilanka</t>
  </si>
  <si>
    <t>Indian Rs 10 Lakhs</t>
  </si>
  <si>
    <t>INR 900000</t>
  </si>
  <si>
    <t>RENTAL INVENTORY CONTROLLER</t>
  </si>
  <si>
    <t>Publisher</t>
  </si>
  <si>
    <t>Resource Planning Analyst</t>
  </si>
  <si>
    <t>3,00,000.00</t>
  </si>
  <si>
    <t>MIS OFFICER</t>
  </si>
  <si>
    <t>400000INR</t>
  </si>
  <si>
    <t>Monitoring &amp; Evaluation officer</t>
  </si>
  <si>
    <t>Myanmar</t>
  </si>
  <si>
    <t>us $ 14000</t>
  </si>
  <si>
    <t>Pricing Analyst</t>
  </si>
  <si>
    <t>excel prof</t>
  </si>
  <si>
    <t>pakistan</t>
  </si>
  <si>
    <t>30000 EUR</t>
  </si>
  <si>
    <t>Employee</t>
  </si>
  <si>
    <t>6,00,000 INR</t>
  </si>
  <si>
    <t>Senior Business Executive</t>
  </si>
  <si>
    <t>3.5 lakhs p.a</t>
  </si>
  <si>
    <t>I dont know</t>
  </si>
  <si>
    <t>Financial Analysis</t>
  </si>
  <si>
    <t>Rs 1500000</t>
  </si>
  <si>
    <t>US$ 100,000</t>
  </si>
  <si>
    <t>Uganda</t>
  </si>
  <si>
    <t>Project Support Officer</t>
  </si>
  <si>
    <t>AUS 49,000</t>
  </si>
  <si>
    <t>Document Control</t>
  </si>
  <si>
    <t>5,75,000</t>
  </si>
  <si>
    <t>Asst Manager HR</t>
  </si>
  <si>
    <t>500000 Rupees</t>
  </si>
  <si>
    <t>Senior software engineer</t>
  </si>
  <si>
    <t>36K</t>
  </si>
  <si>
    <t>210000 per annum</t>
  </si>
  <si>
    <t>MIS cum Purchase Executive</t>
  </si>
  <si>
    <t>â‚¬ 48500</t>
  </si>
  <si>
    <t>Information analyst</t>
  </si>
  <si>
    <t>2 LPA</t>
  </si>
  <si>
    <t>INR360000</t>
  </si>
  <si>
    <t>Sr. Executive -HR</t>
  </si>
  <si>
    <t>â‚¬ 28500</t>
  </si>
  <si>
    <t>Salary Professsional</t>
  </si>
  <si>
    <t>FANANCE</t>
  </si>
  <si>
    <t>SRI LANKA</t>
  </si>
  <si>
    <t>Manager - Corporate strategy and Planning</t>
  </si>
  <si>
    <t>6lakhs</t>
  </si>
  <si>
    <t>NAF Support Manager</t>
  </si>
  <si>
    <t>43000 EUR</t>
  </si>
  <si>
    <t>Project manager of IT infrastructure</t>
  </si>
  <si>
    <t>about 24.000 â‚¬</t>
  </si>
  <si>
    <t>relationship manager</t>
  </si>
  <si>
    <t>82000 USD</t>
  </si>
  <si>
    <t>6.6 Lacs</t>
  </si>
  <si>
    <t>AM business Intelligence</t>
  </si>
  <si>
    <t>17000 Rs</t>
  </si>
  <si>
    <t>MIS Associate</t>
  </si>
  <si>
    <t>41000 â‚¬</t>
  </si>
  <si>
    <t>TL WFM</t>
  </si>
  <si>
    <t>new zealand</t>
  </si>
  <si>
    <t>Dir. Revenue Mgt</t>
  </si>
  <si>
    <t>Kingdom of Saudi Arabia</t>
  </si>
  <si>
    <t>60000 USD p.a.</t>
  </si>
  <si>
    <t>Controlling Manager</t>
  </si>
  <si>
    <t>CEE</t>
  </si>
  <si>
    <t>Financial Modelling Analyst</t>
  </si>
  <si>
    <t>support manager</t>
  </si>
  <si>
    <t>Web Analyst</t>
  </si>
  <si>
    <t>Rs.6,00,000</t>
  </si>
  <si>
    <t>liquidity manager</t>
  </si>
  <si>
    <t>Ghana</t>
  </si>
  <si>
    <t>41000 $</t>
  </si>
  <si>
    <t>PO/PMO/Planner/PM</t>
  </si>
  <si>
    <t>16,00,000</t>
  </si>
  <si>
    <t xml:space="preserve">Senior Associate </t>
  </si>
  <si>
    <t>MIS HR,HRIS</t>
  </si>
  <si>
    <t>Â£70000</t>
  </si>
  <si>
    <t>USD 5300</t>
  </si>
  <si>
    <t>Asst. Production Manager</t>
  </si>
  <si>
    <t>9 067</t>
  </si>
  <si>
    <t>assistant</t>
  </si>
  <si>
    <t>A$150000</t>
  </si>
  <si>
    <t>Bus Analyst</t>
  </si>
  <si>
    <t>Vice President of Performance Management</t>
  </si>
  <si>
    <t>Principal advisor</t>
  </si>
  <si>
    <t>Director of Technology</t>
  </si>
  <si>
    <t>Austria</t>
  </si>
  <si>
    <t>2.5 per lacks</t>
  </si>
  <si>
    <t>Credit Executive</t>
  </si>
  <si>
    <t>Business Analytics Associate</t>
  </si>
  <si>
    <t xml:space="preserve">27,000.GBP 42,353 USD </t>
  </si>
  <si>
    <t>Engineering Tech</t>
  </si>
  <si>
    <t xml:space="preserve">Rs. 4.5 lakhs </t>
  </si>
  <si>
    <t>Mechanical Design engineer</t>
  </si>
  <si>
    <t>Business Information Analyst</t>
  </si>
  <si>
    <t>2.21Lac</t>
  </si>
  <si>
    <t>Junior Controller</t>
  </si>
  <si>
    <t>4000000 JPY</t>
  </si>
  <si>
    <t>JPY</t>
  </si>
  <si>
    <t>System Analyst (Configuration Mgmt)</t>
  </si>
  <si>
    <t>Planning Supervisor</t>
  </si>
  <si>
    <t>$80,000 USD</t>
  </si>
  <si>
    <t>Manager of Data Analytics</t>
  </si>
  <si>
    <t>Quality Control Supervisor</t>
  </si>
  <si>
    <t>$100,000 US</t>
  </si>
  <si>
    <t>$60,000 USD</t>
  </si>
  <si>
    <t>clerk 24 hrs per week</t>
  </si>
  <si>
    <t>Engineering Intern</t>
  </si>
  <si>
    <t>Vice Head of Dpt in Education</t>
  </si>
  <si>
    <t xml:space="preserve">$83000 USD </t>
  </si>
  <si>
    <t>Senior Planning Analyst</t>
  </si>
  <si>
    <t>energy engineer</t>
  </si>
  <si>
    <t>Measurement &amp; Verification Engineer</t>
  </si>
  <si>
    <t>97,000 USD</t>
  </si>
  <si>
    <t>Sr. Manager of Finance</t>
  </si>
  <si>
    <t>60000 $</t>
  </si>
  <si>
    <t>I.T Manager</t>
  </si>
  <si>
    <t>Rs 250000</t>
  </si>
  <si>
    <t>Measurement Specialist</t>
  </si>
  <si>
    <t>Test engineer</t>
  </si>
  <si>
    <t>VP, Business Management</t>
  </si>
  <si>
    <t>MIS Controller</t>
  </si>
  <si>
    <t>Senior Underwriting Analyst</t>
  </si>
  <si>
    <t>Data Integrity &amp; Reporting Tool Analyst</t>
  </si>
  <si>
    <t>Manager FP and A</t>
  </si>
  <si>
    <t>Business Operation Specialist</t>
  </si>
  <si>
    <t>Stress Engineer</t>
  </si>
  <si>
    <t>eeo analyst</t>
  </si>
  <si>
    <t>Sr Process Consultant</t>
  </si>
  <si>
    <t>37K</t>
  </si>
  <si>
    <t>Credentialing Coordinator &amp; Productivity Reports "Guru"</t>
  </si>
  <si>
    <t>Transportation Planner</t>
  </si>
  <si>
    <t>Risk Analyst</t>
  </si>
  <si>
    <t>Project Coordinator</t>
  </si>
  <si>
    <t>36000 euros</t>
  </si>
  <si>
    <t>Data Analytics Consultant</t>
  </si>
  <si>
    <t>Manager, Financial Planning &amp; Analysis</t>
  </si>
  <si>
    <t>Lead Budget/Financial Analyst</t>
  </si>
  <si>
    <t>216000.00 Saudi Riyak</t>
  </si>
  <si>
    <t>Senior Electrical Engineer</t>
  </si>
  <si>
    <t>Accounting Supervisor</t>
  </si>
  <si>
    <t>Tax Manager</t>
  </si>
  <si>
    <t>Finance &amp; IT Manager</t>
  </si>
  <si>
    <t>Technical Support Specialist</t>
  </si>
  <si>
    <t>Clinical Data Specialist</t>
  </si>
  <si>
    <t>INR 750000</t>
  </si>
  <si>
    <t>Associate - Indirect Tax</t>
  </si>
  <si>
    <t>Digital Analyst</t>
  </si>
  <si>
    <t>Senior Budget Analyst</t>
  </si>
  <si>
    <t>HR Cordinator</t>
  </si>
  <si>
    <t>Treasury Analyst</t>
  </si>
  <si>
    <t>Assistant Engineer</t>
  </si>
  <si>
    <t>92000 USD</t>
  </si>
  <si>
    <t>sr. senior analyst</t>
  </si>
  <si>
    <t>Project Manager - Finance</t>
  </si>
  <si>
    <t>Senior analyst, ops support</t>
  </si>
  <si>
    <t>Rs 3.25 Lacs</t>
  </si>
  <si>
    <t>ISO TS Documentation</t>
  </si>
  <si>
    <t>24000 USD</t>
  </si>
  <si>
    <t>inventory controller</t>
  </si>
  <si>
    <t>Accounting manager</t>
  </si>
  <si>
    <t>AUD55,000</t>
  </si>
  <si>
    <t>PA</t>
  </si>
  <si>
    <t>Manager, Data Management</t>
  </si>
  <si>
    <t>MYR60000</t>
  </si>
  <si>
    <t>Liquidity Management Executive</t>
  </si>
  <si>
    <t xml:space="preserve">accounting systems manager </t>
  </si>
  <si>
    <t>Rs. 900000 per annum</t>
  </si>
  <si>
    <t>Rs  6 lakhs/annum</t>
  </si>
  <si>
    <t>Accounting Specialist</t>
  </si>
  <si>
    <t>Project Management</t>
  </si>
  <si>
    <t>project management</t>
  </si>
  <si>
    <t>Business Intelligence Supervisor</t>
  </si>
  <si>
    <t>zar22000</t>
  </si>
  <si>
    <t>SouthAfrica</t>
  </si>
  <si>
    <t>stress engineer</t>
  </si>
  <si>
    <t>nld</t>
  </si>
  <si>
    <t>320000 INR</t>
  </si>
  <si>
    <t>4 Lakhs INR p.a</t>
  </si>
  <si>
    <t>Rs.2,50,000.00</t>
  </si>
  <si>
    <t>Manager Commercial</t>
  </si>
  <si>
    <t>Rs. 1150000/-</t>
  </si>
  <si>
    <t>Catalog Auditor</t>
  </si>
  <si>
    <t>Rs 10,00,000</t>
  </si>
  <si>
    <t>Â£17000</t>
  </si>
  <si>
    <t>Verification Agent</t>
  </si>
  <si>
    <t>M &amp; E Officer</t>
  </si>
  <si>
    <t>Myanmar [Burma]</t>
  </si>
  <si>
    <t>Assistant Financial Accountant</t>
  </si>
  <si>
    <t>Support</t>
  </si>
  <si>
    <t>EU</t>
  </si>
  <si>
    <t>Process Assocaite</t>
  </si>
  <si>
    <t>$AUD 125,000 +</t>
  </si>
  <si>
    <t>Financial Application Developer</t>
  </si>
  <si>
    <t>Â£37000</t>
  </si>
  <si>
    <t>Planning &amp; Scheduling Manager</t>
  </si>
  <si>
    <t>ZAR6500</t>
  </si>
  <si>
    <t>Online Stats Controller</t>
  </si>
  <si>
    <t>INR 60000</t>
  </si>
  <si>
    <t>DEO</t>
  </si>
  <si>
    <t>M I S Executive</t>
  </si>
  <si>
    <t>Service Solution Rep</t>
  </si>
  <si>
    <t>US $ 3200</t>
  </si>
  <si>
    <t xml:space="preserve">Regional Business Manager </t>
  </si>
  <si>
    <t>sales&amp;marketing</t>
  </si>
  <si>
    <t>turkey</t>
  </si>
  <si>
    <t>sr analyst</t>
  </si>
  <si>
    <t>Mgr Technology</t>
  </si>
  <si>
    <t>60000 Euros</t>
  </si>
  <si>
    <t>Chemical Engineer</t>
  </si>
  <si>
    <t>Senior Planning Engineer</t>
  </si>
  <si>
    <t>AUD 165000</t>
  </si>
  <si>
    <t>50000 US$</t>
  </si>
  <si>
    <t>7200 USD per year aprox</t>
  </si>
  <si>
    <t>control process auxiliary</t>
  </si>
  <si>
    <t>Business Intelligence Consultant</t>
  </si>
  <si>
    <t>Officer MIS</t>
  </si>
  <si>
    <t>operations Administrator</t>
  </si>
  <si>
    <t>33500 â‚¬</t>
  </si>
  <si>
    <t>Controller / VBA Developet</t>
  </si>
  <si>
    <t>61K</t>
  </si>
  <si>
    <t>Director of Business Analytics</t>
  </si>
  <si>
    <t>278000 PA</t>
  </si>
  <si>
    <t>Supplier Manager</t>
  </si>
  <si>
    <t>Reports Writer</t>
  </si>
  <si>
    <t>Process Associate</t>
  </si>
  <si>
    <t>6.5 LAKHS</t>
  </si>
  <si>
    <t>HR/ADMINISTRATION</t>
  </si>
  <si>
    <t>4.00 lac</t>
  </si>
  <si>
    <t>Operational Specialist</t>
  </si>
  <si>
    <t>US$ 10000</t>
  </si>
  <si>
    <t>Trainee</t>
  </si>
  <si>
    <t>Senior Business Research Analyst</t>
  </si>
  <si>
    <t>Senior Consultant - PMO</t>
  </si>
  <si>
    <t>Rs 5,36,000</t>
  </si>
  <si>
    <t>Financial Analst</t>
  </si>
  <si>
    <t>Excel Business Analyst</t>
  </si>
  <si>
    <t>SVP</t>
  </si>
  <si>
    <t>Bolivia</t>
  </si>
  <si>
    <t>info analyst</t>
  </si>
  <si>
    <t>Data Manager</t>
  </si>
  <si>
    <t>10000 US$</t>
  </si>
  <si>
    <t>Project management</t>
  </si>
  <si>
    <t>Vietnam</t>
  </si>
  <si>
    <t>Business Banker</t>
  </si>
  <si>
    <t>Associate Analyst</t>
  </si>
  <si>
    <t>MYS</t>
  </si>
  <si>
    <t>Rs. 200000/-</t>
  </si>
  <si>
    <t>Accounts Executive</t>
  </si>
  <si>
    <t>85,000 AUD</t>
  </si>
  <si>
    <t>Demand Planner</t>
  </si>
  <si>
    <t>Rs. 380000</t>
  </si>
  <si>
    <t>reporting analyst</t>
  </si>
  <si>
    <t>Â£30500</t>
  </si>
  <si>
    <t>Construction Estimator</t>
  </si>
  <si>
    <t>60K â‚¬</t>
  </si>
  <si>
    <t>Trade Marketing</t>
  </si>
  <si>
    <t>NL</t>
  </si>
  <si>
    <t>Merchandise Planning Manager</t>
  </si>
  <si>
    <t>pricing manager</t>
  </si>
  <si>
    <t>Marketing Services Manager</t>
  </si>
  <si>
    <t>Sr Analyst</t>
  </si>
  <si>
    <t>Rs. 180000</t>
  </si>
  <si>
    <t>Asst Store Manager</t>
  </si>
  <si>
    <t>45.000 USD</t>
  </si>
  <si>
    <t>Junior Reporting Manager</t>
  </si>
  <si>
    <t>Brand manager</t>
  </si>
  <si>
    <t>Libya</t>
  </si>
  <si>
    <t>55000 EUR</t>
  </si>
  <si>
    <t>Risk Officer</t>
  </si>
  <si>
    <t>Sr. Risk Analyst</t>
  </si>
  <si>
    <t>60000 EUR</t>
  </si>
  <si>
    <t>Business Engineer</t>
  </si>
  <si>
    <t>FA /financial Analyst</t>
  </si>
  <si>
    <t>Bulgaria</t>
  </si>
  <si>
    <t>$59,000 USD</t>
  </si>
  <si>
    <t>Operations Manager</t>
  </si>
  <si>
    <t>Management Reporting Analyst</t>
  </si>
  <si>
    <t>Reporting Team Lead</t>
  </si>
  <si>
    <t>70000 â‚¬</t>
  </si>
  <si>
    <t>Specialist Learning Technology</t>
  </si>
  <si>
    <t>USD90,000</t>
  </si>
  <si>
    <t>Operationsl Regional Manager</t>
  </si>
  <si>
    <t>Manager - Business Development</t>
  </si>
  <si>
    <t>$40,000 USD</t>
  </si>
  <si>
    <t>QA Data Analyst</t>
  </si>
  <si>
    <t>SME</t>
  </si>
  <si>
    <t>Work Force Scheduler for Call Center</t>
  </si>
  <si>
    <t>Asistente</t>
  </si>
  <si>
    <t>Peru</t>
  </si>
  <si>
    <t>INR 850000</t>
  </si>
  <si>
    <t>Sr Business analyst</t>
  </si>
  <si>
    <t>35000 GBP</t>
  </si>
  <si>
    <t>finance director</t>
  </si>
  <si>
    <t>IT Coordinator</t>
  </si>
  <si>
    <t>120000 MAD</t>
  </si>
  <si>
    <t>MAD</t>
  </si>
  <si>
    <t>Supply chain Controller</t>
  </si>
  <si>
    <t>Morocco</t>
  </si>
  <si>
    <t>Business Operations Analyst</t>
  </si>
  <si>
    <t>Sr Report Developer</t>
  </si>
  <si>
    <t>5.65 lac per annum</t>
  </si>
  <si>
    <t>Administrator</t>
  </si>
  <si>
    <t>AU $120000</t>
  </si>
  <si>
    <t xml:space="preserve">team leader </t>
  </si>
  <si>
    <t>Quality Assurance Analyst</t>
  </si>
  <si>
    <t>Analytics engineer</t>
  </si>
  <si>
    <t>Assistant Manger Service Quality Assurance</t>
  </si>
  <si>
    <t>AVP</t>
  </si>
  <si>
    <t>U$52,000/annual</t>
  </si>
  <si>
    <t>75000 $</t>
  </si>
  <si>
    <t>Rs 1000000</t>
  </si>
  <si>
    <t>Lesotho</t>
  </si>
  <si>
    <t>21000EUR</t>
  </si>
  <si>
    <t>Coordenador PeÃ§as Grupo</t>
  </si>
  <si>
    <t>Owner of Business Improvement Consultancy</t>
  </si>
  <si>
    <t>500 USD</t>
  </si>
  <si>
    <t>dgm</t>
  </si>
  <si>
    <t>Catalog Circulation Analyst</t>
  </si>
  <si>
    <t>20000 $</t>
  </si>
  <si>
    <t>â‚¬ 50k</t>
  </si>
  <si>
    <t>SAS Adminstrator</t>
  </si>
  <si>
    <t>Â£21500Uk</t>
  </si>
  <si>
    <t>42000 US</t>
  </si>
  <si>
    <t>production clerk</t>
  </si>
  <si>
    <t>U$13,000</t>
  </si>
  <si>
    <t>Dss Analyst</t>
  </si>
  <si>
    <t xml:space="preserve">Business Analysis &amp; MIS </t>
  </si>
  <si>
    <t>50000USD</t>
  </si>
  <si>
    <t>Associate Vice President</t>
  </si>
  <si>
    <t>M.I.S</t>
  </si>
  <si>
    <t>application dev</t>
  </si>
  <si>
    <t>37000GBP</t>
  </si>
  <si>
    <t>Technical Web Analyst</t>
  </si>
  <si>
    <t>6.8 Lac INR</t>
  </si>
  <si>
    <t>Head of Business</t>
  </si>
  <si>
    <t>24 K mauritian Rupees</t>
  </si>
  <si>
    <t>IT Support Engineer</t>
  </si>
  <si>
    <t>Mauritius</t>
  </si>
  <si>
    <t>Environmental Adviser</t>
  </si>
  <si>
    <t>Azerbaijan</t>
  </si>
  <si>
    <t>Rs. 3.70 lacs</t>
  </si>
  <si>
    <t>Senior Officer</t>
  </si>
  <si>
    <t>IT Developer</t>
  </si>
  <si>
    <t>485000 DKK</t>
  </si>
  <si>
    <t>business support analyst</t>
  </si>
  <si>
    <t>New zealand</t>
  </si>
  <si>
    <t>10 lacs INR</t>
  </si>
  <si>
    <t>Category Manager</t>
  </si>
  <si>
    <t>assistant director of finance</t>
  </si>
  <si>
    <t>Clinical Intake Specialist</t>
  </si>
  <si>
    <t>Marketing services</t>
  </si>
  <si>
    <t>Senior Associate, Finance</t>
  </si>
  <si>
    <t xml:space="preserve">MIS </t>
  </si>
  <si>
    <t>Rs. 125000</t>
  </si>
  <si>
    <t>No</t>
  </si>
  <si>
    <t>280$/ month</t>
  </si>
  <si>
    <t>service executive</t>
  </si>
  <si>
    <t>Sr financial analyst</t>
  </si>
  <si>
    <t>Consulting Practice Manager</t>
  </si>
  <si>
    <t>SVP of Acquisitions</t>
  </si>
  <si>
    <t>Store Inventory</t>
  </si>
  <si>
    <t>240000 INR</t>
  </si>
  <si>
    <t>Exicutive TQM</t>
  </si>
  <si>
    <t>Rs. 5 lacs</t>
  </si>
  <si>
    <t>INR 3.2 lpa</t>
  </si>
  <si>
    <t>Â£22k</t>
  </si>
  <si>
    <t>Supply/Demand Planner</t>
  </si>
  <si>
    <t>2600 $</t>
  </si>
  <si>
    <t>ISRAEL</t>
  </si>
  <si>
    <t>logistics analyst</t>
  </si>
  <si>
    <t>Slovakia</t>
  </si>
  <si>
    <t>BI director</t>
  </si>
  <si>
    <t>Sr Manager</t>
  </si>
  <si>
    <t>11000 USD</t>
  </si>
  <si>
    <t>Dataminer</t>
  </si>
  <si>
    <t>Tunisia</t>
  </si>
  <si>
    <t>30000 â‚¬</t>
  </si>
  <si>
    <t>Safety technician</t>
  </si>
  <si>
    <t>Marketing Data Analyst</t>
  </si>
  <si>
    <t>Category Leader</t>
  </si>
  <si>
    <t>Customer Sales Analyst</t>
  </si>
  <si>
    <t>Maintenance Manager</t>
  </si>
  <si>
    <t>US$ 30500</t>
  </si>
  <si>
    <t>Data Resource Specialist</t>
  </si>
  <si>
    <t>Waiter</t>
  </si>
  <si>
    <t>Business Systems Analyst I</t>
  </si>
  <si>
    <t>Technical Specialist</t>
  </si>
  <si>
    <t>Rs 16000</t>
  </si>
  <si>
    <t>Enterprise Portfolio Manager</t>
  </si>
  <si>
    <t>NZD$71000</t>
  </si>
  <si>
    <t>Sr Executive - MIS</t>
  </si>
  <si>
    <t>200000 INR</t>
  </si>
  <si>
    <t>france</t>
  </si>
  <si>
    <t>Senior QA Tester</t>
  </si>
  <si>
    <t>400 000 NOK</t>
  </si>
  <si>
    <t>NOK</t>
  </si>
  <si>
    <t>Economic analyst</t>
  </si>
  <si>
    <t>Directer of Sales Support</t>
  </si>
  <si>
    <t>Anallyst</t>
  </si>
  <si>
    <t>Â£35500</t>
  </si>
  <si>
    <t>Bussiness Analyst</t>
  </si>
  <si>
    <t>4 lacs INR</t>
  </si>
  <si>
    <t>38920EUR</t>
  </si>
  <si>
    <t>functional analyst</t>
  </si>
  <si>
    <t>US$45,000</t>
  </si>
  <si>
    <t>US$60000</t>
  </si>
  <si>
    <t>Actuarial Analyst</t>
  </si>
  <si>
    <t>process coordinator</t>
  </si>
  <si>
    <t>Contact Operations Analyst</t>
  </si>
  <si>
    <t>Student assistant</t>
  </si>
  <si>
    <t>PPC Search Specialist</t>
  </si>
  <si>
    <t>data organizer</t>
  </si>
  <si>
    <t>gov employee</t>
  </si>
  <si>
    <t>Accounts manager</t>
  </si>
  <si>
    <t>1.5 LINR</t>
  </si>
  <si>
    <t>Manager (MIS)</t>
  </si>
  <si>
    <t>financial analyst (real estate)</t>
  </si>
  <si>
    <t>36000stg</t>
  </si>
  <si>
    <t>contracts officer</t>
  </si>
  <si>
    <t>exe</t>
  </si>
  <si>
    <t>500000vINR</t>
  </si>
  <si>
    <t>Â£27000</t>
  </si>
  <si>
    <t>Network Designer</t>
  </si>
  <si>
    <t>Senior Production Accountant</t>
  </si>
  <si>
    <t>6000 US</t>
  </si>
  <si>
    <t>Reporting Coordinator</t>
  </si>
  <si>
    <t>Armenia</t>
  </si>
  <si>
    <t>PMO Analyst</t>
  </si>
  <si>
    <t>AGM - Operations &amp; Customer Support</t>
  </si>
  <si>
    <t>Baan ERP Functional Consultant</t>
  </si>
  <si>
    <t>Â£73000</t>
  </si>
  <si>
    <t>Sourcing Analyst</t>
  </si>
  <si>
    <t>Tax Associate</t>
  </si>
  <si>
    <t>Senior Fiancial Analyst</t>
  </si>
  <si>
    <t>Rs. 21500</t>
  </si>
  <si>
    <t>Senior Data Associate</t>
  </si>
  <si>
    <t>Business Analyst II</t>
  </si>
  <si>
    <t>Sales / Finance Manager</t>
  </si>
  <si>
    <t>9,50,000</t>
  </si>
  <si>
    <t>Associate Manager, Drug Safety Operations</t>
  </si>
  <si>
    <t>15000inr</t>
  </si>
  <si>
    <t xml:space="preserve">Project Lead </t>
  </si>
  <si>
    <t>INR800000</t>
  </si>
  <si>
    <t xml:space="preserve">Financial Analyst </t>
  </si>
  <si>
    <t>bUSINESS aNALYST</t>
  </si>
  <si>
    <t>Customer Service</t>
  </si>
  <si>
    <t>CHF140000</t>
  </si>
  <si>
    <t>CHF</t>
  </si>
  <si>
    <t>Projektleiter</t>
  </si>
  <si>
    <t>Pricing Manager</t>
  </si>
  <si>
    <t>Compliance Officer</t>
  </si>
  <si>
    <t>Data Management Solutions Supervisor</t>
  </si>
  <si>
    <t>Officer</t>
  </si>
  <si>
    <t>1.40 lac</t>
  </si>
  <si>
    <t>magic</t>
  </si>
  <si>
    <t>account</t>
  </si>
  <si>
    <t>purchasing manager</t>
  </si>
  <si>
    <t>equity research trainee</t>
  </si>
  <si>
    <t xml:space="preserve">project engineer </t>
  </si>
  <si>
    <t>Teacher</t>
  </si>
  <si>
    <t>regional sales manager</t>
  </si>
  <si>
    <t>croatia</t>
  </si>
  <si>
    <t>Â£22300</t>
  </si>
  <si>
    <t>Analysis &amp; insight consultant</t>
  </si>
  <si>
    <t>Â£31185</t>
  </si>
  <si>
    <t>Data Team Leader</t>
  </si>
  <si>
    <t>assistant account manager</t>
  </si>
  <si>
    <t>Scientist III</t>
  </si>
  <si>
    <t>Â£26500</t>
  </si>
  <si>
    <t>Compliance Manager</t>
  </si>
  <si>
    <t>Development Analyst</t>
  </si>
  <si>
    <t>computer operator</t>
  </si>
  <si>
    <t>ECommerce Manager</t>
  </si>
  <si>
    <t>Machine Scheduler</t>
  </si>
  <si>
    <t>$65,000 US</t>
  </si>
  <si>
    <t>Sr Financial Systems Analyst</t>
  </si>
  <si>
    <t>SFA</t>
  </si>
  <si>
    <t>Ð˜Ð¨ Ð¤Ñ‚Ñ„Ð´Ð½Ñ‹Ðµ</t>
  </si>
  <si>
    <t>ba</t>
  </si>
  <si>
    <t>Lead Financial Analyst</t>
  </si>
  <si>
    <t>Senior Associate Engineer</t>
  </si>
  <si>
    <t>Associate Manager</t>
  </si>
  <si>
    <t>Manager MIS &amp; Analytics</t>
  </si>
  <si>
    <t>aud145000</t>
  </si>
  <si>
    <t>Sales Cordinator</t>
  </si>
  <si>
    <t>Sr Executive</t>
  </si>
  <si>
    <t>4.5 Laks</t>
  </si>
  <si>
    <t>Manager, Operations</t>
  </si>
  <si>
    <t>IT Trainer</t>
  </si>
  <si>
    <t>administrator</t>
  </si>
  <si>
    <t>$214,000  USD</t>
  </si>
  <si>
    <t>Assistant Corporate Controller</t>
  </si>
  <si>
    <t>Data Integration Engenieer</t>
  </si>
  <si>
    <t>purchasing operations administrator</t>
  </si>
  <si>
    <t>Planning and Logistics Coordinator</t>
  </si>
  <si>
    <t>1600â‚¬ net monthly</t>
  </si>
  <si>
    <t>bank clerk</t>
  </si>
  <si>
    <t>Financial Modeler</t>
  </si>
  <si>
    <t>Personal Assistant</t>
  </si>
  <si>
    <t>Hong Kong</t>
  </si>
  <si>
    <t>INR 10 lacs p.a.</t>
  </si>
  <si>
    <t>Mnanager- Customer Project finance &amp; recovery</t>
  </si>
  <si>
    <t xml:space="preserve">Lead </t>
  </si>
  <si>
    <t>36000 British pounds</t>
  </si>
  <si>
    <t>Senior officer data reporting</t>
  </si>
  <si>
    <t>AM</t>
  </si>
  <si>
    <t>Rates Analyst</t>
  </si>
  <si>
    <t>Project Controller</t>
  </si>
  <si>
    <t>accoutant</t>
  </si>
  <si>
    <t>Programme Officer</t>
  </si>
  <si>
    <t>Digital Media Analyst</t>
  </si>
  <si>
    <t>Research Support Specialist</t>
  </si>
  <si>
    <t>US$ 85000</t>
  </si>
  <si>
    <t>Chief Financial Officer</t>
  </si>
  <si>
    <t>Â£33500</t>
  </si>
  <si>
    <t>Senior Manufacturing Engineer</t>
  </si>
  <si>
    <t>Customer Experence Engineer</t>
  </si>
  <si>
    <t>Baltic</t>
  </si>
  <si>
    <t>Manager - Controlling</t>
  </si>
  <si>
    <t>Sr. System Analyst</t>
  </si>
  <si>
    <t>Sr.Manager</t>
  </si>
  <si>
    <t>EUR 90000</t>
  </si>
  <si>
    <t>mainland Europe (Euro zone)</t>
  </si>
  <si>
    <t>$US16.110,72</t>
  </si>
  <si>
    <t>INFORMATION ANALIST</t>
  </si>
  <si>
    <t>COLOMBIA</t>
  </si>
  <si>
    <t>HR Supervisor</t>
  </si>
  <si>
    <t>Marketing Initatities Analyst</t>
  </si>
  <si>
    <t>Sales Compensation Analyst</t>
  </si>
  <si>
    <t>materials</t>
  </si>
  <si>
    <t>Actuarial Specialist</t>
  </si>
  <si>
    <t>Marketing Database Analyst</t>
  </si>
  <si>
    <t>INR 360000</t>
  </si>
  <si>
    <t>INR 50000</t>
  </si>
  <si>
    <t>Manager- Customer Support</t>
  </si>
  <si>
    <t>3.5 lac</t>
  </si>
  <si>
    <t>3r23regedf</t>
  </si>
  <si>
    <t>Revenue Focus Manager</t>
  </si>
  <si>
    <t>technical analyst</t>
  </si>
  <si>
    <t>US$100,000</t>
  </si>
  <si>
    <t>Senior Manager MIS</t>
  </si>
  <si>
    <t>AUD63000</t>
  </si>
  <si>
    <t>Financial Modelling adviser</t>
  </si>
  <si>
    <t>pm</t>
  </si>
  <si>
    <t>DK</t>
  </si>
  <si>
    <t>AML Analyst</t>
  </si>
  <si>
    <t xml:space="preserve">analyst </t>
  </si>
  <si>
    <t>$AUD 76300</t>
  </si>
  <si>
    <t>manager purchase</t>
  </si>
  <si>
    <t>Process Analyst</t>
  </si>
  <si>
    <t>60k usd</t>
  </si>
  <si>
    <t>buyer</t>
  </si>
  <si>
    <t>Inventory Analyst</t>
  </si>
  <si>
    <t>operator</t>
  </si>
  <si>
    <t>52,224.00ETB</t>
  </si>
  <si>
    <t>ETB</t>
  </si>
  <si>
    <t>Project Costing &amp;Dashboard reporting</t>
  </si>
  <si>
    <t>Ethiopia</t>
  </si>
  <si>
    <t>Marketing Analyst Co-op</t>
  </si>
  <si>
    <t>abc</t>
  </si>
  <si>
    <t>Rs23000/month</t>
  </si>
  <si>
    <t>MIS specialist</t>
  </si>
  <si>
    <t>research associate</t>
  </si>
  <si>
    <t>Monitoring and Evaluation Officer</t>
  </si>
  <si>
    <t>Vice President - Finance</t>
  </si>
  <si>
    <t xml:space="preserve">Operations Analyst </t>
  </si>
  <si>
    <t>Poultry Analyst</t>
  </si>
  <si>
    <t>Customer Resolution</t>
  </si>
  <si>
    <t>Business Analist</t>
  </si>
  <si>
    <t>south africa</t>
  </si>
  <si>
    <t>Oman</t>
  </si>
  <si>
    <t>eorl</t>
  </si>
  <si>
    <t>Corporate Trainer</t>
  </si>
  <si>
    <t>Administrative Coordinator</t>
  </si>
  <si>
    <t>Unique ID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</si>
  <si>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</si>
  <si>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</si>
  <si>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</si>
  <si>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</si>
  <si>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</si>
  <si>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</si>
  <si>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</si>
  <si>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</si>
  <si>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</si>
  <si>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</si>
  <si>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</si>
  <si>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</si>
  <si>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</si>
  <si>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</si>
  <si>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</si>
  <si>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</si>
  <si>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</si>
  <si>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</si>
  <si>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</si>
  <si>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</si>
  <si>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</si>
  <si>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</si>
  <si>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</si>
  <si>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</si>
  <si>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</si>
  <si>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</si>
  <si>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ID0028</t>
  </si>
  <si>
    <t>ID0029</t>
  </si>
  <si>
    <t>ID0030</t>
  </si>
  <si>
    <t>ID0031</t>
  </si>
  <si>
    <t>ID0032</t>
  </si>
  <si>
    <t>ID0033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</si>
  <si>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</si>
  <si>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</si>
  <si>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</si>
  <si>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</si>
  <si>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</si>
  <si>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</si>
  <si>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</si>
  <si>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</si>
  <si>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</si>
  <si>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</si>
  <si>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</si>
  <si>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</si>
  <si>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</si>
  <si>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</si>
  <si>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</si>
  <si>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</si>
  <si>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</si>
  <si>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</si>
  <si>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</si>
  <si>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</si>
  <si>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</si>
  <si>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</si>
  <si>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</si>
  <si>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</si>
  <si>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</si>
  <si>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</si>
  <si>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</si>
  <si>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</si>
  <si>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</si>
  <si>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</si>
  <si>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</si>
  <si>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</si>
  <si>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</si>
  <si>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</si>
  <si>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</si>
  <si>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</si>
  <si>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</si>
  <si>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</si>
  <si>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</si>
  <si>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</si>
  <si>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</si>
  <si>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</si>
  <si>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</si>
  <si>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</si>
  <si>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</si>
  <si>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</si>
  <si>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</si>
  <si>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</si>
  <si>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</si>
  <si>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</si>
  <si>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</si>
  <si>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</si>
  <si>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</si>
  <si>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</si>
  <si>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</si>
  <si>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</si>
  <si>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</si>
  <si>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</si>
  <si>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</si>
  <si>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</si>
  <si>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</si>
  <si>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</si>
  <si>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</si>
  <si>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</si>
  <si>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</si>
  <si>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</si>
  <si>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</si>
  <si>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</si>
  <si>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</si>
  <si>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</si>
  <si>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</si>
  <si>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</si>
  <si>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</si>
  <si>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</si>
  <si>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</si>
  <si>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</si>
  <si>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</si>
  <si>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</si>
  <si>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</si>
  <si>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</si>
  <si>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</si>
  <si>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</si>
  <si>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</si>
  <si>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</si>
  <si>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</si>
  <si>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</si>
  <si>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</si>
  <si>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</si>
  <si>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</si>
  <si>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</si>
  <si>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</si>
  <si>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</si>
  <si>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</si>
  <si>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</si>
  <si>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</si>
  <si>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</si>
  <si>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</si>
  <si>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</si>
  <si>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</si>
  <si>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</si>
  <si>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</si>
  <si>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</si>
  <si>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</si>
  <si>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</si>
  <si>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</si>
  <si>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</si>
  <si>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</si>
  <si>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</si>
  <si>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</si>
  <si>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</si>
  <si>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</si>
  <si>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</si>
  <si>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</si>
  <si>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</si>
  <si>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</si>
  <si>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</si>
  <si>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</si>
  <si>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</si>
  <si>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</si>
  <si>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</si>
  <si>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</si>
  <si>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</si>
  <si>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</si>
  <si>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</si>
  <si>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</si>
  <si>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</si>
  <si>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</si>
  <si>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</si>
  <si>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</si>
  <si>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</si>
  <si>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</si>
  <si>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</si>
  <si>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</si>
  <si>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</si>
  <si>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</si>
  <si>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</si>
  <si>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</si>
  <si>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</si>
  <si>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</si>
  <si>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</si>
  <si>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</si>
  <si>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</si>
  <si>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</si>
  <si>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</si>
  <si>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</si>
  <si>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</si>
  <si>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</si>
  <si>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</si>
  <si>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</si>
  <si>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</si>
  <si>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</si>
  <si>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</si>
  <si>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</si>
  <si>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</si>
  <si>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</si>
  <si>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ID0192</t>
  </si>
  <si>
    <t>ID0193</t>
  </si>
  <si>
    <t>ID0194</t>
  </si>
  <si>
    <t>ID0195</t>
  </si>
  <si>
    <t>ID0196</t>
  </si>
  <si>
    <t>ID0197</t>
  </si>
  <si>
    <t>ID0198</t>
  </si>
  <si>
    <t>ID0200</t>
  </si>
  <si>
    <t>ID0201</t>
  </si>
  <si>
    <t>ID0202</t>
  </si>
  <si>
    <t>ID0203</t>
  </si>
  <si>
    <t>ID0204</t>
  </si>
  <si>
    <t>ID0205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</si>
  <si>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</si>
  <si>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</si>
  <si>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</si>
  <si>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</si>
  <si>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</si>
  <si>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</si>
  <si>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</si>
  <si>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</si>
  <si>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</si>
  <si>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</si>
  <si>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</si>
  <si>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</si>
  <si>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</si>
  <si>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</si>
  <si>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</si>
  <si>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</si>
  <si>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</si>
  <si>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</si>
  <si>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</si>
  <si>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</si>
  <si>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</si>
  <si>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</si>
  <si>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</si>
  <si>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</si>
  <si>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</si>
  <si>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</si>
  <si>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</si>
  <si>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</si>
  <si>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</si>
  <si>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</si>
  <si>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</si>
  <si>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</si>
  <si>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</si>
  <si>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</si>
  <si>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</si>
  <si>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</si>
  <si>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</si>
  <si>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</si>
  <si>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</si>
  <si>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</si>
  <si>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</si>
  <si>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</si>
  <si>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</si>
  <si>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</si>
  <si>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</si>
  <si>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</si>
  <si>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</si>
  <si>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</si>
  <si>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</si>
  <si>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</si>
  <si>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</si>
  <si>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</si>
  <si>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</si>
  <si>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</si>
  <si>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</si>
  <si>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</si>
  <si>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</si>
  <si>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</si>
  <si>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</si>
  <si>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</si>
  <si>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</si>
  <si>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</si>
  <si>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</si>
  <si>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</si>
  <si>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</si>
  <si>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</si>
  <si>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</si>
  <si>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</si>
  <si>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</si>
  <si>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</si>
  <si>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</si>
  <si>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</si>
  <si>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</si>
  <si>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</si>
  <si>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</si>
  <si>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</si>
  <si>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</si>
  <si>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</si>
  <si>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</si>
  <si>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</si>
  <si>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</si>
  <si>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</si>
  <si>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</si>
  <si>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</si>
  <si>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</si>
  <si>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</si>
  <si>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</si>
  <si>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</si>
  <si>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</si>
  <si>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</si>
  <si>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</si>
  <si>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</si>
  <si>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</si>
  <si>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</si>
  <si>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</si>
  <si>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</si>
  <si>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</si>
  <si>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</si>
  <si>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</si>
  <si>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</si>
  <si>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</si>
  <si>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</si>
  <si>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</si>
  <si>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</si>
  <si>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</si>
  <si>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</si>
  <si>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</si>
  <si>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</si>
  <si>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</si>
  <si>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</si>
  <si>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</si>
  <si>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</si>
  <si>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</si>
  <si>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</si>
  <si>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</si>
  <si>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</si>
  <si>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</si>
  <si>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</si>
  <si>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</si>
  <si>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</si>
  <si>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</si>
  <si>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</si>
  <si>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</si>
  <si>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</si>
  <si>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</si>
  <si>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</si>
  <si>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</si>
  <si>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</si>
  <si>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</si>
  <si>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</si>
  <si>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</si>
  <si>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</si>
  <si>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</si>
  <si>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</si>
  <si>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</si>
  <si>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</si>
  <si>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</si>
  <si>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</si>
  <si>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</si>
  <si>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</si>
  <si>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</si>
  <si>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</si>
  <si>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</si>
  <si>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</si>
  <si>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</si>
  <si>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</si>
  <si>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</si>
  <si>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</si>
  <si>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</si>
  <si>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</si>
  <si>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</si>
  <si>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</si>
  <si>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</si>
  <si>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</si>
  <si>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</si>
  <si>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</si>
  <si>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</si>
  <si>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</si>
  <si>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</si>
  <si>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</si>
  <si>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</si>
  <si>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</si>
  <si>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</si>
  <si>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</si>
  <si>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</si>
  <si>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</si>
  <si>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</si>
  <si>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</si>
  <si>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</si>
  <si>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</si>
  <si>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</si>
  <si>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</si>
  <si>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</si>
  <si>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</si>
  <si>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</si>
  <si>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</si>
  <si>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</si>
  <si>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</si>
  <si>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</si>
  <si>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</si>
  <si>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</si>
  <si>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</si>
  <si>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</si>
  <si>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</si>
  <si>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</si>
  <si>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</si>
  <si>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</si>
  <si>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</si>
  <si>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</si>
  <si>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</si>
  <si>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</si>
  <si>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</si>
  <si>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</si>
  <si>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</si>
  <si>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</si>
  <si>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</si>
  <si>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</si>
  <si>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</si>
  <si>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</si>
  <si>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</si>
  <si>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</si>
  <si>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</si>
  <si>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</si>
  <si>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</si>
  <si>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</si>
  <si>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</si>
  <si>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</si>
  <si>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</si>
  <si>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</si>
  <si>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</si>
  <si>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</si>
  <si>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</si>
  <si>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</si>
  <si>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</si>
  <si>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</si>
  <si>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</si>
  <si>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</si>
  <si>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</si>
  <si>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</si>
  <si>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</si>
  <si>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</si>
  <si>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</si>
  <si>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</si>
  <si>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</si>
  <si>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</si>
  <si>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</si>
  <si>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</si>
  <si>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</si>
  <si>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</si>
  <si>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</si>
  <si>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</si>
  <si>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</si>
  <si>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</si>
  <si>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</si>
  <si>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</si>
  <si>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</si>
  <si>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</si>
  <si>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</si>
  <si>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</si>
  <si>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</si>
  <si>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</si>
  <si>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</si>
  <si>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</si>
  <si>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</si>
  <si>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</si>
  <si>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</si>
  <si>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</si>
  <si>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</si>
  <si>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</si>
  <si>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</si>
  <si>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</si>
  <si>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</si>
  <si>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</si>
  <si>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</si>
  <si>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</si>
  <si>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</si>
  <si>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</si>
  <si>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</si>
  <si>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</si>
  <si>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</si>
  <si>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</si>
  <si>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</si>
  <si>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</si>
  <si>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</si>
  <si>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</si>
  <si>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</si>
  <si>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ID0476</t>
  </si>
  <si>
    <t>ID0477</t>
  </si>
  <si>
    <t>ID0478</t>
  </si>
  <si>
    <t>ID0479</t>
  </si>
  <si>
    <t>ID0480</t>
  </si>
  <si>
    <t>ID0481</t>
  </si>
  <si>
    <t>ID0482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</si>
  <si>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</si>
  <si>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</si>
  <si>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</si>
  <si>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</si>
  <si>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</si>
  <si>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</si>
  <si>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</si>
  <si>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</si>
  <si>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</si>
  <si>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</si>
  <si>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</si>
  <si>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</si>
  <si>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</si>
  <si>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</si>
  <si>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</si>
  <si>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</si>
  <si>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</si>
  <si>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</si>
  <si>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</si>
  <si>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</si>
  <si>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</si>
  <si>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</si>
  <si>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</si>
  <si>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</si>
  <si>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</si>
  <si>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</si>
  <si>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</si>
  <si>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</si>
  <si>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</si>
  <si>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</si>
  <si>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</si>
  <si>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</si>
  <si>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</si>
  <si>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</si>
  <si>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</si>
  <si>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</si>
  <si>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</si>
  <si>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</si>
  <si>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</si>
  <si>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</si>
  <si>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</si>
  <si>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</si>
  <si>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</si>
  <si>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</si>
  <si>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</si>
  <si>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</si>
  <si>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</si>
  <si>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</si>
  <si>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</si>
  <si>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</si>
  <si>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</si>
  <si>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</si>
  <si>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</si>
  <si>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</si>
  <si>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</si>
  <si>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</si>
  <si>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</si>
  <si>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</si>
  <si>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</si>
  <si>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</si>
  <si>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</si>
  <si>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</si>
  <si>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</si>
  <si>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</si>
  <si>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</si>
  <si>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</si>
  <si>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</si>
  <si>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</si>
  <si>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</si>
  <si>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</si>
  <si>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</si>
  <si>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</si>
  <si>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</si>
  <si>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</si>
  <si>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</si>
  <si>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</si>
  <si>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</si>
  <si>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</si>
  <si>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</si>
  <si>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</si>
  <si>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</si>
  <si>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</si>
  <si>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</si>
  <si>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</si>
  <si>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</si>
  <si>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</si>
  <si>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</si>
  <si>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</si>
  <si>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</si>
  <si>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</si>
  <si>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</si>
  <si>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</si>
  <si>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</si>
  <si>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</si>
  <si>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</si>
  <si>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</si>
  <si>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</si>
  <si>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</si>
  <si>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</si>
  <si>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</si>
  <si>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</si>
  <si>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</si>
  <si>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</si>
  <si>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</si>
  <si>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</si>
  <si>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</si>
  <si>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</si>
  <si>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</si>
  <si>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</si>
  <si>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</si>
  <si>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</si>
  <si>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</si>
  <si>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</si>
  <si>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</si>
  <si>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</si>
  <si>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</si>
  <si>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</si>
  <si>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</si>
  <si>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</si>
  <si>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</si>
  <si>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</si>
  <si>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ID0608</t>
  </si>
  <si>
    <t>ID0609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</si>
  <si>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</si>
  <si>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</si>
  <si>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</si>
  <si>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</si>
  <si>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</si>
  <si>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</si>
  <si>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</si>
  <si>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</si>
  <si>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</si>
  <si>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</si>
  <si>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</si>
  <si>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</si>
  <si>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</si>
  <si>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</si>
  <si>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</si>
  <si>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</si>
  <si>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</si>
  <si>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</si>
  <si>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</si>
  <si>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</si>
  <si>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</si>
  <si>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</si>
  <si>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</si>
  <si>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</si>
  <si>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</si>
  <si>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</si>
  <si>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</si>
  <si>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</si>
  <si>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</si>
  <si>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</si>
  <si>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</si>
  <si>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</si>
  <si>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</si>
  <si>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</si>
  <si>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</si>
  <si>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</si>
  <si>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</si>
  <si>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</si>
  <si>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</si>
  <si>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</si>
  <si>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</si>
  <si>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</si>
  <si>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</si>
  <si>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</si>
  <si>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</si>
  <si>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</si>
  <si>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</si>
  <si>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</si>
  <si>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</si>
  <si>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</si>
  <si>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</si>
  <si>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</si>
  <si>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</si>
  <si>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</si>
  <si>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</si>
  <si>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</si>
  <si>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</si>
  <si>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</si>
  <si>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</si>
  <si>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</si>
  <si>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</si>
  <si>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</si>
  <si>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</si>
  <si>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</si>
  <si>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</si>
  <si>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</si>
  <si>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</si>
  <si>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</si>
  <si>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</si>
  <si>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</si>
  <si>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</si>
  <si>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</si>
  <si>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</si>
  <si>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</si>
  <si>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</si>
  <si>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</si>
  <si>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</si>
  <si>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</si>
  <si>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</si>
  <si>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</si>
  <si>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</si>
  <si>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</si>
  <si>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</si>
  <si>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</si>
  <si>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</si>
  <si>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</si>
  <si>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</si>
  <si>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</si>
  <si>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</si>
  <si>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</si>
  <si>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</si>
  <si>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</si>
  <si>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</si>
  <si>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</si>
  <si>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</si>
  <si>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</si>
  <si>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</si>
  <si>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</si>
  <si>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</si>
  <si>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</si>
  <si>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</si>
  <si>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</si>
  <si>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</si>
  <si>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</si>
  <si>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</si>
  <si>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</si>
  <si>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</si>
  <si>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</si>
  <si>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</si>
  <si>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</si>
  <si>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</si>
  <si>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</si>
  <si>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</si>
  <si>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</si>
  <si>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</si>
  <si>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</si>
  <si>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</si>
  <si>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</si>
  <si>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</si>
  <si>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</si>
  <si>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</si>
  <si>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</si>
  <si>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</si>
  <si>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</si>
  <si>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</si>
  <si>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</si>
  <si>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</si>
  <si>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</si>
  <si>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</si>
  <si>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</si>
  <si>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</si>
  <si>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</si>
  <si>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</si>
  <si>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</si>
  <si>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</si>
  <si>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</si>
  <si>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</si>
  <si>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</si>
  <si>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</si>
  <si>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</si>
  <si>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</si>
  <si>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</si>
  <si>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</si>
  <si>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</si>
  <si>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</si>
  <si>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</si>
  <si>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</si>
  <si>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</si>
  <si>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</si>
  <si>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</si>
  <si>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</si>
  <si>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</si>
  <si>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</si>
  <si>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</si>
  <si>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</si>
  <si>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</si>
  <si>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</si>
  <si>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</si>
  <si>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</si>
  <si>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</si>
  <si>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</si>
  <si>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</si>
  <si>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</si>
  <si>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</si>
  <si>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</si>
  <si>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</si>
  <si>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</si>
  <si>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</si>
  <si>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</si>
  <si>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</si>
  <si>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</si>
  <si>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</si>
  <si>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</si>
  <si>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</si>
  <si>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</si>
  <si>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</si>
  <si>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</si>
  <si>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</si>
  <si>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</si>
  <si>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</si>
  <si>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</si>
  <si>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</si>
  <si>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</si>
  <si>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</si>
  <si>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</si>
  <si>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</si>
  <si>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</si>
  <si>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</si>
  <si>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</si>
  <si>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</si>
  <si>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</si>
  <si>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</si>
  <si>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</si>
  <si>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</si>
  <si>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</si>
  <si>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</si>
  <si>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</si>
  <si>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</si>
  <si>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</si>
  <si>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</si>
  <si>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</si>
  <si>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</si>
  <si>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</si>
  <si>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</si>
  <si>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</si>
  <si>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</si>
  <si>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</si>
  <si>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</si>
  <si>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</si>
  <si>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</si>
  <si>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</si>
  <si>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</si>
  <si>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</si>
  <si>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</si>
  <si>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</si>
  <si>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</si>
  <si>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</si>
  <si>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</si>
  <si>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</si>
  <si>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</si>
  <si>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</si>
  <si>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</si>
  <si>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</si>
  <si>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</si>
  <si>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</si>
  <si>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</si>
  <si>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</si>
  <si>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</si>
  <si>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</si>
  <si>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</si>
  <si>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</si>
  <si>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</si>
  <si>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</si>
  <si>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</si>
  <si>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</si>
  <si>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</si>
  <si>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</si>
  <si>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</si>
  <si>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</si>
  <si>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</si>
  <si>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</si>
  <si>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</si>
  <si>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</si>
  <si>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</si>
  <si>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</si>
  <si>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</si>
  <si>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</si>
  <si>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</si>
  <si>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</si>
  <si>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</si>
  <si>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</si>
  <si>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</si>
  <si>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</si>
  <si>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</si>
  <si>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</si>
  <si>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</si>
  <si>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</si>
  <si>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</si>
  <si>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</si>
  <si>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</si>
  <si>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</si>
  <si>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</si>
  <si>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</si>
  <si>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</si>
  <si>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</si>
  <si>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</si>
  <si>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</si>
  <si>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</si>
  <si>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</si>
  <si>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</si>
  <si>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</si>
  <si>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</si>
  <si>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</si>
  <si>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</si>
  <si>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</si>
  <si>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</si>
  <si>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</si>
  <si>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</si>
  <si>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</si>
  <si>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</si>
  <si>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</si>
  <si>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</si>
  <si>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</si>
  <si>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</si>
  <si>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</si>
  <si>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</si>
  <si>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</si>
  <si>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</si>
  <si>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</si>
  <si>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</si>
  <si>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</si>
  <si>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</si>
  <si>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</si>
  <si>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</si>
  <si>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</si>
  <si>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</si>
  <si>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</si>
  <si>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</si>
  <si>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</si>
  <si>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</si>
  <si>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</si>
  <si>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</si>
  <si>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</si>
  <si>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</si>
  <si>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</si>
  <si>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</si>
  <si>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</si>
  <si>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</si>
  <si>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</si>
  <si>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</si>
  <si>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</si>
  <si>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</si>
  <si>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</si>
  <si>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</si>
  <si>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</si>
  <si>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</si>
  <si>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</si>
  <si>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</si>
  <si>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</si>
  <si>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</si>
  <si>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</si>
  <si>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</si>
  <si>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</si>
  <si>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</si>
  <si>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</si>
  <si>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ID0943</t>
  </si>
  <si>
    <t>ID0944</t>
  </si>
  <si>
    <t>ID0945</t>
  </si>
  <si>
    <t>ID0946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</si>
  <si>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</si>
  <si>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</si>
  <si>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</si>
  <si>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</si>
  <si>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</si>
  <si>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</si>
  <si>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</si>
  <si>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</si>
  <si>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</si>
  <si>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</si>
  <si>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</si>
  <si>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</si>
  <si>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</si>
  <si>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</si>
  <si>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</si>
  <si>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</si>
  <si>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</si>
  <si>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</si>
  <si>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</si>
  <si>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</si>
  <si>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</si>
  <si>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</si>
  <si>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</si>
  <si>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</si>
  <si>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</si>
  <si>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</si>
  <si>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</si>
  <si>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</si>
  <si>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</si>
  <si>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</si>
  <si>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</si>
  <si>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</si>
  <si>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</si>
  <si>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</si>
  <si>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</si>
  <si>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</si>
  <si>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</si>
  <si>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</si>
  <si>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</si>
  <si>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</si>
  <si>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</si>
  <si>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</si>
  <si>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</si>
  <si>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</si>
  <si>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</si>
  <si>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</si>
  <si>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</si>
  <si>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</si>
  <si>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</si>
  <si>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</si>
  <si>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</si>
  <si>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</si>
  <si>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</si>
  <si>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</si>
  <si>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</si>
  <si>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</si>
  <si>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</si>
  <si>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</si>
  <si>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</si>
  <si>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</si>
  <si>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</si>
  <si>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</si>
  <si>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</si>
  <si>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</si>
  <si>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</si>
  <si>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</si>
  <si>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</si>
  <si>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</si>
  <si>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</si>
  <si>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</si>
  <si>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</si>
  <si>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</si>
  <si>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</si>
  <si>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</si>
  <si>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</si>
  <si>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</si>
  <si>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</si>
  <si>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</si>
  <si>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</si>
  <si>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</si>
  <si>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</si>
  <si>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</si>
  <si>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</si>
  <si>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</si>
  <si>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</si>
  <si>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</si>
  <si>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</si>
  <si>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</si>
  <si>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</si>
  <si>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</si>
  <si>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</si>
  <si>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</si>
  <si>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</si>
  <si>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</si>
  <si>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</si>
  <si>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</si>
  <si>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</si>
  <si>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</si>
  <si>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</si>
  <si>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</si>
  <si>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</si>
  <si>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</si>
  <si>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</si>
  <si>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</si>
  <si>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</si>
  <si>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</si>
  <si>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</si>
  <si>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</si>
  <si>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</si>
  <si>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</si>
  <si>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</si>
  <si>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</si>
  <si>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</si>
  <si>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</si>
  <si>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</si>
  <si>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</si>
  <si>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</si>
  <si>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</si>
  <si>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</si>
  <si>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</si>
  <si>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</si>
  <si>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</si>
  <si>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</si>
  <si>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</si>
  <si>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</si>
  <si>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</si>
  <si>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</si>
  <si>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</si>
  <si>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</si>
  <si>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</si>
  <si>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</si>
  <si>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</si>
  <si>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</si>
  <si>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</si>
  <si>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</si>
  <si>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</si>
  <si>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</si>
  <si>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</si>
  <si>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</si>
  <si>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</si>
  <si>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</si>
  <si>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</si>
  <si>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</si>
  <si>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</si>
  <si>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</si>
  <si>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</si>
  <si>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</si>
  <si>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</si>
  <si>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</si>
  <si>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</si>
  <si>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</si>
  <si>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</si>
  <si>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</si>
  <si>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</si>
  <si>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</si>
  <si>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</si>
  <si>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</si>
  <si>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</si>
  <si>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</si>
  <si>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</si>
  <si>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</si>
  <si>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</si>
  <si>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</si>
  <si>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</si>
  <si>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</si>
  <si>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</si>
  <si>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</si>
  <si>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</si>
  <si>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</si>
  <si>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</si>
  <si>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</si>
  <si>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</si>
  <si>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</si>
  <si>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</si>
  <si>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</si>
  <si>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</si>
  <si>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</si>
  <si>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</si>
  <si>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</si>
  <si>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</si>
  <si>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</si>
  <si>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</si>
  <si>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</si>
  <si>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</si>
  <si>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</si>
  <si>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</si>
  <si>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</si>
  <si>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</si>
  <si>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</si>
  <si>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</si>
  <si>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</si>
  <si>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</si>
  <si>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</si>
  <si>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</si>
  <si>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</si>
  <si>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</si>
  <si>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</si>
  <si>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</si>
  <si>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</si>
  <si>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</si>
  <si>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</si>
  <si>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</si>
  <si>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</si>
  <si>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</si>
  <si>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</si>
  <si>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</si>
  <si>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</si>
  <si>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</si>
  <si>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</si>
  <si>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</si>
  <si>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</si>
  <si>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</si>
  <si>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</si>
  <si>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</si>
  <si>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</si>
  <si>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</si>
  <si>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</si>
  <si>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</si>
  <si>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</si>
  <si>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</si>
  <si>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</si>
  <si>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</si>
  <si>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</si>
  <si>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</si>
  <si>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</si>
  <si>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</si>
  <si>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</si>
  <si>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</si>
  <si>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</si>
  <si>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</si>
  <si>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</si>
  <si>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</si>
  <si>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</si>
  <si>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</si>
  <si>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</si>
  <si>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</si>
  <si>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</si>
  <si>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</si>
  <si>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</si>
  <si>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</si>
  <si>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</si>
  <si>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</si>
  <si>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</si>
  <si>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</si>
  <si>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</si>
  <si>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</si>
  <si>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</si>
  <si>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</si>
  <si>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</si>
  <si>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</si>
  <si>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</si>
  <si>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</si>
  <si>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</si>
  <si>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</si>
  <si>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</si>
  <si>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</si>
  <si>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</si>
  <si>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</si>
  <si>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</si>
  <si>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</si>
  <si>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</si>
  <si>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</si>
  <si>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</si>
  <si>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</si>
  <si>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</si>
  <si>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</si>
  <si>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</si>
  <si>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</si>
  <si>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</si>
  <si>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</si>
  <si>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</si>
  <si>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</si>
  <si>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</si>
  <si>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</si>
  <si>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</si>
  <si>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</si>
  <si>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</si>
  <si>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</si>
  <si>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</si>
  <si>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</si>
  <si>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</si>
  <si>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</si>
  <si>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</si>
  <si>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</si>
  <si>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</si>
  <si>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</si>
  <si>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</si>
  <si>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</si>
  <si>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</si>
  <si>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</si>
  <si>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</si>
  <si>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</si>
  <si>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</si>
  <si>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</si>
  <si>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</si>
  <si>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</si>
  <si>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</si>
  <si>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</si>
  <si>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</si>
  <si>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</si>
  <si>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</si>
  <si>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</si>
  <si>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</si>
  <si>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</si>
  <si>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</si>
  <si>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</si>
  <si>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</si>
  <si>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</si>
  <si>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</si>
  <si>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</si>
  <si>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</si>
  <si>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</si>
  <si>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</si>
  <si>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</si>
  <si>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</si>
  <si>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ID1270</t>
  </si>
  <si>
    <t>ID1271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</si>
  <si>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</si>
  <si>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</si>
  <si>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</si>
  <si>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</si>
  <si>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</si>
  <si>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</si>
  <si>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</si>
  <si>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</si>
  <si>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</si>
  <si>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</si>
  <si>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</si>
  <si>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</si>
  <si>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</si>
  <si>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</si>
  <si>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</si>
  <si>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</si>
  <si>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</si>
  <si>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</si>
  <si>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</si>
  <si>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</si>
  <si>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ID1294</t>
  </si>
  <si>
    <t>ID1295</t>
  </si>
  <si>
    <t>ID1296</t>
  </si>
  <si>
    <t>ID1297</t>
  </si>
  <si>
    <t>ID1298</t>
  </si>
  <si>
    <t>ID1299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</si>
  <si>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</si>
  <si>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</si>
  <si>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</si>
  <si>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</si>
  <si>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</si>
  <si>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</si>
  <si>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</si>
  <si>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</si>
  <si>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</si>
  <si>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</si>
  <si>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</si>
  <si>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</si>
  <si>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</si>
  <si>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</si>
  <si>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</si>
  <si>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</si>
  <si>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</si>
  <si>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</si>
  <si>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</si>
  <si>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</si>
  <si>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</si>
  <si>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</si>
  <si>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</si>
  <si>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</si>
  <si>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</si>
  <si>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</si>
  <si>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</si>
  <si>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</si>
  <si>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</si>
  <si>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</si>
  <si>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</si>
  <si>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</si>
  <si>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</si>
  <si>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</si>
  <si>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</si>
  <si>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</si>
  <si>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</si>
  <si>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</si>
  <si>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</si>
  <si>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</si>
  <si>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</si>
  <si>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</si>
  <si>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</si>
  <si>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</si>
  <si>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</si>
  <si>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</si>
  <si>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</si>
  <si>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</si>
  <si>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</si>
  <si>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</si>
  <si>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</si>
  <si>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</si>
  <si>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</si>
  <si>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</si>
  <si>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</si>
  <si>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</si>
  <si>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</si>
  <si>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</si>
  <si>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</si>
  <si>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</si>
  <si>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</si>
  <si>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</si>
  <si>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</si>
  <si>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</si>
  <si>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</si>
  <si>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</si>
  <si>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</si>
  <si>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</si>
  <si>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</si>
  <si>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</si>
  <si>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</si>
  <si>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</si>
  <si>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</si>
  <si>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</si>
  <si>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</si>
  <si>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</si>
  <si>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</si>
  <si>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</si>
  <si>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</si>
  <si>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</si>
  <si>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</si>
  <si>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</si>
  <si>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</si>
  <si>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</si>
  <si>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</si>
  <si>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</si>
  <si>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</si>
  <si>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</si>
  <si>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</si>
  <si>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</si>
  <si>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</si>
  <si>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</si>
  <si>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</si>
  <si>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</si>
  <si>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</si>
  <si>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</si>
  <si>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</si>
  <si>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</si>
  <si>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</si>
  <si>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</si>
  <si>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</si>
  <si>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</si>
  <si>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</si>
  <si>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</si>
  <si>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</si>
  <si>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</si>
  <si>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</si>
  <si>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</si>
  <si>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</si>
  <si>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</si>
  <si>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</si>
  <si>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</si>
  <si>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</si>
  <si>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</si>
  <si>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</si>
  <si>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</si>
  <si>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</si>
  <si>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</si>
  <si>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</si>
  <si>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</si>
  <si>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</si>
  <si>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</si>
  <si>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</si>
  <si>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</si>
  <si>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</si>
  <si>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</si>
  <si>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</si>
  <si>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</si>
  <si>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</si>
  <si>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</si>
  <si>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</si>
  <si>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</si>
  <si>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</si>
  <si>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</si>
  <si>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</si>
  <si>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</si>
  <si>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</si>
  <si>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</si>
  <si>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</si>
  <si>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</si>
  <si>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</si>
  <si>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</si>
  <si>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</si>
  <si>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</si>
  <si>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</si>
  <si>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</si>
  <si>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</si>
  <si>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</si>
  <si>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</si>
  <si>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</si>
  <si>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</si>
  <si>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</si>
  <si>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</si>
  <si>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</si>
  <si>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</si>
  <si>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</si>
  <si>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</si>
  <si>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</si>
  <si>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</si>
  <si>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</si>
  <si>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</si>
  <si>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</si>
  <si>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</si>
  <si>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</si>
  <si>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</si>
  <si>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</si>
  <si>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</si>
  <si>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</si>
  <si>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</si>
  <si>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</si>
  <si>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</si>
  <si>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</si>
  <si>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</si>
  <si>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</si>
  <si>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</si>
  <si>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</si>
  <si>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</si>
  <si>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</si>
  <si>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</si>
  <si>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</si>
  <si>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</si>
  <si>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</si>
  <si>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</si>
  <si>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</si>
  <si>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</si>
  <si>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</si>
  <si>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</si>
  <si>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</si>
  <si>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</si>
  <si>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</si>
  <si>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</si>
  <si>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</si>
  <si>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</si>
  <si>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</si>
  <si>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</si>
  <si>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</si>
  <si>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</si>
  <si>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</si>
  <si>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</si>
  <si>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</si>
  <si>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</si>
  <si>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</si>
  <si>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</si>
  <si>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</si>
  <si>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</si>
  <si>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</si>
  <si>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</si>
  <si>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</si>
  <si>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</si>
  <si>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</si>
  <si>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</si>
  <si>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</si>
  <si>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</si>
  <si>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</si>
  <si>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</si>
  <si>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</si>
  <si>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</si>
  <si>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</si>
  <si>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</si>
  <si>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</si>
  <si>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</si>
  <si>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</si>
  <si>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</si>
  <si>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</si>
  <si>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</si>
  <si>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</si>
  <si>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</si>
  <si>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</si>
  <si>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</si>
  <si>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</si>
  <si>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</si>
  <si>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</si>
  <si>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</si>
  <si>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</si>
  <si>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</si>
  <si>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</si>
  <si>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</si>
  <si>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</si>
  <si>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</si>
  <si>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</si>
  <si>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</si>
  <si>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</si>
  <si>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</si>
  <si>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</si>
  <si>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</si>
  <si>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</si>
  <si>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</si>
  <si>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</si>
  <si>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</si>
  <si>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</si>
  <si>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</si>
  <si>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</si>
  <si>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</si>
  <si>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</si>
  <si>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</si>
  <si>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</si>
  <si>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</si>
  <si>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</si>
  <si>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</si>
  <si>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</si>
  <si>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</si>
  <si>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</si>
  <si>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</si>
  <si>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</si>
  <si>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</si>
  <si>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</si>
  <si>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</si>
  <si>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</si>
  <si>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</si>
  <si>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</si>
  <si>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</si>
  <si>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</si>
  <si>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</si>
  <si>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</si>
  <si>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</si>
  <si>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</si>
  <si>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</si>
  <si>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</si>
  <si>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</si>
  <si>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</si>
  <si>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</si>
  <si>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</si>
  <si>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</si>
  <si>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</si>
  <si>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</si>
  <si>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</si>
  <si>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</si>
  <si>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</si>
  <si>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</si>
  <si>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</si>
  <si>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</si>
  <si>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</si>
  <si>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</si>
  <si>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</si>
  <si>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</si>
  <si>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</si>
  <si>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</si>
  <si>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</si>
  <si>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</si>
  <si>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</si>
  <si>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</si>
  <si>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</si>
  <si>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</si>
  <si>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</si>
  <si>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</si>
  <si>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</si>
  <si>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</si>
  <si>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</si>
  <si>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</si>
  <si>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</si>
  <si>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</si>
  <si>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</si>
  <si>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</si>
  <si>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</si>
  <si>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</si>
  <si>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</si>
  <si>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</si>
  <si>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</si>
  <si>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</si>
  <si>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</si>
  <si>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</si>
  <si>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</si>
  <si>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</si>
  <si>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</si>
  <si>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</si>
  <si>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</si>
  <si>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</si>
  <si>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</si>
  <si>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</si>
  <si>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</si>
  <si>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</si>
  <si>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</si>
  <si>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</si>
  <si>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</si>
  <si>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</si>
  <si>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</si>
  <si>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</si>
  <si>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</si>
  <si>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</si>
  <si>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</si>
  <si>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</si>
  <si>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</si>
  <si>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</si>
  <si>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</si>
  <si>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</si>
  <si>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</si>
  <si>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</si>
  <si>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</si>
  <si>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</si>
  <si>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</si>
  <si>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</si>
  <si>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</si>
  <si>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</si>
  <si>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</si>
  <si>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</si>
  <si>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</si>
  <si>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</si>
  <si>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</si>
  <si>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</si>
  <si>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</si>
  <si>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</si>
  <si>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</si>
  <si>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</si>
  <si>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</si>
  <si>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</si>
  <si>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</si>
  <si>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</si>
  <si>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</si>
  <si>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</si>
  <si>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</si>
  <si>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</si>
  <si>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</si>
  <si>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</si>
  <si>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</si>
  <si>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</si>
  <si>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</si>
  <si>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</si>
  <si>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</si>
  <si>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</si>
  <si>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</si>
  <si>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</si>
  <si>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</si>
  <si>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</si>
  <si>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</si>
  <si>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</si>
  <si>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</si>
  <si>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</si>
  <si>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</si>
  <si>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</si>
  <si>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</si>
  <si>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</si>
  <si>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</si>
  <si>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</si>
  <si>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</si>
  <si>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</si>
  <si>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</si>
  <si>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</si>
  <si>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</si>
  <si>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</si>
  <si>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ID1710</t>
  </si>
  <si>
    <t>ID1711</t>
  </si>
  <si>
    <t>ID1712</t>
  </si>
  <si>
    <t>ID1713</t>
  </si>
  <si>
    <t>ID1714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</si>
  <si>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</si>
  <si>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</si>
  <si>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</si>
  <si>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</si>
  <si>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</si>
  <si>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</si>
  <si>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</si>
  <si>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</si>
  <si>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</si>
  <si>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</si>
  <si>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</si>
  <si>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</si>
  <si>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</si>
  <si>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</si>
  <si>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</si>
  <si>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</si>
  <si>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</si>
  <si>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</si>
  <si>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</si>
  <si>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</si>
  <si>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</si>
  <si>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</si>
  <si>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</si>
  <si>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</si>
  <si>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</si>
  <si>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</si>
  <si>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</si>
  <si>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</si>
  <si>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</si>
  <si>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</si>
  <si>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</si>
  <si>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</si>
  <si>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</si>
  <si>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</si>
  <si>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</si>
  <si>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</si>
  <si>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</si>
  <si>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</si>
  <si>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</si>
  <si>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</si>
  <si>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</si>
  <si>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</si>
  <si>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</si>
  <si>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</si>
  <si>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</si>
  <si>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</si>
  <si>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</si>
  <si>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</si>
  <si>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</si>
  <si>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</si>
  <si>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</si>
  <si>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</si>
  <si>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</si>
  <si>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</si>
  <si>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</si>
  <si>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</si>
  <si>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</si>
  <si>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</si>
  <si>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</si>
  <si>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</si>
  <si>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</si>
  <si>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</si>
  <si>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</si>
  <si>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</si>
  <si>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</si>
  <si>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</si>
  <si>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</si>
  <si>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</si>
  <si>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</si>
  <si>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</si>
  <si>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</si>
  <si>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</si>
  <si>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</si>
  <si>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</si>
  <si>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</si>
  <si>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</si>
  <si>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</si>
  <si>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</si>
  <si>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</si>
  <si>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</si>
  <si>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</si>
  <si>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</si>
  <si>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</si>
  <si>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</si>
  <si>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</si>
  <si>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</si>
  <si>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</si>
  <si>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</si>
  <si>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</si>
  <si>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</si>
  <si>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</si>
  <si>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</si>
  <si>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</si>
  <si>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</si>
  <si>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</si>
  <si>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</si>
  <si>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</si>
  <si>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</si>
  <si>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</si>
  <si>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</si>
  <si>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</si>
  <si>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</si>
  <si>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</si>
  <si>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</si>
  <si>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</si>
  <si>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</si>
  <si>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</si>
  <si>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</si>
  <si>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</si>
  <si>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</si>
  <si>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</si>
  <si>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</si>
  <si>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</si>
  <si>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</si>
  <si>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</si>
  <si>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</si>
  <si>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</si>
  <si>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</si>
  <si>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</si>
  <si>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</si>
  <si>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</si>
  <si>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</si>
  <si>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</si>
  <si>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</si>
  <si>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</si>
  <si>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</si>
  <si>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</si>
  <si>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</si>
  <si>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</si>
  <si>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</si>
  <si>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</si>
  <si>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</si>
  <si>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</si>
  <si>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</si>
  <si>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</si>
  <si>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</si>
  <si>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</si>
  <si>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</si>
  <si>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</si>
  <si>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</si>
  <si>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</si>
  <si>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</si>
  <si>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</si>
  <si>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</si>
  <si>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</si>
  <si>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</si>
  <si>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</si>
  <si>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</si>
  <si>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</si>
  <si>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</si>
  <si>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</si>
  <si>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</si>
  <si>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</si>
  <si>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</si>
  <si>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</si>
  <si>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</si>
  <si>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</si>
  <si>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</si>
  <si>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</si>
  <si>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</si>
  <si>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</si>
  <si>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</si>
  <si>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</si>
  <si>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</si>
  <si>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</si>
  <si>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</si>
  <si>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</si>
  <si>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</si>
  <si>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</si>
  <si>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</si>
  <si>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</si>
  <si>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</si>
  <si>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</si>
  <si>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</si>
  <si>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</si>
  <si>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</si>
  <si>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</si>
  <si>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</si>
  <si>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</si>
  <si>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</si>
  <si>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</si>
  <si>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</si>
  <si>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</si>
  <si>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</si>
  <si>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</si>
  <si>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</si>
  <si>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</si>
  <si>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</si>
  <si>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</si>
  <si>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</si>
  <si>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</si>
  <si>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</si>
  <si>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</si>
  <si>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</si>
  <si>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</si>
  <si>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</si>
  <si>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</si>
  <si>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</si>
  <si>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</si>
  <si>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</si>
  <si>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</si>
  <si>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</si>
  <si>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</si>
  <si>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ID1924</t>
  </si>
  <si>
    <t>ID1925</t>
  </si>
  <si>
    <t>ID1927</t>
  </si>
  <si>
    <t>ID1928</t>
  </si>
  <si>
    <t>ID1929</t>
  </si>
  <si>
    <t>ID1930</t>
  </si>
  <si>
    <t>ID1931</t>
  </si>
  <si>
    <t>ID1932</t>
  </si>
  <si>
    <t>in USD</t>
  </si>
  <si>
    <t>Value of 1 American Dollar</t>
  </si>
  <si>
    <t xml:space="preserve">     Argentine Peso </t>
  </si>
  <si>
    <t>ARS</t>
  </si>
  <si>
    <t xml:space="preserve">     Australian Dollar </t>
  </si>
  <si>
    <t xml:space="preserve">     Botswana Pula </t>
  </si>
  <si>
    <t>BWP</t>
  </si>
  <si>
    <t xml:space="preserve">     Brazilian Real </t>
  </si>
  <si>
    <t>BRL</t>
  </si>
  <si>
    <t xml:space="preserve">     British Pound </t>
  </si>
  <si>
    <t xml:space="preserve">     Brunei dollar </t>
  </si>
  <si>
    <t>BND</t>
  </si>
  <si>
    <t xml:space="preserve">     Bulgarian Lev </t>
  </si>
  <si>
    <t>BGN</t>
  </si>
  <si>
    <t xml:space="preserve">     Canadian Dollar </t>
  </si>
  <si>
    <t xml:space="preserve">     Chilean Peso </t>
  </si>
  <si>
    <t>CLP</t>
  </si>
  <si>
    <t xml:space="preserve">     Chinese Yuan </t>
  </si>
  <si>
    <t>CNY</t>
  </si>
  <si>
    <t xml:space="preserve">     Colombian Peso </t>
  </si>
  <si>
    <t>COP</t>
  </si>
  <si>
    <t xml:space="preserve">     Croatian Kuna </t>
  </si>
  <si>
    <t>HRK</t>
  </si>
  <si>
    <t xml:space="preserve">     Danish Krone </t>
  </si>
  <si>
    <t xml:space="preserve">     Euro </t>
  </si>
  <si>
    <t xml:space="preserve">     Hong Kong Dollar </t>
  </si>
  <si>
    <t>HKD</t>
  </si>
  <si>
    <t xml:space="preserve">     Hungarian Forint </t>
  </si>
  <si>
    <t>HUF</t>
  </si>
  <si>
    <t xml:space="preserve">     Iceland Krona </t>
  </si>
  <si>
    <t>ISK</t>
  </si>
  <si>
    <t xml:space="preserve">     Indian Rupee </t>
  </si>
  <si>
    <t xml:space="preserve">     Indonesian Rupiah </t>
  </si>
  <si>
    <t xml:space="preserve">     Israeli New Shekel </t>
  </si>
  <si>
    <t>ILS</t>
  </si>
  <si>
    <t xml:space="preserve">     Japanese Yen </t>
  </si>
  <si>
    <t xml:space="preserve">     Kazakhstani Tenge </t>
  </si>
  <si>
    <t>KZT</t>
  </si>
  <si>
    <t xml:space="preserve">     Kuwaiti Dinar </t>
  </si>
  <si>
    <t>KWD</t>
  </si>
  <si>
    <t xml:space="preserve">     Latvian Lat </t>
  </si>
  <si>
    <t>LVL</t>
  </si>
  <si>
    <t xml:space="preserve">     Libyan Dinar </t>
  </si>
  <si>
    <t>LYD</t>
  </si>
  <si>
    <t xml:space="preserve">     Lithuanian Litas </t>
  </si>
  <si>
    <t>LTL</t>
  </si>
  <si>
    <t xml:space="preserve">     Malaysian Ringgit </t>
  </si>
  <si>
    <t>MYR</t>
  </si>
  <si>
    <t xml:space="preserve">     Mauritius Rupee </t>
  </si>
  <si>
    <t>MUR</t>
  </si>
  <si>
    <t xml:space="preserve">     Mexican Peso </t>
  </si>
  <si>
    <t xml:space="preserve">     Nepalese Rupee </t>
  </si>
  <si>
    <t>NPR</t>
  </si>
  <si>
    <t xml:space="preserve">     New Zealand Dollar </t>
  </si>
  <si>
    <t xml:space="preserve">     Norwegian Kroner </t>
  </si>
  <si>
    <t xml:space="preserve">     Omani Rial </t>
  </si>
  <si>
    <t>OMR</t>
  </si>
  <si>
    <t xml:space="preserve">     Pakistan Rupee </t>
  </si>
  <si>
    <t xml:space="preserve">     Philippine Peso </t>
  </si>
  <si>
    <t>PHP</t>
  </si>
  <si>
    <t xml:space="preserve">     Qatari Rial </t>
  </si>
  <si>
    <t>QAR</t>
  </si>
  <si>
    <t xml:space="preserve">     Romanian Leu </t>
  </si>
  <si>
    <t xml:space="preserve">     Russian Ruble </t>
  </si>
  <si>
    <t>RUB</t>
  </si>
  <si>
    <t xml:space="preserve">     Saudi Riyal </t>
  </si>
  <si>
    <t>SAR</t>
  </si>
  <si>
    <t xml:space="preserve">     Singapore Dollar </t>
  </si>
  <si>
    <t xml:space="preserve">     South African Rand </t>
  </si>
  <si>
    <t xml:space="preserve">     South Korean Won </t>
  </si>
  <si>
    <t>KRW</t>
  </si>
  <si>
    <t xml:space="preserve">     Sri Lanka Rupee </t>
  </si>
  <si>
    <t xml:space="preserve">     Swedish Krona </t>
  </si>
  <si>
    <t xml:space="preserve">     Swiss Franc </t>
  </si>
  <si>
    <t xml:space="preserve">     Taiwan Dollar </t>
  </si>
  <si>
    <t>TWD</t>
  </si>
  <si>
    <t xml:space="preserve">     Thai Baht </t>
  </si>
  <si>
    <t>THB</t>
  </si>
  <si>
    <t xml:space="preserve">     Trinidad/Tobago Dollar </t>
  </si>
  <si>
    <t>TTD</t>
  </si>
  <si>
    <t xml:space="preserve">     Turkish Lira </t>
  </si>
  <si>
    <t>TRY</t>
  </si>
  <si>
    <t xml:space="preserve">     Venezuelan Bolivar </t>
  </si>
  <si>
    <t>VEF</t>
  </si>
  <si>
    <t>Source: Xrates on 6/21/2012</t>
  </si>
  <si>
    <t>UAE Dirham</t>
  </si>
  <si>
    <t>clean Salary (in local currency)</t>
  </si>
  <si>
    <t>Salary in USD</t>
  </si>
  <si>
    <t>Bangladesh Takha</t>
  </si>
  <si>
    <t>Costarican CRC</t>
  </si>
  <si>
    <t>Costarican</t>
  </si>
  <si>
    <t>Egyptian Pound</t>
  </si>
  <si>
    <t>NAIRA</t>
  </si>
  <si>
    <t>Nigerian Naira</t>
  </si>
  <si>
    <t>DOP</t>
  </si>
  <si>
    <t>Dominican Peso</t>
  </si>
  <si>
    <t>Polish Zloty</t>
  </si>
  <si>
    <t>Kenyan Shilling</t>
  </si>
  <si>
    <t>Mongolian Tughrik</t>
  </si>
  <si>
    <t>Mongolian</t>
  </si>
  <si>
    <t>Moroccan Dirham</t>
  </si>
  <si>
    <t>Ethiopian Birr</t>
  </si>
  <si>
    <t>Excel Salary Survey Data</t>
  </si>
  <si>
    <t>Note: Experience data is not available for first few hundred rows.</t>
  </si>
  <si>
    <t>Years of Experience</t>
  </si>
  <si>
    <t>and xe.com</t>
  </si>
  <si>
    <t>Job Type</t>
  </si>
  <si>
    <t>Reporting</t>
  </si>
  <si>
    <t>Misc.</t>
  </si>
  <si>
    <t>CXO or Top Mgmt.</t>
  </si>
  <si>
    <t>Actual</t>
  </si>
  <si>
    <t>Mapping</t>
  </si>
  <si>
    <t>clean Country</t>
  </si>
  <si>
    <t>Country Mapping</t>
  </si>
  <si>
    <t>Currency Mapping</t>
  </si>
  <si>
    <t>Mapping Sheet</t>
  </si>
  <si>
    <t>Algeria</t>
  </si>
  <si>
    <t>Africa</t>
  </si>
  <si>
    <t>Angola</t>
  </si>
  <si>
    <t>Benin</t>
  </si>
  <si>
    <t>Botswana</t>
  </si>
  <si>
    <t>Burkina</t>
  </si>
  <si>
    <t>Burundi</t>
  </si>
  <si>
    <t>Cameroon</t>
  </si>
  <si>
    <t>Cape Verde</t>
  </si>
  <si>
    <t>Central African Republic</t>
  </si>
  <si>
    <t>Chad</t>
  </si>
  <si>
    <t>Comoros</t>
  </si>
  <si>
    <t>Congo</t>
  </si>
  <si>
    <t>Congo, Democratic Republic of</t>
  </si>
  <si>
    <t>Djibouti</t>
  </si>
  <si>
    <t>Equatorial Guinea</t>
  </si>
  <si>
    <t>Eritrea</t>
  </si>
  <si>
    <t>Gabon</t>
  </si>
  <si>
    <t>Gambia</t>
  </si>
  <si>
    <t>Guinea</t>
  </si>
  <si>
    <t>Guinea-Bissau</t>
  </si>
  <si>
    <t>Ivory Coast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</si>
  <si>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</si>
  <si>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</si>
  <si>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</si>
  <si>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</si>
  <si>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</si>
  <si>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</si>
  <si>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</si>
  <si>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</si>
  <si>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Rwanda</t>
  </si>
  <si>
    <t>Sao Tome and Principe</t>
  </si>
  <si>
    <t>Senegal</t>
  </si>
  <si>
    <t>Seychelles</t>
  </si>
  <si>
    <t>Sierra Leone</t>
  </si>
  <si>
    <t>South Sudan</t>
  </si>
  <si>
    <t>Sudan</t>
  </si>
  <si>
    <t>Swaziland</t>
  </si>
  <si>
    <t>Tanzania</t>
  </si>
  <si>
    <t>Togo</t>
  </si>
  <si>
    <t>Afghanistan</t>
  </si>
  <si>
    <t>Bahrain</t>
  </si>
  <si>
    <t>Brunei</t>
  </si>
  <si>
    <t>Burma (Myanmar)</t>
  </si>
  <si>
    <t>East Timor</t>
  </si>
  <si>
    <t>Iraq</t>
  </si>
  <si>
    <t>Jordan</t>
  </si>
  <si>
    <t>Kazakhstan</t>
  </si>
  <si>
    <t>Korea, North</t>
  </si>
  <si>
    <t>Korea, South</t>
  </si>
  <si>
    <t>Kyrgyzstan</t>
  </si>
  <si>
    <t>Laos</t>
  </si>
  <si>
    <t>Lebanon</t>
  </si>
  <si>
    <t>Maldives</t>
  </si>
  <si>
    <t>Nepal</t>
  </si>
  <si>
    <t>Syria</t>
  </si>
  <si>
    <t>Tajikistan</t>
  </si>
  <si>
    <t>Turkmenistan</t>
  </si>
  <si>
    <t>Uzbekistan</t>
  </si>
  <si>
    <t>Andorra</t>
  </si>
  <si>
    <t>Belarus</t>
  </si>
  <si>
    <t>Bosnia and Herzegovina</t>
  </si>
  <si>
    <t>Cyprus</t>
  </si>
  <si>
    <t>Georgia</t>
  </si>
  <si>
    <t>Latvia</t>
  </si>
  <si>
    <t>Liechtenstein</t>
  </si>
  <si>
    <t>Luxembourg</t>
  </si>
  <si>
    <t>Macedonia</t>
  </si>
  <si>
    <t>Malta</t>
  </si>
  <si>
    <t>Moldova</t>
  </si>
  <si>
    <t>Monaco</t>
  </si>
  <si>
    <t>San Marino</t>
  </si>
  <si>
    <t>Serbia</t>
  </si>
  <si>
    <t>United Kingdom</t>
  </si>
  <si>
    <t>Antigua and Barbuda</t>
  </si>
  <si>
    <t>Bahamas</t>
  </si>
  <si>
    <t>Barbados</t>
  </si>
  <si>
    <t>Belize</t>
  </si>
  <si>
    <t>Cuba</t>
  </si>
  <si>
    <t>Dominica</t>
  </si>
  <si>
    <t>El Salvador</t>
  </si>
  <si>
    <t>Grenada</t>
  </si>
  <si>
    <t>Guatemala</t>
  </si>
  <si>
    <t>Haiti</t>
  </si>
  <si>
    <t>Honduras</t>
  </si>
  <si>
    <t>Jamaica</t>
  </si>
  <si>
    <t>Nicaragua</t>
  </si>
  <si>
    <t>Saint Kitts and Nevis</t>
  </si>
  <si>
    <t>Saint Lucia</t>
  </si>
  <si>
    <t>Saint Vincent and the Grenadines</t>
  </si>
  <si>
    <t>Trinidad and Tobago</t>
  </si>
  <si>
    <t>United States</t>
  </si>
  <si>
    <t>Oceania</t>
  </si>
  <si>
    <t>Fiji</t>
  </si>
  <si>
    <t>Kiribati</t>
  </si>
  <si>
    <t>Marshall Islands</t>
  </si>
  <si>
    <t>Micronesia</t>
  </si>
  <si>
    <t>Nauru</t>
  </si>
  <si>
    <t>Palau</t>
  </si>
  <si>
    <t>Papua New Guinea</t>
  </si>
  <si>
    <t>Samoa</t>
  </si>
  <si>
    <t>Solomon Islands</t>
  </si>
  <si>
    <t>Tonga</t>
  </si>
  <si>
    <t>Tuvalu</t>
  </si>
  <si>
    <t>Vanuatu</t>
  </si>
  <si>
    <t>Chile</t>
  </si>
  <si>
    <t>Ecuador</t>
  </si>
  <si>
    <t>Suriname</t>
  </si>
  <si>
    <t>Arabian Gulf</t>
  </si>
  <si>
    <t>Country</t>
  </si>
  <si>
    <t>Continent</t>
  </si>
  <si>
    <t>http://www.worldatlas.com/cntycont.htm</t>
  </si>
  <si>
    <t>Worldwide</t>
  </si>
  <si>
    <t>European Union</t>
  </si>
  <si>
    <t>Bahamas, The</t>
  </si>
  <si>
    <t>Burkina Faso</t>
  </si>
  <si>
    <t>Gambia, The</t>
  </si>
  <si>
    <t>PPP Factor</t>
  </si>
  <si>
    <t>Continent Mapping</t>
  </si>
  <si>
    <t>modified cells</t>
  </si>
  <si>
    <t>Liste of Job types</t>
  </si>
  <si>
    <t>List of clean Country</t>
  </si>
  <si>
    <t>(sorted filtered list from Data)</t>
  </si>
  <si>
    <t>List Job Types</t>
  </si>
  <si>
    <t>List Clean Country</t>
  </si>
  <si>
    <t>Experience</t>
  </si>
  <si>
    <t># hours per day</t>
  </si>
  <si>
    <t>Offset</t>
  </si>
  <si>
    <t>Burma</t>
  </si>
  <si>
    <t>Congo, Democratic Republic of the</t>
  </si>
  <si>
    <t>Congo, Republic of the</t>
  </si>
  <si>
    <t>Côte d'Ivoire</t>
  </si>
  <si>
    <t>Equatorial Guinea[6]</t>
  </si>
  <si>
    <t>Kosovo[8]</t>
  </si>
  <si>
    <t>Macedonia, Republic of</t>
  </si>
  <si>
    <t>São Tomé and Príncipe</t>
  </si>
  <si>
    <t>Sudan &amp;  South Sudan[9]</t>
  </si>
  <si>
    <t>Taiwan</t>
  </si>
  <si>
    <t>Tuvalu[8]</t>
  </si>
  <si>
    <t>Venezuela</t>
  </si>
  <si>
    <t>World[7]</t>
  </si>
  <si>
    <t>Yemen</t>
  </si>
  <si>
    <t>Min</t>
  </si>
  <si>
    <t>Median</t>
  </si>
  <si>
    <t>Max</t>
  </si>
  <si>
    <t>Selected Continent</t>
  </si>
  <si>
    <t>*</t>
  </si>
  <si>
    <t>From :</t>
  </si>
  <si>
    <t>To :</t>
  </si>
  <si>
    <t>Selected cont</t>
  </si>
  <si>
    <t>Average</t>
  </si>
  <si>
    <t>World Average</t>
  </si>
  <si>
    <t>Selected</t>
  </si>
  <si>
    <t>CXO or 
Top Mgmt.</t>
  </si>
  <si>
    <t>Continent Average</t>
  </si>
  <si>
    <t>Continent #2</t>
  </si>
  <si>
    <t>Continent #1</t>
  </si>
  <si>
    <t>North Amer.</t>
  </si>
  <si>
    <t>South Amer.</t>
  </si>
  <si>
    <t># hours / day</t>
  </si>
  <si>
    <t>Code</t>
  </si>
  <si>
    <t>Daily usage of Excel in hours</t>
  </si>
  <si>
    <t>Years of experience with Excel</t>
  </si>
  <si>
    <t>1 - 2 hrs</t>
  </si>
  <si>
    <t>2 - 3  hrs</t>
  </si>
  <si>
    <t>4 - 6 hrs</t>
  </si>
  <si>
    <t>8+ hrs</t>
  </si>
  <si>
    <t>0 hrs</t>
  </si>
  <si>
    <t>15+ yrs</t>
  </si>
  <si>
    <t>Q1</t>
  </si>
  <si>
    <t>Q2</t>
  </si>
  <si>
    <t>Q3</t>
  </si>
  <si>
    <t>Q4</t>
  </si>
  <si>
    <t>Lists for Graph</t>
  </si>
  <si>
    <t xml:space="preserve">Selection : </t>
  </si>
  <si>
    <t>For the graph</t>
  </si>
  <si>
    <t>0 - 2 yrs</t>
  </si>
  <si>
    <t>2 - 5 yrs</t>
  </si>
  <si>
    <t>10 - 15 yrs</t>
  </si>
  <si>
    <t xml:space="preserve">Legend : </t>
  </si>
  <si>
    <t>By Jean-Marc Voyer</t>
  </si>
  <si>
    <t>Average salary by…</t>
  </si>
  <si>
    <t>Code Hours</t>
  </si>
  <si>
    <t>Added data &gt;&gt;&gt;&gt;&gt;</t>
  </si>
  <si>
    <t>Salary</t>
  </si>
  <si>
    <t>PPP ?</t>
  </si>
  <si>
    <t>Added data &gt;&gt;&gt;</t>
  </si>
  <si>
    <t>Clean Continent</t>
  </si>
  <si>
    <t>http://en.wikipedia.org/wiki/List_of_countries_by_GDP_(PPP)_per_capita</t>
  </si>
  <si>
    <t>List of countries by GDP (PPP) per capita</t>
  </si>
  <si>
    <t>PPP : Purchasing Power Parity</t>
  </si>
  <si>
    <t>International Monetary Fund (2010-11)</t>
  </si>
  <si>
    <t>956</t>
  </si>
  <si>
    <t>7741</t>
  </si>
  <si>
    <t>7333</t>
  </si>
  <si>
    <t>5895</t>
  </si>
  <si>
    <t>17981</t>
  </si>
  <si>
    <t>17516</t>
  </si>
  <si>
    <t>5384</t>
  </si>
  <si>
    <t>40234</t>
  </si>
  <si>
    <t>41822</t>
  </si>
  <si>
    <t>10202</t>
  </si>
  <si>
    <t>30959</t>
  </si>
  <si>
    <t>27556</t>
  </si>
  <si>
    <t>1693</t>
  </si>
  <si>
    <t>23417</t>
  </si>
  <si>
    <t>15028</t>
  </si>
  <si>
    <t>37737</t>
  </si>
  <si>
    <t>8264</t>
  </si>
  <si>
    <t>1481</t>
  </si>
  <si>
    <t>6112</t>
  </si>
  <si>
    <t>4789</t>
  </si>
  <si>
    <t>8133</t>
  </si>
  <si>
    <t>16030</t>
  </si>
  <si>
    <t>11769</t>
  </si>
  <si>
    <t>49384</t>
  </si>
  <si>
    <t>13597</t>
  </si>
  <si>
    <t>1466</t>
  </si>
  <si>
    <t>1325</t>
  </si>
  <si>
    <t>615</t>
  </si>
  <si>
    <t>2216</t>
  </si>
  <si>
    <t>2257</t>
  </si>
  <si>
    <t>40541</t>
  </si>
  <si>
    <t>3947</t>
  </si>
  <si>
    <t>768</t>
  </si>
  <si>
    <t>1865</t>
  </si>
  <si>
    <t>17222</t>
  </si>
  <si>
    <t>8382</t>
  </si>
  <si>
    <t>10249</t>
  </si>
  <si>
    <t>1232</t>
  </si>
  <si>
    <t>348</t>
  </si>
  <si>
    <t>4589</t>
  </si>
  <si>
    <t>11927</t>
  </si>
  <si>
    <t>1590</t>
  </si>
  <si>
    <t>18192</t>
  </si>
  <si>
    <t>29074</t>
  </si>
  <si>
    <t>27062</t>
  </si>
  <si>
    <t>37152</t>
  </si>
  <si>
    <t>2642</t>
  </si>
  <si>
    <t>13816</t>
  </si>
  <si>
    <t>9287</t>
  </si>
  <si>
    <t>8701</t>
  </si>
  <si>
    <t>8492</t>
  </si>
  <si>
    <t>6540</t>
  </si>
  <si>
    <t>7550</t>
  </si>
  <si>
    <t>19356</t>
  </si>
  <si>
    <t>735</t>
  </si>
  <si>
    <t>20380</t>
  </si>
  <si>
    <t>1093</t>
  </si>
  <si>
    <t>31607</t>
  </si>
  <si>
    <t>4620</t>
  </si>
  <si>
    <t>36236</t>
  </si>
  <si>
    <t>35156</t>
  </si>
  <si>
    <t>16183</t>
  </si>
  <si>
    <t>1943</t>
  </si>
  <si>
    <t>5491</t>
  </si>
  <si>
    <t>37897</t>
  </si>
  <si>
    <t>3083</t>
  </si>
  <si>
    <t>26294</t>
  </si>
  <si>
    <t>13896</t>
  </si>
  <si>
    <t>5070</t>
  </si>
  <si>
    <t>1083</t>
  </si>
  <si>
    <t>1144</t>
  </si>
  <si>
    <t>7466</t>
  </si>
  <si>
    <t>1235</t>
  </si>
  <si>
    <t>4345</t>
  </si>
  <si>
    <t>49137</t>
  </si>
  <si>
    <t>19591</t>
  </si>
  <si>
    <t>38061</t>
  </si>
  <si>
    <t>3694</t>
  </si>
  <si>
    <t>4666</t>
  </si>
  <si>
    <t>13053</t>
  </si>
  <si>
    <t>3886</t>
  </si>
  <si>
    <t>39639</t>
  </si>
  <si>
    <t>30975</t>
  </si>
  <si>
    <t>30464</t>
  </si>
  <si>
    <t>9029</t>
  </si>
  <si>
    <t>34740</t>
  </si>
  <si>
    <t>5900</t>
  </si>
  <si>
    <t>13001</t>
  </si>
  <si>
    <t>1746</t>
  </si>
  <si>
    <t>5722</t>
  </si>
  <si>
    <t>31714</t>
  </si>
  <si>
    <t>7044</t>
  </si>
  <si>
    <t>41691</t>
  </si>
  <si>
    <t>2372</t>
  </si>
  <si>
    <t>2659</t>
  </si>
  <si>
    <t>15662</t>
  </si>
  <si>
    <t>15523</t>
  </si>
  <si>
    <t>1960</t>
  </si>
  <si>
    <t>456</t>
  </si>
  <si>
    <t>5787</t>
  </si>
  <si>
    <t>18856</t>
  </si>
  <si>
    <t>80119</t>
  </si>
  <si>
    <t>10367</t>
  </si>
  <si>
    <t>934</t>
  </si>
  <si>
    <t>860</t>
  </si>
  <si>
    <t>15568</t>
  </si>
  <si>
    <t>8731</t>
  </si>
  <si>
    <t>1128</t>
  </si>
  <si>
    <t>25428</t>
  </si>
  <si>
    <t>2179</t>
  </si>
  <si>
    <t>14954</t>
  </si>
  <si>
    <t>14610</t>
  </si>
  <si>
    <t>3373</t>
  </si>
  <si>
    <t>4744</t>
  </si>
  <si>
    <t>11545</t>
  </si>
  <si>
    <t>5052</t>
  </si>
  <si>
    <t>1085</t>
  </si>
  <si>
    <t>7363</t>
  </si>
  <si>
    <t>1328</t>
  </si>
  <si>
    <t>42183</t>
  </si>
  <si>
    <t>27668</t>
  </si>
  <si>
    <t>3206</t>
  </si>
  <si>
    <t>771</t>
  </si>
  <si>
    <t>2578</t>
  </si>
  <si>
    <t>53471</t>
  </si>
  <si>
    <t>26519</t>
  </si>
  <si>
    <t>2787</t>
  </si>
  <si>
    <t>14097</t>
  </si>
  <si>
    <t>2532</t>
  </si>
  <si>
    <t>5413</t>
  </si>
  <si>
    <t>10062</t>
  </si>
  <si>
    <t>4073</t>
  </si>
  <si>
    <t>20334</t>
  </si>
  <si>
    <t>23361</t>
  </si>
  <si>
    <t>102943</t>
  </si>
  <si>
    <t>12476</t>
  </si>
  <si>
    <t>16736</t>
  </si>
  <si>
    <t>1341</t>
  </si>
  <si>
    <t>15573</t>
  </si>
  <si>
    <t>12607</t>
  </si>
  <si>
    <t>11491</t>
  </si>
  <si>
    <t>5965</t>
  </si>
  <si>
    <t>2252</t>
  </si>
  <si>
    <t>24237</t>
  </si>
  <si>
    <t>1871</t>
  </si>
  <si>
    <t>10642</t>
  </si>
  <si>
    <t>24726</t>
  </si>
  <si>
    <t>849</t>
  </si>
  <si>
    <t>59711</t>
  </si>
  <si>
    <t>23304</t>
  </si>
  <si>
    <t>28642</t>
  </si>
  <si>
    <t>3192</t>
  </si>
  <si>
    <t>10973</t>
  </si>
  <si>
    <t>30626</t>
  </si>
  <si>
    <t>5674</t>
  </si>
  <si>
    <t>2726</t>
  </si>
  <si>
    <t>9475</t>
  </si>
  <si>
    <t>5302</t>
  </si>
  <si>
    <t>40394</t>
  </si>
  <si>
    <t>43370</t>
  </si>
  <si>
    <t>5041</t>
  </si>
  <si>
    <t>37720</t>
  </si>
  <si>
    <t>2067</t>
  </si>
  <si>
    <t>1515</t>
  </si>
  <si>
    <t>9396</t>
  </si>
  <si>
    <t>899</t>
  </si>
  <si>
    <t>7344</t>
  </si>
  <si>
    <t>20053</t>
  </si>
  <si>
    <t>9478</t>
  </si>
  <si>
    <t>14517</t>
  </si>
  <si>
    <t>7846</t>
  </si>
  <si>
    <t>3509</t>
  </si>
  <si>
    <t>1317</t>
  </si>
  <si>
    <t>7233</t>
  </si>
  <si>
    <t>48158</t>
  </si>
  <si>
    <t>36090</t>
  </si>
  <si>
    <t>48387</t>
  </si>
  <si>
    <t>15113</t>
  </si>
  <si>
    <t>3302</t>
  </si>
  <si>
    <t>4916</t>
  </si>
  <si>
    <t>12568</t>
  </si>
  <si>
    <t>3359</t>
  </si>
  <si>
    <t>11489</t>
  </si>
  <si>
    <t>2307</t>
  </si>
  <si>
    <t>1611</t>
  </si>
  <si>
    <t>487</t>
  </si>
  <si>
    <t>Intl $</t>
  </si>
  <si>
    <t>PPP Ratio Vs US</t>
  </si>
  <si>
    <t>Ref = USA :</t>
  </si>
  <si>
    <t>Clean PPP</t>
  </si>
  <si>
    <t xml:space="preserve">NA = 1 </t>
  </si>
  <si>
    <t>Index</t>
  </si>
  <si>
    <t>5 Countries from the scroll bar position</t>
  </si>
  <si>
    <t>#</t>
  </si>
  <si>
    <t xml:space="preserve">Selected Metrics : </t>
  </si>
  <si>
    <t>Original Data</t>
  </si>
  <si>
    <t>Nb responses</t>
  </si>
  <si>
    <t>Sort order</t>
  </si>
  <si>
    <t>Order</t>
  </si>
  <si>
    <t>No.</t>
  </si>
  <si>
    <t xml:space="preserve">       Nb of responses</t>
  </si>
  <si>
    <t xml:space="preserve">  Experience</t>
  </si>
  <si>
    <t>Hours / Day</t>
  </si>
  <si>
    <t>Message</t>
  </si>
  <si>
    <t>Text</t>
  </si>
  <si>
    <t>in Asia</t>
  </si>
  <si>
    <t>in Europe</t>
  </si>
  <si>
    <t>in Africa</t>
  </si>
  <si>
    <t>in North America</t>
  </si>
  <si>
    <t>in South America</t>
  </si>
  <si>
    <t>in Oceania</t>
  </si>
  <si>
    <t>Daily usage</t>
  </si>
  <si>
    <t>working as Accountant</t>
  </si>
  <si>
    <t>working as Analyst</t>
  </si>
  <si>
    <t>working as Consultant</t>
  </si>
  <si>
    <t>working as Controller</t>
  </si>
  <si>
    <t>working as CXO</t>
  </si>
  <si>
    <t>working as Engineer</t>
  </si>
  <si>
    <t>working as Manager</t>
  </si>
  <si>
    <t>working in Reporting</t>
  </si>
  <si>
    <t>Random</t>
  </si>
  <si>
    <t>8 hours a day</t>
  </si>
  <si>
    <t>0 hours a day</t>
  </si>
  <si>
    <t>Random message</t>
  </si>
  <si>
    <t>Sorted data</t>
  </si>
  <si>
    <t>Calculations</t>
  </si>
  <si>
    <t>•</t>
  </si>
  <si>
    <t xml:space="preserve">Random </t>
  </si>
  <si>
    <t>Average salary of all participants in the world.</t>
  </si>
  <si>
    <t>working as Specialist</t>
  </si>
  <si>
    <t>100%</t>
  </si>
  <si>
    <t>Participants love Chandoo.org !</t>
  </si>
  <si>
    <t>5 - 10 yrs</t>
  </si>
  <si>
    <t xml:space="preserve">choose : </t>
  </si>
  <si>
    <t>Random facts from the study</t>
  </si>
  <si>
    <t>Average salary by Continent by Job Type, Experience, Daily usage of Excel</t>
  </si>
  <si>
    <t>Choose Excel usage  :</t>
  </si>
  <si>
    <t>Choose Continent :</t>
  </si>
  <si>
    <t>Choose Continent #1</t>
  </si>
  <si>
    <t>Choose Continent #2</t>
  </si>
  <si>
    <t>* Note : Less then 10 responses for this country. Use data with diligence.</t>
  </si>
  <si>
    <t>?</t>
  </si>
  <si>
    <t xml:space="preserve">   Average Salary</t>
  </si>
  <si>
    <t>min</t>
  </si>
  <si>
    <t>max</t>
  </si>
  <si>
    <t>Total Salaries</t>
  </si>
  <si>
    <t>Nb of persons</t>
  </si>
  <si>
    <t>Average salary</t>
  </si>
  <si>
    <t xml:space="preserve"> Excel Users Salary Survey Analysis</t>
  </si>
  <si>
    <t>Top 5 countries by…</t>
  </si>
  <si>
    <t>North America</t>
  </si>
  <si>
    <t>South America</t>
  </si>
  <si>
    <t>Continent (full)</t>
  </si>
  <si>
    <t>between 2 and 25</t>
  </si>
  <si>
    <t>Rank</t>
  </si>
  <si>
    <t>Conversion</t>
  </si>
  <si>
    <t>Value</t>
  </si>
  <si>
    <t>Proportion of participants by…</t>
  </si>
  <si>
    <t>1st Quartile</t>
  </si>
  <si>
    <t>3rd Quartile</t>
  </si>
  <si>
    <t>3rd quartile</t>
  </si>
  <si>
    <t>Salary boxplot</t>
  </si>
  <si>
    <t>Total</t>
  </si>
  <si>
    <t>Percentage</t>
  </si>
  <si>
    <t>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</si>
</sst>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)\ &quot;$&quot;_ ;_ * \(#,##0.00\)\ &quot;$&quot;_ ;_ * &quot;-&quot;??_)\ &quot;$&quot;_ ;_ @_ "/>
    <numFmt numFmtId="165" formatCode="d\ mmmm\ yyyy\,\ h:mm\ AM/PM"/>
    <numFmt numFmtId="166" formatCode="_ * #,##0_)\ &quot;$&quot;_ ;_ * \(#,##0\)\ &quot;$&quot;_ ;_ * &quot;-&quot;??_)\ &quot;$&quot;_ ;_ @_ "/>
    <numFmt numFmtId="167" formatCode="0.0"/>
  </numFmts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9" tint="-0.249977111117893"/>
      <name val="Bookman Old Style"/>
      <family val="1"/>
    </font>
    <font>
      <b/>
      <sz val="10"/>
      <color theme="9" tint="-0.249977111117893"/>
      <name val="Bookman Old Style"/>
      <family val="1"/>
    </font>
    <font>
      <sz val="8"/>
      <color theme="1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u/>
      <sz val="11"/>
      <color theme="9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9" tint="-0.24994659260841701"/>
      </bottom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80">
    <xf numFmtId="0" fontId="0" fillId="0" borderId="0" xfId="0"/>
    <xf numFmtId="165" fontId="0" fillId="0" borderId="0" xfId="0" applyNumberFormat="1" applyAlignment="1">
      <alignment horizontal="left"/>
    </xf>
    <xf numFmtId="0" fontId="1" fillId="0" borderId="0" xfId="1"/>
    <xf numFmtId="0" fontId="4" fillId="0" borderId="0" xfId="0" applyFont="1"/>
    <xf numFmtId="0" fontId="0" fillId="0" borderId="0" xfId="0" applyAlignment="1">
      <alignment horizontal="left" indent="1"/>
    </xf>
    <xf numFmtId="0" fontId="5" fillId="2" borderId="0" xfId="0" applyFont="1" applyFill="1"/>
    <xf numFmtId="0" fontId="0" fillId="0" borderId="1" xfId="0" applyBorder="1"/>
    <xf numFmtId="0" fontId="5" fillId="2" borderId="1" xfId="0" applyFont="1" applyFill="1" applyBorder="1"/>
    <xf numFmtId="0" fontId="0" fillId="0" borderId="0" xfId="0" applyNumberFormat="1"/>
    <xf numFmtId="0" fontId="6" fillId="0" borderId="0" xfId="0" applyFont="1"/>
    <xf numFmtId="0" fontId="0" fillId="4" borderId="2" xfId="0" applyFont="1" applyFill="1" applyBorder="1"/>
    <xf numFmtId="0" fontId="5" fillId="3" borderId="0" xfId="0" applyFont="1" applyFill="1" applyBorder="1"/>
    <xf numFmtId="0" fontId="0" fillId="5" borderId="0" xfId="0" applyFill="1"/>
    <xf numFmtId="0" fontId="0" fillId="0" borderId="0" xfId="0"/>
    <xf numFmtId="0" fontId="0" fillId="0" borderId="0" xfId="0" applyBorder="1"/>
    <xf numFmtId="0" fontId="0" fillId="5" borderId="0" xfId="0" applyFill="1" applyBorder="1"/>
    <xf numFmtId="0" fontId="8" fillId="0" borderId="0" xfId="0" applyFont="1"/>
    <xf numFmtId="0" fontId="0" fillId="5" borderId="0" xfId="0" applyNumberFormat="1" applyFill="1"/>
    <xf numFmtId="166" fontId="0" fillId="0" borderId="0" xfId="2" applyNumberFormat="1" applyFont="1"/>
    <xf numFmtId="166" fontId="0" fillId="0" borderId="0" xfId="0" applyNumberFormat="1"/>
    <xf numFmtId="164" fontId="0" fillId="0" borderId="0" xfId="0" applyNumberFormat="1"/>
    <xf numFmtId="166" fontId="0" fillId="6" borderId="0" xfId="0" applyNumberFormat="1" applyFill="1"/>
    <xf numFmtId="0" fontId="0" fillId="0" borderId="0" xfId="0"/>
    <xf numFmtId="0" fontId="0" fillId="0" borderId="0" xfId="0" applyAlignment="1">
      <alignment wrapText="1"/>
    </xf>
    <xf numFmtId="0" fontId="0" fillId="7" borderId="0" xfId="0" applyFill="1"/>
    <xf numFmtId="16" fontId="0" fillId="0" borderId="0" xfId="0" applyNumberFormat="1"/>
    <xf numFmtId="16" fontId="0" fillId="0" borderId="0" xfId="0" quotePrefix="1" applyNumberFormat="1"/>
    <xf numFmtId="0" fontId="11" fillId="6" borderId="0" xfId="0" applyFont="1" applyFill="1"/>
    <xf numFmtId="0" fontId="0" fillId="6" borderId="3" xfId="0" applyFill="1" applyBorder="1"/>
    <xf numFmtId="0" fontId="10" fillId="6" borderId="4" xfId="0" applyFont="1" applyFill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1" fillId="6" borderId="4" xfId="0" applyFont="1" applyFill="1" applyBorder="1"/>
    <xf numFmtId="0" fontId="13" fillId="6" borderId="3" xfId="0" applyFont="1" applyFill="1" applyBorder="1" applyAlignment="1">
      <alignment horizontal="right"/>
    </xf>
    <xf numFmtId="0" fontId="0" fillId="4" borderId="0" xfId="0" applyNumberFormat="1" applyFont="1" applyFill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4" fillId="0" borderId="0" xfId="0" applyFont="1" applyBorder="1"/>
    <xf numFmtId="167" fontId="14" fillId="0" borderId="0" xfId="0" applyNumberFormat="1" applyFont="1" applyBorder="1"/>
    <xf numFmtId="0" fontId="6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Border="1" applyAlignment="1"/>
    <xf numFmtId="0" fontId="17" fillId="11" borderId="0" xfId="0" applyFont="1" applyFill="1" applyBorder="1"/>
    <xf numFmtId="0" fontId="9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9" fontId="0" fillId="0" borderId="0" xfId="3" applyFont="1"/>
    <xf numFmtId="0" fontId="18" fillId="0" borderId="0" xfId="0" applyFont="1"/>
    <xf numFmtId="0" fontId="18" fillId="0" borderId="0" xfId="0" applyFont="1" applyAlignment="1">
      <alignment horizontal="right"/>
    </xf>
    <xf numFmtId="0" fontId="16" fillId="0" borderId="0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3" fillId="6" borderId="3" xfId="0" applyFont="1" applyFill="1" applyBorder="1"/>
    <xf numFmtId="0" fontId="11" fillId="12" borderId="0" xfId="0" applyFont="1" applyFill="1" applyBorder="1"/>
    <xf numFmtId="0" fontId="0" fillId="12" borderId="0" xfId="0" applyFill="1" applyBorder="1"/>
    <xf numFmtId="0" fontId="13" fillId="12" borderId="0" xfId="0" applyFont="1" applyFill="1" applyBorder="1"/>
    <xf numFmtId="0" fontId="0" fillId="0" borderId="0" xfId="0" applyAlignment="1">
      <alignment horizontal="left"/>
    </xf>
    <xf numFmtId="9" fontId="0" fillId="0" borderId="0" xfId="0" quotePrefix="1" applyNumberFormat="1" applyAlignment="1">
      <alignment horizontal="left"/>
    </xf>
    <xf numFmtId="0" fontId="20" fillId="6" borderId="3" xfId="0" applyFont="1" applyFill="1" applyBorder="1" applyAlignment="1" applyProtection="1">
      <alignment horizontal="center" vertical="center"/>
      <protection locked="0"/>
    </xf>
    <xf numFmtId="0" fontId="19" fillId="0" borderId="0" xfId="0" applyFont="1" applyBorder="1" applyAlignment="1">
      <alignment horizontal="left"/>
    </xf>
    <xf numFmtId="0" fontId="19" fillId="0" borderId="0" xfId="0" applyFont="1" applyAlignment="1">
      <alignment horizontal="left"/>
    </xf>
    <xf numFmtId="166" fontId="14" fillId="0" borderId="0" xfId="2" applyNumberFormat="1" applyFont="1" applyBorder="1" applyAlignment="1"/>
    <xf numFmtId="0" fontId="22" fillId="6" borderId="3" xfId="0" applyFont="1" applyFill="1" applyBorder="1" applyAlignment="1" applyProtection="1">
      <alignment horizontal="left"/>
      <protection locked="0"/>
    </xf>
    <xf numFmtId="166" fontId="19" fillId="0" borderId="0" xfId="2" applyNumberFormat="1" applyFont="1"/>
    <xf numFmtId="0" fontId="21" fillId="6" borderId="3" xfId="1" applyFont="1" applyFill="1" applyBorder="1" applyAlignment="1">
      <alignment horizontal="right"/>
    </xf>
    <xf numFmtId="0" fontId="0" fillId="7" borderId="7" xfId="0" applyFill="1" applyBorder="1" applyAlignment="1" applyProtection="1">
      <alignment horizontal="left"/>
      <protection locked="0"/>
    </xf>
    <xf numFmtId="0" fontId="0" fillId="7" borderId="8" xfId="0" applyFill="1" applyBorder="1" applyAlignment="1" applyProtection="1">
      <alignment horizontal="left"/>
      <protection locked="0"/>
    </xf>
    <xf numFmtId="0" fontId="0" fillId="7" borderId="9" xfId="0" applyFill="1" applyBorder="1" applyAlignment="1" applyProtection="1">
      <alignment horizontal="left"/>
      <protection locked="0"/>
    </xf>
    <xf numFmtId="0" fontId="0" fillId="7" borderId="10" xfId="0" applyFill="1" applyBorder="1" applyAlignment="1" applyProtection="1">
      <alignment horizontal="center"/>
      <protection locked="0"/>
    </xf>
    <xf numFmtId="0" fontId="0" fillId="7" borderId="11" xfId="0" applyFill="1" applyBorder="1" applyAlignment="1" applyProtection="1">
      <alignment horizontal="center"/>
      <protection locked="0"/>
    </xf>
    <xf numFmtId="166" fontId="19" fillId="0" borderId="0" xfId="2" applyNumberFormat="1" applyFont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0" xfId="0" applyFont="1" applyFill="1" applyBorder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18">
    <dxf>
      <font>
        <strike/>
        <color theme="1" tint="0.49998474074526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relativeIndent="1" justifyLastLine="0" shrinkToFit="0" readingOrder="0"/>
    </dxf>
    <dxf>
      <numFmt numFmtId="165" formatCode="d\ mmmm\ yyyy\,\ h:mm\ AM/PM"/>
      <alignment horizontal="left" vertical="bottom" textRotation="0" wrapText="0" indent="0" justifyLastLine="0" shrinkToFit="0" readingOrder="0"/>
    </dxf>
    <dxf>
      <font>
        <strike/>
        <color theme="1" tint="0.499984740745262"/>
      </font>
    </dxf>
    <dxf>
      <font>
        <strike/>
        <color theme="1" tint="0.499984740745262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color theme="5" tint="-0.2499465926084170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51253996275371"/>
          <c:y val="4.8888871779922377E-2"/>
          <c:w val="0.8605864935161236"/>
          <c:h val="0.6672536597537498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Calculations!$C$36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Calculations!$C$37:$C$46</c:f>
              <c:numCache>
                <c:formatCode>_ * #,##0_)\ "$"_ ;_ * \(#,##0\)\ "$"_ ;_ * "-"??_)\ "$"_ ;_ @_ </c:formatCode>
                <c:ptCount val="10"/>
                <c:pt idx="0">
                  <c:v>14392.451535399538</c:v>
                </c:pt>
                <c:pt idx="1">
                  <c:v>13977.418231008794</c:v>
                </c:pt>
                <c:pt idx="2">
                  <c:v>24396.169215462131</c:v>
                </c:pt>
                <c:pt idx="3">
                  <c:v>18242.482670522677</c:v>
                </c:pt>
                <c:pt idx="4">
                  <c:v>37177.125018698316</c:v>
                </c:pt>
                <c:pt idx="5">
                  <c:v>18407.133667929436</c:v>
                </c:pt>
                <c:pt idx="6">
                  <c:v>18438.181844395313</c:v>
                </c:pt>
                <c:pt idx="7">
                  <c:v>17551.33488143489</c:v>
                </c:pt>
                <c:pt idx="8">
                  <c:v>11563.934908875184</c:v>
                </c:pt>
                <c:pt idx="9">
                  <c:v>23926.430572868809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7-43A9-BA01-D9CFE3BBDEDF}"/>
            </c:ext>
          </c:extLst>
        </c:ser>
        <c:ser>
          <c:idx val="1"/>
          <c:order val="1"/>
          <c:tx>
            <c:strRef>
              <c:f>Calculations!$D$36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Calculations!$D$37:$D$46</c:f>
              <c:numCache>
                <c:formatCode>_ * #,##0_)\ "$"_ ;_ * \(#,##0\)\ "$"_ ;_ * "-"??_)\ "$"_ ;_ @_ </c:formatCode>
                <c:ptCount val="10"/>
                <c:pt idx="0">
                  <c:v>50506.719948955084</c:v>
                </c:pt>
                <c:pt idx="1">
                  <c:v>52733.262075560786</c:v>
                </c:pt>
                <c:pt idx="2">
                  <c:v>65789.820900618361</c:v>
                </c:pt>
                <c:pt idx="3">
                  <c:v>83583.584042063085</c:v>
                </c:pt>
                <c:pt idx="4">
                  <c:v>76220.311125453969</c:v>
                </c:pt>
                <c:pt idx="5">
                  <c:v>84276.021011343153</c:v>
                </c:pt>
                <c:pt idx="6">
                  <c:v>65851.58166195637</c:v>
                </c:pt>
                <c:pt idx="7">
                  <c:v>#N/A</c:v>
                </c:pt>
                <c:pt idx="8">
                  <c:v>26751.260154528522</c:v>
                </c:pt>
                <c:pt idx="9">
                  <c:v>59147.968330581498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7-43A9-BA01-D9CFE3BBDEDF}"/>
            </c:ext>
          </c:extLst>
        </c:ser>
        <c:ser>
          <c:idx val="2"/>
          <c:order val="2"/>
          <c:tx>
            <c:strRef>
              <c:f>Calculations!$E$36</c:f>
              <c:strCache>
                <c:ptCount val="1"/>
                <c:pt idx="0">
                  <c:v>Africa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Calculations!$E$37:$E$46</c:f>
              <c:numCache>
                <c:formatCode>_ * #,##0_)\ "$"_ ;_ * \(#,##0\)\ "$"_ ;_ * "-"??_)\ "$"_ ;_ @_ </c:formatCode>
                <c:ptCount val="10"/>
                <c:pt idx="0">
                  <c:v>55503.064577089928</c:v>
                </c:pt>
                <c:pt idx="1">
                  <c:v>40657.290308307995</c:v>
                </c:pt>
                <c:pt idx="2">
                  <c:v>82000</c:v>
                </c:pt>
                <c:pt idx="3">
                  <c:v>11627.801648330511</c:v>
                </c:pt>
                <c:pt idx="4">
                  <c:v>69815.306791774667</c:v>
                </c:pt>
                <c:pt idx="5">
                  <c:v>9376.2513877177607</c:v>
                </c:pt>
                <c:pt idx="6">
                  <c:v>25582.967726743649</c:v>
                </c:pt>
                <c:pt idx="7">
                  <c:v>#N/A</c:v>
                </c:pt>
                <c:pt idx="8">
                  <c:v>2953.8461538461538</c:v>
                </c:pt>
                <c:pt idx="9">
                  <c:v>38666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7-43A9-BA01-D9CFE3BBDEDF}"/>
            </c:ext>
          </c:extLst>
        </c:ser>
        <c:ser>
          <c:idx val="3"/>
          <c:order val="3"/>
          <c:tx>
            <c:strRef>
              <c:f>Calculations!$F$36</c:f>
              <c:strCache>
                <c:ptCount val="1"/>
                <c:pt idx="0">
                  <c:v>North Amer.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Calculations!$F$37:$F$46</c:f>
              <c:numCache>
                <c:formatCode>_ * #,##0_)\ "$"_ ;_ * \(#,##0\)\ "$"_ ;_ * "-"??_)\ "$"_ ;_ @_ </c:formatCode>
                <c:ptCount val="10"/>
                <c:pt idx="0">
                  <c:v>67720.935170252662</c:v>
                </c:pt>
                <c:pt idx="1">
                  <c:v>62809.294224788289</c:v>
                </c:pt>
                <c:pt idx="2">
                  <c:v>104007.58280996646</c:v>
                </c:pt>
                <c:pt idx="3">
                  <c:v>88308.928571428565</c:v>
                </c:pt>
                <c:pt idx="4">
                  <c:v>131719.82510468329</c:v>
                </c:pt>
                <c:pt idx="5">
                  <c:v>65330</c:v>
                </c:pt>
                <c:pt idx="6">
                  <c:v>77974.70875079371</c:v>
                </c:pt>
                <c:pt idx="7">
                  <c:v>80730.5</c:v>
                </c:pt>
                <c:pt idx="8">
                  <c:v>61500</c:v>
                </c:pt>
                <c:pt idx="9">
                  <c:v>51833.333333333336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7-43A9-BA01-D9CFE3BBDEDF}"/>
            </c:ext>
          </c:extLst>
        </c:ser>
        <c:ser>
          <c:idx val="4"/>
          <c:order val="4"/>
          <c:tx>
            <c:strRef>
              <c:f>Calculations!$G$36</c:f>
              <c:strCache>
                <c:ptCount val="1"/>
                <c:pt idx="0">
                  <c:v>South Amer.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Calculations!$G$37:$G$46</c:f>
              <c:numCache>
                <c:formatCode>_ * #,##0_)\ "$"_ ;_ * \(#,##0\)\ "$"_ ;_ * "-"??_)\ "$"_ ;_ @_ </c:formatCode>
                <c:ptCount val="10"/>
                <c:pt idx="0">
                  <c:v>#N/A</c:v>
                </c:pt>
                <c:pt idx="1">
                  <c:v>30893.71237284617</c:v>
                </c:pt>
                <c:pt idx="2">
                  <c:v>5000</c:v>
                </c:pt>
                <c:pt idx="3">
                  <c:v>11400</c:v>
                </c:pt>
                <c:pt idx="4">
                  <c:v>#N/A</c:v>
                </c:pt>
                <c:pt idx="5">
                  <c:v>80000</c:v>
                </c:pt>
                <c:pt idx="6">
                  <c:v>19218.236602508969</c:v>
                </c:pt>
                <c:pt idx="7">
                  <c:v>#N/A</c:v>
                </c:pt>
                <c:pt idx="8">
                  <c:v>20000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7-43A9-BA01-D9CFE3BBDEDF}"/>
            </c:ext>
          </c:extLst>
        </c:ser>
        <c:ser>
          <c:idx val="5"/>
          <c:order val="5"/>
          <c:tx>
            <c:strRef>
              <c:f>Calculations!$H$36</c:f>
              <c:strCache>
                <c:ptCount val="1"/>
                <c:pt idx="0">
                  <c:v>Oceania</c:v>
                </c:pt>
              </c:strCache>
            </c:strRef>
          </c:tx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Calculations!$H$37:$H$46</c:f>
              <c:numCache>
                <c:formatCode>_ * #,##0_)\ "$"_ ;_ * \(#,##0\)\ "$"_ ;_ * "-"??_)\ "$"_ ;_ @_ </c:formatCode>
                <c:ptCount val="10"/>
                <c:pt idx="0">
                  <c:v>84029.743977452657</c:v>
                </c:pt>
                <c:pt idx="1">
                  <c:v>82572.838951935963</c:v>
                </c:pt>
                <c:pt idx="2">
                  <c:v>103388.89577732631</c:v>
                </c:pt>
                <c:pt idx="3">
                  <c:v>82952.652054081045</c:v>
                </c:pt>
                <c:pt idx="4">
                  <c:v>99441.191499256995</c:v>
                </c:pt>
                <c:pt idx="5">
                  <c:v>122423.46812849767</c:v>
                </c:pt>
                <c:pt idx="6">
                  <c:v>95909.24446409446</c:v>
                </c:pt>
                <c:pt idx="7">
                  <c:v>#N/A</c:v>
                </c:pt>
                <c:pt idx="8">
                  <c:v>85000</c:v>
                </c:pt>
                <c:pt idx="9">
                  <c:v>94851.598045445135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A7-43A9-BA01-D9CFE3BBDEDF}"/>
            </c:ext>
          </c:extLst>
        </c:ser>
        <c:ser>
          <c:idx val="6"/>
          <c:order val="6"/>
          <c:tx>
            <c:strRef>
              <c:f>Calculations!$I$36</c:f>
              <c:strCache>
                <c:ptCount val="1"/>
                <c:pt idx="0">
                  <c:v>Worldwide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sysDash"/>
            </a:ln>
          </c:spPr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Calculations!$I$37:$I$46</c:f>
              <c:numCache>
                <c:formatCode>_ * #,##0_)\ "$"_ ;_ * \(#,##0\)\ "$"_ ;_ * "-"??_)\ "$"_ ;_ @_ </c:formatCode>
                <c:ptCount val="10"/>
                <c:pt idx="0">
                  <c:v>42098.821874814981</c:v>
                </c:pt>
                <c:pt idx="1">
                  <c:v>43585.324189420622</c:v>
                </c:pt>
                <c:pt idx="2">
                  <c:v>61791.505856009135</c:v>
                </c:pt>
                <c:pt idx="3">
                  <c:v>61690.252660289865</c:v>
                </c:pt>
                <c:pt idx="4">
                  <c:v>92945.903175288535</c:v>
                </c:pt>
                <c:pt idx="5">
                  <c:v>48093.592487638009</c:v>
                </c:pt>
                <c:pt idx="6">
                  <c:v>42337.297849450224</c:v>
                </c:pt>
                <c:pt idx="7">
                  <c:v>38611.056587623258</c:v>
                </c:pt>
                <c:pt idx="8">
                  <c:v>16478.624035917248</c:v>
                </c:pt>
                <c:pt idx="9">
                  <c:v>49956.132944873782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A7-43A9-BA01-D9CFE3BBDEDF}"/>
            </c:ext>
          </c:extLst>
        </c:ser>
        <c:ser>
          <c:idx val="7"/>
          <c:order val="7"/>
          <c:tx>
            <c:strRef>
              <c:f>Calculations!$J$36</c:f>
              <c:strCache>
                <c:ptCount val="1"/>
                <c:pt idx="0">
                  <c:v> Selected </c:v>
                </c:pt>
              </c:strCache>
            </c:strRef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Calculations!$B$37:$B$46</c:f>
              <c:strCache>
                <c:ptCount val="10"/>
                <c:pt idx="0">
                  <c:v>Accountant</c:v>
                </c:pt>
                <c:pt idx="1">
                  <c:v>Analyst</c:v>
                </c:pt>
                <c:pt idx="2">
                  <c:v>Consultant</c:v>
                </c:pt>
                <c:pt idx="3">
                  <c:v>Controller</c:v>
                </c:pt>
                <c:pt idx="4">
                  <c:v>CXO or Top Mgmt.</c:v>
                </c:pt>
                <c:pt idx="5">
                  <c:v>Engineer</c:v>
                </c:pt>
                <c:pt idx="6">
                  <c:v>Manager</c:v>
                </c:pt>
                <c:pt idx="7">
                  <c:v>Misc.</c:v>
                </c:pt>
                <c:pt idx="8">
                  <c:v>Reporting</c:v>
                </c:pt>
                <c:pt idx="9">
                  <c:v>Specialist</c:v>
                </c:pt>
              </c:strCache>
            </c:strRef>
          </c:cat>
          <c:val>
            <c:numRef>
              <c:f>Calculations!$J$37:$J$46</c:f>
              <c:numCache>
                <c:formatCode>_ * #,##0_)\ "$"_ ;_ * \(#,##0\)\ "$"_ ;_ * "-"??_)\ "$"_ ;_ @_ </c:formatCode>
                <c:ptCount val="10"/>
                <c:pt idx="0">
                  <c:v>67720.935170252662</c:v>
                </c:pt>
                <c:pt idx="1">
                  <c:v>62809.294224788289</c:v>
                </c:pt>
                <c:pt idx="2">
                  <c:v>104007.58280996646</c:v>
                </c:pt>
                <c:pt idx="3">
                  <c:v>88308.928571428565</c:v>
                </c:pt>
                <c:pt idx="4">
                  <c:v>131719.82510468329</c:v>
                </c:pt>
                <c:pt idx="5">
                  <c:v>65330</c:v>
                </c:pt>
                <c:pt idx="6">
                  <c:v>77974.70875079371</c:v>
                </c:pt>
                <c:pt idx="7">
                  <c:v>80730.5</c:v>
                </c:pt>
                <c:pt idx="8">
                  <c:v>61500</c:v>
                </c:pt>
                <c:pt idx="9">
                  <c:v>51833.333333333336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A7-43A9-BA01-D9CFE3BBD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121664"/>
        <c:axId val="1955122208"/>
      </c:lineChart>
      <c:catAx>
        <c:axId val="1955121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 anchor="t" anchorCtr="0"/>
          <a:lstStyle/>
          <a:p>
            <a:pPr>
              <a:defRPr sz="700"/>
            </a:pPr>
            <a:endParaRPr lang="en-US"/>
          </a:p>
        </c:txPr>
        <c:crossAx val="1955122208"/>
        <c:crosses val="autoZero"/>
        <c:auto val="1"/>
        <c:lblAlgn val="ctr"/>
        <c:lblOffset val="100"/>
        <c:noMultiLvlLbl val="0"/>
      </c:catAx>
      <c:valAx>
        <c:axId val="1955122208"/>
        <c:scaling>
          <c:orientation val="minMax"/>
        </c:scaling>
        <c:delete val="0"/>
        <c:axPos val="l"/>
        <c:majorGridlines/>
        <c:numFmt formatCode="_ * #,##0_)\ &quot;$&quot;_ ;_ * \(#,##0\)\ &quot;$&quot;_ ;_ * &quot;-&quot;??_)\ &quot;$&quot;_ ;_ @_ 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955121664"/>
        <c:crosses val="autoZero"/>
        <c:crossBetween val="between"/>
        <c:dispUnits>
          <c:builtInUnit val="thousands"/>
          <c:dispUnitsLbl>
            <c:tx>
              <c:rich>
                <a:bodyPr/>
                <a:lstStyle/>
                <a:p>
                  <a:pPr>
                    <a:defRPr/>
                  </a:pPr>
                  <a:r>
                    <a:rPr lang="fr-CA"/>
                    <a:t>K$</a:t>
                  </a:r>
                </a:p>
              </c:rich>
            </c:tx>
          </c:dispUnitsLbl>
        </c:dispUnits>
      </c:valAx>
      <c:spPr>
        <a:noFill/>
      </c:spPr>
    </c:plotArea>
    <c:legend>
      <c:legendPos val="b"/>
      <c:layout>
        <c:manualLayout>
          <c:xMode val="edge"/>
          <c:yMode val="edge"/>
          <c:x val="4.85681142143344E-2"/>
          <c:y val="0.86731515599346731"/>
          <c:w val="0.91644611694648914"/>
          <c:h val="0.10915543950735232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Calculations!$AH$34</c:f>
              <c:strCache>
                <c:ptCount val="1"/>
                <c:pt idx="0">
                  <c:v>0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Calculations!$AG$35:$AG$41</c:f>
              <c:strCache>
                <c:ptCount val="7"/>
                <c:pt idx="0">
                  <c:v>Asia</c:v>
                </c:pt>
                <c:pt idx="1">
                  <c:v>Europe</c:v>
                </c:pt>
                <c:pt idx="2">
                  <c:v>Africa</c:v>
                </c:pt>
                <c:pt idx="3">
                  <c:v>North Amer.</c:v>
                </c:pt>
                <c:pt idx="4">
                  <c:v>South Amer.</c:v>
                </c:pt>
                <c:pt idx="5">
                  <c:v>Oceania</c:v>
                </c:pt>
                <c:pt idx="6">
                  <c:v>Worldwide</c:v>
                </c:pt>
              </c:strCache>
            </c:strRef>
          </c:cat>
          <c:val>
            <c:numRef>
              <c:f>Calculations!$AH$35:$AH$41</c:f>
              <c:numCache>
                <c:formatCode>0%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6-4B41-9776-B98675314DA5}"/>
            </c:ext>
          </c:extLst>
        </c:ser>
        <c:ser>
          <c:idx val="1"/>
          <c:order val="1"/>
          <c:tx>
            <c:strRef>
              <c:f>Calculations!$AI$34</c:f>
              <c:strCache>
                <c:ptCount val="1"/>
                <c:pt idx="0">
                  <c:v>1 - 2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Calculations!$AG$35:$AG$41</c:f>
              <c:strCache>
                <c:ptCount val="7"/>
                <c:pt idx="0">
                  <c:v>Asia</c:v>
                </c:pt>
                <c:pt idx="1">
                  <c:v>Europe</c:v>
                </c:pt>
                <c:pt idx="2">
                  <c:v>Africa</c:v>
                </c:pt>
                <c:pt idx="3">
                  <c:v>North Amer.</c:v>
                </c:pt>
                <c:pt idx="4">
                  <c:v>South Amer.</c:v>
                </c:pt>
                <c:pt idx="5">
                  <c:v>Oceania</c:v>
                </c:pt>
                <c:pt idx="6">
                  <c:v>Worldwide</c:v>
                </c:pt>
              </c:strCache>
            </c:strRef>
          </c:cat>
          <c:val>
            <c:numRef>
              <c:f>Calculations!$AI$35:$AI$41</c:f>
              <c:numCache>
                <c:formatCode>0%</c:formatCode>
                <c:ptCount val="7"/>
                <c:pt idx="0">
                  <c:v>0.10555555555555556</c:v>
                </c:pt>
                <c:pt idx="1">
                  <c:v>9.8684210526315791E-2</c:v>
                </c:pt>
                <c:pt idx="2">
                  <c:v>#N/A</c:v>
                </c:pt>
                <c:pt idx="3">
                  <c:v>7.2463768115942032E-2</c:v>
                </c:pt>
                <c:pt idx="4">
                  <c:v>0.22857142857142856</c:v>
                </c:pt>
                <c:pt idx="5">
                  <c:v>0.10416666666666667</c:v>
                </c:pt>
                <c:pt idx="6">
                  <c:v>9.24548352816153E-2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6-4B41-9776-B98675314DA5}"/>
            </c:ext>
          </c:extLst>
        </c:ser>
        <c:ser>
          <c:idx val="2"/>
          <c:order val="2"/>
          <c:tx>
            <c:strRef>
              <c:f>Calculations!$AJ$34</c:f>
              <c:strCache>
                <c:ptCount val="1"/>
                <c:pt idx="0">
                  <c:v>2 - 3 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Calculations!$AG$35:$AG$41</c:f>
              <c:strCache>
                <c:ptCount val="7"/>
                <c:pt idx="0">
                  <c:v>Asia</c:v>
                </c:pt>
                <c:pt idx="1">
                  <c:v>Europe</c:v>
                </c:pt>
                <c:pt idx="2">
                  <c:v>Africa</c:v>
                </c:pt>
                <c:pt idx="3">
                  <c:v>North Amer.</c:v>
                </c:pt>
                <c:pt idx="4">
                  <c:v>South Amer.</c:v>
                </c:pt>
                <c:pt idx="5">
                  <c:v>Oceania</c:v>
                </c:pt>
                <c:pt idx="6">
                  <c:v>Worldwide</c:v>
                </c:pt>
              </c:strCache>
            </c:strRef>
          </c:cat>
          <c:val>
            <c:numRef>
              <c:f>Calculations!$AJ$35:$AJ$41</c:f>
              <c:numCache>
                <c:formatCode>0%</c:formatCode>
                <c:ptCount val="7"/>
                <c:pt idx="0">
                  <c:v>0.2361111111111111</c:v>
                </c:pt>
                <c:pt idx="1">
                  <c:v>0.25</c:v>
                </c:pt>
                <c:pt idx="2">
                  <c:v>0.10810810810810811</c:v>
                </c:pt>
                <c:pt idx="3">
                  <c:v>0.24492753623188407</c:v>
                </c:pt>
                <c:pt idx="4">
                  <c:v>8.5714285714285715E-2</c:v>
                </c:pt>
                <c:pt idx="5">
                  <c:v>0.30208333333333331</c:v>
                </c:pt>
                <c:pt idx="6">
                  <c:v>0.23963868225292242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6-4B41-9776-B98675314DA5}"/>
            </c:ext>
          </c:extLst>
        </c:ser>
        <c:ser>
          <c:idx val="3"/>
          <c:order val="3"/>
          <c:tx>
            <c:strRef>
              <c:f>Calculations!$AK$34</c:f>
              <c:strCache>
                <c:ptCount val="1"/>
                <c:pt idx="0">
                  <c:v>4 - 6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Calculations!$AG$35:$AG$41</c:f>
              <c:strCache>
                <c:ptCount val="7"/>
                <c:pt idx="0">
                  <c:v>Asia</c:v>
                </c:pt>
                <c:pt idx="1">
                  <c:v>Europe</c:v>
                </c:pt>
                <c:pt idx="2">
                  <c:v>Africa</c:v>
                </c:pt>
                <c:pt idx="3">
                  <c:v>North Amer.</c:v>
                </c:pt>
                <c:pt idx="4">
                  <c:v>South Amer.</c:v>
                </c:pt>
                <c:pt idx="5">
                  <c:v>Oceania</c:v>
                </c:pt>
                <c:pt idx="6">
                  <c:v>Worldwide</c:v>
                </c:pt>
              </c:strCache>
            </c:strRef>
          </c:cat>
          <c:val>
            <c:numRef>
              <c:f>Calculations!$AK$35:$AK$41</c:f>
              <c:numCache>
                <c:formatCode>0%</c:formatCode>
                <c:ptCount val="7"/>
                <c:pt idx="0">
                  <c:v>0.37222222222222223</c:v>
                </c:pt>
                <c:pt idx="1">
                  <c:v>0.40789473684210525</c:v>
                </c:pt>
                <c:pt idx="2">
                  <c:v>0.51351351351351349</c:v>
                </c:pt>
                <c:pt idx="3">
                  <c:v>0.45217391304347826</c:v>
                </c:pt>
                <c:pt idx="4">
                  <c:v>0.22857142857142856</c:v>
                </c:pt>
                <c:pt idx="5">
                  <c:v>0.44791666666666669</c:v>
                </c:pt>
                <c:pt idx="6">
                  <c:v>0.4112646121147715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6-4B41-9776-B98675314DA5}"/>
            </c:ext>
          </c:extLst>
        </c:ser>
        <c:ser>
          <c:idx val="4"/>
          <c:order val="4"/>
          <c:tx>
            <c:strRef>
              <c:f>Calculations!$AL$34</c:f>
              <c:strCache>
                <c:ptCount val="1"/>
                <c:pt idx="0">
                  <c:v>8+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Calculations!$AG$35:$AG$41</c:f>
              <c:strCache>
                <c:ptCount val="7"/>
                <c:pt idx="0">
                  <c:v>Asia</c:v>
                </c:pt>
                <c:pt idx="1">
                  <c:v>Europe</c:v>
                </c:pt>
                <c:pt idx="2">
                  <c:v>Africa</c:v>
                </c:pt>
                <c:pt idx="3">
                  <c:v>North Amer.</c:v>
                </c:pt>
                <c:pt idx="4">
                  <c:v>South Amer.</c:v>
                </c:pt>
                <c:pt idx="5">
                  <c:v>Oceania</c:v>
                </c:pt>
                <c:pt idx="6">
                  <c:v>Worldwide</c:v>
                </c:pt>
              </c:strCache>
            </c:strRef>
          </c:cat>
          <c:val>
            <c:numRef>
              <c:f>Calculations!$AL$35:$AL$41</c:f>
              <c:numCache>
                <c:formatCode>0%</c:formatCode>
                <c:ptCount val="7"/>
                <c:pt idx="0">
                  <c:v>0.28333333333333333</c:v>
                </c:pt>
                <c:pt idx="1">
                  <c:v>0.24013157894736842</c:v>
                </c:pt>
                <c:pt idx="2">
                  <c:v>0.3783783783783784</c:v>
                </c:pt>
                <c:pt idx="3">
                  <c:v>0.22463768115942029</c:v>
                </c:pt>
                <c:pt idx="4">
                  <c:v>0.45714285714285713</c:v>
                </c:pt>
                <c:pt idx="5">
                  <c:v>0.14583333333333334</c:v>
                </c:pt>
                <c:pt idx="6">
                  <c:v>0.25292242295430395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6-4B41-9776-B98675314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1955126016"/>
        <c:axId val="1955126560"/>
      </c:barChart>
      <c:catAx>
        <c:axId val="19551260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955126560"/>
        <c:crosses val="autoZero"/>
        <c:auto val="1"/>
        <c:lblAlgn val="ctr"/>
        <c:lblOffset val="100"/>
        <c:noMultiLvlLbl val="0"/>
      </c:catAx>
      <c:valAx>
        <c:axId val="1955126560"/>
        <c:scaling>
          <c:orientation val="minMax"/>
        </c:scaling>
        <c:delete val="1"/>
        <c:axPos val="b"/>
        <c:majorGridlines/>
        <c:numFmt formatCode="0%" sourceLinked="1"/>
        <c:majorTickMark val="out"/>
        <c:minorTickMark val="none"/>
        <c:tickLblPos val="none"/>
        <c:crossAx val="1955126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solidFill>
        <a:schemeClr val="bg1"/>
      </a:solidFill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Calculations!$AW$23</c:f>
              <c:strCache>
                <c:ptCount val="1"/>
                <c:pt idx="0">
                  <c:v>Asia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Calculations!$AX$23:$BB$23</c:f>
              <c:numCache>
                <c:formatCode>General</c:formatCode>
                <c:ptCount val="5"/>
                <c:pt idx="0">
                  <c:v>11347.621297343105</c:v>
                </c:pt>
                <c:pt idx="1">
                  <c:v>13520.132611305962</c:v>
                </c:pt>
                <c:pt idx="2">
                  <c:v>19556.298279560633</c:v>
                </c:pt>
                <c:pt idx="3">
                  <c:v>24530.635374159621</c:v>
                </c:pt>
                <c:pt idx="4">
                  <c:v>20119.738696336226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916-B9E8-EB6CDC28C8B7}"/>
            </c:ext>
          </c:extLst>
        </c:ser>
        <c:ser>
          <c:idx val="1"/>
          <c:order val="1"/>
          <c:tx>
            <c:strRef>
              <c:f>Calculations!$AW$24</c:f>
              <c:strCache>
                <c:ptCount val="1"/>
                <c:pt idx="0">
                  <c:v>Europe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Calculations!$AX$24:$BB$24</c:f>
              <c:numCache>
                <c:formatCode>General</c:formatCode>
                <c:ptCount val="5"/>
                <c:pt idx="0">
                  <c:v>42463.780970676162</c:v>
                </c:pt>
                <c:pt idx="1">
                  <c:v>52552.923998043538</c:v>
                </c:pt>
                <c:pt idx="2">
                  <c:v>61206.886589279784</c:v>
                </c:pt>
                <c:pt idx="3">
                  <c:v>64911.975393829824</c:v>
                </c:pt>
                <c:pt idx="4">
                  <c:v>77703.711042188574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916-B9E8-EB6CDC28C8B7}"/>
            </c:ext>
          </c:extLst>
        </c:ser>
        <c:ser>
          <c:idx val="2"/>
          <c:order val="2"/>
          <c:tx>
            <c:strRef>
              <c:f>Calculations!$AW$25</c:f>
              <c:strCache>
                <c:ptCount val="1"/>
                <c:pt idx="0">
                  <c:v>Africa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Calculations!$AX$25:$BB$25</c:f>
              <c:numCache>
                <c:formatCode>General</c:formatCode>
                <c:ptCount val="5"/>
                <c:pt idx="0">
                  <c:v>17526.95344294914</c:v>
                </c:pt>
                <c:pt idx="1">
                  <c:v>14649.306135750267</c:v>
                </c:pt>
                <c:pt idx="2">
                  <c:v>43760.597766058636</c:v>
                </c:pt>
                <c:pt idx="3">
                  <c:v>24948.757901547349</c:v>
                </c:pt>
                <c:pt idx="4">
                  <c:v>75481.804840619778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2-4916-B9E8-EB6CDC28C8B7}"/>
            </c:ext>
          </c:extLst>
        </c:ser>
        <c:ser>
          <c:idx val="3"/>
          <c:order val="3"/>
          <c:tx>
            <c:strRef>
              <c:f>Calculations!$AW$26</c:f>
              <c:strCache>
                <c:ptCount val="1"/>
                <c:pt idx="0">
                  <c:v>North Amer.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Calculations!$AX$26:$BB$26</c:f>
              <c:numCache>
                <c:formatCode>General</c:formatCode>
                <c:ptCount val="5"/>
                <c:pt idx="0">
                  <c:v>51417.855048220466</c:v>
                </c:pt>
                <c:pt idx="1">
                  <c:v>58797.107319494513</c:v>
                </c:pt>
                <c:pt idx="2">
                  <c:v>74894.327285627005</c:v>
                </c:pt>
                <c:pt idx="3">
                  <c:v>78838.123173869142</c:v>
                </c:pt>
                <c:pt idx="4">
                  <c:v>92970.089628414746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52-4916-B9E8-EB6CDC28C8B7}"/>
            </c:ext>
          </c:extLst>
        </c:ser>
        <c:ser>
          <c:idx val="4"/>
          <c:order val="4"/>
          <c:tx>
            <c:strRef>
              <c:f>Calculations!$AW$27</c:f>
              <c:strCache>
                <c:ptCount val="1"/>
                <c:pt idx="0">
                  <c:v>South Amer.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Calculations!$AX$27:$BB$27</c:f>
              <c:numCache>
                <c:formatCode>General</c:formatCode>
                <c:ptCount val="5"/>
                <c:pt idx="0">
                  <c:v>16533.333333333332</c:v>
                </c:pt>
                <c:pt idx="1">
                  <c:v>49221.08751742341</c:v>
                </c:pt>
                <c:pt idx="2">
                  <c:v>24683.138141700525</c:v>
                </c:pt>
                <c:pt idx="3">
                  <c:v>27850</c:v>
                </c:pt>
                <c:pt idx="4">
                  <c:v>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52-4916-B9E8-EB6CDC28C8B7}"/>
            </c:ext>
          </c:extLst>
        </c:ser>
        <c:ser>
          <c:idx val="5"/>
          <c:order val="5"/>
          <c:tx>
            <c:strRef>
              <c:f>Calculations!$AW$28</c:f>
              <c:strCache>
                <c:ptCount val="1"/>
                <c:pt idx="0">
                  <c:v>Oceania</c:v>
                </c:pt>
              </c:strCache>
            </c:strRef>
          </c:tx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Calculations!$AX$28:$BB$28</c:f>
              <c:numCache>
                <c:formatCode>General</c:formatCode>
                <c:ptCount val="5"/>
                <c:pt idx="0">
                  <c:v>63991.058205224173</c:v>
                </c:pt>
                <c:pt idx="1">
                  <c:v>73916.59205674447</c:v>
                </c:pt>
                <c:pt idx="2">
                  <c:v>94882.756140380036</c:v>
                </c:pt>
                <c:pt idx="3">
                  <c:v>103362.02086396991</c:v>
                </c:pt>
                <c:pt idx="4">
                  <c:v>102453.49593802381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52-4916-B9E8-EB6CDC28C8B7}"/>
            </c:ext>
          </c:extLst>
        </c:ser>
        <c:ser>
          <c:idx val="6"/>
          <c:order val="6"/>
          <c:tx>
            <c:strRef>
              <c:f>Calculations!$AW$29</c:f>
              <c:strCache>
                <c:ptCount val="1"/>
                <c:pt idx="0">
                  <c:v>Worldwide</c:v>
                </c:pt>
              </c:strCache>
            </c:strRef>
          </c:tx>
          <c:spPr>
            <a:ln>
              <a:solidFill>
                <a:schemeClr val="accent6">
                  <a:lumMod val="75000"/>
                </a:schemeClr>
              </a:solidFill>
              <a:prstDash val="sysDash"/>
            </a:ln>
          </c:spPr>
          <c:cat>
            <c:strRef>
              <c:f>Calculations!$AX$22:$BB$22</c:f>
              <c:strCache>
                <c:ptCount val="5"/>
                <c:pt idx="0">
                  <c:v>0 - 2 yrs</c:v>
                </c:pt>
                <c:pt idx="1">
                  <c:v>2 - 5 yrs</c:v>
                </c:pt>
                <c:pt idx="2">
                  <c:v>5 - 10 yrs</c:v>
                </c:pt>
                <c:pt idx="3">
                  <c:v>10 - 15 yrs</c:v>
                </c:pt>
                <c:pt idx="4">
                  <c:v>15+ yrs</c:v>
                </c:pt>
              </c:strCache>
            </c:strRef>
          </c:cat>
          <c:val>
            <c:numRef>
              <c:f>Calculations!$AX$29:$BB$29</c:f>
              <c:numCache>
                <c:formatCode>General</c:formatCode>
                <c:ptCount val="5"/>
                <c:pt idx="0">
                  <c:v>33880.100382957731</c:v>
                </c:pt>
                <c:pt idx="1">
                  <c:v>43776.19160646035</c:v>
                </c:pt>
                <c:pt idx="2">
                  <c:v>53164.000700434437</c:v>
                </c:pt>
                <c:pt idx="3">
                  <c:v>54073.585451229308</c:v>
                </c:pt>
                <c:pt idx="4">
                  <c:v>63988.140024263856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52-4916-B9E8-EB6CDC28C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5120576"/>
        <c:axId val="1907262720"/>
      </c:lineChart>
      <c:catAx>
        <c:axId val="195512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907262720"/>
        <c:crosses val="autoZero"/>
        <c:auto val="1"/>
        <c:lblAlgn val="ctr"/>
        <c:lblOffset val="100"/>
        <c:noMultiLvlLbl val="0"/>
      </c:catAx>
      <c:valAx>
        <c:axId val="190726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955120576"/>
        <c:crosses val="autoZero"/>
        <c:crossBetween val="between"/>
        <c:dispUnits>
          <c:builtInUnit val="thousands"/>
          <c:dispUnitsLbl>
            <c:tx>
              <c:rich>
                <a:bodyPr/>
                <a:lstStyle/>
                <a:p>
                  <a:pPr>
                    <a:defRPr/>
                  </a:pPr>
                  <a:r>
                    <a:rPr lang="fr-CA"/>
                    <a:t>K$</a:t>
                  </a:r>
                </a:p>
              </c:rich>
            </c:tx>
          </c:dispUnitsLbl>
        </c:dispUnits>
      </c:valAx>
      <c:spPr>
        <a:noFill/>
      </c:spPr>
    </c:plotArea>
    <c:legend>
      <c:legendPos val="r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3FD6-4038-9949-8546758DD0D8}"/>
              </c:ext>
            </c:extLst>
          </c:dPt>
          <c:val>
            <c:numRef>
              <c:f>Calculations!$BN$7:$BN$12</c:f>
              <c:numCache>
                <c:formatCode>General</c:formatCode>
                <c:ptCount val="6"/>
                <c:pt idx="0">
                  <c:v>177600</c:v>
                </c:pt>
                <c:pt idx="1">
                  <c:v>72738.12965964344</c:v>
                </c:pt>
                <c:pt idx="2">
                  <c:v>13529.430894182482</c:v>
                </c:pt>
                <c:pt idx="3">
                  <c:v>67240.730112795849</c:v>
                </c:pt>
                <c:pt idx="4">
                  <c:v>92857.629854916348</c:v>
                </c:pt>
                <c:pt idx="5">
                  <c:v>89799.526836779929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D6-4038-9949-8546758D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1907270880"/>
        <c:axId val="1772116016"/>
      </c:barChart>
      <c:catAx>
        <c:axId val="1907270880"/>
        <c:scaling>
          <c:orientation val="maxMin"/>
        </c:scaling>
        <c:delete val="1"/>
        <c:axPos val="l"/>
        <c:majorTickMark val="out"/>
        <c:minorTickMark val="none"/>
        <c:tickLblPos val="none"/>
        <c:crossAx val="1772116016"/>
        <c:crosses val="autoZero"/>
        <c:auto val="1"/>
        <c:lblAlgn val="ctr"/>
        <c:lblOffset val="100"/>
        <c:noMultiLvlLbl val="0"/>
      </c:catAx>
      <c:valAx>
        <c:axId val="177211601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1907270880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C21D-47F2-A3E5-8EF9A30498A5}"/>
              </c:ext>
            </c:extLst>
          </c:dPt>
          <c:val>
            <c:numRef>
              <c:f>Calculations!$BO$7:$BO$12</c:f>
              <c:numCache>
                <c:formatCode>General</c:formatCode>
                <c:ptCount val="6"/>
                <c:pt idx="0">
                  <c:v>21</c:v>
                </c:pt>
                <c:pt idx="1">
                  <c:v>10.292035398230089</c:v>
                </c:pt>
                <c:pt idx="2">
                  <c:v>6.4691823899371066</c:v>
                </c:pt>
                <c:pt idx="3">
                  <c:v>10.382882882882884</c:v>
                </c:pt>
                <c:pt idx="4">
                  <c:v>10.26</c:v>
                </c:pt>
                <c:pt idx="5">
                  <c:v>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D-47F2-A3E5-8EF9A3049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002818576"/>
        <c:axId val="2002815856"/>
      </c:barChart>
      <c:catAx>
        <c:axId val="2002818576"/>
        <c:scaling>
          <c:orientation val="maxMin"/>
        </c:scaling>
        <c:delete val="1"/>
        <c:axPos val="l"/>
        <c:majorTickMark val="out"/>
        <c:minorTickMark val="none"/>
        <c:tickLblPos val="none"/>
        <c:crossAx val="2002815856"/>
        <c:crosses val="autoZero"/>
        <c:auto val="1"/>
        <c:lblAlgn val="ctr"/>
        <c:lblOffset val="100"/>
        <c:noMultiLvlLbl val="0"/>
      </c:catAx>
      <c:valAx>
        <c:axId val="20028158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200281857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E95B-4DE7-8B65-26243FD16A5A}"/>
              </c:ext>
            </c:extLst>
          </c:dPt>
          <c:val>
            <c:numRef>
              <c:f>Calculations!$BP$7:$BP$12</c:f>
              <c:numCache>
                <c:formatCode>General</c:formatCode>
                <c:ptCount val="6"/>
                <c:pt idx="0">
                  <c:v>617</c:v>
                </c:pt>
                <c:pt idx="1">
                  <c:v>617</c:v>
                </c:pt>
                <c:pt idx="2">
                  <c:v>565</c:v>
                </c:pt>
                <c:pt idx="3">
                  <c:v>154</c:v>
                </c:pt>
                <c:pt idx="4">
                  <c:v>81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B-4DE7-8B65-26243FD16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axId val="2002814224"/>
        <c:axId val="2002811504"/>
      </c:barChart>
      <c:catAx>
        <c:axId val="2002814224"/>
        <c:scaling>
          <c:orientation val="maxMin"/>
        </c:scaling>
        <c:delete val="1"/>
        <c:axPos val="l"/>
        <c:majorTickMark val="out"/>
        <c:minorTickMark val="none"/>
        <c:tickLblPos val="none"/>
        <c:crossAx val="2002811504"/>
        <c:crosses val="autoZero"/>
        <c:auto val="1"/>
        <c:lblAlgn val="ctr"/>
        <c:lblOffset val="100"/>
        <c:noMultiLvlLbl val="0"/>
      </c:catAx>
      <c:valAx>
        <c:axId val="200281150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crossAx val="200281422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75166339169339"/>
          <c:y val="5.6410256410256411E-2"/>
          <c:w val="0.80998120574151766"/>
          <c:h val="0.8371399152029073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Calculations!$O$47:$O$75</c:f>
                <c:numCache>
                  <c:formatCode>General</c:formatCode>
                  <c:ptCount val="29"/>
                  <c:pt idx="0">
                    <c:v>2500.9904605759289</c:v>
                  </c:pt>
                  <c:pt idx="1">
                    <c:v>29500</c:v>
                  </c:pt>
                  <c:pt idx="3">
                    <c:v>3205.4250037396628</c:v>
                  </c:pt>
                  <c:pt idx="4">
                    <c:v>35000</c:v>
                  </c:pt>
                  <c:pt idx="6">
                    <c:v>5849.900631824883</c:v>
                  </c:pt>
                  <c:pt idx="7">
                    <c:v>57000</c:v>
                  </c:pt>
                  <c:pt idx="9">
                    <c:v>9885.6599970082698</c:v>
                  </c:pt>
                  <c:pt idx="10">
                    <c:v>43000</c:v>
                  </c:pt>
                  <c:pt idx="12">
                    <c:v>11129.947929651606</c:v>
                  </c:pt>
                  <c:pt idx="13">
                    <c:v>71500</c:v>
                  </c:pt>
                  <c:pt idx="15">
                    <c:v>4558.3541656278712</c:v>
                  </c:pt>
                  <c:pt idx="16">
                    <c:v>50371</c:v>
                  </c:pt>
                  <c:pt idx="18">
                    <c:v>5887.2460467309138</c:v>
                  </c:pt>
                  <c:pt idx="19">
                    <c:v>41000</c:v>
                  </c:pt>
                  <c:pt idx="21">
                    <c:v>1880.1687478185304</c:v>
                  </c:pt>
                  <c:pt idx="22">
                    <c:v>6269.5</c:v>
                  </c:pt>
                  <c:pt idx="24">
                    <c:v>2089.4640309761562</c:v>
                  </c:pt>
                  <c:pt idx="25">
                    <c:v>5000</c:v>
                  </c:pt>
                  <c:pt idx="27">
                    <c:v>5436.4250037396632</c:v>
                  </c:pt>
                  <c:pt idx="28">
                    <c:v>14000</c:v>
                  </c:pt>
                </c:numCache>
              </c:numRef>
            </c:minus>
          </c:errBars>
          <c:cat>
            <c:strRef>
              <c:f>Calculations!$N$47:$N$75</c:f>
              <c:strCache>
                <c:ptCount val="29"/>
                <c:pt idx="1">
                  <c:v>Accountant</c:v>
                </c:pt>
                <c:pt idx="4">
                  <c:v>Analyst</c:v>
                </c:pt>
                <c:pt idx="7">
                  <c:v>Consultant</c:v>
                </c:pt>
                <c:pt idx="10">
                  <c:v>Controller</c:v>
                </c:pt>
                <c:pt idx="13">
                  <c:v>CXO or 
Top Mgmt.</c:v>
                </c:pt>
                <c:pt idx="16">
                  <c:v>Engineer</c:v>
                </c:pt>
                <c:pt idx="19">
                  <c:v>Manager</c:v>
                </c:pt>
                <c:pt idx="22">
                  <c:v>Misc.</c:v>
                </c:pt>
                <c:pt idx="25">
                  <c:v>Reporting</c:v>
                </c:pt>
                <c:pt idx="28">
                  <c:v>Specialist</c:v>
                </c:pt>
              </c:strCache>
            </c:strRef>
          </c:cat>
          <c:val>
            <c:numRef>
              <c:f>Calculations!$P$47:$P$75</c:f>
              <c:numCache>
                <c:formatCode>_ * #,##0_)\ "$"_ ;_ * \(#,##0\)\ "$"_ ;_ * "-"??_)\ "$"_ ;_ @_ </c:formatCode>
                <c:ptCount val="29"/>
                <c:pt idx="0">
                  <c:v>4284.1573649981829</c:v>
                </c:pt>
                <c:pt idx="1">
                  <c:v>45000</c:v>
                </c:pt>
                <c:pt idx="3">
                  <c:v>5342.3750062327708</c:v>
                </c:pt>
                <c:pt idx="4">
                  <c:v>45000</c:v>
                </c:pt>
                <c:pt idx="6">
                  <c:v>8414.2406348166132</c:v>
                </c:pt>
                <c:pt idx="7">
                  <c:v>69000</c:v>
                </c:pt>
                <c:pt idx="9">
                  <c:v>12450</c:v>
                </c:pt>
                <c:pt idx="10">
                  <c:v>67000</c:v>
                </c:pt>
                <c:pt idx="12">
                  <c:v>13801.135432767991</c:v>
                </c:pt>
                <c:pt idx="13">
                  <c:v>87500</c:v>
                </c:pt>
                <c:pt idx="15">
                  <c:v>7229.5416687442566</c:v>
                </c:pt>
                <c:pt idx="16">
                  <c:v>57000</c:v>
                </c:pt>
                <c:pt idx="18">
                  <c:v>7693.0200089751897</c:v>
                </c:pt>
                <c:pt idx="19">
                  <c:v>52000</c:v>
                </c:pt>
                <c:pt idx="21">
                  <c:v>4373.2770840604899</c:v>
                </c:pt>
                <c:pt idx="22">
                  <c:v>80730.5</c:v>
                </c:pt>
                <c:pt idx="24">
                  <c:v>4000</c:v>
                </c:pt>
                <c:pt idx="25">
                  <c:v>37000</c:v>
                </c:pt>
                <c:pt idx="27">
                  <c:v>9455.4250037396632</c:v>
                </c:pt>
                <c:pt idx="28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9-4159-92F0-96E6E3E83950}"/>
            </c:ext>
          </c:extLst>
        </c:ser>
        <c:ser>
          <c:idx val="1"/>
          <c:order val="1"/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A189-4159-92F0-96E6E3E83950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A189-4159-92F0-96E6E3E83950}"/>
              </c:ext>
            </c:extLst>
          </c:dPt>
          <c:dPt>
            <c:idx val="7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189-4159-92F0-96E6E3E83950}"/>
              </c:ext>
            </c:extLst>
          </c:dPt>
          <c:dPt>
            <c:idx val="10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8-A189-4159-92F0-96E6E3E83950}"/>
              </c:ext>
            </c:extLst>
          </c:dPt>
          <c:dPt>
            <c:idx val="1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A-A189-4159-92F0-96E6E3E83950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A189-4159-92F0-96E6E3E83950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A189-4159-92F0-96E6E3E83950}"/>
              </c:ext>
            </c:extLst>
          </c:dPt>
          <c:dPt>
            <c:idx val="2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A189-4159-92F0-96E6E3E83950}"/>
              </c:ext>
            </c:extLst>
          </c:dPt>
          <c:dPt>
            <c:idx val="25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2-A189-4159-92F0-96E6E3E83950}"/>
              </c:ext>
            </c:extLst>
          </c:dPt>
          <c:dPt>
            <c:idx val="28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4-A189-4159-92F0-96E6E3E83950}"/>
              </c:ext>
            </c:extLst>
          </c:dPt>
          <c:cat>
            <c:strRef>
              <c:f>Calculations!$N$47:$N$75</c:f>
              <c:strCache>
                <c:ptCount val="29"/>
                <c:pt idx="1">
                  <c:v>Accountant</c:v>
                </c:pt>
                <c:pt idx="4">
                  <c:v>Analyst</c:v>
                </c:pt>
                <c:pt idx="7">
                  <c:v>Consultant</c:v>
                </c:pt>
                <c:pt idx="10">
                  <c:v>Controller</c:v>
                </c:pt>
                <c:pt idx="13">
                  <c:v>CXO or 
Top Mgmt.</c:v>
                </c:pt>
                <c:pt idx="16">
                  <c:v>Engineer</c:v>
                </c:pt>
                <c:pt idx="19">
                  <c:v>Manager</c:v>
                </c:pt>
                <c:pt idx="22">
                  <c:v>Misc.</c:v>
                </c:pt>
                <c:pt idx="25">
                  <c:v>Reporting</c:v>
                </c:pt>
                <c:pt idx="28">
                  <c:v>Specialist</c:v>
                </c:pt>
              </c:strCache>
            </c:strRef>
          </c:cat>
          <c:val>
            <c:numRef>
              <c:f>Calculations!$Q$47:$Q$75</c:f>
              <c:numCache>
                <c:formatCode>_ * #,##0_)\ "$"_ ;_ * \(#,##0\)\ "$"_ ;_ * "-"??_)\ "$"_ ;_ @_ </c:formatCode>
                <c:ptCount val="29"/>
                <c:pt idx="0">
                  <c:v>5289.1254081533816</c:v>
                </c:pt>
                <c:pt idx="1">
                  <c:v>15000</c:v>
                </c:pt>
                <c:pt idx="3">
                  <c:v>3561.5833374885133</c:v>
                </c:pt>
                <c:pt idx="4">
                  <c:v>15000</c:v>
                </c:pt>
                <c:pt idx="6">
                  <c:v>3585.7593651833868</c:v>
                </c:pt>
                <c:pt idx="7">
                  <c:v>21469.260118790073</c:v>
                </c:pt>
                <c:pt idx="9">
                  <c:v>3363.5625093491544</c:v>
                </c:pt>
                <c:pt idx="10">
                  <c:v>13000</c:v>
                </c:pt>
                <c:pt idx="12">
                  <c:v>16198.864567232009</c:v>
                </c:pt>
                <c:pt idx="13">
                  <c:v>20000</c:v>
                </c:pt>
                <c:pt idx="15">
                  <c:v>4472.8685499748563</c:v>
                </c:pt>
                <c:pt idx="16">
                  <c:v>14250</c:v>
                </c:pt>
                <c:pt idx="18">
                  <c:v>3882.1258378624798</c:v>
                </c:pt>
                <c:pt idx="19">
                  <c:v>16835.306612122877</c:v>
                </c:pt>
                <c:pt idx="21">
                  <c:v>8626.7229159395101</c:v>
                </c:pt>
                <c:pt idx="22">
                  <c:v>6269.5</c:v>
                </c:pt>
                <c:pt idx="24">
                  <c:v>1983.4600069807029</c:v>
                </c:pt>
                <c:pt idx="25">
                  <c:v>8000</c:v>
                </c:pt>
                <c:pt idx="27">
                  <c:v>8544.5749962603368</c:v>
                </c:pt>
                <c:pt idx="28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189-4159-92F0-96E6E3E83950}"/>
            </c:ext>
          </c:extLst>
        </c:ser>
        <c:ser>
          <c:idx val="2"/>
          <c:order val="2"/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7-A189-4159-92F0-96E6E3E8395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9-A189-4159-92F0-96E6E3E8395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B-A189-4159-92F0-96E6E3E8395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D-A189-4159-92F0-96E6E3E83950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F-A189-4159-92F0-96E6E3E83950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1-A189-4159-92F0-96E6E3E83950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3-A189-4159-92F0-96E6E3E83950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5-A189-4159-92F0-96E6E3E83950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7-A189-4159-92F0-96E6E3E83950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29-A189-4159-92F0-96E6E3E83950}"/>
              </c:ext>
            </c:extLst>
          </c:dPt>
          <c:errBars>
            <c:errBarType val="plus"/>
            <c:errValType val="cust"/>
            <c:noEndCap val="0"/>
            <c:plus>
              <c:numRef>
                <c:f>Calculations!$S$47:$S$75</c:f>
                <c:numCache>
                  <c:formatCode>General</c:formatCode>
                  <c:ptCount val="29"/>
                  <c:pt idx="0">
                    <c:v>47481.666749770273</c:v>
                  </c:pt>
                  <c:pt idx="1">
                    <c:v>1152201.9037879086</c:v>
                  </c:pt>
                  <c:pt idx="3">
                    <c:v>145134.52100265693</c:v>
                  </c:pt>
                  <c:pt idx="4">
                    <c:v>170840.3807575817</c:v>
                  </c:pt>
                  <c:pt idx="6">
                    <c:v>94623.718720394332</c:v>
                  </c:pt>
                  <c:pt idx="7">
                    <c:v>135000</c:v>
                  </c:pt>
                  <c:pt idx="9">
                    <c:v>46000</c:v>
                  </c:pt>
                  <c:pt idx="10">
                    <c:v>113000</c:v>
                  </c:pt>
                  <c:pt idx="12">
                    <c:v>53540.104140696785</c:v>
                  </c:pt>
                  <c:pt idx="13">
                    <c:v>150000</c:v>
                  </c:pt>
                  <c:pt idx="15">
                    <c:v>114000</c:v>
                  </c:pt>
                  <c:pt idx="16">
                    <c:v>45000</c:v>
                  </c:pt>
                  <c:pt idx="18">
                    <c:v>165613.62519321591</c:v>
                  </c:pt>
                  <c:pt idx="19">
                    <c:v>310000</c:v>
                  </c:pt>
                  <c:pt idx="21">
                    <c:v>15534.173392123201</c:v>
                  </c:pt>
                  <c:pt idx="22">
                    <c:v>1500</c:v>
                  </c:pt>
                  <c:pt idx="24">
                    <c:v>90614.729284050511</c:v>
                  </c:pt>
                  <c:pt idx="25">
                    <c:v>7000</c:v>
                  </c:pt>
                  <c:pt idx="27">
                    <c:v>71147</c:v>
                  </c:pt>
                  <c:pt idx="28">
                    <c:v>331000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Calculations!$N$47:$N$75</c:f>
              <c:strCache>
                <c:ptCount val="29"/>
                <c:pt idx="1">
                  <c:v>Accountant</c:v>
                </c:pt>
                <c:pt idx="4">
                  <c:v>Analyst</c:v>
                </c:pt>
                <c:pt idx="7">
                  <c:v>Consultant</c:v>
                </c:pt>
                <c:pt idx="10">
                  <c:v>Controller</c:v>
                </c:pt>
                <c:pt idx="13">
                  <c:v>CXO or 
Top Mgmt.</c:v>
                </c:pt>
                <c:pt idx="16">
                  <c:v>Engineer</c:v>
                </c:pt>
                <c:pt idx="19">
                  <c:v>Manager</c:v>
                </c:pt>
                <c:pt idx="22">
                  <c:v>Misc.</c:v>
                </c:pt>
                <c:pt idx="25">
                  <c:v>Reporting</c:v>
                </c:pt>
                <c:pt idx="28">
                  <c:v>Specialist</c:v>
                </c:pt>
              </c:strCache>
            </c:strRef>
          </c:cat>
          <c:val>
            <c:numRef>
              <c:f>Calculations!$R$47:$R$75</c:f>
              <c:numCache>
                <c:formatCode>_ * #,##0_)\ "$"_ ;_ * \(#,##0\)\ "$"_ ;_ * "-"??_)\ "$"_ ;_ @_ </c:formatCode>
                <c:ptCount val="29"/>
                <c:pt idx="0">
                  <c:v>14176.717226848436</c:v>
                </c:pt>
                <c:pt idx="1">
                  <c:v>17000</c:v>
                </c:pt>
                <c:pt idx="3">
                  <c:v>6232.7708406048987</c:v>
                </c:pt>
                <c:pt idx="4">
                  <c:v>15000</c:v>
                </c:pt>
                <c:pt idx="6">
                  <c:v>13376.281279605661</c:v>
                </c:pt>
                <c:pt idx="7">
                  <c:v>24530.739881209927</c:v>
                </c:pt>
                <c:pt idx="9">
                  <c:v>23186.437490650846</c:v>
                </c:pt>
                <c:pt idx="10">
                  <c:v>21000</c:v>
                </c:pt>
                <c:pt idx="12">
                  <c:v>17259.895859303215</c:v>
                </c:pt>
                <c:pt idx="13">
                  <c:v>42500</c:v>
                </c:pt>
                <c:pt idx="15">
                  <c:v>12297.589781280887</c:v>
                </c:pt>
                <c:pt idx="16">
                  <c:v>13750</c:v>
                </c:pt>
                <c:pt idx="18">
                  <c:v>9794.3541780934138</c:v>
                </c:pt>
                <c:pt idx="19">
                  <c:v>21164.693387877123</c:v>
                </c:pt>
                <c:pt idx="21">
                  <c:v>13178.0577973744</c:v>
                </c:pt>
                <c:pt idx="22">
                  <c:v>1500</c:v>
                </c:pt>
                <c:pt idx="24">
                  <c:v>4016.5399930192971</c:v>
                </c:pt>
                <c:pt idx="25">
                  <c:v>40000</c:v>
                </c:pt>
                <c:pt idx="27">
                  <c:v>10000</c:v>
                </c:pt>
                <c:pt idx="28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189-4159-92F0-96E6E3E8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002814768"/>
        <c:axId val="2002816944"/>
      </c:barChart>
      <c:catAx>
        <c:axId val="2002814768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02816944"/>
        <c:crosses val="autoZero"/>
        <c:auto val="1"/>
        <c:lblAlgn val="ctr"/>
        <c:lblOffset val="100"/>
        <c:tickMarkSkip val="3"/>
        <c:noMultiLvlLbl val="0"/>
      </c:catAx>
      <c:valAx>
        <c:axId val="2002816944"/>
        <c:scaling>
          <c:orientation val="minMax"/>
          <c:max val="200000"/>
        </c:scaling>
        <c:delete val="0"/>
        <c:axPos val="t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_ * #,##0_)\ &quot;$&quot;_ ;_ * \(#,##0\)\ &quot;$&quot;_ ;_ * &quot;-&quot;??_)\ &quot;$&quot;_ ;_ @_ 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0281476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96620259725814872"/>
                <c:y val="4.0767211790833872E-3"/>
              </c:manualLayout>
            </c:layout>
            <c:tx>
              <c:rich>
                <a:bodyPr/>
                <a:lstStyle/>
                <a:p>
                  <a:pPr>
                    <a:defRPr sz="800"/>
                  </a:pPr>
                  <a:r>
                    <a:rPr lang="en-CA" sz="800"/>
                    <a:t>K$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trlProps/ctrlProp1.xml><?xml version="1.0" encoding="utf-8"?>
<formControlPr xmlns="http://schemas.microsoft.com/office/spreadsheetml/2009/9/main" objectType="CheckBox" fmlaLink="Data!$Q$1" lockText="1" noThreeD="1"/>
</file>

<file path=xl/ctrlProps/ctrlProp2.xml><?xml version="1.0" encoding="utf-8"?>
<formControlPr xmlns="http://schemas.microsoft.com/office/spreadsheetml/2009/9/main" objectType="Scroll" dx="16" fmlaLink="Calculations!$BO$5" max="98" page="5" val="0"/>
</file>

<file path=xl/ctrlProps/ctrlProp3.xml><?xml version="1.0" encoding="utf-8"?>
<formControlPr xmlns="http://schemas.microsoft.com/office/spreadsheetml/2009/9/main" objectType="Radio" firstButton="1" fmlaLink="Calculations!$BN$3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7</xdr:row>
      <xdr:rowOff>19050</xdr:rowOff>
    </xdr:from>
    <xdr:to>
      <xdr:col>39</xdr:col>
      <xdr:colOff>295274</xdr:colOff>
      <xdr:row>22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228601</xdr:colOff>
      <xdr:row>32</xdr:row>
      <xdr:rowOff>84884</xdr:rowOff>
    </xdr:from>
    <xdr:to>
      <xdr:col>19</xdr:col>
      <xdr:colOff>228601</xdr:colOff>
      <xdr:row>41</xdr:row>
      <xdr:rowOff>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19051</xdr:colOff>
      <xdr:row>20</xdr:row>
      <xdr:rowOff>19050</xdr:rowOff>
    </xdr:from>
    <xdr:to>
      <xdr:col>20</xdr:col>
      <xdr:colOff>0</xdr:colOff>
      <xdr:row>31</xdr:row>
      <xdr:rowOff>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3409</xdr:colOff>
      <xdr:row>11</xdr:row>
      <xdr:rowOff>49695</xdr:rowOff>
    </xdr:from>
    <xdr:to>
      <xdr:col>11</xdr:col>
      <xdr:colOff>107672</xdr:colOff>
      <xdr:row>18</xdr:row>
      <xdr:rowOff>149087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281608</xdr:colOff>
      <xdr:row>11</xdr:row>
      <xdr:rowOff>57978</xdr:rowOff>
    </xdr:from>
    <xdr:to>
      <xdr:col>15</xdr:col>
      <xdr:colOff>87698</xdr:colOff>
      <xdr:row>18</xdr:row>
      <xdr:rowOff>157370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140804</xdr:colOff>
      <xdr:row>11</xdr:row>
      <xdr:rowOff>57979</xdr:rowOff>
    </xdr:from>
    <xdr:to>
      <xdr:col>19</xdr:col>
      <xdr:colOff>245067</xdr:colOff>
      <xdr:row>18</xdr:row>
      <xdr:rowOff>157371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</xdr:colOff>
      <xdr:row>28</xdr:row>
      <xdr:rowOff>1</xdr:rowOff>
    </xdr:from>
    <xdr:to>
      <xdr:col>40</xdr:col>
      <xdr:colOff>0</xdr:colOff>
      <xdr:row>41</xdr:row>
      <xdr:rowOff>1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38100</xdr:colOff>
          <xdr:row>0</xdr:row>
          <xdr:rowOff>47625</xdr:rowOff>
        </xdr:from>
        <xdr:to>
          <xdr:col>28</xdr:col>
          <xdr:colOff>171450</xdr:colOff>
          <xdr:row>0</xdr:row>
          <xdr:rowOff>266700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Use PPP Factor to compare salaries?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11</xdr:row>
          <xdr:rowOff>57150</xdr:rowOff>
        </xdr:from>
        <xdr:to>
          <xdr:col>19</xdr:col>
          <xdr:colOff>238125</xdr:colOff>
          <xdr:row>18</xdr:row>
          <xdr:rowOff>142875</xdr:rowOff>
        </xdr:to>
        <xdr:sp macro="" textlink="">
          <xdr:nvSpPr>
            <xdr:cNvPr id="1055" name="Scroll Bar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5</xdr:col>
          <xdr:colOff>161925</xdr:colOff>
          <xdr:row>13</xdr:row>
          <xdr:rowOff>28575</xdr:rowOff>
        </xdr:to>
        <xdr:sp macro="" textlink="">
          <xdr:nvSpPr>
            <xdr:cNvPr id="1056" name="Option Button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11</xdr:row>
          <xdr:rowOff>180975</xdr:rowOff>
        </xdr:from>
        <xdr:to>
          <xdr:col>10</xdr:col>
          <xdr:colOff>266700</xdr:colOff>
          <xdr:row>13</xdr:row>
          <xdr:rowOff>19050</xdr:rowOff>
        </xdr:to>
        <xdr:sp macro="" textlink="">
          <xdr:nvSpPr>
            <xdr:cNvPr id="1057" name="Option Button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11</xdr:row>
          <xdr:rowOff>171450</xdr:rowOff>
        </xdr:from>
        <xdr:to>
          <xdr:col>14</xdr:col>
          <xdr:colOff>219075</xdr:colOff>
          <xdr:row>13</xdr:row>
          <xdr:rowOff>9525</xdr:rowOff>
        </xdr:to>
        <xdr:sp macro="" textlink="">
          <xdr:nvSpPr>
            <xdr:cNvPr id="1058" name="Option Button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</xdr:colOff>
          <xdr:row>11</xdr:row>
          <xdr:rowOff>171450</xdr:rowOff>
        </xdr:from>
        <xdr:to>
          <xdr:col>18</xdr:col>
          <xdr:colOff>180975</xdr:colOff>
          <xdr:row>13</xdr:row>
          <xdr:rowOff>9525</xdr:rowOff>
        </xdr:to>
        <xdr:sp macro="" textlink="">
          <xdr:nvSpPr>
            <xdr:cNvPr id="1059" name="Option Butto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Xrate" displayName="tblXrate" ref="B5:C44" totalsRowShown="0">
  <autoFilter ref="B5:C44" xr:uid="{00000000-0009-0000-0100-000002000000}"/>
  <tableColumns count="2">
    <tableColumn id="1" xr3:uid="{00000000-0010-0000-0000-000001000000}" name="Currency"/>
    <tableColumn id="2" xr3:uid="{00000000-0010-0000-0000-000002000000}" name="in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Countries" displayName="tblCountries" ref="L5:P139" totalsRowShown="0">
  <autoFilter ref="L5:P139" xr:uid="{00000000-0009-0000-0100-000004000000}"/>
  <tableColumns count="5">
    <tableColumn id="1" xr3:uid="{00000000-0010-0000-0100-000001000000}" name="Actual"/>
    <tableColumn id="2" xr3:uid="{00000000-0010-0000-0100-000002000000}" name="Mapping"/>
    <tableColumn id="3" xr3:uid="{00000000-0010-0000-0100-000003000000}" name="Continent" dataDxfId="16">
      <calculatedColumnFormula>VLOOKUP(tblCountries[[#This Row],[Mapping]],tblContinent[#All],2,0)</calculatedColumnFormula>
    </tableColumn>
    <tableColumn id="4" xr3:uid="{00000000-0010-0000-0100-000004000000}" name="PPP Factor" dataDxfId="15">
      <calculatedColumnFormula>VLOOKUP(tblCountries[[#This Row],[Mapping]],tblPPP[],3,0)</calculatedColumnFormula>
    </tableColumn>
    <tableColumn id="5" xr3:uid="{00000000-0010-0000-0100-000005000000}" name="Clean PPP" dataDxfId="14">
      <calculatedColumnFormula>IFERROR(tblCountries[[#This Row],[PPP Factor]],1)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Continent" displayName="tblContinent" ref="R5:S212" totalsRowShown="0" headerRowDxfId="13">
  <autoFilter ref="R5:S212" xr:uid="{00000000-0009-0000-0100-000006000000}"/>
  <tableColumns count="2">
    <tableColumn id="1" xr3:uid="{00000000-0010-0000-0200-000001000000}" name="Country"/>
    <tableColumn id="2" xr3:uid="{00000000-0010-0000-0200-000002000000}" name="Contin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PPP" displayName="tblPPP" ref="U6:W192" totalsRowShown="0">
  <autoFilter ref="U6:W192" xr:uid="{00000000-0009-0000-0100-000003000000}"/>
  <tableColumns count="3">
    <tableColumn id="1" xr3:uid="{00000000-0010-0000-0300-000001000000}" name="Country"/>
    <tableColumn id="2" xr3:uid="{00000000-0010-0000-0300-000002000000}" name="Intl $"/>
    <tableColumn id="3" xr3:uid="{00000000-0010-0000-0300-000003000000}" name="PPP Ratio Vs US" dataDxfId="12">
      <calculatedColumnFormula>$W$5/V7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blSalaries" displayName="tblSalaries" ref="B5:Q1888" totalsRowShown="0">
  <autoFilter ref="B5:Q1888" xr:uid="{00000000-0009-0000-0100-000001000000}"/>
  <sortState xmlns:xlrd2="http://schemas.microsoft.com/office/spreadsheetml/2017/richdata2" ref="B6:M1888">
    <sortCondition ref="B5:B1888"/>
  </sortState>
  <tableColumns count="16">
    <tableColumn id="1" xr3:uid="{00000000-0010-0000-0400-000001000000}" name="Unique ID"/>
    <tableColumn id="2" xr3:uid="{00000000-0010-0000-0400-000002000000}" name="Timestamp" dataDxfId="9"/>
    <tableColumn id="3" xr3:uid="{00000000-0010-0000-0400-000003000000}" name="Your Salary" dataDxfId="8"/>
    <tableColumn id="4" xr3:uid="{00000000-0010-0000-0400-000004000000}" name="clean Salary (in local currency)"/>
    <tableColumn id="5" xr3:uid="{00000000-0010-0000-0400-000005000000}" name="Currency"/>
    <tableColumn id="13" xr3:uid="{00000000-0010-0000-0400-00000D000000}" name="Salary in USD" dataDxfId="7">
      <calculatedColumnFormula>tblSalaries[[#This Row],[clean Salary (in local currency)]]*VLOOKUP(tblSalaries[[#This Row],[Currency]],tblXrate[],2,FALSE)</calculatedColumnFormula>
    </tableColumn>
    <tableColumn id="7" xr3:uid="{00000000-0010-0000-0400-000007000000}" name="Your Job Title"/>
    <tableColumn id="6" xr3:uid="{00000000-0010-0000-0400-000006000000}" name="Job Type"/>
    <tableColumn id="8" xr3:uid="{00000000-0010-0000-0400-000008000000}" name="Where do you work"/>
    <tableColumn id="10" xr3:uid="{00000000-0010-0000-0400-00000A000000}" name="clean Country" dataDxfId="6">
      <calculatedColumnFormula>VLOOKUP(tblSalaries[[#This Row],[Where do you work]],tblCountries[[Actual]:[Mapping]],2,FALSE)</calculatedColumnFormula>
    </tableColumn>
    <tableColumn id="9" xr3:uid="{00000000-0010-0000-0400-000009000000}" name="How many hours of a day you work on Excel"/>
    <tableColumn id="12" xr3:uid="{00000000-0010-0000-0400-00000C000000}" name="Years of Experience" dataDxfId="5"/>
    <tableColumn id="11" xr3:uid="{00000000-0010-0000-0400-00000B000000}" name="Continent" dataDxfId="4">
      <calculatedColumnFormula>VLOOKUP(K6,tblCountries[],3,0)</calculatedColumnFormula>
    </tableColumn>
    <tableColumn id="14" xr3:uid="{00000000-0010-0000-0400-00000E000000}" name="Code Hours" dataDxfId="3">
      <calculatedColumnFormula>VLOOKUP(tblSalaries[[#This Row],[How many hours of a day you work on Excel]],tblHours,2,0)</calculatedColumnFormula>
    </tableColumn>
    <tableColumn id="15" xr3:uid="{00000000-0010-0000-0400-00000F000000}" name="PPP Factor" dataDxfId="2">
      <calculatedColumnFormula>VLOOKUP(tblSalaries[[#This Row],[clean Country]],tblCountries[],5,0)</calculatedColumnFormula>
    </tableColumn>
    <tableColumn id="16" xr3:uid="{00000000-0010-0000-0400-000010000000}" name="Salary" dataDxfId="1">
      <calculatedColumnFormula>IF($Q$1,tblSalaries[[#This Row],[PPP Factor]]*tblSalaries[[#This Row],[Salary in USD]],tblSalaries[[#This Row],[Salary in USD]])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egrandchamanexcel.blogspot.com/" TargetMode="External"/><Relationship Id="rId6" Type="http://schemas.openxmlformats.org/officeDocument/2006/relationships/ctrlProp" Target="../ctrlProps/ctrlProp2.xml"/><Relationship Id="rId11" Type="http://schemas.openxmlformats.org/officeDocument/2006/relationships/comments" Target="../comments1.xml"/><Relationship Id="rId5" Type="http://schemas.openxmlformats.org/officeDocument/2006/relationships/ctrlProp" Target="../ctrlProps/ctrlProp1.xml"/><Relationship Id="rId10" Type="http://schemas.openxmlformats.org/officeDocument/2006/relationships/ctrlProp" Target="../ctrlProps/ctrlProp6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http://en.wikipedia.org/wiki/List_of_countries_by_GDP_(PPP)_per_capita" TargetMode="External"/><Relationship Id="rId7" Type="http://schemas.openxmlformats.org/officeDocument/2006/relationships/table" Target="../tables/table3.xml"/><Relationship Id="rId2" Type="http://schemas.openxmlformats.org/officeDocument/2006/relationships/hyperlink" Target="http://xe.com/" TargetMode="External"/><Relationship Id="rId1" Type="http://schemas.openxmlformats.org/officeDocument/2006/relationships/hyperlink" Target="http://www.x-rates.com/cgi-bin/cgicalc.cgi?value=1&amp;base=USD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6">
    <pageSetUpPr fitToPage="1"/>
  </sheetPr>
  <dimension ref="A1:AQ41"/>
  <sheetViews>
    <sheetView showGridLines="0" tabSelected="1" zoomScaleNormal="100" workbookViewId="0">
      <selection activeCell="B1" sqref="B1"/>
    </sheetView>
  </sheetViews>
  <sheetFormatPr defaultColWidth="0" defaultRowHeight="15" zeroHeight="1" x14ac:dyDescent="0.25"/>
  <cols>
    <col min="1" max="1" width="1.7109375" customWidth="1"/>
    <col min="2" max="10" width="4.42578125" customWidth="1"/>
    <col min="11" max="14" width="4.42578125" style="22" customWidth="1"/>
    <col min="15" max="20" width="4.42578125" customWidth="1"/>
    <col min="21" max="21" width="2.140625" customWidth="1"/>
    <col min="22" max="40" width="4.42578125" customWidth="1"/>
    <col min="41" max="41" width="5.42578125" customWidth="1"/>
    <col min="42" max="16384" width="11.42578125" hidden="1"/>
  </cols>
  <sheetData>
    <row r="1" spans="1:43" ht="23.25" x14ac:dyDescent="0.35">
      <c r="B1" s="29" t="s">
        <v>4448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63" t="s">
        <v>4441</v>
      </c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69" t="s">
        <v>4188</v>
      </c>
      <c r="AK1" s="69"/>
      <c r="AL1" s="69"/>
      <c r="AM1" s="69"/>
      <c r="AN1" s="69"/>
    </row>
    <row r="2" spans="1:43" ht="5.25" customHeight="1" x14ac:dyDescent="0.25"/>
    <row r="3" spans="1:43" s="22" customFormat="1" x14ac:dyDescent="0.25">
      <c r="B3" s="34" t="s">
        <v>4434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V3" s="34" t="s">
        <v>4435</v>
      </c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 spans="1:43" s="22" customFormat="1" ht="4.5" customHeight="1" x14ac:dyDescent="0.25">
      <c r="A4" s="59"/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8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</row>
    <row r="5" spans="1:43" x14ac:dyDescent="0.25">
      <c r="B5" s="46" t="s">
        <v>4426</v>
      </c>
      <c r="C5" s="64">
        <f ca="1">+Calculations!CU3</f>
        <v>1</v>
      </c>
      <c r="D5" s="64"/>
      <c r="E5" s="43" t="str">
        <f ca="1">+Calculations!CV3</f>
        <v>Participants working as CXO living in South America.</v>
      </c>
      <c r="V5" s="50" t="s">
        <v>4437</v>
      </c>
      <c r="W5" s="43"/>
      <c r="X5" s="43"/>
      <c r="Y5" s="43"/>
      <c r="Z5" s="43"/>
      <c r="AA5" s="70" t="s">
        <v>4450</v>
      </c>
      <c r="AB5" s="71"/>
      <c r="AC5" s="71"/>
      <c r="AD5" s="71"/>
      <c r="AE5" s="71"/>
      <c r="AF5" s="72"/>
      <c r="AH5" s="50" t="s">
        <v>4162</v>
      </c>
      <c r="AI5" s="22"/>
      <c r="AJ5" s="22"/>
      <c r="AK5" s="22"/>
      <c r="AL5" s="68">
        <f>+Calculations!J47</f>
        <v>79193.510796524643</v>
      </c>
      <c r="AM5" s="68"/>
      <c r="AN5" s="68"/>
    </row>
    <row r="6" spans="1:43" x14ac:dyDescent="0.25">
      <c r="B6" s="46" t="s">
        <v>4426</v>
      </c>
      <c r="C6" s="65">
        <f ca="1">+Calculations!CU4</f>
        <v>33</v>
      </c>
      <c r="D6" s="65"/>
      <c r="E6" s="43" t="str">
        <f ca="1">+Calculations!CV4</f>
        <v>Participants in the world with more then 25 years of experience.</v>
      </c>
      <c r="V6" s="50" t="s">
        <v>4133</v>
      </c>
      <c r="W6" s="43"/>
      <c r="X6" s="43"/>
      <c r="Y6" s="43"/>
      <c r="Z6" s="51" t="s">
        <v>4155</v>
      </c>
      <c r="AA6" s="73">
        <v>0</v>
      </c>
      <c r="AB6" s="74"/>
      <c r="AC6" s="76" t="s">
        <v>4156</v>
      </c>
      <c r="AD6" s="76"/>
      <c r="AE6" s="73">
        <v>99</v>
      </c>
      <c r="AF6" s="74"/>
      <c r="AH6" s="50" t="s">
        <v>4159</v>
      </c>
      <c r="AI6" s="22"/>
      <c r="AJ6" s="22"/>
      <c r="AK6" s="22"/>
      <c r="AL6" s="75">
        <f>+Calculations!I47</f>
        <v>49758.851166132561</v>
      </c>
      <c r="AM6" s="75"/>
      <c r="AN6" s="75"/>
    </row>
    <row r="7" spans="1:43" x14ac:dyDescent="0.25">
      <c r="B7" s="47" t="s">
        <v>4426</v>
      </c>
      <c r="C7" s="65">
        <f ca="1">+Calculations!CU5</f>
        <v>1623</v>
      </c>
      <c r="D7" s="65"/>
      <c r="E7" s="43" t="str">
        <f ca="1">+Calculations!CV5</f>
        <v>Participants in the world with less then 15 years of experience.</v>
      </c>
      <c r="V7" s="50" t="s">
        <v>4436</v>
      </c>
      <c r="W7" s="43"/>
      <c r="X7" s="43"/>
      <c r="Y7" s="43"/>
      <c r="Z7" s="43"/>
      <c r="AA7" s="70" t="s">
        <v>4154</v>
      </c>
      <c r="AB7" s="71"/>
      <c r="AC7" s="71"/>
      <c r="AD7" s="71"/>
      <c r="AE7" s="71"/>
      <c r="AF7" s="72"/>
    </row>
    <row r="8" spans="1:43" x14ac:dyDescent="0.25">
      <c r="B8" s="47" t="s">
        <v>4426</v>
      </c>
      <c r="C8" s="65" t="str">
        <f ca="1">+Calculations!CU6</f>
        <v>29.7%</v>
      </c>
      <c r="D8" s="65"/>
      <c r="E8" s="43" t="str">
        <f ca="1">+Calculations!CV6</f>
        <v>of Participants living in Africa working as Manager.</v>
      </c>
      <c r="V8" s="43"/>
      <c r="W8" s="43"/>
      <c r="X8" s="43"/>
      <c r="Y8" s="43"/>
      <c r="Z8" s="43"/>
    </row>
    <row r="9" spans="1:43" x14ac:dyDescent="0.25">
      <c r="B9" s="47" t="s">
        <v>4426</v>
      </c>
      <c r="C9" s="65" t="str">
        <f ca="1">+Calculations!CU7</f>
        <v>49815 $</v>
      </c>
      <c r="D9" s="65"/>
      <c r="E9" s="43" t="str">
        <f ca="1">+Calculations!CV7</f>
        <v>Average salary of all participants in the world.</v>
      </c>
    </row>
    <row r="10" spans="1:43" ht="9" customHeight="1" x14ac:dyDescent="0.25"/>
    <row r="11" spans="1:43" x14ac:dyDescent="0.25">
      <c r="B11" s="34" t="s">
        <v>4449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spans="1:43" x14ac:dyDescent="0.25">
      <c r="AP12" s="22"/>
      <c r="AQ12" s="22"/>
    </row>
    <row r="13" spans="1:43" x14ac:dyDescent="0.25">
      <c r="B13" s="38" t="s">
        <v>4393</v>
      </c>
      <c r="C13" s="39"/>
      <c r="D13" s="39" t="s">
        <v>4117</v>
      </c>
      <c r="E13" s="39"/>
      <c r="F13" s="39"/>
      <c r="G13" s="39"/>
      <c r="H13" s="39" t="s">
        <v>4442</v>
      </c>
      <c r="I13" s="39"/>
      <c r="J13" s="39"/>
      <c r="K13" s="39"/>
      <c r="L13" s="39"/>
      <c r="M13" s="39" t="s">
        <v>4401</v>
      </c>
      <c r="N13" s="39"/>
      <c r="O13" s="39"/>
      <c r="P13" s="39" t="s">
        <v>4400</v>
      </c>
      <c r="Q13" s="39"/>
      <c r="R13" s="39"/>
      <c r="S13" s="39"/>
      <c r="AQ13" s="22"/>
    </row>
    <row r="14" spans="1:43" x14ac:dyDescent="0.25">
      <c r="B14" s="48">
        <f>+Calculations!BL8</f>
        <v>1</v>
      </c>
      <c r="C14" s="44" t="str">
        <f>+Calculations!BM8</f>
        <v>USA</v>
      </c>
      <c r="D14" s="44"/>
      <c r="E14" s="44"/>
      <c r="F14" s="66">
        <f>+Calculations!BN8</f>
        <v>72738.12965964344</v>
      </c>
      <c r="G14" s="66"/>
      <c r="H14" s="66"/>
      <c r="I14" s="14"/>
      <c r="J14" s="14"/>
      <c r="L14" s="41">
        <f>+Calculations!BO8</f>
        <v>10.292035398230089</v>
      </c>
      <c r="M14" s="14"/>
      <c r="N14" s="14"/>
      <c r="P14" s="40">
        <f>+Calculations!BP8</f>
        <v>617</v>
      </c>
      <c r="Q14" s="14"/>
      <c r="R14" s="14"/>
      <c r="S14" s="14" t="str">
        <f>IF(P14&lt;WarningResponse,"*","")</f>
        <v/>
      </c>
    </row>
    <row r="15" spans="1:43" x14ac:dyDescent="0.25">
      <c r="B15" s="48">
        <f>+Calculations!BL9</f>
        <v>2</v>
      </c>
      <c r="C15" s="44" t="str">
        <f>+Calculations!BM9</f>
        <v>India</v>
      </c>
      <c r="D15" s="44"/>
      <c r="E15" s="44"/>
      <c r="F15" s="66">
        <f>+Calculations!BN9</f>
        <v>13529.430894182482</v>
      </c>
      <c r="G15" s="66"/>
      <c r="H15" s="66"/>
      <c r="I15" s="14"/>
      <c r="J15" s="14"/>
      <c r="L15" s="41">
        <f>+Calculations!BO9</f>
        <v>6.4691823899371066</v>
      </c>
      <c r="M15" s="14"/>
      <c r="N15" s="14"/>
      <c r="P15" s="40">
        <f>+Calculations!BP9</f>
        <v>565</v>
      </c>
      <c r="Q15" s="14"/>
      <c r="R15" s="14"/>
      <c r="S15" s="14" t="str">
        <f t="shared" ref="S15:S18" si="0">IF(P15&lt;WarningResponse,"*","")</f>
        <v/>
      </c>
    </row>
    <row r="16" spans="1:43" x14ac:dyDescent="0.25">
      <c r="B16" s="48">
        <f>+Calculations!BL10</f>
        <v>3</v>
      </c>
      <c r="C16" s="44" t="str">
        <f>+Calculations!BM10</f>
        <v>UK</v>
      </c>
      <c r="D16" s="44"/>
      <c r="E16" s="44"/>
      <c r="F16" s="66">
        <f>+Calculations!BN10</f>
        <v>67240.730112795849</v>
      </c>
      <c r="G16" s="66"/>
      <c r="H16" s="66"/>
      <c r="I16" s="14"/>
      <c r="J16" s="14"/>
      <c r="L16" s="41">
        <f>+Calculations!BO10</f>
        <v>10.382882882882884</v>
      </c>
      <c r="M16" s="14"/>
      <c r="N16" s="14"/>
      <c r="P16" s="40">
        <f>+Calculations!BP10</f>
        <v>154</v>
      </c>
      <c r="Q16" s="14"/>
      <c r="R16" s="14"/>
      <c r="S16" s="14" t="str">
        <f t="shared" si="0"/>
        <v/>
      </c>
    </row>
    <row r="17" spans="2:40" x14ac:dyDescent="0.25">
      <c r="B17" s="48">
        <f>+Calculations!BL11</f>
        <v>4</v>
      </c>
      <c r="C17" s="44" t="str">
        <f>+Calculations!BM11</f>
        <v>Australia</v>
      </c>
      <c r="D17" s="44"/>
      <c r="E17" s="44"/>
      <c r="F17" s="66">
        <f>+Calculations!BN11</f>
        <v>92857.629854916348</v>
      </c>
      <c r="G17" s="66"/>
      <c r="H17" s="66"/>
      <c r="I17" s="14"/>
      <c r="J17" s="14"/>
      <c r="L17" s="41">
        <f>+Calculations!BO11</f>
        <v>10.26</v>
      </c>
      <c r="M17" s="14"/>
      <c r="N17" s="14"/>
      <c r="P17" s="40">
        <f>+Calculations!BP11</f>
        <v>81</v>
      </c>
      <c r="Q17" s="14"/>
      <c r="R17" s="14"/>
      <c r="S17" s="14" t="str">
        <f t="shared" si="0"/>
        <v/>
      </c>
    </row>
    <row r="18" spans="2:40" x14ac:dyDescent="0.25">
      <c r="B18" s="48">
        <f>+Calculations!BL12</f>
        <v>5</v>
      </c>
      <c r="C18" s="44" t="str">
        <f>+Calculations!BM12</f>
        <v>Canada</v>
      </c>
      <c r="D18" s="44"/>
      <c r="E18" s="44"/>
      <c r="F18" s="66">
        <f>+Calculations!BN12</f>
        <v>89799.526836779929</v>
      </c>
      <c r="G18" s="66"/>
      <c r="H18" s="66"/>
      <c r="I18" s="14"/>
      <c r="J18" s="14"/>
      <c r="L18" s="41">
        <f>+Calculations!BO12</f>
        <v>8.75</v>
      </c>
      <c r="M18" s="14"/>
      <c r="N18" s="14"/>
      <c r="P18" s="40">
        <f>+Calculations!BP12</f>
        <v>58</v>
      </c>
      <c r="Q18" s="14"/>
      <c r="R18" s="14"/>
      <c r="S18" s="14" t="str">
        <f t="shared" si="0"/>
        <v/>
      </c>
    </row>
    <row r="19" spans="2:40" ht="22.5" customHeight="1" x14ac:dyDescent="0.25">
      <c r="B19" s="52" t="s">
        <v>4440</v>
      </c>
      <c r="O19" s="43"/>
    </row>
    <row r="20" spans="2:40" x14ac:dyDescent="0.25">
      <c r="B20" s="34" t="s">
        <v>4189</v>
      </c>
      <c r="C20" s="28"/>
      <c r="D20" s="28"/>
      <c r="E20" s="28"/>
      <c r="F20" s="28"/>
      <c r="G20" s="28"/>
      <c r="H20" s="28"/>
      <c r="I20" s="28"/>
      <c r="J20" s="28"/>
      <c r="K20" s="28"/>
      <c r="L20" s="35" t="s">
        <v>4433</v>
      </c>
      <c r="M20" s="67" t="s">
        <v>4170</v>
      </c>
      <c r="N20" s="67"/>
      <c r="O20" s="67"/>
      <c r="P20" s="67"/>
      <c r="Q20" s="67"/>
      <c r="R20" s="67"/>
      <c r="S20" s="67"/>
      <c r="T20" s="67"/>
    </row>
    <row r="21" spans="2:40" x14ac:dyDescent="0.25"/>
    <row r="22" spans="2:40" x14ac:dyDescent="0.25"/>
    <row r="23" spans="2:40" ht="5.25" customHeight="1" x14ac:dyDescent="0.25"/>
    <row r="24" spans="2:40" s="22" customFormat="1" x14ac:dyDescent="0.25">
      <c r="V24" s="34" t="s">
        <v>4461</v>
      </c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57" t="s">
        <v>4187</v>
      </c>
      <c r="AL24" s="28"/>
      <c r="AM24" s="28"/>
      <c r="AN24" s="28"/>
    </row>
    <row r="25" spans="2:40" s="22" customFormat="1" ht="5.25" customHeight="1" x14ac:dyDescent="0.25">
      <c r="V25" s="58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60"/>
      <c r="AL25" s="59"/>
      <c r="AM25" s="59"/>
      <c r="AN25" s="59"/>
    </row>
    <row r="26" spans="2:40" x14ac:dyDescent="0.25">
      <c r="V26" s="50" t="s">
        <v>4438</v>
      </c>
      <c r="W26" s="22"/>
      <c r="X26" s="22"/>
      <c r="Y26" s="22"/>
      <c r="Z26" s="22"/>
      <c r="AA26" s="70" t="s">
        <v>1126</v>
      </c>
      <c r="AB26" s="71"/>
      <c r="AC26" s="71"/>
      <c r="AD26" s="71"/>
      <c r="AE26" s="71"/>
      <c r="AF26" s="72"/>
      <c r="AK26" s="30" t="s">
        <v>4177</v>
      </c>
      <c r="AL26" s="55" t="s">
        <v>4178</v>
      </c>
      <c r="AM26" s="56" t="s">
        <v>4179</v>
      </c>
      <c r="AN26" s="31" t="s">
        <v>4180</v>
      </c>
    </row>
    <row r="27" spans="2:40" x14ac:dyDescent="0.25">
      <c r="V27" s="50" t="s">
        <v>4439</v>
      </c>
      <c r="W27" s="22"/>
      <c r="X27" s="22"/>
      <c r="Y27" s="22"/>
      <c r="Z27" s="22"/>
      <c r="AA27" s="70" t="s">
        <v>4450</v>
      </c>
      <c r="AB27" s="71"/>
      <c r="AC27" s="71"/>
      <c r="AD27" s="71"/>
      <c r="AE27" s="71"/>
      <c r="AF27" s="72"/>
      <c r="AK27" s="30" t="s">
        <v>4177</v>
      </c>
      <c r="AL27" s="32" t="s">
        <v>4178</v>
      </c>
      <c r="AM27" s="33" t="s">
        <v>4179</v>
      </c>
      <c r="AN27" s="31" t="s">
        <v>4180</v>
      </c>
    </row>
    <row r="28" spans="2:40" x14ac:dyDescent="0.25"/>
    <row r="29" spans="2:40" x14ac:dyDescent="0.25"/>
    <row r="30" spans="2:40" x14ac:dyDescent="0.25"/>
    <row r="31" spans="2:40" x14ac:dyDescent="0.25"/>
    <row r="32" spans="2:40" x14ac:dyDescent="0.25">
      <c r="B32" s="34" t="s">
        <v>4457</v>
      </c>
      <c r="C32" s="28"/>
      <c r="D32" s="28"/>
      <c r="E32" s="28"/>
      <c r="F32" s="28"/>
      <c r="G32" s="28"/>
      <c r="H32" s="28"/>
      <c r="I32" s="28"/>
      <c r="J32" s="28"/>
      <c r="K32" s="28"/>
      <c r="L32" s="35" t="s">
        <v>4433</v>
      </c>
      <c r="M32" s="67" t="s">
        <v>4169</v>
      </c>
      <c r="N32" s="67"/>
      <c r="O32" s="67"/>
      <c r="P32" s="67"/>
      <c r="Q32" s="67"/>
      <c r="R32" s="67"/>
      <c r="S32" s="67"/>
      <c r="T32" s="67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</sheetData>
  <mergeCells count="22">
    <mergeCell ref="M32:T32"/>
    <mergeCell ref="M20:T20"/>
    <mergeCell ref="AL5:AN5"/>
    <mergeCell ref="AJ1:AN1"/>
    <mergeCell ref="AA27:AF27"/>
    <mergeCell ref="AA26:AF26"/>
    <mergeCell ref="AA6:AB6"/>
    <mergeCell ref="AE6:AF6"/>
    <mergeCell ref="AA5:AF5"/>
    <mergeCell ref="AL6:AN6"/>
    <mergeCell ref="AA7:AF7"/>
    <mergeCell ref="AC6:AD6"/>
    <mergeCell ref="F14:H14"/>
    <mergeCell ref="F15:H15"/>
    <mergeCell ref="F16:H16"/>
    <mergeCell ref="F17:H17"/>
    <mergeCell ref="F18:H18"/>
    <mergeCell ref="C5:D5"/>
    <mergeCell ref="C6:D6"/>
    <mergeCell ref="C7:D7"/>
    <mergeCell ref="C8:D8"/>
    <mergeCell ref="C9:D9"/>
  </mergeCells>
  <conditionalFormatting sqref="C14:S18">
    <cfRule type="expression" dxfId="17" priority="2">
      <formula>$S14="*"</formula>
    </cfRule>
  </conditionalFormatting>
  <dataValidations xWindow="628" yWindow="254" count="5">
    <dataValidation type="whole" allowBlank="1" showInputMessage="1" showErrorMessage="1" error="Value must be between 0 - 99._x000a_Value must be smaller than maximum experience." sqref="AA6:AB6" xr:uid="{00000000-0002-0000-0000-000000000000}">
      <formula1>0</formula1>
      <formula2>AE6</formula2>
    </dataValidation>
    <dataValidation type="whole" allowBlank="1" showInputMessage="1" showErrorMessage="1" errorTitle="Oups!" error="Value must be between 0 - 99._x000a_Value must be greater than mininum experience. " sqref="AE6:AF6" xr:uid="{00000000-0002-0000-0000-000001000000}">
      <formula1>AA6</formula1>
      <formula2>99</formula2>
    </dataValidation>
    <dataValidation type="list" allowBlank="1" showInputMessage="1" showErrorMessage="1" sqref="AA5:AF5 AA26:AF27" xr:uid="{00000000-0002-0000-0000-000002000000}">
      <formula1>lstContinents2</formula1>
    </dataValidation>
    <dataValidation type="list" allowBlank="1" showInputMessage="1" showErrorMessage="1" sqref="AA7" xr:uid="{00000000-0002-0000-0000-000003000000}">
      <formula1>INDEX(tblHours,,1)</formula1>
    </dataValidation>
    <dataValidation type="list" allowBlank="1" showInputMessage="1" showErrorMessage="1" sqref="M32:T32 M20:T20" xr:uid="{00000000-0002-0000-0000-000004000000}">
      <formula1>lstGraph2</formula1>
    </dataValidation>
  </dataValidations>
  <hyperlinks>
    <hyperlink ref="AJ1" r:id="rId1" xr:uid="{00000000-0004-0000-0000-000000000000}"/>
  </hyperlinks>
  <pageMargins left="0.2" right="0.22" top="0.74803149606299213" bottom="0.74803149606299213" header="0.31496062992125984" footer="0.31496062992125984"/>
  <pageSetup scale="75" orientation="landscape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3" r:id="rId5" name="Check Box 29">
              <controlPr defaultSize="0" autoFill="0" autoLine="0" autoPict="0">
                <anchor moveWithCells="1">
                  <from>
                    <xdr:col>22</xdr:col>
                    <xdr:colOff>38100</xdr:colOff>
                    <xdr:row>0</xdr:row>
                    <xdr:rowOff>47625</xdr:rowOff>
                  </from>
                  <to>
                    <xdr:col>28</xdr:col>
                    <xdr:colOff>171450</xdr:colOff>
                    <xdr:row>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6" name="Scroll Bar 31">
              <controlPr defaultSize="0" autoPict="0">
                <anchor moveWithCells="1">
                  <from>
                    <xdr:col>19</xdr:col>
                    <xdr:colOff>28575</xdr:colOff>
                    <xdr:row>11</xdr:row>
                    <xdr:rowOff>57150</xdr:rowOff>
                  </from>
                  <to>
                    <xdr:col>19</xdr:col>
                    <xdr:colOff>238125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7" name="Option Button 32">
              <controlPr defaultSize="0" autoFill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5</xdr:col>
                    <xdr:colOff>161925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8" name="Option Button 33">
              <controlPr defaultSize="0" autoFill="0" autoLine="0" autoPict="0">
                <anchor moveWithCells="1">
                  <from>
                    <xdr:col>6</xdr:col>
                    <xdr:colOff>47625</xdr:colOff>
                    <xdr:row>11</xdr:row>
                    <xdr:rowOff>180975</xdr:rowOff>
                  </from>
                  <to>
                    <xdr:col>10</xdr:col>
                    <xdr:colOff>266700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9" name="Option Button 34">
              <controlPr defaultSize="0" autoFill="0" autoLine="0" autoPict="0">
                <anchor moveWithCells="1">
                  <from>
                    <xdr:col>11</xdr:col>
                    <xdr:colOff>57150</xdr:colOff>
                    <xdr:row>11</xdr:row>
                    <xdr:rowOff>171450</xdr:rowOff>
                  </from>
                  <to>
                    <xdr:col>14</xdr:col>
                    <xdr:colOff>219075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10" name="Option Button 35">
              <controlPr defaultSize="0" autoFill="0" autoLine="0" autoPict="0">
                <anchor moveWithCells="1">
                  <from>
                    <xdr:col>15</xdr:col>
                    <xdr:colOff>19050</xdr:colOff>
                    <xdr:row>11</xdr:row>
                    <xdr:rowOff>171450</xdr:rowOff>
                  </from>
                  <to>
                    <xdr:col>18</xdr:col>
                    <xdr:colOff>180975</xdr:colOff>
                    <xdr:row>13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M248"/>
  <sheetViews>
    <sheetView showGridLines="0" topLeftCell="A85" zoomScale="70" zoomScaleNormal="70" workbookViewId="0">
      <selection activeCell="D48" sqref="D48"/>
    </sheetView>
  </sheetViews>
  <sheetFormatPr defaultColWidth="9.140625" defaultRowHeight="15" x14ac:dyDescent="0.25"/>
  <cols>
    <col min="1" max="1" width="4" customWidth="1"/>
    <col min="2" max="2" width="20.28515625" customWidth="1"/>
    <col min="7" max="7" width="26" bestFit="1" customWidth="1"/>
    <col min="8" max="8" width="14.28515625" customWidth="1"/>
    <col min="12" max="13" width="27.140625" bestFit="1" customWidth="1"/>
    <col min="14" max="14" width="20.28515625" customWidth="1"/>
    <col min="15" max="15" width="14" customWidth="1"/>
    <col min="16" max="16" width="14" style="22" customWidth="1"/>
    <col min="17" max="17" width="9.140625" style="13"/>
    <col min="18" max="18" width="21.42578125" customWidth="1"/>
    <col min="19" max="19" width="13.85546875" bestFit="1" customWidth="1"/>
    <col min="21" max="21" width="18.140625" style="22" customWidth="1"/>
    <col min="22" max="22" width="13.85546875" style="22" customWidth="1"/>
    <col min="23" max="23" width="19" style="22" customWidth="1"/>
    <col min="24" max="26" width="9.140625" style="22"/>
    <col min="28" max="28" width="17" bestFit="1" customWidth="1"/>
    <col min="29" max="29" width="17" style="13" customWidth="1"/>
    <col min="30" max="30" width="28" bestFit="1" customWidth="1"/>
    <col min="31" max="31" width="11.42578125"/>
    <col min="32" max="32" width="13.85546875" bestFit="1" customWidth="1"/>
    <col min="33" max="33" width="11.42578125"/>
    <col min="34" max="34" width="51" bestFit="1" customWidth="1"/>
    <col min="38" max="38" width="33.42578125" bestFit="1" customWidth="1"/>
  </cols>
  <sheetData>
    <row r="1" spans="2:39" ht="23.25" x14ac:dyDescent="0.35">
      <c r="B1" s="77" t="s">
        <v>4007</v>
      </c>
      <c r="C1" s="77"/>
      <c r="G1" s="2" t="s">
        <v>3976</v>
      </c>
      <c r="H1" s="2" t="s">
        <v>3997</v>
      </c>
      <c r="N1" s="22" t="s">
        <v>4194</v>
      </c>
      <c r="R1" s="9" t="s">
        <v>4126</v>
      </c>
      <c r="U1" s="9" t="s">
        <v>4197</v>
      </c>
      <c r="AB1" s="16" t="s">
        <v>4128</v>
      </c>
      <c r="AD1" s="16" t="s">
        <v>4129</v>
      </c>
    </row>
    <row r="2" spans="2:39" s="13" customFormat="1" x14ac:dyDescent="0.25">
      <c r="G2" s="2"/>
      <c r="H2" s="2"/>
      <c r="P2" s="22"/>
      <c r="R2" s="13" t="s">
        <v>4119</v>
      </c>
      <c r="U2" s="22" t="s">
        <v>4198</v>
      </c>
      <c r="V2" s="22"/>
      <c r="W2" s="22"/>
      <c r="X2" s="22"/>
      <c r="Y2" s="22"/>
      <c r="Z2" s="22"/>
      <c r="AB2" s="13" t="s">
        <v>4130</v>
      </c>
      <c r="AD2" s="13" t="s">
        <v>4130</v>
      </c>
      <c r="AE2"/>
      <c r="AF2"/>
      <c r="AG2"/>
      <c r="AH2"/>
      <c r="AI2"/>
      <c r="AJ2"/>
      <c r="AK2"/>
      <c r="AL2"/>
      <c r="AM2"/>
    </row>
    <row r="3" spans="2:39" s="13" customFormat="1" x14ac:dyDescent="0.25">
      <c r="G3" s="2"/>
      <c r="H3" s="2"/>
      <c r="N3" s="22" t="s">
        <v>4195</v>
      </c>
      <c r="O3" s="22"/>
      <c r="P3" s="22" t="s">
        <v>4389</v>
      </c>
      <c r="R3" s="12" t="s">
        <v>4127</v>
      </c>
      <c r="U3" s="2" t="s">
        <v>4196</v>
      </c>
      <c r="V3" s="22"/>
      <c r="W3" s="22"/>
      <c r="X3" s="22"/>
      <c r="Y3" s="22"/>
      <c r="Z3" s="22"/>
    </row>
    <row r="4" spans="2:39" x14ac:dyDescent="0.25">
      <c r="B4" s="5" t="s">
        <v>4006</v>
      </c>
      <c r="C4" s="5"/>
      <c r="L4" s="5" t="s">
        <v>4005</v>
      </c>
      <c r="M4" s="5"/>
      <c r="P4" s="22" t="s">
        <v>4390</v>
      </c>
      <c r="S4" s="13"/>
      <c r="U4" s="22" t="s">
        <v>4199</v>
      </c>
      <c r="AB4" s="11" t="s">
        <v>4131</v>
      </c>
      <c r="AD4" s="11" t="s">
        <v>4132</v>
      </c>
      <c r="AF4" s="11" t="s">
        <v>4118</v>
      </c>
      <c r="AH4" s="11" t="s">
        <v>5</v>
      </c>
      <c r="AI4" s="11" t="s">
        <v>4150</v>
      </c>
      <c r="AJ4" s="11" t="s">
        <v>4152</v>
      </c>
      <c r="AL4" s="11" t="s">
        <v>4181</v>
      </c>
    </row>
    <row r="5" spans="2:39" x14ac:dyDescent="0.25">
      <c r="B5" t="s">
        <v>2</v>
      </c>
      <c r="C5" t="s">
        <v>3892</v>
      </c>
      <c r="G5" s="7" t="s">
        <v>3893</v>
      </c>
      <c r="H5" s="7"/>
      <c r="I5" s="7"/>
      <c r="L5" t="s">
        <v>4002</v>
      </c>
      <c r="M5" t="s">
        <v>4003</v>
      </c>
      <c r="N5" s="13" t="s">
        <v>4118</v>
      </c>
      <c r="O5" s="13" t="s">
        <v>4125</v>
      </c>
      <c r="P5" s="22" t="s">
        <v>4389</v>
      </c>
      <c r="R5" s="11" t="s">
        <v>4117</v>
      </c>
      <c r="S5" s="11" t="s">
        <v>4118</v>
      </c>
      <c r="V5" s="22" t="s">
        <v>4388</v>
      </c>
      <c r="W5" s="22">
        <v>48387</v>
      </c>
      <c r="AA5" s="22"/>
      <c r="AB5" s="13" t="s">
        <v>310</v>
      </c>
      <c r="AD5" s="13" t="s">
        <v>1074</v>
      </c>
      <c r="AF5" s="13" t="s">
        <v>1126</v>
      </c>
      <c r="AH5" s="13" t="s">
        <v>4154</v>
      </c>
      <c r="AI5">
        <v>-1</v>
      </c>
      <c r="AJ5">
        <v>99</v>
      </c>
      <c r="AL5" s="22" t="s">
        <v>4170</v>
      </c>
    </row>
    <row r="6" spans="2:39" x14ac:dyDescent="0.25">
      <c r="B6" t="s">
        <v>6</v>
      </c>
      <c r="C6">
        <v>1</v>
      </c>
      <c r="G6" s="6" t="s">
        <v>3894</v>
      </c>
      <c r="H6" s="6">
        <v>4.4927299999999999</v>
      </c>
      <c r="I6" s="6" t="s">
        <v>3895</v>
      </c>
      <c r="L6" t="s">
        <v>15</v>
      </c>
      <c r="M6" t="s">
        <v>15</v>
      </c>
      <c r="N6" s="8" t="str">
        <f>VLOOKUP(tblCountries[[#This Row],[Mapping]],tblContinent[#All],2,0)</f>
        <v>North Amer.</v>
      </c>
      <c r="O6" s="8">
        <f>VLOOKUP(tblCountries[[#This Row],[Mapping]],tblPPP[],3,0)</f>
        <v>1</v>
      </c>
      <c r="P6" s="8">
        <f>IFERROR(tblCountries[[#This Row],[PPP Factor]],1)</f>
        <v>1</v>
      </c>
      <c r="R6" s="13" t="s">
        <v>4048</v>
      </c>
      <c r="S6" s="13" t="s">
        <v>1126</v>
      </c>
      <c r="U6" s="22" t="s">
        <v>4117</v>
      </c>
      <c r="V6" s="22" t="s">
        <v>4386</v>
      </c>
      <c r="W6" s="22" t="s">
        <v>4387</v>
      </c>
      <c r="AB6" s="13" t="s">
        <v>20</v>
      </c>
      <c r="AD6" s="13" t="s">
        <v>4116</v>
      </c>
      <c r="AF6" s="13" t="s">
        <v>983</v>
      </c>
      <c r="AH6" s="13" t="s">
        <v>186</v>
      </c>
      <c r="AI6">
        <v>1</v>
      </c>
      <c r="AJ6" s="13">
        <v>1</v>
      </c>
      <c r="AL6" s="22" t="s">
        <v>4169</v>
      </c>
    </row>
    <row r="7" spans="2:39" x14ac:dyDescent="0.25">
      <c r="B7" t="s">
        <v>22</v>
      </c>
      <c r="C7">
        <f>1/INDEX($H$6:$H$66,MATCH(tblXrate[[#This Row],[Currency]],$I$6:$I$66,0))</f>
        <v>1.2703994389916078</v>
      </c>
      <c r="G7" s="6" t="s">
        <v>3896</v>
      </c>
      <c r="H7" s="6">
        <v>0.98047899999999999</v>
      </c>
      <c r="I7" s="6" t="s">
        <v>82</v>
      </c>
      <c r="L7" t="s">
        <v>8</v>
      </c>
      <c r="M7" t="s">
        <v>8</v>
      </c>
      <c r="N7" s="8" t="str">
        <f>VLOOKUP(tblCountries[[#This Row],[Mapping]],tblContinent[#All],2,0)</f>
        <v>Asia</v>
      </c>
      <c r="O7" s="8">
        <f>VLOOKUP(tblCountries[[#This Row],[Mapping]],tblPPP[],3,0)</f>
        <v>13.098808879263672</v>
      </c>
      <c r="P7" s="8">
        <f>IFERROR(tblCountries[[#This Row],[PPP Factor]],1)</f>
        <v>13.098808879263672</v>
      </c>
      <c r="R7" s="13" t="s">
        <v>1074</v>
      </c>
      <c r="S7" s="13" t="s">
        <v>983</v>
      </c>
      <c r="U7" s="22" t="s">
        <v>4048</v>
      </c>
      <c r="V7" s="22" t="s">
        <v>4200</v>
      </c>
      <c r="W7" s="8">
        <f t="shared" ref="W7:W38" si="0">$W$5/V7</f>
        <v>50.614016736401673</v>
      </c>
      <c r="AB7" s="13" t="s">
        <v>356</v>
      </c>
      <c r="AD7" s="13" t="s">
        <v>1331</v>
      </c>
      <c r="AF7" s="13" t="s">
        <v>4009</v>
      </c>
      <c r="AH7" s="13" t="s">
        <v>25</v>
      </c>
      <c r="AI7">
        <v>2</v>
      </c>
      <c r="AJ7" s="13">
        <v>2</v>
      </c>
      <c r="AL7" s="22"/>
    </row>
    <row r="8" spans="2:39" x14ac:dyDescent="0.25">
      <c r="B8" t="s">
        <v>32</v>
      </c>
      <c r="C8">
        <f>1/INDEX($H$6:$H$66,MATCH(tblXrate[[#This Row],[Currency]],$I$6:$I$66,0))</f>
        <v>1.0614088716799131E-2</v>
      </c>
      <c r="G8" s="6" t="s">
        <v>3897</v>
      </c>
      <c r="H8" s="6">
        <v>7.6569700000000003</v>
      </c>
      <c r="I8" s="6" t="s">
        <v>3898</v>
      </c>
      <c r="L8" t="s">
        <v>71</v>
      </c>
      <c r="M8" t="s">
        <v>71</v>
      </c>
      <c r="N8" s="8" t="str">
        <f>VLOOKUP(tblCountries[[#This Row],[Mapping]],tblContinent[#All],2,0)</f>
        <v>Europe</v>
      </c>
      <c r="O8" s="8">
        <f>VLOOKUP(tblCountries[[#This Row],[Mapping]],tblPPP[],3,0)</f>
        <v>1.3407315045719035</v>
      </c>
      <c r="P8" s="8">
        <f>IFERROR(tblCountries[[#This Row],[PPP Factor]],1)</f>
        <v>1.3407315045719035</v>
      </c>
      <c r="R8" s="13" t="s">
        <v>4008</v>
      </c>
      <c r="S8" s="13" t="s">
        <v>4009</v>
      </c>
      <c r="U8" s="22" t="s">
        <v>1074</v>
      </c>
      <c r="V8" s="22" t="s">
        <v>4201</v>
      </c>
      <c r="W8" s="8">
        <f t="shared" si="0"/>
        <v>6.2507427980881021</v>
      </c>
      <c r="AB8" s="13" t="s">
        <v>488</v>
      </c>
      <c r="AD8" s="13" t="s">
        <v>1860</v>
      </c>
      <c r="AF8" s="22" t="s">
        <v>4165</v>
      </c>
      <c r="AH8" s="13" t="s">
        <v>18</v>
      </c>
      <c r="AI8">
        <v>3</v>
      </c>
      <c r="AJ8" s="13">
        <v>3</v>
      </c>
    </row>
    <row r="9" spans="2:39" x14ac:dyDescent="0.25">
      <c r="B9" t="s">
        <v>40</v>
      </c>
      <c r="C9">
        <f>1/INDEX($H$6:$H$66,MATCH(tblXrate[[#This Row],[Currency]],$I$6:$I$66,0))</f>
        <v>1.7807916687442568E-2</v>
      </c>
      <c r="G9" s="6" t="s">
        <v>3899</v>
      </c>
      <c r="H9" s="6">
        <v>2.0231400000000002</v>
      </c>
      <c r="I9" s="6" t="s">
        <v>3900</v>
      </c>
      <c r="L9" t="s">
        <v>84</v>
      </c>
      <c r="M9" t="s">
        <v>84</v>
      </c>
      <c r="N9" s="8" t="str">
        <f>VLOOKUP(tblCountries[[#This Row],[Mapping]],tblContinent[#All],2,0)</f>
        <v>Oceania</v>
      </c>
      <c r="O9" s="8">
        <f>VLOOKUP(tblCountries[[#This Row],[Mapping]],tblPPP[],3,0)</f>
        <v>1.2026395585822935</v>
      </c>
      <c r="P9" s="8">
        <f>IFERROR(tblCountries[[#This Row],[PPP Factor]],1)</f>
        <v>1.2026395585822935</v>
      </c>
      <c r="R9" s="13" t="s">
        <v>4067</v>
      </c>
      <c r="S9" s="13" t="s">
        <v>983</v>
      </c>
      <c r="U9" s="22" t="s">
        <v>4008</v>
      </c>
      <c r="V9" s="22" t="s">
        <v>4202</v>
      </c>
      <c r="W9" s="8">
        <f t="shared" si="0"/>
        <v>6.598527205782081</v>
      </c>
      <c r="AB9" s="13" t="s">
        <v>4001</v>
      </c>
      <c r="AD9" s="13" t="s">
        <v>992</v>
      </c>
      <c r="AF9" s="22" t="s">
        <v>4166</v>
      </c>
      <c r="AH9" s="13" t="s">
        <v>9</v>
      </c>
      <c r="AI9">
        <v>4</v>
      </c>
      <c r="AJ9" s="13">
        <v>4</v>
      </c>
    </row>
    <row r="10" spans="2:39" x14ac:dyDescent="0.25">
      <c r="B10" t="s">
        <v>69</v>
      </c>
      <c r="C10">
        <f>1/INDEX($H$6:$H$66,MATCH(tblXrate[[#This Row],[Currency]],$I$6:$I$66,0))</f>
        <v>1.5761782720672841</v>
      </c>
      <c r="G10" s="6" t="s">
        <v>3901</v>
      </c>
      <c r="H10" s="6">
        <v>0.63444599999999995</v>
      </c>
      <c r="I10" s="6" t="s">
        <v>69</v>
      </c>
      <c r="L10" t="s">
        <v>88</v>
      </c>
      <c r="M10" t="s">
        <v>88</v>
      </c>
      <c r="N10" s="8" t="str">
        <f>VLOOKUP(tblCountries[[#This Row],[Mapping]],tblContinent[#All],2,0)</f>
        <v>North Amer.</v>
      </c>
      <c r="O10" s="8">
        <f>VLOOKUP(tblCountries[[#This Row],[Mapping]],tblPPP[],3,0)</f>
        <v>1.1935324732986359</v>
      </c>
      <c r="P10" s="8">
        <f>IFERROR(tblCountries[[#This Row],[PPP Factor]],1)</f>
        <v>1.1935324732986359</v>
      </c>
      <c r="R10" s="13" t="s">
        <v>4010</v>
      </c>
      <c r="S10" s="13" t="s">
        <v>4009</v>
      </c>
      <c r="U10" s="22" t="s">
        <v>4010</v>
      </c>
      <c r="V10" s="22" t="s">
        <v>4203</v>
      </c>
      <c r="W10" s="8">
        <f t="shared" si="0"/>
        <v>8.2081424936386771</v>
      </c>
      <c r="AB10" s="13" t="s">
        <v>279</v>
      </c>
      <c r="AD10" s="13" t="s">
        <v>1126</v>
      </c>
      <c r="AF10" s="13" t="s">
        <v>4100</v>
      </c>
      <c r="AH10" s="13" t="s">
        <v>13</v>
      </c>
      <c r="AI10">
        <v>5</v>
      </c>
      <c r="AJ10" s="13">
        <v>5</v>
      </c>
    </row>
    <row r="11" spans="2:39" x14ac:dyDescent="0.25">
      <c r="B11" t="s">
        <v>82</v>
      </c>
      <c r="C11">
        <f>1/INDEX($H$6:$H$66,MATCH(tblXrate[[#This Row],[Currency]],$I$6:$I$66,0))</f>
        <v>1.0199096564026358</v>
      </c>
      <c r="G11" s="6" t="s">
        <v>3902</v>
      </c>
      <c r="H11" s="6">
        <v>1.2686999999999999</v>
      </c>
      <c r="I11" s="6" t="s">
        <v>3903</v>
      </c>
      <c r="L11" t="s">
        <v>17</v>
      </c>
      <c r="M11" t="s">
        <v>17</v>
      </c>
      <c r="N11" s="8" t="str">
        <f>VLOOKUP(tblCountries[[#This Row],[Mapping]],tblContinent[#All],2,0)</f>
        <v>Asia</v>
      </c>
      <c r="O11" s="8">
        <f>VLOOKUP(tblCountries[[#This Row],[Mapping]],tblPPP[],3,0)</f>
        <v>17.361679224973088</v>
      </c>
      <c r="P11" s="8">
        <f>IFERROR(tblCountries[[#This Row],[PPP Factor]],1)</f>
        <v>17.361679224973088</v>
      </c>
      <c r="R11" s="13" t="s">
        <v>4082</v>
      </c>
      <c r="S11" s="22" t="s">
        <v>4165</v>
      </c>
      <c r="U11" s="22" t="s">
        <v>4082</v>
      </c>
      <c r="V11" s="22" t="s">
        <v>4204</v>
      </c>
      <c r="W11" s="8">
        <f t="shared" si="0"/>
        <v>2.6910071742394752</v>
      </c>
      <c r="AB11" s="13" t="s">
        <v>52</v>
      </c>
      <c r="AD11" s="13" t="s">
        <v>84</v>
      </c>
      <c r="AL11" s="22"/>
    </row>
    <row r="12" spans="2:39" x14ac:dyDescent="0.25">
      <c r="B12" t="s">
        <v>86</v>
      </c>
      <c r="C12">
        <f>1/INDEX($H$6:$H$66,MATCH(tblXrate[[#This Row],[Currency]],$I$6:$I$66,0))</f>
        <v>0.98336152303032687</v>
      </c>
      <c r="G12" s="6" t="s">
        <v>3904</v>
      </c>
      <c r="H12" s="6">
        <v>1.53952</v>
      </c>
      <c r="I12" s="6" t="s">
        <v>3905</v>
      </c>
      <c r="L12" t="s">
        <v>48</v>
      </c>
      <c r="M12" t="s">
        <v>48</v>
      </c>
      <c r="N12" s="8" t="str">
        <f>VLOOKUP(tblCountries[[#This Row],[Mapping]],tblContinent[#All],2,0)</f>
        <v>Africa</v>
      </c>
      <c r="O12" s="8">
        <f>VLOOKUP(tblCountries[[#This Row],[Mapping]],tblPPP[],3,0)</f>
        <v>4.4096418481727877</v>
      </c>
      <c r="P12" s="8">
        <f>IFERROR(tblCountries[[#This Row],[PPP Factor]],1)</f>
        <v>4.4096418481727877</v>
      </c>
      <c r="R12" s="13" t="s">
        <v>1331</v>
      </c>
      <c r="S12" s="22" t="s">
        <v>4166</v>
      </c>
      <c r="U12" s="22" t="s">
        <v>1331</v>
      </c>
      <c r="V12" s="22" t="s">
        <v>4205</v>
      </c>
      <c r="W12" s="8">
        <f t="shared" si="0"/>
        <v>2.7624457638730302</v>
      </c>
      <c r="AB12" s="13" t="s">
        <v>4000</v>
      </c>
      <c r="AD12" s="13" t="s">
        <v>1519</v>
      </c>
      <c r="AL12" s="22"/>
    </row>
    <row r="13" spans="2:39" x14ac:dyDescent="0.25">
      <c r="B13" t="s">
        <v>3951</v>
      </c>
      <c r="C13">
        <f>1/INDEX($H$6:$H$66,MATCH(tblXrate[[#This Row],[Currency]],$I$6:$I$66,0))</f>
        <v>2.3705052257787702E-2</v>
      </c>
      <c r="G13" s="6" t="s">
        <v>3906</v>
      </c>
      <c r="H13" s="6">
        <v>1.01692</v>
      </c>
      <c r="I13" s="6" t="s">
        <v>86</v>
      </c>
      <c r="L13" t="s">
        <v>24</v>
      </c>
      <c r="M13" t="s">
        <v>24</v>
      </c>
      <c r="N13" s="8" t="str">
        <f>VLOOKUP(tblCountries[[#This Row],[Mapping]],tblContinent[#All],2,0)</f>
        <v>Europe</v>
      </c>
      <c r="O13" s="8">
        <f>VLOOKUP(tblCountries[[#This Row],[Mapping]],tblPPP[],3,0)</f>
        <v>1.276802913159353</v>
      </c>
      <c r="P13" s="8">
        <f>IFERROR(tblCountries[[#This Row],[PPP Factor]],1)</f>
        <v>1.276802913159353</v>
      </c>
      <c r="R13" s="13" t="s">
        <v>1860</v>
      </c>
      <c r="S13" s="13" t="s">
        <v>983</v>
      </c>
      <c r="U13" s="22" t="s">
        <v>1860</v>
      </c>
      <c r="V13" s="22" t="s">
        <v>4206</v>
      </c>
      <c r="W13" s="8">
        <f t="shared" si="0"/>
        <v>8.9871842496285286</v>
      </c>
      <c r="AB13" s="13" t="s">
        <v>3999</v>
      </c>
      <c r="AD13" s="13" t="s">
        <v>1773</v>
      </c>
      <c r="AL13" s="22"/>
    </row>
    <row r="14" spans="2:39" x14ac:dyDescent="0.25">
      <c r="B14" t="s">
        <v>358</v>
      </c>
      <c r="C14">
        <f>1/INDEX($H$6:$H$66,MATCH(tblXrate[[#This Row],[Currency]],$I$6:$I$66,0))</f>
        <v>0.27221921268759308</v>
      </c>
      <c r="G14" s="6" t="s">
        <v>3907</v>
      </c>
      <c r="H14" s="6">
        <v>497.26799999999997</v>
      </c>
      <c r="I14" s="6" t="s">
        <v>3908</v>
      </c>
      <c r="L14" t="s">
        <v>179</v>
      </c>
      <c r="M14" t="s">
        <v>179</v>
      </c>
      <c r="N14" s="8" t="str">
        <f>VLOOKUP(tblCountries[[#This Row],[Mapping]],tblContinent[#All],2,0)</f>
        <v>Asia</v>
      </c>
      <c r="O14" s="8">
        <f>VLOOKUP(tblCountries[[#This Row],[Mapping]],tblPPP[],3,0)</f>
        <v>1.0047551808629926</v>
      </c>
      <c r="P14" s="8">
        <f>IFERROR(tblCountries[[#This Row],[PPP Factor]],1)</f>
        <v>1.0047551808629926</v>
      </c>
      <c r="R14" s="13" t="s">
        <v>84</v>
      </c>
      <c r="S14" s="13" t="s">
        <v>4100</v>
      </c>
      <c r="U14" s="22" t="s">
        <v>84</v>
      </c>
      <c r="V14" s="22" t="s">
        <v>4207</v>
      </c>
      <c r="W14" s="8">
        <f t="shared" si="0"/>
        <v>1.2026395585822935</v>
      </c>
      <c r="AB14" s="13" t="s">
        <v>67</v>
      </c>
      <c r="AD14" s="13" t="s">
        <v>1951</v>
      </c>
      <c r="AF14" s="11" t="s">
        <v>4452</v>
      </c>
      <c r="AL14" s="22"/>
    </row>
    <row r="15" spans="2:39" x14ac:dyDescent="0.25">
      <c r="B15" t="s">
        <v>391</v>
      </c>
      <c r="C15">
        <f>1/INDEX($H$6:$H$66,MATCH(tblXrate[[#This Row],[Currency]],$I$6:$I$66,0))</f>
        <v>7.3046552567951561E-2</v>
      </c>
      <c r="G15" s="6" t="s">
        <v>3909</v>
      </c>
      <c r="H15" s="6">
        <v>6.3609099999999996</v>
      </c>
      <c r="I15" s="6" t="s">
        <v>3910</v>
      </c>
      <c r="L15" t="s">
        <v>143</v>
      </c>
      <c r="M15" t="s">
        <v>143</v>
      </c>
      <c r="N15" s="8" t="str">
        <f>VLOOKUP(tblCountries[[#This Row],[Mapping]],tblContinent[#All],2,0)</f>
        <v>South Amer.</v>
      </c>
      <c r="O15" s="8">
        <f>VLOOKUP(tblCountries[[#This Row],[Mapping]],tblPPP[],3,0)</f>
        <v>4.1113943410655107</v>
      </c>
      <c r="P15" s="8">
        <f>IFERROR(tblCountries[[#This Row],[PPP Factor]],1)</f>
        <v>4.1113943410655107</v>
      </c>
      <c r="R15" s="13" t="s">
        <v>1519</v>
      </c>
      <c r="S15" s="13" t="s">
        <v>983</v>
      </c>
      <c r="U15" s="22" t="s">
        <v>1519</v>
      </c>
      <c r="V15" s="22" t="s">
        <v>4208</v>
      </c>
      <c r="W15" s="8">
        <f t="shared" si="0"/>
        <v>1.1569747979532303</v>
      </c>
      <c r="AB15" s="13"/>
      <c r="AD15" s="13" t="s">
        <v>425</v>
      </c>
      <c r="AF15" s="22" t="s">
        <v>1126</v>
      </c>
    </row>
    <row r="16" spans="2:39" x14ac:dyDescent="0.25">
      <c r="B16" t="s">
        <v>445</v>
      </c>
      <c r="C16">
        <f>1/INDEX($H$6:$H$66,MATCH(tblXrate[[#This Row],[Currency]],$I$6:$I$66,0))</f>
        <v>0.14365525038391866</v>
      </c>
      <c r="G16" s="6" t="s">
        <v>3911</v>
      </c>
      <c r="H16" s="6">
        <v>1769.79</v>
      </c>
      <c r="I16" s="6" t="s">
        <v>3912</v>
      </c>
      <c r="L16" t="s">
        <v>628</v>
      </c>
      <c r="M16" t="s">
        <v>628</v>
      </c>
      <c r="N16" s="8" t="str">
        <f>VLOOKUP(tblCountries[[#This Row],[Mapping]],tblContinent[#All],2,0)</f>
        <v>Europe</v>
      </c>
      <c r="O16" s="8">
        <f>VLOOKUP(tblCountries[[#This Row],[Mapping]],tblPPP[],3,0)</f>
        <v>1.1470734656141099</v>
      </c>
      <c r="P16" s="8">
        <f>IFERROR(tblCountries[[#This Row],[PPP Factor]],1)</f>
        <v>1.1470734656141099</v>
      </c>
      <c r="R16" s="13" t="s">
        <v>1773</v>
      </c>
      <c r="S16" s="13" t="s">
        <v>983</v>
      </c>
      <c r="U16" s="22" t="s">
        <v>1773</v>
      </c>
      <c r="V16" s="22" t="s">
        <v>4209</v>
      </c>
      <c r="W16" s="8">
        <f t="shared" si="0"/>
        <v>4.7428935502842577</v>
      </c>
      <c r="AB16" s="13"/>
      <c r="AD16" s="13" t="s">
        <v>59</v>
      </c>
      <c r="AF16" s="22" t="s">
        <v>983</v>
      </c>
    </row>
    <row r="17" spans="2:32" x14ac:dyDescent="0.25">
      <c r="B17" t="s">
        <v>483</v>
      </c>
      <c r="C17">
        <f>1/INDEX($H$6:$H$66,MATCH(tblXrate[[#This Row],[Currency]],$I$6:$I$66,0))</f>
        <v>1.2220845340313881E-2</v>
      </c>
      <c r="G17" s="6" t="s">
        <v>3913</v>
      </c>
      <c r="H17" s="6">
        <v>5.9367099999999997</v>
      </c>
      <c r="I17" s="6" t="s">
        <v>3914</v>
      </c>
      <c r="L17" t="s">
        <v>171</v>
      </c>
      <c r="M17" t="s">
        <v>171</v>
      </c>
      <c r="N17" s="8" t="str">
        <f>VLOOKUP(tblCountries[[#This Row],[Mapping]],tblContinent[#All],2,0)</f>
        <v>Asia</v>
      </c>
      <c r="O17" s="8">
        <f>VLOOKUP(tblCountries[[#This Row],[Mapping]],tblPPP[],3,0)</f>
        <v>0.81035320125270049</v>
      </c>
      <c r="P17" s="8">
        <f>IFERROR(tblCountries[[#This Row],[PPP Factor]],1)</f>
        <v>0.81035320125270049</v>
      </c>
      <c r="R17" s="13" t="s">
        <v>4083</v>
      </c>
      <c r="S17" s="22" t="s">
        <v>4165</v>
      </c>
      <c r="U17" s="22" t="s">
        <v>4122</v>
      </c>
      <c r="V17" s="22" t="s">
        <v>4210</v>
      </c>
      <c r="W17" s="8">
        <f t="shared" si="0"/>
        <v>1.5629380793953294</v>
      </c>
      <c r="AB17" s="13"/>
      <c r="AD17" s="13" t="s">
        <v>292</v>
      </c>
      <c r="AF17" s="22" t="s">
        <v>4009</v>
      </c>
    </row>
    <row r="18" spans="2:32" x14ac:dyDescent="0.25">
      <c r="B18" t="s">
        <v>497</v>
      </c>
      <c r="C18">
        <f>1/INDEX($H$6:$H$66,MATCH(tblXrate[[#This Row],[Currency]],$I$6:$I$66,0))</f>
        <v>2.0078305391024996E-3</v>
      </c>
      <c r="G18" s="6" t="s">
        <v>3915</v>
      </c>
      <c r="H18" s="6">
        <v>5.8512300000000002</v>
      </c>
      <c r="I18" s="6" t="s">
        <v>1362</v>
      </c>
      <c r="L18" t="s">
        <v>347</v>
      </c>
      <c r="M18" t="s">
        <v>347</v>
      </c>
      <c r="N18" s="8" t="str">
        <f>VLOOKUP(tblCountries[[#This Row],[Mapping]],tblContinent[#All],2,0)</f>
        <v>Asia</v>
      </c>
      <c r="O18" s="8">
        <f>VLOOKUP(tblCountries[[#This Row],[Mapping]],tblPPP[],3,0)</f>
        <v>11.879941075374417</v>
      </c>
      <c r="P18" s="8">
        <f>IFERROR(tblCountries[[#This Row],[PPP Factor]],1)</f>
        <v>11.879941075374417</v>
      </c>
      <c r="R18" s="13" t="s">
        <v>4049</v>
      </c>
      <c r="S18" s="13" t="s">
        <v>1126</v>
      </c>
      <c r="U18" s="22" t="s">
        <v>4049</v>
      </c>
      <c r="V18" s="22" t="s">
        <v>4211</v>
      </c>
      <c r="W18" s="8">
        <f t="shared" si="0"/>
        <v>1.7559515169110176</v>
      </c>
      <c r="AB18" s="13"/>
      <c r="AD18" s="13" t="s">
        <v>851</v>
      </c>
      <c r="AF18" s="22" t="s">
        <v>4450</v>
      </c>
    </row>
    <row r="19" spans="2:32" x14ac:dyDescent="0.25">
      <c r="B19" t="s">
        <v>585</v>
      </c>
      <c r="C19">
        <f>1/INDEX($H$6:$H$66,MATCH(tblXrate[[#This Row],[Currency]],$I$6:$I$66,0))</f>
        <v>0.12192177986291114</v>
      </c>
      <c r="G19" s="6" t="s">
        <v>3916</v>
      </c>
      <c r="H19" s="6">
        <v>0.78715400000000002</v>
      </c>
      <c r="I19" s="6" t="s">
        <v>22</v>
      </c>
      <c r="L19" t="s">
        <v>30</v>
      </c>
      <c r="M19" t="s">
        <v>30</v>
      </c>
      <c r="N19" s="8" t="str">
        <f>VLOOKUP(tblCountries[[#This Row],[Mapping]],tblContinent[#All],2,0)</f>
        <v>Europe</v>
      </c>
      <c r="O19" s="8">
        <f>VLOOKUP(tblCountries[[#This Row],[Mapping]],tblPPP[],3,0)</f>
        <v>2.0712726338769745</v>
      </c>
      <c r="P19" s="8">
        <f>IFERROR(tblCountries[[#This Row],[PPP Factor]],1)</f>
        <v>2.0712726338769745</v>
      </c>
      <c r="R19" s="13" t="s">
        <v>425</v>
      </c>
      <c r="S19" s="13" t="s">
        <v>1126</v>
      </c>
      <c r="U19" s="22" t="s">
        <v>425</v>
      </c>
      <c r="V19" s="22" t="s">
        <v>4212</v>
      </c>
      <c r="W19" s="8">
        <f t="shared" si="0"/>
        <v>28.580626107501477</v>
      </c>
      <c r="AB19" s="13"/>
      <c r="AD19" s="13" t="s">
        <v>1671</v>
      </c>
      <c r="AF19" s="22" t="s">
        <v>4451</v>
      </c>
    </row>
    <row r="20" spans="2:32" x14ac:dyDescent="0.25">
      <c r="B20" t="s">
        <v>670</v>
      </c>
      <c r="C20">
        <f>1/INDEX($H$6:$H$66,MATCH(tblXrate[[#This Row],[Currency]],$I$6:$I$66,0))</f>
        <v>0.79758809360493876</v>
      </c>
      <c r="G20" s="6" t="s">
        <v>3917</v>
      </c>
      <c r="H20" s="6">
        <v>7.7588900000000001</v>
      </c>
      <c r="I20" s="6" t="s">
        <v>3918</v>
      </c>
      <c r="L20" t="s">
        <v>608</v>
      </c>
      <c r="M20" t="s">
        <v>608</v>
      </c>
      <c r="N20" s="8" t="str">
        <f>VLOOKUP(tblCountries[[#This Row],[Mapping]],tblContinent[#All],2,0)</f>
        <v>Europe</v>
      </c>
      <c r="O20" s="8">
        <f>VLOOKUP(tblCountries[[#This Row],[Mapping]],tblPPP[],3,0)</f>
        <v>1.5799320838503232</v>
      </c>
      <c r="P20" s="8">
        <f>IFERROR(tblCountries[[#This Row],[PPP Factor]],1)</f>
        <v>1.5799320838503232</v>
      </c>
      <c r="R20" s="13" t="s">
        <v>4084</v>
      </c>
      <c r="S20" s="22" t="s">
        <v>4165</v>
      </c>
      <c r="U20" s="22" t="s">
        <v>4084</v>
      </c>
      <c r="V20" s="22" t="s">
        <v>4213</v>
      </c>
      <c r="W20" s="8">
        <f t="shared" si="0"/>
        <v>2.0663193406499554</v>
      </c>
      <c r="AB20" s="13"/>
      <c r="AD20" s="13" t="s">
        <v>143</v>
      </c>
      <c r="AF20" s="22" t="s">
        <v>4100</v>
      </c>
    </row>
    <row r="21" spans="2:32" x14ac:dyDescent="0.25">
      <c r="B21" t="s">
        <v>3910</v>
      </c>
      <c r="C21">
        <f>1/INDEX($H$6:$H$66,MATCH(tblXrate[[#This Row],[Currency]],$I$6:$I$66,0))</f>
        <v>0.15721021048875083</v>
      </c>
      <c r="G21" s="6" t="s">
        <v>3919</v>
      </c>
      <c r="H21" s="6">
        <v>225.874</v>
      </c>
      <c r="I21" s="6" t="s">
        <v>3920</v>
      </c>
      <c r="L21" t="s">
        <v>672</v>
      </c>
      <c r="M21" t="s">
        <v>672</v>
      </c>
      <c r="N21" s="8" t="str">
        <f>VLOOKUP(tblCountries[[#This Row],[Mapping]],tblContinent[#All],2,0)</f>
        <v>Oceania</v>
      </c>
      <c r="O21" s="8">
        <f>VLOOKUP(tblCountries[[#This Row],[Mapping]],tblPPP[],3,0)</f>
        <v>1.7488434292323261</v>
      </c>
      <c r="P21" s="8">
        <f>IFERROR(tblCountries[[#This Row],[PPP Factor]],1)</f>
        <v>1.7488434292323261</v>
      </c>
      <c r="R21" s="13" t="s">
        <v>4068</v>
      </c>
      <c r="S21" s="13" t="s">
        <v>983</v>
      </c>
      <c r="U21" s="22" t="s">
        <v>4068</v>
      </c>
      <c r="V21" s="22" t="s">
        <v>4214</v>
      </c>
      <c r="W21" s="8">
        <f t="shared" si="0"/>
        <v>3.2197897258450894</v>
      </c>
      <c r="AB21" s="13"/>
      <c r="AD21" s="13" t="s">
        <v>1707</v>
      </c>
    </row>
    <row r="22" spans="2:32" x14ac:dyDescent="0.25">
      <c r="B22" t="s">
        <v>845</v>
      </c>
      <c r="C22">
        <f>1/INDEX($H$6:$H$66,MATCH(tblXrate[[#This Row],[Currency]],$I$6:$I$66,0))</f>
        <v>0.16526194017517765</v>
      </c>
      <c r="G22" s="6" t="s">
        <v>3921</v>
      </c>
      <c r="H22" s="6">
        <v>124.697</v>
      </c>
      <c r="I22" s="6" t="s">
        <v>3922</v>
      </c>
      <c r="L22" t="s">
        <v>65</v>
      </c>
      <c r="M22" t="s">
        <v>65</v>
      </c>
      <c r="N22" s="8" t="str">
        <f>VLOOKUP(tblCountries[[#This Row],[Mapping]],tblContinent[#All],2,0)</f>
        <v>Asia</v>
      </c>
      <c r="O22" s="8">
        <f>VLOOKUP(tblCountries[[#This Row],[Mapping]],tblPPP[],3,0)</f>
        <v>2.8911926386233269</v>
      </c>
      <c r="P22" s="8">
        <f>IFERROR(tblCountries[[#This Row],[PPP Factor]],1)</f>
        <v>2.8911926386233269</v>
      </c>
      <c r="R22" s="13" t="s">
        <v>59</v>
      </c>
      <c r="S22" s="13" t="s">
        <v>983</v>
      </c>
      <c r="U22" s="22" t="s">
        <v>59</v>
      </c>
      <c r="V22" s="22" t="s">
        <v>4215</v>
      </c>
      <c r="W22" s="8">
        <f t="shared" si="0"/>
        <v>1.2822163924000318</v>
      </c>
      <c r="AB22" s="13"/>
      <c r="AD22" s="13" t="s">
        <v>799</v>
      </c>
    </row>
    <row r="23" spans="2:32" x14ac:dyDescent="0.25">
      <c r="B23" t="s">
        <v>3984</v>
      </c>
      <c r="C23">
        <f>1/INDEX($H$6:$H$66,MATCH(tblXrate[[#This Row],[Currency]],$I$6:$I$66,0))</f>
        <v>6.1633281972265025E-3</v>
      </c>
      <c r="G23" s="6" t="s">
        <v>3923</v>
      </c>
      <c r="H23" s="6">
        <v>56.154800000000002</v>
      </c>
      <c r="I23" s="6" t="s">
        <v>40</v>
      </c>
      <c r="L23" t="s">
        <v>133</v>
      </c>
      <c r="M23" t="s">
        <v>133</v>
      </c>
      <c r="N23" s="8" t="str">
        <f>VLOOKUP(tblCountries[[#This Row],[Mapping]],tblContinent[#All],2,0)</f>
        <v>Asia</v>
      </c>
      <c r="O23" s="8">
        <f>VLOOKUP(tblCountries[[#This Row],[Mapping]],tblPPP[],3,0)</f>
        <v>1.9964104468374799</v>
      </c>
      <c r="P23" s="8">
        <f>IFERROR(tblCountries[[#This Row],[PPP Factor]],1)</f>
        <v>1.9964104468374799</v>
      </c>
      <c r="R23" s="13" t="s">
        <v>4085</v>
      </c>
      <c r="S23" s="22" t="s">
        <v>4165</v>
      </c>
      <c r="U23" s="22" t="s">
        <v>4085</v>
      </c>
      <c r="V23" s="22" t="s">
        <v>4216</v>
      </c>
      <c r="W23" s="8">
        <f t="shared" si="0"/>
        <v>5.8551548886737654</v>
      </c>
      <c r="AB23" s="13"/>
      <c r="AD23" s="13" t="s">
        <v>88</v>
      </c>
    </row>
    <row r="24" spans="2:32" x14ac:dyDescent="0.25">
      <c r="B24" t="s">
        <v>358</v>
      </c>
      <c r="C24">
        <f>1/INDEX($H$6:$H$66,MATCH(tblXrate[[#This Row],[Currency]],$I$6:$I$66,0))</f>
        <v>0.27221921268759308</v>
      </c>
      <c r="G24" s="6" t="s">
        <v>3924</v>
      </c>
      <c r="H24" s="6">
        <v>9443.81</v>
      </c>
      <c r="I24" s="6" t="s">
        <v>1393</v>
      </c>
      <c r="L24" t="s">
        <v>166</v>
      </c>
      <c r="M24" t="s">
        <v>166</v>
      </c>
      <c r="N24" s="8" t="str">
        <f>VLOOKUP(tblCountries[[#This Row],[Mapping]],tblContinent[#All],2,0)</f>
        <v>North Amer.</v>
      </c>
      <c r="O24" s="8">
        <f>VLOOKUP(tblCountries[[#This Row],[Mapping]],tblPPP[],3,0)</f>
        <v>3.3119096509240245</v>
      </c>
      <c r="P24" s="8">
        <f>IFERROR(tblCountries[[#This Row],[PPP Factor]],1)</f>
        <v>3.3119096509240245</v>
      </c>
      <c r="R24" s="13" t="s">
        <v>4011</v>
      </c>
      <c r="S24" s="13" t="s">
        <v>4009</v>
      </c>
      <c r="U24" s="22" t="s">
        <v>4011</v>
      </c>
      <c r="V24" s="22" t="s">
        <v>4217</v>
      </c>
      <c r="W24" s="8">
        <f t="shared" si="0"/>
        <v>32.671843349088455</v>
      </c>
      <c r="AB24" s="13"/>
      <c r="AD24" s="13" t="s">
        <v>1497</v>
      </c>
    </row>
    <row r="25" spans="2:32" x14ac:dyDescent="0.25">
      <c r="B25" t="s">
        <v>3900</v>
      </c>
      <c r="C25">
        <f>1/INDEX($H$6:$H$66,MATCH(tblXrate[[#This Row],[Currency]],$I$6:$I$66,0))</f>
        <v>0.49428116689897877</v>
      </c>
      <c r="G25" s="6" t="s">
        <v>3925</v>
      </c>
      <c r="H25" s="6">
        <v>3.86721</v>
      </c>
      <c r="I25" s="6" t="s">
        <v>3926</v>
      </c>
      <c r="L25" t="s">
        <v>726</v>
      </c>
      <c r="M25" t="s">
        <v>726</v>
      </c>
      <c r="N25" s="8" t="str">
        <f>VLOOKUP(tblCountries[[#This Row],[Mapping]],tblContinent[#All],2,0)</f>
        <v>Asia</v>
      </c>
      <c r="O25" s="8">
        <f>VLOOKUP(tblCountries[[#This Row],[Mapping]],tblPPP[],3,0)</f>
        <v>10.370124303471924</v>
      </c>
      <c r="P25" s="8">
        <f>IFERROR(tblCountries[[#This Row],[PPP Factor]],1)</f>
        <v>10.370124303471924</v>
      </c>
      <c r="R25" s="13" t="s">
        <v>851</v>
      </c>
      <c r="S25" s="13" t="s">
        <v>1126</v>
      </c>
      <c r="U25" s="22" t="s">
        <v>851</v>
      </c>
      <c r="V25" s="22" t="s">
        <v>4218</v>
      </c>
      <c r="W25" s="8">
        <f t="shared" si="0"/>
        <v>7.916721204188482</v>
      </c>
      <c r="AB25" s="13"/>
      <c r="AD25" s="13" t="s">
        <v>639</v>
      </c>
    </row>
    <row r="26" spans="2:32" x14ac:dyDescent="0.25">
      <c r="B26" t="s">
        <v>959</v>
      </c>
      <c r="C26">
        <f>1/INDEX($H$6:$H$66,MATCH(tblXrate[[#This Row],[Currency]],$I$6:$I$66,0))</f>
        <v>0.28461323906942854</v>
      </c>
      <c r="G26" s="6" t="s">
        <v>3927</v>
      </c>
      <c r="H26" s="6">
        <v>78.904300000000006</v>
      </c>
      <c r="I26" s="6" t="s">
        <v>1531</v>
      </c>
      <c r="L26" t="s">
        <v>583</v>
      </c>
      <c r="M26" t="s">
        <v>583</v>
      </c>
      <c r="N26" s="8" t="str">
        <f>VLOOKUP(tblCountries[[#This Row],[Mapping]],tblContinent[#All],2,0)</f>
        <v>Europe</v>
      </c>
      <c r="O26" s="8">
        <f>VLOOKUP(tblCountries[[#This Row],[Mapping]],tblPPP[],3,0)</f>
        <v>0.90492042415514951</v>
      </c>
      <c r="P26" s="8">
        <f>IFERROR(tblCountries[[#This Row],[PPP Factor]],1)</f>
        <v>0.90492042415514951</v>
      </c>
      <c r="R26" s="13" t="s">
        <v>1671</v>
      </c>
      <c r="S26" s="22" t="s">
        <v>4166</v>
      </c>
      <c r="U26" s="22" t="s">
        <v>1671</v>
      </c>
      <c r="V26" s="22" t="s">
        <v>4219</v>
      </c>
      <c r="W26" s="8">
        <f t="shared" si="0"/>
        <v>10.103779494675297</v>
      </c>
      <c r="AB26" s="13"/>
      <c r="AD26" s="13" t="s">
        <v>1123</v>
      </c>
    </row>
    <row r="27" spans="2:32" x14ac:dyDescent="0.25">
      <c r="B27" t="s">
        <v>6</v>
      </c>
      <c r="C27">
        <v>1</v>
      </c>
      <c r="G27" s="6" t="s">
        <v>3928</v>
      </c>
      <c r="H27" s="6">
        <v>148.88</v>
      </c>
      <c r="I27" s="6" t="s">
        <v>3929</v>
      </c>
      <c r="L27" t="s">
        <v>1118</v>
      </c>
      <c r="M27" s="12" t="s">
        <v>1131</v>
      </c>
      <c r="N27" s="8" t="str">
        <f>VLOOKUP(tblCountries[[#This Row],[Mapping]],tblContinent[#All],2,0)</f>
        <v>Asia</v>
      </c>
      <c r="O27" s="8">
        <f>VLOOKUP(tblCountries[[#This Row],[Mapping]],tblPPP[],3,0)</f>
        <v>3.1081063720452211</v>
      </c>
      <c r="P27" s="8">
        <f>IFERROR(tblCountries[[#This Row],[PPP Factor]],1)</f>
        <v>3.1081063720452211</v>
      </c>
      <c r="R27" s="13" t="s">
        <v>4069</v>
      </c>
      <c r="S27" s="13" t="s">
        <v>983</v>
      </c>
      <c r="U27" s="22" t="s">
        <v>4069</v>
      </c>
      <c r="V27" s="22" t="s">
        <v>4220</v>
      </c>
      <c r="W27" s="8">
        <f t="shared" si="0"/>
        <v>5.9494651420140165</v>
      </c>
      <c r="AB27" s="13"/>
      <c r="AD27" s="13" t="s">
        <v>184</v>
      </c>
    </row>
    <row r="28" spans="2:32" x14ac:dyDescent="0.25">
      <c r="B28" t="s">
        <v>3939</v>
      </c>
      <c r="C28">
        <f>1/INDEX($H$6:$H$66,MATCH(tblXrate[[#This Row],[Currency]],$I$6:$I$66,0))</f>
        <v>0.31680056770661735</v>
      </c>
      <c r="G28" s="6" t="s">
        <v>3930</v>
      </c>
      <c r="H28" s="6">
        <v>0.27939999999999998</v>
      </c>
      <c r="I28" s="6" t="s">
        <v>3931</v>
      </c>
      <c r="L28" t="s">
        <v>96</v>
      </c>
      <c r="M28" t="s">
        <v>628</v>
      </c>
      <c r="N28" s="8" t="str">
        <f>VLOOKUP(tblCountries[[#This Row],[Mapping]],tblContinent[#All],2,0)</f>
        <v>Europe</v>
      </c>
      <c r="O28" s="8">
        <f>VLOOKUP(tblCountries[[#This Row],[Mapping]],tblPPP[],3,0)</f>
        <v>1.1470734656141099</v>
      </c>
      <c r="P28" s="8">
        <f>IFERROR(tblCountries[[#This Row],[PPP Factor]],1)</f>
        <v>1.1470734656141099</v>
      </c>
      <c r="R28" s="13" t="s">
        <v>4012</v>
      </c>
      <c r="S28" s="13" t="s">
        <v>4009</v>
      </c>
      <c r="U28" s="22" t="s">
        <v>4012</v>
      </c>
      <c r="V28" s="22" t="s">
        <v>4221</v>
      </c>
      <c r="W28" s="8">
        <f t="shared" si="0"/>
        <v>3.018527760449158</v>
      </c>
      <c r="AB28" s="13"/>
      <c r="AD28" s="13" t="s">
        <v>499</v>
      </c>
    </row>
    <row r="29" spans="2:32" x14ac:dyDescent="0.25">
      <c r="B29" t="s">
        <v>1147</v>
      </c>
      <c r="C29">
        <f>1/INDEX($H$6:$H$66,MATCH(tblXrate[[#This Row],[Currency]],$I$6:$I$66,0))</f>
        <v>7.5240581760178168E-3</v>
      </c>
      <c r="G29" s="6" t="s">
        <v>3932</v>
      </c>
      <c r="H29" s="6">
        <v>0.548489</v>
      </c>
      <c r="I29" s="6" t="s">
        <v>3933</v>
      </c>
      <c r="L29" t="s">
        <v>73</v>
      </c>
      <c r="M29" t="s">
        <v>73</v>
      </c>
      <c r="N29" s="8" t="str">
        <f>VLOOKUP(tblCountries[[#This Row],[Mapping]],tblContinent[#All],2,0)</f>
        <v>Europe</v>
      </c>
      <c r="O29" s="8">
        <f>VLOOKUP(tblCountries[[#This Row],[Mapping]],tblPPP[],3,0)</f>
        <v>3.8784065405578709</v>
      </c>
      <c r="P29" s="8">
        <f>IFERROR(tblCountries[[#This Row],[PPP Factor]],1)</f>
        <v>3.8784065405578709</v>
      </c>
      <c r="R29" s="13" t="s">
        <v>143</v>
      </c>
      <c r="S29" s="22" t="s">
        <v>4166</v>
      </c>
      <c r="U29" s="22" t="s">
        <v>143</v>
      </c>
      <c r="V29" s="22" t="s">
        <v>4222</v>
      </c>
      <c r="W29" s="8">
        <f t="shared" si="0"/>
        <v>4.1113943410655107</v>
      </c>
      <c r="AB29" s="13"/>
      <c r="AD29" s="13" t="s">
        <v>935</v>
      </c>
    </row>
    <row r="30" spans="2:32" x14ac:dyDescent="0.25">
      <c r="B30" t="s">
        <v>1159</v>
      </c>
      <c r="C30">
        <f>1/INDEX($H$6:$H$66,MATCH(tblXrate[[#This Row],[Currency]],$I$6:$I$66,0))</f>
        <v>0.78882394238429931</v>
      </c>
      <c r="G30" s="6" t="s">
        <v>3934</v>
      </c>
      <c r="H30" s="6">
        <v>1.9323999999999999</v>
      </c>
      <c r="I30" s="6" t="s">
        <v>3935</v>
      </c>
      <c r="L30" t="s">
        <v>75</v>
      </c>
      <c r="M30" t="s">
        <v>75</v>
      </c>
      <c r="N30" s="8" t="str">
        <f>VLOOKUP(tblCountries[[#This Row],[Mapping]],tblContinent[#All],2,0)</f>
        <v>Europe</v>
      </c>
      <c r="O30" s="8">
        <f>VLOOKUP(tblCountries[[#This Row],[Mapping]],tblPPP[],3,0)</f>
        <v>2.3796105045736207</v>
      </c>
      <c r="P30" s="8">
        <f>IFERROR(tblCountries[[#This Row],[PPP Factor]],1)</f>
        <v>2.3796105045736207</v>
      </c>
      <c r="R30" s="13" t="s">
        <v>4050</v>
      </c>
      <c r="S30" s="13" t="s">
        <v>1126</v>
      </c>
      <c r="U30" s="22" t="s">
        <v>4050</v>
      </c>
      <c r="V30" s="22" t="s">
        <v>4223</v>
      </c>
      <c r="W30" s="8">
        <f t="shared" si="0"/>
        <v>0.97981127490685238</v>
      </c>
      <c r="AB30" s="13"/>
      <c r="AD30" s="13" t="s">
        <v>1052</v>
      </c>
    </row>
    <row r="31" spans="2:32" x14ac:dyDescent="0.25">
      <c r="B31" t="s">
        <v>69</v>
      </c>
      <c r="C31">
        <f>1/INDEX($H$6:$H$66,MATCH(tblXrate[[#This Row],[Currency]],$I$6:$I$66,0))</f>
        <v>1.5761782720672841</v>
      </c>
      <c r="G31" s="6" t="s">
        <v>3936</v>
      </c>
      <c r="H31" s="6">
        <v>2.7178800000000001</v>
      </c>
      <c r="I31" s="6" t="s">
        <v>3937</v>
      </c>
      <c r="L31" t="s">
        <v>895</v>
      </c>
      <c r="M31" t="s">
        <v>895</v>
      </c>
      <c r="N31" s="8" t="str">
        <f>VLOOKUP(tblCountries[[#This Row],[Mapping]],tblContinent[#All],2,0)</f>
        <v>Europe</v>
      </c>
      <c r="O31" s="8">
        <f>VLOOKUP(tblCountries[[#This Row],[Mapping]],tblPPP[],3,0)</f>
        <v>1.5883337710084033</v>
      </c>
      <c r="P31" s="8">
        <f>IFERROR(tblCountries[[#This Row],[PPP Factor]],1)</f>
        <v>1.5883337710084033</v>
      </c>
      <c r="R31" s="13" t="s">
        <v>1707</v>
      </c>
      <c r="S31" s="13" t="s">
        <v>983</v>
      </c>
      <c r="U31" s="22" t="s">
        <v>1707</v>
      </c>
      <c r="V31" s="22" t="s">
        <v>4224</v>
      </c>
      <c r="W31" s="8">
        <f t="shared" si="0"/>
        <v>3.5586526439655808</v>
      </c>
      <c r="AB31" s="13"/>
      <c r="AD31" s="13" t="s">
        <v>877</v>
      </c>
    </row>
    <row r="32" spans="2:32" x14ac:dyDescent="0.25">
      <c r="B32" t="s">
        <v>3986</v>
      </c>
      <c r="C32">
        <f>1/INDEX($H$6:$H$66,MATCH(tblXrate[[#This Row],[Currency]],$I$6:$I$66,0))</f>
        <v>2.5673940949935813E-2</v>
      </c>
      <c r="G32" s="6" t="s">
        <v>3938</v>
      </c>
      <c r="H32" s="6">
        <v>3.1565599999999998</v>
      </c>
      <c r="I32" s="6" t="s">
        <v>3939</v>
      </c>
      <c r="L32" t="s">
        <v>38</v>
      </c>
      <c r="M32" t="s">
        <v>38</v>
      </c>
      <c r="N32" s="8" t="str">
        <f>VLOOKUP(tblCountries[[#This Row],[Mapping]],tblContinent[#All],2,0)</f>
        <v>Europe</v>
      </c>
      <c r="O32" s="8">
        <f>VLOOKUP(tblCountries[[#This Row],[Mapping]],tblPPP[],3,0)</f>
        <v>2.4698586085447398</v>
      </c>
      <c r="P32" s="8">
        <f>IFERROR(tblCountries[[#This Row],[PPP Factor]],1)</f>
        <v>2.4698586085447398</v>
      </c>
      <c r="R32" s="13" t="s">
        <v>4013</v>
      </c>
      <c r="S32" s="13" t="s">
        <v>4009</v>
      </c>
      <c r="U32" s="22" t="s">
        <v>4123</v>
      </c>
      <c r="V32" s="22" t="s">
        <v>4225</v>
      </c>
      <c r="W32" s="8">
        <f t="shared" si="0"/>
        <v>33.006139154160984</v>
      </c>
      <c r="AB32" s="13"/>
      <c r="AD32" s="13" t="s">
        <v>526</v>
      </c>
    </row>
    <row r="33" spans="2:30" x14ac:dyDescent="0.25">
      <c r="B33" t="s">
        <v>1337</v>
      </c>
      <c r="C33">
        <f>1/INDEX($H$6:$H$66,MATCH(tblXrate[[#This Row],[Currency]],$I$6:$I$66,0))</f>
        <v>0.30031472983686902</v>
      </c>
      <c r="G33" s="6" t="s">
        <v>3940</v>
      </c>
      <c r="H33" s="6">
        <v>30.715900000000001</v>
      </c>
      <c r="I33" s="6" t="s">
        <v>3941</v>
      </c>
      <c r="L33" t="s">
        <v>877</v>
      </c>
      <c r="M33" t="s">
        <v>877</v>
      </c>
      <c r="N33" s="8" t="str">
        <f>VLOOKUP(tblCountries[[#This Row],[Mapping]],tblContinent[#All],2,0)</f>
        <v>Europe</v>
      </c>
      <c r="O33" s="8">
        <f>VLOOKUP(tblCountries[[#This Row],[Mapping]],tblPPP[],3,0)</f>
        <v>1.3024063307493541</v>
      </c>
      <c r="P33" s="8">
        <f>IFERROR(tblCountries[[#This Row],[PPP Factor]],1)</f>
        <v>1.3024063307493541</v>
      </c>
      <c r="R33" s="13" t="s">
        <v>4051</v>
      </c>
      <c r="S33" s="13" t="s">
        <v>1126</v>
      </c>
      <c r="U33" s="22" t="s">
        <v>4136</v>
      </c>
      <c r="V33" s="22" t="s">
        <v>4226</v>
      </c>
      <c r="W33" s="8">
        <f t="shared" si="0"/>
        <v>36.518490566037734</v>
      </c>
      <c r="AB33" s="13"/>
      <c r="AD33" s="13" t="s">
        <v>359</v>
      </c>
    </row>
    <row r="34" spans="2:30" x14ac:dyDescent="0.25">
      <c r="B34" t="s">
        <v>1343</v>
      </c>
      <c r="C34">
        <f>1/INDEX($H$6:$H$66,MATCH(tblXrate[[#This Row],[Currency]],$I$6:$I$66,0))</f>
        <v>1.1976047904191617E-2</v>
      </c>
      <c r="G34" s="6" t="s">
        <v>3942</v>
      </c>
      <c r="H34" s="6">
        <v>13.6899</v>
      </c>
      <c r="I34" s="6" t="s">
        <v>391</v>
      </c>
      <c r="L34" t="s">
        <v>36</v>
      </c>
      <c r="M34" t="s">
        <v>36</v>
      </c>
      <c r="N34" s="8" t="str">
        <f>VLOOKUP(tblCountries[[#This Row],[Mapping]],tblContinent[#All],2,0)</f>
        <v>Europe</v>
      </c>
      <c r="O34" s="8">
        <f>VLOOKUP(tblCountries[[#This Row],[Mapping]],tblPPP[],3,0)</f>
        <v>1.2206917429803981</v>
      </c>
      <c r="P34" s="8">
        <f>IFERROR(tblCountries[[#This Row],[PPP Factor]],1)</f>
        <v>1.2206917429803981</v>
      </c>
      <c r="R34" s="13" t="s">
        <v>4014</v>
      </c>
      <c r="S34" s="13" t="s">
        <v>4009</v>
      </c>
      <c r="U34" s="22" t="s">
        <v>4014</v>
      </c>
      <c r="V34" s="22" t="s">
        <v>4227</v>
      </c>
      <c r="W34" s="8">
        <f t="shared" si="0"/>
        <v>78.678048780487799</v>
      </c>
      <c r="AB34" s="13"/>
      <c r="AD34" s="13" t="s">
        <v>847</v>
      </c>
    </row>
    <row r="35" spans="2:30" x14ac:dyDescent="0.25">
      <c r="B35" t="s">
        <v>1362</v>
      </c>
      <c r="C35">
        <f>1/INDEX($H$6:$H$66,MATCH(tblXrate[[#This Row],[Currency]],$I$6:$I$66,0))</f>
        <v>0.17090423722875361</v>
      </c>
      <c r="G35" s="6" t="s">
        <v>3943</v>
      </c>
      <c r="H35" s="6">
        <v>89.65</v>
      </c>
      <c r="I35" s="6" t="s">
        <v>3944</v>
      </c>
      <c r="L35" t="s">
        <v>416</v>
      </c>
      <c r="M35" t="s">
        <v>416</v>
      </c>
      <c r="N35" s="8" t="str">
        <f>VLOOKUP(tblCountries[[#This Row],[Mapping]],tblContinent[#All],2,0)</f>
        <v>Asia</v>
      </c>
      <c r="O35" s="8">
        <f>VLOOKUP(tblCountries[[#This Row],[Mapping]],tblPPP[],3,0)</f>
        <v>1.5621307506053268</v>
      </c>
      <c r="P35" s="8">
        <f>IFERROR(tblCountries[[#This Row],[PPP Factor]],1)</f>
        <v>1.5621307506053268</v>
      </c>
      <c r="R35" s="13" t="s">
        <v>799</v>
      </c>
      <c r="S35" s="13" t="s">
        <v>1126</v>
      </c>
      <c r="U35" s="22" t="s">
        <v>799</v>
      </c>
      <c r="V35" s="22" t="s">
        <v>4228</v>
      </c>
      <c r="W35" s="8">
        <f t="shared" si="0"/>
        <v>21.835288808664259</v>
      </c>
      <c r="AB35" s="13"/>
      <c r="AD35" s="13" t="s">
        <v>574</v>
      </c>
    </row>
    <row r="36" spans="2:30" x14ac:dyDescent="0.25">
      <c r="B36" t="s">
        <v>1393</v>
      </c>
      <c r="C36">
        <f>1/INDEX($H$6:$H$66,MATCH(tblXrate[[#This Row],[Currency]],$I$6:$I$66,0))</f>
        <v>1.0588946622178973E-4</v>
      </c>
      <c r="G36" s="6" t="s">
        <v>3945</v>
      </c>
      <c r="H36" s="6">
        <v>1.2537799999999999</v>
      </c>
      <c r="I36" s="6" t="s">
        <v>670</v>
      </c>
      <c r="L36" t="s">
        <v>106</v>
      </c>
      <c r="M36" t="s">
        <v>106</v>
      </c>
      <c r="N36" s="8" t="str">
        <f>VLOOKUP(tblCountries[[#This Row],[Mapping]],tblContinent[#All],2,0)</f>
        <v>Europe</v>
      </c>
      <c r="O36" s="8">
        <f>VLOOKUP(tblCountries[[#This Row],[Mapping]],tblPPP[],3,0)</f>
        <v>1.3763511207190806</v>
      </c>
      <c r="P36" s="8">
        <f>IFERROR(tblCountries[[#This Row],[PPP Factor]],1)</f>
        <v>1.3763511207190806</v>
      </c>
      <c r="R36" s="13" t="s">
        <v>4015</v>
      </c>
      <c r="S36" s="13" t="s">
        <v>4009</v>
      </c>
      <c r="U36" s="22" t="s">
        <v>4015</v>
      </c>
      <c r="V36" s="22" t="s">
        <v>4229</v>
      </c>
      <c r="W36" s="8">
        <f t="shared" si="0"/>
        <v>21.438635356668144</v>
      </c>
      <c r="AB36" s="13"/>
      <c r="AD36" s="13" t="s">
        <v>1991</v>
      </c>
    </row>
    <row r="37" spans="2:30" x14ac:dyDescent="0.25">
      <c r="B37" t="s">
        <v>1410</v>
      </c>
      <c r="C37">
        <f>1/INDEX($H$6:$H$66,MATCH(tblXrate[[#This Row],[Currency]],$I$6:$I$66,0))</f>
        <v>7.5642965204236008E-4</v>
      </c>
      <c r="G37" s="6" t="s">
        <v>3946</v>
      </c>
      <c r="H37" s="6">
        <v>5.9083800000000002</v>
      </c>
      <c r="I37" s="6" t="s">
        <v>1829</v>
      </c>
      <c r="L37" t="s">
        <v>184</v>
      </c>
      <c r="M37" t="s">
        <v>184</v>
      </c>
      <c r="N37" s="8" t="str">
        <f>VLOOKUP(tblCountries[[#This Row],[Mapping]],tblContinent[#All],2,0)</f>
        <v>South Amer.</v>
      </c>
      <c r="O37" s="8">
        <f>VLOOKUP(tblCountries[[#This Row],[Mapping]],tblPPP[],3,0)</f>
        <v>4.721143526197678</v>
      </c>
      <c r="P37" s="8">
        <f>IFERROR(tblCountries[[#This Row],[PPP Factor]],1)</f>
        <v>4.721143526197678</v>
      </c>
      <c r="R37" s="13" t="s">
        <v>88</v>
      </c>
      <c r="S37" s="22" t="s">
        <v>4165</v>
      </c>
      <c r="U37" s="22" t="s">
        <v>88</v>
      </c>
      <c r="V37" s="22" t="s">
        <v>4230</v>
      </c>
      <c r="W37" s="8">
        <f t="shared" si="0"/>
        <v>1.1935324732986359</v>
      </c>
      <c r="AB37" s="13"/>
      <c r="AD37" s="13" t="s">
        <v>983</v>
      </c>
    </row>
    <row r="38" spans="2:30" x14ac:dyDescent="0.25">
      <c r="B38" t="s">
        <v>1531</v>
      </c>
      <c r="C38">
        <f>1/INDEX($H$6:$H$66,MATCH(tblXrate[[#This Row],[Currency]],$I$6:$I$66,0))</f>
        <v>1.2673580527296991E-2</v>
      </c>
      <c r="G38" s="6" t="s">
        <v>3947</v>
      </c>
      <c r="H38" s="6">
        <v>0.38450000000000001</v>
      </c>
      <c r="I38" s="6" t="s">
        <v>3948</v>
      </c>
      <c r="L38" t="s">
        <v>46</v>
      </c>
      <c r="M38" t="s">
        <v>46</v>
      </c>
      <c r="N38" s="8" t="str">
        <f>VLOOKUP(tblCountries[[#This Row],[Mapping]],tblContinent[#All],2,0)</f>
        <v>Europe</v>
      </c>
      <c r="O38" s="8">
        <f>VLOOKUP(tblCountries[[#This Row],[Mapping]],tblPPP[],3,0)</f>
        <v>1.1156790408116208</v>
      </c>
      <c r="P38" s="8">
        <f>IFERROR(tblCountries[[#This Row],[PPP Factor]],1)</f>
        <v>1.1156790408116208</v>
      </c>
      <c r="R38" s="13" t="s">
        <v>4016</v>
      </c>
      <c r="S38" s="13" t="s">
        <v>4009</v>
      </c>
      <c r="U38" s="22" t="s">
        <v>4016</v>
      </c>
      <c r="V38" s="22" t="s">
        <v>4231</v>
      </c>
      <c r="W38" s="8">
        <f t="shared" si="0"/>
        <v>12.259184190524449</v>
      </c>
      <c r="AB38" s="13"/>
      <c r="AD38" s="13" t="s">
        <v>515</v>
      </c>
    </row>
    <row r="39" spans="2:30" x14ac:dyDescent="0.25">
      <c r="B39" t="s">
        <v>3958</v>
      </c>
      <c r="C39">
        <f>1/INDEX($H$6:$H$66,MATCH(tblXrate[[#This Row],[Currency]],$I$6:$I$66,0))</f>
        <v>0.26666666666666666</v>
      </c>
      <c r="G39" s="6" t="s">
        <v>3949</v>
      </c>
      <c r="H39" s="6">
        <v>94.214399999999998</v>
      </c>
      <c r="I39" s="6" t="s">
        <v>32</v>
      </c>
      <c r="L39" t="s">
        <v>716</v>
      </c>
      <c r="M39" t="s">
        <v>716</v>
      </c>
      <c r="N39" s="8" t="str">
        <f>VLOOKUP(tblCountries[[#This Row],[Mapping]],tblContinent[#All],2,0)</f>
        <v>Asia</v>
      </c>
      <c r="O39" s="8">
        <f>VLOOKUP(tblCountries[[#This Row],[Mapping]],tblPPP[],3,0)</f>
        <v>8.5278463165315479</v>
      </c>
      <c r="P39" s="8">
        <f>IFERROR(tblCountries[[#This Row],[PPP Factor]],1)</f>
        <v>8.5278463165315479</v>
      </c>
      <c r="R39" s="13" t="s">
        <v>4017</v>
      </c>
      <c r="S39" s="13" t="s">
        <v>4009</v>
      </c>
      <c r="U39" s="22" t="s">
        <v>4017</v>
      </c>
      <c r="V39" s="22" t="s">
        <v>4232</v>
      </c>
      <c r="W39" s="8">
        <f t="shared" ref="W39:W70" si="1">$W$5/V39</f>
        <v>63.00390625</v>
      </c>
      <c r="AB39" s="13"/>
      <c r="AD39" s="13" t="s">
        <v>106</v>
      </c>
    </row>
    <row r="40" spans="2:30" x14ac:dyDescent="0.25">
      <c r="B40" t="s">
        <v>1729</v>
      </c>
      <c r="C40">
        <f>1/INDEX($H$6:$H$66,MATCH(tblXrate[[#This Row],[Currency]],$I$6:$I$66,0))</f>
        <v>0.11454753722794959</v>
      </c>
      <c r="G40" s="6" t="s">
        <v>3950</v>
      </c>
      <c r="H40" s="6">
        <v>42.185099999999998</v>
      </c>
      <c r="I40" s="6" t="s">
        <v>3951</v>
      </c>
      <c r="L40" t="s">
        <v>59</v>
      </c>
      <c r="M40" t="s">
        <v>59</v>
      </c>
      <c r="N40" s="8" t="str">
        <f>VLOOKUP(tblCountries[[#This Row],[Mapping]],tblContinent[#All],2,0)</f>
        <v>Europe</v>
      </c>
      <c r="O40" s="8">
        <f>VLOOKUP(tblCountries[[#This Row],[Mapping]],tblPPP[],3,0)</f>
        <v>1.2822163924000318</v>
      </c>
      <c r="P40" s="8">
        <f>IFERROR(tblCountries[[#This Row],[PPP Factor]],1)</f>
        <v>1.2822163924000318</v>
      </c>
      <c r="R40" s="13" t="s">
        <v>4018</v>
      </c>
      <c r="S40" s="13" t="s">
        <v>4009</v>
      </c>
      <c r="U40" s="22" t="s">
        <v>4018</v>
      </c>
      <c r="V40" s="22" t="s">
        <v>4233</v>
      </c>
      <c r="W40" s="8">
        <f t="shared" si="1"/>
        <v>25.944772117962465</v>
      </c>
      <c r="AB40" s="13"/>
      <c r="AD40" s="13" t="s">
        <v>24</v>
      </c>
    </row>
    <row r="41" spans="2:30" x14ac:dyDescent="0.25">
      <c r="B41" t="s">
        <v>3941</v>
      </c>
      <c r="C41">
        <f>1/INDEX($H$6:$H$66,MATCH(tblXrate[[#This Row],[Currency]],$I$6:$I$66,0))</f>
        <v>3.2556428429575561E-2</v>
      </c>
      <c r="G41" s="6" t="s">
        <v>3952</v>
      </c>
      <c r="H41" s="6">
        <v>3.64</v>
      </c>
      <c r="I41" s="6" t="s">
        <v>3953</v>
      </c>
      <c r="L41" t="s">
        <v>359</v>
      </c>
      <c r="M41" t="s">
        <v>359</v>
      </c>
      <c r="N41" s="8" t="str">
        <f>VLOOKUP(tblCountries[[#This Row],[Mapping]],tblContinent[#All],2,0)</f>
        <v>Asia</v>
      </c>
      <c r="O41" s="8" t="e">
        <f>VLOOKUP(tblCountries[[#This Row],[Mapping]],tblPPP[],3,0)</f>
        <v>#N/A</v>
      </c>
      <c r="P41" s="8">
        <f>IFERROR(tblCountries[[#This Row],[PPP Factor]],1)</f>
        <v>1</v>
      </c>
      <c r="R41" s="13" t="s">
        <v>4113</v>
      </c>
      <c r="S41" s="22" t="s">
        <v>4166</v>
      </c>
      <c r="U41" s="22" t="s">
        <v>4113</v>
      </c>
      <c r="V41" s="22" t="s">
        <v>4234</v>
      </c>
      <c r="W41" s="8">
        <f t="shared" si="1"/>
        <v>2.8096039948902565</v>
      </c>
      <c r="AB41" s="13"/>
      <c r="AD41" s="13" t="s">
        <v>1503</v>
      </c>
    </row>
    <row r="42" spans="2:30" x14ac:dyDescent="0.25">
      <c r="B42" t="s">
        <v>1829</v>
      </c>
      <c r="C42">
        <f>1/INDEX($H$6:$H$66,MATCH(tblXrate[[#This Row],[Currency]],$I$6:$I$66,0))</f>
        <v>0.16925113144381371</v>
      </c>
      <c r="G42" s="6" t="s">
        <v>3954</v>
      </c>
      <c r="H42" s="6">
        <v>3.5135399999999999</v>
      </c>
      <c r="I42" s="6" t="s">
        <v>959</v>
      </c>
      <c r="L42" t="s">
        <v>27</v>
      </c>
      <c r="M42" t="s">
        <v>27</v>
      </c>
      <c r="N42" s="8" t="str">
        <f>VLOOKUP(tblCountries[[#This Row],[Mapping]],tblContinent[#All],2,0)</f>
        <v>Europe</v>
      </c>
      <c r="O42" s="8">
        <f>VLOOKUP(tblCountries[[#This Row],[Mapping]],tblPPP[],3,0)</f>
        <v>6.6897552882621323</v>
      </c>
      <c r="P42" s="8">
        <f>IFERROR(tblCountries[[#This Row],[PPP Factor]],1)</f>
        <v>6.6897552882621323</v>
      </c>
      <c r="R42" s="13" t="s">
        <v>1123</v>
      </c>
      <c r="S42" s="13" t="s">
        <v>1126</v>
      </c>
      <c r="U42" s="22" t="s">
        <v>1123</v>
      </c>
      <c r="V42" s="22" t="s">
        <v>4235</v>
      </c>
      <c r="W42" s="8">
        <f t="shared" si="1"/>
        <v>5.7727272727272725</v>
      </c>
      <c r="AB42" s="13"/>
      <c r="AD42" s="13" t="s">
        <v>169</v>
      </c>
    </row>
    <row r="43" spans="2:30" x14ac:dyDescent="0.25">
      <c r="B43" t="s">
        <v>1881</v>
      </c>
      <c r="C43">
        <f>1/INDEX($H$6:$H$66,MATCH(tblXrate[[#This Row],[Currency]],$I$6:$I$66,0))</f>
        <v>1.0578730615798488</v>
      </c>
      <c r="G43" s="6" t="s">
        <v>3955</v>
      </c>
      <c r="H43" s="6">
        <v>32.5458</v>
      </c>
      <c r="I43" s="6" t="s">
        <v>3956</v>
      </c>
      <c r="L43" t="s">
        <v>1176</v>
      </c>
      <c r="M43" s="22" t="s">
        <v>1176</v>
      </c>
      <c r="N43" s="8" t="str">
        <f>VLOOKUP(tblCountries[[#This Row],[Mapping]],tblContinent[#All],2,0)</f>
        <v>Asia</v>
      </c>
      <c r="O43" s="8">
        <f>VLOOKUP(tblCountries[[#This Row],[Mapping]],tblPPP[],3,0)</f>
        <v>1.1606102036410737</v>
      </c>
      <c r="P43" s="8">
        <f>IFERROR(tblCountries[[#This Row],[PPP Factor]],1)</f>
        <v>1.1606102036410737</v>
      </c>
      <c r="R43" s="13" t="s">
        <v>184</v>
      </c>
      <c r="S43" s="22" t="s">
        <v>4166</v>
      </c>
      <c r="U43" s="22" t="s">
        <v>184</v>
      </c>
      <c r="V43" s="22" t="s">
        <v>4236</v>
      </c>
      <c r="W43" s="8">
        <f t="shared" si="1"/>
        <v>4.721143526197678</v>
      </c>
      <c r="AB43" s="13"/>
      <c r="AD43" s="13" t="s">
        <v>680</v>
      </c>
    </row>
    <row r="44" spans="2:30" x14ac:dyDescent="0.25">
      <c r="B44" t="s">
        <v>1989</v>
      </c>
      <c r="C44">
        <f>1/INDEX($H$6:$H$66,MATCH(tblXrate[[#This Row],[Currency]],$I$6:$I$66,0))</f>
        <v>5.6561085972850679E-2</v>
      </c>
      <c r="G44" s="6" t="s">
        <v>3957</v>
      </c>
      <c r="H44" s="6">
        <v>3.75</v>
      </c>
      <c r="I44" s="6" t="s">
        <v>3958</v>
      </c>
      <c r="L44" t="s">
        <v>512</v>
      </c>
      <c r="M44" t="s">
        <v>512</v>
      </c>
      <c r="N44" s="8" t="str">
        <f>VLOOKUP(tblCountries[[#This Row],[Mapping]],tblContinent[#All],2,0)</f>
        <v>Asia</v>
      </c>
      <c r="O44" s="8">
        <f>VLOOKUP(tblCountries[[#This Row],[Mapping]],tblPPP[],3,0)</f>
        <v>3.706963916341071</v>
      </c>
      <c r="P44" s="8">
        <f>IFERROR(tblCountries[[#This Row],[PPP Factor]],1)</f>
        <v>3.706963916341071</v>
      </c>
      <c r="R44" s="13" t="s">
        <v>4019</v>
      </c>
      <c r="S44" s="13" t="s">
        <v>4009</v>
      </c>
      <c r="U44" s="22" t="s">
        <v>4019</v>
      </c>
      <c r="V44" s="22" t="s">
        <v>4237</v>
      </c>
      <c r="W44" s="8">
        <f t="shared" si="1"/>
        <v>39.275162337662337</v>
      </c>
      <c r="AB44" s="13"/>
      <c r="AD44" s="13" t="s">
        <v>1933</v>
      </c>
    </row>
    <row r="45" spans="2:30" x14ac:dyDescent="0.25">
      <c r="G45" s="6" t="s">
        <v>3959</v>
      </c>
      <c r="H45" s="6">
        <v>1.2677099999999999</v>
      </c>
      <c r="I45" s="6" t="s">
        <v>1159</v>
      </c>
      <c r="L45" t="s">
        <v>1011</v>
      </c>
      <c r="M45" t="s">
        <v>1011</v>
      </c>
      <c r="N45" s="8" t="str">
        <f>VLOOKUP(tblCountries[[#This Row],[Mapping]],tblContinent[#All],2,0)</f>
        <v>Asia</v>
      </c>
      <c r="O45" s="8">
        <f>VLOOKUP(tblCountries[[#This Row],[Mapping]],tblPPP[],3,0)</f>
        <v>0.4700368164906793</v>
      </c>
      <c r="P45" s="8">
        <f>IFERROR(tblCountries[[#This Row],[PPP Factor]],1)</f>
        <v>0.4700368164906793</v>
      </c>
      <c r="R45" s="13" t="s">
        <v>4020</v>
      </c>
      <c r="S45" s="13" t="s">
        <v>4009</v>
      </c>
      <c r="U45" s="22" t="s">
        <v>4137</v>
      </c>
      <c r="V45" s="22" t="s">
        <v>4238</v>
      </c>
      <c r="W45" s="8">
        <f t="shared" si="1"/>
        <v>139.04310344827587</v>
      </c>
      <c r="AB45" s="13"/>
      <c r="AD45" s="13" t="s">
        <v>38</v>
      </c>
    </row>
    <row r="46" spans="2:30" x14ac:dyDescent="0.25">
      <c r="G46" s="6" t="s">
        <v>3960</v>
      </c>
      <c r="H46" s="6">
        <v>8.2019800000000007</v>
      </c>
      <c r="I46" s="6" t="s">
        <v>585</v>
      </c>
      <c r="L46" t="s">
        <v>870</v>
      </c>
      <c r="M46" t="s">
        <v>870</v>
      </c>
      <c r="N46" s="8" t="str">
        <f>VLOOKUP(tblCountries[[#This Row],[Mapping]],tblContinent[#All],2,0)</f>
        <v>Africa</v>
      </c>
      <c r="O46" s="8">
        <f>VLOOKUP(tblCountries[[#This Row],[Mapping]],tblPPP[],3,0)</f>
        <v>18.769200930954227</v>
      </c>
      <c r="P46" s="8">
        <f>IFERROR(tblCountries[[#This Row],[PPP Factor]],1)</f>
        <v>18.769200930954227</v>
      </c>
      <c r="R46" s="13" t="s">
        <v>4021</v>
      </c>
      <c r="S46" s="13" t="s">
        <v>4009</v>
      </c>
      <c r="U46" s="22" t="s">
        <v>4138</v>
      </c>
      <c r="V46" s="22" t="s">
        <v>4239</v>
      </c>
      <c r="W46" s="8">
        <f t="shared" si="1"/>
        <v>10.544127260841142</v>
      </c>
      <c r="AB46" s="13"/>
      <c r="AD46" s="13" t="s">
        <v>21</v>
      </c>
    </row>
    <row r="47" spans="2:30" x14ac:dyDescent="0.25">
      <c r="G47" s="6" t="s">
        <v>3961</v>
      </c>
      <c r="H47" s="6">
        <v>1151.0899999999999</v>
      </c>
      <c r="I47" s="6" t="s">
        <v>3962</v>
      </c>
      <c r="L47" t="s">
        <v>515</v>
      </c>
      <c r="M47" t="s">
        <v>515</v>
      </c>
      <c r="N47" s="8" t="str">
        <f>VLOOKUP(tblCountries[[#This Row],[Mapping]],tblContinent[#All],2,0)</f>
        <v>Europe</v>
      </c>
      <c r="O47" s="8">
        <f>VLOOKUP(tblCountries[[#This Row],[Mapping]],tblPPP[],3,0)</f>
        <v>1.3353295065680539</v>
      </c>
      <c r="P47" s="8">
        <f>IFERROR(tblCountries[[#This Row],[PPP Factor]],1)</f>
        <v>1.3353295065680539</v>
      </c>
      <c r="R47" s="13" t="s">
        <v>499</v>
      </c>
      <c r="S47" s="22" t="s">
        <v>4165</v>
      </c>
      <c r="U47" s="22" t="s">
        <v>499</v>
      </c>
      <c r="V47" s="22" t="s">
        <v>4240</v>
      </c>
      <c r="W47" s="8">
        <f t="shared" si="1"/>
        <v>4.0569296554037058</v>
      </c>
      <c r="AB47" s="13"/>
      <c r="AD47" s="13" t="s">
        <v>8</v>
      </c>
    </row>
    <row r="48" spans="2:30" x14ac:dyDescent="0.25">
      <c r="G48" s="6" t="s">
        <v>3963</v>
      </c>
      <c r="H48" s="6">
        <v>132.90700000000001</v>
      </c>
      <c r="I48" s="6" t="s">
        <v>1147</v>
      </c>
      <c r="L48" t="s">
        <v>983</v>
      </c>
      <c r="M48" t="s">
        <v>983</v>
      </c>
      <c r="N48" s="8" t="str">
        <f>VLOOKUP(tblCountries[[#This Row],[Mapping]],tblContinent[#All],2,0)</f>
        <v>Europe</v>
      </c>
      <c r="O48" s="8" t="e">
        <f>VLOOKUP(tblCountries[[#This Row],[Mapping]],tblPPP[],3,0)</f>
        <v>#N/A</v>
      </c>
      <c r="P48" s="8">
        <f>IFERROR(tblCountries[[#This Row],[PPP Factor]],1)</f>
        <v>1</v>
      </c>
      <c r="R48" s="13" t="s">
        <v>935</v>
      </c>
      <c r="S48" s="13" t="s">
        <v>983</v>
      </c>
      <c r="U48" s="22" t="s">
        <v>4139</v>
      </c>
      <c r="V48" s="22" t="s">
        <v>4241</v>
      </c>
      <c r="W48" s="8">
        <f t="shared" si="1"/>
        <v>30.432075471698113</v>
      </c>
      <c r="AB48" s="13"/>
      <c r="AD48" s="13" t="s">
        <v>726</v>
      </c>
    </row>
    <row r="49" spans="7:30" x14ac:dyDescent="0.25">
      <c r="G49" s="6" t="s">
        <v>3964</v>
      </c>
      <c r="H49" s="6">
        <v>6.9611099999999997</v>
      </c>
      <c r="I49" s="6" t="s">
        <v>445</v>
      </c>
      <c r="L49" t="s">
        <v>654</v>
      </c>
      <c r="M49" t="s">
        <v>654</v>
      </c>
      <c r="N49" s="8" t="str">
        <f>VLOOKUP(tblCountries[[#This Row],[Mapping]],tblContinent[#All],2,0)</f>
        <v>Asia</v>
      </c>
      <c r="O49" s="8">
        <f>VLOOKUP(tblCountries[[#This Row],[Mapping]],tblPPP[],3,0)</f>
        <v>1.392832469775475</v>
      </c>
      <c r="P49" s="8">
        <f>IFERROR(tblCountries[[#This Row],[PPP Factor]],1)</f>
        <v>1.392832469775475</v>
      </c>
      <c r="R49" s="13" t="s">
        <v>4086</v>
      </c>
      <c r="S49" s="22" t="s">
        <v>4165</v>
      </c>
      <c r="U49" s="22" t="s">
        <v>935</v>
      </c>
      <c r="V49" s="22" t="s">
        <v>4242</v>
      </c>
      <c r="W49" s="8">
        <f t="shared" si="1"/>
        <v>2.6597955145118735</v>
      </c>
      <c r="AB49" s="13"/>
      <c r="AD49" s="13" t="s">
        <v>1078</v>
      </c>
    </row>
    <row r="50" spans="7:30" x14ac:dyDescent="0.25">
      <c r="G50" s="6" t="s">
        <v>3965</v>
      </c>
      <c r="H50" s="6">
        <v>0.94529300000000005</v>
      </c>
      <c r="I50" s="6" t="s">
        <v>1881</v>
      </c>
      <c r="L50" t="s">
        <v>111</v>
      </c>
      <c r="M50" s="12" t="s">
        <v>143</v>
      </c>
      <c r="N50" s="8" t="str">
        <f>VLOOKUP(tblCountries[[#This Row],[Mapping]],tblContinent[#All],2,0)</f>
        <v>South Amer.</v>
      </c>
      <c r="O50" s="8">
        <f>VLOOKUP(tblCountries[[#This Row],[Mapping]],tblPPP[],3,0)</f>
        <v>4.1113943410655107</v>
      </c>
      <c r="P50" s="8">
        <f>IFERROR(tblCountries[[#This Row],[PPP Factor]],1)</f>
        <v>4.1113943410655107</v>
      </c>
      <c r="R50" s="13" t="s">
        <v>4070</v>
      </c>
      <c r="S50" s="13" t="s">
        <v>983</v>
      </c>
      <c r="U50" s="22" t="s">
        <v>4070</v>
      </c>
      <c r="V50" s="22" t="s">
        <v>4243</v>
      </c>
      <c r="W50" s="8">
        <f t="shared" si="1"/>
        <v>1.6642704822177892</v>
      </c>
      <c r="AB50" s="13"/>
      <c r="AD50" s="13" t="s">
        <v>36</v>
      </c>
    </row>
    <row r="51" spans="7:30" x14ac:dyDescent="0.25">
      <c r="G51" s="6" t="s">
        <v>3966</v>
      </c>
      <c r="H51" s="6">
        <v>29.859400000000001</v>
      </c>
      <c r="I51" s="6" t="s">
        <v>3967</v>
      </c>
      <c r="L51" t="s">
        <v>636</v>
      </c>
      <c r="M51" t="s">
        <v>672</v>
      </c>
      <c r="N51" s="8" t="str">
        <f>VLOOKUP(tblCountries[[#This Row],[Mapping]],tblContinent[#All],2,0)</f>
        <v>Oceania</v>
      </c>
      <c r="O51" s="8">
        <f>VLOOKUP(tblCountries[[#This Row],[Mapping]],tblPPP[],3,0)</f>
        <v>1.7488434292323261</v>
      </c>
      <c r="P51" s="8">
        <f>IFERROR(tblCountries[[#This Row],[PPP Factor]],1)</f>
        <v>1.7488434292323261</v>
      </c>
      <c r="R51" s="13" t="s">
        <v>1052</v>
      </c>
      <c r="S51" s="13" t="s">
        <v>983</v>
      </c>
      <c r="U51" s="22" t="s">
        <v>1052</v>
      </c>
      <c r="V51" s="22" t="s">
        <v>4244</v>
      </c>
      <c r="W51" s="8">
        <f t="shared" si="1"/>
        <v>1.788005321114478</v>
      </c>
      <c r="AB51" s="13"/>
      <c r="AD51" s="13" t="s">
        <v>416</v>
      </c>
    </row>
    <row r="52" spans="7:30" x14ac:dyDescent="0.25">
      <c r="G52" s="6" t="s">
        <v>3968</v>
      </c>
      <c r="H52" s="6">
        <v>31.500299999999999</v>
      </c>
      <c r="I52" s="6" t="s">
        <v>3969</v>
      </c>
      <c r="L52" t="s">
        <v>169</v>
      </c>
      <c r="M52" t="s">
        <v>169</v>
      </c>
      <c r="N52" s="8" t="str">
        <f>VLOOKUP(tblCountries[[#This Row],[Mapping]],tblContinent[#All],2,0)</f>
        <v>Europe</v>
      </c>
      <c r="O52" s="8">
        <f>VLOOKUP(tblCountries[[#This Row],[Mapping]],tblPPP[],3,0)</f>
        <v>1.8402297102000456</v>
      </c>
      <c r="P52" s="8">
        <f>IFERROR(tblCountries[[#This Row],[PPP Factor]],1)</f>
        <v>1.8402297102000456</v>
      </c>
      <c r="R52" s="13" t="s">
        <v>877</v>
      </c>
      <c r="S52" s="13" t="s">
        <v>983</v>
      </c>
      <c r="U52" s="22" t="s">
        <v>877</v>
      </c>
      <c r="V52" s="22" t="s">
        <v>4245</v>
      </c>
      <c r="W52" s="8">
        <f t="shared" si="1"/>
        <v>1.3024063307493541</v>
      </c>
      <c r="AB52" s="13"/>
      <c r="AD52" s="13" t="s">
        <v>1351</v>
      </c>
    </row>
    <row r="53" spans="7:30" x14ac:dyDescent="0.25">
      <c r="G53" s="6" t="s">
        <v>3970</v>
      </c>
      <c r="H53" s="6">
        <v>6.3912199999999997</v>
      </c>
      <c r="I53" s="6" t="s">
        <v>3971</v>
      </c>
      <c r="L53" t="s">
        <v>56</v>
      </c>
      <c r="M53" t="s">
        <v>15</v>
      </c>
      <c r="N53" s="8" t="str">
        <f>VLOOKUP(tblCountries[[#This Row],[Mapping]],tblContinent[#All],2,0)</f>
        <v>North Amer.</v>
      </c>
      <c r="O53" s="8">
        <f>VLOOKUP(tblCountries[[#This Row],[Mapping]],tblPPP[],3,0)</f>
        <v>1</v>
      </c>
      <c r="P53" s="8">
        <f>IFERROR(tblCountries[[#This Row],[PPP Factor]],1)</f>
        <v>1</v>
      </c>
      <c r="R53" s="13" t="s">
        <v>4022</v>
      </c>
      <c r="S53" s="13" t="s">
        <v>4009</v>
      </c>
      <c r="U53" s="22" t="s">
        <v>4022</v>
      </c>
      <c r="V53" s="22" t="s">
        <v>4246</v>
      </c>
      <c r="W53" s="8">
        <f t="shared" si="1"/>
        <v>18.314534443603332</v>
      </c>
      <c r="AB53" s="13"/>
      <c r="AD53" s="13" t="s">
        <v>654</v>
      </c>
    </row>
    <row r="54" spans="7:30" x14ac:dyDescent="0.25">
      <c r="G54" s="6" t="s">
        <v>3972</v>
      </c>
      <c r="H54" s="6">
        <v>1.79447</v>
      </c>
      <c r="I54" s="6" t="s">
        <v>3973</v>
      </c>
      <c r="L54" t="s">
        <v>136</v>
      </c>
      <c r="M54" t="s">
        <v>136</v>
      </c>
      <c r="N54" s="8" t="str">
        <f>VLOOKUP(tblCountries[[#This Row],[Mapping]],tblContinent[#All],2,0)</f>
        <v>North Amer.</v>
      </c>
      <c r="O54" s="8">
        <f>VLOOKUP(tblCountries[[#This Row],[Mapping]],tblPPP[],3,0)</f>
        <v>3.4324324324324325</v>
      </c>
      <c r="P54" s="8">
        <f>IFERROR(tblCountries[[#This Row],[PPP Factor]],1)</f>
        <v>3.4324324324324325</v>
      </c>
      <c r="R54" s="13" t="s">
        <v>4087</v>
      </c>
      <c r="S54" s="22" t="s">
        <v>4165</v>
      </c>
      <c r="U54" s="22" t="s">
        <v>4087</v>
      </c>
      <c r="V54" s="22" t="s">
        <v>4247</v>
      </c>
      <c r="W54" s="8">
        <f t="shared" si="1"/>
        <v>3.5022437753329472</v>
      </c>
      <c r="AB54" s="13"/>
      <c r="AD54" s="13" t="s">
        <v>1344</v>
      </c>
    </row>
    <row r="55" spans="7:30" x14ac:dyDescent="0.25">
      <c r="G55" s="6" t="s">
        <v>3974</v>
      </c>
      <c r="H55" s="6">
        <v>4.2940199999999997</v>
      </c>
      <c r="I55" s="6" t="s">
        <v>3975</v>
      </c>
      <c r="L55" t="s">
        <v>197</v>
      </c>
      <c r="M55" t="s">
        <v>197</v>
      </c>
      <c r="N55" s="8" t="str">
        <f>VLOOKUP(tblCountries[[#This Row],[Mapping]],tblContinent[#All],2,0)</f>
        <v>Asia</v>
      </c>
      <c r="O55" s="8">
        <f>VLOOKUP(tblCountries[[#This Row],[Mapping]],tblPPP[],3,0)</f>
        <v>3.3331266790659226</v>
      </c>
      <c r="P55" s="8">
        <f>IFERROR(tblCountries[[#This Row],[PPP Factor]],1)</f>
        <v>3.3331266790659226</v>
      </c>
      <c r="R55" s="13" t="s">
        <v>526</v>
      </c>
      <c r="S55" s="22" t="s">
        <v>4165</v>
      </c>
      <c r="U55" s="22" t="s">
        <v>526</v>
      </c>
      <c r="V55" s="22" t="s">
        <v>4248</v>
      </c>
      <c r="W55" s="8">
        <f t="shared" si="1"/>
        <v>5.2101862818994293</v>
      </c>
      <c r="AB55" s="13"/>
      <c r="AD55" s="22" t="s">
        <v>1176</v>
      </c>
    </row>
    <row r="56" spans="7:30" x14ac:dyDescent="0.25">
      <c r="G56" s="6" t="s">
        <v>3977</v>
      </c>
      <c r="H56" s="6">
        <v>3.6735099999999998</v>
      </c>
      <c r="I56" s="6" t="s">
        <v>358</v>
      </c>
      <c r="L56" t="s">
        <v>447</v>
      </c>
      <c r="M56" t="s">
        <v>447</v>
      </c>
      <c r="N56" s="8" t="str">
        <f>VLOOKUP(tblCountries[[#This Row],[Mapping]],tblContinent[#All],2,0)</f>
        <v>Europe</v>
      </c>
      <c r="O56" s="8">
        <f>VLOOKUP(tblCountries[[#This Row],[Mapping]],tblPPP[],3,0)</f>
        <v>1.1978759221666584</v>
      </c>
      <c r="P56" s="8">
        <f>IFERROR(tblCountries[[#This Row],[PPP Factor]],1)</f>
        <v>1.1978759221666584</v>
      </c>
      <c r="R56" s="13" t="s">
        <v>4052</v>
      </c>
      <c r="S56" s="13" t="s">
        <v>1126</v>
      </c>
      <c r="U56" s="22" t="s">
        <v>4052</v>
      </c>
      <c r="V56" s="22" t="s">
        <v>4249</v>
      </c>
      <c r="W56" s="8">
        <f t="shared" si="1"/>
        <v>5.5610849327663487</v>
      </c>
      <c r="AB56" s="13"/>
      <c r="AD56" s="22" t="s">
        <v>1176</v>
      </c>
    </row>
    <row r="57" spans="7:30" x14ac:dyDescent="0.25">
      <c r="G57" s="6" t="s">
        <v>3980</v>
      </c>
      <c r="H57" s="6">
        <v>81.827399999999997</v>
      </c>
      <c r="I57" s="6" t="s">
        <v>483</v>
      </c>
      <c r="L57" t="s">
        <v>690</v>
      </c>
      <c r="M57" t="s">
        <v>690</v>
      </c>
      <c r="N57" s="8" t="str">
        <f>VLOOKUP(tblCountries[[#This Row],[Mapping]],tblContinent[#All],2,0)</f>
        <v>Asia</v>
      </c>
      <c r="O57" s="8">
        <f>VLOOKUP(tblCountries[[#This Row],[Mapping]],tblPPP[],3,0)</f>
        <v>5.7727272727272725</v>
      </c>
      <c r="P57" s="8">
        <f>IFERROR(tblCountries[[#This Row],[PPP Factor]],1)</f>
        <v>5.7727272727272725</v>
      </c>
      <c r="R57" s="13" t="s">
        <v>4114</v>
      </c>
      <c r="S57" s="22" t="s">
        <v>4166</v>
      </c>
      <c r="U57" s="22" t="s">
        <v>4114</v>
      </c>
      <c r="V57" s="22" t="s">
        <v>4250</v>
      </c>
      <c r="W57" s="8">
        <f t="shared" si="1"/>
        <v>5.6979510127178523</v>
      </c>
      <c r="AB57" s="13"/>
      <c r="AD57" s="13" t="s">
        <v>1371</v>
      </c>
    </row>
    <row r="58" spans="7:30" x14ac:dyDescent="0.25">
      <c r="G58" s="6" t="s">
        <v>3981</v>
      </c>
      <c r="H58" s="6">
        <v>498.05</v>
      </c>
      <c r="I58" s="6" t="s">
        <v>3982</v>
      </c>
      <c r="L58" t="s">
        <v>425</v>
      </c>
      <c r="M58" t="s">
        <v>425</v>
      </c>
      <c r="N58" s="8" t="str">
        <f>VLOOKUP(tblCountries[[#This Row],[Mapping]],tblContinent[#All],2,0)</f>
        <v>Asia</v>
      </c>
      <c r="O58" s="8">
        <f>VLOOKUP(tblCountries[[#This Row],[Mapping]],tblPPP[],3,0)</f>
        <v>28.580626107501477</v>
      </c>
      <c r="P58" s="8">
        <f>IFERROR(tblCountries[[#This Row],[PPP Factor]],1)</f>
        <v>28.580626107501477</v>
      </c>
      <c r="R58" s="13" t="s">
        <v>847</v>
      </c>
      <c r="S58" s="13" t="s">
        <v>4009</v>
      </c>
      <c r="U58" s="22" t="s">
        <v>847</v>
      </c>
      <c r="V58" s="22" t="s">
        <v>4251</v>
      </c>
      <c r="W58" s="8">
        <f t="shared" si="1"/>
        <v>7.3986238532110091</v>
      </c>
      <c r="AB58" s="13"/>
      <c r="AD58" s="13" t="s">
        <v>1745</v>
      </c>
    </row>
    <row r="59" spans="7:30" x14ac:dyDescent="0.25">
      <c r="G59" s="6" t="s">
        <v>3983</v>
      </c>
      <c r="H59" s="6">
        <v>6.0510000000000002</v>
      </c>
      <c r="I59" s="6" t="s">
        <v>847</v>
      </c>
      <c r="L59" t="s">
        <v>935</v>
      </c>
      <c r="M59" t="s">
        <v>935</v>
      </c>
      <c r="N59" s="8" t="str">
        <f>VLOOKUP(tblCountries[[#This Row],[Mapping]],tblContinent[#All],2,0)</f>
        <v>Europe</v>
      </c>
      <c r="O59" s="8">
        <f>VLOOKUP(tblCountries[[#This Row],[Mapping]],tblPPP[],3,0)</f>
        <v>2.6597955145118735</v>
      </c>
      <c r="P59" s="8">
        <f>IFERROR(tblCountries[[#This Row],[PPP Factor]],1)</f>
        <v>2.6597955145118735</v>
      </c>
      <c r="R59" s="13" t="s">
        <v>4088</v>
      </c>
      <c r="S59" s="22" t="s">
        <v>4165</v>
      </c>
      <c r="U59" s="22" t="s">
        <v>4088</v>
      </c>
      <c r="V59" s="22" t="s">
        <v>4252</v>
      </c>
      <c r="W59" s="8">
        <f t="shared" si="1"/>
        <v>6.4088741721854303</v>
      </c>
      <c r="AB59" s="13"/>
      <c r="AD59" s="13" t="s">
        <v>1700</v>
      </c>
    </row>
    <row r="60" spans="7:30" x14ac:dyDescent="0.25">
      <c r="G60" s="6" t="s">
        <v>3985</v>
      </c>
      <c r="H60" s="6">
        <v>162.25</v>
      </c>
      <c r="I60" s="6" t="s">
        <v>3984</v>
      </c>
      <c r="L60" t="s">
        <v>126</v>
      </c>
      <c r="M60" t="s">
        <v>179</v>
      </c>
      <c r="N60" s="8" t="str">
        <f>VLOOKUP(tblCountries[[#This Row],[Mapping]],tblContinent[#All],2,0)</f>
        <v>Asia</v>
      </c>
      <c r="O60" s="8">
        <f>VLOOKUP(tblCountries[[#This Row],[Mapping]],tblPPP[],3,0)</f>
        <v>1.0047551808629926</v>
      </c>
      <c r="P60" s="8">
        <f>IFERROR(tblCountries[[#This Row],[PPP Factor]],1)</f>
        <v>1.0047551808629926</v>
      </c>
      <c r="R60" s="13" t="s">
        <v>4023</v>
      </c>
      <c r="S60" s="13" t="s">
        <v>4009</v>
      </c>
      <c r="U60" s="22" t="s">
        <v>4140</v>
      </c>
      <c r="V60" s="22" t="s">
        <v>4253</v>
      </c>
      <c r="W60" s="8">
        <f t="shared" si="1"/>
        <v>2.4998450092994422</v>
      </c>
      <c r="AB60" s="13"/>
      <c r="AD60" s="13" t="s">
        <v>818</v>
      </c>
    </row>
    <row r="61" spans="7:30" x14ac:dyDescent="0.25">
      <c r="G61" s="6" t="s">
        <v>3987</v>
      </c>
      <c r="H61" s="6">
        <v>38.950000000000003</v>
      </c>
      <c r="I61" s="6" t="s">
        <v>3986</v>
      </c>
      <c r="L61" t="s">
        <v>1031</v>
      </c>
      <c r="M61" s="13" t="s">
        <v>166</v>
      </c>
      <c r="N61" s="8" t="str">
        <f>VLOOKUP(tblCountries[[#This Row],[Mapping]],tblContinent[#All],2,0)</f>
        <v>North Amer.</v>
      </c>
      <c r="O61" s="8">
        <f>VLOOKUP(tblCountries[[#This Row],[Mapping]],tblPPP[],3,0)</f>
        <v>3.3119096509240245</v>
      </c>
      <c r="P61" s="8">
        <f>IFERROR(tblCountries[[#This Row],[PPP Factor]],1)</f>
        <v>3.3119096509240245</v>
      </c>
      <c r="R61" s="13" t="s">
        <v>4024</v>
      </c>
      <c r="S61" s="13" t="s">
        <v>4009</v>
      </c>
      <c r="U61" s="22" t="s">
        <v>4024</v>
      </c>
      <c r="V61" s="22" t="s">
        <v>4254</v>
      </c>
      <c r="W61" s="8">
        <f t="shared" si="1"/>
        <v>65.832653061224491</v>
      </c>
      <c r="AB61" s="13"/>
      <c r="AD61" s="13" t="s">
        <v>1131</v>
      </c>
    </row>
    <row r="62" spans="7:30" x14ac:dyDescent="0.25">
      <c r="G62" s="6" t="s">
        <v>3988</v>
      </c>
      <c r="H62" s="6">
        <v>3.3298399999999999</v>
      </c>
      <c r="I62" s="6" t="s">
        <v>1337</v>
      </c>
      <c r="L62" t="s">
        <v>1086</v>
      </c>
      <c r="M62" t="s">
        <v>1086</v>
      </c>
      <c r="N62" s="8" t="str">
        <f>VLOOKUP(tblCountries[[#This Row],[Mapping]],tblContinent[#All],2,0)</f>
        <v>Africa</v>
      </c>
      <c r="O62" s="8">
        <f>VLOOKUP(tblCountries[[#This Row],[Mapping]],tblPPP[],3,0)</f>
        <v>30.03538175046555</v>
      </c>
      <c r="P62" s="8">
        <f>IFERROR(tblCountries[[#This Row],[PPP Factor]],1)</f>
        <v>30.03538175046555</v>
      </c>
      <c r="R62" s="13" t="s">
        <v>574</v>
      </c>
      <c r="S62" s="13" t="s">
        <v>983</v>
      </c>
      <c r="U62" s="22" t="s">
        <v>574</v>
      </c>
      <c r="V62" s="22" t="s">
        <v>4255</v>
      </c>
      <c r="W62" s="8">
        <f t="shared" si="1"/>
        <v>2.3742394504416096</v>
      </c>
      <c r="AB62" s="13"/>
      <c r="AD62" s="13" t="s">
        <v>1771</v>
      </c>
    </row>
    <row r="63" spans="7:30" x14ac:dyDescent="0.25">
      <c r="G63" s="6" t="s">
        <v>3989</v>
      </c>
      <c r="H63" s="6">
        <v>83.5</v>
      </c>
      <c r="I63" s="6" t="s">
        <v>1344</v>
      </c>
      <c r="L63" t="s">
        <v>1809</v>
      </c>
      <c r="M63" t="s">
        <v>1809</v>
      </c>
      <c r="N63" s="8" t="str">
        <f>VLOOKUP(tblCountries[[#This Row],[Mapping]],tblContinent[#All],2,0)</f>
        <v>Africa</v>
      </c>
      <c r="O63" s="8">
        <f>VLOOKUP(tblCountries[[#This Row],[Mapping]],tblPPP[],3,0)</f>
        <v>5.1051909685587678</v>
      </c>
      <c r="P63" s="8">
        <f>IFERROR(tblCountries[[#This Row],[PPP Factor]],1)</f>
        <v>5.1051909685587678</v>
      </c>
      <c r="R63" s="13" t="s">
        <v>1991</v>
      </c>
      <c r="S63" s="13" t="s">
        <v>4009</v>
      </c>
      <c r="U63" s="22" t="s">
        <v>1991</v>
      </c>
      <c r="V63" s="22" t="s">
        <v>4256</v>
      </c>
      <c r="W63" s="8">
        <f t="shared" si="1"/>
        <v>44.269899359560839</v>
      </c>
      <c r="AB63" s="13"/>
      <c r="AD63" s="13" t="s">
        <v>166</v>
      </c>
    </row>
    <row r="64" spans="7:30" x14ac:dyDescent="0.25">
      <c r="G64" s="6" t="s">
        <v>3990</v>
      </c>
      <c r="H64" s="6">
        <v>1322</v>
      </c>
      <c r="I64" s="6" t="s">
        <v>3991</v>
      </c>
      <c r="L64" t="s">
        <v>773</v>
      </c>
      <c r="M64" t="s">
        <v>133</v>
      </c>
      <c r="N64" s="8" t="str">
        <f>VLOOKUP(tblCountries[[#This Row],[Mapping]],tblContinent[#All],2,0)</f>
        <v>Asia</v>
      </c>
      <c r="O64" s="8">
        <f>VLOOKUP(tblCountries[[#This Row],[Mapping]],tblPPP[],3,0)</f>
        <v>1.9964104468374799</v>
      </c>
      <c r="P64" s="8">
        <f>IFERROR(tblCountries[[#This Row],[PPP Factor]],1)</f>
        <v>1.9964104468374799</v>
      </c>
      <c r="R64" s="13" t="s">
        <v>4101</v>
      </c>
      <c r="S64" s="13" t="s">
        <v>4100</v>
      </c>
      <c r="U64" s="22" t="s">
        <v>4121</v>
      </c>
      <c r="V64" s="22" t="s">
        <v>4257</v>
      </c>
      <c r="W64" s="8">
        <f t="shared" si="1"/>
        <v>1.5308950548929035</v>
      </c>
      <c r="AB64" s="13"/>
      <c r="AD64" s="13" t="s">
        <v>1411</v>
      </c>
    </row>
    <row r="65" spans="7:30" x14ac:dyDescent="0.25">
      <c r="G65" s="6" t="s">
        <v>3992</v>
      </c>
      <c r="H65" s="6">
        <v>8.73</v>
      </c>
      <c r="I65" s="6" t="s">
        <v>1729</v>
      </c>
      <c r="L65" t="s">
        <v>1991</v>
      </c>
      <c r="M65" t="s">
        <v>1991</v>
      </c>
      <c r="N65" s="8" t="str">
        <f>VLOOKUP(tblCountries[[#This Row],[Mapping]],tblContinent[#All],2,0)</f>
        <v>Africa</v>
      </c>
      <c r="O65" s="8">
        <f>VLOOKUP(tblCountries[[#This Row],[Mapping]],tblPPP[],3,0)</f>
        <v>44.269899359560839</v>
      </c>
      <c r="P65" s="8">
        <f>IFERROR(tblCountries[[#This Row],[PPP Factor]],1)</f>
        <v>44.269899359560839</v>
      </c>
      <c r="R65" s="13" t="s">
        <v>515</v>
      </c>
      <c r="S65" s="13" t="s">
        <v>983</v>
      </c>
      <c r="U65" s="22" t="s">
        <v>4101</v>
      </c>
      <c r="V65" s="22" t="s">
        <v>4258</v>
      </c>
      <c r="W65" s="8">
        <f t="shared" si="1"/>
        <v>10.473376623376623</v>
      </c>
      <c r="AB65" s="13"/>
      <c r="AD65" s="13" t="s">
        <v>1291</v>
      </c>
    </row>
    <row r="66" spans="7:30" x14ac:dyDescent="0.25">
      <c r="G66" s="6" t="s">
        <v>3993</v>
      </c>
      <c r="H66" s="6">
        <v>17.68</v>
      </c>
      <c r="I66" s="6" t="s">
        <v>1989</v>
      </c>
      <c r="L66" t="s">
        <v>1497</v>
      </c>
      <c r="M66" t="s">
        <v>1497</v>
      </c>
      <c r="N66" s="17" t="str">
        <f>VLOOKUP(tblCountries[[#This Row],[Mapping]],tblContinent[#All],2,0)</f>
        <v>Europe</v>
      </c>
      <c r="O66" s="8" t="e">
        <f>VLOOKUP(tblCountries[[#This Row],[Mapping]],tblPPP[],3,0)</f>
        <v>#N/A</v>
      </c>
      <c r="P66" s="8">
        <f>IFERROR(tblCountries[[#This Row],[PPP Factor]],1)</f>
        <v>1</v>
      </c>
      <c r="R66" s="13" t="s">
        <v>106</v>
      </c>
      <c r="S66" s="13" t="s">
        <v>983</v>
      </c>
      <c r="U66" s="22" t="s">
        <v>515</v>
      </c>
      <c r="V66" s="22" t="s">
        <v>4259</v>
      </c>
      <c r="W66" s="8">
        <f t="shared" si="1"/>
        <v>1.3353295065680539</v>
      </c>
      <c r="AB66" s="13"/>
      <c r="AD66" s="13" t="s">
        <v>1731</v>
      </c>
    </row>
    <row r="67" spans="7:30" x14ac:dyDescent="0.25">
      <c r="L67" t="s">
        <v>1607</v>
      </c>
      <c r="M67" t="s">
        <v>48</v>
      </c>
      <c r="N67" s="8" t="str">
        <f>VLOOKUP(tblCountries[[#This Row],[Mapping]],tblContinent[#All],2,0)</f>
        <v>Africa</v>
      </c>
      <c r="O67" s="8">
        <f>VLOOKUP(tblCountries[[#This Row],[Mapping]],tblPPP[],3,0)</f>
        <v>4.4096418481727877</v>
      </c>
      <c r="P67" s="8">
        <f>IFERROR(tblCountries[[#This Row],[PPP Factor]],1)</f>
        <v>4.4096418481727877</v>
      </c>
      <c r="R67" s="13" t="s">
        <v>4025</v>
      </c>
      <c r="S67" s="13" t="s">
        <v>4009</v>
      </c>
      <c r="U67" s="22" t="s">
        <v>106</v>
      </c>
      <c r="V67" s="22" t="s">
        <v>4260</v>
      </c>
      <c r="W67" s="8">
        <f t="shared" si="1"/>
        <v>1.3763511207190806</v>
      </c>
      <c r="AB67" s="13"/>
      <c r="AD67" s="13" t="s">
        <v>577</v>
      </c>
    </row>
    <row r="68" spans="7:30" x14ac:dyDescent="0.25">
      <c r="L68" t="s">
        <v>639</v>
      </c>
      <c r="M68" t="s">
        <v>639</v>
      </c>
      <c r="N68" s="8" t="str">
        <f>VLOOKUP(tblCountries[[#This Row],[Mapping]],tblContinent[#All],2,0)</f>
        <v>South Amer.</v>
      </c>
      <c r="O68" s="8" t="e">
        <f>VLOOKUP(tblCountries[[#This Row],[Mapping]],tblPPP[],3,0)</f>
        <v>#N/A</v>
      </c>
      <c r="P68" s="8">
        <f>IFERROR(tblCountries[[#This Row],[PPP Factor]],1)</f>
        <v>1</v>
      </c>
      <c r="R68" s="13" t="s">
        <v>4026</v>
      </c>
      <c r="S68" s="13" t="s">
        <v>4009</v>
      </c>
      <c r="U68" s="22" t="s">
        <v>4025</v>
      </c>
      <c r="V68" s="22" t="s">
        <v>4261</v>
      </c>
      <c r="W68" s="8">
        <f t="shared" si="1"/>
        <v>2.9899894951492305</v>
      </c>
      <c r="AB68" s="13"/>
      <c r="AD68" s="13" t="s">
        <v>1444</v>
      </c>
    </row>
    <row r="69" spans="7:30" x14ac:dyDescent="0.25">
      <c r="L69" t="s">
        <v>989</v>
      </c>
      <c r="M69" t="s">
        <v>989</v>
      </c>
      <c r="N69" s="8" t="str">
        <f>VLOOKUP(tblCountries[[#This Row],[Mapping]],tblContinent[#All],2,0)</f>
        <v>South Amer.</v>
      </c>
      <c r="O69" s="8">
        <f>VLOOKUP(tblCountries[[#This Row],[Mapping]],tblPPP[],3,0)</f>
        <v>3.2016806722689077</v>
      </c>
      <c r="P69" s="8">
        <f>IFERROR(tblCountries[[#This Row],[PPP Factor]],1)</f>
        <v>3.2016806722689077</v>
      </c>
      <c r="R69" s="13" t="s">
        <v>4071</v>
      </c>
      <c r="S69" s="13" t="s">
        <v>983</v>
      </c>
      <c r="U69" s="22" t="s">
        <v>4124</v>
      </c>
      <c r="V69" s="22" t="s">
        <v>4262</v>
      </c>
      <c r="W69" s="8">
        <f t="shared" si="1"/>
        <v>24.903242408646424</v>
      </c>
      <c r="AB69" s="13"/>
      <c r="AD69" s="13" t="s">
        <v>628</v>
      </c>
    </row>
    <row r="70" spans="7:30" x14ac:dyDescent="0.25">
      <c r="L70" t="s">
        <v>1344</v>
      </c>
      <c r="M70" t="s">
        <v>1344</v>
      </c>
      <c r="N70" s="8" t="str">
        <f>VLOOKUP(tblCountries[[#This Row],[Mapping]],tblContinent[#All],2,0)</f>
        <v>Africa</v>
      </c>
      <c r="O70" s="8">
        <f>VLOOKUP(tblCountries[[#This Row],[Mapping]],tblPPP[],3,0)</f>
        <v>27.713058419243985</v>
      </c>
      <c r="P70" s="8">
        <f>IFERROR(tblCountries[[#This Row],[PPP Factor]],1)</f>
        <v>27.713058419243985</v>
      </c>
      <c r="R70" s="13" t="s">
        <v>24</v>
      </c>
      <c r="S70" s="13" t="s">
        <v>983</v>
      </c>
      <c r="U70" s="22" t="s">
        <v>4071</v>
      </c>
      <c r="V70" s="22" t="s">
        <v>4263</v>
      </c>
      <c r="W70" s="8">
        <f t="shared" si="1"/>
        <v>8.8120560917865607</v>
      </c>
      <c r="AB70" s="13"/>
      <c r="AD70" s="13" t="s">
        <v>672</v>
      </c>
    </row>
    <row r="71" spans="7:30" x14ac:dyDescent="0.25">
      <c r="L71" t="s">
        <v>1306</v>
      </c>
      <c r="M71" s="12" t="s">
        <v>526</v>
      </c>
      <c r="N71" s="8" t="str">
        <f>VLOOKUP(tblCountries[[#This Row],[Mapping]],tblContinent[#All],2,0)</f>
        <v>North Amer.</v>
      </c>
      <c r="O71" s="8">
        <f>VLOOKUP(tblCountries[[#This Row],[Mapping]],tblPPP[],3,0)</f>
        <v>5.2101862818994293</v>
      </c>
      <c r="P71" s="8">
        <f>IFERROR(tblCountries[[#This Row],[PPP Factor]],1)</f>
        <v>5.2101862818994293</v>
      </c>
      <c r="R71" s="13" t="s">
        <v>1503</v>
      </c>
      <c r="S71" s="13" t="s">
        <v>4009</v>
      </c>
      <c r="U71" s="22" t="s">
        <v>24</v>
      </c>
      <c r="V71" s="22" t="s">
        <v>4264</v>
      </c>
      <c r="W71" s="8">
        <f t="shared" ref="W71:W102" si="2">$W$5/V71</f>
        <v>1.276802913159353</v>
      </c>
      <c r="AB71" s="13"/>
      <c r="AD71" s="13" t="s">
        <v>870</v>
      </c>
    </row>
    <row r="72" spans="7:30" x14ac:dyDescent="0.25">
      <c r="L72" t="s">
        <v>1494</v>
      </c>
      <c r="M72" t="s">
        <v>133</v>
      </c>
      <c r="N72" s="8" t="str">
        <f>VLOOKUP(tblCountries[[#This Row],[Mapping]],tblContinent[#All],2,0)</f>
        <v>Asia</v>
      </c>
      <c r="O72" s="8">
        <f>VLOOKUP(tblCountries[[#This Row],[Mapping]],tblPPP[],3,0)</f>
        <v>1.9964104468374799</v>
      </c>
      <c r="P72" s="8">
        <f>IFERROR(tblCountries[[#This Row],[PPP Factor]],1)</f>
        <v>1.9964104468374799</v>
      </c>
      <c r="R72" s="13" t="s">
        <v>169</v>
      </c>
      <c r="S72" s="13" t="s">
        <v>983</v>
      </c>
      <c r="U72" s="22" t="s">
        <v>1503</v>
      </c>
      <c r="V72" s="22" t="s">
        <v>4265</v>
      </c>
      <c r="W72" s="8">
        <f t="shared" si="2"/>
        <v>15.69477781381771</v>
      </c>
      <c r="AB72" s="13"/>
      <c r="AD72" s="13" t="s">
        <v>583</v>
      </c>
    </row>
    <row r="73" spans="7:30" x14ac:dyDescent="0.25">
      <c r="L73" t="s">
        <v>1804</v>
      </c>
      <c r="M73" t="s">
        <v>1804</v>
      </c>
      <c r="N73" s="8" t="str">
        <f>VLOOKUP(tblCountries[[#This Row],[Mapping]],tblContinent[#All],2,0)</f>
        <v>Europe</v>
      </c>
      <c r="O73" s="8">
        <f>VLOOKUP(tblCountries[[#This Row],[Mapping]],tblPPP[],3,0)</f>
        <v>2.0763388259526261</v>
      </c>
      <c r="P73" s="8">
        <f>IFERROR(tblCountries[[#This Row],[PPP Factor]],1)</f>
        <v>2.0763388259526261</v>
      </c>
      <c r="R73" s="13" t="s">
        <v>4089</v>
      </c>
      <c r="S73" s="22" t="s">
        <v>4165</v>
      </c>
      <c r="U73" s="22" t="s">
        <v>169</v>
      </c>
      <c r="V73" s="22" t="s">
        <v>4266</v>
      </c>
      <c r="W73" s="8">
        <f t="shared" si="2"/>
        <v>1.8402297102000456</v>
      </c>
      <c r="AB73" s="13"/>
      <c r="AD73" s="13" t="s">
        <v>2004</v>
      </c>
    </row>
    <row r="74" spans="7:30" x14ac:dyDescent="0.25">
      <c r="L74" t="s">
        <v>1519</v>
      </c>
      <c r="M74" t="s">
        <v>1519</v>
      </c>
      <c r="N74" s="8" t="str">
        <f>VLOOKUP(tblCountries[[#This Row],[Mapping]],tblContinent[#All],2,0)</f>
        <v>Europe</v>
      </c>
      <c r="O74" s="8">
        <f>VLOOKUP(tblCountries[[#This Row],[Mapping]],tblPPP[],3,0)</f>
        <v>1.1569747979532303</v>
      </c>
      <c r="P74" s="8">
        <f>IFERROR(tblCountries[[#This Row],[PPP Factor]],1)</f>
        <v>1.1569747979532303</v>
      </c>
      <c r="R74" s="13" t="s">
        <v>4090</v>
      </c>
      <c r="S74" s="22" t="s">
        <v>4165</v>
      </c>
      <c r="U74" s="22" t="s">
        <v>4089</v>
      </c>
      <c r="V74" s="22" t="s">
        <v>4267</v>
      </c>
      <c r="W74" s="8">
        <f t="shared" si="2"/>
        <v>3.4820811744386875</v>
      </c>
      <c r="AB74" s="13"/>
      <c r="AD74" s="13" t="s">
        <v>17</v>
      </c>
    </row>
    <row r="75" spans="7:30" x14ac:dyDescent="0.25">
      <c r="L75" t="s">
        <v>680</v>
      </c>
      <c r="M75" t="s">
        <v>680</v>
      </c>
      <c r="N75" s="8" t="str">
        <f>VLOOKUP(tblCountries[[#This Row],[Mapping]],tblContinent[#All],2,0)</f>
        <v>South Amer.</v>
      </c>
      <c r="O75" s="8">
        <f>VLOOKUP(tblCountries[[#This Row],[Mapping]],tblPPP[],3,0)</f>
        <v>6.4809804446825607</v>
      </c>
      <c r="P75" s="8">
        <f>IFERROR(tblCountries[[#This Row],[PPP Factor]],1)</f>
        <v>6.4809804446825607</v>
      </c>
      <c r="R75" s="13" t="s">
        <v>4027</v>
      </c>
      <c r="S75" s="13" t="s">
        <v>4009</v>
      </c>
      <c r="U75" s="22" t="s">
        <v>4090</v>
      </c>
      <c r="V75" s="22" t="s">
        <v>4268</v>
      </c>
      <c r="W75" s="8">
        <f t="shared" si="2"/>
        <v>9.5437869822485215</v>
      </c>
      <c r="AB75" s="13"/>
      <c r="AD75" s="13" t="s">
        <v>136</v>
      </c>
    </row>
    <row r="76" spans="7:30" x14ac:dyDescent="0.25">
      <c r="L76" t="s">
        <v>1773</v>
      </c>
      <c r="M76" t="s">
        <v>1773</v>
      </c>
      <c r="N76" s="8" t="str">
        <f>VLOOKUP(tblCountries[[#This Row],[Mapping]],tblContinent[#All],2,0)</f>
        <v>Europe</v>
      </c>
      <c r="O76" s="8">
        <f>VLOOKUP(tblCountries[[#This Row],[Mapping]],tblPPP[],3,0)</f>
        <v>4.7428935502842577</v>
      </c>
      <c r="P76" s="8">
        <f>IFERROR(tblCountries[[#This Row],[PPP Factor]],1)</f>
        <v>4.7428935502842577</v>
      </c>
      <c r="R76" s="13" t="s">
        <v>4028</v>
      </c>
      <c r="S76" s="13" t="s">
        <v>4009</v>
      </c>
      <c r="U76" s="22" t="s">
        <v>4027</v>
      </c>
      <c r="V76" s="22" t="s">
        <v>4269</v>
      </c>
      <c r="W76" s="8">
        <f t="shared" si="2"/>
        <v>44.6786703601108</v>
      </c>
      <c r="AB76" s="13"/>
      <c r="AD76" s="13" t="s">
        <v>1156</v>
      </c>
    </row>
    <row r="77" spans="7:30" x14ac:dyDescent="0.25">
      <c r="L77" t="s">
        <v>1707</v>
      </c>
      <c r="M77" t="s">
        <v>1707</v>
      </c>
      <c r="N77" s="8" t="str">
        <f>VLOOKUP(tblCountries[[#This Row],[Mapping]],tblContinent[#All],2,0)</f>
        <v>Europe</v>
      </c>
      <c r="O77" s="8">
        <f>VLOOKUP(tblCountries[[#This Row],[Mapping]],tblPPP[],3,0)</f>
        <v>3.5586526439655808</v>
      </c>
      <c r="P77" s="8">
        <f>IFERROR(tblCountries[[#This Row],[PPP Factor]],1)</f>
        <v>3.5586526439655808</v>
      </c>
      <c r="R77" s="13" t="s">
        <v>680</v>
      </c>
      <c r="S77" s="22" t="s">
        <v>4166</v>
      </c>
      <c r="U77" s="22" t="s">
        <v>4028</v>
      </c>
      <c r="V77" s="22" t="s">
        <v>4270</v>
      </c>
      <c r="W77" s="8">
        <f t="shared" si="2"/>
        <v>42.296328671328673</v>
      </c>
      <c r="AB77" s="13"/>
      <c r="AD77" s="13" t="s">
        <v>1722</v>
      </c>
    </row>
    <row r="78" spans="7:30" x14ac:dyDescent="0.25">
      <c r="L78" t="s">
        <v>1043</v>
      </c>
      <c r="M78" s="22" t="s">
        <v>1176</v>
      </c>
      <c r="N78" s="8" t="str">
        <f>VLOOKUP(tblCountries[[#This Row],[Mapping]],tblContinent[#All],2,0)</f>
        <v>Asia</v>
      </c>
      <c r="O78" s="8">
        <f>VLOOKUP(tblCountries[[#This Row],[Mapping]],tblPPP[],3,0)</f>
        <v>1.1606102036410737</v>
      </c>
      <c r="P78" s="8">
        <f>IFERROR(tblCountries[[#This Row],[PPP Factor]],1)</f>
        <v>1.1606102036410737</v>
      </c>
      <c r="R78" s="13" t="s">
        <v>4091</v>
      </c>
      <c r="S78" s="22" t="s">
        <v>4165</v>
      </c>
      <c r="U78" s="22" t="s">
        <v>680</v>
      </c>
      <c r="V78" s="22" t="s">
        <v>4271</v>
      </c>
      <c r="W78" s="8">
        <f t="shared" si="2"/>
        <v>6.4809804446825607</v>
      </c>
      <c r="AB78" s="13"/>
      <c r="AD78" s="13" t="s">
        <v>347</v>
      </c>
    </row>
    <row r="79" spans="7:30" x14ac:dyDescent="0.25">
      <c r="L79" t="s">
        <v>1722</v>
      </c>
      <c r="M79" t="s">
        <v>1722</v>
      </c>
      <c r="N79" s="8" t="str">
        <f>VLOOKUP(tblCountries[[#This Row],[Mapping]],tblContinent[#All],2,0)</f>
        <v>South Amer.</v>
      </c>
      <c r="O79" s="8">
        <f>VLOOKUP(tblCountries[[#This Row],[Mapping]],tblPPP[],3,0)</f>
        <v>4.8088849135360761</v>
      </c>
      <c r="P79" s="8">
        <f>IFERROR(tblCountries[[#This Row],[PPP Factor]],1)</f>
        <v>4.8088849135360761</v>
      </c>
      <c r="R79" s="13" t="s">
        <v>4092</v>
      </c>
      <c r="S79" s="22" t="s">
        <v>4165</v>
      </c>
      <c r="U79" s="22" t="s">
        <v>4091</v>
      </c>
      <c r="V79" s="22" t="s">
        <v>4272</v>
      </c>
      <c r="W79" s="8">
        <f t="shared" si="2"/>
        <v>39.179757085020242</v>
      </c>
      <c r="AB79" s="13"/>
      <c r="AD79" s="13" t="s">
        <v>75</v>
      </c>
    </row>
    <row r="80" spans="7:30" x14ac:dyDescent="0.25">
      <c r="L80" t="s">
        <v>1676</v>
      </c>
      <c r="M80" t="s">
        <v>1676</v>
      </c>
      <c r="N80" s="8" t="str">
        <f>VLOOKUP(tblCountries[[#This Row],[Mapping]],tblContinent[#All],2,0)</f>
        <v>Asia</v>
      </c>
      <c r="O80" s="8">
        <f>VLOOKUP(tblCountries[[#This Row],[Mapping]],tblPPP[],3,0)</f>
        <v>14.405180113128907</v>
      </c>
      <c r="P80" s="8">
        <f>IFERROR(tblCountries[[#This Row],[PPP Factor]],1)</f>
        <v>14.405180113128907</v>
      </c>
      <c r="R80" s="13" t="s">
        <v>38</v>
      </c>
      <c r="S80" s="13" t="s">
        <v>983</v>
      </c>
      <c r="U80" s="22" t="s">
        <v>4092</v>
      </c>
      <c r="V80" s="22" t="s">
        <v>4273</v>
      </c>
      <c r="W80" s="8">
        <f t="shared" si="2"/>
        <v>11.136248561565017</v>
      </c>
      <c r="AB80" s="13"/>
      <c r="AD80" s="13" t="s">
        <v>30</v>
      </c>
    </row>
    <row r="81" spans="12:30" x14ac:dyDescent="0.25">
      <c r="L81" t="s">
        <v>1860</v>
      </c>
      <c r="M81" t="s">
        <v>1860</v>
      </c>
      <c r="N81" s="8" t="str">
        <f>VLOOKUP(tblCountries[[#This Row],[Mapping]],tblContinent[#All],2,0)</f>
        <v>Europe</v>
      </c>
      <c r="O81" s="8">
        <f>VLOOKUP(tblCountries[[#This Row],[Mapping]],tblPPP[],3,0)</f>
        <v>8.9871842496285286</v>
      </c>
      <c r="P81" s="8">
        <f>IFERROR(tblCountries[[#This Row],[PPP Factor]],1)</f>
        <v>8.9871842496285286</v>
      </c>
      <c r="R81" s="13" t="s">
        <v>21</v>
      </c>
      <c r="S81" s="13" t="s">
        <v>983</v>
      </c>
      <c r="U81" s="22" t="s">
        <v>1933</v>
      </c>
      <c r="V81" s="22" t="s">
        <v>4274</v>
      </c>
      <c r="W81" s="8">
        <f t="shared" si="2"/>
        <v>0.98473655290310769</v>
      </c>
      <c r="AB81" s="13"/>
      <c r="AD81" s="13" t="s">
        <v>1011</v>
      </c>
    </row>
    <row r="82" spans="12:30" x14ac:dyDescent="0.25">
      <c r="L82" t="s">
        <v>1055</v>
      </c>
      <c r="M82" t="s">
        <v>1055</v>
      </c>
      <c r="N82" s="8" t="str">
        <f>VLOOKUP(tblCountries[[#This Row],[Mapping]],tblContinent[#All],2,0)</f>
        <v>Africa</v>
      </c>
      <c r="O82" s="8">
        <f>VLOOKUP(tblCountries[[#This Row],[Mapping]],tblPPP[],3,0)</f>
        <v>99.357289527720738</v>
      </c>
      <c r="P82" s="8">
        <f>IFERROR(tblCountries[[#This Row],[PPP Factor]],1)</f>
        <v>99.357289527720738</v>
      </c>
      <c r="R82" s="13" t="s">
        <v>8</v>
      </c>
      <c r="S82" s="13" t="s">
        <v>1126</v>
      </c>
      <c r="U82" s="22" t="s">
        <v>38</v>
      </c>
      <c r="V82" s="22" t="s">
        <v>4275</v>
      </c>
      <c r="W82" s="8">
        <f t="shared" si="2"/>
        <v>2.4698586085447398</v>
      </c>
      <c r="AB82" s="13"/>
      <c r="AD82" s="13" t="s">
        <v>567</v>
      </c>
    </row>
    <row r="83" spans="12:30" x14ac:dyDescent="0.25">
      <c r="L83" t="s">
        <v>120</v>
      </c>
      <c r="M83" t="s">
        <v>48</v>
      </c>
      <c r="N83" s="8" t="str">
        <f>VLOOKUP(tblCountries[[#This Row],[Mapping]],tblContinent[#All],2,0)</f>
        <v>Africa</v>
      </c>
      <c r="O83" s="8">
        <f>VLOOKUP(tblCountries[[#This Row],[Mapping]],tblPPP[],3,0)</f>
        <v>4.4096418481727877</v>
      </c>
      <c r="P83" s="8">
        <f>IFERROR(tblCountries[[#This Row],[PPP Factor]],1)</f>
        <v>4.4096418481727877</v>
      </c>
      <c r="R83" s="13" t="s">
        <v>726</v>
      </c>
      <c r="S83" s="13" t="s">
        <v>1126</v>
      </c>
      <c r="U83" s="22" t="s">
        <v>21</v>
      </c>
      <c r="V83" s="22" t="s">
        <v>4276</v>
      </c>
      <c r="W83" s="8">
        <f t="shared" si="2"/>
        <v>1.2713013320722</v>
      </c>
      <c r="AB83" s="13"/>
      <c r="AD83" s="13" t="s">
        <v>73</v>
      </c>
    </row>
    <row r="84" spans="12:30" x14ac:dyDescent="0.25">
      <c r="L84" t="s">
        <v>1700</v>
      </c>
      <c r="M84" t="s">
        <v>1700</v>
      </c>
      <c r="N84" s="8" t="str">
        <f>VLOOKUP(tblCountries[[#This Row],[Mapping]],tblContinent[#All],2,0)</f>
        <v>Africa</v>
      </c>
      <c r="O84" s="8">
        <f>VLOOKUP(tblCountries[[#This Row],[Mapping]],tblPPP[],3,0)</f>
        <v>8.3613271124935196</v>
      </c>
      <c r="P84" s="8">
        <f>IFERROR(tblCountries[[#This Row],[PPP Factor]],1)</f>
        <v>8.3613271124935196</v>
      </c>
      <c r="R84" s="13" t="s">
        <v>1078</v>
      </c>
      <c r="S84" s="13" t="s">
        <v>1126</v>
      </c>
      <c r="U84" s="22" t="s">
        <v>8</v>
      </c>
      <c r="V84" s="22" t="s">
        <v>4277</v>
      </c>
      <c r="W84" s="8">
        <f t="shared" si="2"/>
        <v>13.098808879263672</v>
      </c>
      <c r="AB84" s="13"/>
      <c r="AD84" s="13" t="s">
        <v>65</v>
      </c>
    </row>
    <row r="85" spans="12:30" x14ac:dyDescent="0.25">
      <c r="L85" t="s">
        <v>644</v>
      </c>
      <c r="M85" t="s">
        <v>644</v>
      </c>
      <c r="N85" s="8">
        <f>VLOOKUP(tblCountries[[#This Row],[Mapping]],tblContinent[#All],2,0)</f>
        <v>0</v>
      </c>
      <c r="O85" s="8" t="e">
        <f>VLOOKUP(tblCountries[[#This Row],[Mapping]],tblPPP[],3,0)</f>
        <v>#N/A</v>
      </c>
      <c r="P85" s="8">
        <f>IFERROR(tblCountries[[#This Row],[PPP Factor]],1)</f>
        <v>1</v>
      </c>
      <c r="R85" s="13" t="s">
        <v>4053</v>
      </c>
      <c r="S85" s="13" t="s">
        <v>1126</v>
      </c>
      <c r="U85" s="22" t="s">
        <v>726</v>
      </c>
      <c r="V85" s="22" t="s">
        <v>4278</v>
      </c>
      <c r="W85" s="8">
        <f t="shared" si="2"/>
        <v>10.370124303471924</v>
      </c>
      <c r="AB85" s="13"/>
      <c r="AD85" s="13" t="s">
        <v>133</v>
      </c>
    </row>
    <row r="86" spans="12:30" x14ac:dyDescent="0.25">
      <c r="L86" t="s">
        <v>818</v>
      </c>
      <c r="M86" t="s">
        <v>818</v>
      </c>
      <c r="N86" s="8" t="str">
        <f>VLOOKUP(tblCountries[[#This Row],[Mapping]],tblContinent[#All],2,0)</f>
        <v>Europe</v>
      </c>
      <c r="O86" s="8">
        <f>VLOOKUP(tblCountries[[#This Row],[Mapping]],tblPPP[],3,0)</f>
        <v>2.5661327959270257</v>
      </c>
      <c r="P86" s="8">
        <f>IFERROR(tblCountries[[#This Row],[PPP Factor]],1)</f>
        <v>2.5661327959270257</v>
      </c>
      <c r="R86" s="13" t="s">
        <v>36</v>
      </c>
      <c r="S86" s="13" t="s">
        <v>983</v>
      </c>
      <c r="U86" s="22" t="s">
        <v>1078</v>
      </c>
      <c r="V86" s="22" t="s">
        <v>4279</v>
      </c>
      <c r="W86" s="8">
        <f t="shared" si="2"/>
        <v>3.706963916341071</v>
      </c>
      <c r="AB86" s="13"/>
      <c r="AD86" s="13" t="s">
        <v>644</v>
      </c>
    </row>
    <row r="87" spans="12:30" x14ac:dyDescent="0.25">
      <c r="L87" t="s">
        <v>548</v>
      </c>
      <c r="M87" t="s">
        <v>548</v>
      </c>
      <c r="N87" s="8" t="str">
        <f>VLOOKUP(tblCountries[[#This Row],[Mapping]],tblContinent[#All],2,0)</f>
        <v>Africa</v>
      </c>
      <c r="O87" s="8" t="e">
        <f>VLOOKUP(tblCountries[[#This Row],[Mapping]],tblPPP[],3,0)</f>
        <v>#N/A</v>
      </c>
      <c r="P87" s="8">
        <f>IFERROR(tblCountries[[#This Row],[PPP Factor]],1)</f>
        <v>1</v>
      </c>
      <c r="R87" s="13" t="s">
        <v>416</v>
      </c>
      <c r="S87" s="13" t="s">
        <v>1126</v>
      </c>
      <c r="U87" s="22" t="s">
        <v>4053</v>
      </c>
      <c r="V87" s="22" t="s">
        <v>4280</v>
      </c>
      <c r="W87" s="8">
        <f t="shared" si="2"/>
        <v>12.451621204323212</v>
      </c>
      <c r="AB87" s="13"/>
      <c r="AD87" s="13" t="s">
        <v>171</v>
      </c>
    </row>
    <row r="88" spans="12:30" x14ac:dyDescent="0.25">
      <c r="L88" t="s">
        <v>971</v>
      </c>
      <c r="M88" t="s">
        <v>184</v>
      </c>
      <c r="N88" s="8" t="str">
        <f>VLOOKUP(tblCountries[[#This Row],[Mapping]],tblContinent[#All],2,0)</f>
        <v>South Amer.</v>
      </c>
      <c r="O88" s="8">
        <f>VLOOKUP(tblCountries[[#This Row],[Mapping]],tblPPP[],3,0)</f>
        <v>4.721143526197678</v>
      </c>
      <c r="P88" s="8">
        <f>IFERROR(tblCountries[[#This Row],[PPP Factor]],1)</f>
        <v>4.721143526197678</v>
      </c>
      <c r="R88" s="13" t="s">
        <v>1351</v>
      </c>
      <c r="S88" s="13" t="s">
        <v>983</v>
      </c>
      <c r="U88" s="22" t="s">
        <v>36</v>
      </c>
      <c r="V88" s="22" t="s">
        <v>4281</v>
      </c>
      <c r="W88" s="8">
        <f t="shared" si="2"/>
        <v>1.2206917429803981</v>
      </c>
      <c r="AB88" s="13"/>
      <c r="AD88" s="13" t="s">
        <v>1804</v>
      </c>
    </row>
    <row r="89" spans="12:30" x14ac:dyDescent="0.25">
      <c r="L89" t="s">
        <v>662</v>
      </c>
      <c r="M89" t="s">
        <v>143</v>
      </c>
      <c r="N89" s="8" t="str">
        <f>VLOOKUP(tblCountries[[#This Row],[Mapping]],tblContinent[#All],2,0)</f>
        <v>South Amer.</v>
      </c>
      <c r="O89" s="8">
        <f>VLOOKUP(tblCountries[[#This Row],[Mapping]],tblPPP[],3,0)</f>
        <v>4.1113943410655107</v>
      </c>
      <c r="P89" s="8">
        <f>IFERROR(tblCountries[[#This Row],[PPP Factor]],1)</f>
        <v>4.1113943410655107</v>
      </c>
      <c r="R89" s="13" t="s">
        <v>4029</v>
      </c>
      <c r="S89" s="13" t="s">
        <v>4009</v>
      </c>
      <c r="U89" s="22" t="s">
        <v>416</v>
      </c>
      <c r="V89" s="22" t="s">
        <v>4282</v>
      </c>
      <c r="W89" s="8">
        <f t="shared" si="2"/>
        <v>1.5621307506053268</v>
      </c>
      <c r="AB89" s="13"/>
      <c r="AD89" s="13" t="s">
        <v>1066</v>
      </c>
    </row>
    <row r="90" spans="12:30" x14ac:dyDescent="0.25">
      <c r="L90" t="s">
        <v>1956</v>
      </c>
      <c r="M90" t="s">
        <v>983</v>
      </c>
      <c r="N90" s="8" t="str">
        <f>VLOOKUP(tblCountries[[#This Row],[Mapping]],tblContinent[#All],2,0)</f>
        <v>Europe</v>
      </c>
      <c r="O90" s="8" t="e">
        <f>VLOOKUP(tblCountries[[#This Row],[Mapping]],tblPPP[],3,0)</f>
        <v>#N/A</v>
      </c>
      <c r="P90" s="8">
        <f>IFERROR(tblCountries[[#This Row],[PPP Factor]],1)</f>
        <v>1</v>
      </c>
      <c r="R90" s="13" t="s">
        <v>4093</v>
      </c>
      <c r="S90" s="22" t="s">
        <v>4165</v>
      </c>
      <c r="U90" s="22" t="s">
        <v>1351</v>
      </c>
      <c r="V90" s="22" t="s">
        <v>4283</v>
      </c>
      <c r="W90" s="8">
        <f t="shared" si="2"/>
        <v>1.5883337710084033</v>
      </c>
      <c r="AB90" s="13"/>
      <c r="AD90" s="13" t="s">
        <v>548</v>
      </c>
    </row>
    <row r="91" spans="12:30" x14ac:dyDescent="0.25">
      <c r="L91" t="s">
        <v>299</v>
      </c>
      <c r="M91" t="s">
        <v>299</v>
      </c>
      <c r="N91" s="8" t="str">
        <f>VLOOKUP(tblCountries[[#This Row],[Mapping]],tblContinent[#All],2,0)</f>
        <v>Asia</v>
      </c>
      <c r="O91" s="8">
        <f>VLOOKUP(tblCountries[[#This Row],[Mapping]],tblPPP[],3,0)</f>
        <v>5.1497445721583652</v>
      </c>
      <c r="P91" s="8">
        <f>IFERROR(tblCountries[[#This Row],[PPP Factor]],1)</f>
        <v>5.1497445721583652</v>
      </c>
      <c r="R91" s="13" t="s">
        <v>654</v>
      </c>
      <c r="S91" s="13" t="s">
        <v>1126</v>
      </c>
      <c r="U91" s="22" t="s">
        <v>4093</v>
      </c>
      <c r="V91" s="22" t="s">
        <v>4284</v>
      </c>
      <c r="W91" s="8">
        <f t="shared" si="2"/>
        <v>5.3590652342452101</v>
      </c>
      <c r="AB91" s="13"/>
      <c r="AD91" s="13" t="s">
        <v>48</v>
      </c>
    </row>
    <row r="92" spans="12:30" x14ac:dyDescent="0.25">
      <c r="L92" t="s">
        <v>1282</v>
      </c>
      <c r="M92" t="s">
        <v>1497</v>
      </c>
      <c r="N92" s="8" t="str">
        <f>VLOOKUP(tblCountries[[#This Row],[Mapping]],tblContinent[#All],2,0)</f>
        <v>Europe</v>
      </c>
      <c r="O92" s="8" t="e">
        <f>VLOOKUP(tblCountries[[#This Row],[Mapping]],tblPPP[],3,0)</f>
        <v>#N/A</v>
      </c>
      <c r="P92" s="8">
        <f>IFERROR(tblCountries[[#This Row],[PPP Factor]],1)</f>
        <v>1</v>
      </c>
      <c r="R92" s="13" t="s">
        <v>4054</v>
      </c>
      <c r="S92" s="13" t="s">
        <v>1126</v>
      </c>
      <c r="U92" s="22" t="s">
        <v>654</v>
      </c>
      <c r="V92" s="22" t="s">
        <v>4285</v>
      </c>
      <c r="W92" s="8">
        <f t="shared" si="2"/>
        <v>1.392832469775475</v>
      </c>
      <c r="AB92" s="13"/>
      <c r="AD92" s="13" t="s">
        <v>608</v>
      </c>
    </row>
    <row r="93" spans="12:30" x14ac:dyDescent="0.25">
      <c r="L93" t="s">
        <v>1126</v>
      </c>
      <c r="M93" t="s">
        <v>1126</v>
      </c>
      <c r="N93" s="8" t="str">
        <f>VLOOKUP(tblCountries[[#This Row],[Mapping]],tblContinent[#All],2,0)</f>
        <v>Asia</v>
      </c>
      <c r="O93" s="8" t="e">
        <f>VLOOKUP(tblCountries[[#This Row],[Mapping]],tblPPP[],3,0)</f>
        <v>#N/A</v>
      </c>
      <c r="P93" s="8">
        <f>IFERROR(tblCountries[[#This Row],[PPP Factor]],1)</f>
        <v>1</v>
      </c>
      <c r="R93" s="13" t="s">
        <v>4055</v>
      </c>
      <c r="S93" s="13" t="s">
        <v>1126</v>
      </c>
      <c r="U93" s="22" t="s">
        <v>4054</v>
      </c>
      <c r="V93" s="22" t="s">
        <v>4286</v>
      </c>
      <c r="W93" s="8">
        <f t="shared" si="2"/>
        <v>8.2011864406779669</v>
      </c>
      <c r="AB93" s="13"/>
      <c r="AD93" s="13" t="s">
        <v>716</v>
      </c>
    </row>
    <row r="94" spans="12:30" x14ac:dyDescent="0.25">
      <c r="L94" t="s">
        <v>1771</v>
      </c>
      <c r="M94" t="s">
        <v>1771</v>
      </c>
      <c r="N94" s="8" t="str">
        <f>VLOOKUP(tblCountries[[#This Row],[Mapping]],tblContinent[#All],2,0)</f>
        <v>Africa</v>
      </c>
      <c r="O94" s="8">
        <f>VLOOKUP(tblCountries[[#This Row],[Mapping]],tblPPP[],3,0)</f>
        <v>3.2357228835094287</v>
      </c>
      <c r="P94" s="8">
        <f>IFERROR(tblCountries[[#This Row],[PPP Factor]],1)</f>
        <v>3.2357228835094287</v>
      </c>
      <c r="R94" s="13" t="s">
        <v>1344</v>
      </c>
      <c r="S94" s="13" t="s">
        <v>4009</v>
      </c>
      <c r="U94" s="22" t="s">
        <v>4055</v>
      </c>
      <c r="V94" s="22" t="s">
        <v>4287</v>
      </c>
      <c r="W94" s="8">
        <f t="shared" si="2"/>
        <v>3.7217906314898852</v>
      </c>
      <c r="AB94" s="13"/>
      <c r="AD94" s="13" t="s">
        <v>447</v>
      </c>
    </row>
    <row r="95" spans="12:30" x14ac:dyDescent="0.25">
      <c r="L95" t="s">
        <v>799</v>
      </c>
      <c r="M95" t="s">
        <v>799</v>
      </c>
      <c r="N95" s="8" t="str">
        <f>VLOOKUP(tblCountries[[#This Row],[Mapping]],tblContinent[#All],2,0)</f>
        <v>Asia</v>
      </c>
      <c r="O95" s="8">
        <f>VLOOKUP(tblCountries[[#This Row],[Mapping]],tblPPP[],3,0)</f>
        <v>21.835288808664259</v>
      </c>
      <c r="P95" s="8">
        <f>IFERROR(tblCountries[[#This Row],[PPP Factor]],1)</f>
        <v>21.835288808664259</v>
      </c>
      <c r="R95" s="13" t="s">
        <v>4102</v>
      </c>
      <c r="S95" s="13" t="s">
        <v>4100</v>
      </c>
      <c r="U95" s="22" t="s">
        <v>1344</v>
      </c>
      <c r="V95" s="22" t="s">
        <v>4288</v>
      </c>
      <c r="W95" s="8">
        <f t="shared" si="2"/>
        <v>27.713058419243985</v>
      </c>
      <c r="AB95" s="13"/>
      <c r="AD95" s="13" t="s">
        <v>46</v>
      </c>
    </row>
    <row r="96" spans="12:30" x14ac:dyDescent="0.25">
      <c r="L96" t="s">
        <v>499</v>
      </c>
      <c r="M96" t="s">
        <v>499</v>
      </c>
      <c r="N96" s="8" t="str">
        <f>VLOOKUP(tblCountries[[#This Row],[Mapping]],tblContinent[#All],2,0)</f>
        <v>North Amer.</v>
      </c>
      <c r="O96" s="8">
        <f>VLOOKUP(tblCountries[[#This Row],[Mapping]],tblPPP[],3,0)</f>
        <v>4.0569296554037058</v>
      </c>
      <c r="P96" s="8">
        <f>IFERROR(tblCountries[[#This Row],[PPP Factor]],1)</f>
        <v>4.0569296554037058</v>
      </c>
      <c r="R96" s="13" t="s">
        <v>4056</v>
      </c>
      <c r="S96" s="13" t="s">
        <v>1126</v>
      </c>
      <c r="U96" s="22" t="s">
        <v>4102</v>
      </c>
      <c r="V96" s="22" t="s">
        <v>4289</v>
      </c>
      <c r="W96" s="8">
        <f t="shared" si="2"/>
        <v>8.4563089828731215</v>
      </c>
      <c r="AB96" s="13"/>
      <c r="AD96" s="13" t="s">
        <v>299</v>
      </c>
    </row>
    <row r="97" spans="12:30" x14ac:dyDescent="0.25">
      <c r="L97" t="s">
        <v>1027</v>
      </c>
      <c r="M97" s="12" t="s">
        <v>1676</v>
      </c>
      <c r="N97" s="8" t="str">
        <f>VLOOKUP(tblCountries[[#This Row],[Mapping]],tblContinent[#All],2,0)</f>
        <v>Asia</v>
      </c>
      <c r="O97" s="8">
        <f>VLOOKUP(tblCountries[[#This Row],[Mapping]],tblPPP[],3,0)</f>
        <v>14.405180113128907</v>
      </c>
      <c r="P97" s="8">
        <f>IFERROR(tblCountries[[#This Row],[PPP Factor]],1)</f>
        <v>14.405180113128907</v>
      </c>
      <c r="R97" s="13" t="s">
        <v>4057</v>
      </c>
      <c r="S97" s="13" t="s">
        <v>1126</v>
      </c>
      <c r="U97" s="22" t="s">
        <v>4057</v>
      </c>
      <c r="V97" s="22" t="s">
        <v>4290</v>
      </c>
      <c r="W97" s="8">
        <f t="shared" si="2"/>
        <v>1.525729961531185</v>
      </c>
      <c r="AB97" s="13"/>
      <c r="AD97" s="13" t="s">
        <v>1809</v>
      </c>
    </row>
    <row r="98" spans="12:30" x14ac:dyDescent="0.25">
      <c r="L98" t="s">
        <v>1411</v>
      </c>
      <c r="M98" t="s">
        <v>1411</v>
      </c>
      <c r="N98" s="8" t="str">
        <f>VLOOKUP(tblCountries[[#This Row],[Mapping]],tblContinent[#All],2,0)</f>
        <v>Asia</v>
      </c>
      <c r="O98" s="8">
        <f>VLOOKUP(tblCountries[[#This Row],[Mapping]],tblPPP[],3,0)</f>
        <v>10.199620573355817</v>
      </c>
      <c r="P98" s="8">
        <f>IFERROR(tblCountries[[#This Row],[PPP Factor]],1)</f>
        <v>10.199620573355817</v>
      </c>
      <c r="R98" s="13" t="s">
        <v>1176</v>
      </c>
      <c r="S98" s="13" t="s">
        <v>1126</v>
      </c>
      <c r="U98" s="22" t="s">
        <v>4141</v>
      </c>
      <c r="V98" s="22" t="s">
        <v>4291</v>
      </c>
      <c r="W98" s="8">
        <f t="shared" si="2"/>
        <v>6.8692504258943785</v>
      </c>
      <c r="AB98" s="13"/>
      <c r="AD98" s="13" t="s">
        <v>197</v>
      </c>
    </row>
    <row r="99" spans="12:30" x14ac:dyDescent="0.25">
      <c r="L99" t="s">
        <v>574</v>
      </c>
      <c r="M99" t="s">
        <v>574</v>
      </c>
      <c r="N99" s="8" t="str">
        <f>VLOOKUP(tblCountries[[#This Row],[Mapping]],tblContinent[#All],2,0)</f>
        <v>Europe</v>
      </c>
      <c r="O99" s="8">
        <f>VLOOKUP(tblCountries[[#This Row],[Mapping]],tblPPP[],3,0)</f>
        <v>2.3742394504416096</v>
      </c>
      <c r="P99" s="8">
        <f>IFERROR(tblCountries[[#This Row],[PPP Factor]],1)</f>
        <v>2.3742394504416096</v>
      </c>
      <c r="R99" s="13" t="s">
        <v>4058</v>
      </c>
      <c r="S99" s="13" t="s">
        <v>1126</v>
      </c>
      <c r="U99" s="22" t="s">
        <v>1176</v>
      </c>
      <c r="V99" s="22" t="s">
        <v>4292</v>
      </c>
      <c r="W99" s="8">
        <f t="shared" si="2"/>
        <v>1.1606102036410737</v>
      </c>
      <c r="AB99" s="13"/>
      <c r="AD99" s="13" t="s">
        <v>179</v>
      </c>
    </row>
    <row r="100" spans="12:30" x14ac:dyDescent="0.25">
      <c r="L100" t="s">
        <v>1291</v>
      </c>
      <c r="M100" t="s">
        <v>1291</v>
      </c>
      <c r="N100" s="8" t="str">
        <f>VLOOKUP(tblCountries[[#This Row],[Mapping]],tblContinent[#All],2,0)</f>
        <v>Europe</v>
      </c>
      <c r="O100" s="8">
        <f>VLOOKUP(tblCountries[[#This Row],[Mapping]],tblPPP[],3,0)</f>
        <v>4.1911650064963188</v>
      </c>
      <c r="P100" s="8">
        <f>IFERROR(tblCountries[[#This Row],[PPP Factor]],1)</f>
        <v>4.1911650064963188</v>
      </c>
      <c r="R100" s="13" t="s">
        <v>4059</v>
      </c>
      <c r="S100" s="13" t="s">
        <v>1126</v>
      </c>
      <c r="U100" s="22" t="s">
        <v>4058</v>
      </c>
      <c r="V100" s="22" t="s">
        <v>4293</v>
      </c>
      <c r="W100" s="8">
        <f t="shared" si="2"/>
        <v>20.399241146711635</v>
      </c>
      <c r="AB100" s="13"/>
      <c r="AD100" s="13" t="s">
        <v>1458</v>
      </c>
    </row>
    <row r="101" spans="12:30" x14ac:dyDescent="0.25">
      <c r="L101" t="s">
        <v>1623</v>
      </c>
      <c r="M101" t="s">
        <v>983</v>
      </c>
      <c r="N101" s="8" t="str">
        <f>VLOOKUP(tblCountries[[#This Row],[Mapping]],tblContinent[#All],2,0)</f>
        <v>Europe</v>
      </c>
      <c r="O101" s="8" t="e">
        <f>VLOOKUP(tblCountries[[#This Row],[Mapping]],tblPPP[],3,0)</f>
        <v>#N/A</v>
      </c>
      <c r="P101" s="8">
        <f>IFERROR(tblCountries[[#This Row],[PPP Factor]],1)</f>
        <v>1</v>
      </c>
      <c r="R101" s="13" t="s">
        <v>4072</v>
      </c>
      <c r="S101" s="13" t="s">
        <v>983</v>
      </c>
      <c r="U101" s="22" t="s">
        <v>4059</v>
      </c>
      <c r="V101" s="22" t="s">
        <v>4294</v>
      </c>
      <c r="W101" s="8">
        <f t="shared" si="2"/>
        <v>18.197442647611883</v>
      </c>
      <c r="AB101" s="13"/>
      <c r="AD101" s="13" t="s">
        <v>71</v>
      </c>
    </row>
    <row r="102" spans="12:30" x14ac:dyDescent="0.25">
      <c r="L102" t="s">
        <v>1731</v>
      </c>
      <c r="M102" t="s">
        <v>1731</v>
      </c>
      <c r="N102" s="8" t="str">
        <f>VLOOKUP(tblCountries[[#This Row],[Mapping]],tblContinent[#All],2,0)</f>
        <v>Africa</v>
      </c>
      <c r="O102" s="8">
        <f>VLOOKUP(tblCountries[[#This Row],[Mapping]],tblPPP[],3,0)</f>
        <v>9.5777909738717337</v>
      </c>
      <c r="P102" s="8">
        <f>IFERROR(tblCountries[[#This Row],[PPP Factor]],1)</f>
        <v>9.5777909738717337</v>
      </c>
      <c r="R102" s="13" t="s">
        <v>4060</v>
      </c>
      <c r="S102" s="13" t="s">
        <v>1126</v>
      </c>
      <c r="U102" s="22" t="s">
        <v>4072</v>
      </c>
      <c r="V102" s="22" t="s">
        <v>4295</v>
      </c>
      <c r="W102" s="8">
        <f t="shared" si="2"/>
        <v>3.0894521772442856</v>
      </c>
      <c r="AB102" s="13"/>
      <c r="AD102" s="13" t="s">
        <v>27</v>
      </c>
    </row>
    <row r="103" spans="12:30" x14ac:dyDescent="0.25">
      <c r="L103" t="s">
        <v>567</v>
      </c>
      <c r="M103" t="s">
        <v>567</v>
      </c>
      <c r="N103" s="8" t="str">
        <f>VLOOKUP(tblCountries[[#This Row],[Mapping]],tblContinent[#All],2,0)</f>
        <v>Asia</v>
      </c>
      <c r="O103" s="8" t="e">
        <f>VLOOKUP(tblCountries[[#This Row],[Mapping]],tblPPP[],3,0)</f>
        <v>#N/A</v>
      </c>
      <c r="P103" s="8">
        <f>IFERROR(tblCountries[[#This Row],[PPP Factor]],1)</f>
        <v>1</v>
      </c>
      <c r="R103" s="13" t="s">
        <v>1745</v>
      </c>
      <c r="S103" s="13" t="s">
        <v>4009</v>
      </c>
      <c r="U103" s="22" t="s">
        <v>4060</v>
      </c>
      <c r="V103" s="22" t="s">
        <v>4296</v>
      </c>
      <c r="W103" s="8">
        <f t="shared" ref="W103:W134" si="3">$W$5/V103</f>
        <v>3.1171165367519165</v>
      </c>
      <c r="AB103" s="13"/>
      <c r="AD103" s="13" t="s">
        <v>989</v>
      </c>
    </row>
    <row r="104" spans="12:30" x14ac:dyDescent="0.25">
      <c r="L104" t="s">
        <v>577</v>
      </c>
      <c r="M104" t="s">
        <v>577</v>
      </c>
      <c r="N104" s="8" t="str">
        <f>VLOOKUP(tblCountries[[#This Row],[Mapping]],tblContinent[#All],2,0)</f>
        <v>Africa</v>
      </c>
      <c r="O104" s="8">
        <f>VLOOKUP(tblCountries[[#This Row],[Mapping]],tblPPP[],3,0)</f>
        <v>44.596313364055298</v>
      </c>
      <c r="P104" s="8">
        <f>IFERROR(tblCountries[[#This Row],[PPP Factor]],1)</f>
        <v>44.596313364055298</v>
      </c>
      <c r="R104" s="13" t="s">
        <v>4030</v>
      </c>
      <c r="S104" s="13" t="s">
        <v>4009</v>
      </c>
      <c r="U104" s="22" t="s">
        <v>1745</v>
      </c>
      <c r="V104" s="22" t="s">
        <v>4297</v>
      </c>
      <c r="W104" s="8">
        <f t="shared" si="3"/>
        <v>24.687244897959182</v>
      </c>
      <c r="AB104" s="13"/>
      <c r="AD104" s="13" t="s">
        <v>15</v>
      </c>
    </row>
    <row r="105" spans="12:30" x14ac:dyDescent="0.25">
      <c r="L105" t="s">
        <v>12</v>
      </c>
      <c r="M105" t="s">
        <v>935</v>
      </c>
      <c r="N105" s="8" t="str">
        <f>VLOOKUP(tblCountries[[#This Row],[Mapping]],tblContinent[#All],2,0)</f>
        <v>Europe</v>
      </c>
      <c r="O105" s="8">
        <f>VLOOKUP(tblCountries[[#This Row],[Mapping]],tblPPP[],3,0)</f>
        <v>2.6597955145118735</v>
      </c>
      <c r="P105" s="8">
        <f>IFERROR(tblCountries[[#This Row],[PPP Factor]],1)</f>
        <v>2.6597955145118735</v>
      </c>
      <c r="R105" s="13" t="s">
        <v>1700</v>
      </c>
      <c r="S105" s="13" t="s">
        <v>4009</v>
      </c>
      <c r="U105" s="22" t="s">
        <v>4030</v>
      </c>
      <c r="V105" s="22" t="s">
        <v>4298</v>
      </c>
      <c r="W105" s="8">
        <f t="shared" si="3"/>
        <v>106.11184210526316</v>
      </c>
      <c r="AB105" s="13"/>
      <c r="AD105" s="13" t="s">
        <v>1676</v>
      </c>
    </row>
    <row r="106" spans="12:30" x14ac:dyDescent="0.25">
      <c r="L106" t="s">
        <v>1444</v>
      </c>
      <c r="M106" t="s">
        <v>1444</v>
      </c>
      <c r="N106" s="8" t="str">
        <f>VLOOKUP(tblCountries[[#This Row],[Mapping]],tblContinent[#All],2,0)</f>
        <v>Asia</v>
      </c>
      <c r="O106" s="8" t="e">
        <f>VLOOKUP(tblCountries[[#This Row],[Mapping]],tblPPP[],3,0)</f>
        <v>#N/A</v>
      </c>
      <c r="P106" s="8">
        <f>IFERROR(tblCountries[[#This Row],[PPP Factor]],1)</f>
        <v>1</v>
      </c>
      <c r="R106" s="13" t="s">
        <v>4073</v>
      </c>
      <c r="S106" s="13" t="s">
        <v>983</v>
      </c>
      <c r="U106" s="22" t="s">
        <v>1700</v>
      </c>
      <c r="V106" s="22" t="s">
        <v>4299</v>
      </c>
      <c r="W106" s="8">
        <f t="shared" si="3"/>
        <v>8.3613271124935196</v>
      </c>
      <c r="AB106" s="13"/>
      <c r="AD106" s="13" t="s">
        <v>1086</v>
      </c>
    </row>
    <row r="107" spans="12:30" x14ac:dyDescent="0.25">
      <c r="L107" t="s">
        <v>292</v>
      </c>
      <c r="M107" t="s">
        <v>292</v>
      </c>
      <c r="N107" s="8" t="str">
        <f>VLOOKUP(tblCountries[[#This Row],[Mapping]],tblContinent[#All],2,0)</f>
        <v>South Amer.</v>
      </c>
      <c r="O107" s="8" t="e">
        <f>VLOOKUP(tblCountries[[#This Row],[Mapping]],tblPPP[],3,0)</f>
        <v>#N/A</v>
      </c>
      <c r="P107" s="8">
        <f>IFERROR(tblCountries[[#This Row],[PPP Factor]],1)</f>
        <v>1</v>
      </c>
      <c r="R107" s="13" t="s">
        <v>818</v>
      </c>
      <c r="S107" s="13" t="s">
        <v>983</v>
      </c>
      <c r="U107" s="22" t="s">
        <v>818</v>
      </c>
      <c r="V107" s="22" t="s">
        <v>4300</v>
      </c>
      <c r="W107" s="8">
        <f t="shared" si="3"/>
        <v>2.5661327959270257</v>
      </c>
      <c r="AB107" s="13"/>
      <c r="AD107" s="13" t="s">
        <v>1055</v>
      </c>
    </row>
    <row r="108" spans="12:30" x14ac:dyDescent="0.25">
      <c r="L108" t="s">
        <v>1620</v>
      </c>
      <c r="M108" t="s">
        <v>1444</v>
      </c>
      <c r="N108" s="8" t="str">
        <f>VLOOKUP(tblCountries[[#This Row],[Mapping]],tblContinent[#All],2,0)</f>
        <v>Asia</v>
      </c>
      <c r="O108" s="8" t="e">
        <f>VLOOKUP(tblCountries[[#This Row],[Mapping]],tblPPP[],3,0)</f>
        <v>#N/A</v>
      </c>
      <c r="P108" s="8">
        <f>IFERROR(tblCountries[[#This Row],[PPP Factor]],1)</f>
        <v>1</v>
      </c>
      <c r="R108" s="13" t="s">
        <v>4074</v>
      </c>
      <c r="S108" s="13" t="s">
        <v>983</v>
      </c>
      <c r="U108" s="22" t="s">
        <v>4074</v>
      </c>
      <c r="V108" s="22" t="s">
        <v>4301</v>
      </c>
      <c r="W108" s="8">
        <f t="shared" si="3"/>
        <v>0.60393914052846387</v>
      </c>
      <c r="AB108" s="13"/>
    </row>
    <row r="109" spans="12:30" x14ac:dyDescent="0.25">
      <c r="L109" t="s">
        <v>113</v>
      </c>
      <c r="M109" t="s">
        <v>106</v>
      </c>
      <c r="N109" s="8" t="str">
        <f>VLOOKUP(tblCountries[[#This Row],[Mapping]],tblContinent[#All],2,0)</f>
        <v>Europe</v>
      </c>
      <c r="O109" s="8">
        <f>VLOOKUP(tblCountries[[#This Row],[Mapping]],tblPPP[],3,0)</f>
        <v>1.3763511207190806</v>
      </c>
      <c r="P109" s="8">
        <f>IFERROR(tblCountries[[#This Row],[PPP Factor]],1)</f>
        <v>1.3763511207190806</v>
      </c>
      <c r="R109" s="13" t="s">
        <v>4075</v>
      </c>
      <c r="S109" s="13" t="s">
        <v>983</v>
      </c>
      <c r="U109" s="22" t="s">
        <v>4142</v>
      </c>
      <c r="V109" s="22" t="s">
        <v>4302</v>
      </c>
      <c r="W109" s="8">
        <f t="shared" si="3"/>
        <v>4.6674061927269221</v>
      </c>
    </row>
    <row r="110" spans="12:30" x14ac:dyDescent="0.25">
      <c r="L110" t="s">
        <v>1679</v>
      </c>
      <c r="M110" s="12" t="s">
        <v>1131</v>
      </c>
      <c r="N110" s="8" t="str">
        <f>VLOOKUP(tblCountries[[#This Row],[Mapping]],tblContinent[#All],2,0)</f>
        <v>Asia</v>
      </c>
      <c r="O110" s="8">
        <f>VLOOKUP(tblCountries[[#This Row],[Mapping]],tblPPP[],3,0)</f>
        <v>3.1081063720452211</v>
      </c>
      <c r="P110" s="8">
        <f>IFERROR(tblCountries[[#This Row],[PPP Factor]],1)</f>
        <v>3.1081063720452211</v>
      </c>
      <c r="R110" s="13" t="s">
        <v>4031</v>
      </c>
      <c r="S110" s="13" t="s">
        <v>4009</v>
      </c>
      <c r="U110" s="22" t="s">
        <v>4031</v>
      </c>
      <c r="V110" s="22" t="s">
        <v>4303</v>
      </c>
      <c r="W110" s="8">
        <f t="shared" si="3"/>
        <v>51.806209850107066</v>
      </c>
    </row>
    <row r="111" spans="12:30" x14ac:dyDescent="0.25">
      <c r="L111" t="s">
        <v>851</v>
      </c>
      <c r="M111" t="s">
        <v>851</v>
      </c>
      <c r="N111" s="8" t="str">
        <f>VLOOKUP(tblCountries[[#This Row],[Mapping]],tblContinent[#All],2,0)</f>
        <v>Asia</v>
      </c>
      <c r="O111" s="8">
        <f>VLOOKUP(tblCountries[[#This Row],[Mapping]],tblPPP[],3,0)</f>
        <v>7.916721204188482</v>
      </c>
      <c r="P111" s="8">
        <f>IFERROR(tblCountries[[#This Row],[PPP Factor]],1)</f>
        <v>7.916721204188482</v>
      </c>
      <c r="R111" s="13" t="s">
        <v>4032</v>
      </c>
      <c r="S111" s="13" t="s">
        <v>4009</v>
      </c>
      <c r="U111" s="22" t="s">
        <v>4032</v>
      </c>
      <c r="V111" s="22" t="s">
        <v>4304</v>
      </c>
      <c r="W111" s="8">
        <f t="shared" si="3"/>
        <v>56.263953488372096</v>
      </c>
    </row>
    <row r="112" spans="12:30" x14ac:dyDescent="0.25">
      <c r="L112" t="s">
        <v>1951</v>
      </c>
      <c r="M112" t="s">
        <v>1951</v>
      </c>
      <c r="N112" s="8" t="str">
        <f>VLOOKUP(tblCountries[[#This Row],[Mapping]],tblContinent[#All],2,0)</f>
        <v>Europe</v>
      </c>
      <c r="O112" s="8" t="e">
        <f>VLOOKUP(tblCountries[[#This Row],[Mapping]],tblPPP[],3,0)</f>
        <v>#N/A</v>
      </c>
      <c r="P112" s="8">
        <f>IFERROR(tblCountries[[#This Row],[PPP Factor]],1)</f>
        <v>1</v>
      </c>
      <c r="R112" s="13" t="s">
        <v>1131</v>
      </c>
      <c r="S112" s="13" t="s">
        <v>1126</v>
      </c>
      <c r="U112" s="22" t="s">
        <v>1131</v>
      </c>
      <c r="V112" s="22" t="s">
        <v>4305</v>
      </c>
      <c r="W112" s="8">
        <f t="shared" si="3"/>
        <v>3.1081063720452211</v>
      </c>
    </row>
    <row r="113" spans="12:23" x14ac:dyDescent="0.25">
      <c r="L113" t="s">
        <v>1066</v>
      </c>
      <c r="M113" t="s">
        <v>1066</v>
      </c>
      <c r="N113" s="8" t="str">
        <f>VLOOKUP(tblCountries[[#This Row],[Mapping]],tblContinent[#All],2,0)</f>
        <v>Europe</v>
      </c>
      <c r="O113" s="8">
        <f>VLOOKUP(tblCountries[[#This Row],[Mapping]],tblPPP[],3,0)</f>
        <v>1.6893722505411632</v>
      </c>
      <c r="P113" s="8">
        <f>IFERROR(tblCountries[[#This Row],[PPP Factor]],1)</f>
        <v>1.6893722505411632</v>
      </c>
      <c r="R113" s="13" t="s">
        <v>4061</v>
      </c>
      <c r="S113" s="13" t="s">
        <v>1126</v>
      </c>
      <c r="U113" s="22" t="s">
        <v>4061</v>
      </c>
      <c r="V113" s="22" t="s">
        <v>4306</v>
      </c>
      <c r="W113" s="8">
        <f t="shared" si="3"/>
        <v>5.5419768640476459</v>
      </c>
    </row>
    <row r="114" spans="12:23" x14ac:dyDescent="0.25">
      <c r="L114" t="s">
        <v>1099</v>
      </c>
      <c r="M114" t="s">
        <v>672</v>
      </c>
      <c r="N114" s="8" t="str">
        <f>VLOOKUP(tblCountries[[#This Row],[Mapping]],tblContinent[#All],2,0)</f>
        <v>Oceania</v>
      </c>
      <c r="O114" s="8">
        <f>VLOOKUP(tblCountries[[#This Row],[Mapping]],tblPPP[],3,0)</f>
        <v>1.7488434292323261</v>
      </c>
      <c r="P114" s="8">
        <f>IFERROR(tblCountries[[#This Row],[PPP Factor]],1)</f>
        <v>1.7488434292323261</v>
      </c>
      <c r="R114" s="13" t="s">
        <v>4033</v>
      </c>
      <c r="S114" s="13" t="s">
        <v>4009</v>
      </c>
      <c r="U114" s="22" t="s">
        <v>4033</v>
      </c>
      <c r="V114" s="22" t="s">
        <v>4307</v>
      </c>
      <c r="W114" s="8">
        <f t="shared" si="3"/>
        <v>42.896276595744681</v>
      </c>
    </row>
    <row r="115" spans="12:23" x14ac:dyDescent="0.25">
      <c r="L115" t="s">
        <v>1671</v>
      </c>
      <c r="M115" t="s">
        <v>1671</v>
      </c>
      <c r="N115" s="8" t="str">
        <f>VLOOKUP(tblCountries[[#This Row],[Mapping]],tblContinent[#All],2,0)</f>
        <v>South Amer.</v>
      </c>
      <c r="O115" s="8">
        <f>VLOOKUP(tblCountries[[#This Row],[Mapping]],tblPPP[],3,0)</f>
        <v>10.103779494675297</v>
      </c>
      <c r="P115" s="8">
        <f>IFERROR(tblCountries[[#This Row],[PPP Factor]],1)</f>
        <v>10.103779494675297</v>
      </c>
      <c r="R115" s="13" t="s">
        <v>4076</v>
      </c>
      <c r="S115" s="13" t="s">
        <v>983</v>
      </c>
      <c r="U115" s="22" t="s">
        <v>4076</v>
      </c>
      <c r="V115" s="22" t="s">
        <v>4308</v>
      </c>
      <c r="W115" s="8">
        <f t="shared" si="3"/>
        <v>1.902902312411515</v>
      </c>
    </row>
    <row r="116" spans="12:23" x14ac:dyDescent="0.25">
      <c r="L116" t="s">
        <v>1052</v>
      </c>
      <c r="M116" t="s">
        <v>1052</v>
      </c>
      <c r="N116" s="8" t="str">
        <f>VLOOKUP(tblCountries[[#This Row],[Mapping]],tblContinent[#All],2,0)</f>
        <v>Europe</v>
      </c>
      <c r="O116" s="8">
        <f>VLOOKUP(tblCountries[[#This Row],[Mapping]],tblPPP[],3,0)</f>
        <v>1.788005321114478</v>
      </c>
      <c r="P116" s="8">
        <f>IFERROR(tblCountries[[#This Row],[PPP Factor]],1)</f>
        <v>1.788005321114478</v>
      </c>
      <c r="R116" s="13" t="s">
        <v>4103</v>
      </c>
      <c r="S116" s="13" t="s">
        <v>4100</v>
      </c>
      <c r="U116" s="22" t="s">
        <v>4034</v>
      </c>
      <c r="V116" s="22" t="s">
        <v>4309</v>
      </c>
      <c r="W116" s="8">
        <f t="shared" si="3"/>
        <v>22.206057824690223</v>
      </c>
    </row>
    <row r="117" spans="12:23" x14ac:dyDescent="0.25">
      <c r="L117" t="s">
        <v>1503</v>
      </c>
      <c r="M117" t="s">
        <v>1503</v>
      </c>
      <c r="N117" s="8" t="str">
        <f>VLOOKUP(tblCountries[[#This Row],[Mapping]],tblContinent[#All],2,0)</f>
        <v>Africa</v>
      </c>
      <c r="O117" s="8">
        <f>VLOOKUP(tblCountries[[#This Row],[Mapping]],tblPPP[],3,0)</f>
        <v>15.69477781381771</v>
      </c>
      <c r="P117" s="8">
        <f>IFERROR(tblCountries[[#This Row],[PPP Factor]],1)</f>
        <v>15.69477781381771</v>
      </c>
      <c r="R117" s="13" t="s">
        <v>4034</v>
      </c>
      <c r="S117" s="13" t="s">
        <v>4009</v>
      </c>
      <c r="U117" s="22" t="s">
        <v>1771</v>
      </c>
      <c r="V117" s="22" t="s">
        <v>4310</v>
      </c>
      <c r="W117" s="8">
        <f t="shared" si="3"/>
        <v>3.2357228835094287</v>
      </c>
    </row>
    <row r="118" spans="12:23" x14ac:dyDescent="0.25">
      <c r="L118" t="s">
        <v>748</v>
      </c>
      <c r="M118" t="s">
        <v>299</v>
      </c>
      <c r="N118" s="8" t="str">
        <f>VLOOKUP(tblCountries[[#This Row],[Mapping]],tblContinent[#All],2,0)</f>
        <v>Asia</v>
      </c>
      <c r="O118" s="8">
        <f>VLOOKUP(tblCountries[[#This Row],[Mapping]],tblPPP[],3,0)</f>
        <v>5.1497445721583652</v>
      </c>
      <c r="P118" s="8">
        <f>IFERROR(tblCountries[[#This Row],[PPP Factor]],1)</f>
        <v>5.1497445721583652</v>
      </c>
      <c r="R118" s="13" t="s">
        <v>1771</v>
      </c>
      <c r="S118" s="13" t="s">
        <v>4009</v>
      </c>
      <c r="U118" s="22" t="s">
        <v>166</v>
      </c>
      <c r="V118" s="22" t="s">
        <v>4311</v>
      </c>
      <c r="W118" s="8">
        <f t="shared" si="3"/>
        <v>3.3119096509240245</v>
      </c>
    </row>
    <row r="119" spans="12:23" x14ac:dyDescent="0.25">
      <c r="L119" t="s">
        <v>1434</v>
      </c>
      <c r="M119" t="s">
        <v>716</v>
      </c>
      <c r="N119" s="8" t="str">
        <f>VLOOKUP(tblCountries[[#This Row],[Mapping]],tblContinent[#All],2,0)</f>
        <v>Asia</v>
      </c>
      <c r="O119" s="8">
        <f>VLOOKUP(tblCountries[[#This Row],[Mapping]],tblPPP[],3,0)</f>
        <v>8.5278463165315479</v>
      </c>
      <c r="P119" s="8">
        <f>IFERROR(tblCountries[[#This Row],[PPP Factor]],1)</f>
        <v>8.5278463165315479</v>
      </c>
      <c r="R119" s="13" t="s">
        <v>166</v>
      </c>
      <c r="S119" s="22" t="s">
        <v>4165</v>
      </c>
      <c r="U119" s="22" t="s">
        <v>4077</v>
      </c>
      <c r="V119" s="22" t="s">
        <v>4312</v>
      </c>
      <c r="W119" s="8">
        <f t="shared" si="3"/>
        <v>14.345389860658168</v>
      </c>
    </row>
    <row r="120" spans="12:23" x14ac:dyDescent="0.25">
      <c r="L120" t="s">
        <v>1690</v>
      </c>
      <c r="M120" t="s">
        <v>628</v>
      </c>
      <c r="N120" s="8" t="str">
        <f>VLOOKUP(tblCountries[[#This Row],[Mapping]],tblContinent[#All],2,0)</f>
        <v>Europe</v>
      </c>
      <c r="O120" s="8">
        <f>VLOOKUP(tblCountries[[#This Row],[Mapping]],tblPPP[],3,0)</f>
        <v>1.1470734656141099</v>
      </c>
      <c r="P120" s="8">
        <f>IFERROR(tblCountries[[#This Row],[PPP Factor]],1)</f>
        <v>1.1470734656141099</v>
      </c>
      <c r="R120" s="13" t="s">
        <v>4104</v>
      </c>
      <c r="S120" s="13" t="s">
        <v>4100</v>
      </c>
      <c r="U120" s="22" t="s">
        <v>1411</v>
      </c>
      <c r="V120" s="22" t="s">
        <v>4313</v>
      </c>
      <c r="W120" s="8">
        <f t="shared" si="3"/>
        <v>10.199620573355817</v>
      </c>
    </row>
    <row r="121" spans="12:23" x14ac:dyDescent="0.25">
      <c r="L121" t="s">
        <v>1933</v>
      </c>
      <c r="M121" t="s">
        <v>1933</v>
      </c>
      <c r="N121" s="8" t="str">
        <f>VLOOKUP(tblCountries[[#This Row],[Mapping]],tblContinent[#All],2,0)</f>
        <v>Asia</v>
      </c>
      <c r="O121" s="8">
        <f>VLOOKUP(tblCountries[[#This Row],[Mapping]],tblPPP[],3,0)</f>
        <v>0.98473655290310769</v>
      </c>
      <c r="P121" s="8">
        <f>IFERROR(tblCountries[[#This Row],[PPP Factor]],1)</f>
        <v>0.98473655290310769</v>
      </c>
      <c r="R121" s="13" t="s">
        <v>4077</v>
      </c>
      <c r="S121" s="13" t="s">
        <v>983</v>
      </c>
      <c r="U121" s="22" t="s">
        <v>1291</v>
      </c>
      <c r="V121" s="22" t="s">
        <v>4314</v>
      </c>
      <c r="W121" s="8">
        <f t="shared" si="3"/>
        <v>4.1911650064963188</v>
      </c>
    </row>
    <row r="122" spans="12:23" x14ac:dyDescent="0.25">
      <c r="L122" t="s">
        <v>1609</v>
      </c>
      <c r="M122" t="s">
        <v>672</v>
      </c>
      <c r="N122" s="8" t="str">
        <f>VLOOKUP(tblCountries[[#This Row],[Mapping]],tblContinent[#All],2,0)</f>
        <v>Oceania</v>
      </c>
      <c r="O122" s="8">
        <f>VLOOKUP(tblCountries[[#This Row],[Mapping]],tblPPP[],3,0)</f>
        <v>1.7488434292323261</v>
      </c>
      <c r="P122" s="8">
        <f>IFERROR(tblCountries[[#This Row],[PPP Factor]],1)</f>
        <v>1.7488434292323261</v>
      </c>
      <c r="R122" s="13" t="s">
        <v>4078</v>
      </c>
      <c r="S122" s="13" t="s">
        <v>983</v>
      </c>
      <c r="U122" s="22" t="s">
        <v>1731</v>
      </c>
      <c r="V122" s="22" t="s">
        <v>4315</v>
      </c>
      <c r="W122" s="8">
        <f t="shared" si="3"/>
        <v>9.5777909738717337</v>
      </c>
    </row>
    <row r="123" spans="12:23" x14ac:dyDescent="0.25">
      <c r="L123" t="s">
        <v>992</v>
      </c>
      <c r="M123" t="s">
        <v>992</v>
      </c>
      <c r="N123" s="8" t="str">
        <f>VLOOKUP(tblCountries[[#This Row],[Mapping]],tblContinent[#All],2,0)</f>
        <v>South Amer.</v>
      </c>
      <c r="O123" s="8" t="e">
        <f>VLOOKUP(tblCountries[[#This Row],[Mapping]],tblPPP[],3,0)</f>
        <v>#N/A</v>
      </c>
      <c r="P123" s="8">
        <f>IFERROR(tblCountries[[#This Row],[PPP Factor]],1)</f>
        <v>1</v>
      </c>
      <c r="R123" s="13" t="s">
        <v>1411</v>
      </c>
      <c r="S123" s="13" t="s">
        <v>1126</v>
      </c>
      <c r="U123" s="22" t="s">
        <v>4035</v>
      </c>
      <c r="V123" s="22" t="s">
        <v>4316</v>
      </c>
      <c r="W123" s="8">
        <f t="shared" si="3"/>
        <v>44.596313364055298</v>
      </c>
    </row>
    <row r="124" spans="12:23" x14ac:dyDescent="0.25">
      <c r="L124" t="s">
        <v>1978</v>
      </c>
      <c r="M124" t="s">
        <v>877</v>
      </c>
      <c r="N124" s="8" t="str">
        <f>VLOOKUP(tblCountries[[#This Row],[Mapping]],tblContinent[#All],2,0)</f>
        <v>Europe</v>
      </c>
      <c r="O124" s="8">
        <f>VLOOKUP(tblCountries[[#This Row],[Mapping]],tblPPP[],3,0)</f>
        <v>1.3024063307493541</v>
      </c>
      <c r="P124" s="8">
        <f>IFERROR(tblCountries[[#This Row],[PPP Factor]],1)</f>
        <v>1.3024063307493541</v>
      </c>
      <c r="R124" s="13" t="s">
        <v>1291</v>
      </c>
      <c r="S124" s="13" t="s">
        <v>983</v>
      </c>
      <c r="U124" s="22" t="s">
        <v>4036</v>
      </c>
      <c r="V124" s="22" t="s">
        <v>4317</v>
      </c>
      <c r="W124" s="8">
        <f t="shared" si="3"/>
        <v>6.5716419937525465</v>
      </c>
    </row>
    <row r="125" spans="12:23" x14ac:dyDescent="0.25">
      <c r="L125" t="s">
        <v>21</v>
      </c>
      <c r="M125" t="s">
        <v>21</v>
      </c>
      <c r="N125" s="8" t="str">
        <f>VLOOKUP(tblCountries[[#This Row],[Mapping]],tblContinent[#All],2,0)</f>
        <v>Europe</v>
      </c>
      <c r="O125" s="8">
        <f>VLOOKUP(tblCountries[[#This Row],[Mapping]],tblPPP[],3,0)</f>
        <v>1.2713013320722</v>
      </c>
      <c r="P125" s="8">
        <f>IFERROR(tblCountries[[#This Row],[PPP Factor]],1)</f>
        <v>1.2713013320722</v>
      </c>
      <c r="R125" s="13" t="s">
        <v>1731</v>
      </c>
      <c r="S125" s="13" t="s">
        <v>4009</v>
      </c>
      <c r="U125" s="22" t="s">
        <v>4062</v>
      </c>
      <c r="V125" s="22" t="s">
        <v>4318</v>
      </c>
      <c r="W125" s="8">
        <f t="shared" si="3"/>
        <v>36.435993975903614</v>
      </c>
    </row>
    <row r="126" spans="12:23" x14ac:dyDescent="0.25">
      <c r="L126" t="s">
        <v>526</v>
      </c>
      <c r="M126" t="s">
        <v>526</v>
      </c>
      <c r="N126" s="8" t="str">
        <f>VLOOKUP(tblCountries[[#This Row],[Mapping]],tblContinent[#All],2,0)</f>
        <v>North Amer.</v>
      </c>
      <c r="O126" s="8">
        <f>VLOOKUP(tblCountries[[#This Row],[Mapping]],tblPPP[],3,0)</f>
        <v>5.2101862818994293</v>
      </c>
      <c r="P126" s="8">
        <f>IFERROR(tblCountries[[#This Row],[PPP Factor]],1)</f>
        <v>5.2101862818994293</v>
      </c>
      <c r="R126" s="13" t="s">
        <v>4035</v>
      </c>
      <c r="S126" s="13" t="s">
        <v>4009</v>
      </c>
      <c r="U126" s="22" t="s">
        <v>628</v>
      </c>
      <c r="V126" s="22" t="s">
        <v>4319</v>
      </c>
      <c r="W126" s="8">
        <f t="shared" si="3"/>
        <v>1.1470734656141099</v>
      </c>
    </row>
    <row r="127" spans="12:23" x14ac:dyDescent="0.25">
      <c r="L127" t="s">
        <v>1458</v>
      </c>
      <c r="M127" t="s">
        <v>1458</v>
      </c>
      <c r="N127" s="8" t="str">
        <f>VLOOKUP(tblCountries[[#This Row],[Mapping]],tblContinent[#All],2,0)</f>
        <v>Africa</v>
      </c>
      <c r="O127" s="8">
        <f>VLOOKUP(tblCountries[[#This Row],[Mapping]],tblPPP[],3,0)</f>
        <v>36.740318906605921</v>
      </c>
      <c r="P127" s="8">
        <f>IFERROR(tblCountries[[#This Row],[PPP Factor]],1)</f>
        <v>36.740318906605921</v>
      </c>
      <c r="R127" s="13" t="s">
        <v>4036</v>
      </c>
      <c r="S127" s="13" t="s">
        <v>4009</v>
      </c>
      <c r="U127" s="22" t="s">
        <v>672</v>
      </c>
      <c r="V127" s="22" t="s">
        <v>4320</v>
      </c>
      <c r="W127" s="8">
        <f t="shared" si="3"/>
        <v>1.7488434292323261</v>
      </c>
    </row>
    <row r="128" spans="12:23" x14ac:dyDescent="0.25">
      <c r="L128" t="s">
        <v>2004</v>
      </c>
      <c r="M128" t="s">
        <v>2004</v>
      </c>
      <c r="N128" s="8" t="str">
        <f>VLOOKUP(tblCountries[[#This Row],[Mapping]],tblContinent[#All],2,0)</f>
        <v>Asia</v>
      </c>
      <c r="O128" s="8">
        <f>VLOOKUP(tblCountries[[#This Row],[Mapping]],tblPPP[],3,0)</f>
        <v>1.824616312832309</v>
      </c>
      <c r="P128" s="8">
        <f>IFERROR(tblCountries[[#This Row],[PPP Factor]],1)</f>
        <v>1.824616312832309</v>
      </c>
      <c r="R128" s="13" t="s">
        <v>4105</v>
      </c>
      <c r="S128" s="13" t="s">
        <v>4100</v>
      </c>
      <c r="U128" s="22" t="s">
        <v>4094</v>
      </c>
      <c r="V128" s="22" t="s">
        <v>4321</v>
      </c>
      <c r="W128" s="8">
        <f t="shared" si="3"/>
        <v>15.092638802245789</v>
      </c>
    </row>
    <row r="129" spans="12:23" x14ac:dyDescent="0.25">
      <c r="L129" t="s">
        <v>954</v>
      </c>
      <c r="M129" t="s">
        <v>726</v>
      </c>
      <c r="N129" s="8" t="str">
        <f>VLOOKUP(tblCountries[[#This Row],[Mapping]],tblContinent[#All],2,0)</f>
        <v>Asia</v>
      </c>
      <c r="O129" s="8">
        <f>VLOOKUP(tblCountries[[#This Row],[Mapping]],tblPPP[],3,0)</f>
        <v>10.370124303471924</v>
      </c>
      <c r="P129" s="8">
        <f>IFERROR(tblCountries[[#This Row],[PPP Factor]],1)</f>
        <v>10.370124303471924</v>
      </c>
      <c r="R129" s="13" t="s">
        <v>4062</v>
      </c>
      <c r="S129" s="13" t="s">
        <v>1126</v>
      </c>
      <c r="U129" s="22" t="s">
        <v>4037</v>
      </c>
      <c r="V129" s="22" t="s">
        <v>4322</v>
      </c>
      <c r="W129" s="8">
        <f t="shared" si="3"/>
        <v>62.75875486381323</v>
      </c>
    </row>
    <row r="130" spans="12:23" x14ac:dyDescent="0.25">
      <c r="L130" t="s">
        <v>1331</v>
      </c>
      <c r="M130" t="s">
        <v>1331</v>
      </c>
      <c r="N130" s="8" t="str">
        <f>VLOOKUP(tblCountries[[#This Row],[Mapping]],tblContinent[#All],2,0)</f>
        <v>South Amer.</v>
      </c>
      <c r="O130" s="8">
        <f>VLOOKUP(tblCountries[[#This Row],[Mapping]],tblPPP[],3,0)</f>
        <v>2.7624457638730302</v>
      </c>
      <c r="P130" s="8">
        <f>IFERROR(tblCountries[[#This Row],[PPP Factor]],1)</f>
        <v>2.7624457638730302</v>
      </c>
      <c r="R130" s="13" t="s">
        <v>628</v>
      </c>
      <c r="S130" s="13" t="s">
        <v>983</v>
      </c>
      <c r="U130" s="22" t="s">
        <v>870</v>
      </c>
      <c r="V130" s="22" t="s">
        <v>4323</v>
      </c>
      <c r="W130" s="8">
        <f t="shared" si="3"/>
        <v>18.769200930954227</v>
      </c>
    </row>
    <row r="131" spans="12:23" x14ac:dyDescent="0.25">
      <c r="L131" t="s">
        <v>492</v>
      </c>
      <c r="M131" t="s">
        <v>179</v>
      </c>
      <c r="N131" s="8" t="str">
        <f>VLOOKUP(tblCountries[[#This Row],[Mapping]],tblContinent[#All],2,0)</f>
        <v>Asia</v>
      </c>
      <c r="O131" s="8">
        <f>VLOOKUP(tblCountries[[#This Row],[Mapping]],tblPPP[],3,0)</f>
        <v>1.0047551808629926</v>
      </c>
      <c r="P131" s="8">
        <f>IFERROR(tblCountries[[#This Row],[PPP Factor]],1)</f>
        <v>1.0047551808629926</v>
      </c>
      <c r="R131" s="13" t="s">
        <v>672</v>
      </c>
      <c r="S131" s="13" t="s">
        <v>4100</v>
      </c>
      <c r="U131" s="22" t="s">
        <v>583</v>
      </c>
      <c r="V131" s="22" t="s">
        <v>4324</v>
      </c>
      <c r="W131" s="8">
        <f t="shared" si="3"/>
        <v>0.90492042415514951</v>
      </c>
    </row>
    <row r="132" spans="12:23" x14ac:dyDescent="0.25">
      <c r="L132" t="s">
        <v>1381</v>
      </c>
      <c r="M132" t="s">
        <v>17</v>
      </c>
      <c r="N132" s="8" t="str">
        <f>VLOOKUP(tblCountries[[#This Row],[Mapping]],tblContinent[#All],2,0)</f>
        <v>Asia</v>
      </c>
      <c r="O132" s="8">
        <f>VLOOKUP(tblCountries[[#This Row],[Mapping]],tblPPP[],3,0)</f>
        <v>17.361679224973088</v>
      </c>
      <c r="P132" s="8">
        <f>IFERROR(tblCountries[[#This Row],[PPP Factor]],1)</f>
        <v>17.361679224973088</v>
      </c>
      <c r="R132" s="13" t="s">
        <v>4094</v>
      </c>
      <c r="S132" s="22" t="s">
        <v>4165</v>
      </c>
      <c r="U132" s="22" t="s">
        <v>2004</v>
      </c>
      <c r="V132" s="22" t="s">
        <v>4325</v>
      </c>
      <c r="W132" s="8">
        <f t="shared" si="3"/>
        <v>1.824616312832309</v>
      </c>
    </row>
    <row r="133" spans="12:23" x14ac:dyDescent="0.25">
      <c r="L133" t="s">
        <v>541</v>
      </c>
      <c r="M133" t="s">
        <v>88</v>
      </c>
      <c r="N133" s="8" t="str">
        <f>VLOOKUP(tblCountries[[#This Row],[Mapping]],tblContinent[#All],2,0)</f>
        <v>North Amer.</v>
      </c>
      <c r="O133" s="8">
        <f>VLOOKUP(tblCountries[[#This Row],[Mapping]],tblPPP[],3,0)</f>
        <v>1.1935324732986359</v>
      </c>
      <c r="P133" s="8">
        <f>IFERROR(tblCountries[[#This Row],[PPP Factor]],1)</f>
        <v>1.1935324732986359</v>
      </c>
      <c r="R133" s="13" t="s">
        <v>4037</v>
      </c>
      <c r="S133" s="13" t="s">
        <v>4009</v>
      </c>
      <c r="U133" s="22" t="s">
        <v>17</v>
      </c>
      <c r="V133" s="22" t="s">
        <v>4326</v>
      </c>
      <c r="W133" s="8">
        <f t="shared" si="3"/>
        <v>17.361679224973088</v>
      </c>
    </row>
    <row r="134" spans="12:23" x14ac:dyDescent="0.25">
      <c r="L134" t="s">
        <v>847</v>
      </c>
      <c r="M134" t="s">
        <v>847</v>
      </c>
      <c r="N134" s="8" t="str">
        <f>VLOOKUP(tblCountries[[#This Row],[Mapping]],tblContinent[#All],2,0)</f>
        <v>Africa</v>
      </c>
      <c r="O134" s="8">
        <f>VLOOKUP(tblCountries[[#This Row],[Mapping]],tblPPP[],3,0)</f>
        <v>7.3986238532110091</v>
      </c>
      <c r="P134" s="8">
        <f>IFERROR(tblCountries[[#This Row],[PPP Factor]],1)</f>
        <v>7.3986238532110091</v>
      </c>
      <c r="R134" s="13" t="s">
        <v>870</v>
      </c>
      <c r="S134" s="13" t="s">
        <v>4009</v>
      </c>
      <c r="U134" s="22" t="s">
        <v>136</v>
      </c>
      <c r="V134" s="22" t="s">
        <v>4327</v>
      </c>
      <c r="W134" s="8">
        <f t="shared" si="3"/>
        <v>3.4324324324324325</v>
      </c>
    </row>
    <row r="135" spans="12:23" x14ac:dyDescent="0.25">
      <c r="L135" t="s">
        <v>163</v>
      </c>
      <c r="M135" t="s">
        <v>163</v>
      </c>
      <c r="N135" s="8" t="str">
        <f>VLOOKUP(tblCountries[[#This Row],[Mapping]],tblContinent[#All],2,0)</f>
        <v>Asia</v>
      </c>
      <c r="O135" s="8" t="e">
        <f>VLOOKUP(tblCountries[[#This Row],[Mapping]],tblPPP[],3,0)</f>
        <v>#N/A</v>
      </c>
      <c r="P135" s="8">
        <f>IFERROR(tblCountries[[#This Row],[PPP Factor]],1)</f>
        <v>1</v>
      </c>
      <c r="R135" s="13" t="s">
        <v>583</v>
      </c>
      <c r="S135" s="13" t="s">
        <v>983</v>
      </c>
      <c r="U135" s="22" t="s">
        <v>4107</v>
      </c>
      <c r="V135" s="22" t="s">
        <v>4328</v>
      </c>
      <c r="W135" s="8">
        <f t="shared" ref="W135:W166" si="4">$W$5/V135</f>
        <v>19.110189573459717</v>
      </c>
    </row>
    <row r="136" spans="12:23" x14ac:dyDescent="0.25">
      <c r="L136" t="s">
        <v>1156</v>
      </c>
      <c r="M136" t="s">
        <v>1156</v>
      </c>
      <c r="N136" s="8" t="str">
        <f>VLOOKUP(tblCountries[[#This Row],[Mapping]],tblContinent[#All],2,0)</f>
        <v>South Amer.</v>
      </c>
      <c r="O136" s="8">
        <f>VLOOKUP(tblCountries[[#This Row],[Mapping]],tblPPP[],3,0)</f>
        <v>8.939035654904858</v>
      </c>
      <c r="P136" s="8">
        <f>IFERROR(tblCountries[[#This Row],[PPP Factor]],1)</f>
        <v>8.939035654904858</v>
      </c>
      <c r="R136" s="13" t="s">
        <v>2004</v>
      </c>
      <c r="S136" s="13" t="s">
        <v>1126</v>
      </c>
      <c r="U136" s="22" t="s">
        <v>1156</v>
      </c>
      <c r="V136" s="22" t="s">
        <v>4329</v>
      </c>
      <c r="W136" s="8">
        <f t="shared" si="4"/>
        <v>8.939035654904858</v>
      </c>
    </row>
    <row r="137" spans="12:23" x14ac:dyDescent="0.25">
      <c r="L137" t="s">
        <v>1371</v>
      </c>
      <c r="M137" t="s">
        <v>1371</v>
      </c>
      <c r="N137" s="8" t="str">
        <f>VLOOKUP(tblCountries[[#This Row],[Mapping]],tblContinent[#All],2,0)</f>
        <v>South Amer.</v>
      </c>
      <c r="O137" s="8" t="e">
        <f>VLOOKUP(tblCountries[[#This Row],[Mapping]],tblPPP[],3,0)</f>
        <v>#N/A</v>
      </c>
      <c r="P137" s="8">
        <f>IFERROR(tblCountries[[#This Row],[PPP Factor]],1)</f>
        <v>1</v>
      </c>
      <c r="R137" s="13" t="s">
        <v>17</v>
      </c>
      <c r="S137" s="13" t="s">
        <v>1126</v>
      </c>
      <c r="U137" s="22" t="s">
        <v>1722</v>
      </c>
      <c r="V137" s="22" t="s">
        <v>4330</v>
      </c>
      <c r="W137" s="8">
        <f t="shared" si="4"/>
        <v>4.8088849135360761</v>
      </c>
    </row>
    <row r="138" spans="12:23" x14ac:dyDescent="0.25">
      <c r="L138" t="s">
        <v>1074</v>
      </c>
      <c r="M138" t="s">
        <v>1074</v>
      </c>
      <c r="N138" s="8" t="str">
        <f>VLOOKUP(tblCountries[[#This Row],[Mapping]],tblContinent[#All],2,0)</f>
        <v>Europe</v>
      </c>
      <c r="O138" s="8">
        <f>VLOOKUP(tblCountries[[#This Row],[Mapping]],tblPPP[],3,0)</f>
        <v>6.2507427980881021</v>
      </c>
      <c r="P138" s="8">
        <f>IFERROR(tblCountries[[#This Row],[PPP Factor]],1)</f>
        <v>6.2507427980881021</v>
      </c>
      <c r="R138" s="13" t="s">
        <v>4106</v>
      </c>
      <c r="S138" s="13" t="s">
        <v>4100</v>
      </c>
      <c r="U138" s="22" t="s">
        <v>347</v>
      </c>
      <c r="V138" s="22" t="s">
        <v>4331</v>
      </c>
      <c r="W138" s="8">
        <f t="shared" si="4"/>
        <v>11.879941075374417</v>
      </c>
    </row>
    <row r="139" spans="12:23" x14ac:dyDescent="0.25">
      <c r="L139" t="s">
        <v>1745</v>
      </c>
      <c r="M139" t="s">
        <v>1745</v>
      </c>
      <c r="N139" s="8" t="str">
        <f>VLOOKUP(tblCountries[[#This Row],[Mapping]],tblContinent[#All],2,0)</f>
        <v>Africa</v>
      </c>
      <c r="O139" s="8">
        <f>VLOOKUP(tblCountries[[#This Row],[Mapping]],tblPPP[],3,0)</f>
        <v>24.687244897959182</v>
      </c>
      <c r="P139" s="8">
        <f>IFERROR(tblCountries[[#This Row],[PPP Factor]],1)</f>
        <v>24.687244897959182</v>
      </c>
      <c r="R139" s="13" t="s">
        <v>136</v>
      </c>
      <c r="S139" s="22" t="s">
        <v>4165</v>
      </c>
      <c r="U139" s="22" t="s">
        <v>75</v>
      </c>
      <c r="V139" s="22" t="s">
        <v>4332</v>
      </c>
      <c r="W139" s="8">
        <f t="shared" si="4"/>
        <v>2.3796105045736207</v>
      </c>
    </row>
    <row r="140" spans="12:23" x14ac:dyDescent="0.25">
      <c r="R140" s="13" t="s">
        <v>4107</v>
      </c>
      <c r="S140" s="13" t="s">
        <v>4100</v>
      </c>
      <c r="U140" s="22" t="s">
        <v>30</v>
      </c>
      <c r="V140" s="22" t="s">
        <v>4333</v>
      </c>
      <c r="W140" s="8">
        <f t="shared" si="4"/>
        <v>2.0712726338769745</v>
      </c>
    </row>
    <row r="141" spans="12:23" x14ac:dyDescent="0.25">
      <c r="R141" s="13" t="s">
        <v>1156</v>
      </c>
      <c r="S141" s="22" t="s">
        <v>4166</v>
      </c>
      <c r="U141" s="22" t="s">
        <v>1011</v>
      </c>
      <c r="V141" s="22" t="s">
        <v>4334</v>
      </c>
      <c r="W141" s="8">
        <f t="shared" si="4"/>
        <v>0.4700368164906793</v>
      </c>
    </row>
    <row r="142" spans="12:23" x14ac:dyDescent="0.25">
      <c r="R142" s="13" t="s">
        <v>1722</v>
      </c>
      <c r="S142" s="22" t="s">
        <v>4166</v>
      </c>
      <c r="U142" s="22" t="s">
        <v>73</v>
      </c>
      <c r="V142" s="22" t="s">
        <v>4335</v>
      </c>
      <c r="W142" s="8">
        <f t="shared" si="4"/>
        <v>3.8784065405578709</v>
      </c>
    </row>
    <row r="143" spans="12:23" x14ac:dyDescent="0.25">
      <c r="R143" s="13" t="s">
        <v>347</v>
      </c>
      <c r="S143" s="13" t="s">
        <v>1126</v>
      </c>
      <c r="U143" s="22" t="s">
        <v>65</v>
      </c>
      <c r="V143" s="22" t="s">
        <v>4336</v>
      </c>
      <c r="W143" s="8">
        <f t="shared" si="4"/>
        <v>2.8911926386233269</v>
      </c>
    </row>
    <row r="144" spans="12:23" x14ac:dyDescent="0.25">
      <c r="R144" s="13" t="s">
        <v>75</v>
      </c>
      <c r="S144" s="13" t="s">
        <v>983</v>
      </c>
      <c r="U144" s="22" t="s">
        <v>4038</v>
      </c>
      <c r="V144" s="22" t="s">
        <v>4337</v>
      </c>
      <c r="W144" s="8">
        <f t="shared" si="4"/>
        <v>36.082774049217001</v>
      </c>
    </row>
    <row r="145" spans="18:23" x14ac:dyDescent="0.25">
      <c r="R145" s="13" t="s">
        <v>30</v>
      </c>
      <c r="S145" s="13" t="s">
        <v>983</v>
      </c>
      <c r="U145" s="22" t="s">
        <v>4095</v>
      </c>
      <c r="V145" s="22" t="s">
        <v>4338</v>
      </c>
      <c r="W145" s="8">
        <f t="shared" si="4"/>
        <v>3.107108456944712</v>
      </c>
    </row>
    <row r="146" spans="18:23" x14ac:dyDescent="0.25">
      <c r="R146" s="13" t="s">
        <v>1011</v>
      </c>
      <c r="S146" s="13" t="s">
        <v>1126</v>
      </c>
      <c r="U146" s="22" t="s">
        <v>4096</v>
      </c>
      <c r="V146" s="22" t="s">
        <v>4339</v>
      </c>
      <c r="W146" s="8">
        <f t="shared" si="4"/>
        <v>3.8381058142301896</v>
      </c>
    </row>
    <row r="147" spans="18:23" x14ac:dyDescent="0.25">
      <c r="R147" s="13" t="s">
        <v>73</v>
      </c>
      <c r="S147" s="13" t="s">
        <v>983</v>
      </c>
      <c r="U147" s="22" t="s">
        <v>4097</v>
      </c>
      <c r="V147" s="22" t="s">
        <v>4340</v>
      </c>
      <c r="W147" s="8">
        <f t="shared" si="4"/>
        <v>4.2108606735706209</v>
      </c>
    </row>
    <row r="148" spans="18:23" x14ac:dyDescent="0.25">
      <c r="R148" s="13" t="s">
        <v>65</v>
      </c>
      <c r="S148" s="13" t="s">
        <v>1126</v>
      </c>
      <c r="U148" s="22" t="s">
        <v>4108</v>
      </c>
      <c r="V148" s="22" t="s">
        <v>4341</v>
      </c>
      <c r="W148" s="8">
        <f t="shared" si="4"/>
        <v>8.1118189438390615</v>
      </c>
    </row>
    <row r="149" spans="18:23" x14ac:dyDescent="0.25">
      <c r="R149" s="13" t="s">
        <v>4038</v>
      </c>
      <c r="S149" s="13" t="s">
        <v>4009</v>
      </c>
      <c r="U149" s="22" t="s">
        <v>4143</v>
      </c>
      <c r="V149" s="22" t="s">
        <v>4342</v>
      </c>
      <c r="W149" s="8">
        <f t="shared" si="4"/>
        <v>21.486234458259325</v>
      </c>
    </row>
    <row r="150" spans="18:23" x14ac:dyDescent="0.25">
      <c r="R150" s="13" t="s">
        <v>4095</v>
      </c>
      <c r="S150" s="22" t="s">
        <v>4165</v>
      </c>
      <c r="U150" s="22" t="s">
        <v>133</v>
      </c>
      <c r="V150" s="22" t="s">
        <v>4343</v>
      </c>
      <c r="W150" s="8">
        <f t="shared" si="4"/>
        <v>1.9964104468374799</v>
      </c>
    </row>
    <row r="151" spans="18:23" x14ac:dyDescent="0.25">
      <c r="R151" s="13" t="s">
        <v>4096</v>
      </c>
      <c r="S151" s="22" t="s">
        <v>4165</v>
      </c>
      <c r="U151" s="22" t="s">
        <v>4040</v>
      </c>
      <c r="V151" s="22" t="s">
        <v>4344</v>
      </c>
      <c r="W151" s="8">
        <f t="shared" si="4"/>
        <v>25.861571352218064</v>
      </c>
    </row>
    <row r="152" spans="18:23" x14ac:dyDescent="0.25">
      <c r="R152" s="13" t="s">
        <v>4097</v>
      </c>
      <c r="S152" s="22" t="s">
        <v>4165</v>
      </c>
      <c r="U152" s="22" t="s">
        <v>4080</v>
      </c>
      <c r="V152" s="22" t="s">
        <v>4345</v>
      </c>
      <c r="W152" s="8">
        <f t="shared" si="4"/>
        <v>4.5467957150911484</v>
      </c>
    </row>
    <row r="153" spans="18:23" x14ac:dyDescent="0.25">
      <c r="R153" s="13" t="s">
        <v>4108</v>
      </c>
      <c r="S153" s="13" t="s">
        <v>4100</v>
      </c>
      <c r="U153" s="22" t="s">
        <v>4041</v>
      </c>
      <c r="V153" s="22" t="s">
        <v>4346</v>
      </c>
      <c r="W153" s="8">
        <f t="shared" si="4"/>
        <v>1.9569279301140501</v>
      </c>
    </row>
    <row r="154" spans="18:23" x14ac:dyDescent="0.25">
      <c r="R154" s="13" t="s">
        <v>4079</v>
      </c>
      <c r="S154" s="13" t="s">
        <v>983</v>
      </c>
      <c r="U154" s="22" t="s">
        <v>4042</v>
      </c>
      <c r="V154" s="22" t="s">
        <v>4347</v>
      </c>
      <c r="W154" s="8">
        <f t="shared" si="4"/>
        <v>56.992932862190813</v>
      </c>
    </row>
    <row r="155" spans="18:23" x14ac:dyDescent="0.25">
      <c r="R155" s="13" t="s">
        <v>4039</v>
      </c>
      <c r="S155" s="13" t="s">
        <v>4009</v>
      </c>
      <c r="U155" s="22" t="s">
        <v>171</v>
      </c>
      <c r="V155" s="22" t="s">
        <v>4348</v>
      </c>
      <c r="W155" s="8">
        <f t="shared" si="4"/>
        <v>0.81035320125270049</v>
      </c>
    </row>
    <row r="156" spans="18:23" x14ac:dyDescent="0.25">
      <c r="R156" s="13" t="s">
        <v>133</v>
      </c>
      <c r="S156" s="13" t="s">
        <v>1126</v>
      </c>
      <c r="U156" s="22" t="s">
        <v>1804</v>
      </c>
      <c r="V156" s="22" t="s">
        <v>4349</v>
      </c>
      <c r="W156" s="8">
        <f t="shared" si="4"/>
        <v>2.0763388259526261</v>
      </c>
    </row>
    <row r="157" spans="18:23" x14ac:dyDescent="0.25">
      <c r="R157" s="13" t="s">
        <v>4040</v>
      </c>
      <c r="S157" s="13" t="s">
        <v>4009</v>
      </c>
      <c r="U157" s="22" t="s">
        <v>1066</v>
      </c>
      <c r="V157" s="22" t="s">
        <v>4350</v>
      </c>
      <c r="W157" s="8">
        <f t="shared" si="4"/>
        <v>1.6893722505411632</v>
      </c>
    </row>
    <row r="158" spans="18:23" x14ac:dyDescent="0.25">
      <c r="R158" s="13" t="s">
        <v>4080</v>
      </c>
      <c r="S158" s="13" t="s">
        <v>983</v>
      </c>
      <c r="U158" s="22" t="s">
        <v>4109</v>
      </c>
      <c r="V158" s="22" t="s">
        <v>4351</v>
      </c>
      <c r="W158" s="8">
        <f t="shared" si="4"/>
        <v>15.158834586466165</v>
      </c>
    </row>
    <row r="159" spans="18:23" x14ac:dyDescent="0.25">
      <c r="R159" s="13" t="s">
        <v>4041</v>
      </c>
      <c r="S159" s="13" t="s">
        <v>4009</v>
      </c>
      <c r="U159" s="22" t="s">
        <v>48</v>
      </c>
      <c r="V159" s="22" t="s">
        <v>4352</v>
      </c>
      <c r="W159" s="8">
        <f t="shared" si="4"/>
        <v>4.4096418481727877</v>
      </c>
    </row>
    <row r="160" spans="18:23" x14ac:dyDescent="0.25">
      <c r="R160" s="13" t="s">
        <v>4042</v>
      </c>
      <c r="S160" s="13" t="s">
        <v>4009</v>
      </c>
      <c r="U160" s="22" t="s">
        <v>608</v>
      </c>
      <c r="V160" s="22" t="s">
        <v>4353</v>
      </c>
      <c r="W160" s="8">
        <f t="shared" si="4"/>
        <v>1.5799320838503232</v>
      </c>
    </row>
    <row r="161" spans="18:23" x14ac:dyDescent="0.25">
      <c r="R161" s="13" t="s">
        <v>171</v>
      </c>
      <c r="S161" s="13" t="s">
        <v>1126</v>
      </c>
      <c r="U161" s="22" t="s">
        <v>716</v>
      </c>
      <c r="V161" s="22" t="s">
        <v>4354</v>
      </c>
      <c r="W161" s="8">
        <f t="shared" si="4"/>
        <v>8.5278463165315479</v>
      </c>
    </row>
    <row r="162" spans="18:23" x14ac:dyDescent="0.25">
      <c r="R162" s="13" t="s">
        <v>1804</v>
      </c>
      <c r="S162" s="13" t="s">
        <v>983</v>
      </c>
      <c r="U162" s="22" t="s">
        <v>4144</v>
      </c>
      <c r="V162" s="22" t="s">
        <v>4355</v>
      </c>
      <c r="W162" s="8">
        <f t="shared" si="4"/>
        <v>17.750183418928835</v>
      </c>
    </row>
    <row r="163" spans="18:23" x14ac:dyDescent="0.25">
      <c r="R163" s="13" t="s">
        <v>1066</v>
      </c>
      <c r="S163" s="13" t="s">
        <v>983</v>
      </c>
      <c r="U163" s="22" t="s">
        <v>4115</v>
      </c>
      <c r="V163" s="22" t="s">
        <v>4356</v>
      </c>
      <c r="W163" s="8">
        <f t="shared" si="4"/>
        <v>5.1068073878627969</v>
      </c>
    </row>
    <row r="164" spans="18:23" x14ac:dyDescent="0.25">
      <c r="R164" s="13" t="s">
        <v>4109</v>
      </c>
      <c r="S164" s="13" t="s">
        <v>4100</v>
      </c>
      <c r="U164" s="22" t="s">
        <v>4045</v>
      </c>
      <c r="V164" s="22" t="s">
        <v>4357</v>
      </c>
      <c r="W164" s="8">
        <f t="shared" si="4"/>
        <v>9.1261788004526601</v>
      </c>
    </row>
    <row r="165" spans="18:23" x14ac:dyDescent="0.25">
      <c r="R165" s="13" t="s">
        <v>548</v>
      </c>
      <c r="S165" s="13" t="s">
        <v>4009</v>
      </c>
      <c r="U165" s="22" t="s">
        <v>447</v>
      </c>
      <c r="V165" s="22" t="s">
        <v>4358</v>
      </c>
      <c r="W165" s="8">
        <f t="shared" si="4"/>
        <v>1.1978759221666584</v>
      </c>
    </row>
    <row r="166" spans="18:23" x14ac:dyDescent="0.25">
      <c r="R166" s="13" t="s">
        <v>48</v>
      </c>
      <c r="S166" s="13" t="s">
        <v>4009</v>
      </c>
      <c r="U166" s="22" t="s">
        <v>46</v>
      </c>
      <c r="V166" s="22" t="s">
        <v>4359</v>
      </c>
      <c r="W166" s="8">
        <f t="shared" si="4"/>
        <v>1.1156790408116208</v>
      </c>
    </row>
    <row r="167" spans="18:23" x14ac:dyDescent="0.25">
      <c r="R167" s="13" t="s">
        <v>4043</v>
      </c>
      <c r="S167" s="13" t="s">
        <v>4009</v>
      </c>
      <c r="U167" s="22" t="s">
        <v>4063</v>
      </c>
      <c r="V167" s="22" t="s">
        <v>4360</v>
      </c>
      <c r="W167" s="8">
        <f t="shared" ref="W167:W192" si="5">$W$5/V167</f>
        <v>9.5986907359650857</v>
      </c>
    </row>
    <row r="168" spans="18:23" x14ac:dyDescent="0.25">
      <c r="R168" s="13" t="s">
        <v>608</v>
      </c>
      <c r="S168" s="13" t="s">
        <v>983</v>
      </c>
      <c r="U168" s="22" t="s">
        <v>4145</v>
      </c>
      <c r="V168" s="22" t="s">
        <v>4361</v>
      </c>
      <c r="W168" s="8">
        <f t="shared" si="5"/>
        <v>1.2827942735949098</v>
      </c>
    </row>
    <row r="169" spans="18:23" x14ac:dyDescent="0.25">
      <c r="R169" s="13" t="s">
        <v>716</v>
      </c>
      <c r="S169" s="13" t="s">
        <v>1126</v>
      </c>
      <c r="U169" s="22" t="s">
        <v>4064</v>
      </c>
      <c r="V169" s="22" t="s">
        <v>4362</v>
      </c>
      <c r="W169" s="8">
        <f t="shared" si="5"/>
        <v>23.409288824383164</v>
      </c>
    </row>
    <row r="170" spans="18:23" x14ac:dyDescent="0.25">
      <c r="R170" s="13" t="s">
        <v>4044</v>
      </c>
      <c r="S170" s="13" t="s">
        <v>4009</v>
      </c>
      <c r="U170" s="22" t="s">
        <v>4046</v>
      </c>
      <c r="V170" s="22" t="s">
        <v>4363</v>
      </c>
      <c r="W170" s="8">
        <f t="shared" si="5"/>
        <v>31.938613861386138</v>
      </c>
    </row>
    <row r="171" spans="18:23" x14ac:dyDescent="0.25">
      <c r="R171" s="13" t="s">
        <v>4115</v>
      </c>
      <c r="S171" s="22" t="s">
        <v>4166</v>
      </c>
      <c r="U171" s="22" t="s">
        <v>299</v>
      </c>
      <c r="V171" s="22" t="s">
        <v>4364</v>
      </c>
      <c r="W171" s="8">
        <f t="shared" si="5"/>
        <v>5.1497445721583652</v>
      </c>
    </row>
    <row r="172" spans="18:23" x14ac:dyDescent="0.25">
      <c r="R172" s="13" t="s">
        <v>4045</v>
      </c>
      <c r="S172" s="13" t="s">
        <v>4009</v>
      </c>
      <c r="U172" s="22" t="s">
        <v>4047</v>
      </c>
      <c r="V172" s="22" t="s">
        <v>4365</v>
      </c>
      <c r="W172" s="8">
        <f t="shared" si="5"/>
        <v>53.823136818687431</v>
      </c>
    </row>
    <row r="173" spans="18:23" x14ac:dyDescent="0.25">
      <c r="R173" s="13" t="s">
        <v>447</v>
      </c>
      <c r="S173" s="13" t="s">
        <v>983</v>
      </c>
      <c r="U173" s="22" t="s">
        <v>4110</v>
      </c>
      <c r="V173" s="22" t="s">
        <v>4366</v>
      </c>
      <c r="W173" s="8">
        <f t="shared" si="5"/>
        <v>6.5886437908496731</v>
      </c>
    </row>
    <row r="174" spans="18:23" x14ac:dyDescent="0.25">
      <c r="R174" s="13" t="s">
        <v>46</v>
      </c>
      <c r="S174" s="13" t="s">
        <v>983</v>
      </c>
      <c r="U174" s="22" t="s">
        <v>4098</v>
      </c>
      <c r="V174" s="22" t="s">
        <v>4367</v>
      </c>
      <c r="W174" s="8">
        <f t="shared" si="5"/>
        <v>2.412955667481175</v>
      </c>
    </row>
    <row r="175" spans="18:23" x14ac:dyDescent="0.25">
      <c r="R175" s="13" t="s">
        <v>4063</v>
      </c>
      <c r="S175" s="13" t="s">
        <v>1126</v>
      </c>
      <c r="U175" s="22" t="s">
        <v>1809</v>
      </c>
      <c r="V175" s="22" t="s">
        <v>4368</v>
      </c>
      <c r="W175" s="8">
        <f t="shared" si="5"/>
        <v>5.1051909685587678</v>
      </c>
    </row>
    <row r="176" spans="18:23" x14ac:dyDescent="0.25">
      <c r="R176" s="13" t="s">
        <v>4064</v>
      </c>
      <c r="S176" s="13" t="s">
        <v>1126</v>
      </c>
      <c r="U176" s="22" t="s">
        <v>197</v>
      </c>
      <c r="V176" s="22" t="s">
        <v>4369</v>
      </c>
      <c r="W176" s="8">
        <f t="shared" si="5"/>
        <v>3.3331266790659226</v>
      </c>
    </row>
    <row r="177" spans="18:23" x14ac:dyDescent="0.25">
      <c r="R177" s="13" t="s">
        <v>4046</v>
      </c>
      <c r="S177" s="13" t="s">
        <v>4009</v>
      </c>
      <c r="U177" s="22" t="s">
        <v>4065</v>
      </c>
      <c r="V177" s="22" t="s">
        <v>4370</v>
      </c>
      <c r="W177" s="8">
        <f t="shared" si="5"/>
        <v>6.167091511598267</v>
      </c>
    </row>
    <row r="178" spans="18:23" x14ac:dyDescent="0.25">
      <c r="R178" s="13" t="s">
        <v>299</v>
      </c>
      <c r="S178" s="13" t="s">
        <v>1126</v>
      </c>
      <c r="U178" s="22" t="s">
        <v>4146</v>
      </c>
      <c r="V178" s="22" t="s">
        <v>4371</v>
      </c>
      <c r="W178" s="8">
        <f t="shared" si="5"/>
        <v>13.789398689085209</v>
      </c>
    </row>
    <row r="179" spans="18:23" x14ac:dyDescent="0.25">
      <c r="R179" s="13" t="s">
        <v>4047</v>
      </c>
      <c r="S179" s="13" t="s">
        <v>4009</v>
      </c>
      <c r="U179" s="22" t="s">
        <v>1458</v>
      </c>
      <c r="V179" s="22" t="s">
        <v>4372</v>
      </c>
      <c r="W179" s="8">
        <f t="shared" si="5"/>
        <v>36.740318906605921</v>
      </c>
    </row>
    <row r="180" spans="18:23" x14ac:dyDescent="0.25">
      <c r="R180" s="13" t="s">
        <v>4110</v>
      </c>
      <c r="S180" s="13" t="s">
        <v>4100</v>
      </c>
      <c r="U180" s="22" t="s">
        <v>27</v>
      </c>
      <c r="V180" s="22" t="s">
        <v>4373</v>
      </c>
      <c r="W180" s="8">
        <f t="shared" si="5"/>
        <v>6.6897552882621323</v>
      </c>
    </row>
    <row r="181" spans="18:23" x14ac:dyDescent="0.25">
      <c r="R181" s="13" t="s">
        <v>4098</v>
      </c>
      <c r="S181" s="22" t="s">
        <v>4165</v>
      </c>
      <c r="U181" s="12" t="s">
        <v>179</v>
      </c>
      <c r="V181" s="22" t="s">
        <v>4374</v>
      </c>
      <c r="W181" s="8">
        <f t="shared" si="5"/>
        <v>1.0047551808629926</v>
      </c>
    </row>
    <row r="182" spans="18:23" x14ac:dyDescent="0.25">
      <c r="R182" s="13" t="s">
        <v>1809</v>
      </c>
      <c r="S182" s="13" t="s">
        <v>4009</v>
      </c>
      <c r="U182" s="12" t="s">
        <v>71</v>
      </c>
      <c r="V182" s="22" t="s">
        <v>4375</v>
      </c>
      <c r="W182" s="8">
        <f t="shared" si="5"/>
        <v>1.3407315045719035</v>
      </c>
    </row>
    <row r="183" spans="18:23" x14ac:dyDescent="0.25">
      <c r="R183" s="13" t="s">
        <v>197</v>
      </c>
      <c r="S183" s="13" t="s">
        <v>1126</v>
      </c>
      <c r="U183" s="12" t="s">
        <v>15</v>
      </c>
      <c r="V183" s="22" t="s">
        <v>4376</v>
      </c>
      <c r="W183" s="8">
        <f t="shared" si="5"/>
        <v>1</v>
      </c>
    </row>
    <row r="184" spans="18:23" x14ac:dyDescent="0.25">
      <c r="R184" s="13" t="s">
        <v>4065</v>
      </c>
      <c r="S184" s="13" t="s">
        <v>1126</v>
      </c>
      <c r="U184" s="22" t="s">
        <v>989</v>
      </c>
      <c r="V184" s="22" t="s">
        <v>4377</v>
      </c>
      <c r="W184" s="8">
        <f t="shared" si="5"/>
        <v>3.2016806722689077</v>
      </c>
    </row>
    <row r="185" spans="18:23" x14ac:dyDescent="0.25">
      <c r="R185" s="13" t="s">
        <v>4111</v>
      </c>
      <c r="S185" s="13" t="s">
        <v>4100</v>
      </c>
      <c r="U185" s="22" t="s">
        <v>4066</v>
      </c>
      <c r="V185" s="22" t="s">
        <v>4378</v>
      </c>
      <c r="W185" s="8">
        <f t="shared" si="5"/>
        <v>14.653846153846153</v>
      </c>
    </row>
    <row r="186" spans="18:23" x14ac:dyDescent="0.25">
      <c r="R186" s="13" t="s">
        <v>1458</v>
      </c>
      <c r="S186" s="13" t="s">
        <v>4009</v>
      </c>
      <c r="U186" s="22" t="s">
        <v>4112</v>
      </c>
      <c r="V186" s="22" t="s">
        <v>4379</v>
      </c>
      <c r="W186" s="8">
        <f t="shared" si="5"/>
        <v>9.8427583401139138</v>
      </c>
    </row>
    <row r="187" spans="18:23" x14ac:dyDescent="0.25">
      <c r="R187" s="13" t="s">
        <v>27</v>
      </c>
      <c r="S187" s="13" t="s">
        <v>983</v>
      </c>
      <c r="U187" s="22" t="s">
        <v>4147</v>
      </c>
      <c r="V187" s="22" t="s">
        <v>4380</v>
      </c>
      <c r="W187" s="8">
        <f t="shared" si="5"/>
        <v>3.8500159134309357</v>
      </c>
    </row>
    <row r="188" spans="18:23" x14ac:dyDescent="0.25">
      <c r="R188" s="13" t="s">
        <v>126</v>
      </c>
      <c r="S188" s="13" t="s">
        <v>1126</v>
      </c>
      <c r="U188" s="22" t="s">
        <v>1676</v>
      </c>
      <c r="V188" s="22" t="s">
        <v>4381</v>
      </c>
      <c r="W188" s="8">
        <f t="shared" si="5"/>
        <v>14.405180113128907</v>
      </c>
    </row>
    <row r="189" spans="18:23" x14ac:dyDescent="0.25">
      <c r="R189" s="13" t="s">
        <v>4081</v>
      </c>
      <c r="S189" s="13" t="s">
        <v>983</v>
      </c>
      <c r="U189" s="22" t="s">
        <v>4148</v>
      </c>
      <c r="V189" s="22" t="s">
        <v>4382</v>
      </c>
      <c r="W189" s="8">
        <f t="shared" si="5"/>
        <v>4.2115936983201321</v>
      </c>
    </row>
    <row r="190" spans="18:23" x14ac:dyDescent="0.25">
      <c r="R190" s="12" t="s">
        <v>71</v>
      </c>
      <c r="S190" s="13" t="s">
        <v>983</v>
      </c>
      <c r="U190" s="22" t="s">
        <v>4149</v>
      </c>
      <c r="V190" s="22" t="s">
        <v>4383</v>
      </c>
      <c r="W190" s="8">
        <f t="shared" si="5"/>
        <v>20.9739921976593</v>
      </c>
    </row>
    <row r="191" spans="18:23" x14ac:dyDescent="0.25">
      <c r="R191" s="12" t="s">
        <v>4099</v>
      </c>
      <c r="S191" s="22" t="s">
        <v>4165</v>
      </c>
      <c r="U191" s="22" t="s">
        <v>1086</v>
      </c>
      <c r="V191" s="22" t="s">
        <v>4384</v>
      </c>
      <c r="W191" s="8">
        <f t="shared" si="5"/>
        <v>30.03538175046555</v>
      </c>
    </row>
    <row r="192" spans="18:23" x14ac:dyDescent="0.25">
      <c r="R192" s="12" t="s">
        <v>15</v>
      </c>
      <c r="S192" s="22" t="s">
        <v>4165</v>
      </c>
      <c r="U192" s="22" t="s">
        <v>1055</v>
      </c>
      <c r="V192" s="22" t="s">
        <v>4385</v>
      </c>
      <c r="W192" s="8">
        <f t="shared" si="5"/>
        <v>99.357289527720738</v>
      </c>
    </row>
    <row r="193" spans="18:19" x14ac:dyDescent="0.25">
      <c r="R193" s="12" t="s">
        <v>292</v>
      </c>
      <c r="S193" s="22" t="s">
        <v>4166</v>
      </c>
    </row>
    <row r="194" spans="18:19" x14ac:dyDescent="0.25">
      <c r="R194" s="12" t="s">
        <v>359</v>
      </c>
      <c r="S194" s="13" t="s">
        <v>1126</v>
      </c>
    </row>
    <row r="195" spans="18:19" x14ac:dyDescent="0.25">
      <c r="R195" s="12" t="s">
        <v>179</v>
      </c>
      <c r="S195" s="13" t="s">
        <v>1126</v>
      </c>
    </row>
    <row r="196" spans="18:19" x14ac:dyDescent="0.25">
      <c r="R196" s="12" t="s">
        <v>4116</v>
      </c>
      <c r="S196" s="13" t="s">
        <v>1126</v>
      </c>
    </row>
    <row r="197" spans="18:19" x14ac:dyDescent="0.25">
      <c r="R197" s="12" t="s">
        <v>983</v>
      </c>
      <c r="S197" s="13" t="s">
        <v>983</v>
      </c>
    </row>
    <row r="198" spans="18:19" x14ac:dyDescent="0.25">
      <c r="R198" s="12" t="s">
        <v>1126</v>
      </c>
      <c r="S198" s="13" t="s">
        <v>1126</v>
      </c>
    </row>
    <row r="199" spans="18:19" x14ac:dyDescent="0.25">
      <c r="R199" s="15" t="s">
        <v>1371</v>
      </c>
      <c r="S199" s="22" t="s">
        <v>4166</v>
      </c>
    </row>
    <row r="200" spans="18:19" x14ac:dyDescent="0.25">
      <c r="R200" s="15" t="s">
        <v>1055</v>
      </c>
      <c r="S200" s="14" t="s">
        <v>4009</v>
      </c>
    </row>
    <row r="201" spans="18:19" x14ac:dyDescent="0.25">
      <c r="R201" s="15" t="s">
        <v>1933</v>
      </c>
      <c r="S201" s="14" t="s">
        <v>1126</v>
      </c>
    </row>
    <row r="202" spans="18:19" x14ac:dyDescent="0.25">
      <c r="R202" s="15" t="s">
        <v>1676</v>
      </c>
      <c r="S202" s="14" t="s">
        <v>1126</v>
      </c>
    </row>
    <row r="203" spans="18:19" x14ac:dyDescent="0.25">
      <c r="R203" s="15" t="s">
        <v>989</v>
      </c>
      <c r="S203" s="22" t="s">
        <v>4166</v>
      </c>
    </row>
    <row r="204" spans="18:19" x14ac:dyDescent="0.25">
      <c r="R204" s="15" t="s">
        <v>639</v>
      </c>
      <c r="S204" s="22" t="s">
        <v>4166</v>
      </c>
    </row>
    <row r="205" spans="18:19" x14ac:dyDescent="0.25">
      <c r="R205" s="15" t="s">
        <v>1444</v>
      </c>
      <c r="S205" s="15" t="s">
        <v>1126</v>
      </c>
    </row>
    <row r="206" spans="18:19" x14ac:dyDescent="0.25">
      <c r="R206" s="15" t="s">
        <v>992</v>
      </c>
      <c r="S206" s="22" t="s">
        <v>4166</v>
      </c>
    </row>
    <row r="207" spans="18:19" x14ac:dyDescent="0.25">
      <c r="R207" s="14" t="s">
        <v>1497</v>
      </c>
      <c r="S207" s="14" t="s">
        <v>983</v>
      </c>
    </row>
    <row r="208" spans="18:19" x14ac:dyDescent="0.25">
      <c r="R208" s="14" t="s">
        <v>567</v>
      </c>
      <c r="S208" s="14" t="s">
        <v>1126</v>
      </c>
    </row>
    <row r="209" spans="16:39" x14ac:dyDescent="0.25">
      <c r="R209" s="14" t="s">
        <v>1679</v>
      </c>
      <c r="S209" s="14"/>
    </row>
    <row r="210" spans="16:39" x14ac:dyDescent="0.25">
      <c r="R210" s="14" t="s">
        <v>1951</v>
      </c>
      <c r="S210" s="14" t="s">
        <v>983</v>
      </c>
    </row>
    <row r="211" spans="16:39" x14ac:dyDescent="0.25">
      <c r="R211" s="14" t="s">
        <v>644</v>
      </c>
      <c r="S211" s="14"/>
    </row>
    <row r="212" spans="16:39" x14ac:dyDescent="0.25">
      <c r="R212" s="14" t="s">
        <v>1086</v>
      </c>
      <c r="S212" s="14" t="s">
        <v>4009</v>
      </c>
    </row>
    <row r="214" spans="16:39" s="13" customFormat="1" x14ac:dyDescent="0.25">
      <c r="P214" s="22"/>
      <c r="U214" s="22"/>
      <c r="V214" s="22"/>
      <c r="W214" s="22"/>
      <c r="X214" s="22"/>
      <c r="Y214" s="22"/>
      <c r="Z214" s="22"/>
      <c r="AB214"/>
      <c r="AD214"/>
      <c r="AE214"/>
      <c r="AF214"/>
      <c r="AG214"/>
      <c r="AH214"/>
      <c r="AI214"/>
      <c r="AJ214"/>
      <c r="AK214"/>
      <c r="AL214"/>
      <c r="AM214"/>
    </row>
    <row r="245" spans="16:39" s="13" customFormat="1" x14ac:dyDescent="0.25">
      <c r="P245" s="22"/>
      <c r="U245" s="22"/>
      <c r="V245" s="22"/>
      <c r="W245" s="22"/>
      <c r="X245" s="22"/>
      <c r="Y245" s="22"/>
      <c r="Z245" s="22"/>
      <c r="AB245"/>
      <c r="AD245"/>
      <c r="AE245"/>
      <c r="AF245"/>
      <c r="AG245"/>
      <c r="AH245"/>
      <c r="AI245"/>
      <c r="AJ245"/>
      <c r="AK245"/>
      <c r="AL245"/>
      <c r="AM245"/>
    </row>
    <row r="246" spans="16:39" s="13" customFormat="1" x14ac:dyDescent="0.25">
      <c r="P246" s="22"/>
      <c r="U246" s="22"/>
      <c r="V246" s="22"/>
      <c r="W246" s="22"/>
      <c r="X246" s="22"/>
      <c r="Y246" s="22"/>
      <c r="Z246" s="22"/>
      <c r="AB246"/>
      <c r="AD246"/>
      <c r="AE246"/>
      <c r="AF246"/>
      <c r="AG246"/>
      <c r="AH246"/>
      <c r="AI246"/>
      <c r="AJ246"/>
      <c r="AK246"/>
      <c r="AL246"/>
      <c r="AM246"/>
    </row>
    <row r="248" spans="16:39" s="13" customFormat="1" x14ac:dyDescent="0.25">
      <c r="P248" s="22"/>
      <c r="U248" s="22"/>
      <c r="V248" s="22"/>
      <c r="W248" s="22"/>
      <c r="X248" s="22"/>
      <c r="Y248" s="22"/>
      <c r="Z248" s="22"/>
      <c r="AB248"/>
      <c r="AD248"/>
      <c r="AE248"/>
      <c r="AF248"/>
      <c r="AG248"/>
      <c r="AH248"/>
      <c r="AI248"/>
      <c r="AJ248"/>
      <c r="AK248"/>
      <c r="AL248"/>
      <c r="AM248"/>
    </row>
  </sheetData>
  <mergeCells count="1">
    <mergeCell ref="B1:C1"/>
  </mergeCells>
  <hyperlinks>
    <hyperlink ref="G1" r:id="rId1" xr:uid="{00000000-0004-0000-0100-000000000000}"/>
    <hyperlink ref="H1" r:id="rId2" xr:uid="{00000000-0004-0000-0100-000001000000}"/>
    <hyperlink ref="U3" r:id="rId3" xr:uid="{00000000-0004-0000-0100-000002000000}"/>
  </hyperlinks>
  <pageMargins left="0.7" right="0.7" top="0.75" bottom="0.75" header="0.3" footer="0.3"/>
  <pageSetup orientation="portrait" r:id="rId4"/>
  <tableParts count="4"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1:Q1888"/>
  <sheetViews>
    <sheetView showGridLines="0" zoomScale="70" zoomScaleNormal="70" workbookViewId="0">
      <selection activeCell="G28" sqref="G28"/>
    </sheetView>
  </sheetViews>
  <sheetFormatPr defaultColWidth="9.140625" defaultRowHeight="15" x14ac:dyDescent="0.25"/>
  <cols>
    <col min="1" max="1" width="4.42578125" customWidth="1"/>
    <col min="3" max="3" width="21.42578125" bestFit="1" customWidth="1"/>
    <col min="4" max="4" width="13" customWidth="1"/>
    <col min="5" max="5" width="13.5703125" customWidth="1"/>
    <col min="6" max="6" width="7" customWidth="1"/>
    <col min="7" max="7" width="12.7109375" customWidth="1"/>
    <col min="8" max="8" width="24.42578125" customWidth="1"/>
    <col min="9" max="9" width="20" customWidth="1"/>
    <col min="10" max="11" width="15.140625" customWidth="1"/>
    <col min="12" max="12" width="28" customWidth="1"/>
    <col min="13" max="13" width="18" customWidth="1"/>
    <col min="14" max="14" width="13" customWidth="1"/>
    <col min="15" max="15" width="17.140625" style="13" customWidth="1"/>
    <col min="16" max="16" width="20" customWidth="1"/>
    <col min="17" max="17" width="20.5703125" customWidth="1"/>
  </cols>
  <sheetData>
    <row r="1" spans="2:17" ht="23.25" x14ac:dyDescent="0.35">
      <c r="B1" s="78" t="s">
        <v>3994</v>
      </c>
      <c r="C1" s="78"/>
      <c r="D1" s="78"/>
      <c r="E1" s="78"/>
      <c r="G1">
        <v>12</v>
      </c>
      <c r="O1"/>
      <c r="P1" s="22" t="s">
        <v>4193</v>
      </c>
      <c r="Q1" t="b">
        <v>0</v>
      </c>
    </row>
    <row r="3" spans="2:17" x14ac:dyDescent="0.25">
      <c r="B3" s="3" t="s">
        <v>3995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9" t="s">
        <v>4191</v>
      </c>
      <c r="O3"/>
    </row>
    <row r="5" spans="2:17" x14ac:dyDescent="0.25">
      <c r="B5" t="s">
        <v>2008</v>
      </c>
      <c r="C5" t="s">
        <v>0</v>
      </c>
      <c r="D5" t="s">
        <v>1</v>
      </c>
      <c r="E5" t="s">
        <v>3978</v>
      </c>
      <c r="F5" t="s">
        <v>2</v>
      </c>
      <c r="G5" t="s">
        <v>3979</v>
      </c>
      <c r="H5" t="s">
        <v>3</v>
      </c>
      <c r="I5" t="s">
        <v>3998</v>
      </c>
      <c r="J5" t="s">
        <v>4</v>
      </c>
      <c r="K5" t="s">
        <v>4004</v>
      </c>
      <c r="L5" t="s">
        <v>5</v>
      </c>
      <c r="M5" t="s">
        <v>3996</v>
      </c>
      <c r="N5" s="22" t="s">
        <v>4118</v>
      </c>
      <c r="O5" s="22" t="s">
        <v>4190</v>
      </c>
      <c r="P5" s="22" t="s">
        <v>4125</v>
      </c>
      <c r="Q5" s="22" t="s">
        <v>4192</v>
      </c>
    </row>
    <row r="6" spans="2:17" ht="15" customHeight="1" x14ac:dyDescent="0.25">
      <c r="B6" t="s">
        <v>2009</v>
      </c>
      <c r="C6" s="1">
        <v>41054.133009259262</v>
      </c>
      <c r="D6" s="4">
        <v>5846</v>
      </c>
      <c r="E6">
        <v>5846</v>
      </c>
      <c r="F6" t="s">
        <v>6</v>
      </c>
      <c r="G6">
        <f>tblSalaries[[#This Row],[clean Salary (in local currency)]]*VLOOKUP(tblSalaries[[#This Row],[Currency]],tblXrate[],2,FALSE)</f>
        <v>5846</v>
      </c>
      <c r="H6" t="s">
        <v>7</v>
      </c>
      <c r="I6" t="s">
        <v>20</v>
      </c>
      <c r="J6" t="s">
        <v>8</v>
      </c>
      <c r="K6" t="str">
        <f>VLOOKUP(tblSalaries[[#This Row],[Where do you work]],tblCountries[[Actual]:[Mapping]],2,FALSE)</f>
        <v>India</v>
      </c>
      <c r="L6" t="s">
        <v>9</v>
      </c>
      <c r="N6" s="36" t="str">
        <f>VLOOKUP(K6,tblCountries[],3,0)</f>
        <v>Asia</v>
      </c>
      <c r="O6" s="8">
        <f>VLOOKUP(tblSalaries[[#This Row],[How many hours of a day you work on Excel]],tblHours,2,0)</f>
        <v>4</v>
      </c>
      <c r="P6" s="8">
        <f>VLOOKUP(tblSalaries[[#This Row],[clean Country]],tblCountries[],5,0)</f>
        <v>13.098808879263672</v>
      </c>
      <c r="Q6" s="8">
        <f>IF($Q$1,tblSalaries[[#This Row],[PPP Factor]]*tblSalaries[[#This Row],[Salary in USD]],tblSalaries[[#This Row],[Salary in USD]])</f>
        <v>5846</v>
      </c>
    </row>
    <row r="7" spans="2:17" ht="15" customHeight="1" x14ac:dyDescent="0.25">
      <c r="B7" t="s">
        <v>2010</v>
      </c>
      <c r="C7" s="1">
        <v>41054.13417824074</v>
      </c>
      <c r="D7" s="4" t="s">
        <v>10</v>
      </c>
      <c r="E7">
        <v>15000</v>
      </c>
      <c r="F7" t="s">
        <v>6</v>
      </c>
      <c r="G7">
        <f>tblSalaries[[#This Row],[clean Salary (in local currency)]]*VLOOKUP(tblSalaries[[#This Row],[Currency]],tblXrate[],2,FALSE)</f>
        <v>15000</v>
      </c>
      <c r="H7" t="s">
        <v>11</v>
      </c>
      <c r="I7" t="s">
        <v>488</v>
      </c>
      <c r="J7" t="s">
        <v>12</v>
      </c>
      <c r="K7" t="str">
        <f>VLOOKUP(tblSalaries[[#This Row],[Where do you work]],tblCountries[[Actual]:[Mapping]],2,FALSE)</f>
        <v>Croatia</v>
      </c>
      <c r="L7" t="s">
        <v>13</v>
      </c>
      <c r="N7" s="8" t="str">
        <f>VLOOKUP(K7,tblCountries[],3,0)</f>
        <v>Europe</v>
      </c>
      <c r="O7" s="8">
        <f>VLOOKUP(tblSalaries[[#This Row],[How many hours of a day you work on Excel]],tblHours,2,0)</f>
        <v>5</v>
      </c>
      <c r="P7" s="8">
        <f>VLOOKUP(tblSalaries[[#This Row],[clean Country]],tblCountries[],5,0)</f>
        <v>2.6597955145118735</v>
      </c>
      <c r="Q7" s="8">
        <f>IF($Q$1,tblSalaries[[#This Row],[PPP Factor]]*tblSalaries[[#This Row],[Salary in USD]],tblSalaries[[#This Row],[Salary in USD]])</f>
        <v>15000</v>
      </c>
    </row>
    <row r="8" spans="2:17" ht="15" customHeight="1" x14ac:dyDescent="0.25">
      <c r="B8" t="s">
        <v>2011</v>
      </c>
      <c r="C8" s="1">
        <v>41054.136412037034</v>
      </c>
      <c r="D8" s="4">
        <v>58000</v>
      </c>
      <c r="E8">
        <v>58000</v>
      </c>
      <c r="F8" t="s">
        <v>6</v>
      </c>
      <c r="G8">
        <f>tblSalaries[[#This Row],[clean Salary (in local currency)]]*VLOOKUP(tblSalaries[[#This Row],[Currency]],tblXrate[],2,FALSE)</f>
        <v>58000</v>
      </c>
      <c r="H8" t="s">
        <v>14</v>
      </c>
      <c r="I8" t="s">
        <v>20</v>
      </c>
      <c r="J8" t="s">
        <v>15</v>
      </c>
      <c r="K8" t="str">
        <f>VLOOKUP(tblSalaries[[#This Row],[Where do you work]],tblCountries[[Actual]:[Mapping]],2,FALSE)</f>
        <v>USA</v>
      </c>
      <c r="L8" t="s">
        <v>13</v>
      </c>
      <c r="N8" s="8" t="str">
        <f>VLOOKUP(K8,tblCountries[],3,0)</f>
        <v>North Amer.</v>
      </c>
      <c r="O8" s="8">
        <f>VLOOKUP(tblSalaries[[#This Row],[How many hours of a day you work on Excel]],tblHours,2,0)</f>
        <v>5</v>
      </c>
      <c r="P8" s="8">
        <f>VLOOKUP(tblSalaries[[#This Row],[clean Country]],tblCountries[],5,0)</f>
        <v>1</v>
      </c>
      <c r="Q8" s="8">
        <f>IF($Q$1,tblSalaries[[#This Row],[PPP Factor]]*tblSalaries[[#This Row],[Salary in USD]],tblSalaries[[#This Row],[Salary in USD]])</f>
        <v>58000</v>
      </c>
    </row>
    <row r="9" spans="2:17" ht="15" customHeight="1" x14ac:dyDescent="0.25">
      <c r="B9" t="s">
        <v>2012</v>
      </c>
      <c r="C9" s="1">
        <v>41054.141458333332</v>
      </c>
      <c r="D9" s="4">
        <v>48000</v>
      </c>
      <c r="E9">
        <v>48000</v>
      </c>
      <c r="F9" t="s">
        <v>6</v>
      </c>
      <c r="G9">
        <f>tblSalaries[[#This Row],[clean Salary (in local currency)]]*VLOOKUP(tblSalaries[[#This Row],[Currency]],tblXrate[],2,FALSE)</f>
        <v>48000</v>
      </c>
      <c r="H9" t="s">
        <v>16</v>
      </c>
      <c r="I9" t="s">
        <v>488</v>
      </c>
      <c r="J9" t="s">
        <v>17</v>
      </c>
      <c r="K9" t="str">
        <f>VLOOKUP(tblSalaries[[#This Row],[Where do you work]],tblCountries[[Actual]:[Mapping]],2,FALSE)</f>
        <v>Pakistan</v>
      </c>
      <c r="L9" t="s">
        <v>18</v>
      </c>
      <c r="N9" s="8" t="str">
        <f>VLOOKUP(K9,tblCountries[],3,0)</f>
        <v>Asia</v>
      </c>
      <c r="O9" s="8">
        <f>VLOOKUP(tblSalaries[[#This Row],[How many hours of a day you work on Excel]],tblHours,2,0)</f>
        <v>3</v>
      </c>
      <c r="P9" s="8">
        <f>VLOOKUP(tblSalaries[[#This Row],[clean Country]],tblCountries[],5,0)</f>
        <v>17.361679224973088</v>
      </c>
      <c r="Q9" s="8">
        <f>IF($Q$1,tblSalaries[[#This Row],[PPP Factor]]*tblSalaries[[#This Row],[Salary in USD]],tblSalaries[[#This Row],[Salary in USD]])</f>
        <v>48000</v>
      </c>
    </row>
    <row r="10" spans="2:17" ht="15" customHeight="1" x14ac:dyDescent="0.25">
      <c r="B10" t="s">
        <v>2013</v>
      </c>
      <c r="C10" s="1">
        <v>41054.143796296295</v>
      </c>
      <c r="D10" s="4">
        <v>54000</v>
      </c>
      <c r="E10">
        <v>54000</v>
      </c>
      <c r="F10" t="s">
        <v>6</v>
      </c>
      <c r="G10">
        <f>tblSalaries[[#This Row],[clean Salary (in local currency)]]*VLOOKUP(tblSalaries[[#This Row],[Currency]],tblXrate[],2,FALSE)</f>
        <v>54000</v>
      </c>
      <c r="H10" t="s">
        <v>19</v>
      </c>
      <c r="I10" t="s">
        <v>279</v>
      </c>
      <c r="J10" t="s">
        <v>15</v>
      </c>
      <c r="K10" t="str">
        <f>VLOOKUP(tblSalaries[[#This Row],[Where do you work]],tblCountries[[Actual]:[Mapping]],2,FALSE)</f>
        <v>USA</v>
      </c>
      <c r="L10" t="s">
        <v>13</v>
      </c>
      <c r="N10" s="8" t="str">
        <f>VLOOKUP(K10,tblCountries[],3,0)</f>
        <v>North Amer.</v>
      </c>
      <c r="O10" s="8">
        <f>VLOOKUP(tblSalaries[[#This Row],[How many hours of a day you work on Excel]],tblHours,2,0)</f>
        <v>5</v>
      </c>
      <c r="P10" s="8">
        <f>VLOOKUP(tblSalaries[[#This Row],[clean Country]],tblCountries[],5,0)</f>
        <v>1</v>
      </c>
      <c r="Q10" s="8">
        <f>IF($Q$1,tblSalaries[[#This Row],[PPP Factor]]*tblSalaries[[#This Row],[Salary in USD]],tblSalaries[[#This Row],[Salary in USD]])</f>
        <v>54000</v>
      </c>
    </row>
    <row r="11" spans="2:17" ht="15" customHeight="1" x14ac:dyDescent="0.25">
      <c r="B11" t="s">
        <v>2014</v>
      </c>
      <c r="C11" s="1">
        <v>41054.144768518519</v>
      </c>
      <c r="D11" s="4">
        <v>41731</v>
      </c>
      <c r="E11">
        <v>41731</v>
      </c>
      <c r="F11" t="s">
        <v>6</v>
      </c>
      <c r="G11">
        <f>tblSalaries[[#This Row],[clean Salary (in local currency)]]*VLOOKUP(tblSalaries[[#This Row],[Currency]],tblXrate[],2,FALSE)</f>
        <v>41731</v>
      </c>
      <c r="H11" t="s">
        <v>20</v>
      </c>
      <c r="I11" t="s">
        <v>20</v>
      </c>
      <c r="J11" t="s">
        <v>21</v>
      </c>
      <c r="K11" t="str">
        <f>VLOOKUP(tblSalaries[[#This Row],[Where do you work]],tblCountries[[Actual]:[Mapping]],2,FALSE)</f>
        <v>Iceland</v>
      </c>
      <c r="L11" t="s">
        <v>13</v>
      </c>
      <c r="N11" s="8" t="str">
        <f>VLOOKUP(K11,tblCountries[],3,0)</f>
        <v>Europe</v>
      </c>
      <c r="O11" s="8">
        <f>VLOOKUP(tblSalaries[[#This Row],[How many hours of a day you work on Excel]],tblHours,2,0)</f>
        <v>5</v>
      </c>
      <c r="P11" s="8">
        <f>VLOOKUP(tblSalaries[[#This Row],[clean Country]],tblCountries[],5,0)</f>
        <v>1.2713013320722</v>
      </c>
      <c r="Q11" s="8">
        <f>IF($Q$1,tblSalaries[[#This Row],[PPP Factor]]*tblSalaries[[#This Row],[Salary in USD]],tblSalaries[[#This Row],[Salary in USD]])</f>
        <v>41731</v>
      </c>
    </row>
    <row r="12" spans="2:17" ht="15" customHeight="1" x14ac:dyDescent="0.25">
      <c r="B12" t="s">
        <v>2015</v>
      </c>
      <c r="C12" s="1">
        <v>41054.148506944446</v>
      </c>
      <c r="D12" s="4">
        <v>145000</v>
      </c>
      <c r="E12">
        <v>145000</v>
      </c>
      <c r="F12" t="s">
        <v>22</v>
      </c>
      <c r="G12">
        <f>tblSalaries[[#This Row],[clean Salary (in local currency)]]*VLOOKUP(tblSalaries[[#This Row],[Currency]],tblXrate[],2,FALSE)</f>
        <v>184207.91865378313</v>
      </c>
      <c r="H12" t="s">
        <v>23</v>
      </c>
      <c r="I12" t="s">
        <v>52</v>
      </c>
      <c r="J12" t="s">
        <v>24</v>
      </c>
      <c r="K12" t="str">
        <f>VLOOKUP(tblSalaries[[#This Row],[Where do you work]],tblCountries[[Actual]:[Mapping]],2,FALSE)</f>
        <v>Germany</v>
      </c>
      <c r="L12" t="s">
        <v>25</v>
      </c>
      <c r="N12" s="8" t="str">
        <f>VLOOKUP(K12,tblCountries[],3,0)</f>
        <v>Europe</v>
      </c>
      <c r="O12" s="8">
        <f>VLOOKUP(tblSalaries[[#This Row],[How many hours of a day you work on Excel]],tblHours,2,0)</f>
        <v>2</v>
      </c>
      <c r="P12" s="8">
        <f>VLOOKUP(tblSalaries[[#This Row],[clean Country]],tblCountries[],5,0)</f>
        <v>1.276802913159353</v>
      </c>
      <c r="Q12" s="8">
        <f>IF($Q$1,tblSalaries[[#This Row],[PPP Factor]]*tblSalaries[[#This Row],[Salary in USD]],tblSalaries[[#This Row],[Salary in USD]])</f>
        <v>184207.91865378313</v>
      </c>
    </row>
    <row r="13" spans="2:17" ht="15" customHeight="1" x14ac:dyDescent="0.25">
      <c r="B13" t="s">
        <v>2016</v>
      </c>
      <c r="C13" s="1">
        <v>41054.15042824074</v>
      </c>
      <c r="D13" s="4">
        <v>12000</v>
      </c>
      <c r="E13">
        <v>12000</v>
      </c>
      <c r="F13" t="s">
        <v>6</v>
      </c>
      <c r="G13">
        <f>tblSalaries[[#This Row],[clean Salary (in local currency)]]*VLOOKUP(tblSalaries[[#This Row],[Currency]],tblXrate[],2,FALSE)</f>
        <v>12000</v>
      </c>
      <c r="H13" t="s">
        <v>26</v>
      </c>
      <c r="I13" t="s">
        <v>20</v>
      </c>
      <c r="J13" t="s">
        <v>27</v>
      </c>
      <c r="K13" t="str">
        <f>VLOOKUP(tblSalaries[[#This Row],[Where do you work]],tblCountries[[Actual]:[Mapping]],2,FALSE)</f>
        <v>Ukraine</v>
      </c>
      <c r="L13" t="s">
        <v>13</v>
      </c>
      <c r="N13" s="8" t="str">
        <f>VLOOKUP(K13,tblCountries[],3,0)</f>
        <v>Europe</v>
      </c>
      <c r="O13" s="8">
        <f>VLOOKUP(tblSalaries[[#This Row],[How many hours of a day you work on Excel]],tblHours,2,0)</f>
        <v>5</v>
      </c>
      <c r="P13" s="8">
        <f>VLOOKUP(tblSalaries[[#This Row],[clean Country]],tblCountries[],5,0)</f>
        <v>6.6897552882621323</v>
      </c>
      <c r="Q13" s="8">
        <f>IF($Q$1,tblSalaries[[#This Row],[PPP Factor]]*tblSalaries[[#This Row],[Salary in USD]],tblSalaries[[#This Row],[Salary in USD]])</f>
        <v>12000</v>
      </c>
    </row>
    <row r="14" spans="2:17" ht="15" customHeight="1" x14ac:dyDescent="0.25">
      <c r="B14" t="s">
        <v>2017</v>
      </c>
      <c r="C14" s="1">
        <v>41054.150891203702</v>
      </c>
      <c r="D14" s="4" t="s">
        <v>28</v>
      </c>
      <c r="E14">
        <v>44000</v>
      </c>
      <c r="F14" t="s">
        <v>6</v>
      </c>
      <c r="G14">
        <f>tblSalaries[[#This Row],[clean Salary (in local currency)]]*VLOOKUP(tblSalaries[[#This Row],[Currency]],tblXrate[],2,FALSE)</f>
        <v>44000</v>
      </c>
      <c r="H14" t="s">
        <v>29</v>
      </c>
      <c r="I14" t="s">
        <v>4001</v>
      </c>
      <c r="J14" t="s">
        <v>30</v>
      </c>
      <c r="K14" t="str">
        <f>VLOOKUP(tblSalaries[[#This Row],[Where do you work]],tblCountries[[Actual]:[Mapping]],2,FALSE)</f>
        <v>Portugal</v>
      </c>
      <c r="L14" t="s">
        <v>25</v>
      </c>
      <c r="N14" s="8" t="str">
        <f>VLOOKUP(K14,tblCountries[],3,0)</f>
        <v>Europe</v>
      </c>
      <c r="O14" s="8">
        <f>VLOOKUP(tblSalaries[[#This Row],[How many hours of a day you work on Excel]],tblHours,2,0)</f>
        <v>2</v>
      </c>
      <c r="P14" s="8">
        <f>VLOOKUP(tblSalaries[[#This Row],[clean Country]],tblCountries[],5,0)</f>
        <v>2.0712726338769745</v>
      </c>
      <c r="Q14" s="8">
        <f>IF($Q$1,tblSalaries[[#This Row],[PPP Factor]]*tblSalaries[[#This Row],[Salary in USD]],tblSalaries[[#This Row],[Salary in USD]])</f>
        <v>44000</v>
      </c>
    </row>
    <row r="15" spans="2:17" ht="15" customHeight="1" x14ac:dyDescent="0.25">
      <c r="B15" t="s">
        <v>2018</v>
      </c>
      <c r="C15" s="1">
        <v>41054.152048611111</v>
      </c>
      <c r="D15" s="4" t="s">
        <v>31</v>
      </c>
      <c r="E15">
        <v>1152000</v>
      </c>
      <c r="F15" t="s">
        <v>32</v>
      </c>
      <c r="G15">
        <f>tblSalaries[[#This Row],[clean Salary (in local currency)]]*VLOOKUP(tblSalaries[[#This Row],[Currency]],tblXrate[],2,FALSE)</f>
        <v>12227.430201752599</v>
      </c>
      <c r="H15" t="s">
        <v>33</v>
      </c>
      <c r="I15" t="s">
        <v>310</v>
      </c>
      <c r="J15" t="s">
        <v>17</v>
      </c>
      <c r="K15" t="str">
        <f>VLOOKUP(tblSalaries[[#This Row],[Where do you work]],tblCountries[[Actual]:[Mapping]],2,FALSE)</f>
        <v>Pakistan</v>
      </c>
      <c r="L15" t="s">
        <v>13</v>
      </c>
      <c r="N15" s="8" t="str">
        <f>VLOOKUP(K15,tblCountries[],3,0)</f>
        <v>Asia</v>
      </c>
      <c r="O15" s="8">
        <f>VLOOKUP(tblSalaries[[#This Row],[How many hours of a day you work on Excel]],tblHours,2,0)</f>
        <v>5</v>
      </c>
      <c r="P15" s="8">
        <f>VLOOKUP(tblSalaries[[#This Row],[clean Country]],tblCountries[],5,0)</f>
        <v>17.361679224973088</v>
      </c>
      <c r="Q15" s="8">
        <f>IF($Q$1,tblSalaries[[#This Row],[PPP Factor]]*tblSalaries[[#This Row],[Salary in USD]],tblSalaries[[#This Row],[Salary in USD]])</f>
        <v>12227.430201752599</v>
      </c>
    </row>
    <row r="16" spans="2:17" ht="15" customHeight="1" x14ac:dyDescent="0.25">
      <c r="B16" t="s">
        <v>2019</v>
      </c>
      <c r="C16" s="1">
        <v>41054.155381944445</v>
      </c>
      <c r="D16" s="4" t="s">
        <v>34</v>
      </c>
      <c r="E16">
        <v>51650</v>
      </c>
      <c r="F16" t="s">
        <v>22</v>
      </c>
      <c r="G16">
        <f>tblSalaries[[#This Row],[clean Salary (in local currency)]]*VLOOKUP(tblSalaries[[#This Row],[Currency]],tblXrate[],2,FALSE)</f>
        <v>65616.131023916547</v>
      </c>
      <c r="H16" t="s">
        <v>35</v>
      </c>
      <c r="I16" t="s">
        <v>67</v>
      </c>
      <c r="J16" t="s">
        <v>36</v>
      </c>
      <c r="K16" t="str">
        <f>VLOOKUP(tblSalaries[[#This Row],[Where do you work]],tblCountries[[Actual]:[Mapping]],2,FALSE)</f>
        <v>Ireland</v>
      </c>
      <c r="L16" t="s">
        <v>18</v>
      </c>
      <c r="N16" s="8" t="str">
        <f>VLOOKUP(K16,tblCountries[],3,0)</f>
        <v>Europe</v>
      </c>
      <c r="O16" s="8">
        <f>VLOOKUP(tblSalaries[[#This Row],[How many hours of a day you work on Excel]],tblHours,2,0)</f>
        <v>3</v>
      </c>
      <c r="P16" s="8">
        <f>VLOOKUP(tblSalaries[[#This Row],[clean Country]],tblCountries[],5,0)</f>
        <v>1.2206917429803981</v>
      </c>
      <c r="Q16" s="8">
        <f>IF($Q$1,tblSalaries[[#This Row],[PPP Factor]]*tblSalaries[[#This Row],[Salary in USD]],tblSalaries[[#This Row],[Salary in USD]])</f>
        <v>65616.131023916547</v>
      </c>
    </row>
    <row r="17" spans="2:17" ht="15" customHeight="1" x14ac:dyDescent="0.25">
      <c r="B17" t="s">
        <v>2020</v>
      </c>
      <c r="C17" s="1">
        <v>41054.155509259261</v>
      </c>
      <c r="D17" s="4">
        <v>14000</v>
      </c>
      <c r="E17">
        <v>14000</v>
      </c>
      <c r="F17" t="s">
        <v>6</v>
      </c>
      <c r="G17">
        <f>tblSalaries[[#This Row],[clean Salary (in local currency)]]*VLOOKUP(tblSalaries[[#This Row],[Currency]],tblXrate[],2,FALSE)</f>
        <v>14000</v>
      </c>
      <c r="H17" t="s">
        <v>37</v>
      </c>
      <c r="I17" t="s">
        <v>279</v>
      </c>
      <c r="J17" t="s">
        <v>38</v>
      </c>
      <c r="K17" t="str">
        <f>VLOOKUP(tblSalaries[[#This Row],[Where do you work]],tblCountries[[Actual]:[Mapping]],2,FALSE)</f>
        <v>Hungary</v>
      </c>
      <c r="L17" t="s">
        <v>9</v>
      </c>
      <c r="N17" s="8" t="str">
        <f>VLOOKUP(K17,tblCountries[],3,0)</f>
        <v>Europe</v>
      </c>
      <c r="O17" s="8">
        <f>VLOOKUP(tblSalaries[[#This Row],[How many hours of a day you work on Excel]],tblHours,2,0)</f>
        <v>4</v>
      </c>
      <c r="P17" s="8">
        <f>VLOOKUP(tblSalaries[[#This Row],[clean Country]],tblCountries[],5,0)</f>
        <v>2.4698586085447398</v>
      </c>
      <c r="Q17" s="8">
        <f>IF($Q$1,tblSalaries[[#This Row],[PPP Factor]]*tblSalaries[[#This Row],[Salary in USD]],tblSalaries[[#This Row],[Salary in USD]])</f>
        <v>14000</v>
      </c>
    </row>
    <row r="18" spans="2:17" ht="15" customHeight="1" x14ac:dyDescent="0.25">
      <c r="B18" t="s">
        <v>2021</v>
      </c>
      <c r="C18" s="1">
        <v>41054.158946759257</v>
      </c>
      <c r="D18" s="4" t="s">
        <v>39</v>
      </c>
      <c r="E18">
        <v>749000</v>
      </c>
      <c r="F18" t="s">
        <v>40</v>
      </c>
      <c r="G18">
        <f>tblSalaries[[#This Row],[clean Salary (in local currency)]]*VLOOKUP(tblSalaries[[#This Row],[Currency]],tblXrate[],2,FALSE)</f>
        <v>13338.129598894484</v>
      </c>
      <c r="H18" t="s">
        <v>41</v>
      </c>
      <c r="I18" t="s">
        <v>20</v>
      </c>
      <c r="J18" t="s">
        <v>8</v>
      </c>
      <c r="K18" t="str">
        <f>VLOOKUP(tblSalaries[[#This Row],[Where do you work]],tblCountries[[Actual]:[Mapping]],2,FALSE)</f>
        <v>India</v>
      </c>
      <c r="L18" t="s">
        <v>13</v>
      </c>
      <c r="N18" s="8" t="str">
        <f>VLOOKUP(K18,tblCountries[],3,0)</f>
        <v>Asia</v>
      </c>
      <c r="O18" s="8">
        <f>VLOOKUP(tblSalaries[[#This Row],[How many hours of a day you work on Excel]],tblHours,2,0)</f>
        <v>5</v>
      </c>
      <c r="P18" s="8">
        <f>VLOOKUP(tblSalaries[[#This Row],[clean Country]],tblCountries[],5,0)</f>
        <v>13.098808879263672</v>
      </c>
      <c r="Q18" s="8">
        <f>IF($Q$1,tblSalaries[[#This Row],[PPP Factor]]*tblSalaries[[#This Row],[Salary in USD]],tblSalaries[[#This Row],[Salary in USD]])</f>
        <v>13338.129598894484</v>
      </c>
    </row>
    <row r="19" spans="2:17" ht="15" customHeight="1" x14ac:dyDescent="0.25">
      <c r="B19" t="s">
        <v>2022</v>
      </c>
      <c r="C19" s="1">
        <v>41054.160393518519</v>
      </c>
      <c r="D19" s="4">
        <v>49000</v>
      </c>
      <c r="E19">
        <v>49000</v>
      </c>
      <c r="F19" t="s">
        <v>6</v>
      </c>
      <c r="G19">
        <f>tblSalaries[[#This Row],[clean Salary (in local currency)]]*VLOOKUP(tblSalaries[[#This Row],[Currency]],tblXrate[],2,FALSE)</f>
        <v>49000</v>
      </c>
      <c r="H19" t="s">
        <v>42</v>
      </c>
      <c r="I19" t="s">
        <v>20</v>
      </c>
      <c r="J19" t="s">
        <v>15</v>
      </c>
      <c r="K19" t="str">
        <f>VLOOKUP(tblSalaries[[#This Row],[Where do you work]],tblCountries[[Actual]:[Mapping]],2,FALSE)</f>
        <v>USA</v>
      </c>
      <c r="L19" t="s">
        <v>13</v>
      </c>
      <c r="N19" s="8" t="str">
        <f>VLOOKUP(K19,tblCountries[],3,0)</f>
        <v>North Amer.</v>
      </c>
      <c r="O19" s="8">
        <f>VLOOKUP(tblSalaries[[#This Row],[How many hours of a day you work on Excel]],tblHours,2,0)</f>
        <v>5</v>
      </c>
      <c r="P19" s="8">
        <f>VLOOKUP(tblSalaries[[#This Row],[clean Country]],tblCountries[],5,0)</f>
        <v>1</v>
      </c>
      <c r="Q19" s="8">
        <f>IF($Q$1,tblSalaries[[#This Row],[PPP Factor]]*tblSalaries[[#This Row],[Salary in USD]],tblSalaries[[#This Row],[Salary in USD]])</f>
        <v>49000</v>
      </c>
    </row>
    <row r="20" spans="2:17" ht="15" customHeight="1" x14ac:dyDescent="0.25">
      <c r="B20" t="s">
        <v>2023</v>
      </c>
      <c r="C20" s="1">
        <v>41054.162060185183</v>
      </c>
      <c r="D20" s="4">
        <v>85000</v>
      </c>
      <c r="E20">
        <v>85000</v>
      </c>
      <c r="F20" t="s">
        <v>6</v>
      </c>
      <c r="G20">
        <f>tblSalaries[[#This Row],[clean Salary (in local currency)]]*VLOOKUP(tblSalaries[[#This Row],[Currency]],tblXrate[],2,FALSE)</f>
        <v>85000</v>
      </c>
      <c r="H20" t="s">
        <v>43</v>
      </c>
      <c r="I20" t="s">
        <v>279</v>
      </c>
      <c r="J20" t="s">
        <v>15</v>
      </c>
      <c r="K20" t="str">
        <f>VLOOKUP(tblSalaries[[#This Row],[Where do you work]],tblCountries[[Actual]:[Mapping]],2,FALSE)</f>
        <v>USA</v>
      </c>
      <c r="L20" t="s">
        <v>25</v>
      </c>
      <c r="N20" s="8" t="str">
        <f>VLOOKUP(K20,tblCountries[],3,0)</f>
        <v>North Amer.</v>
      </c>
      <c r="O20" s="8">
        <f>VLOOKUP(tblSalaries[[#This Row],[How many hours of a day you work on Excel]],tblHours,2,0)</f>
        <v>2</v>
      </c>
      <c r="P20" s="8">
        <f>VLOOKUP(tblSalaries[[#This Row],[clean Country]],tblCountries[],5,0)</f>
        <v>1</v>
      </c>
      <c r="Q20" s="8">
        <f>IF($Q$1,tblSalaries[[#This Row],[PPP Factor]]*tblSalaries[[#This Row],[Salary in USD]],tblSalaries[[#This Row],[Salary in USD]])</f>
        <v>85000</v>
      </c>
    </row>
    <row r="21" spans="2:17" ht="15" customHeight="1" x14ac:dyDescent="0.25">
      <c r="B21" t="s">
        <v>2024</v>
      </c>
      <c r="C21" s="1">
        <v>41054.164351851854</v>
      </c>
      <c r="D21" s="4">
        <v>75000</v>
      </c>
      <c r="E21">
        <v>75000</v>
      </c>
      <c r="F21" t="s">
        <v>6</v>
      </c>
      <c r="G21">
        <f>tblSalaries[[#This Row],[clean Salary (in local currency)]]*VLOOKUP(tblSalaries[[#This Row],[Currency]],tblXrate[],2,FALSE)</f>
        <v>75000</v>
      </c>
      <c r="H21" t="s">
        <v>44</v>
      </c>
      <c r="I21" t="s">
        <v>279</v>
      </c>
      <c r="J21" t="s">
        <v>15</v>
      </c>
      <c r="K21" t="str">
        <f>VLOOKUP(tblSalaries[[#This Row],[Where do you work]],tblCountries[[Actual]:[Mapping]],2,FALSE)</f>
        <v>USA</v>
      </c>
      <c r="L21" t="s">
        <v>13</v>
      </c>
      <c r="N21" s="8" t="str">
        <f>VLOOKUP(K21,tblCountries[],3,0)</f>
        <v>North Amer.</v>
      </c>
      <c r="O21" s="8">
        <f>VLOOKUP(tblSalaries[[#This Row],[How many hours of a day you work on Excel]],tblHours,2,0)</f>
        <v>5</v>
      </c>
      <c r="P21" s="8">
        <f>VLOOKUP(tblSalaries[[#This Row],[clean Country]],tblCountries[],5,0)</f>
        <v>1</v>
      </c>
      <c r="Q21" s="8">
        <f>IF($Q$1,tblSalaries[[#This Row],[PPP Factor]]*tblSalaries[[#This Row],[Salary in USD]],tblSalaries[[#This Row],[Salary in USD]])</f>
        <v>75000</v>
      </c>
    </row>
    <row r="22" spans="2:17" ht="15" customHeight="1" x14ac:dyDescent="0.25">
      <c r="B22" t="s">
        <v>2025</v>
      </c>
      <c r="C22" s="1">
        <v>41054.173738425925</v>
      </c>
      <c r="D22" s="4">
        <v>107000</v>
      </c>
      <c r="E22">
        <v>107000</v>
      </c>
      <c r="F22" t="s">
        <v>6</v>
      </c>
      <c r="G22">
        <f>tblSalaries[[#This Row],[clean Salary (in local currency)]]*VLOOKUP(tblSalaries[[#This Row],[Currency]],tblXrate[],2,FALSE)</f>
        <v>107000</v>
      </c>
      <c r="H22" t="s">
        <v>45</v>
      </c>
      <c r="I22" t="s">
        <v>52</v>
      </c>
      <c r="J22" t="s">
        <v>46</v>
      </c>
      <c r="K22" t="str">
        <f>VLOOKUP(tblSalaries[[#This Row],[Where do you work]],tblCountries[[Actual]:[Mapping]],2,FALSE)</f>
        <v>Switzerland</v>
      </c>
      <c r="L22" t="s">
        <v>9</v>
      </c>
      <c r="N22" s="8" t="str">
        <f>VLOOKUP(K22,tblCountries[],3,0)</f>
        <v>Europe</v>
      </c>
      <c r="O22" s="8">
        <f>VLOOKUP(tblSalaries[[#This Row],[How many hours of a day you work on Excel]],tblHours,2,0)</f>
        <v>4</v>
      </c>
      <c r="P22" s="8">
        <f>VLOOKUP(tblSalaries[[#This Row],[clean Country]],tblCountries[],5,0)</f>
        <v>1.1156790408116208</v>
      </c>
      <c r="Q22" s="8">
        <f>IF($Q$1,tblSalaries[[#This Row],[PPP Factor]]*tblSalaries[[#This Row],[Salary in USD]],tblSalaries[[#This Row],[Salary in USD]])</f>
        <v>107000</v>
      </c>
    </row>
    <row r="23" spans="2:17" ht="15" customHeight="1" x14ac:dyDescent="0.25">
      <c r="B23" t="s">
        <v>2026</v>
      </c>
      <c r="C23" s="1">
        <v>41054.174120370371</v>
      </c>
      <c r="D23" s="4">
        <v>45000</v>
      </c>
      <c r="E23">
        <v>45000</v>
      </c>
      <c r="F23" t="s">
        <v>6</v>
      </c>
      <c r="G23">
        <f>tblSalaries[[#This Row],[clean Salary (in local currency)]]*VLOOKUP(tblSalaries[[#This Row],[Currency]],tblXrate[],2,FALSE)</f>
        <v>45000</v>
      </c>
      <c r="H23" t="s">
        <v>47</v>
      </c>
      <c r="I23" t="s">
        <v>3999</v>
      </c>
      <c r="J23" t="s">
        <v>48</v>
      </c>
      <c r="K23" t="str">
        <f>VLOOKUP(tblSalaries[[#This Row],[Where do you work]],tblCountries[[Actual]:[Mapping]],2,FALSE)</f>
        <v>South Africa</v>
      </c>
      <c r="L23" t="s">
        <v>13</v>
      </c>
      <c r="N23" s="8" t="str">
        <f>VLOOKUP(K23,tblCountries[],3,0)</f>
        <v>Africa</v>
      </c>
      <c r="O23" s="8">
        <f>VLOOKUP(tblSalaries[[#This Row],[How many hours of a day you work on Excel]],tblHours,2,0)</f>
        <v>5</v>
      </c>
      <c r="P23" s="8">
        <f>VLOOKUP(tblSalaries[[#This Row],[clean Country]],tblCountries[],5,0)</f>
        <v>4.4096418481727877</v>
      </c>
      <c r="Q23" s="8">
        <f>IF($Q$1,tblSalaries[[#This Row],[PPP Factor]]*tblSalaries[[#This Row],[Salary in USD]],tblSalaries[[#This Row],[Salary in USD]])</f>
        <v>45000</v>
      </c>
    </row>
    <row r="24" spans="2:17" ht="15" customHeight="1" x14ac:dyDescent="0.25">
      <c r="B24" t="s">
        <v>2027</v>
      </c>
      <c r="C24" s="1">
        <v>41054.178148148145</v>
      </c>
      <c r="D24" s="4">
        <v>550000</v>
      </c>
      <c r="E24">
        <v>550000</v>
      </c>
      <c r="F24" t="s">
        <v>40</v>
      </c>
      <c r="G24">
        <f>tblSalaries[[#This Row],[clean Salary (in local currency)]]*VLOOKUP(tblSalaries[[#This Row],[Currency]],tblXrate[],2,FALSE)</f>
        <v>9794.354178093412</v>
      </c>
      <c r="H24" t="s">
        <v>49</v>
      </c>
      <c r="I24" t="s">
        <v>52</v>
      </c>
      <c r="J24" t="s">
        <v>8</v>
      </c>
      <c r="K24" t="str">
        <f>VLOOKUP(tblSalaries[[#This Row],[Where do you work]],tblCountries[[Actual]:[Mapping]],2,FALSE)</f>
        <v>India</v>
      </c>
      <c r="L24" t="s">
        <v>18</v>
      </c>
      <c r="N24" s="8" t="str">
        <f>VLOOKUP(K24,tblCountries[],3,0)</f>
        <v>Asia</v>
      </c>
      <c r="O24" s="8">
        <f>VLOOKUP(tblSalaries[[#This Row],[How many hours of a day you work on Excel]],tblHours,2,0)</f>
        <v>3</v>
      </c>
      <c r="P24" s="8">
        <f>VLOOKUP(tblSalaries[[#This Row],[clean Country]],tblCountries[],5,0)</f>
        <v>13.098808879263672</v>
      </c>
      <c r="Q24" s="8">
        <f>IF($Q$1,tblSalaries[[#This Row],[PPP Factor]]*tblSalaries[[#This Row],[Salary in USD]],tblSalaries[[#This Row],[Salary in USD]])</f>
        <v>9794.354178093412</v>
      </c>
    </row>
    <row r="25" spans="2:17" ht="15" customHeight="1" x14ac:dyDescent="0.25">
      <c r="B25" t="s">
        <v>2028</v>
      </c>
      <c r="C25" s="1">
        <v>41054.180115740739</v>
      </c>
      <c r="D25" s="4">
        <v>50000</v>
      </c>
      <c r="E25">
        <v>50000</v>
      </c>
      <c r="F25" t="s">
        <v>6</v>
      </c>
      <c r="G25">
        <f>tblSalaries[[#This Row],[clean Salary (in local currency)]]*VLOOKUP(tblSalaries[[#This Row],[Currency]],tblXrate[],2,FALSE)</f>
        <v>50000</v>
      </c>
      <c r="H25" t="s">
        <v>50</v>
      </c>
      <c r="I25" t="s">
        <v>52</v>
      </c>
      <c r="J25" t="s">
        <v>8</v>
      </c>
      <c r="K25" t="str">
        <f>VLOOKUP(tblSalaries[[#This Row],[Where do you work]],tblCountries[[Actual]:[Mapping]],2,FALSE)</f>
        <v>India</v>
      </c>
      <c r="L25" t="s">
        <v>25</v>
      </c>
      <c r="N25" s="8" t="str">
        <f>VLOOKUP(K25,tblCountries[],3,0)</f>
        <v>Asia</v>
      </c>
      <c r="O25" s="8">
        <f>VLOOKUP(tblSalaries[[#This Row],[How many hours of a day you work on Excel]],tblHours,2,0)</f>
        <v>2</v>
      </c>
      <c r="P25" s="8">
        <f>VLOOKUP(tblSalaries[[#This Row],[clean Country]],tblCountries[],5,0)</f>
        <v>13.098808879263672</v>
      </c>
      <c r="Q25" s="8">
        <f>IF($Q$1,tblSalaries[[#This Row],[PPP Factor]]*tblSalaries[[#This Row],[Salary in USD]],tblSalaries[[#This Row],[Salary in USD]])</f>
        <v>50000</v>
      </c>
    </row>
    <row r="26" spans="2:17" ht="15" customHeight="1" x14ac:dyDescent="0.25">
      <c r="B26" t="s">
        <v>2029</v>
      </c>
      <c r="C26" s="1">
        <v>41054.183344907404</v>
      </c>
      <c r="D26" s="4">
        <v>13500</v>
      </c>
      <c r="E26">
        <v>13500</v>
      </c>
      <c r="F26" t="s">
        <v>6</v>
      </c>
      <c r="G26">
        <f>tblSalaries[[#This Row],[clean Salary (in local currency)]]*VLOOKUP(tblSalaries[[#This Row],[Currency]],tblXrate[],2,FALSE)</f>
        <v>13500</v>
      </c>
      <c r="H26" t="s">
        <v>51</v>
      </c>
      <c r="I26" t="s">
        <v>52</v>
      </c>
      <c r="J26" t="s">
        <v>8</v>
      </c>
      <c r="K26" t="str">
        <f>VLOOKUP(tblSalaries[[#This Row],[Where do you work]],tblCountries[[Actual]:[Mapping]],2,FALSE)</f>
        <v>India</v>
      </c>
      <c r="L26" t="s">
        <v>9</v>
      </c>
      <c r="N26" s="8" t="str">
        <f>VLOOKUP(K26,tblCountries[],3,0)</f>
        <v>Asia</v>
      </c>
      <c r="O26" s="8">
        <f>VLOOKUP(tblSalaries[[#This Row],[How many hours of a day you work on Excel]],tblHours,2,0)</f>
        <v>4</v>
      </c>
      <c r="P26" s="8">
        <f>VLOOKUP(tblSalaries[[#This Row],[clean Country]],tblCountries[],5,0)</f>
        <v>13.098808879263672</v>
      </c>
      <c r="Q26" s="8">
        <f>IF($Q$1,tblSalaries[[#This Row],[PPP Factor]]*tblSalaries[[#This Row],[Salary in USD]],tblSalaries[[#This Row],[Salary in USD]])</f>
        <v>13500</v>
      </c>
    </row>
    <row r="27" spans="2:17" ht="15" customHeight="1" x14ac:dyDescent="0.25">
      <c r="B27" t="s">
        <v>2030</v>
      </c>
      <c r="C27" s="1">
        <v>41054.183472222219</v>
      </c>
      <c r="D27" s="4">
        <v>96000</v>
      </c>
      <c r="E27">
        <v>96000</v>
      </c>
      <c r="F27" t="s">
        <v>6</v>
      </c>
      <c r="G27">
        <f>tblSalaries[[#This Row],[clean Salary (in local currency)]]*VLOOKUP(tblSalaries[[#This Row],[Currency]],tblXrate[],2,FALSE)</f>
        <v>96000</v>
      </c>
      <c r="H27" t="s">
        <v>20</v>
      </c>
      <c r="I27" t="s">
        <v>20</v>
      </c>
      <c r="J27" t="s">
        <v>15</v>
      </c>
      <c r="K27" t="str">
        <f>VLOOKUP(tblSalaries[[#This Row],[Where do you work]],tblCountries[[Actual]:[Mapping]],2,FALSE)</f>
        <v>USA</v>
      </c>
      <c r="L27" t="s">
        <v>18</v>
      </c>
      <c r="N27" s="8" t="str">
        <f>VLOOKUP(K27,tblCountries[],3,0)</f>
        <v>North Amer.</v>
      </c>
      <c r="O27" s="8">
        <f>VLOOKUP(tblSalaries[[#This Row],[How many hours of a day you work on Excel]],tblHours,2,0)</f>
        <v>3</v>
      </c>
      <c r="P27" s="8">
        <f>VLOOKUP(tblSalaries[[#This Row],[clean Country]],tblCountries[],5,0)</f>
        <v>1</v>
      </c>
      <c r="Q27" s="8">
        <f>IF($Q$1,tblSalaries[[#This Row],[PPP Factor]]*tblSalaries[[#This Row],[Salary in USD]],tblSalaries[[#This Row],[Salary in USD]])</f>
        <v>96000</v>
      </c>
    </row>
    <row r="28" spans="2:17" ht="15" customHeight="1" x14ac:dyDescent="0.25">
      <c r="B28" t="s">
        <v>2031</v>
      </c>
      <c r="C28" s="1">
        <v>41054.188668981478</v>
      </c>
      <c r="D28" s="4">
        <v>1000000</v>
      </c>
      <c r="E28">
        <v>1000000</v>
      </c>
      <c r="F28" t="s">
        <v>40</v>
      </c>
      <c r="G28">
        <f>tblSalaries[[#This Row],[clean Salary (in local currency)]]*VLOOKUP(tblSalaries[[#This Row],[Currency]],tblXrate[],2,FALSE)</f>
        <v>17807.916687442568</v>
      </c>
      <c r="H28" t="s">
        <v>52</v>
      </c>
      <c r="I28" t="s">
        <v>52</v>
      </c>
      <c r="J28" t="s">
        <v>8</v>
      </c>
      <c r="K28" t="str">
        <f>VLOOKUP(tblSalaries[[#This Row],[Where do you work]],tblCountries[[Actual]:[Mapping]],2,FALSE)</f>
        <v>India</v>
      </c>
      <c r="L28" t="s">
        <v>9</v>
      </c>
      <c r="N28" s="8" t="str">
        <f>VLOOKUP(K28,tblCountries[],3,0)</f>
        <v>Asia</v>
      </c>
      <c r="O28" s="8">
        <f>VLOOKUP(tblSalaries[[#This Row],[How many hours of a day you work on Excel]],tblHours,2,0)</f>
        <v>4</v>
      </c>
      <c r="P28" s="8">
        <f>VLOOKUP(tblSalaries[[#This Row],[clean Country]],tblCountries[],5,0)</f>
        <v>13.098808879263672</v>
      </c>
      <c r="Q28" s="8">
        <f>IF($Q$1,tblSalaries[[#This Row],[PPP Factor]]*tblSalaries[[#This Row],[Salary in USD]],tblSalaries[[#This Row],[Salary in USD]])</f>
        <v>17807.916687442568</v>
      </c>
    </row>
    <row r="29" spans="2:17" ht="15" customHeight="1" x14ac:dyDescent="0.25">
      <c r="B29" t="s">
        <v>2032</v>
      </c>
      <c r="C29" s="1">
        <v>41054.189456018517</v>
      </c>
      <c r="D29" s="4">
        <v>75000</v>
      </c>
      <c r="E29">
        <v>75000</v>
      </c>
      <c r="F29" t="s">
        <v>6</v>
      </c>
      <c r="G29">
        <f>tblSalaries[[#This Row],[clean Salary (in local currency)]]*VLOOKUP(tblSalaries[[#This Row],[Currency]],tblXrate[],2,FALSE)</f>
        <v>75000</v>
      </c>
      <c r="H29" t="s">
        <v>53</v>
      </c>
      <c r="I29" t="s">
        <v>4001</v>
      </c>
      <c r="J29" t="s">
        <v>15</v>
      </c>
      <c r="K29" t="str">
        <f>VLOOKUP(tblSalaries[[#This Row],[Where do you work]],tblCountries[[Actual]:[Mapping]],2,FALSE)</f>
        <v>USA</v>
      </c>
      <c r="L29" t="s">
        <v>9</v>
      </c>
      <c r="N29" s="8" t="str">
        <f>VLOOKUP(K29,tblCountries[],3,0)</f>
        <v>North Amer.</v>
      </c>
      <c r="O29" s="8">
        <f>VLOOKUP(tblSalaries[[#This Row],[How many hours of a day you work on Excel]],tblHours,2,0)</f>
        <v>4</v>
      </c>
      <c r="P29" s="8">
        <f>VLOOKUP(tblSalaries[[#This Row],[clean Country]],tblCountries[],5,0)</f>
        <v>1</v>
      </c>
      <c r="Q29" s="8">
        <f>IF($Q$1,tblSalaries[[#This Row],[PPP Factor]]*tblSalaries[[#This Row],[Salary in USD]],tblSalaries[[#This Row],[Salary in USD]])</f>
        <v>75000</v>
      </c>
    </row>
    <row r="30" spans="2:17" ht="15" customHeight="1" x14ac:dyDescent="0.25">
      <c r="B30" t="s">
        <v>2033</v>
      </c>
      <c r="C30" s="1">
        <v>41054.197118055556</v>
      </c>
      <c r="D30" s="4" t="s">
        <v>54</v>
      </c>
      <c r="E30">
        <v>40000</v>
      </c>
      <c r="F30" t="s">
        <v>6</v>
      </c>
      <c r="G30">
        <f>tblSalaries[[#This Row],[clean Salary (in local currency)]]*VLOOKUP(tblSalaries[[#This Row],[Currency]],tblXrate[],2,FALSE)</f>
        <v>40000</v>
      </c>
      <c r="H30" t="s">
        <v>55</v>
      </c>
      <c r="I30" t="s">
        <v>52</v>
      </c>
      <c r="J30" t="s">
        <v>15</v>
      </c>
      <c r="K30" t="str">
        <f>VLOOKUP(tblSalaries[[#This Row],[Where do you work]],tblCountries[[Actual]:[Mapping]],2,FALSE)</f>
        <v>USA</v>
      </c>
      <c r="L30" t="s">
        <v>18</v>
      </c>
      <c r="N30" s="8" t="str">
        <f>VLOOKUP(K30,tblCountries[],3,0)</f>
        <v>North Amer.</v>
      </c>
      <c r="O30" s="8">
        <f>VLOOKUP(tblSalaries[[#This Row],[How many hours of a day you work on Excel]],tblHours,2,0)</f>
        <v>3</v>
      </c>
      <c r="P30" s="8">
        <f>VLOOKUP(tblSalaries[[#This Row],[clean Country]],tblCountries[],5,0)</f>
        <v>1</v>
      </c>
      <c r="Q30" s="8">
        <f>IF($Q$1,tblSalaries[[#This Row],[PPP Factor]]*tblSalaries[[#This Row],[Salary in USD]],tblSalaries[[#This Row],[Salary in USD]])</f>
        <v>40000</v>
      </c>
    </row>
    <row r="31" spans="2:17" ht="15" customHeight="1" x14ac:dyDescent="0.25">
      <c r="B31" t="s">
        <v>2034</v>
      </c>
      <c r="C31" s="1">
        <v>41054.197928240741</v>
      </c>
      <c r="D31" s="4">
        <v>60000</v>
      </c>
      <c r="E31">
        <v>60000</v>
      </c>
      <c r="F31" t="s">
        <v>6</v>
      </c>
      <c r="G31">
        <f>tblSalaries[[#This Row],[clean Salary (in local currency)]]*VLOOKUP(tblSalaries[[#This Row],[Currency]],tblXrate[],2,FALSE)</f>
        <v>60000</v>
      </c>
      <c r="H31" t="s">
        <v>57</v>
      </c>
      <c r="I31" t="s">
        <v>20</v>
      </c>
      <c r="J31" t="s">
        <v>15</v>
      </c>
      <c r="K31" t="str">
        <f>VLOOKUP(tblSalaries[[#This Row],[Where do you work]],tblCountries[[Actual]:[Mapping]],2,FALSE)</f>
        <v>USA</v>
      </c>
      <c r="L31" t="s">
        <v>13</v>
      </c>
      <c r="N31" s="8" t="str">
        <f>VLOOKUP(K31,tblCountries[],3,0)</f>
        <v>North Amer.</v>
      </c>
      <c r="O31" s="8">
        <f>VLOOKUP(tblSalaries[[#This Row],[How many hours of a day you work on Excel]],tblHours,2,0)</f>
        <v>5</v>
      </c>
      <c r="P31" s="8">
        <f>VLOOKUP(tblSalaries[[#This Row],[clean Country]],tblCountries[],5,0)</f>
        <v>1</v>
      </c>
      <c r="Q31" s="8">
        <f>IF($Q$1,tblSalaries[[#This Row],[PPP Factor]]*tblSalaries[[#This Row],[Salary in USD]],tblSalaries[[#This Row],[Salary in USD]])</f>
        <v>60000</v>
      </c>
    </row>
    <row r="32" spans="2:17" ht="15" customHeight="1" x14ac:dyDescent="0.25">
      <c r="B32" t="s">
        <v>2035</v>
      </c>
      <c r="C32" s="1">
        <v>41054.200381944444</v>
      </c>
      <c r="D32" s="4">
        <v>2700</v>
      </c>
      <c r="E32">
        <v>32400</v>
      </c>
      <c r="F32" t="s">
        <v>22</v>
      </c>
      <c r="G32">
        <f>tblSalaries[[#This Row],[clean Salary (in local currency)]]*VLOOKUP(tblSalaries[[#This Row],[Currency]],tblXrate[],2,FALSE)</f>
        <v>41160.941823328096</v>
      </c>
      <c r="H32" t="s">
        <v>58</v>
      </c>
      <c r="I32" t="s">
        <v>52</v>
      </c>
      <c r="J32" t="s">
        <v>59</v>
      </c>
      <c r="K32" t="str">
        <f>VLOOKUP(tblSalaries[[#This Row],[Where do you work]],tblCountries[[Actual]:[Mapping]],2,FALSE)</f>
        <v>Belgium</v>
      </c>
      <c r="L32" t="s">
        <v>9</v>
      </c>
      <c r="N32" s="8" t="str">
        <f>VLOOKUP(K32,tblCountries[],3,0)</f>
        <v>Europe</v>
      </c>
      <c r="O32" s="8">
        <f>VLOOKUP(tblSalaries[[#This Row],[How many hours of a day you work on Excel]],tblHours,2,0)</f>
        <v>4</v>
      </c>
      <c r="P32" s="8">
        <f>VLOOKUP(tblSalaries[[#This Row],[clean Country]],tblCountries[],5,0)</f>
        <v>1.2822163924000318</v>
      </c>
      <c r="Q32" s="8">
        <f>IF($Q$1,tblSalaries[[#This Row],[PPP Factor]]*tblSalaries[[#This Row],[Salary in USD]],tblSalaries[[#This Row],[Salary in USD]])</f>
        <v>41160.941823328096</v>
      </c>
    </row>
    <row r="33" spans="2:17" ht="15" customHeight="1" x14ac:dyDescent="0.25">
      <c r="B33" t="s">
        <v>2036</v>
      </c>
      <c r="C33" s="1">
        <v>41054.203043981484</v>
      </c>
      <c r="D33" s="4" t="s">
        <v>60</v>
      </c>
      <c r="E33">
        <v>900000</v>
      </c>
      <c r="F33" t="s">
        <v>40</v>
      </c>
      <c r="G33">
        <f>tblSalaries[[#This Row],[clean Salary (in local currency)]]*VLOOKUP(tblSalaries[[#This Row],[Currency]],tblXrate[],2,FALSE)</f>
        <v>16027.125018698311</v>
      </c>
      <c r="H33" t="s">
        <v>61</v>
      </c>
      <c r="I33" t="s">
        <v>279</v>
      </c>
      <c r="J33" t="s">
        <v>8</v>
      </c>
      <c r="K33" t="str">
        <f>VLOOKUP(tblSalaries[[#This Row],[Where do you work]],tblCountries[[Actual]:[Mapping]],2,FALSE)</f>
        <v>India</v>
      </c>
      <c r="L33" t="s">
        <v>25</v>
      </c>
      <c r="N33" s="8" t="str">
        <f>VLOOKUP(K33,tblCountries[],3,0)</f>
        <v>Asia</v>
      </c>
      <c r="O33" s="8">
        <f>VLOOKUP(tblSalaries[[#This Row],[How many hours of a day you work on Excel]],tblHours,2,0)</f>
        <v>2</v>
      </c>
      <c r="P33" s="8">
        <f>VLOOKUP(tblSalaries[[#This Row],[clean Country]],tblCountries[],5,0)</f>
        <v>13.098808879263672</v>
      </c>
      <c r="Q33" s="8">
        <f>IF($Q$1,tblSalaries[[#This Row],[PPP Factor]]*tblSalaries[[#This Row],[Salary in USD]],tblSalaries[[#This Row],[Salary in USD]])</f>
        <v>16027.125018698311</v>
      </c>
    </row>
    <row r="34" spans="2:17" ht="15" customHeight="1" x14ac:dyDescent="0.25">
      <c r="B34" t="s">
        <v>2037</v>
      </c>
      <c r="C34" s="1">
        <v>41054.205266203702</v>
      </c>
      <c r="D34" s="4" t="s">
        <v>62</v>
      </c>
      <c r="E34">
        <v>600000</v>
      </c>
      <c r="F34" t="s">
        <v>40</v>
      </c>
      <c r="G34">
        <f>tblSalaries[[#This Row],[clean Salary (in local currency)]]*VLOOKUP(tblSalaries[[#This Row],[Currency]],tblXrate[],2,FALSE)</f>
        <v>10684.750012465542</v>
      </c>
      <c r="H34" t="s">
        <v>63</v>
      </c>
      <c r="I34" t="s">
        <v>52</v>
      </c>
      <c r="J34" t="s">
        <v>8</v>
      </c>
      <c r="K34" t="str">
        <f>VLOOKUP(tblSalaries[[#This Row],[Where do you work]],tblCountries[[Actual]:[Mapping]],2,FALSE)</f>
        <v>India</v>
      </c>
      <c r="L34" t="s">
        <v>9</v>
      </c>
      <c r="N34" s="8" t="str">
        <f>VLOOKUP(K34,tblCountries[],3,0)</f>
        <v>Asia</v>
      </c>
      <c r="O34" s="8">
        <f>VLOOKUP(tblSalaries[[#This Row],[How many hours of a day you work on Excel]],tblHours,2,0)</f>
        <v>4</v>
      </c>
      <c r="P34" s="8">
        <f>VLOOKUP(tblSalaries[[#This Row],[clean Country]],tblCountries[],5,0)</f>
        <v>13.098808879263672</v>
      </c>
      <c r="Q34" s="8">
        <f>IF($Q$1,tblSalaries[[#This Row],[PPP Factor]]*tblSalaries[[#This Row],[Salary in USD]],tblSalaries[[#This Row],[Salary in USD]])</f>
        <v>10684.750012465542</v>
      </c>
    </row>
    <row r="35" spans="2:17" ht="15" customHeight="1" x14ac:dyDescent="0.25">
      <c r="B35" t="s">
        <v>2038</v>
      </c>
      <c r="C35" s="1">
        <v>41054.205416666664</v>
      </c>
      <c r="D35" s="4">
        <v>41000</v>
      </c>
      <c r="E35">
        <v>41000</v>
      </c>
      <c r="F35" t="s">
        <v>6</v>
      </c>
      <c r="G35">
        <f>tblSalaries[[#This Row],[clean Salary (in local currency)]]*VLOOKUP(tblSalaries[[#This Row],[Currency]],tblXrate[],2,FALSE)</f>
        <v>41000</v>
      </c>
      <c r="H35" t="s">
        <v>64</v>
      </c>
      <c r="I35" t="s">
        <v>52</v>
      </c>
      <c r="J35" t="s">
        <v>65</v>
      </c>
      <c r="K35" t="str">
        <f>VLOOKUP(tblSalaries[[#This Row],[Where do you work]],tblCountries[[Actual]:[Mapping]],2,FALSE)</f>
        <v>Russia</v>
      </c>
      <c r="L35" t="s">
        <v>13</v>
      </c>
      <c r="N35" s="8" t="str">
        <f>VLOOKUP(K35,tblCountries[],3,0)</f>
        <v>Asia</v>
      </c>
      <c r="O35" s="8">
        <f>VLOOKUP(tblSalaries[[#This Row],[How many hours of a day you work on Excel]],tblHours,2,0)</f>
        <v>5</v>
      </c>
      <c r="P35" s="8">
        <f>VLOOKUP(tblSalaries[[#This Row],[clean Country]],tblCountries[],5,0)</f>
        <v>2.8911926386233269</v>
      </c>
      <c r="Q35" s="8">
        <f>IF($Q$1,tblSalaries[[#This Row],[PPP Factor]]*tblSalaries[[#This Row],[Salary in USD]],tblSalaries[[#This Row],[Salary in USD]])</f>
        <v>41000</v>
      </c>
    </row>
    <row r="36" spans="2:17" ht="15" customHeight="1" x14ac:dyDescent="0.25">
      <c r="B36" t="s">
        <v>2039</v>
      </c>
      <c r="C36" s="1">
        <v>41054.206319444442</v>
      </c>
      <c r="D36" s="4" t="s">
        <v>66</v>
      </c>
      <c r="E36">
        <v>360000</v>
      </c>
      <c r="F36" t="s">
        <v>40</v>
      </c>
      <c r="G36">
        <f>tblSalaries[[#This Row],[clean Salary (in local currency)]]*VLOOKUP(tblSalaries[[#This Row],[Currency]],tblXrate[],2,FALSE)</f>
        <v>6410.8500074793246</v>
      </c>
      <c r="H36" t="s">
        <v>67</v>
      </c>
      <c r="I36" t="s">
        <v>67</v>
      </c>
      <c r="J36" t="s">
        <v>8</v>
      </c>
      <c r="K36" t="str">
        <f>VLOOKUP(tblSalaries[[#This Row],[Where do you work]],tblCountries[[Actual]:[Mapping]],2,FALSE)</f>
        <v>India</v>
      </c>
      <c r="L36" t="s">
        <v>9</v>
      </c>
      <c r="N36" s="8" t="str">
        <f>VLOOKUP(K36,tblCountries[],3,0)</f>
        <v>Asia</v>
      </c>
      <c r="O36" s="8">
        <f>VLOOKUP(tblSalaries[[#This Row],[How many hours of a day you work on Excel]],tblHours,2,0)</f>
        <v>4</v>
      </c>
      <c r="P36" s="8">
        <f>VLOOKUP(tblSalaries[[#This Row],[clean Country]],tblCountries[],5,0)</f>
        <v>13.098808879263672</v>
      </c>
      <c r="Q36" s="8">
        <f>IF($Q$1,tblSalaries[[#This Row],[PPP Factor]]*tblSalaries[[#This Row],[Salary in USD]],tblSalaries[[#This Row],[Salary in USD]])</f>
        <v>6410.8500074793246</v>
      </c>
    </row>
    <row r="37" spans="2:17" ht="15" customHeight="1" x14ac:dyDescent="0.25">
      <c r="B37" t="s">
        <v>2040</v>
      </c>
      <c r="C37" s="1">
        <v>41054.207465277781</v>
      </c>
      <c r="D37" s="4" t="s">
        <v>68</v>
      </c>
      <c r="E37">
        <v>35000</v>
      </c>
      <c r="F37" t="s">
        <v>69</v>
      </c>
      <c r="G37">
        <f>tblSalaries[[#This Row],[clean Salary (in local currency)]]*VLOOKUP(tblSalaries[[#This Row],[Currency]],tblXrate[],2,FALSE)</f>
        <v>55166.239522354947</v>
      </c>
      <c r="H37" t="s">
        <v>70</v>
      </c>
      <c r="I37" t="s">
        <v>20</v>
      </c>
      <c r="J37" t="s">
        <v>71</v>
      </c>
      <c r="K37" t="str">
        <f>VLOOKUP(tblSalaries[[#This Row],[Where do you work]],tblCountries[[Actual]:[Mapping]],2,FALSE)</f>
        <v>UK</v>
      </c>
      <c r="L37" t="s">
        <v>13</v>
      </c>
      <c r="N37" s="8" t="str">
        <f>VLOOKUP(K37,tblCountries[],3,0)</f>
        <v>Europe</v>
      </c>
      <c r="O37" s="8">
        <f>VLOOKUP(tblSalaries[[#This Row],[How many hours of a day you work on Excel]],tblHours,2,0)</f>
        <v>5</v>
      </c>
      <c r="P37" s="8">
        <f>VLOOKUP(tblSalaries[[#This Row],[clean Country]],tblCountries[],5,0)</f>
        <v>1.3407315045719035</v>
      </c>
      <c r="Q37" s="8">
        <f>IF($Q$1,tblSalaries[[#This Row],[PPP Factor]]*tblSalaries[[#This Row],[Salary in USD]],tblSalaries[[#This Row],[Salary in USD]])</f>
        <v>55166.239522354947</v>
      </c>
    </row>
    <row r="38" spans="2:17" ht="15" customHeight="1" x14ac:dyDescent="0.25">
      <c r="B38" t="s">
        <v>2041</v>
      </c>
      <c r="C38" s="1">
        <v>41054.209131944444</v>
      </c>
      <c r="D38" s="4" t="s">
        <v>74</v>
      </c>
      <c r="E38">
        <v>19200</v>
      </c>
      <c r="F38" t="s">
        <v>6</v>
      </c>
      <c r="G38">
        <f>tblSalaries[[#This Row],[clean Salary (in local currency)]]*VLOOKUP(tblSalaries[[#This Row],[Currency]],tblXrate[],2,FALSE)</f>
        <v>19200</v>
      </c>
      <c r="H38" t="s">
        <v>20</v>
      </c>
      <c r="I38" t="s">
        <v>20</v>
      </c>
      <c r="J38" t="s">
        <v>75</v>
      </c>
      <c r="K38" t="str">
        <f>VLOOKUP(tblSalaries[[#This Row],[Where do you work]],tblCountries[[Actual]:[Mapping]],2,FALSE)</f>
        <v>Poland</v>
      </c>
      <c r="L38" t="s">
        <v>18</v>
      </c>
      <c r="N38" s="8" t="str">
        <f>VLOOKUP(K38,tblCountries[],3,0)</f>
        <v>Europe</v>
      </c>
      <c r="O38" s="8">
        <f>VLOOKUP(tblSalaries[[#This Row],[How many hours of a day you work on Excel]],tblHours,2,0)</f>
        <v>3</v>
      </c>
      <c r="P38" s="8">
        <f>VLOOKUP(tblSalaries[[#This Row],[clean Country]],tblCountries[],5,0)</f>
        <v>2.3796105045736207</v>
      </c>
      <c r="Q38" s="8">
        <f>IF($Q$1,tblSalaries[[#This Row],[PPP Factor]]*tblSalaries[[#This Row],[Salary in USD]],tblSalaries[[#This Row],[Salary in USD]])</f>
        <v>19200</v>
      </c>
    </row>
    <row r="39" spans="2:17" ht="15" customHeight="1" x14ac:dyDescent="0.25">
      <c r="B39" t="s">
        <v>2042</v>
      </c>
      <c r="C39" s="1">
        <v>41054.21125</v>
      </c>
      <c r="D39" s="4">
        <v>500000</v>
      </c>
      <c r="E39">
        <v>500000</v>
      </c>
      <c r="F39" t="s">
        <v>40</v>
      </c>
      <c r="G39">
        <f>tblSalaries[[#This Row],[clean Salary (in local currency)]]*VLOOKUP(tblSalaries[[#This Row],[Currency]],tblXrate[],2,FALSE)</f>
        <v>8903.9583437212841</v>
      </c>
      <c r="H39" t="s">
        <v>76</v>
      </c>
      <c r="I39" t="s">
        <v>356</v>
      </c>
      <c r="J39" t="s">
        <v>8</v>
      </c>
      <c r="K39" t="str">
        <f>VLOOKUP(tblSalaries[[#This Row],[Where do you work]],tblCountries[[Actual]:[Mapping]],2,FALSE)</f>
        <v>India</v>
      </c>
      <c r="L39" t="s">
        <v>13</v>
      </c>
      <c r="N39" s="8" t="str">
        <f>VLOOKUP(K39,tblCountries[],3,0)</f>
        <v>Asia</v>
      </c>
      <c r="O39" s="8">
        <f>VLOOKUP(tblSalaries[[#This Row],[How many hours of a day you work on Excel]],tblHours,2,0)</f>
        <v>5</v>
      </c>
      <c r="P39" s="8">
        <f>VLOOKUP(tblSalaries[[#This Row],[clean Country]],tblCountries[],5,0)</f>
        <v>13.098808879263672</v>
      </c>
      <c r="Q39" s="8">
        <f>IF($Q$1,tblSalaries[[#This Row],[PPP Factor]]*tblSalaries[[#This Row],[Salary in USD]],tblSalaries[[#This Row],[Salary in USD]])</f>
        <v>8903.9583437212841</v>
      </c>
    </row>
    <row r="40" spans="2:17" ht="15" customHeight="1" x14ac:dyDescent="0.25">
      <c r="B40" t="s">
        <v>2043</v>
      </c>
      <c r="C40" s="1">
        <v>41054.213553240741</v>
      </c>
      <c r="D40" s="4">
        <v>150000</v>
      </c>
      <c r="E40">
        <v>150000</v>
      </c>
      <c r="F40" t="s">
        <v>6</v>
      </c>
      <c r="G40">
        <f>tblSalaries[[#This Row],[clean Salary (in local currency)]]*VLOOKUP(tblSalaries[[#This Row],[Currency]],tblXrate[],2,FALSE)</f>
        <v>150000</v>
      </c>
      <c r="H40" t="s">
        <v>77</v>
      </c>
      <c r="I40" t="s">
        <v>52</v>
      </c>
      <c r="J40" t="s">
        <v>15</v>
      </c>
      <c r="K40" t="str">
        <f>VLOOKUP(tblSalaries[[#This Row],[Where do you work]],tblCountries[[Actual]:[Mapping]],2,FALSE)</f>
        <v>USA</v>
      </c>
      <c r="L40" t="s">
        <v>18</v>
      </c>
      <c r="N40" s="8" t="str">
        <f>VLOOKUP(K40,tblCountries[],3,0)</f>
        <v>North Amer.</v>
      </c>
      <c r="O40" s="8">
        <f>VLOOKUP(tblSalaries[[#This Row],[How many hours of a day you work on Excel]],tblHours,2,0)</f>
        <v>3</v>
      </c>
      <c r="P40" s="8">
        <f>VLOOKUP(tblSalaries[[#This Row],[clean Country]],tblCountries[],5,0)</f>
        <v>1</v>
      </c>
      <c r="Q40" s="8">
        <f>IF($Q$1,tblSalaries[[#This Row],[PPP Factor]]*tblSalaries[[#This Row],[Salary in USD]],tblSalaries[[#This Row],[Salary in USD]])</f>
        <v>150000</v>
      </c>
    </row>
    <row r="41" spans="2:17" ht="15" customHeight="1" x14ac:dyDescent="0.25">
      <c r="B41" t="s">
        <v>2044</v>
      </c>
      <c r="C41" s="1">
        <v>41054.215613425928</v>
      </c>
      <c r="D41" s="4">
        <v>69000</v>
      </c>
      <c r="E41">
        <v>69000</v>
      </c>
      <c r="F41" t="s">
        <v>6</v>
      </c>
      <c r="G41">
        <f>tblSalaries[[#This Row],[clean Salary (in local currency)]]*VLOOKUP(tblSalaries[[#This Row],[Currency]],tblXrate[],2,FALSE)</f>
        <v>69000</v>
      </c>
      <c r="H41" t="s">
        <v>78</v>
      </c>
      <c r="I41" t="s">
        <v>279</v>
      </c>
      <c r="J41" t="s">
        <v>15</v>
      </c>
      <c r="K41" t="str">
        <f>VLOOKUP(tblSalaries[[#This Row],[Where do you work]],tblCountries[[Actual]:[Mapping]],2,FALSE)</f>
        <v>USA</v>
      </c>
      <c r="L41" t="s">
        <v>9</v>
      </c>
      <c r="N41" s="8" t="str">
        <f>VLOOKUP(K41,tblCountries[],3,0)</f>
        <v>North Amer.</v>
      </c>
      <c r="O41" s="8">
        <f>VLOOKUP(tblSalaries[[#This Row],[How many hours of a day you work on Excel]],tblHours,2,0)</f>
        <v>4</v>
      </c>
      <c r="P41" s="8">
        <f>VLOOKUP(tblSalaries[[#This Row],[clean Country]],tblCountries[],5,0)</f>
        <v>1</v>
      </c>
      <c r="Q41" s="8">
        <f>IF($Q$1,tblSalaries[[#This Row],[PPP Factor]]*tblSalaries[[#This Row],[Salary in USD]],tblSalaries[[#This Row],[Salary in USD]])</f>
        <v>69000</v>
      </c>
    </row>
    <row r="42" spans="2:17" ht="15" customHeight="1" x14ac:dyDescent="0.25">
      <c r="B42" t="s">
        <v>2045</v>
      </c>
      <c r="C42" s="1">
        <v>41054.216400462959</v>
      </c>
      <c r="D42" s="4">
        <v>30000</v>
      </c>
      <c r="E42">
        <v>30000</v>
      </c>
      <c r="F42" t="s">
        <v>6</v>
      </c>
      <c r="G42">
        <f>tblSalaries[[#This Row],[clean Salary (in local currency)]]*VLOOKUP(tblSalaries[[#This Row],[Currency]],tblXrate[],2,FALSE)</f>
        <v>30000</v>
      </c>
      <c r="H42" t="s">
        <v>79</v>
      </c>
      <c r="I42" t="s">
        <v>356</v>
      </c>
      <c r="J42" t="s">
        <v>15</v>
      </c>
      <c r="K42" t="str">
        <f>VLOOKUP(tblSalaries[[#This Row],[Where do you work]],tblCountries[[Actual]:[Mapping]],2,FALSE)</f>
        <v>USA</v>
      </c>
      <c r="L42" t="s">
        <v>18</v>
      </c>
      <c r="N42" s="8" t="str">
        <f>VLOOKUP(K42,tblCountries[],3,0)</f>
        <v>North Amer.</v>
      </c>
      <c r="O42" s="8">
        <f>VLOOKUP(tblSalaries[[#This Row],[How many hours of a day you work on Excel]],tblHours,2,0)</f>
        <v>3</v>
      </c>
      <c r="P42" s="8">
        <f>VLOOKUP(tblSalaries[[#This Row],[clean Country]],tblCountries[],5,0)</f>
        <v>1</v>
      </c>
      <c r="Q42" s="8">
        <f>IF($Q$1,tblSalaries[[#This Row],[PPP Factor]]*tblSalaries[[#This Row],[Salary in USD]],tblSalaries[[#This Row],[Salary in USD]])</f>
        <v>30000</v>
      </c>
    </row>
    <row r="43" spans="2:17" ht="15" customHeight="1" x14ac:dyDescent="0.25">
      <c r="B43" t="s">
        <v>2046</v>
      </c>
      <c r="C43" s="1">
        <v>41054.217939814815</v>
      </c>
      <c r="D43" s="4" t="s">
        <v>80</v>
      </c>
      <c r="E43">
        <v>400000</v>
      </c>
      <c r="F43" t="s">
        <v>40</v>
      </c>
      <c r="G43">
        <f>tblSalaries[[#This Row],[clean Salary (in local currency)]]*VLOOKUP(tblSalaries[[#This Row],[Currency]],tblXrate[],2,FALSE)</f>
        <v>7123.1666749770275</v>
      </c>
      <c r="H43" t="s">
        <v>81</v>
      </c>
      <c r="I43" t="s">
        <v>52</v>
      </c>
      <c r="J43" t="s">
        <v>8</v>
      </c>
      <c r="K43" t="str">
        <f>VLOOKUP(tblSalaries[[#This Row],[Where do you work]],tblCountries[[Actual]:[Mapping]],2,FALSE)</f>
        <v>India</v>
      </c>
      <c r="L43" t="s">
        <v>9</v>
      </c>
      <c r="N43" s="8" t="str">
        <f>VLOOKUP(K43,tblCountries[],3,0)</f>
        <v>Asia</v>
      </c>
      <c r="O43" s="8">
        <f>VLOOKUP(tblSalaries[[#This Row],[How many hours of a day you work on Excel]],tblHours,2,0)</f>
        <v>4</v>
      </c>
      <c r="P43" s="8">
        <f>VLOOKUP(tblSalaries[[#This Row],[clean Country]],tblCountries[],5,0)</f>
        <v>13.098808879263672</v>
      </c>
      <c r="Q43" s="8">
        <f>IF($Q$1,tblSalaries[[#This Row],[PPP Factor]]*tblSalaries[[#This Row],[Salary in USD]],tblSalaries[[#This Row],[Salary in USD]])</f>
        <v>7123.1666749770275</v>
      </c>
    </row>
    <row r="44" spans="2:17" ht="15" customHeight="1" x14ac:dyDescent="0.25">
      <c r="B44" t="s">
        <v>2047</v>
      </c>
      <c r="C44" s="1">
        <v>41054.221388888887</v>
      </c>
      <c r="D44" s="4">
        <v>70000</v>
      </c>
      <c r="E44">
        <v>70000</v>
      </c>
      <c r="F44" t="s">
        <v>82</v>
      </c>
      <c r="G44">
        <f>tblSalaries[[#This Row],[clean Salary (in local currency)]]*VLOOKUP(tblSalaries[[#This Row],[Currency]],tblXrate[],2,FALSE)</f>
        <v>71393.675948184507</v>
      </c>
      <c r="H44" t="s">
        <v>83</v>
      </c>
      <c r="I44" t="s">
        <v>356</v>
      </c>
      <c r="J44" t="s">
        <v>84</v>
      </c>
      <c r="K44" t="str">
        <f>VLOOKUP(tblSalaries[[#This Row],[Where do you work]],tblCountries[[Actual]:[Mapping]],2,FALSE)</f>
        <v>Australia</v>
      </c>
      <c r="L44" t="s">
        <v>18</v>
      </c>
      <c r="N44" s="8" t="str">
        <f>VLOOKUP(K44,tblCountries[],3,0)</f>
        <v>Oceania</v>
      </c>
      <c r="O44" s="8">
        <f>VLOOKUP(tblSalaries[[#This Row],[How many hours of a day you work on Excel]],tblHours,2,0)</f>
        <v>3</v>
      </c>
      <c r="P44" s="8">
        <f>VLOOKUP(tblSalaries[[#This Row],[clean Country]],tblCountries[],5,0)</f>
        <v>1.2026395585822935</v>
      </c>
      <c r="Q44" s="8">
        <f>IF($Q$1,tblSalaries[[#This Row],[PPP Factor]]*tblSalaries[[#This Row],[Salary in USD]],tblSalaries[[#This Row],[Salary in USD]])</f>
        <v>71393.675948184507</v>
      </c>
    </row>
    <row r="45" spans="2:17" ht="15" customHeight="1" x14ac:dyDescent="0.25">
      <c r="B45" t="s">
        <v>2048</v>
      </c>
      <c r="C45" s="1">
        <v>41054.222337962965</v>
      </c>
      <c r="D45" s="4">
        <v>14500</v>
      </c>
      <c r="E45">
        <v>14500</v>
      </c>
      <c r="F45" t="s">
        <v>6</v>
      </c>
      <c r="G45">
        <f>tblSalaries[[#This Row],[clean Salary (in local currency)]]*VLOOKUP(tblSalaries[[#This Row],[Currency]],tblXrate[],2,FALSE)</f>
        <v>14500</v>
      </c>
      <c r="H45" t="s">
        <v>85</v>
      </c>
      <c r="I45" t="s">
        <v>20</v>
      </c>
      <c r="J45" t="s">
        <v>8</v>
      </c>
      <c r="K45" t="str">
        <f>VLOOKUP(tblSalaries[[#This Row],[Where do you work]],tblCountries[[Actual]:[Mapping]],2,FALSE)</f>
        <v>India</v>
      </c>
      <c r="L45" t="s">
        <v>9</v>
      </c>
      <c r="N45" s="8" t="str">
        <f>VLOOKUP(K45,tblCountries[],3,0)</f>
        <v>Asia</v>
      </c>
      <c r="O45" s="8">
        <f>VLOOKUP(tblSalaries[[#This Row],[How many hours of a day you work on Excel]],tblHours,2,0)</f>
        <v>4</v>
      </c>
      <c r="P45" s="8">
        <f>VLOOKUP(tblSalaries[[#This Row],[clean Country]],tblCountries[],5,0)</f>
        <v>13.098808879263672</v>
      </c>
      <c r="Q45" s="8">
        <f>IF($Q$1,tblSalaries[[#This Row],[PPP Factor]]*tblSalaries[[#This Row],[Salary in USD]],tblSalaries[[#This Row],[Salary in USD]])</f>
        <v>14500</v>
      </c>
    </row>
    <row r="46" spans="2:17" ht="15" customHeight="1" x14ac:dyDescent="0.25">
      <c r="B46" t="s">
        <v>2049</v>
      </c>
      <c r="C46" s="1">
        <v>41054.229618055557</v>
      </c>
      <c r="D46" s="4">
        <v>70000</v>
      </c>
      <c r="E46">
        <v>70000</v>
      </c>
      <c r="F46" t="s">
        <v>86</v>
      </c>
      <c r="G46">
        <f>tblSalaries[[#This Row],[clean Salary (in local currency)]]*VLOOKUP(tblSalaries[[#This Row],[Currency]],tblXrate[],2,FALSE)</f>
        <v>68835.306612122877</v>
      </c>
      <c r="H46" t="s">
        <v>87</v>
      </c>
      <c r="I46" t="s">
        <v>279</v>
      </c>
      <c r="J46" t="s">
        <v>88</v>
      </c>
      <c r="K46" t="str">
        <f>VLOOKUP(tblSalaries[[#This Row],[Where do you work]],tblCountries[[Actual]:[Mapping]],2,FALSE)</f>
        <v>Canada</v>
      </c>
      <c r="L46" t="s">
        <v>18</v>
      </c>
      <c r="N46" s="8" t="str">
        <f>VLOOKUP(K46,tblCountries[],3,0)</f>
        <v>North Amer.</v>
      </c>
      <c r="O46" s="8">
        <f>VLOOKUP(tblSalaries[[#This Row],[How many hours of a day you work on Excel]],tblHours,2,0)</f>
        <v>3</v>
      </c>
      <c r="P46" s="8">
        <f>VLOOKUP(tblSalaries[[#This Row],[clean Country]],tblCountries[],5,0)</f>
        <v>1.1935324732986359</v>
      </c>
      <c r="Q46" s="8">
        <f>IF($Q$1,tblSalaries[[#This Row],[PPP Factor]]*tblSalaries[[#This Row],[Salary in USD]],tblSalaries[[#This Row],[Salary in USD]])</f>
        <v>68835.306612122877</v>
      </c>
    </row>
    <row r="47" spans="2:17" ht="15" customHeight="1" x14ac:dyDescent="0.25">
      <c r="B47" t="s">
        <v>2050</v>
      </c>
      <c r="C47" s="1">
        <v>41054.23296296296</v>
      </c>
      <c r="D47" s="4">
        <v>58000</v>
      </c>
      <c r="E47">
        <v>58000</v>
      </c>
      <c r="F47" t="s">
        <v>6</v>
      </c>
      <c r="G47">
        <f>tblSalaries[[#This Row],[clean Salary (in local currency)]]*VLOOKUP(tblSalaries[[#This Row],[Currency]],tblXrate[],2,FALSE)</f>
        <v>58000</v>
      </c>
      <c r="H47" t="s">
        <v>89</v>
      </c>
      <c r="I47" t="s">
        <v>310</v>
      </c>
      <c r="J47" t="s">
        <v>15</v>
      </c>
      <c r="K47" t="str">
        <f>VLOOKUP(tblSalaries[[#This Row],[Where do you work]],tblCountries[[Actual]:[Mapping]],2,FALSE)</f>
        <v>USA</v>
      </c>
      <c r="L47" t="s">
        <v>9</v>
      </c>
      <c r="N47" s="8" t="str">
        <f>VLOOKUP(K47,tblCountries[],3,0)</f>
        <v>North Amer.</v>
      </c>
      <c r="O47" s="8">
        <f>VLOOKUP(tblSalaries[[#This Row],[How many hours of a day you work on Excel]],tblHours,2,0)</f>
        <v>4</v>
      </c>
      <c r="P47" s="8">
        <f>VLOOKUP(tblSalaries[[#This Row],[clean Country]],tblCountries[],5,0)</f>
        <v>1</v>
      </c>
      <c r="Q47" s="8">
        <f>IF($Q$1,tblSalaries[[#This Row],[PPP Factor]]*tblSalaries[[#This Row],[Salary in USD]],tblSalaries[[#This Row],[Salary in USD]])</f>
        <v>58000</v>
      </c>
    </row>
    <row r="48" spans="2:17" ht="15" customHeight="1" x14ac:dyDescent="0.25">
      <c r="B48" t="s">
        <v>2051</v>
      </c>
      <c r="C48" s="1">
        <v>41054.239594907405</v>
      </c>
      <c r="D48" s="4">
        <v>90000</v>
      </c>
      <c r="E48">
        <v>90000</v>
      </c>
      <c r="F48" t="s">
        <v>6</v>
      </c>
      <c r="G48">
        <f>tblSalaries[[#This Row],[clean Salary (in local currency)]]*VLOOKUP(tblSalaries[[#This Row],[Currency]],tblXrate[],2,FALSE)</f>
        <v>90000</v>
      </c>
      <c r="H48" t="s">
        <v>90</v>
      </c>
      <c r="I48" t="s">
        <v>4000</v>
      </c>
      <c r="J48" t="s">
        <v>15</v>
      </c>
      <c r="K48" t="str">
        <f>VLOOKUP(tblSalaries[[#This Row],[Where do you work]],tblCountries[[Actual]:[Mapping]],2,FALSE)</f>
        <v>USA</v>
      </c>
      <c r="L48" t="s">
        <v>25</v>
      </c>
      <c r="N48" s="8" t="str">
        <f>VLOOKUP(K48,tblCountries[],3,0)</f>
        <v>North Amer.</v>
      </c>
      <c r="O48" s="8">
        <f>VLOOKUP(tblSalaries[[#This Row],[How many hours of a day you work on Excel]],tblHours,2,0)</f>
        <v>2</v>
      </c>
      <c r="P48" s="8">
        <f>VLOOKUP(tblSalaries[[#This Row],[clean Country]],tblCountries[],5,0)</f>
        <v>1</v>
      </c>
      <c r="Q48" s="8">
        <f>IF($Q$1,tblSalaries[[#This Row],[PPP Factor]]*tblSalaries[[#This Row],[Salary in USD]],tblSalaries[[#This Row],[Salary in USD]])</f>
        <v>90000</v>
      </c>
    </row>
    <row r="49" spans="2:17" ht="15" customHeight="1" x14ac:dyDescent="0.25">
      <c r="B49" t="s">
        <v>2052</v>
      </c>
      <c r="C49" s="1">
        <v>41054.24082175926</v>
      </c>
      <c r="D49" s="4">
        <v>800000</v>
      </c>
      <c r="E49">
        <v>800000</v>
      </c>
      <c r="F49" t="s">
        <v>40</v>
      </c>
      <c r="G49">
        <f>tblSalaries[[#This Row],[clean Salary (in local currency)]]*VLOOKUP(tblSalaries[[#This Row],[Currency]],tblXrate[],2,FALSE)</f>
        <v>14246.333349954055</v>
      </c>
      <c r="H49" t="s">
        <v>91</v>
      </c>
      <c r="I49" t="s">
        <v>52</v>
      </c>
      <c r="J49" t="s">
        <v>8</v>
      </c>
      <c r="K49" t="str">
        <f>VLOOKUP(tblSalaries[[#This Row],[Where do you work]],tblCountries[[Actual]:[Mapping]],2,FALSE)</f>
        <v>India</v>
      </c>
      <c r="L49" t="s">
        <v>18</v>
      </c>
      <c r="N49" s="8" t="str">
        <f>VLOOKUP(K49,tblCountries[],3,0)</f>
        <v>Asia</v>
      </c>
      <c r="O49" s="8">
        <f>VLOOKUP(tblSalaries[[#This Row],[How many hours of a day you work on Excel]],tblHours,2,0)</f>
        <v>3</v>
      </c>
      <c r="P49" s="8">
        <f>VLOOKUP(tblSalaries[[#This Row],[clean Country]],tblCountries[],5,0)</f>
        <v>13.098808879263672</v>
      </c>
      <c r="Q49" s="8">
        <f>IF($Q$1,tblSalaries[[#This Row],[PPP Factor]]*tblSalaries[[#This Row],[Salary in USD]],tblSalaries[[#This Row],[Salary in USD]])</f>
        <v>14246.333349954055</v>
      </c>
    </row>
    <row r="50" spans="2:17" ht="15" customHeight="1" x14ac:dyDescent="0.25">
      <c r="B50" t="s">
        <v>2053</v>
      </c>
      <c r="C50" s="1">
        <v>41054.241087962961</v>
      </c>
      <c r="D50" s="4">
        <v>32000</v>
      </c>
      <c r="E50">
        <v>32000</v>
      </c>
      <c r="F50" t="s">
        <v>69</v>
      </c>
      <c r="G50">
        <f>tblSalaries[[#This Row],[clean Salary (in local currency)]]*VLOOKUP(tblSalaries[[#This Row],[Currency]],tblXrate[],2,FALSE)</f>
        <v>50437.70470615309</v>
      </c>
      <c r="H50" t="s">
        <v>92</v>
      </c>
      <c r="I50" t="s">
        <v>20</v>
      </c>
      <c r="J50" t="s">
        <v>71</v>
      </c>
      <c r="K50" t="str">
        <f>VLOOKUP(tblSalaries[[#This Row],[Where do you work]],tblCountries[[Actual]:[Mapping]],2,FALSE)</f>
        <v>UK</v>
      </c>
      <c r="L50" t="s">
        <v>9</v>
      </c>
      <c r="N50" s="8" t="str">
        <f>VLOOKUP(K50,tblCountries[],3,0)</f>
        <v>Europe</v>
      </c>
      <c r="O50" s="8">
        <f>VLOOKUP(tblSalaries[[#This Row],[How many hours of a day you work on Excel]],tblHours,2,0)</f>
        <v>4</v>
      </c>
      <c r="P50" s="8">
        <f>VLOOKUP(tblSalaries[[#This Row],[clean Country]],tblCountries[],5,0)</f>
        <v>1.3407315045719035</v>
      </c>
      <c r="Q50" s="8">
        <f>IF($Q$1,tblSalaries[[#This Row],[PPP Factor]]*tblSalaries[[#This Row],[Salary in USD]],tblSalaries[[#This Row],[Salary in USD]])</f>
        <v>50437.70470615309</v>
      </c>
    </row>
    <row r="51" spans="2:17" ht="15" customHeight="1" x14ac:dyDescent="0.25">
      <c r="B51" t="s">
        <v>2054</v>
      </c>
      <c r="C51" s="1">
        <v>41054.241574074076</v>
      </c>
      <c r="D51" s="4">
        <v>1000</v>
      </c>
      <c r="E51">
        <v>12000</v>
      </c>
      <c r="F51" t="s">
        <v>6</v>
      </c>
      <c r="G51">
        <f>tblSalaries[[#This Row],[clean Salary (in local currency)]]*VLOOKUP(tblSalaries[[#This Row],[Currency]],tblXrate[],2,FALSE)</f>
        <v>12000</v>
      </c>
      <c r="H51" t="s">
        <v>93</v>
      </c>
      <c r="I51" t="s">
        <v>356</v>
      </c>
      <c r="J51" t="s">
        <v>15</v>
      </c>
      <c r="K51" t="str">
        <f>VLOOKUP(tblSalaries[[#This Row],[Where do you work]],tblCountries[[Actual]:[Mapping]],2,FALSE)</f>
        <v>USA</v>
      </c>
      <c r="L51" t="s">
        <v>25</v>
      </c>
      <c r="N51" s="8" t="str">
        <f>VLOOKUP(K51,tblCountries[],3,0)</f>
        <v>North Amer.</v>
      </c>
      <c r="O51" s="8">
        <f>VLOOKUP(tblSalaries[[#This Row],[How many hours of a day you work on Excel]],tblHours,2,0)</f>
        <v>2</v>
      </c>
      <c r="P51" s="8">
        <f>VLOOKUP(tblSalaries[[#This Row],[clean Country]],tblCountries[],5,0)</f>
        <v>1</v>
      </c>
      <c r="Q51" s="8">
        <f>IF($Q$1,tblSalaries[[#This Row],[PPP Factor]]*tblSalaries[[#This Row],[Salary in USD]],tblSalaries[[#This Row],[Salary in USD]])</f>
        <v>12000</v>
      </c>
    </row>
    <row r="52" spans="2:17" ht="15" customHeight="1" x14ac:dyDescent="0.25">
      <c r="B52" t="s">
        <v>2055</v>
      </c>
      <c r="C52" s="1">
        <v>41054.253263888888</v>
      </c>
      <c r="D52" s="4" t="s">
        <v>94</v>
      </c>
      <c r="E52">
        <v>45000</v>
      </c>
      <c r="F52" t="s">
        <v>22</v>
      </c>
      <c r="G52">
        <f>tblSalaries[[#This Row],[clean Salary (in local currency)]]*VLOOKUP(tblSalaries[[#This Row],[Currency]],tblXrate[],2,FALSE)</f>
        <v>57167.974754622352</v>
      </c>
      <c r="H52" t="s">
        <v>95</v>
      </c>
      <c r="I52" t="s">
        <v>52</v>
      </c>
      <c r="J52" t="s">
        <v>96</v>
      </c>
      <c r="K52" t="str">
        <f>VLOOKUP(tblSalaries[[#This Row],[Where do you work]],tblCountries[[Actual]:[Mapping]],2,FALSE)</f>
        <v>Netherlands</v>
      </c>
      <c r="L52" t="s">
        <v>9</v>
      </c>
      <c r="N52" s="8" t="str">
        <f>VLOOKUP(K52,tblCountries[],3,0)</f>
        <v>Europe</v>
      </c>
      <c r="O52" s="8">
        <f>VLOOKUP(tblSalaries[[#This Row],[How many hours of a day you work on Excel]],tblHours,2,0)</f>
        <v>4</v>
      </c>
      <c r="P52" s="8">
        <f>VLOOKUP(tblSalaries[[#This Row],[clean Country]],tblCountries[],5,0)</f>
        <v>1.1470734656141099</v>
      </c>
      <c r="Q52" s="8">
        <f>IF($Q$1,tblSalaries[[#This Row],[PPP Factor]]*tblSalaries[[#This Row],[Salary in USD]],tblSalaries[[#This Row],[Salary in USD]])</f>
        <v>57167.974754622352</v>
      </c>
    </row>
    <row r="53" spans="2:17" ht="15" customHeight="1" x14ac:dyDescent="0.25">
      <c r="B53" t="s">
        <v>2056</v>
      </c>
      <c r="C53" s="1">
        <v>41054.253437500003</v>
      </c>
      <c r="D53" s="4" t="s">
        <v>97</v>
      </c>
      <c r="E53">
        <v>100000</v>
      </c>
      <c r="F53" t="s">
        <v>6</v>
      </c>
      <c r="G53">
        <f>tblSalaries[[#This Row],[clean Salary (in local currency)]]*VLOOKUP(tblSalaries[[#This Row],[Currency]],tblXrate[],2,FALSE)</f>
        <v>100000</v>
      </c>
      <c r="H53" t="s">
        <v>98</v>
      </c>
      <c r="I53" t="s">
        <v>20</v>
      </c>
      <c r="J53" t="s">
        <v>24</v>
      </c>
      <c r="K53" t="str">
        <f>VLOOKUP(tblSalaries[[#This Row],[Where do you work]],tblCountries[[Actual]:[Mapping]],2,FALSE)</f>
        <v>Germany</v>
      </c>
      <c r="L53" t="s">
        <v>13</v>
      </c>
      <c r="N53" s="8" t="str">
        <f>VLOOKUP(K53,tblCountries[],3,0)</f>
        <v>Europe</v>
      </c>
      <c r="O53" s="8">
        <f>VLOOKUP(tblSalaries[[#This Row],[How many hours of a day you work on Excel]],tblHours,2,0)</f>
        <v>5</v>
      </c>
      <c r="P53" s="8">
        <f>VLOOKUP(tblSalaries[[#This Row],[clean Country]],tblCountries[],5,0)</f>
        <v>1.276802913159353</v>
      </c>
      <c r="Q53" s="8">
        <f>IF($Q$1,tblSalaries[[#This Row],[PPP Factor]]*tblSalaries[[#This Row],[Salary in USD]],tblSalaries[[#This Row],[Salary in USD]])</f>
        <v>100000</v>
      </c>
    </row>
    <row r="54" spans="2:17" ht="15" customHeight="1" x14ac:dyDescent="0.25">
      <c r="B54" t="s">
        <v>2057</v>
      </c>
      <c r="C54" s="1">
        <v>41054.253668981481</v>
      </c>
      <c r="D54" s="4">
        <v>57000</v>
      </c>
      <c r="E54">
        <v>57000</v>
      </c>
      <c r="F54" t="s">
        <v>6</v>
      </c>
      <c r="G54">
        <f>tblSalaries[[#This Row],[clean Salary (in local currency)]]*VLOOKUP(tblSalaries[[#This Row],[Currency]],tblXrate[],2,FALSE)</f>
        <v>57000</v>
      </c>
      <c r="H54" t="s">
        <v>99</v>
      </c>
      <c r="I54" t="s">
        <v>310</v>
      </c>
      <c r="J54" t="s">
        <v>15</v>
      </c>
      <c r="K54" t="str">
        <f>VLOOKUP(tblSalaries[[#This Row],[Where do you work]],tblCountries[[Actual]:[Mapping]],2,FALSE)</f>
        <v>USA</v>
      </c>
      <c r="L54" t="s">
        <v>18</v>
      </c>
      <c r="N54" s="8" t="str">
        <f>VLOOKUP(K54,tblCountries[],3,0)</f>
        <v>North Amer.</v>
      </c>
      <c r="O54" s="8">
        <f>VLOOKUP(tblSalaries[[#This Row],[How many hours of a day you work on Excel]],tblHours,2,0)</f>
        <v>3</v>
      </c>
      <c r="P54" s="8">
        <f>VLOOKUP(tblSalaries[[#This Row],[clean Country]],tblCountries[],5,0)</f>
        <v>1</v>
      </c>
      <c r="Q54" s="8">
        <f>IF($Q$1,tblSalaries[[#This Row],[PPP Factor]]*tblSalaries[[#This Row],[Salary in USD]],tblSalaries[[#This Row],[Salary in USD]])</f>
        <v>57000</v>
      </c>
    </row>
    <row r="55" spans="2:17" ht="15" customHeight="1" x14ac:dyDescent="0.25">
      <c r="B55" t="s">
        <v>2058</v>
      </c>
      <c r="C55" s="1">
        <v>41054.25503472222</v>
      </c>
      <c r="D55" s="4">
        <v>40000</v>
      </c>
      <c r="E55">
        <v>40000</v>
      </c>
      <c r="F55" t="s">
        <v>69</v>
      </c>
      <c r="G55">
        <f>tblSalaries[[#This Row],[clean Salary (in local currency)]]*VLOOKUP(tblSalaries[[#This Row],[Currency]],tblXrate[],2,FALSE)</f>
        <v>63047.130882691366</v>
      </c>
      <c r="H55" t="s">
        <v>89</v>
      </c>
      <c r="I55" t="s">
        <v>310</v>
      </c>
      <c r="J55" t="s">
        <v>71</v>
      </c>
      <c r="K55" t="str">
        <f>VLOOKUP(tblSalaries[[#This Row],[Where do you work]],tblCountries[[Actual]:[Mapping]],2,FALSE)</f>
        <v>UK</v>
      </c>
      <c r="L55" t="s">
        <v>9</v>
      </c>
      <c r="N55" s="8" t="str">
        <f>VLOOKUP(K55,tblCountries[],3,0)</f>
        <v>Europe</v>
      </c>
      <c r="O55" s="8">
        <f>VLOOKUP(tblSalaries[[#This Row],[How many hours of a day you work on Excel]],tblHours,2,0)</f>
        <v>4</v>
      </c>
      <c r="P55" s="8">
        <f>VLOOKUP(tblSalaries[[#This Row],[clean Country]],tblCountries[],5,0)</f>
        <v>1.3407315045719035</v>
      </c>
      <c r="Q55" s="8">
        <f>IF($Q$1,tblSalaries[[#This Row],[PPP Factor]]*tblSalaries[[#This Row],[Salary in USD]],tblSalaries[[#This Row],[Salary in USD]])</f>
        <v>63047.130882691366</v>
      </c>
    </row>
    <row r="56" spans="2:17" ht="15" customHeight="1" x14ac:dyDescent="0.25">
      <c r="B56" t="s">
        <v>2059</v>
      </c>
      <c r="C56" s="1">
        <v>41054.25675925926</v>
      </c>
      <c r="D56" s="4" t="s">
        <v>100</v>
      </c>
      <c r="E56">
        <v>24000</v>
      </c>
      <c r="F56" t="s">
        <v>22</v>
      </c>
      <c r="G56">
        <f>tblSalaries[[#This Row],[clean Salary (in local currency)]]*VLOOKUP(tblSalaries[[#This Row],[Currency]],tblXrate[],2,FALSE)</f>
        <v>30489.586535798586</v>
      </c>
      <c r="H56" t="s">
        <v>101</v>
      </c>
      <c r="I56" t="s">
        <v>52</v>
      </c>
      <c r="J56" t="s">
        <v>24</v>
      </c>
      <c r="K56" t="str">
        <f>VLOOKUP(tblSalaries[[#This Row],[Where do you work]],tblCountries[[Actual]:[Mapping]],2,FALSE)</f>
        <v>Germany</v>
      </c>
      <c r="L56" t="s">
        <v>13</v>
      </c>
      <c r="N56" s="8" t="str">
        <f>VLOOKUP(K56,tblCountries[],3,0)</f>
        <v>Europe</v>
      </c>
      <c r="O56" s="8">
        <f>VLOOKUP(tblSalaries[[#This Row],[How many hours of a day you work on Excel]],tblHours,2,0)</f>
        <v>5</v>
      </c>
      <c r="P56" s="8">
        <f>VLOOKUP(tblSalaries[[#This Row],[clean Country]],tblCountries[],5,0)</f>
        <v>1.276802913159353</v>
      </c>
      <c r="Q56" s="8">
        <f>IF($Q$1,tblSalaries[[#This Row],[PPP Factor]]*tblSalaries[[#This Row],[Salary in USD]],tblSalaries[[#This Row],[Salary in USD]])</f>
        <v>30489.586535798586</v>
      </c>
    </row>
    <row r="57" spans="2:17" ht="15" customHeight="1" x14ac:dyDescent="0.25">
      <c r="B57" t="s">
        <v>2060</v>
      </c>
      <c r="C57" s="1">
        <v>41054.257152777776</v>
      </c>
      <c r="D57" s="4">
        <v>4320</v>
      </c>
      <c r="E57">
        <v>4320</v>
      </c>
      <c r="F57" t="s">
        <v>6</v>
      </c>
      <c r="G57">
        <f>tblSalaries[[#This Row],[clean Salary (in local currency)]]*VLOOKUP(tblSalaries[[#This Row],[Currency]],tblXrate[],2,FALSE)</f>
        <v>4320</v>
      </c>
      <c r="H57" t="s">
        <v>102</v>
      </c>
      <c r="I57" t="s">
        <v>310</v>
      </c>
      <c r="J57" t="s">
        <v>8</v>
      </c>
      <c r="K57" t="str">
        <f>VLOOKUP(tblSalaries[[#This Row],[Where do you work]],tblCountries[[Actual]:[Mapping]],2,FALSE)</f>
        <v>India</v>
      </c>
      <c r="L57" t="s">
        <v>18</v>
      </c>
      <c r="N57" s="8" t="str">
        <f>VLOOKUP(K57,tblCountries[],3,0)</f>
        <v>Asia</v>
      </c>
      <c r="O57" s="8">
        <f>VLOOKUP(tblSalaries[[#This Row],[How many hours of a day you work on Excel]],tblHours,2,0)</f>
        <v>3</v>
      </c>
      <c r="P57" s="8">
        <f>VLOOKUP(tblSalaries[[#This Row],[clean Country]],tblCountries[],5,0)</f>
        <v>13.098808879263672</v>
      </c>
      <c r="Q57" s="8">
        <f>IF($Q$1,tblSalaries[[#This Row],[PPP Factor]]*tblSalaries[[#This Row],[Salary in USD]],tblSalaries[[#This Row],[Salary in USD]])</f>
        <v>4320</v>
      </c>
    </row>
    <row r="58" spans="2:17" ht="15" customHeight="1" x14ac:dyDescent="0.25">
      <c r="B58" t="s">
        <v>2061</v>
      </c>
      <c r="C58" s="1">
        <v>41054.26090277778</v>
      </c>
      <c r="D58" s="4">
        <v>62000</v>
      </c>
      <c r="E58">
        <v>62000</v>
      </c>
      <c r="F58" t="s">
        <v>6</v>
      </c>
      <c r="G58">
        <f>tblSalaries[[#This Row],[clean Salary (in local currency)]]*VLOOKUP(tblSalaries[[#This Row],[Currency]],tblXrate[],2,FALSE)</f>
        <v>62000</v>
      </c>
      <c r="H58" t="s">
        <v>20</v>
      </c>
      <c r="I58" t="s">
        <v>20</v>
      </c>
      <c r="J58" t="s">
        <v>15</v>
      </c>
      <c r="K58" t="str">
        <f>VLOOKUP(tblSalaries[[#This Row],[Where do you work]],tblCountries[[Actual]:[Mapping]],2,FALSE)</f>
        <v>USA</v>
      </c>
      <c r="L58" t="s">
        <v>9</v>
      </c>
      <c r="N58" s="8" t="str">
        <f>VLOOKUP(K58,tblCountries[],3,0)</f>
        <v>North Amer.</v>
      </c>
      <c r="O58" s="8">
        <f>VLOOKUP(tblSalaries[[#This Row],[How many hours of a day you work on Excel]],tblHours,2,0)</f>
        <v>4</v>
      </c>
      <c r="P58" s="8">
        <f>VLOOKUP(tblSalaries[[#This Row],[clean Country]],tblCountries[],5,0)</f>
        <v>1</v>
      </c>
      <c r="Q58" s="8">
        <f>IF($Q$1,tblSalaries[[#This Row],[PPP Factor]]*tblSalaries[[#This Row],[Salary in USD]],tblSalaries[[#This Row],[Salary in USD]])</f>
        <v>62000</v>
      </c>
    </row>
    <row r="59" spans="2:17" ht="15" customHeight="1" x14ac:dyDescent="0.25">
      <c r="B59" t="s">
        <v>2062</v>
      </c>
      <c r="C59" s="1">
        <v>41054.268564814818</v>
      </c>
      <c r="D59" s="4">
        <v>7500</v>
      </c>
      <c r="E59">
        <v>7500</v>
      </c>
      <c r="F59" t="s">
        <v>6</v>
      </c>
      <c r="G59">
        <f>tblSalaries[[#This Row],[clean Salary (in local currency)]]*VLOOKUP(tblSalaries[[#This Row],[Currency]],tblXrate[],2,FALSE)</f>
        <v>7500</v>
      </c>
      <c r="H59" t="s">
        <v>20</v>
      </c>
      <c r="I59" t="s">
        <v>20</v>
      </c>
      <c r="J59" t="s">
        <v>8</v>
      </c>
      <c r="K59" t="str">
        <f>VLOOKUP(tblSalaries[[#This Row],[Where do you work]],tblCountries[[Actual]:[Mapping]],2,FALSE)</f>
        <v>India</v>
      </c>
      <c r="L59" t="s">
        <v>9</v>
      </c>
      <c r="N59" s="8" t="str">
        <f>VLOOKUP(K59,tblCountries[],3,0)</f>
        <v>Asia</v>
      </c>
      <c r="O59" s="8">
        <f>VLOOKUP(tblSalaries[[#This Row],[How many hours of a day you work on Excel]],tblHours,2,0)</f>
        <v>4</v>
      </c>
      <c r="P59" s="8">
        <f>VLOOKUP(tblSalaries[[#This Row],[clean Country]],tblCountries[],5,0)</f>
        <v>13.098808879263672</v>
      </c>
      <c r="Q59" s="8">
        <f>IF($Q$1,tblSalaries[[#This Row],[PPP Factor]]*tblSalaries[[#This Row],[Salary in USD]],tblSalaries[[#This Row],[Salary in USD]])</f>
        <v>7500</v>
      </c>
    </row>
    <row r="60" spans="2:17" ht="15" customHeight="1" x14ac:dyDescent="0.25">
      <c r="B60" t="s">
        <v>2063</v>
      </c>
      <c r="C60" s="1">
        <v>41054.269085648149</v>
      </c>
      <c r="D60" s="4" t="s">
        <v>103</v>
      </c>
      <c r="E60">
        <v>18000</v>
      </c>
      <c r="F60" t="s">
        <v>69</v>
      </c>
      <c r="G60">
        <f>tblSalaries[[#This Row],[clean Salary (in local currency)]]*VLOOKUP(tblSalaries[[#This Row],[Currency]],tblXrate[],2,FALSE)</f>
        <v>28371.208897211112</v>
      </c>
      <c r="H60" t="s">
        <v>104</v>
      </c>
      <c r="I60" t="s">
        <v>52</v>
      </c>
      <c r="J60" t="s">
        <v>71</v>
      </c>
      <c r="K60" t="str">
        <f>VLOOKUP(tblSalaries[[#This Row],[Where do you work]],tblCountries[[Actual]:[Mapping]],2,FALSE)</f>
        <v>UK</v>
      </c>
      <c r="L60" t="s">
        <v>25</v>
      </c>
      <c r="N60" s="8" t="str">
        <f>VLOOKUP(K60,tblCountries[],3,0)</f>
        <v>Europe</v>
      </c>
      <c r="O60" s="8">
        <f>VLOOKUP(tblSalaries[[#This Row],[How many hours of a day you work on Excel]],tblHours,2,0)</f>
        <v>2</v>
      </c>
      <c r="P60" s="8">
        <f>VLOOKUP(tblSalaries[[#This Row],[clean Country]],tblCountries[],5,0)</f>
        <v>1.3407315045719035</v>
      </c>
      <c r="Q60" s="8">
        <f>IF($Q$1,tblSalaries[[#This Row],[PPP Factor]]*tblSalaries[[#This Row],[Salary in USD]],tblSalaries[[#This Row],[Salary in USD]])</f>
        <v>28371.208897211112</v>
      </c>
    </row>
    <row r="61" spans="2:17" ht="15" customHeight="1" x14ac:dyDescent="0.25">
      <c r="B61" t="s">
        <v>2064</v>
      </c>
      <c r="C61" s="1">
        <v>41054.284317129626</v>
      </c>
      <c r="D61" s="4">
        <v>49000</v>
      </c>
      <c r="E61">
        <v>49000</v>
      </c>
      <c r="F61" t="s">
        <v>22</v>
      </c>
      <c r="G61">
        <f>tblSalaries[[#This Row],[clean Salary (in local currency)]]*VLOOKUP(tblSalaries[[#This Row],[Currency]],tblXrate[],2,FALSE)</f>
        <v>62249.572510588783</v>
      </c>
      <c r="H61" t="s">
        <v>105</v>
      </c>
      <c r="I61" t="s">
        <v>52</v>
      </c>
      <c r="J61" t="s">
        <v>106</v>
      </c>
      <c r="K61" t="str">
        <f>VLOOKUP(tblSalaries[[#This Row],[Where do you work]],tblCountries[[Actual]:[Mapping]],2,FALSE)</f>
        <v>France</v>
      </c>
      <c r="L61" t="s">
        <v>18</v>
      </c>
      <c r="N61" s="8" t="str">
        <f>VLOOKUP(K61,tblCountries[],3,0)</f>
        <v>Europe</v>
      </c>
      <c r="O61" s="8">
        <f>VLOOKUP(tblSalaries[[#This Row],[How many hours of a day you work on Excel]],tblHours,2,0)</f>
        <v>3</v>
      </c>
      <c r="P61" s="8">
        <f>VLOOKUP(tblSalaries[[#This Row],[clean Country]],tblCountries[],5,0)</f>
        <v>1.3763511207190806</v>
      </c>
      <c r="Q61" s="8">
        <f>IF($Q$1,tblSalaries[[#This Row],[PPP Factor]]*tblSalaries[[#This Row],[Salary in USD]],tblSalaries[[#This Row],[Salary in USD]])</f>
        <v>62249.572510588783</v>
      </c>
    </row>
    <row r="62" spans="2:17" ht="15" customHeight="1" x14ac:dyDescent="0.25">
      <c r="B62" t="s">
        <v>2065</v>
      </c>
      <c r="C62" s="1">
        <v>41054.290185185186</v>
      </c>
      <c r="D62" s="4">
        <v>38000</v>
      </c>
      <c r="E62">
        <v>38000</v>
      </c>
      <c r="F62" t="s">
        <v>6</v>
      </c>
      <c r="G62">
        <f>tblSalaries[[#This Row],[clean Salary (in local currency)]]*VLOOKUP(tblSalaries[[#This Row],[Currency]],tblXrate[],2,FALSE)</f>
        <v>38000</v>
      </c>
      <c r="H62" t="s">
        <v>72</v>
      </c>
      <c r="I62" t="s">
        <v>20</v>
      </c>
      <c r="J62" t="s">
        <v>15</v>
      </c>
      <c r="K62" t="str">
        <f>VLOOKUP(tblSalaries[[#This Row],[Where do you work]],tblCountries[[Actual]:[Mapping]],2,FALSE)</f>
        <v>USA</v>
      </c>
      <c r="L62" t="s">
        <v>9</v>
      </c>
      <c r="N62" s="8" t="str">
        <f>VLOOKUP(K62,tblCountries[],3,0)</f>
        <v>North Amer.</v>
      </c>
      <c r="O62" s="8">
        <f>VLOOKUP(tblSalaries[[#This Row],[How many hours of a day you work on Excel]],tblHours,2,0)</f>
        <v>4</v>
      </c>
      <c r="P62" s="8">
        <f>VLOOKUP(tblSalaries[[#This Row],[clean Country]],tblCountries[],5,0)</f>
        <v>1</v>
      </c>
      <c r="Q62" s="8">
        <f>IF($Q$1,tblSalaries[[#This Row],[PPP Factor]]*tblSalaries[[#This Row],[Salary in USD]],tblSalaries[[#This Row],[Salary in USD]])</f>
        <v>38000</v>
      </c>
    </row>
    <row r="63" spans="2:17" ht="15" customHeight="1" x14ac:dyDescent="0.25">
      <c r="B63" t="s">
        <v>2066</v>
      </c>
      <c r="C63" s="1">
        <v>41054.292268518519</v>
      </c>
      <c r="D63" s="4">
        <v>41000</v>
      </c>
      <c r="E63">
        <v>41000</v>
      </c>
      <c r="F63" t="s">
        <v>6</v>
      </c>
      <c r="G63">
        <f>tblSalaries[[#This Row],[clean Salary (in local currency)]]*VLOOKUP(tblSalaries[[#This Row],[Currency]],tblXrate[],2,FALSE)</f>
        <v>41000</v>
      </c>
      <c r="H63" t="s">
        <v>67</v>
      </c>
      <c r="I63" t="s">
        <v>67</v>
      </c>
      <c r="J63" t="s">
        <v>15</v>
      </c>
      <c r="K63" t="str">
        <f>VLOOKUP(tblSalaries[[#This Row],[Where do you work]],tblCountries[[Actual]:[Mapping]],2,FALSE)</f>
        <v>USA</v>
      </c>
      <c r="L63" t="s">
        <v>9</v>
      </c>
      <c r="N63" s="8" t="str">
        <f>VLOOKUP(K63,tblCountries[],3,0)</f>
        <v>North Amer.</v>
      </c>
      <c r="O63" s="8">
        <f>VLOOKUP(tblSalaries[[#This Row],[How many hours of a day you work on Excel]],tblHours,2,0)</f>
        <v>4</v>
      </c>
      <c r="P63" s="8">
        <f>VLOOKUP(tblSalaries[[#This Row],[clean Country]],tblCountries[],5,0)</f>
        <v>1</v>
      </c>
      <c r="Q63" s="8">
        <f>IF($Q$1,tblSalaries[[#This Row],[PPP Factor]]*tblSalaries[[#This Row],[Salary in USD]],tblSalaries[[#This Row],[Salary in USD]])</f>
        <v>41000</v>
      </c>
    </row>
    <row r="64" spans="2:17" ht="15" customHeight="1" x14ac:dyDescent="0.25">
      <c r="B64" t="s">
        <v>2067</v>
      </c>
      <c r="C64" s="1">
        <v>41054.299409722225</v>
      </c>
      <c r="D64" s="4">
        <v>68000</v>
      </c>
      <c r="E64">
        <v>68000</v>
      </c>
      <c r="F64" t="s">
        <v>6</v>
      </c>
      <c r="G64">
        <f>tblSalaries[[#This Row],[clean Salary (in local currency)]]*VLOOKUP(tblSalaries[[#This Row],[Currency]],tblXrate[],2,FALSE)</f>
        <v>68000</v>
      </c>
      <c r="H64" t="s">
        <v>107</v>
      </c>
      <c r="I64" t="s">
        <v>20</v>
      </c>
      <c r="J64" t="s">
        <v>15</v>
      </c>
      <c r="K64" t="str">
        <f>VLOOKUP(tblSalaries[[#This Row],[Where do you work]],tblCountries[[Actual]:[Mapping]],2,FALSE)</f>
        <v>USA</v>
      </c>
      <c r="L64" t="s">
        <v>13</v>
      </c>
      <c r="N64" s="8" t="str">
        <f>VLOOKUP(K64,tblCountries[],3,0)</f>
        <v>North Amer.</v>
      </c>
      <c r="O64" s="8">
        <f>VLOOKUP(tblSalaries[[#This Row],[How many hours of a day you work on Excel]],tblHours,2,0)</f>
        <v>5</v>
      </c>
      <c r="P64" s="8">
        <f>VLOOKUP(tblSalaries[[#This Row],[clean Country]],tblCountries[],5,0)</f>
        <v>1</v>
      </c>
      <c r="Q64" s="8">
        <f>IF($Q$1,tblSalaries[[#This Row],[PPP Factor]]*tblSalaries[[#This Row],[Salary in USD]],tblSalaries[[#This Row],[Salary in USD]])</f>
        <v>68000</v>
      </c>
    </row>
    <row r="65" spans="2:17" ht="15" customHeight="1" x14ac:dyDescent="0.25">
      <c r="B65" t="s">
        <v>2068</v>
      </c>
      <c r="C65" s="1">
        <v>41054.301053240742</v>
      </c>
      <c r="D65" s="4">
        <v>56000</v>
      </c>
      <c r="E65">
        <v>56000</v>
      </c>
      <c r="F65" t="s">
        <v>86</v>
      </c>
      <c r="G65">
        <f>tblSalaries[[#This Row],[clean Salary (in local currency)]]*VLOOKUP(tblSalaries[[#This Row],[Currency]],tblXrate[],2,FALSE)</f>
        <v>55068.245289698301</v>
      </c>
      <c r="H65" t="s">
        <v>108</v>
      </c>
      <c r="I65" t="s">
        <v>20</v>
      </c>
      <c r="J65" t="s">
        <v>109</v>
      </c>
      <c r="K65" t="str">
        <f>VLOOKUP(tblSalaries[[#This Row],[Where do you work]],tblCountries[[Actual]:[Mapping]],2,FALSE)</f>
        <v>Canada</v>
      </c>
      <c r="L65" t="s">
        <v>13</v>
      </c>
      <c r="N65" s="8" t="str">
        <f>VLOOKUP(K65,tblCountries[],3,0)</f>
        <v>North Amer.</v>
      </c>
      <c r="O65" s="8">
        <f>VLOOKUP(tblSalaries[[#This Row],[How many hours of a day you work on Excel]],tblHours,2,0)</f>
        <v>5</v>
      </c>
      <c r="P65" s="8">
        <f>VLOOKUP(tblSalaries[[#This Row],[clean Country]],tblCountries[],5,0)</f>
        <v>1.1935324732986359</v>
      </c>
      <c r="Q65" s="8">
        <f>IF($Q$1,tblSalaries[[#This Row],[PPP Factor]]*tblSalaries[[#This Row],[Salary in USD]],tblSalaries[[#This Row],[Salary in USD]])</f>
        <v>55068.245289698301</v>
      </c>
    </row>
    <row r="66" spans="2:17" ht="15" customHeight="1" x14ac:dyDescent="0.25">
      <c r="B66" t="s">
        <v>2069</v>
      </c>
      <c r="C66" s="1">
        <v>41054.302222222221</v>
      </c>
      <c r="D66" s="4">
        <v>61000</v>
      </c>
      <c r="E66">
        <v>61000</v>
      </c>
      <c r="F66" t="s">
        <v>6</v>
      </c>
      <c r="G66">
        <f>tblSalaries[[#This Row],[clean Salary (in local currency)]]*VLOOKUP(tblSalaries[[#This Row],[Currency]],tblXrate[],2,FALSE)</f>
        <v>61000</v>
      </c>
      <c r="H66" t="s">
        <v>110</v>
      </c>
      <c r="I66" t="s">
        <v>52</v>
      </c>
      <c r="J66" t="s">
        <v>111</v>
      </c>
      <c r="K66" t="str">
        <f>VLOOKUP(tblSalaries[[#This Row],[Where do you work]],tblCountries[[Actual]:[Mapping]],2,FALSE)</f>
        <v>Brazil</v>
      </c>
      <c r="L66" t="s">
        <v>13</v>
      </c>
      <c r="N66" s="8" t="str">
        <f>VLOOKUP(K66,tblCountries[],3,0)</f>
        <v>South Amer.</v>
      </c>
      <c r="O66" s="8">
        <f>VLOOKUP(tblSalaries[[#This Row],[How many hours of a day you work on Excel]],tblHours,2,0)</f>
        <v>5</v>
      </c>
      <c r="P66" s="8">
        <f>VLOOKUP(tblSalaries[[#This Row],[clean Country]],tblCountries[],5,0)</f>
        <v>4.1113943410655107</v>
      </c>
      <c r="Q66" s="8">
        <f>IF($Q$1,tblSalaries[[#This Row],[PPP Factor]]*tblSalaries[[#This Row],[Salary in USD]],tblSalaries[[#This Row],[Salary in USD]])</f>
        <v>61000</v>
      </c>
    </row>
    <row r="67" spans="2:17" ht="15" customHeight="1" x14ac:dyDescent="0.25">
      <c r="B67" t="s">
        <v>2070</v>
      </c>
      <c r="C67" s="1">
        <v>41054.304780092592</v>
      </c>
      <c r="D67" s="4">
        <v>43000</v>
      </c>
      <c r="E67">
        <v>43000</v>
      </c>
      <c r="F67" t="s">
        <v>22</v>
      </c>
      <c r="G67">
        <f>tblSalaries[[#This Row],[clean Salary (in local currency)]]*VLOOKUP(tblSalaries[[#This Row],[Currency]],tblXrate[],2,FALSE)</f>
        <v>54627.175876639136</v>
      </c>
      <c r="H67" t="s">
        <v>112</v>
      </c>
      <c r="I67" t="s">
        <v>356</v>
      </c>
      <c r="J67" t="s">
        <v>113</v>
      </c>
      <c r="K67" t="str">
        <f>VLOOKUP(tblSalaries[[#This Row],[Where do you work]],tblCountries[[Actual]:[Mapping]],2,FALSE)</f>
        <v>France</v>
      </c>
      <c r="L67" t="s">
        <v>9</v>
      </c>
      <c r="N67" s="8" t="str">
        <f>VLOOKUP(K67,tblCountries[],3,0)</f>
        <v>Europe</v>
      </c>
      <c r="O67" s="8">
        <f>VLOOKUP(tblSalaries[[#This Row],[How many hours of a day you work on Excel]],tblHours,2,0)</f>
        <v>4</v>
      </c>
      <c r="P67" s="8">
        <f>VLOOKUP(tblSalaries[[#This Row],[clean Country]],tblCountries[],5,0)</f>
        <v>1.3763511207190806</v>
      </c>
      <c r="Q67" s="8">
        <f>IF($Q$1,tblSalaries[[#This Row],[PPP Factor]]*tblSalaries[[#This Row],[Salary in USD]],tblSalaries[[#This Row],[Salary in USD]])</f>
        <v>54627.175876639136</v>
      </c>
    </row>
    <row r="68" spans="2:17" ht="15" customHeight="1" x14ac:dyDescent="0.25">
      <c r="B68" t="s">
        <v>2071</v>
      </c>
      <c r="C68" s="1">
        <v>41054.305648148147</v>
      </c>
      <c r="D68" s="4">
        <v>85000</v>
      </c>
      <c r="E68">
        <v>85000</v>
      </c>
      <c r="F68" t="s">
        <v>6</v>
      </c>
      <c r="G68">
        <f>tblSalaries[[#This Row],[clean Salary (in local currency)]]*VLOOKUP(tblSalaries[[#This Row],[Currency]],tblXrate[],2,FALSE)</f>
        <v>85000</v>
      </c>
      <c r="H68" t="s">
        <v>52</v>
      </c>
      <c r="I68" t="s">
        <v>52</v>
      </c>
      <c r="J68" t="s">
        <v>15</v>
      </c>
      <c r="K68" t="str">
        <f>VLOOKUP(tblSalaries[[#This Row],[Where do you work]],tblCountries[[Actual]:[Mapping]],2,FALSE)</f>
        <v>USA</v>
      </c>
      <c r="L68" t="s">
        <v>9</v>
      </c>
      <c r="N68" s="8" t="str">
        <f>VLOOKUP(K68,tblCountries[],3,0)</f>
        <v>North Amer.</v>
      </c>
      <c r="O68" s="8">
        <f>VLOOKUP(tblSalaries[[#This Row],[How many hours of a day you work on Excel]],tblHours,2,0)</f>
        <v>4</v>
      </c>
      <c r="P68" s="8">
        <f>VLOOKUP(tblSalaries[[#This Row],[clean Country]],tblCountries[],5,0)</f>
        <v>1</v>
      </c>
      <c r="Q68" s="8">
        <f>IF($Q$1,tblSalaries[[#This Row],[PPP Factor]]*tblSalaries[[#This Row],[Salary in USD]],tblSalaries[[#This Row],[Salary in USD]])</f>
        <v>85000</v>
      </c>
    </row>
    <row r="69" spans="2:17" ht="15" customHeight="1" x14ac:dyDescent="0.25">
      <c r="B69" t="s">
        <v>2072</v>
      </c>
      <c r="C69" s="1">
        <v>41054.306458333333</v>
      </c>
      <c r="D69" s="4" t="s">
        <v>114</v>
      </c>
      <c r="E69">
        <v>38000</v>
      </c>
      <c r="F69" t="s">
        <v>22</v>
      </c>
      <c r="G69">
        <f>tblSalaries[[#This Row],[clean Salary (in local currency)]]*VLOOKUP(tblSalaries[[#This Row],[Currency]],tblXrate[],2,FALSE)</f>
        <v>48275.178681681093</v>
      </c>
      <c r="H69" t="s">
        <v>115</v>
      </c>
      <c r="I69" t="s">
        <v>20</v>
      </c>
      <c r="J69" t="s">
        <v>96</v>
      </c>
      <c r="K69" t="str">
        <f>VLOOKUP(tblSalaries[[#This Row],[Where do you work]],tblCountries[[Actual]:[Mapping]],2,FALSE)</f>
        <v>Netherlands</v>
      </c>
      <c r="L69" t="s">
        <v>25</v>
      </c>
      <c r="N69" s="8" t="str">
        <f>VLOOKUP(K69,tblCountries[],3,0)</f>
        <v>Europe</v>
      </c>
      <c r="O69" s="8">
        <f>VLOOKUP(tblSalaries[[#This Row],[How many hours of a day you work on Excel]],tblHours,2,0)</f>
        <v>2</v>
      </c>
      <c r="P69" s="8">
        <f>VLOOKUP(tblSalaries[[#This Row],[clean Country]],tblCountries[],5,0)</f>
        <v>1.1470734656141099</v>
      </c>
      <c r="Q69" s="8">
        <f>IF($Q$1,tblSalaries[[#This Row],[PPP Factor]]*tblSalaries[[#This Row],[Salary in USD]],tblSalaries[[#This Row],[Salary in USD]])</f>
        <v>48275.178681681093</v>
      </c>
    </row>
    <row r="70" spans="2:17" ht="15" customHeight="1" x14ac:dyDescent="0.25">
      <c r="B70" t="s">
        <v>2073</v>
      </c>
      <c r="C70" s="1">
        <v>41054.309166666666</v>
      </c>
      <c r="D70" s="4">
        <v>85000</v>
      </c>
      <c r="E70">
        <v>85000</v>
      </c>
      <c r="F70" t="s">
        <v>82</v>
      </c>
      <c r="G70">
        <f>tblSalaries[[#This Row],[clean Salary (in local currency)]]*VLOOKUP(tblSalaries[[#This Row],[Currency]],tblXrate[],2,FALSE)</f>
        <v>86692.320794224041</v>
      </c>
      <c r="H70" t="s">
        <v>116</v>
      </c>
      <c r="I70" t="s">
        <v>4001</v>
      </c>
      <c r="J70" t="s">
        <v>84</v>
      </c>
      <c r="K70" t="str">
        <f>VLOOKUP(tblSalaries[[#This Row],[Where do you work]],tblCountries[[Actual]:[Mapping]],2,FALSE)</f>
        <v>Australia</v>
      </c>
      <c r="L70" t="s">
        <v>9</v>
      </c>
      <c r="N70" s="8" t="str">
        <f>VLOOKUP(K70,tblCountries[],3,0)</f>
        <v>Oceania</v>
      </c>
      <c r="O70" s="8">
        <f>VLOOKUP(tblSalaries[[#This Row],[How many hours of a day you work on Excel]],tblHours,2,0)</f>
        <v>4</v>
      </c>
      <c r="P70" s="8">
        <f>VLOOKUP(tblSalaries[[#This Row],[clean Country]],tblCountries[],5,0)</f>
        <v>1.2026395585822935</v>
      </c>
      <c r="Q70" s="8">
        <f>IF($Q$1,tblSalaries[[#This Row],[PPP Factor]]*tblSalaries[[#This Row],[Salary in USD]],tblSalaries[[#This Row],[Salary in USD]])</f>
        <v>86692.320794224041</v>
      </c>
    </row>
    <row r="71" spans="2:17" ht="15" customHeight="1" x14ac:dyDescent="0.25">
      <c r="B71" t="s">
        <v>2074</v>
      </c>
      <c r="C71" s="1">
        <v>41054.311944444446</v>
      </c>
      <c r="D71" s="4">
        <v>85087</v>
      </c>
      <c r="E71">
        <v>85087</v>
      </c>
      <c r="F71" t="s">
        <v>6</v>
      </c>
      <c r="G71">
        <f>tblSalaries[[#This Row],[clean Salary (in local currency)]]*VLOOKUP(tblSalaries[[#This Row],[Currency]],tblXrate[],2,FALSE)</f>
        <v>85087</v>
      </c>
      <c r="H71" t="s">
        <v>117</v>
      </c>
      <c r="I71" t="s">
        <v>20</v>
      </c>
      <c r="J71" t="s">
        <v>15</v>
      </c>
      <c r="K71" t="str">
        <f>VLOOKUP(tblSalaries[[#This Row],[Where do you work]],tblCountries[[Actual]:[Mapping]],2,FALSE)</f>
        <v>USA</v>
      </c>
      <c r="L71" t="s">
        <v>18</v>
      </c>
      <c r="N71" s="8" t="str">
        <f>VLOOKUP(K71,tblCountries[],3,0)</f>
        <v>North Amer.</v>
      </c>
      <c r="O71" s="8">
        <f>VLOOKUP(tblSalaries[[#This Row],[How many hours of a day you work on Excel]],tblHours,2,0)</f>
        <v>3</v>
      </c>
      <c r="P71" s="8">
        <f>VLOOKUP(tblSalaries[[#This Row],[clean Country]],tblCountries[],5,0)</f>
        <v>1</v>
      </c>
      <c r="Q71" s="8">
        <f>IF($Q$1,tblSalaries[[#This Row],[PPP Factor]]*tblSalaries[[#This Row],[Salary in USD]],tblSalaries[[#This Row],[Salary in USD]])</f>
        <v>85087</v>
      </c>
    </row>
    <row r="72" spans="2:17" ht="15" customHeight="1" x14ac:dyDescent="0.25">
      <c r="B72" t="s">
        <v>2075</v>
      </c>
      <c r="C72" s="1">
        <v>41054.318310185183</v>
      </c>
      <c r="D72" s="4">
        <v>50000</v>
      </c>
      <c r="E72">
        <v>50000</v>
      </c>
      <c r="F72" t="s">
        <v>6</v>
      </c>
      <c r="G72">
        <f>tblSalaries[[#This Row],[clean Salary (in local currency)]]*VLOOKUP(tblSalaries[[#This Row],[Currency]],tblXrate[],2,FALSE)</f>
        <v>50000</v>
      </c>
      <c r="H72" t="s">
        <v>118</v>
      </c>
      <c r="I72" t="s">
        <v>20</v>
      </c>
      <c r="J72" t="s">
        <v>15</v>
      </c>
      <c r="K72" t="str">
        <f>VLOOKUP(tblSalaries[[#This Row],[Where do you work]],tblCountries[[Actual]:[Mapping]],2,FALSE)</f>
        <v>USA</v>
      </c>
      <c r="L72" t="s">
        <v>13</v>
      </c>
      <c r="N72" s="8" t="str">
        <f>VLOOKUP(K72,tblCountries[],3,0)</f>
        <v>North Amer.</v>
      </c>
      <c r="O72" s="8">
        <f>VLOOKUP(tblSalaries[[#This Row],[How many hours of a day you work on Excel]],tblHours,2,0)</f>
        <v>5</v>
      </c>
      <c r="P72" s="8">
        <f>VLOOKUP(tblSalaries[[#This Row],[clean Country]],tblCountries[],5,0)</f>
        <v>1</v>
      </c>
      <c r="Q72" s="8">
        <f>IF($Q$1,tblSalaries[[#This Row],[PPP Factor]]*tblSalaries[[#This Row],[Salary in USD]],tblSalaries[[#This Row],[Salary in USD]])</f>
        <v>50000</v>
      </c>
    </row>
    <row r="73" spans="2:17" ht="15" customHeight="1" x14ac:dyDescent="0.25">
      <c r="B73" t="s">
        <v>2076</v>
      </c>
      <c r="C73" s="1">
        <v>41054.324305555558</v>
      </c>
      <c r="D73" s="4">
        <v>100000</v>
      </c>
      <c r="E73">
        <v>100000</v>
      </c>
      <c r="F73" t="s">
        <v>6</v>
      </c>
      <c r="G73">
        <f>tblSalaries[[#This Row],[clean Salary (in local currency)]]*VLOOKUP(tblSalaries[[#This Row],[Currency]],tblXrate[],2,FALSE)</f>
        <v>100000</v>
      </c>
      <c r="H73" t="s">
        <v>119</v>
      </c>
      <c r="I73" t="s">
        <v>52</v>
      </c>
      <c r="J73" t="s">
        <v>120</v>
      </c>
      <c r="K73" t="str">
        <f>VLOOKUP(tblSalaries[[#This Row],[Where do you work]],tblCountries[[Actual]:[Mapping]],2,FALSE)</f>
        <v>South Africa</v>
      </c>
      <c r="L73" t="s">
        <v>9</v>
      </c>
      <c r="N73" s="8" t="str">
        <f>VLOOKUP(K73,tblCountries[],3,0)</f>
        <v>Africa</v>
      </c>
      <c r="O73" s="8">
        <f>VLOOKUP(tblSalaries[[#This Row],[How many hours of a day you work on Excel]],tblHours,2,0)</f>
        <v>4</v>
      </c>
      <c r="P73" s="8">
        <f>VLOOKUP(tblSalaries[[#This Row],[clean Country]],tblCountries[],5,0)</f>
        <v>4.4096418481727877</v>
      </c>
      <c r="Q73" s="8">
        <f>IF($Q$1,tblSalaries[[#This Row],[PPP Factor]]*tblSalaries[[#This Row],[Salary in USD]],tblSalaries[[#This Row],[Salary in USD]])</f>
        <v>100000</v>
      </c>
    </row>
    <row r="74" spans="2:17" ht="15" customHeight="1" x14ac:dyDescent="0.25">
      <c r="B74" t="s">
        <v>2077</v>
      </c>
      <c r="C74" s="1">
        <v>41054.950694444444</v>
      </c>
      <c r="D74" s="4">
        <v>57000</v>
      </c>
      <c r="E74">
        <v>57000</v>
      </c>
      <c r="F74" t="s">
        <v>6</v>
      </c>
      <c r="G74">
        <f>tblSalaries[[#This Row],[clean Salary (in local currency)]]*VLOOKUP(tblSalaries[[#This Row],[Currency]],tblXrate[],2,FALSE)</f>
        <v>57000</v>
      </c>
      <c r="H74" t="s">
        <v>121</v>
      </c>
      <c r="I74" t="s">
        <v>20</v>
      </c>
      <c r="J74" t="s">
        <v>15</v>
      </c>
      <c r="K74" t="str">
        <f>VLOOKUP(tblSalaries[[#This Row],[Where do you work]],tblCountries[[Actual]:[Mapping]],2,FALSE)</f>
        <v>USA</v>
      </c>
      <c r="L74" t="s">
        <v>9</v>
      </c>
      <c r="N74" s="8" t="str">
        <f>VLOOKUP(K74,tblCountries[],3,0)</f>
        <v>North Amer.</v>
      </c>
      <c r="O74" s="8">
        <f>VLOOKUP(tblSalaries[[#This Row],[How many hours of a day you work on Excel]],tblHours,2,0)</f>
        <v>4</v>
      </c>
      <c r="P74" s="8">
        <f>VLOOKUP(tblSalaries[[#This Row],[clean Country]],tblCountries[],5,0)</f>
        <v>1</v>
      </c>
      <c r="Q74" s="8">
        <f>IF($Q$1,tblSalaries[[#This Row],[PPP Factor]]*tblSalaries[[#This Row],[Salary in USD]],tblSalaries[[#This Row],[Salary in USD]])</f>
        <v>57000</v>
      </c>
    </row>
    <row r="75" spans="2:17" ht="15" customHeight="1" x14ac:dyDescent="0.25">
      <c r="B75" t="s">
        <v>2078</v>
      </c>
      <c r="C75" s="1">
        <v>41054.953101851854</v>
      </c>
      <c r="D75" s="4">
        <v>75000</v>
      </c>
      <c r="E75">
        <v>75000</v>
      </c>
      <c r="F75" t="s">
        <v>6</v>
      </c>
      <c r="G75">
        <f>tblSalaries[[#This Row],[clean Salary (in local currency)]]*VLOOKUP(tblSalaries[[#This Row],[Currency]],tblXrate[],2,FALSE)</f>
        <v>75000</v>
      </c>
      <c r="H75" t="s">
        <v>122</v>
      </c>
      <c r="I75" t="s">
        <v>52</v>
      </c>
      <c r="J75" t="s">
        <v>15</v>
      </c>
      <c r="K75" t="str">
        <f>VLOOKUP(tblSalaries[[#This Row],[Where do you work]],tblCountries[[Actual]:[Mapping]],2,FALSE)</f>
        <v>USA</v>
      </c>
      <c r="L75" t="s">
        <v>13</v>
      </c>
      <c r="N75" s="8" t="str">
        <f>VLOOKUP(K75,tblCountries[],3,0)</f>
        <v>North Amer.</v>
      </c>
      <c r="O75" s="8">
        <f>VLOOKUP(tblSalaries[[#This Row],[How many hours of a day you work on Excel]],tblHours,2,0)</f>
        <v>5</v>
      </c>
      <c r="P75" s="8">
        <f>VLOOKUP(tblSalaries[[#This Row],[clean Country]],tblCountries[],5,0)</f>
        <v>1</v>
      </c>
      <c r="Q75" s="8">
        <f>IF($Q$1,tblSalaries[[#This Row],[PPP Factor]]*tblSalaries[[#This Row],[Salary in USD]],tblSalaries[[#This Row],[Salary in USD]])</f>
        <v>75000</v>
      </c>
    </row>
    <row r="76" spans="2:17" ht="15" customHeight="1" x14ac:dyDescent="0.25">
      <c r="B76" t="s">
        <v>2079</v>
      </c>
      <c r="C76" s="1">
        <v>41054.957696759258</v>
      </c>
      <c r="D76" s="4" t="s">
        <v>123</v>
      </c>
      <c r="E76">
        <v>100000</v>
      </c>
      <c r="F76" t="s">
        <v>82</v>
      </c>
      <c r="G76">
        <f>tblSalaries[[#This Row],[clean Salary (in local currency)]]*VLOOKUP(tblSalaries[[#This Row],[Currency]],tblXrate[],2,FALSE)</f>
        <v>101990.96564026357</v>
      </c>
      <c r="H76" t="s">
        <v>124</v>
      </c>
      <c r="I76" t="s">
        <v>52</v>
      </c>
      <c r="J76" t="s">
        <v>84</v>
      </c>
      <c r="K76" t="str">
        <f>VLOOKUP(tblSalaries[[#This Row],[Where do you work]],tblCountries[[Actual]:[Mapping]],2,FALSE)</f>
        <v>Australia</v>
      </c>
      <c r="L76" t="s">
        <v>9</v>
      </c>
      <c r="N76" s="8" t="str">
        <f>VLOOKUP(K76,tblCountries[],3,0)</f>
        <v>Oceania</v>
      </c>
      <c r="O76" s="8">
        <f>VLOOKUP(tblSalaries[[#This Row],[How many hours of a day you work on Excel]],tblHours,2,0)</f>
        <v>4</v>
      </c>
      <c r="P76" s="8">
        <f>VLOOKUP(tblSalaries[[#This Row],[clean Country]],tblCountries[],5,0)</f>
        <v>1.2026395585822935</v>
      </c>
      <c r="Q76" s="8">
        <f>IF($Q$1,tblSalaries[[#This Row],[PPP Factor]]*tblSalaries[[#This Row],[Salary in USD]],tblSalaries[[#This Row],[Salary in USD]])</f>
        <v>101990.96564026357</v>
      </c>
    </row>
    <row r="77" spans="2:17" ht="15" customHeight="1" x14ac:dyDescent="0.25">
      <c r="B77" t="s">
        <v>2080</v>
      </c>
      <c r="C77" s="1">
        <v>41054.95925925926</v>
      </c>
      <c r="D77" s="4">
        <v>2785</v>
      </c>
      <c r="E77">
        <v>33420</v>
      </c>
      <c r="F77" t="s">
        <v>6</v>
      </c>
      <c r="G77">
        <f>tblSalaries[[#This Row],[clean Salary (in local currency)]]*VLOOKUP(tblSalaries[[#This Row],[Currency]],tblXrate[],2,FALSE)</f>
        <v>33420</v>
      </c>
      <c r="H77" t="s">
        <v>125</v>
      </c>
      <c r="I77" t="s">
        <v>52</v>
      </c>
      <c r="J77" t="s">
        <v>126</v>
      </c>
      <c r="K77" t="str">
        <f>VLOOKUP(tblSalaries[[#This Row],[Where do you work]],tblCountries[[Actual]:[Mapping]],2,FALSE)</f>
        <v>UAE</v>
      </c>
      <c r="L77" t="s">
        <v>13</v>
      </c>
      <c r="N77" s="8" t="str">
        <f>VLOOKUP(K77,tblCountries[],3,0)</f>
        <v>Asia</v>
      </c>
      <c r="O77" s="8">
        <f>VLOOKUP(tblSalaries[[#This Row],[How many hours of a day you work on Excel]],tblHours,2,0)</f>
        <v>5</v>
      </c>
      <c r="P77" s="8">
        <f>VLOOKUP(tblSalaries[[#This Row],[clean Country]],tblCountries[],5,0)</f>
        <v>1.0047551808629926</v>
      </c>
      <c r="Q77" s="8">
        <f>IF($Q$1,tblSalaries[[#This Row],[PPP Factor]]*tblSalaries[[#This Row],[Salary in USD]],tblSalaries[[#This Row],[Salary in USD]])</f>
        <v>33420</v>
      </c>
    </row>
    <row r="78" spans="2:17" ht="15" customHeight="1" x14ac:dyDescent="0.25">
      <c r="B78" t="s">
        <v>2081</v>
      </c>
      <c r="C78" s="1">
        <v>41054.960416666669</v>
      </c>
      <c r="D78" s="4">
        <v>59450</v>
      </c>
      <c r="E78">
        <v>59450</v>
      </c>
      <c r="F78" t="s">
        <v>86</v>
      </c>
      <c r="G78">
        <f>tblSalaries[[#This Row],[clean Salary (in local currency)]]*VLOOKUP(tblSalaries[[#This Row],[Currency]],tblXrate[],2,FALSE)</f>
        <v>58460.842544152933</v>
      </c>
      <c r="H78" t="s">
        <v>127</v>
      </c>
      <c r="I78" t="s">
        <v>67</v>
      </c>
      <c r="J78" t="s">
        <v>88</v>
      </c>
      <c r="K78" t="str">
        <f>VLOOKUP(tblSalaries[[#This Row],[Where do you work]],tblCountries[[Actual]:[Mapping]],2,FALSE)</f>
        <v>Canada</v>
      </c>
      <c r="L78" t="s">
        <v>13</v>
      </c>
      <c r="N78" s="8" t="str">
        <f>VLOOKUP(K78,tblCountries[],3,0)</f>
        <v>North Amer.</v>
      </c>
      <c r="O78" s="8">
        <f>VLOOKUP(tblSalaries[[#This Row],[How many hours of a day you work on Excel]],tblHours,2,0)</f>
        <v>5</v>
      </c>
      <c r="P78" s="8">
        <f>VLOOKUP(tblSalaries[[#This Row],[clean Country]],tblCountries[],5,0)</f>
        <v>1.1935324732986359</v>
      </c>
      <c r="Q78" s="8">
        <f>IF($Q$1,tblSalaries[[#This Row],[PPP Factor]]*tblSalaries[[#This Row],[Salary in USD]],tblSalaries[[#This Row],[Salary in USD]])</f>
        <v>58460.842544152933</v>
      </c>
    </row>
    <row r="79" spans="2:17" ht="15" customHeight="1" x14ac:dyDescent="0.25">
      <c r="B79" t="s">
        <v>2082</v>
      </c>
      <c r="C79" s="1">
        <v>41054.967002314814</v>
      </c>
      <c r="D79" s="4">
        <v>15000</v>
      </c>
      <c r="E79">
        <v>15000</v>
      </c>
      <c r="F79" t="s">
        <v>6</v>
      </c>
      <c r="G79">
        <f>tblSalaries[[#This Row],[clean Salary (in local currency)]]*VLOOKUP(tblSalaries[[#This Row],[Currency]],tblXrate[],2,FALSE)</f>
        <v>15000</v>
      </c>
      <c r="H79" t="s">
        <v>128</v>
      </c>
      <c r="I79" t="s">
        <v>356</v>
      </c>
      <c r="J79" t="s">
        <v>15</v>
      </c>
      <c r="K79" t="str">
        <f>VLOOKUP(tblSalaries[[#This Row],[Where do you work]],tblCountries[[Actual]:[Mapping]],2,FALSE)</f>
        <v>USA</v>
      </c>
      <c r="L79" t="s">
        <v>13</v>
      </c>
      <c r="N79" s="8" t="str">
        <f>VLOOKUP(K79,tblCountries[],3,0)</f>
        <v>North Amer.</v>
      </c>
      <c r="O79" s="8">
        <f>VLOOKUP(tblSalaries[[#This Row],[How many hours of a day you work on Excel]],tblHours,2,0)</f>
        <v>5</v>
      </c>
      <c r="P79" s="8">
        <f>VLOOKUP(tblSalaries[[#This Row],[clean Country]],tblCountries[],5,0)</f>
        <v>1</v>
      </c>
      <c r="Q79" s="8">
        <f>IF($Q$1,tblSalaries[[#This Row],[PPP Factor]]*tblSalaries[[#This Row],[Salary in USD]],tblSalaries[[#This Row],[Salary in USD]])</f>
        <v>15000</v>
      </c>
    </row>
    <row r="80" spans="2:17" ht="15" customHeight="1" x14ac:dyDescent="0.25">
      <c r="B80" t="s">
        <v>2083</v>
      </c>
      <c r="C80" s="1">
        <v>41054.969143518516</v>
      </c>
      <c r="D80" s="4" t="s">
        <v>129</v>
      </c>
      <c r="E80">
        <v>60000</v>
      </c>
      <c r="F80" t="s">
        <v>6</v>
      </c>
      <c r="G80">
        <f>tblSalaries[[#This Row],[clean Salary (in local currency)]]*VLOOKUP(tblSalaries[[#This Row],[Currency]],tblXrate[],2,FALSE)</f>
        <v>60000</v>
      </c>
      <c r="H80" t="s">
        <v>130</v>
      </c>
      <c r="I80" t="s">
        <v>20</v>
      </c>
      <c r="J80" t="s">
        <v>88</v>
      </c>
      <c r="K80" t="str">
        <f>VLOOKUP(tblSalaries[[#This Row],[Where do you work]],tblCountries[[Actual]:[Mapping]],2,FALSE)</f>
        <v>Canada</v>
      </c>
      <c r="L80" t="s">
        <v>25</v>
      </c>
      <c r="N80" s="8" t="str">
        <f>VLOOKUP(K80,tblCountries[],3,0)</f>
        <v>North Amer.</v>
      </c>
      <c r="O80" s="8">
        <f>VLOOKUP(tblSalaries[[#This Row],[How many hours of a day you work on Excel]],tblHours,2,0)</f>
        <v>2</v>
      </c>
      <c r="P80" s="8">
        <f>VLOOKUP(tblSalaries[[#This Row],[clean Country]],tblCountries[],5,0)</f>
        <v>1.1935324732986359</v>
      </c>
      <c r="Q80" s="8">
        <f>IF($Q$1,tblSalaries[[#This Row],[PPP Factor]]*tblSalaries[[#This Row],[Salary in USD]],tblSalaries[[#This Row],[Salary in USD]])</f>
        <v>60000</v>
      </c>
    </row>
    <row r="81" spans="2:17" ht="15" customHeight="1" x14ac:dyDescent="0.25">
      <c r="B81" t="s">
        <v>2084</v>
      </c>
      <c r="C81" s="1">
        <v>41054.971354166664</v>
      </c>
      <c r="D81" s="4">
        <v>100000</v>
      </c>
      <c r="E81">
        <v>100000</v>
      </c>
      <c r="F81" t="s">
        <v>69</v>
      </c>
      <c r="G81">
        <f>tblSalaries[[#This Row],[clean Salary (in local currency)]]*VLOOKUP(tblSalaries[[#This Row],[Currency]],tblXrate[],2,FALSE)</f>
        <v>157617.8272067284</v>
      </c>
      <c r="H81" t="s">
        <v>20</v>
      </c>
      <c r="I81" t="s">
        <v>20</v>
      </c>
      <c r="J81" t="s">
        <v>71</v>
      </c>
      <c r="K81" t="str">
        <f>VLOOKUP(tblSalaries[[#This Row],[Where do you work]],tblCountries[[Actual]:[Mapping]],2,FALSE)</f>
        <v>UK</v>
      </c>
      <c r="L81" t="s">
        <v>18</v>
      </c>
      <c r="N81" s="8" t="str">
        <f>VLOOKUP(K81,tblCountries[],3,0)</f>
        <v>Europe</v>
      </c>
      <c r="O81" s="8">
        <f>VLOOKUP(tblSalaries[[#This Row],[How many hours of a day you work on Excel]],tblHours,2,0)</f>
        <v>3</v>
      </c>
      <c r="P81" s="8">
        <f>VLOOKUP(tblSalaries[[#This Row],[clean Country]],tblCountries[],5,0)</f>
        <v>1.3407315045719035</v>
      </c>
      <c r="Q81" s="8">
        <f>IF($Q$1,tblSalaries[[#This Row],[PPP Factor]]*tblSalaries[[#This Row],[Salary in USD]],tblSalaries[[#This Row],[Salary in USD]])</f>
        <v>157617.8272067284</v>
      </c>
    </row>
    <row r="82" spans="2:17" ht="15" customHeight="1" x14ac:dyDescent="0.25">
      <c r="B82" t="s">
        <v>2085</v>
      </c>
      <c r="C82" s="1">
        <v>41054.972754629627</v>
      </c>
      <c r="D82" s="4" t="s">
        <v>131</v>
      </c>
      <c r="E82">
        <v>18000</v>
      </c>
      <c r="F82" t="s">
        <v>6</v>
      </c>
      <c r="G82">
        <f>tblSalaries[[#This Row],[clean Salary (in local currency)]]*VLOOKUP(tblSalaries[[#This Row],[Currency]],tblXrate[],2,FALSE)</f>
        <v>18000</v>
      </c>
      <c r="H82" t="s">
        <v>132</v>
      </c>
      <c r="I82" t="s">
        <v>20</v>
      </c>
      <c r="J82" t="s">
        <v>133</v>
      </c>
      <c r="K82" t="str">
        <f>VLOOKUP(tblSalaries[[#This Row],[Where do you work]],tblCountries[[Actual]:[Mapping]],2,FALSE)</f>
        <v>Saudi Arabia</v>
      </c>
      <c r="L82" t="s">
        <v>13</v>
      </c>
      <c r="N82" s="8" t="str">
        <f>VLOOKUP(K82,tblCountries[],3,0)</f>
        <v>Asia</v>
      </c>
      <c r="O82" s="8">
        <f>VLOOKUP(tblSalaries[[#This Row],[How many hours of a day you work on Excel]],tblHours,2,0)</f>
        <v>5</v>
      </c>
      <c r="P82" s="8">
        <f>VLOOKUP(tblSalaries[[#This Row],[clean Country]],tblCountries[],5,0)</f>
        <v>1.9964104468374799</v>
      </c>
      <c r="Q82" s="8">
        <f>IF($Q$1,tblSalaries[[#This Row],[PPP Factor]]*tblSalaries[[#This Row],[Salary in USD]],tblSalaries[[#This Row],[Salary in USD]])</f>
        <v>18000</v>
      </c>
    </row>
    <row r="83" spans="2:17" ht="15" customHeight="1" x14ac:dyDescent="0.25">
      <c r="B83" t="s">
        <v>2086</v>
      </c>
      <c r="C83" s="1">
        <v>41054.980046296296</v>
      </c>
      <c r="D83" s="4">
        <v>50000</v>
      </c>
      <c r="E83">
        <v>50000</v>
      </c>
      <c r="F83" t="s">
        <v>6</v>
      </c>
      <c r="G83">
        <f>tblSalaries[[#This Row],[clean Salary (in local currency)]]*VLOOKUP(tblSalaries[[#This Row],[Currency]],tblXrate[],2,FALSE)</f>
        <v>50000</v>
      </c>
      <c r="H83" t="s">
        <v>134</v>
      </c>
      <c r="I83" t="s">
        <v>52</v>
      </c>
      <c r="J83" t="s">
        <v>15</v>
      </c>
      <c r="K83" t="str">
        <f>VLOOKUP(tblSalaries[[#This Row],[Where do you work]],tblCountries[[Actual]:[Mapping]],2,FALSE)</f>
        <v>USA</v>
      </c>
      <c r="L83" t="s">
        <v>18</v>
      </c>
      <c r="N83" s="8" t="str">
        <f>VLOOKUP(K83,tblCountries[],3,0)</f>
        <v>North Amer.</v>
      </c>
      <c r="O83" s="8">
        <f>VLOOKUP(tblSalaries[[#This Row],[How many hours of a day you work on Excel]],tblHours,2,0)</f>
        <v>3</v>
      </c>
      <c r="P83" s="8">
        <f>VLOOKUP(tblSalaries[[#This Row],[clean Country]],tblCountries[],5,0)</f>
        <v>1</v>
      </c>
      <c r="Q83" s="8">
        <f>IF($Q$1,tblSalaries[[#This Row],[PPP Factor]]*tblSalaries[[#This Row],[Salary in USD]],tblSalaries[[#This Row],[Salary in USD]])</f>
        <v>50000</v>
      </c>
    </row>
    <row r="84" spans="2:17" ht="15" customHeight="1" x14ac:dyDescent="0.25">
      <c r="B84" t="s">
        <v>2087</v>
      </c>
      <c r="C84" s="1">
        <v>41054.981423611112</v>
      </c>
      <c r="D84" s="4">
        <v>26000</v>
      </c>
      <c r="E84">
        <v>26000</v>
      </c>
      <c r="F84" t="s">
        <v>6</v>
      </c>
      <c r="G84">
        <f>tblSalaries[[#This Row],[clean Salary (in local currency)]]*VLOOKUP(tblSalaries[[#This Row],[Currency]],tblXrate[],2,FALSE)</f>
        <v>26000</v>
      </c>
      <c r="H84" t="s">
        <v>135</v>
      </c>
      <c r="I84" t="s">
        <v>20</v>
      </c>
      <c r="J84" t="s">
        <v>136</v>
      </c>
      <c r="K84" t="str">
        <f>VLOOKUP(tblSalaries[[#This Row],[Where do you work]],tblCountries[[Actual]:[Mapping]],2,FALSE)</f>
        <v>Panama</v>
      </c>
      <c r="L84" t="s">
        <v>13</v>
      </c>
      <c r="N84" s="8" t="str">
        <f>VLOOKUP(K84,tblCountries[],3,0)</f>
        <v>North Amer.</v>
      </c>
      <c r="O84" s="8">
        <f>VLOOKUP(tblSalaries[[#This Row],[How many hours of a day you work on Excel]],tblHours,2,0)</f>
        <v>5</v>
      </c>
      <c r="P84" s="8">
        <f>VLOOKUP(tblSalaries[[#This Row],[clean Country]],tblCountries[],5,0)</f>
        <v>3.4324324324324325</v>
      </c>
      <c r="Q84" s="8">
        <f>IF($Q$1,tblSalaries[[#This Row],[PPP Factor]]*tblSalaries[[#This Row],[Salary in USD]],tblSalaries[[#This Row],[Salary in USD]])</f>
        <v>26000</v>
      </c>
    </row>
    <row r="85" spans="2:17" ht="15" customHeight="1" x14ac:dyDescent="0.25">
      <c r="B85" t="s">
        <v>2088</v>
      </c>
      <c r="C85" s="1">
        <v>41054.992673611108</v>
      </c>
      <c r="D85" s="4" t="s">
        <v>137</v>
      </c>
      <c r="E85">
        <v>30000</v>
      </c>
      <c r="F85" t="s">
        <v>69</v>
      </c>
      <c r="G85">
        <f>tblSalaries[[#This Row],[clean Salary (in local currency)]]*VLOOKUP(tblSalaries[[#This Row],[Currency]],tblXrate[],2,FALSE)</f>
        <v>47285.348162018527</v>
      </c>
      <c r="H85" t="s">
        <v>138</v>
      </c>
      <c r="I85" t="s">
        <v>52</v>
      </c>
      <c r="J85" t="s">
        <v>71</v>
      </c>
      <c r="K85" t="str">
        <f>VLOOKUP(tblSalaries[[#This Row],[Where do you work]],tblCountries[[Actual]:[Mapping]],2,FALSE)</f>
        <v>UK</v>
      </c>
      <c r="L85" t="s">
        <v>9</v>
      </c>
      <c r="N85" s="8" t="str">
        <f>VLOOKUP(K85,tblCountries[],3,0)</f>
        <v>Europe</v>
      </c>
      <c r="O85" s="8">
        <f>VLOOKUP(tblSalaries[[#This Row],[How many hours of a day you work on Excel]],tblHours,2,0)</f>
        <v>4</v>
      </c>
      <c r="P85" s="8">
        <f>VLOOKUP(tblSalaries[[#This Row],[clean Country]],tblCountries[],5,0)</f>
        <v>1.3407315045719035</v>
      </c>
      <c r="Q85" s="8">
        <f>IF($Q$1,tblSalaries[[#This Row],[PPP Factor]]*tblSalaries[[#This Row],[Salary in USD]],tblSalaries[[#This Row],[Salary in USD]])</f>
        <v>47285.348162018527</v>
      </c>
    </row>
    <row r="86" spans="2:17" ht="15" customHeight="1" x14ac:dyDescent="0.25">
      <c r="B86" t="s">
        <v>2089</v>
      </c>
      <c r="C86" s="1">
        <v>41055.000601851854</v>
      </c>
      <c r="D86" s="4">
        <v>150000</v>
      </c>
      <c r="E86">
        <v>150000</v>
      </c>
      <c r="F86" t="s">
        <v>6</v>
      </c>
      <c r="G86">
        <f>tblSalaries[[#This Row],[clean Salary (in local currency)]]*VLOOKUP(tblSalaries[[#This Row],[Currency]],tblXrate[],2,FALSE)</f>
        <v>150000</v>
      </c>
      <c r="H86" t="s">
        <v>139</v>
      </c>
      <c r="I86" t="s">
        <v>4001</v>
      </c>
      <c r="J86" t="s">
        <v>15</v>
      </c>
      <c r="K86" t="str">
        <f>VLOOKUP(tblSalaries[[#This Row],[Where do you work]],tblCountries[[Actual]:[Mapping]],2,FALSE)</f>
        <v>USA</v>
      </c>
      <c r="L86" t="s">
        <v>13</v>
      </c>
      <c r="N86" s="8" t="str">
        <f>VLOOKUP(K86,tblCountries[],3,0)</f>
        <v>North Amer.</v>
      </c>
      <c r="O86" s="8">
        <f>VLOOKUP(tblSalaries[[#This Row],[How many hours of a day you work on Excel]],tblHours,2,0)</f>
        <v>5</v>
      </c>
      <c r="P86" s="8">
        <f>VLOOKUP(tblSalaries[[#This Row],[clean Country]],tblCountries[],5,0)</f>
        <v>1</v>
      </c>
      <c r="Q86" s="8">
        <f>IF($Q$1,tblSalaries[[#This Row],[PPP Factor]]*tblSalaries[[#This Row],[Salary in USD]],tblSalaries[[#This Row],[Salary in USD]])</f>
        <v>150000</v>
      </c>
    </row>
    <row r="87" spans="2:17" ht="15" customHeight="1" x14ac:dyDescent="0.25">
      <c r="B87" t="s">
        <v>2090</v>
      </c>
      <c r="C87" s="1">
        <v>41055.003993055558</v>
      </c>
      <c r="D87" s="4">
        <v>120000</v>
      </c>
      <c r="E87">
        <v>120000</v>
      </c>
      <c r="F87" t="s">
        <v>6</v>
      </c>
      <c r="G87">
        <f>tblSalaries[[#This Row],[clean Salary (in local currency)]]*VLOOKUP(tblSalaries[[#This Row],[Currency]],tblXrate[],2,FALSE)</f>
        <v>120000</v>
      </c>
      <c r="H87" t="s">
        <v>140</v>
      </c>
      <c r="I87" t="s">
        <v>52</v>
      </c>
      <c r="J87" t="s">
        <v>15</v>
      </c>
      <c r="K87" t="str">
        <f>VLOOKUP(tblSalaries[[#This Row],[Where do you work]],tblCountries[[Actual]:[Mapping]],2,FALSE)</f>
        <v>USA</v>
      </c>
      <c r="L87" t="s">
        <v>9</v>
      </c>
      <c r="N87" s="8" t="str">
        <f>VLOOKUP(K87,tblCountries[],3,0)</f>
        <v>North Amer.</v>
      </c>
      <c r="O87" s="8">
        <f>VLOOKUP(tblSalaries[[#This Row],[How many hours of a day you work on Excel]],tblHours,2,0)</f>
        <v>4</v>
      </c>
      <c r="P87" s="8">
        <f>VLOOKUP(tblSalaries[[#This Row],[clean Country]],tblCountries[],5,0)</f>
        <v>1</v>
      </c>
      <c r="Q87" s="8">
        <f>IF($Q$1,tblSalaries[[#This Row],[PPP Factor]]*tblSalaries[[#This Row],[Salary in USD]],tblSalaries[[#This Row],[Salary in USD]])</f>
        <v>120000</v>
      </c>
    </row>
    <row r="88" spans="2:17" ht="15" customHeight="1" x14ac:dyDescent="0.25">
      <c r="B88" t="s">
        <v>2091</v>
      </c>
      <c r="C88" s="1">
        <v>41055.007141203707</v>
      </c>
      <c r="D88" s="4">
        <v>500000</v>
      </c>
      <c r="E88">
        <v>500000</v>
      </c>
      <c r="F88" t="s">
        <v>40</v>
      </c>
      <c r="G88">
        <f>tblSalaries[[#This Row],[clean Salary (in local currency)]]*VLOOKUP(tblSalaries[[#This Row],[Currency]],tblXrate[],2,FALSE)</f>
        <v>8903.9583437212841</v>
      </c>
      <c r="H88" t="s">
        <v>76</v>
      </c>
      <c r="I88" t="s">
        <v>356</v>
      </c>
      <c r="J88" t="s">
        <v>8</v>
      </c>
      <c r="K88" t="str">
        <f>VLOOKUP(tblSalaries[[#This Row],[Where do you work]],tblCountries[[Actual]:[Mapping]],2,FALSE)</f>
        <v>India</v>
      </c>
      <c r="L88" t="s">
        <v>13</v>
      </c>
      <c r="N88" s="8" t="str">
        <f>VLOOKUP(K88,tblCountries[],3,0)</f>
        <v>Asia</v>
      </c>
      <c r="O88" s="8">
        <f>VLOOKUP(tblSalaries[[#This Row],[How many hours of a day you work on Excel]],tblHours,2,0)</f>
        <v>5</v>
      </c>
      <c r="P88" s="8">
        <f>VLOOKUP(tblSalaries[[#This Row],[clean Country]],tblCountries[],5,0)</f>
        <v>13.098808879263672</v>
      </c>
      <c r="Q88" s="8">
        <f>IF($Q$1,tblSalaries[[#This Row],[PPP Factor]]*tblSalaries[[#This Row],[Salary in USD]],tblSalaries[[#This Row],[Salary in USD]])</f>
        <v>8903.9583437212841</v>
      </c>
    </row>
    <row r="89" spans="2:17" ht="15" customHeight="1" x14ac:dyDescent="0.25">
      <c r="B89" t="s">
        <v>2092</v>
      </c>
      <c r="C89" s="1">
        <v>41055.007881944446</v>
      </c>
      <c r="D89" s="4" t="s">
        <v>141</v>
      </c>
      <c r="E89">
        <v>31330</v>
      </c>
      <c r="F89" t="s">
        <v>6</v>
      </c>
      <c r="G89">
        <f>tblSalaries[[#This Row],[clean Salary (in local currency)]]*VLOOKUP(tblSalaries[[#This Row],[Currency]],tblXrate[],2,FALSE)</f>
        <v>31330</v>
      </c>
      <c r="H89" t="s">
        <v>142</v>
      </c>
      <c r="I89" t="s">
        <v>20</v>
      </c>
      <c r="J89" t="s">
        <v>143</v>
      </c>
      <c r="K89" t="str">
        <f>VLOOKUP(tblSalaries[[#This Row],[Where do you work]],tblCountries[[Actual]:[Mapping]],2,FALSE)</f>
        <v>Brazil</v>
      </c>
      <c r="L89" t="s">
        <v>13</v>
      </c>
      <c r="N89" s="8" t="str">
        <f>VLOOKUP(K89,tblCountries[],3,0)</f>
        <v>South Amer.</v>
      </c>
      <c r="O89" s="8">
        <f>VLOOKUP(tblSalaries[[#This Row],[How many hours of a day you work on Excel]],tblHours,2,0)</f>
        <v>5</v>
      </c>
      <c r="P89" s="8">
        <f>VLOOKUP(tblSalaries[[#This Row],[clean Country]],tblCountries[],5,0)</f>
        <v>4.1113943410655107</v>
      </c>
      <c r="Q89" s="8">
        <f>IF($Q$1,tblSalaries[[#This Row],[PPP Factor]]*tblSalaries[[#This Row],[Salary in USD]],tblSalaries[[#This Row],[Salary in USD]])</f>
        <v>31330</v>
      </c>
    </row>
    <row r="90" spans="2:17" ht="15" customHeight="1" x14ac:dyDescent="0.25">
      <c r="B90" t="s">
        <v>2093</v>
      </c>
      <c r="C90" s="1">
        <v>41055.010613425926</v>
      </c>
      <c r="D90" s="4">
        <v>110000</v>
      </c>
      <c r="E90">
        <v>110000</v>
      </c>
      <c r="F90" t="s">
        <v>6</v>
      </c>
      <c r="G90">
        <f>tblSalaries[[#This Row],[clean Salary (in local currency)]]*VLOOKUP(tblSalaries[[#This Row],[Currency]],tblXrate[],2,FALSE)</f>
        <v>110000</v>
      </c>
      <c r="H90" t="s">
        <v>144</v>
      </c>
      <c r="I90" t="s">
        <v>279</v>
      </c>
      <c r="J90" t="s">
        <v>15</v>
      </c>
      <c r="K90" t="str">
        <f>VLOOKUP(tblSalaries[[#This Row],[Where do you work]],tblCountries[[Actual]:[Mapping]],2,FALSE)</f>
        <v>USA</v>
      </c>
      <c r="L90" t="s">
        <v>18</v>
      </c>
      <c r="N90" s="8" t="str">
        <f>VLOOKUP(K90,tblCountries[],3,0)</f>
        <v>North Amer.</v>
      </c>
      <c r="O90" s="8">
        <f>VLOOKUP(tblSalaries[[#This Row],[How many hours of a day you work on Excel]],tblHours,2,0)</f>
        <v>3</v>
      </c>
      <c r="P90" s="8">
        <f>VLOOKUP(tblSalaries[[#This Row],[clean Country]],tblCountries[],5,0)</f>
        <v>1</v>
      </c>
      <c r="Q90" s="8">
        <f>IF($Q$1,tblSalaries[[#This Row],[PPP Factor]]*tblSalaries[[#This Row],[Salary in USD]],tblSalaries[[#This Row],[Salary in USD]])</f>
        <v>110000</v>
      </c>
    </row>
    <row r="91" spans="2:17" ht="15" customHeight="1" x14ac:dyDescent="0.25">
      <c r="B91" t="s">
        <v>2094</v>
      </c>
      <c r="C91" s="1">
        <v>41055.015844907408</v>
      </c>
      <c r="D91" s="4" t="s">
        <v>145</v>
      </c>
      <c r="E91">
        <v>81000</v>
      </c>
      <c r="F91" t="s">
        <v>6</v>
      </c>
      <c r="G91">
        <f>tblSalaries[[#This Row],[clean Salary (in local currency)]]*VLOOKUP(tblSalaries[[#This Row],[Currency]],tblXrate[],2,FALSE)</f>
        <v>81000</v>
      </c>
      <c r="H91" t="s">
        <v>146</v>
      </c>
      <c r="I91" t="s">
        <v>356</v>
      </c>
      <c r="J91" t="s">
        <v>71</v>
      </c>
      <c r="K91" t="str">
        <f>VLOOKUP(tblSalaries[[#This Row],[Where do you work]],tblCountries[[Actual]:[Mapping]],2,FALSE)</f>
        <v>UK</v>
      </c>
      <c r="L91" t="s">
        <v>9</v>
      </c>
      <c r="N91" s="8" t="str">
        <f>VLOOKUP(K91,tblCountries[],3,0)</f>
        <v>Europe</v>
      </c>
      <c r="O91" s="8">
        <f>VLOOKUP(tblSalaries[[#This Row],[How many hours of a day you work on Excel]],tblHours,2,0)</f>
        <v>4</v>
      </c>
      <c r="P91" s="8">
        <f>VLOOKUP(tblSalaries[[#This Row],[clean Country]],tblCountries[],5,0)</f>
        <v>1.3407315045719035</v>
      </c>
      <c r="Q91" s="8">
        <f>IF($Q$1,tblSalaries[[#This Row],[PPP Factor]]*tblSalaries[[#This Row],[Salary in USD]],tblSalaries[[#This Row],[Salary in USD]])</f>
        <v>81000</v>
      </c>
    </row>
    <row r="92" spans="2:17" ht="15" customHeight="1" x14ac:dyDescent="0.25">
      <c r="B92" t="s">
        <v>2095</v>
      </c>
      <c r="C92" s="1">
        <v>41055.027129629627</v>
      </c>
      <c r="D92" s="4">
        <v>40000</v>
      </c>
      <c r="E92">
        <v>40000</v>
      </c>
      <c r="F92" t="s">
        <v>6</v>
      </c>
      <c r="G92">
        <f>tblSalaries[[#This Row],[clean Salary (in local currency)]]*VLOOKUP(tblSalaries[[#This Row],[Currency]],tblXrate[],2,FALSE)</f>
        <v>40000</v>
      </c>
      <c r="H92" t="s">
        <v>147</v>
      </c>
      <c r="I92" t="s">
        <v>20</v>
      </c>
      <c r="J92" t="s">
        <v>15</v>
      </c>
      <c r="K92" t="str">
        <f>VLOOKUP(tblSalaries[[#This Row],[Where do you work]],tblCountries[[Actual]:[Mapping]],2,FALSE)</f>
        <v>USA</v>
      </c>
      <c r="L92" t="s">
        <v>9</v>
      </c>
      <c r="N92" s="8" t="str">
        <f>VLOOKUP(K92,tblCountries[],3,0)</f>
        <v>North Amer.</v>
      </c>
      <c r="O92" s="8">
        <f>VLOOKUP(tblSalaries[[#This Row],[How many hours of a day you work on Excel]],tblHours,2,0)</f>
        <v>4</v>
      </c>
      <c r="P92" s="8">
        <f>VLOOKUP(tblSalaries[[#This Row],[clean Country]],tblCountries[],5,0)</f>
        <v>1</v>
      </c>
      <c r="Q92" s="8">
        <f>IF($Q$1,tblSalaries[[#This Row],[PPP Factor]]*tblSalaries[[#This Row],[Salary in USD]],tblSalaries[[#This Row],[Salary in USD]])</f>
        <v>40000</v>
      </c>
    </row>
    <row r="93" spans="2:17" ht="15" customHeight="1" x14ac:dyDescent="0.25">
      <c r="B93" t="s">
        <v>2096</v>
      </c>
      <c r="C93" s="1">
        <v>41055.027407407404</v>
      </c>
      <c r="D93" s="4">
        <v>42000</v>
      </c>
      <c r="E93">
        <v>42000</v>
      </c>
      <c r="F93" t="s">
        <v>86</v>
      </c>
      <c r="G93">
        <f>tblSalaries[[#This Row],[clean Salary (in local currency)]]*VLOOKUP(tblSalaries[[#This Row],[Currency]],tblXrate[],2,FALSE)</f>
        <v>41301.183967273726</v>
      </c>
      <c r="H93" t="s">
        <v>148</v>
      </c>
      <c r="I93" t="s">
        <v>20</v>
      </c>
      <c r="J93" t="s">
        <v>88</v>
      </c>
      <c r="K93" t="str">
        <f>VLOOKUP(tblSalaries[[#This Row],[Where do you work]],tblCountries[[Actual]:[Mapping]],2,FALSE)</f>
        <v>Canada</v>
      </c>
      <c r="L93" t="s">
        <v>9</v>
      </c>
      <c r="N93" s="8" t="str">
        <f>VLOOKUP(K93,tblCountries[],3,0)</f>
        <v>North Amer.</v>
      </c>
      <c r="O93" s="8">
        <f>VLOOKUP(tblSalaries[[#This Row],[How many hours of a day you work on Excel]],tblHours,2,0)</f>
        <v>4</v>
      </c>
      <c r="P93" s="8">
        <f>VLOOKUP(tblSalaries[[#This Row],[clean Country]],tblCountries[],5,0)</f>
        <v>1.1935324732986359</v>
      </c>
      <c r="Q93" s="8">
        <f>IF($Q$1,tblSalaries[[#This Row],[PPP Factor]]*tblSalaries[[#This Row],[Salary in USD]],tblSalaries[[#This Row],[Salary in USD]])</f>
        <v>41301.183967273726</v>
      </c>
    </row>
    <row r="94" spans="2:17" ht="15" customHeight="1" x14ac:dyDescent="0.25">
      <c r="B94" t="s">
        <v>2097</v>
      </c>
      <c r="C94" s="1">
        <v>41055.027499999997</v>
      </c>
      <c r="D94" s="4">
        <v>125000</v>
      </c>
      <c r="E94">
        <v>125000</v>
      </c>
      <c r="F94" t="s">
        <v>6</v>
      </c>
      <c r="G94">
        <f>tblSalaries[[#This Row],[clean Salary (in local currency)]]*VLOOKUP(tblSalaries[[#This Row],[Currency]],tblXrate[],2,FALSE)</f>
        <v>125000</v>
      </c>
      <c r="H94" t="s">
        <v>149</v>
      </c>
      <c r="I94" t="s">
        <v>4001</v>
      </c>
      <c r="J94" t="s">
        <v>15</v>
      </c>
      <c r="K94" t="str">
        <f>VLOOKUP(tblSalaries[[#This Row],[Where do you work]],tblCountries[[Actual]:[Mapping]],2,FALSE)</f>
        <v>USA</v>
      </c>
      <c r="L94" t="s">
        <v>9</v>
      </c>
      <c r="N94" s="8" t="str">
        <f>VLOOKUP(K94,tblCountries[],3,0)</f>
        <v>North Amer.</v>
      </c>
      <c r="O94" s="8">
        <f>VLOOKUP(tblSalaries[[#This Row],[How many hours of a day you work on Excel]],tblHours,2,0)</f>
        <v>4</v>
      </c>
      <c r="P94" s="8">
        <f>VLOOKUP(tblSalaries[[#This Row],[clean Country]],tblCountries[],5,0)</f>
        <v>1</v>
      </c>
      <c r="Q94" s="8">
        <f>IF($Q$1,tblSalaries[[#This Row],[PPP Factor]]*tblSalaries[[#This Row],[Salary in USD]],tblSalaries[[#This Row],[Salary in USD]])</f>
        <v>125000</v>
      </c>
    </row>
    <row r="95" spans="2:17" ht="15" customHeight="1" x14ac:dyDescent="0.25">
      <c r="B95" t="s">
        <v>2098</v>
      </c>
      <c r="C95" s="1">
        <v>41055.02752314815</v>
      </c>
      <c r="D95" s="4">
        <v>36000</v>
      </c>
      <c r="E95">
        <v>36000</v>
      </c>
      <c r="F95" t="s">
        <v>6</v>
      </c>
      <c r="G95">
        <f>tblSalaries[[#This Row],[clean Salary (in local currency)]]*VLOOKUP(tblSalaries[[#This Row],[Currency]],tblXrate[],2,FALSE)</f>
        <v>36000</v>
      </c>
      <c r="H95" t="s">
        <v>150</v>
      </c>
      <c r="I95" t="s">
        <v>52</v>
      </c>
      <c r="J95" t="s">
        <v>15</v>
      </c>
      <c r="K95" t="str">
        <f>VLOOKUP(tblSalaries[[#This Row],[Where do you work]],tblCountries[[Actual]:[Mapping]],2,FALSE)</f>
        <v>USA</v>
      </c>
      <c r="L95" t="s">
        <v>18</v>
      </c>
      <c r="N95" s="8" t="str">
        <f>VLOOKUP(K95,tblCountries[],3,0)</f>
        <v>North Amer.</v>
      </c>
      <c r="O95" s="8">
        <f>VLOOKUP(tblSalaries[[#This Row],[How many hours of a day you work on Excel]],tblHours,2,0)</f>
        <v>3</v>
      </c>
      <c r="P95" s="8">
        <f>VLOOKUP(tblSalaries[[#This Row],[clean Country]],tblCountries[],5,0)</f>
        <v>1</v>
      </c>
      <c r="Q95" s="8">
        <f>IF($Q$1,tblSalaries[[#This Row],[PPP Factor]]*tblSalaries[[#This Row],[Salary in USD]],tblSalaries[[#This Row],[Salary in USD]])</f>
        <v>36000</v>
      </c>
    </row>
    <row r="96" spans="2:17" ht="15" customHeight="1" x14ac:dyDescent="0.25">
      <c r="B96" t="s">
        <v>2099</v>
      </c>
      <c r="C96" s="1">
        <v>41055.027708333335</v>
      </c>
      <c r="D96" s="4" t="s">
        <v>151</v>
      </c>
      <c r="E96">
        <v>144000</v>
      </c>
      <c r="F96" t="s">
        <v>40</v>
      </c>
      <c r="G96">
        <f>tblSalaries[[#This Row],[clean Salary (in local currency)]]*VLOOKUP(tblSalaries[[#This Row],[Currency]],tblXrate[],2,FALSE)</f>
        <v>2564.3400029917298</v>
      </c>
      <c r="H96" t="s">
        <v>152</v>
      </c>
      <c r="I96" t="s">
        <v>356</v>
      </c>
      <c r="J96" t="s">
        <v>8</v>
      </c>
      <c r="K96" t="str">
        <f>VLOOKUP(tblSalaries[[#This Row],[Where do you work]],tblCountries[[Actual]:[Mapping]],2,FALSE)</f>
        <v>India</v>
      </c>
      <c r="L96" t="s">
        <v>25</v>
      </c>
      <c r="N96" s="8" t="str">
        <f>VLOOKUP(K96,tblCountries[],3,0)</f>
        <v>Asia</v>
      </c>
      <c r="O96" s="8">
        <f>VLOOKUP(tblSalaries[[#This Row],[How many hours of a day you work on Excel]],tblHours,2,0)</f>
        <v>2</v>
      </c>
      <c r="P96" s="8">
        <f>VLOOKUP(tblSalaries[[#This Row],[clean Country]],tblCountries[],5,0)</f>
        <v>13.098808879263672</v>
      </c>
      <c r="Q96" s="8">
        <f>IF($Q$1,tblSalaries[[#This Row],[PPP Factor]]*tblSalaries[[#This Row],[Salary in USD]],tblSalaries[[#This Row],[Salary in USD]])</f>
        <v>2564.3400029917298</v>
      </c>
    </row>
    <row r="97" spans="2:17" ht="15" customHeight="1" x14ac:dyDescent="0.25">
      <c r="B97" t="s">
        <v>2100</v>
      </c>
      <c r="C97" s="1">
        <v>41055.027777777781</v>
      </c>
      <c r="D97" s="4">
        <v>75000</v>
      </c>
      <c r="E97">
        <v>75000</v>
      </c>
      <c r="F97" t="s">
        <v>6</v>
      </c>
      <c r="G97">
        <f>tblSalaries[[#This Row],[clean Salary (in local currency)]]*VLOOKUP(tblSalaries[[#This Row],[Currency]],tblXrate[],2,FALSE)</f>
        <v>75000</v>
      </c>
      <c r="H97" t="s">
        <v>153</v>
      </c>
      <c r="I97" t="s">
        <v>20</v>
      </c>
      <c r="J97" t="s">
        <v>15</v>
      </c>
      <c r="K97" t="str">
        <f>VLOOKUP(tblSalaries[[#This Row],[Where do you work]],tblCountries[[Actual]:[Mapping]],2,FALSE)</f>
        <v>USA</v>
      </c>
      <c r="L97" t="s">
        <v>25</v>
      </c>
      <c r="N97" s="8" t="str">
        <f>VLOOKUP(K97,tblCountries[],3,0)</f>
        <v>North Amer.</v>
      </c>
      <c r="O97" s="8">
        <f>VLOOKUP(tblSalaries[[#This Row],[How many hours of a day you work on Excel]],tblHours,2,0)</f>
        <v>2</v>
      </c>
      <c r="P97" s="8">
        <f>VLOOKUP(tblSalaries[[#This Row],[clean Country]],tblCountries[],5,0)</f>
        <v>1</v>
      </c>
      <c r="Q97" s="8">
        <f>IF($Q$1,tblSalaries[[#This Row],[PPP Factor]]*tblSalaries[[#This Row],[Salary in USD]],tblSalaries[[#This Row],[Salary in USD]])</f>
        <v>75000</v>
      </c>
    </row>
    <row r="98" spans="2:17" ht="15" customHeight="1" x14ac:dyDescent="0.25">
      <c r="B98" t="s">
        <v>2101</v>
      </c>
      <c r="C98" s="1">
        <v>41055.028009259258</v>
      </c>
      <c r="D98" s="4">
        <v>95000</v>
      </c>
      <c r="E98">
        <v>95000</v>
      </c>
      <c r="F98" t="s">
        <v>6</v>
      </c>
      <c r="G98">
        <f>tblSalaries[[#This Row],[clean Salary (in local currency)]]*VLOOKUP(tblSalaries[[#This Row],[Currency]],tblXrate[],2,FALSE)</f>
        <v>95000</v>
      </c>
      <c r="H98" t="s">
        <v>29</v>
      </c>
      <c r="I98" t="s">
        <v>4001</v>
      </c>
      <c r="J98" t="s">
        <v>15</v>
      </c>
      <c r="K98" t="str">
        <f>VLOOKUP(tblSalaries[[#This Row],[Where do you work]],tblCountries[[Actual]:[Mapping]],2,FALSE)</f>
        <v>USA</v>
      </c>
      <c r="L98" t="s">
        <v>9</v>
      </c>
      <c r="N98" s="8" t="str">
        <f>VLOOKUP(K98,tblCountries[],3,0)</f>
        <v>North Amer.</v>
      </c>
      <c r="O98" s="8">
        <f>VLOOKUP(tblSalaries[[#This Row],[How many hours of a day you work on Excel]],tblHours,2,0)</f>
        <v>4</v>
      </c>
      <c r="P98" s="8">
        <f>VLOOKUP(tblSalaries[[#This Row],[clean Country]],tblCountries[],5,0)</f>
        <v>1</v>
      </c>
      <c r="Q98" s="8">
        <f>IF($Q$1,tblSalaries[[#This Row],[PPP Factor]]*tblSalaries[[#This Row],[Salary in USD]],tblSalaries[[#This Row],[Salary in USD]])</f>
        <v>95000</v>
      </c>
    </row>
    <row r="99" spans="2:17" ht="15" customHeight="1" x14ac:dyDescent="0.25">
      <c r="B99" t="s">
        <v>2102</v>
      </c>
      <c r="C99" s="1">
        <v>41055.028090277781</v>
      </c>
      <c r="D99" s="4">
        <v>24000</v>
      </c>
      <c r="E99">
        <v>24000</v>
      </c>
      <c r="F99" t="s">
        <v>6</v>
      </c>
      <c r="G99">
        <f>tblSalaries[[#This Row],[clean Salary (in local currency)]]*VLOOKUP(tblSalaries[[#This Row],[Currency]],tblXrate[],2,FALSE)</f>
        <v>24000</v>
      </c>
      <c r="H99" t="s">
        <v>154</v>
      </c>
      <c r="I99" t="s">
        <v>52</v>
      </c>
      <c r="J99" t="s">
        <v>15</v>
      </c>
      <c r="K99" t="str">
        <f>VLOOKUP(tblSalaries[[#This Row],[Where do you work]],tblCountries[[Actual]:[Mapping]],2,FALSE)</f>
        <v>USA</v>
      </c>
      <c r="L99" t="s">
        <v>18</v>
      </c>
      <c r="N99" s="8" t="str">
        <f>VLOOKUP(K99,tblCountries[],3,0)</f>
        <v>North Amer.</v>
      </c>
      <c r="O99" s="8">
        <f>VLOOKUP(tblSalaries[[#This Row],[How many hours of a day you work on Excel]],tblHours,2,0)</f>
        <v>3</v>
      </c>
      <c r="P99" s="8">
        <f>VLOOKUP(tblSalaries[[#This Row],[clean Country]],tblCountries[],5,0)</f>
        <v>1</v>
      </c>
      <c r="Q99" s="8">
        <f>IF($Q$1,tblSalaries[[#This Row],[PPP Factor]]*tblSalaries[[#This Row],[Salary in USD]],tblSalaries[[#This Row],[Salary in USD]])</f>
        <v>24000</v>
      </c>
    </row>
    <row r="100" spans="2:17" ht="15" customHeight="1" x14ac:dyDescent="0.25">
      <c r="B100" t="s">
        <v>2103</v>
      </c>
      <c r="C100" s="1">
        <v>41055.028136574074</v>
      </c>
      <c r="D100" s="4" t="s">
        <v>155</v>
      </c>
      <c r="E100">
        <v>91000</v>
      </c>
      <c r="F100" t="s">
        <v>6</v>
      </c>
      <c r="G100">
        <f>tblSalaries[[#This Row],[clean Salary (in local currency)]]*VLOOKUP(tblSalaries[[#This Row],[Currency]],tblXrate[],2,FALSE)</f>
        <v>91000</v>
      </c>
      <c r="H100" t="s">
        <v>156</v>
      </c>
      <c r="I100" t="s">
        <v>52</v>
      </c>
      <c r="J100" t="s">
        <v>15</v>
      </c>
      <c r="K100" t="str">
        <f>VLOOKUP(tblSalaries[[#This Row],[Where do you work]],tblCountries[[Actual]:[Mapping]],2,FALSE)</f>
        <v>USA</v>
      </c>
      <c r="L100" t="s">
        <v>25</v>
      </c>
      <c r="N100" s="8" t="str">
        <f>VLOOKUP(K100,tblCountries[],3,0)</f>
        <v>North Amer.</v>
      </c>
      <c r="O100" s="8">
        <f>VLOOKUP(tblSalaries[[#This Row],[How many hours of a day you work on Excel]],tblHours,2,0)</f>
        <v>2</v>
      </c>
      <c r="P100" s="8">
        <f>VLOOKUP(tblSalaries[[#This Row],[clean Country]],tblCountries[],5,0)</f>
        <v>1</v>
      </c>
      <c r="Q100" s="8">
        <f>IF($Q$1,tblSalaries[[#This Row],[PPP Factor]]*tblSalaries[[#This Row],[Salary in USD]],tblSalaries[[#This Row],[Salary in USD]])</f>
        <v>91000</v>
      </c>
    </row>
    <row r="101" spans="2:17" ht="15" customHeight="1" x14ac:dyDescent="0.25">
      <c r="B101" t="s">
        <v>2104</v>
      </c>
      <c r="C101" s="1">
        <v>41055.028229166666</v>
      </c>
      <c r="D101" s="4">
        <v>40000</v>
      </c>
      <c r="E101">
        <v>40000</v>
      </c>
      <c r="F101" t="s">
        <v>6</v>
      </c>
      <c r="G101">
        <f>tblSalaries[[#This Row],[clean Salary (in local currency)]]*VLOOKUP(tblSalaries[[#This Row],[Currency]],tblXrate[],2,FALSE)</f>
        <v>40000</v>
      </c>
      <c r="H101" t="s">
        <v>157</v>
      </c>
      <c r="I101" t="s">
        <v>20</v>
      </c>
      <c r="J101" t="s">
        <v>15</v>
      </c>
      <c r="K101" t="str">
        <f>VLOOKUP(tblSalaries[[#This Row],[Where do you work]],tblCountries[[Actual]:[Mapping]],2,FALSE)</f>
        <v>USA</v>
      </c>
      <c r="L101" t="s">
        <v>9</v>
      </c>
      <c r="N101" s="8" t="str">
        <f>VLOOKUP(K101,tblCountries[],3,0)</f>
        <v>North Amer.</v>
      </c>
      <c r="O101" s="8">
        <f>VLOOKUP(tblSalaries[[#This Row],[How many hours of a day you work on Excel]],tblHours,2,0)</f>
        <v>4</v>
      </c>
      <c r="P101" s="8">
        <f>VLOOKUP(tblSalaries[[#This Row],[clean Country]],tblCountries[],5,0)</f>
        <v>1</v>
      </c>
      <c r="Q101" s="8">
        <f>IF($Q$1,tblSalaries[[#This Row],[PPP Factor]]*tblSalaries[[#This Row],[Salary in USD]],tblSalaries[[#This Row],[Salary in USD]])</f>
        <v>40000</v>
      </c>
    </row>
    <row r="102" spans="2:17" ht="15" customHeight="1" x14ac:dyDescent="0.25">
      <c r="B102" t="s">
        <v>2105</v>
      </c>
      <c r="C102" s="1">
        <v>41055.028240740743</v>
      </c>
      <c r="D102" s="4">
        <v>57000</v>
      </c>
      <c r="E102">
        <v>57000</v>
      </c>
      <c r="F102" t="s">
        <v>6</v>
      </c>
      <c r="G102">
        <f>tblSalaries[[#This Row],[clean Salary (in local currency)]]*VLOOKUP(tblSalaries[[#This Row],[Currency]],tblXrate[],2,FALSE)</f>
        <v>57000</v>
      </c>
      <c r="H102" t="s">
        <v>158</v>
      </c>
      <c r="I102" t="s">
        <v>52</v>
      </c>
      <c r="J102" t="s">
        <v>15</v>
      </c>
      <c r="K102" t="str">
        <f>VLOOKUP(tblSalaries[[#This Row],[Where do you work]],tblCountries[[Actual]:[Mapping]],2,FALSE)</f>
        <v>USA</v>
      </c>
      <c r="L102" t="s">
        <v>9</v>
      </c>
      <c r="N102" s="8" t="str">
        <f>VLOOKUP(K102,tblCountries[],3,0)</f>
        <v>North Amer.</v>
      </c>
      <c r="O102" s="8">
        <f>VLOOKUP(tblSalaries[[#This Row],[How many hours of a day you work on Excel]],tblHours,2,0)</f>
        <v>4</v>
      </c>
      <c r="P102" s="8">
        <f>VLOOKUP(tblSalaries[[#This Row],[clean Country]],tblCountries[],5,0)</f>
        <v>1</v>
      </c>
      <c r="Q102" s="8">
        <f>IF($Q$1,tblSalaries[[#This Row],[PPP Factor]]*tblSalaries[[#This Row],[Salary in USD]],tblSalaries[[#This Row],[Salary in USD]])</f>
        <v>57000</v>
      </c>
    </row>
    <row r="103" spans="2:17" ht="15" customHeight="1" x14ac:dyDescent="0.25">
      <c r="B103" t="s">
        <v>2106</v>
      </c>
      <c r="C103" s="1">
        <v>41055.028252314813</v>
      </c>
      <c r="D103" s="4">
        <v>74000</v>
      </c>
      <c r="E103">
        <v>74000</v>
      </c>
      <c r="F103" t="s">
        <v>6</v>
      </c>
      <c r="G103">
        <f>tblSalaries[[#This Row],[clean Salary (in local currency)]]*VLOOKUP(tblSalaries[[#This Row],[Currency]],tblXrate[],2,FALSE)</f>
        <v>74000</v>
      </c>
      <c r="H103" t="s">
        <v>76</v>
      </c>
      <c r="I103" t="s">
        <v>356</v>
      </c>
      <c r="J103" t="s">
        <v>15</v>
      </c>
      <c r="K103" t="str">
        <f>VLOOKUP(tblSalaries[[#This Row],[Where do you work]],tblCountries[[Actual]:[Mapping]],2,FALSE)</f>
        <v>USA</v>
      </c>
      <c r="L103" t="s">
        <v>9</v>
      </c>
      <c r="N103" s="8" t="str">
        <f>VLOOKUP(K103,tblCountries[],3,0)</f>
        <v>North Amer.</v>
      </c>
      <c r="O103" s="8">
        <f>VLOOKUP(tblSalaries[[#This Row],[How many hours of a day you work on Excel]],tblHours,2,0)</f>
        <v>4</v>
      </c>
      <c r="P103" s="8">
        <f>VLOOKUP(tblSalaries[[#This Row],[clean Country]],tblCountries[],5,0)</f>
        <v>1</v>
      </c>
      <c r="Q103" s="8">
        <f>IF($Q$1,tblSalaries[[#This Row],[PPP Factor]]*tblSalaries[[#This Row],[Salary in USD]],tblSalaries[[#This Row],[Salary in USD]])</f>
        <v>74000</v>
      </c>
    </row>
    <row r="104" spans="2:17" ht="15" customHeight="1" x14ac:dyDescent="0.25">
      <c r="B104" t="s">
        <v>2107</v>
      </c>
      <c r="C104" s="1">
        <v>41055.028263888889</v>
      </c>
      <c r="D104" s="4" t="s">
        <v>159</v>
      </c>
      <c r="E104">
        <v>80000</v>
      </c>
      <c r="F104" t="s">
        <v>6</v>
      </c>
      <c r="G104">
        <f>tblSalaries[[#This Row],[clean Salary (in local currency)]]*VLOOKUP(tblSalaries[[#This Row],[Currency]],tblXrate[],2,FALSE)</f>
        <v>80000</v>
      </c>
      <c r="H104" t="s">
        <v>160</v>
      </c>
      <c r="I104" t="s">
        <v>20</v>
      </c>
      <c r="J104" t="s">
        <v>15</v>
      </c>
      <c r="K104" t="str">
        <f>VLOOKUP(tblSalaries[[#This Row],[Where do you work]],tblCountries[[Actual]:[Mapping]],2,FALSE)</f>
        <v>USA</v>
      </c>
      <c r="L104" t="s">
        <v>9</v>
      </c>
      <c r="N104" s="8" t="str">
        <f>VLOOKUP(K104,tblCountries[],3,0)</f>
        <v>North Amer.</v>
      </c>
      <c r="O104" s="8">
        <f>VLOOKUP(tblSalaries[[#This Row],[How many hours of a day you work on Excel]],tblHours,2,0)</f>
        <v>4</v>
      </c>
      <c r="P104" s="8">
        <f>VLOOKUP(tblSalaries[[#This Row],[clean Country]],tblCountries[],5,0)</f>
        <v>1</v>
      </c>
      <c r="Q104" s="8">
        <f>IF($Q$1,tblSalaries[[#This Row],[PPP Factor]]*tblSalaries[[#This Row],[Salary in USD]],tblSalaries[[#This Row],[Salary in USD]])</f>
        <v>80000</v>
      </c>
    </row>
    <row r="105" spans="2:17" ht="15" customHeight="1" x14ac:dyDescent="0.25">
      <c r="B105" t="s">
        <v>2108</v>
      </c>
      <c r="C105" s="1">
        <v>41055.028310185182</v>
      </c>
      <c r="D105" s="4">
        <v>90000</v>
      </c>
      <c r="E105">
        <v>90000</v>
      </c>
      <c r="F105" t="s">
        <v>6</v>
      </c>
      <c r="G105">
        <f>tblSalaries[[#This Row],[clean Salary (in local currency)]]*VLOOKUP(tblSalaries[[#This Row],[Currency]],tblXrate[],2,FALSE)</f>
        <v>90000</v>
      </c>
      <c r="H105" t="s">
        <v>161</v>
      </c>
      <c r="I105" t="s">
        <v>67</v>
      </c>
      <c r="J105" t="s">
        <v>15</v>
      </c>
      <c r="K105" t="str">
        <f>VLOOKUP(tblSalaries[[#This Row],[Where do you work]],tblCountries[[Actual]:[Mapping]],2,FALSE)</f>
        <v>USA</v>
      </c>
      <c r="L105" t="s">
        <v>9</v>
      </c>
      <c r="N105" s="8" t="str">
        <f>VLOOKUP(K105,tblCountries[],3,0)</f>
        <v>North Amer.</v>
      </c>
      <c r="O105" s="8">
        <f>VLOOKUP(tblSalaries[[#This Row],[How many hours of a day you work on Excel]],tblHours,2,0)</f>
        <v>4</v>
      </c>
      <c r="P105" s="8">
        <f>VLOOKUP(tblSalaries[[#This Row],[clean Country]],tblCountries[],5,0)</f>
        <v>1</v>
      </c>
      <c r="Q105" s="8">
        <f>IF($Q$1,tblSalaries[[#This Row],[PPP Factor]]*tblSalaries[[#This Row],[Salary in USD]],tblSalaries[[#This Row],[Salary in USD]])</f>
        <v>90000</v>
      </c>
    </row>
    <row r="106" spans="2:17" ht="15" customHeight="1" x14ac:dyDescent="0.25">
      <c r="B106" t="s">
        <v>2109</v>
      </c>
      <c r="C106" s="1">
        <v>41055.028333333335</v>
      </c>
      <c r="D106" s="4">
        <v>21000</v>
      </c>
      <c r="E106">
        <v>21000</v>
      </c>
      <c r="F106" t="s">
        <v>6</v>
      </c>
      <c r="G106">
        <f>tblSalaries[[#This Row],[clean Salary (in local currency)]]*VLOOKUP(tblSalaries[[#This Row],[Currency]],tblXrate[],2,FALSE)</f>
        <v>21000</v>
      </c>
      <c r="H106" t="s">
        <v>162</v>
      </c>
      <c r="I106" t="s">
        <v>20</v>
      </c>
      <c r="J106" t="s">
        <v>163</v>
      </c>
      <c r="K106" t="str">
        <f>VLOOKUP(tblSalaries[[#This Row],[Where do you work]],tblCountries[[Actual]:[Mapping]],2,FALSE)</f>
        <v>arabian Gulf</v>
      </c>
      <c r="L106" t="s">
        <v>25</v>
      </c>
      <c r="N106" s="8" t="str">
        <f>VLOOKUP(K106,tblCountries[],3,0)</f>
        <v>Asia</v>
      </c>
      <c r="O106" s="8">
        <f>VLOOKUP(tblSalaries[[#This Row],[How many hours of a day you work on Excel]],tblHours,2,0)</f>
        <v>2</v>
      </c>
      <c r="P106" s="8">
        <f>VLOOKUP(tblSalaries[[#This Row],[clean Country]],tblCountries[],5,0)</f>
        <v>1</v>
      </c>
      <c r="Q106" s="8">
        <f>IF($Q$1,tblSalaries[[#This Row],[PPP Factor]]*tblSalaries[[#This Row],[Salary in USD]],tblSalaries[[#This Row],[Salary in USD]])</f>
        <v>21000</v>
      </c>
    </row>
    <row r="107" spans="2:17" ht="15" customHeight="1" x14ac:dyDescent="0.25">
      <c r="B107" t="s">
        <v>2110</v>
      </c>
      <c r="C107" s="1">
        <v>41055.028356481482</v>
      </c>
      <c r="D107" s="4">
        <v>52000</v>
      </c>
      <c r="E107">
        <v>52000</v>
      </c>
      <c r="F107" t="s">
        <v>6</v>
      </c>
      <c r="G107">
        <f>tblSalaries[[#This Row],[clean Salary (in local currency)]]*VLOOKUP(tblSalaries[[#This Row],[Currency]],tblXrate[],2,FALSE)</f>
        <v>52000</v>
      </c>
      <c r="H107" t="s">
        <v>164</v>
      </c>
      <c r="I107" t="s">
        <v>52</v>
      </c>
      <c r="J107" t="s">
        <v>15</v>
      </c>
      <c r="K107" t="str">
        <f>VLOOKUP(tblSalaries[[#This Row],[Where do you work]],tblCountries[[Actual]:[Mapping]],2,FALSE)</f>
        <v>USA</v>
      </c>
      <c r="L107" t="s">
        <v>9</v>
      </c>
      <c r="N107" s="8" t="str">
        <f>VLOOKUP(K107,tblCountries[],3,0)</f>
        <v>North Amer.</v>
      </c>
      <c r="O107" s="8">
        <f>VLOOKUP(tblSalaries[[#This Row],[How many hours of a day you work on Excel]],tblHours,2,0)</f>
        <v>4</v>
      </c>
      <c r="P107" s="8">
        <f>VLOOKUP(tblSalaries[[#This Row],[clean Country]],tblCountries[],5,0)</f>
        <v>1</v>
      </c>
      <c r="Q107" s="8">
        <f>IF($Q$1,tblSalaries[[#This Row],[PPP Factor]]*tblSalaries[[#This Row],[Salary in USD]],tblSalaries[[#This Row],[Salary in USD]])</f>
        <v>52000</v>
      </c>
    </row>
    <row r="108" spans="2:17" ht="15" customHeight="1" x14ac:dyDescent="0.25">
      <c r="B108" t="s">
        <v>2111</v>
      </c>
      <c r="C108" s="1">
        <v>41055.028379629628</v>
      </c>
      <c r="D108" s="4">
        <v>19200</v>
      </c>
      <c r="E108">
        <v>19200</v>
      </c>
      <c r="F108" t="s">
        <v>6</v>
      </c>
      <c r="G108">
        <f>tblSalaries[[#This Row],[clean Salary (in local currency)]]*VLOOKUP(tblSalaries[[#This Row],[Currency]],tblXrate[],2,FALSE)</f>
        <v>19200</v>
      </c>
      <c r="H108" t="s">
        <v>165</v>
      </c>
      <c r="I108" t="s">
        <v>20</v>
      </c>
      <c r="J108" t="s">
        <v>166</v>
      </c>
      <c r="K108" t="str">
        <f>VLOOKUP(tblSalaries[[#This Row],[Where do you work]],tblCountries[[Actual]:[Mapping]],2,FALSE)</f>
        <v>Mexico</v>
      </c>
      <c r="L108" t="s">
        <v>9</v>
      </c>
      <c r="N108" s="8" t="str">
        <f>VLOOKUP(K108,tblCountries[],3,0)</f>
        <v>North Amer.</v>
      </c>
      <c r="O108" s="8">
        <f>VLOOKUP(tblSalaries[[#This Row],[How many hours of a day you work on Excel]],tblHours,2,0)</f>
        <v>4</v>
      </c>
      <c r="P108" s="8">
        <f>VLOOKUP(tblSalaries[[#This Row],[clean Country]],tblCountries[],5,0)</f>
        <v>3.3119096509240245</v>
      </c>
      <c r="Q108" s="8">
        <f>IF($Q$1,tblSalaries[[#This Row],[PPP Factor]]*tblSalaries[[#This Row],[Salary in USD]],tblSalaries[[#This Row],[Salary in USD]])</f>
        <v>19200</v>
      </c>
    </row>
    <row r="109" spans="2:17" ht="15" customHeight="1" x14ac:dyDescent="0.25">
      <c r="B109" t="s">
        <v>2112</v>
      </c>
      <c r="C109" s="1">
        <v>41055.028437499997</v>
      </c>
      <c r="D109" s="4">
        <v>36000</v>
      </c>
      <c r="E109">
        <v>36000</v>
      </c>
      <c r="F109" t="s">
        <v>6</v>
      </c>
      <c r="G109">
        <f>tblSalaries[[#This Row],[clean Salary (in local currency)]]*VLOOKUP(tblSalaries[[#This Row],[Currency]],tblXrate[],2,FALSE)</f>
        <v>36000</v>
      </c>
      <c r="H109" t="s">
        <v>20</v>
      </c>
      <c r="I109" t="s">
        <v>20</v>
      </c>
      <c r="J109" t="s">
        <v>15</v>
      </c>
      <c r="K109" t="str">
        <f>VLOOKUP(tblSalaries[[#This Row],[Where do you work]],tblCountries[[Actual]:[Mapping]],2,FALSE)</f>
        <v>USA</v>
      </c>
      <c r="L109" t="s">
        <v>9</v>
      </c>
      <c r="N109" s="8" t="str">
        <f>VLOOKUP(K109,tblCountries[],3,0)</f>
        <v>North Amer.</v>
      </c>
      <c r="O109" s="8">
        <f>VLOOKUP(tblSalaries[[#This Row],[How many hours of a day you work on Excel]],tblHours,2,0)</f>
        <v>4</v>
      </c>
      <c r="P109" s="8">
        <f>VLOOKUP(tblSalaries[[#This Row],[clean Country]],tblCountries[],5,0)</f>
        <v>1</v>
      </c>
      <c r="Q109" s="8">
        <f>IF($Q$1,tblSalaries[[#This Row],[PPP Factor]]*tblSalaries[[#This Row],[Salary in USD]],tblSalaries[[#This Row],[Salary in USD]])</f>
        <v>36000</v>
      </c>
    </row>
    <row r="110" spans="2:17" ht="15" customHeight="1" x14ac:dyDescent="0.25">
      <c r="B110" t="s">
        <v>2113</v>
      </c>
      <c r="C110" s="1">
        <v>41055.028495370374</v>
      </c>
      <c r="D110" s="4">
        <v>57400</v>
      </c>
      <c r="E110">
        <v>57400</v>
      </c>
      <c r="F110" t="s">
        <v>6</v>
      </c>
      <c r="G110">
        <f>tblSalaries[[#This Row],[clean Salary (in local currency)]]*VLOOKUP(tblSalaries[[#This Row],[Currency]],tblXrate[],2,FALSE)</f>
        <v>57400</v>
      </c>
      <c r="H110" t="s">
        <v>167</v>
      </c>
      <c r="I110" t="s">
        <v>20</v>
      </c>
      <c r="J110" t="s">
        <v>15</v>
      </c>
      <c r="K110" t="str">
        <f>VLOOKUP(tblSalaries[[#This Row],[Where do you work]],tblCountries[[Actual]:[Mapping]],2,FALSE)</f>
        <v>USA</v>
      </c>
      <c r="L110" t="s">
        <v>9</v>
      </c>
      <c r="N110" s="8" t="str">
        <f>VLOOKUP(K110,tblCountries[],3,0)</f>
        <v>North Amer.</v>
      </c>
      <c r="O110" s="8">
        <f>VLOOKUP(tblSalaries[[#This Row],[How many hours of a day you work on Excel]],tblHours,2,0)</f>
        <v>4</v>
      </c>
      <c r="P110" s="8">
        <f>VLOOKUP(tblSalaries[[#This Row],[clean Country]],tblCountries[],5,0)</f>
        <v>1</v>
      </c>
      <c r="Q110" s="8">
        <f>IF($Q$1,tblSalaries[[#This Row],[PPP Factor]]*tblSalaries[[#This Row],[Salary in USD]],tblSalaries[[#This Row],[Salary in USD]])</f>
        <v>57400</v>
      </c>
    </row>
    <row r="111" spans="2:17" ht="15" customHeight="1" x14ac:dyDescent="0.25">
      <c r="B111" t="s">
        <v>2114</v>
      </c>
      <c r="C111" s="1">
        <v>41055.028506944444</v>
      </c>
      <c r="D111" s="4">
        <v>66000</v>
      </c>
      <c r="E111">
        <v>66000</v>
      </c>
      <c r="F111" t="s">
        <v>6</v>
      </c>
      <c r="G111">
        <f>tblSalaries[[#This Row],[clean Salary (in local currency)]]*VLOOKUP(tblSalaries[[#This Row],[Currency]],tblXrate[],2,FALSE)</f>
        <v>66000</v>
      </c>
      <c r="H111" t="s">
        <v>20</v>
      </c>
      <c r="I111" t="s">
        <v>20</v>
      </c>
      <c r="J111" t="s">
        <v>15</v>
      </c>
      <c r="K111" t="str">
        <f>VLOOKUP(tblSalaries[[#This Row],[Where do you work]],tblCountries[[Actual]:[Mapping]],2,FALSE)</f>
        <v>USA</v>
      </c>
      <c r="L111" t="s">
        <v>18</v>
      </c>
      <c r="N111" s="8" t="str">
        <f>VLOOKUP(K111,tblCountries[],3,0)</f>
        <v>North Amer.</v>
      </c>
      <c r="O111" s="8">
        <f>VLOOKUP(tblSalaries[[#This Row],[How many hours of a day you work on Excel]],tblHours,2,0)</f>
        <v>3</v>
      </c>
      <c r="P111" s="8">
        <f>VLOOKUP(tblSalaries[[#This Row],[clean Country]],tblCountries[],5,0)</f>
        <v>1</v>
      </c>
      <c r="Q111" s="8">
        <f>IF($Q$1,tblSalaries[[#This Row],[PPP Factor]]*tblSalaries[[#This Row],[Salary in USD]],tblSalaries[[#This Row],[Salary in USD]])</f>
        <v>66000</v>
      </c>
    </row>
    <row r="112" spans="2:17" ht="15" customHeight="1" x14ac:dyDescent="0.25">
      <c r="B112" t="s">
        <v>2115</v>
      </c>
      <c r="C112" s="1">
        <v>41055.028541666667</v>
      </c>
      <c r="D112" s="4">
        <v>35000</v>
      </c>
      <c r="E112">
        <v>35000</v>
      </c>
      <c r="F112" t="s">
        <v>22</v>
      </c>
      <c r="G112">
        <f>tblSalaries[[#This Row],[clean Salary (in local currency)]]*VLOOKUP(tblSalaries[[#This Row],[Currency]],tblXrate[],2,FALSE)</f>
        <v>44463.980364706273</v>
      </c>
      <c r="H112" t="s">
        <v>168</v>
      </c>
      <c r="I112" t="s">
        <v>52</v>
      </c>
      <c r="J112" t="s">
        <v>169</v>
      </c>
      <c r="K112" t="str">
        <f>VLOOKUP(tblSalaries[[#This Row],[Where do you work]],tblCountries[[Actual]:[Mapping]],2,FALSE)</f>
        <v>Greece</v>
      </c>
      <c r="L112" t="s">
        <v>9</v>
      </c>
      <c r="N112" s="8" t="str">
        <f>VLOOKUP(K112,tblCountries[],3,0)</f>
        <v>Europe</v>
      </c>
      <c r="O112" s="8">
        <f>VLOOKUP(tblSalaries[[#This Row],[How many hours of a day you work on Excel]],tblHours,2,0)</f>
        <v>4</v>
      </c>
      <c r="P112" s="8">
        <f>VLOOKUP(tblSalaries[[#This Row],[clean Country]],tblCountries[],5,0)</f>
        <v>1.8402297102000456</v>
      </c>
      <c r="Q112" s="8">
        <f>IF($Q$1,tblSalaries[[#This Row],[PPP Factor]]*tblSalaries[[#This Row],[Salary in USD]],tblSalaries[[#This Row],[Salary in USD]])</f>
        <v>44463.980364706273</v>
      </c>
    </row>
    <row r="113" spans="2:17" ht="15" customHeight="1" x14ac:dyDescent="0.25">
      <c r="B113" t="s">
        <v>2116</v>
      </c>
      <c r="C113" s="1">
        <v>41055.028657407405</v>
      </c>
      <c r="D113" s="4" t="s">
        <v>172</v>
      </c>
      <c r="E113">
        <v>85000</v>
      </c>
      <c r="F113" t="s">
        <v>6</v>
      </c>
      <c r="G113">
        <f>tblSalaries[[#This Row],[clean Salary (in local currency)]]*VLOOKUP(tblSalaries[[#This Row],[Currency]],tblXrate[],2,FALSE)</f>
        <v>85000</v>
      </c>
      <c r="H113" t="s">
        <v>173</v>
      </c>
      <c r="I113" t="s">
        <v>20</v>
      </c>
      <c r="J113" t="s">
        <v>15</v>
      </c>
      <c r="K113" t="str">
        <f>VLOOKUP(tblSalaries[[#This Row],[Where do you work]],tblCountries[[Actual]:[Mapping]],2,FALSE)</f>
        <v>USA</v>
      </c>
      <c r="L113" t="s">
        <v>9</v>
      </c>
      <c r="N113" s="8" t="str">
        <f>VLOOKUP(K113,tblCountries[],3,0)</f>
        <v>North Amer.</v>
      </c>
      <c r="O113" s="8">
        <f>VLOOKUP(tblSalaries[[#This Row],[How many hours of a day you work on Excel]],tblHours,2,0)</f>
        <v>4</v>
      </c>
      <c r="P113" s="8">
        <f>VLOOKUP(tblSalaries[[#This Row],[clean Country]],tblCountries[],5,0)</f>
        <v>1</v>
      </c>
      <c r="Q113" s="8">
        <f>IF($Q$1,tblSalaries[[#This Row],[PPP Factor]]*tblSalaries[[#This Row],[Salary in USD]],tblSalaries[[#This Row],[Salary in USD]])</f>
        <v>85000</v>
      </c>
    </row>
    <row r="114" spans="2:17" ht="15" customHeight="1" x14ac:dyDescent="0.25">
      <c r="B114" t="s">
        <v>2117</v>
      </c>
      <c r="C114" s="1">
        <v>41055.028726851851</v>
      </c>
      <c r="D114" s="4">
        <v>50000</v>
      </c>
      <c r="E114">
        <v>50000</v>
      </c>
      <c r="F114" t="s">
        <v>6</v>
      </c>
      <c r="G114">
        <f>tblSalaries[[#This Row],[clean Salary (in local currency)]]*VLOOKUP(tblSalaries[[#This Row],[Currency]],tblXrate[],2,FALSE)</f>
        <v>50000</v>
      </c>
      <c r="H114" t="s">
        <v>174</v>
      </c>
      <c r="I114" t="s">
        <v>67</v>
      </c>
      <c r="J114" t="s">
        <v>15</v>
      </c>
      <c r="K114" t="str">
        <f>VLOOKUP(tblSalaries[[#This Row],[Where do you work]],tblCountries[[Actual]:[Mapping]],2,FALSE)</f>
        <v>USA</v>
      </c>
      <c r="L114" t="s">
        <v>9</v>
      </c>
      <c r="N114" s="8" t="str">
        <f>VLOOKUP(K114,tblCountries[],3,0)</f>
        <v>North Amer.</v>
      </c>
      <c r="O114" s="8">
        <f>VLOOKUP(tblSalaries[[#This Row],[How many hours of a day you work on Excel]],tblHours,2,0)</f>
        <v>4</v>
      </c>
      <c r="P114" s="8">
        <f>VLOOKUP(tblSalaries[[#This Row],[clean Country]],tblCountries[],5,0)</f>
        <v>1</v>
      </c>
      <c r="Q114" s="8">
        <f>IF($Q$1,tblSalaries[[#This Row],[PPP Factor]]*tblSalaries[[#This Row],[Salary in USD]],tblSalaries[[#This Row],[Salary in USD]])</f>
        <v>50000</v>
      </c>
    </row>
    <row r="115" spans="2:17" ht="15" customHeight="1" x14ac:dyDescent="0.25">
      <c r="B115" t="s">
        <v>2118</v>
      </c>
      <c r="C115" s="1">
        <v>41055.028784722221</v>
      </c>
      <c r="D115" s="4" t="s">
        <v>175</v>
      </c>
      <c r="E115">
        <v>58000</v>
      </c>
      <c r="F115" t="s">
        <v>6</v>
      </c>
      <c r="G115">
        <f>tblSalaries[[#This Row],[clean Salary (in local currency)]]*VLOOKUP(tblSalaries[[#This Row],[Currency]],tblXrate[],2,FALSE)</f>
        <v>58000</v>
      </c>
      <c r="H115" t="s">
        <v>176</v>
      </c>
      <c r="I115" t="s">
        <v>52</v>
      </c>
      <c r="J115" t="s">
        <v>15</v>
      </c>
      <c r="K115" t="str">
        <f>VLOOKUP(tblSalaries[[#This Row],[Where do you work]],tblCountries[[Actual]:[Mapping]],2,FALSE)</f>
        <v>USA</v>
      </c>
      <c r="L115" t="s">
        <v>9</v>
      </c>
      <c r="N115" s="8" t="str">
        <f>VLOOKUP(K115,tblCountries[],3,0)</f>
        <v>North Amer.</v>
      </c>
      <c r="O115" s="8">
        <f>VLOOKUP(tblSalaries[[#This Row],[How many hours of a day you work on Excel]],tblHours,2,0)</f>
        <v>4</v>
      </c>
      <c r="P115" s="8">
        <f>VLOOKUP(tblSalaries[[#This Row],[clean Country]],tblCountries[],5,0)</f>
        <v>1</v>
      </c>
      <c r="Q115" s="8">
        <f>IF($Q$1,tblSalaries[[#This Row],[PPP Factor]]*tblSalaries[[#This Row],[Salary in USD]],tblSalaries[[#This Row],[Salary in USD]])</f>
        <v>58000</v>
      </c>
    </row>
    <row r="116" spans="2:17" ht="15" customHeight="1" x14ac:dyDescent="0.25">
      <c r="B116" t="s">
        <v>2119</v>
      </c>
      <c r="C116" s="1">
        <v>41055.028796296298</v>
      </c>
      <c r="D116" s="4">
        <v>37900</v>
      </c>
      <c r="E116">
        <v>37900</v>
      </c>
      <c r="F116" t="s">
        <v>6</v>
      </c>
      <c r="G116">
        <f>tblSalaries[[#This Row],[clean Salary (in local currency)]]*VLOOKUP(tblSalaries[[#This Row],[Currency]],tblXrate[],2,FALSE)</f>
        <v>37900</v>
      </c>
      <c r="H116" t="s">
        <v>177</v>
      </c>
      <c r="I116" t="s">
        <v>310</v>
      </c>
      <c r="J116" t="s">
        <v>15</v>
      </c>
      <c r="K116" t="str">
        <f>VLOOKUP(tblSalaries[[#This Row],[Where do you work]],tblCountries[[Actual]:[Mapping]],2,FALSE)</f>
        <v>USA</v>
      </c>
      <c r="L116" t="s">
        <v>13</v>
      </c>
      <c r="N116" s="8" t="str">
        <f>VLOOKUP(K116,tblCountries[],3,0)</f>
        <v>North Amer.</v>
      </c>
      <c r="O116" s="8">
        <f>VLOOKUP(tblSalaries[[#This Row],[How many hours of a day you work on Excel]],tblHours,2,0)</f>
        <v>5</v>
      </c>
      <c r="P116" s="8">
        <f>VLOOKUP(tblSalaries[[#This Row],[clean Country]],tblCountries[],5,0)</f>
        <v>1</v>
      </c>
      <c r="Q116" s="8">
        <f>IF($Q$1,tblSalaries[[#This Row],[PPP Factor]]*tblSalaries[[#This Row],[Salary in USD]],tblSalaries[[#This Row],[Salary in USD]])</f>
        <v>37900</v>
      </c>
    </row>
    <row r="117" spans="2:17" ht="15" customHeight="1" x14ac:dyDescent="0.25">
      <c r="B117" t="s">
        <v>2120</v>
      </c>
      <c r="C117" s="1">
        <v>41055.028819444444</v>
      </c>
      <c r="D117" s="4">
        <v>4000</v>
      </c>
      <c r="E117">
        <v>48000</v>
      </c>
      <c r="F117" t="s">
        <v>6</v>
      </c>
      <c r="G117">
        <f>tblSalaries[[#This Row],[clean Salary (in local currency)]]*VLOOKUP(tblSalaries[[#This Row],[Currency]],tblXrate[],2,FALSE)</f>
        <v>48000</v>
      </c>
      <c r="H117" t="s">
        <v>178</v>
      </c>
      <c r="I117" t="s">
        <v>52</v>
      </c>
      <c r="J117" t="s">
        <v>179</v>
      </c>
      <c r="K117" t="str">
        <f>VLOOKUP(tblSalaries[[#This Row],[Where do you work]],tblCountries[[Actual]:[Mapping]],2,FALSE)</f>
        <v>UAE</v>
      </c>
      <c r="L117" t="s">
        <v>18</v>
      </c>
      <c r="N117" s="8" t="str">
        <f>VLOOKUP(K117,tblCountries[],3,0)</f>
        <v>Asia</v>
      </c>
      <c r="O117" s="8">
        <f>VLOOKUP(tblSalaries[[#This Row],[How many hours of a day you work on Excel]],tblHours,2,0)</f>
        <v>3</v>
      </c>
      <c r="P117" s="8">
        <f>VLOOKUP(tblSalaries[[#This Row],[clean Country]],tblCountries[],5,0)</f>
        <v>1.0047551808629926</v>
      </c>
      <c r="Q117" s="8">
        <f>IF($Q$1,tblSalaries[[#This Row],[PPP Factor]]*tblSalaries[[#This Row],[Salary in USD]],tblSalaries[[#This Row],[Salary in USD]])</f>
        <v>48000</v>
      </c>
    </row>
    <row r="118" spans="2:17" ht="15" customHeight="1" x14ac:dyDescent="0.25">
      <c r="B118" t="s">
        <v>2121</v>
      </c>
      <c r="C118" s="1">
        <v>41055.02884259259</v>
      </c>
      <c r="D118" s="4">
        <v>67000</v>
      </c>
      <c r="E118">
        <v>67000</v>
      </c>
      <c r="F118" t="s">
        <v>6</v>
      </c>
      <c r="G118">
        <f>tblSalaries[[#This Row],[clean Salary (in local currency)]]*VLOOKUP(tblSalaries[[#This Row],[Currency]],tblXrate[],2,FALSE)</f>
        <v>67000</v>
      </c>
      <c r="H118" t="s">
        <v>180</v>
      </c>
      <c r="I118" t="s">
        <v>20</v>
      </c>
      <c r="J118" t="s">
        <v>15</v>
      </c>
      <c r="K118" t="str">
        <f>VLOOKUP(tblSalaries[[#This Row],[Where do you work]],tblCountries[[Actual]:[Mapping]],2,FALSE)</f>
        <v>USA</v>
      </c>
      <c r="L118" t="s">
        <v>9</v>
      </c>
      <c r="N118" s="8" t="str">
        <f>VLOOKUP(K118,tblCountries[],3,0)</f>
        <v>North Amer.</v>
      </c>
      <c r="O118" s="8">
        <f>VLOOKUP(tblSalaries[[#This Row],[How many hours of a day you work on Excel]],tblHours,2,0)</f>
        <v>4</v>
      </c>
      <c r="P118" s="8">
        <f>VLOOKUP(tblSalaries[[#This Row],[clean Country]],tblCountries[],5,0)</f>
        <v>1</v>
      </c>
      <c r="Q118" s="8">
        <f>IF($Q$1,tblSalaries[[#This Row],[PPP Factor]]*tblSalaries[[#This Row],[Salary in USD]],tblSalaries[[#This Row],[Salary in USD]])</f>
        <v>67000</v>
      </c>
    </row>
    <row r="119" spans="2:17" ht="15" customHeight="1" x14ac:dyDescent="0.25">
      <c r="B119" t="s">
        <v>2122</v>
      </c>
      <c r="C119" s="1">
        <v>41055.028877314813</v>
      </c>
      <c r="D119" s="4">
        <v>85000</v>
      </c>
      <c r="E119">
        <v>85000</v>
      </c>
      <c r="F119" t="s">
        <v>6</v>
      </c>
      <c r="G119">
        <f>tblSalaries[[#This Row],[clean Salary (in local currency)]]*VLOOKUP(tblSalaries[[#This Row],[Currency]],tblXrate[],2,FALSE)</f>
        <v>85000</v>
      </c>
      <c r="H119" t="s">
        <v>181</v>
      </c>
      <c r="I119" t="s">
        <v>488</v>
      </c>
      <c r="J119" t="s">
        <v>179</v>
      </c>
      <c r="K119" t="str">
        <f>VLOOKUP(tblSalaries[[#This Row],[Where do you work]],tblCountries[[Actual]:[Mapping]],2,FALSE)</f>
        <v>UAE</v>
      </c>
      <c r="L119" t="s">
        <v>9</v>
      </c>
      <c r="N119" s="8" t="str">
        <f>VLOOKUP(K119,tblCountries[],3,0)</f>
        <v>Asia</v>
      </c>
      <c r="O119" s="8">
        <f>VLOOKUP(tblSalaries[[#This Row],[How many hours of a day you work on Excel]],tblHours,2,0)</f>
        <v>4</v>
      </c>
      <c r="P119" s="8">
        <f>VLOOKUP(tblSalaries[[#This Row],[clean Country]],tblCountries[],5,0)</f>
        <v>1.0047551808629926</v>
      </c>
      <c r="Q119" s="8">
        <f>IF($Q$1,tblSalaries[[#This Row],[PPP Factor]]*tblSalaries[[#This Row],[Salary in USD]],tblSalaries[[#This Row],[Salary in USD]])</f>
        <v>85000</v>
      </c>
    </row>
    <row r="120" spans="2:17" ht="15" customHeight="1" x14ac:dyDescent="0.25">
      <c r="B120" t="s">
        <v>2123</v>
      </c>
      <c r="C120" s="1">
        <v>41055.028877314813</v>
      </c>
      <c r="D120" s="4">
        <v>56160</v>
      </c>
      <c r="E120">
        <v>56160</v>
      </c>
      <c r="F120" t="s">
        <v>6</v>
      </c>
      <c r="G120">
        <f>tblSalaries[[#This Row],[clean Salary (in local currency)]]*VLOOKUP(tblSalaries[[#This Row],[Currency]],tblXrate[],2,FALSE)</f>
        <v>56160</v>
      </c>
      <c r="H120" t="s">
        <v>182</v>
      </c>
      <c r="I120" t="s">
        <v>20</v>
      </c>
      <c r="J120" t="s">
        <v>15</v>
      </c>
      <c r="K120" t="str">
        <f>VLOOKUP(tblSalaries[[#This Row],[Where do you work]],tblCountries[[Actual]:[Mapping]],2,FALSE)</f>
        <v>USA</v>
      </c>
      <c r="L120" t="s">
        <v>9</v>
      </c>
      <c r="N120" s="8" t="str">
        <f>VLOOKUP(K120,tblCountries[],3,0)</f>
        <v>North Amer.</v>
      </c>
      <c r="O120" s="8">
        <f>VLOOKUP(tblSalaries[[#This Row],[How many hours of a day you work on Excel]],tblHours,2,0)</f>
        <v>4</v>
      </c>
      <c r="P120" s="8">
        <f>VLOOKUP(tblSalaries[[#This Row],[clean Country]],tblCountries[],5,0)</f>
        <v>1</v>
      </c>
      <c r="Q120" s="8">
        <f>IF($Q$1,tblSalaries[[#This Row],[PPP Factor]]*tblSalaries[[#This Row],[Salary in USD]],tblSalaries[[#This Row],[Salary in USD]])</f>
        <v>56160</v>
      </c>
    </row>
    <row r="121" spans="2:17" ht="15" customHeight="1" x14ac:dyDescent="0.25">
      <c r="B121" t="s">
        <v>2124</v>
      </c>
      <c r="C121" s="1">
        <v>41055.028912037036</v>
      </c>
      <c r="D121" s="4">
        <v>2000</v>
      </c>
      <c r="E121">
        <v>24000</v>
      </c>
      <c r="F121" t="s">
        <v>6</v>
      </c>
      <c r="G121">
        <f>tblSalaries[[#This Row],[clean Salary (in local currency)]]*VLOOKUP(tblSalaries[[#This Row],[Currency]],tblXrate[],2,FALSE)</f>
        <v>24000</v>
      </c>
      <c r="H121" t="s">
        <v>183</v>
      </c>
      <c r="I121" t="s">
        <v>52</v>
      </c>
      <c r="J121" t="s">
        <v>184</v>
      </c>
      <c r="K121" t="str">
        <f>VLOOKUP(tblSalaries[[#This Row],[Where do you work]],tblCountries[[Actual]:[Mapping]],2,FALSE)</f>
        <v>Colombia</v>
      </c>
      <c r="L121" t="s">
        <v>13</v>
      </c>
      <c r="N121" s="8" t="str">
        <f>VLOOKUP(K121,tblCountries[],3,0)</f>
        <v>South Amer.</v>
      </c>
      <c r="O121" s="8">
        <f>VLOOKUP(tblSalaries[[#This Row],[How many hours of a day you work on Excel]],tblHours,2,0)</f>
        <v>5</v>
      </c>
      <c r="P121" s="8">
        <f>VLOOKUP(tblSalaries[[#This Row],[clean Country]],tblCountries[],5,0)</f>
        <v>4.721143526197678</v>
      </c>
      <c r="Q121" s="8">
        <f>IF($Q$1,tblSalaries[[#This Row],[PPP Factor]]*tblSalaries[[#This Row],[Salary in USD]],tblSalaries[[#This Row],[Salary in USD]])</f>
        <v>24000</v>
      </c>
    </row>
    <row r="122" spans="2:17" ht="15" customHeight="1" x14ac:dyDescent="0.25">
      <c r="B122" t="s">
        <v>2125</v>
      </c>
      <c r="C122" s="1">
        <v>41055.028912037036</v>
      </c>
      <c r="D122" s="4">
        <v>52000</v>
      </c>
      <c r="E122">
        <v>52000</v>
      </c>
      <c r="F122" t="s">
        <v>6</v>
      </c>
      <c r="G122">
        <f>tblSalaries[[#This Row],[clean Salary (in local currency)]]*VLOOKUP(tblSalaries[[#This Row],[Currency]],tblXrate[],2,FALSE)</f>
        <v>52000</v>
      </c>
      <c r="H122" t="s">
        <v>185</v>
      </c>
      <c r="I122" t="s">
        <v>20</v>
      </c>
      <c r="J122" t="s">
        <v>15</v>
      </c>
      <c r="K122" t="str">
        <f>VLOOKUP(tblSalaries[[#This Row],[Where do you work]],tblCountries[[Actual]:[Mapping]],2,FALSE)</f>
        <v>USA</v>
      </c>
      <c r="L122" t="s">
        <v>186</v>
      </c>
      <c r="N122" s="8" t="str">
        <f>VLOOKUP(K122,tblCountries[],3,0)</f>
        <v>North Amer.</v>
      </c>
      <c r="O122" s="8">
        <f>VLOOKUP(tblSalaries[[#This Row],[How many hours of a day you work on Excel]],tblHours,2,0)</f>
        <v>1</v>
      </c>
      <c r="P122" s="8">
        <f>VLOOKUP(tblSalaries[[#This Row],[clean Country]],tblCountries[],5,0)</f>
        <v>1</v>
      </c>
      <c r="Q122" s="8">
        <f>IF($Q$1,tblSalaries[[#This Row],[PPP Factor]]*tblSalaries[[#This Row],[Salary in USD]],tblSalaries[[#This Row],[Salary in USD]])</f>
        <v>52000</v>
      </c>
    </row>
    <row r="123" spans="2:17" ht="15" customHeight="1" x14ac:dyDescent="0.25">
      <c r="B123" t="s">
        <v>2126</v>
      </c>
      <c r="C123" s="1">
        <v>41055.028946759259</v>
      </c>
      <c r="D123" s="4">
        <v>60000</v>
      </c>
      <c r="E123">
        <v>60000</v>
      </c>
      <c r="F123" t="s">
        <v>86</v>
      </c>
      <c r="G123">
        <f>tblSalaries[[#This Row],[clean Salary (in local currency)]]*VLOOKUP(tblSalaries[[#This Row],[Currency]],tblXrate[],2,FALSE)</f>
        <v>59001.691381819612</v>
      </c>
      <c r="H123" t="s">
        <v>187</v>
      </c>
      <c r="I123" t="s">
        <v>20</v>
      </c>
      <c r="J123" t="s">
        <v>88</v>
      </c>
      <c r="K123" t="str">
        <f>VLOOKUP(tblSalaries[[#This Row],[Where do you work]],tblCountries[[Actual]:[Mapping]],2,FALSE)</f>
        <v>Canada</v>
      </c>
      <c r="L123" t="s">
        <v>186</v>
      </c>
      <c r="N123" s="8" t="str">
        <f>VLOOKUP(K123,tblCountries[],3,0)</f>
        <v>North Amer.</v>
      </c>
      <c r="O123" s="8">
        <f>VLOOKUP(tblSalaries[[#This Row],[How many hours of a day you work on Excel]],tblHours,2,0)</f>
        <v>1</v>
      </c>
      <c r="P123" s="8">
        <f>VLOOKUP(tblSalaries[[#This Row],[clean Country]],tblCountries[],5,0)</f>
        <v>1.1935324732986359</v>
      </c>
      <c r="Q123" s="8">
        <f>IF($Q$1,tblSalaries[[#This Row],[PPP Factor]]*tblSalaries[[#This Row],[Salary in USD]],tblSalaries[[#This Row],[Salary in USD]])</f>
        <v>59001.691381819612</v>
      </c>
    </row>
    <row r="124" spans="2:17" ht="15" customHeight="1" x14ac:dyDescent="0.25">
      <c r="B124" t="s">
        <v>2127</v>
      </c>
      <c r="C124" s="1">
        <v>41055.028969907406</v>
      </c>
      <c r="D124" s="4">
        <v>70000</v>
      </c>
      <c r="E124">
        <v>70000</v>
      </c>
      <c r="F124" t="s">
        <v>6</v>
      </c>
      <c r="G124">
        <f>tblSalaries[[#This Row],[clean Salary (in local currency)]]*VLOOKUP(tblSalaries[[#This Row],[Currency]],tblXrate[],2,FALSE)</f>
        <v>70000</v>
      </c>
      <c r="H124" t="s">
        <v>188</v>
      </c>
      <c r="I124" t="s">
        <v>310</v>
      </c>
      <c r="J124" t="s">
        <v>15</v>
      </c>
      <c r="K124" t="str">
        <f>VLOOKUP(tblSalaries[[#This Row],[Where do you work]],tblCountries[[Actual]:[Mapping]],2,FALSE)</f>
        <v>USA</v>
      </c>
      <c r="L124" t="s">
        <v>13</v>
      </c>
      <c r="N124" s="8" t="str">
        <f>VLOOKUP(K124,tblCountries[],3,0)</f>
        <v>North Amer.</v>
      </c>
      <c r="O124" s="8">
        <f>VLOOKUP(tblSalaries[[#This Row],[How many hours of a day you work on Excel]],tblHours,2,0)</f>
        <v>5</v>
      </c>
      <c r="P124" s="8">
        <f>VLOOKUP(tblSalaries[[#This Row],[clean Country]],tblCountries[],5,0)</f>
        <v>1</v>
      </c>
      <c r="Q124" s="8">
        <f>IF($Q$1,tblSalaries[[#This Row],[PPP Factor]]*tblSalaries[[#This Row],[Salary in USD]],tblSalaries[[#This Row],[Salary in USD]])</f>
        <v>70000</v>
      </c>
    </row>
    <row r="125" spans="2:17" ht="15" customHeight="1" x14ac:dyDescent="0.25">
      <c r="B125" t="s">
        <v>2128</v>
      </c>
      <c r="C125" s="1">
        <v>41055.029120370367</v>
      </c>
      <c r="D125" s="4">
        <v>50000</v>
      </c>
      <c r="E125">
        <v>50000</v>
      </c>
      <c r="F125" t="s">
        <v>6</v>
      </c>
      <c r="G125">
        <f>tblSalaries[[#This Row],[clean Salary (in local currency)]]*VLOOKUP(tblSalaries[[#This Row],[Currency]],tblXrate[],2,FALSE)</f>
        <v>50000</v>
      </c>
      <c r="H125" t="s">
        <v>189</v>
      </c>
      <c r="I125" t="s">
        <v>67</v>
      </c>
      <c r="J125" t="s">
        <v>15</v>
      </c>
      <c r="K125" t="str">
        <f>VLOOKUP(tblSalaries[[#This Row],[Where do you work]],tblCountries[[Actual]:[Mapping]],2,FALSE)</f>
        <v>USA</v>
      </c>
      <c r="L125" t="s">
        <v>9</v>
      </c>
      <c r="N125" s="8" t="str">
        <f>VLOOKUP(K125,tblCountries[],3,0)</f>
        <v>North Amer.</v>
      </c>
      <c r="O125" s="8">
        <f>VLOOKUP(tblSalaries[[#This Row],[How many hours of a day you work on Excel]],tblHours,2,0)</f>
        <v>4</v>
      </c>
      <c r="P125" s="8">
        <f>VLOOKUP(tblSalaries[[#This Row],[clean Country]],tblCountries[],5,0)</f>
        <v>1</v>
      </c>
      <c r="Q125" s="8">
        <f>IF($Q$1,tblSalaries[[#This Row],[PPP Factor]]*tblSalaries[[#This Row],[Salary in USD]],tblSalaries[[#This Row],[Salary in USD]])</f>
        <v>50000</v>
      </c>
    </row>
    <row r="126" spans="2:17" ht="15" customHeight="1" x14ac:dyDescent="0.25">
      <c r="B126" t="s">
        <v>2129</v>
      </c>
      <c r="C126" s="1">
        <v>41055.029143518521</v>
      </c>
      <c r="D126" s="4">
        <v>2300000</v>
      </c>
      <c r="E126">
        <v>2300000</v>
      </c>
      <c r="F126" t="s">
        <v>40</v>
      </c>
      <c r="G126">
        <f>tblSalaries[[#This Row],[clean Salary (in local currency)]]*VLOOKUP(tblSalaries[[#This Row],[Currency]],tblXrate[],2,FALSE)</f>
        <v>40958.208381117904</v>
      </c>
      <c r="H126" t="s">
        <v>190</v>
      </c>
      <c r="I126" t="s">
        <v>20</v>
      </c>
      <c r="J126" t="s">
        <v>8</v>
      </c>
      <c r="K126" t="str">
        <f>VLOOKUP(tblSalaries[[#This Row],[Where do you work]],tblCountries[[Actual]:[Mapping]],2,FALSE)</f>
        <v>India</v>
      </c>
      <c r="L126" t="s">
        <v>25</v>
      </c>
      <c r="N126" s="8" t="str">
        <f>VLOOKUP(K126,tblCountries[],3,0)</f>
        <v>Asia</v>
      </c>
      <c r="O126" s="8">
        <f>VLOOKUP(tblSalaries[[#This Row],[How many hours of a day you work on Excel]],tblHours,2,0)</f>
        <v>2</v>
      </c>
      <c r="P126" s="8">
        <f>VLOOKUP(tblSalaries[[#This Row],[clean Country]],tblCountries[],5,0)</f>
        <v>13.098808879263672</v>
      </c>
      <c r="Q126" s="8">
        <f>IF($Q$1,tblSalaries[[#This Row],[PPP Factor]]*tblSalaries[[#This Row],[Salary in USD]],tblSalaries[[#This Row],[Salary in USD]])</f>
        <v>40958.208381117904</v>
      </c>
    </row>
    <row r="127" spans="2:17" ht="15" customHeight="1" x14ac:dyDescent="0.25">
      <c r="B127" t="s">
        <v>2130</v>
      </c>
      <c r="C127" s="1">
        <v>41055.029166666667</v>
      </c>
      <c r="D127" s="4">
        <v>80000</v>
      </c>
      <c r="E127">
        <v>80000</v>
      </c>
      <c r="F127" t="s">
        <v>6</v>
      </c>
      <c r="G127">
        <f>tblSalaries[[#This Row],[clean Salary (in local currency)]]*VLOOKUP(tblSalaries[[#This Row],[Currency]],tblXrate[],2,FALSE)</f>
        <v>80000</v>
      </c>
      <c r="H127" t="s">
        <v>14</v>
      </c>
      <c r="I127" t="s">
        <v>20</v>
      </c>
      <c r="J127" t="s">
        <v>15</v>
      </c>
      <c r="K127" t="str">
        <f>VLOOKUP(tblSalaries[[#This Row],[Where do you work]],tblCountries[[Actual]:[Mapping]],2,FALSE)</f>
        <v>USA</v>
      </c>
      <c r="L127" t="s">
        <v>9</v>
      </c>
      <c r="N127" s="8" t="str">
        <f>VLOOKUP(K127,tblCountries[],3,0)</f>
        <v>North Amer.</v>
      </c>
      <c r="O127" s="8">
        <f>VLOOKUP(tblSalaries[[#This Row],[How many hours of a day you work on Excel]],tblHours,2,0)</f>
        <v>4</v>
      </c>
      <c r="P127" s="8">
        <f>VLOOKUP(tblSalaries[[#This Row],[clean Country]],tblCountries[],5,0)</f>
        <v>1</v>
      </c>
      <c r="Q127" s="8">
        <f>IF($Q$1,tblSalaries[[#This Row],[PPP Factor]]*tblSalaries[[#This Row],[Salary in USD]],tblSalaries[[#This Row],[Salary in USD]])</f>
        <v>80000</v>
      </c>
    </row>
    <row r="128" spans="2:17" ht="15" customHeight="1" x14ac:dyDescent="0.25">
      <c r="B128" t="s">
        <v>2131</v>
      </c>
      <c r="C128" s="1">
        <v>41055.02925925926</v>
      </c>
      <c r="D128" s="4">
        <v>128000</v>
      </c>
      <c r="E128">
        <v>128000</v>
      </c>
      <c r="F128" t="s">
        <v>6</v>
      </c>
      <c r="G128">
        <f>tblSalaries[[#This Row],[clean Salary (in local currency)]]*VLOOKUP(tblSalaries[[#This Row],[Currency]],tblXrate[],2,FALSE)</f>
        <v>128000</v>
      </c>
      <c r="H128" t="s">
        <v>191</v>
      </c>
      <c r="I128" t="s">
        <v>52</v>
      </c>
      <c r="J128" t="s">
        <v>15</v>
      </c>
      <c r="K128" t="str">
        <f>VLOOKUP(tblSalaries[[#This Row],[Where do you work]],tblCountries[[Actual]:[Mapping]],2,FALSE)</f>
        <v>USA</v>
      </c>
      <c r="L128" t="s">
        <v>13</v>
      </c>
      <c r="N128" s="8" t="str">
        <f>VLOOKUP(K128,tblCountries[],3,0)</f>
        <v>North Amer.</v>
      </c>
      <c r="O128" s="8">
        <f>VLOOKUP(tblSalaries[[#This Row],[How many hours of a day you work on Excel]],tblHours,2,0)</f>
        <v>5</v>
      </c>
      <c r="P128" s="8">
        <f>VLOOKUP(tblSalaries[[#This Row],[clean Country]],tblCountries[],5,0)</f>
        <v>1</v>
      </c>
      <c r="Q128" s="8">
        <f>IF($Q$1,tblSalaries[[#This Row],[PPP Factor]]*tblSalaries[[#This Row],[Salary in USD]],tblSalaries[[#This Row],[Salary in USD]])</f>
        <v>128000</v>
      </c>
    </row>
    <row r="129" spans="2:17" ht="15" customHeight="1" x14ac:dyDescent="0.25">
      <c r="B129" t="s">
        <v>2132</v>
      </c>
      <c r="C129" s="1">
        <v>41055.029282407406</v>
      </c>
      <c r="D129" s="4" t="s">
        <v>192</v>
      </c>
      <c r="E129">
        <v>44000</v>
      </c>
      <c r="F129" t="s">
        <v>6</v>
      </c>
      <c r="G129">
        <f>tblSalaries[[#This Row],[clean Salary (in local currency)]]*VLOOKUP(tblSalaries[[#This Row],[Currency]],tblXrate[],2,FALSE)</f>
        <v>44000</v>
      </c>
      <c r="H129" t="s">
        <v>193</v>
      </c>
      <c r="I129" t="s">
        <v>52</v>
      </c>
      <c r="J129" t="s">
        <v>15</v>
      </c>
      <c r="K129" t="str">
        <f>VLOOKUP(tblSalaries[[#This Row],[Where do you work]],tblCountries[[Actual]:[Mapping]],2,FALSE)</f>
        <v>USA</v>
      </c>
      <c r="L129" t="s">
        <v>25</v>
      </c>
      <c r="N129" s="8" t="str">
        <f>VLOOKUP(K129,tblCountries[],3,0)</f>
        <v>North Amer.</v>
      </c>
      <c r="O129" s="8">
        <f>VLOOKUP(tblSalaries[[#This Row],[How many hours of a day you work on Excel]],tblHours,2,0)</f>
        <v>2</v>
      </c>
      <c r="P129" s="8">
        <f>VLOOKUP(tblSalaries[[#This Row],[clean Country]],tblCountries[],5,0)</f>
        <v>1</v>
      </c>
      <c r="Q129" s="8">
        <f>IF($Q$1,tblSalaries[[#This Row],[PPP Factor]]*tblSalaries[[#This Row],[Salary in USD]],tblSalaries[[#This Row],[Salary in USD]])</f>
        <v>44000</v>
      </c>
    </row>
    <row r="130" spans="2:17" ht="15" customHeight="1" x14ac:dyDescent="0.25">
      <c r="B130" t="s">
        <v>2133</v>
      </c>
      <c r="C130" s="1">
        <v>41055.029293981483</v>
      </c>
      <c r="D130" s="4">
        <v>65000</v>
      </c>
      <c r="E130">
        <v>65000</v>
      </c>
      <c r="F130" t="s">
        <v>6</v>
      </c>
      <c r="G130">
        <f>tblSalaries[[#This Row],[clean Salary (in local currency)]]*VLOOKUP(tblSalaries[[#This Row],[Currency]],tblXrate[],2,FALSE)</f>
        <v>65000</v>
      </c>
      <c r="H130" t="s">
        <v>194</v>
      </c>
      <c r="I130" t="s">
        <v>310</v>
      </c>
      <c r="J130" t="s">
        <v>15</v>
      </c>
      <c r="K130" t="str">
        <f>VLOOKUP(tblSalaries[[#This Row],[Where do you work]],tblCountries[[Actual]:[Mapping]],2,FALSE)</f>
        <v>USA</v>
      </c>
      <c r="L130" t="s">
        <v>13</v>
      </c>
      <c r="N130" s="8" t="str">
        <f>VLOOKUP(K130,tblCountries[],3,0)</f>
        <v>North Amer.</v>
      </c>
      <c r="O130" s="8">
        <f>VLOOKUP(tblSalaries[[#This Row],[How many hours of a day you work on Excel]],tblHours,2,0)</f>
        <v>5</v>
      </c>
      <c r="P130" s="8">
        <f>VLOOKUP(tblSalaries[[#This Row],[clean Country]],tblCountries[],5,0)</f>
        <v>1</v>
      </c>
      <c r="Q130" s="8">
        <f>IF($Q$1,tblSalaries[[#This Row],[PPP Factor]]*tblSalaries[[#This Row],[Salary in USD]],tblSalaries[[#This Row],[Salary in USD]])</f>
        <v>65000</v>
      </c>
    </row>
    <row r="131" spans="2:17" ht="15" customHeight="1" x14ac:dyDescent="0.25">
      <c r="B131" t="s">
        <v>2134</v>
      </c>
      <c r="C131" s="1">
        <v>41055.029537037037</v>
      </c>
      <c r="D131" s="4" t="s">
        <v>195</v>
      </c>
      <c r="E131">
        <v>36000</v>
      </c>
      <c r="F131" t="s">
        <v>6</v>
      </c>
      <c r="G131">
        <f>tblSalaries[[#This Row],[clean Salary (in local currency)]]*VLOOKUP(tblSalaries[[#This Row],[Currency]],tblXrate[],2,FALSE)</f>
        <v>36000</v>
      </c>
      <c r="H131" t="s">
        <v>196</v>
      </c>
      <c r="I131" t="s">
        <v>310</v>
      </c>
      <c r="J131" t="s">
        <v>197</v>
      </c>
      <c r="K131" t="str">
        <f>VLOOKUP(tblSalaries[[#This Row],[Where do you work]],tblCountries[[Actual]:[Mapping]],2,FALSE)</f>
        <v>Turkey</v>
      </c>
      <c r="L131" t="s">
        <v>9</v>
      </c>
      <c r="N131" s="8" t="str">
        <f>VLOOKUP(K131,tblCountries[],3,0)</f>
        <v>Asia</v>
      </c>
      <c r="O131" s="8">
        <f>VLOOKUP(tblSalaries[[#This Row],[How many hours of a day you work on Excel]],tblHours,2,0)</f>
        <v>4</v>
      </c>
      <c r="P131" s="8">
        <f>VLOOKUP(tblSalaries[[#This Row],[clean Country]],tblCountries[],5,0)</f>
        <v>3.3331266790659226</v>
      </c>
      <c r="Q131" s="8">
        <f>IF($Q$1,tblSalaries[[#This Row],[PPP Factor]]*tblSalaries[[#This Row],[Salary in USD]],tblSalaries[[#This Row],[Salary in USD]])</f>
        <v>36000</v>
      </c>
    </row>
    <row r="132" spans="2:17" ht="15" customHeight="1" x14ac:dyDescent="0.25">
      <c r="B132" t="s">
        <v>2135</v>
      </c>
      <c r="C132" s="1">
        <v>41055.029560185183</v>
      </c>
      <c r="D132" s="4">
        <v>1000</v>
      </c>
      <c r="E132">
        <v>12000</v>
      </c>
      <c r="F132" t="s">
        <v>6</v>
      </c>
      <c r="G132">
        <f>tblSalaries[[#This Row],[clean Salary (in local currency)]]*VLOOKUP(tblSalaries[[#This Row],[Currency]],tblXrate[],2,FALSE)</f>
        <v>12000</v>
      </c>
      <c r="H132" t="s">
        <v>198</v>
      </c>
      <c r="I132" t="s">
        <v>356</v>
      </c>
      <c r="J132" t="s">
        <v>17</v>
      </c>
      <c r="K132" t="str">
        <f>VLOOKUP(tblSalaries[[#This Row],[Where do you work]],tblCountries[[Actual]:[Mapping]],2,FALSE)</f>
        <v>Pakistan</v>
      </c>
      <c r="L132" t="s">
        <v>25</v>
      </c>
      <c r="N132" s="8" t="str">
        <f>VLOOKUP(K132,tblCountries[],3,0)</f>
        <v>Asia</v>
      </c>
      <c r="O132" s="8">
        <f>VLOOKUP(tblSalaries[[#This Row],[How many hours of a day you work on Excel]],tblHours,2,0)</f>
        <v>2</v>
      </c>
      <c r="P132" s="8">
        <f>VLOOKUP(tblSalaries[[#This Row],[clean Country]],tblCountries[],5,0)</f>
        <v>17.361679224973088</v>
      </c>
      <c r="Q132" s="8">
        <f>IF($Q$1,tblSalaries[[#This Row],[PPP Factor]]*tblSalaries[[#This Row],[Salary in USD]],tblSalaries[[#This Row],[Salary in USD]])</f>
        <v>12000</v>
      </c>
    </row>
    <row r="133" spans="2:17" ht="15" customHeight="1" x14ac:dyDescent="0.25">
      <c r="B133" t="s">
        <v>2136</v>
      </c>
      <c r="C133" s="1">
        <v>41055.029641203706</v>
      </c>
      <c r="D133" s="4">
        <v>28159.200000000001</v>
      </c>
      <c r="E133">
        <v>28159</v>
      </c>
      <c r="F133" t="s">
        <v>69</v>
      </c>
      <c r="G133">
        <f>tblSalaries[[#This Row],[clean Salary (in local currency)]]*VLOOKUP(tblSalaries[[#This Row],[Currency]],tblXrate[],2,FALSE)</f>
        <v>44383.603963142654</v>
      </c>
      <c r="H133" t="s">
        <v>153</v>
      </c>
      <c r="I133" t="s">
        <v>20</v>
      </c>
      <c r="J133" t="s">
        <v>71</v>
      </c>
      <c r="K133" t="str">
        <f>VLOOKUP(tblSalaries[[#This Row],[Where do you work]],tblCountries[[Actual]:[Mapping]],2,FALSE)</f>
        <v>UK</v>
      </c>
      <c r="L133" t="s">
        <v>13</v>
      </c>
      <c r="N133" s="8" t="str">
        <f>VLOOKUP(K133,tblCountries[],3,0)</f>
        <v>Europe</v>
      </c>
      <c r="O133" s="8">
        <f>VLOOKUP(tblSalaries[[#This Row],[How many hours of a day you work on Excel]],tblHours,2,0)</f>
        <v>5</v>
      </c>
      <c r="P133" s="8">
        <f>VLOOKUP(tblSalaries[[#This Row],[clean Country]],tblCountries[],5,0)</f>
        <v>1.3407315045719035</v>
      </c>
      <c r="Q133" s="8">
        <f>IF($Q$1,tblSalaries[[#This Row],[PPP Factor]]*tblSalaries[[#This Row],[Salary in USD]],tblSalaries[[#This Row],[Salary in USD]])</f>
        <v>44383.603963142654</v>
      </c>
    </row>
    <row r="134" spans="2:17" ht="15" customHeight="1" x14ac:dyDescent="0.25">
      <c r="B134" t="s">
        <v>2137</v>
      </c>
      <c r="C134" s="1">
        <v>41055.029699074075</v>
      </c>
      <c r="D134" s="4">
        <v>45000</v>
      </c>
      <c r="E134">
        <v>45000</v>
      </c>
      <c r="F134" t="s">
        <v>6</v>
      </c>
      <c r="G134">
        <f>tblSalaries[[#This Row],[clean Salary (in local currency)]]*VLOOKUP(tblSalaries[[#This Row],[Currency]],tblXrate[],2,FALSE)</f>
        <v>45000</v>
      </c>
      <c r="H134" t="s">
        <v>199</v>
      </c>
      <c r="I134" t="s">
        <v>20</v>
      </c>
      <c r="J134" t="s">
        <v>15</v>
      </c>
      <c r="K134" t="str">
        <f>VLOOKUP(tblSalaries[[#This Row],[Where do you work]],tblCountries[[Actual]:[Mapping]],2,FALSE)</f>
        <v>USA</v>
      </c>
      <c r="L134" t="s">
        <v>9</v>
      </c>
      <c r="N134" s="8" t="str">
        <f>VLOOKUP(K134,tblCountries[],3,0)</f>
        <v>North Amer.</v>
      </c>
      <c r="O134" s="8">
        <f>VLOOKUP(tblSalaries[[#This Row],[How many hours of a day you work on Excel]],tblHours,2,0)</f>
        <v>4</v>
      </c>
      <c r="P134" s="8">
        <f>VLOOKUP(tblSalaries[[#This Row],[clean Country]],tblCountries[],5,0)</f>
        <v>1</v>
      </c>
      <c r="Q134" s="8">
        <f>IF($Q$1,tblSalaries[[#This Row],[PPP Factor]]*tblSalaries[[#This Row],[Salary in USD]],tblSalaries[[#This Row],[Salary in USD]])</f>
        <v>45000</v>
      </c>
    </row>
    <row r="135" spans="2:17" ht="15" customHeight="1" x14ac:dyDescent="0.25">
      <c r="B135" t="s">
        <v>2138</v>
      </c>
      <c r="C135" s="1">
        <v>41055.02983796296</v>
      </c>
      <c r="D135" s="4">
        <v>54000</v>
      </c>
      <c r="E135">
        <v>54000</v>
      </c>
      <c r="F135" t="s">
        <v>6</v>
      </c>
      <c r="G135">
        <f>tblSalaries[[#This Row],[clean Salary (in local currency)]]*VLOOKUP(tblSalaries[[#This Row],[Currency]],tblXrate[],2,FALSE)</f>
        <v>54000</v>
      </c>
      <c r="H135" t="s">
        <v>200</v>
      </c>
      <c r="I135" t="s">
        <v>20</v>
      </c>
      <c r="J135" t="s">
        <v>15</v>
      </c>
      <c r="K135" t="str">
        <f>VLOOKUP(tblSalaries[[#This Row],[Where do you work]],tblCountries[[Actual]:[Mapping]],2,FALSE)</f>
        <v>USA</v>
      </c>
      <c r="L135" t="s">
        <v>18</v>
      </c>
      <c r="N135" s="8" t="str">
        <f>VLOOKUP(K135,tblCountries[],3,0)</f>
        <v>North Amer.</v>
      </c>
      <c r="O135" s="8">
        <f>VLOOKUP(tblSalaries[[#This Row],[How many hours of a day you work on Excel]],tblHours,2,0)</f>
        <v>3</v>
      </c>
      <c r="P135" s="8">
        <f>VLOOKUP(tblSalaries[[#This Row],[clean Country]],tblCountries[],5,0)</f>
        <v>1</v>
      </c>
      <c r="Q135" s="8">
        <f>IF($Q$1,tblSalaries[[#This Row],[PPP Factor]]*tblSalaries[[#This Row],[Salary in USD]],tblSalaries[[#This Row],[Salary in USD]])</f>
        <v>54000</v>
      </c>
    </row>
    <row r="136" spans="2:17" ht="15" customHeight="1" x14ac:dyDescent="0.25">
      <c r="B136" t="s">
        <v>2139</v>
      </c>
      <c r="C136" s="1">
        <v>41055.029895833337</v>
      </c>
      <c r="D136" s="4">
        <v>70000</v>
      </c>
      <c r="E136">
        <v>70000</v>
      </c>
      <c r="F136" t="s">
        <v>69</v>
      </c>
      <c r="G136">
        <f>tblSalaries[[#This Row],[clean Salary (in local currency)]]*VLOOKUP(tblSalaries[[#This Row],[Currency]],tblXrate[],2,FALSE)</f>
        <v>110332.47904470989</v>
      </c>
      <c r="H136" t="s">
        <v>201</v>
      </c>
      <c r="I136" t="s">
        <v>52</v>
      </c>
      <c r="J136" t="s">
        <v>71</v>
      </c>
      <c r="K136" t="str">
        <f>VLOOKUP(tblSalaries[[#This Row],[Where do you work]],tblCountries[[Actual]:[Mapping]],2,FALSE)</f>
        <v>UK</v>
      </c>
      <c r="L136" t="s">
        <v>18</v>
      </c>
      <c r="N136" s="8" t="str">
        <f>VLOOKUP(K136,tblCountries[],3,0)</f>
        <v>Europe</v>
      </c>
      <c r="O136" s="8">
        <f>VLOOKUP(tblSalaries[[#This Row],[How many hours of a day you work on Excel]],tblHours,2,0)</f>
        <v>3</v>
      </c>
      <c r="P136" s="8">
        <f>VLOOKUP(tblSalaries[[#This Row],[clean Country]],tblCountries[],5,0)</f>
        <v>1.3407315045719035</v>
      </c>
      <c r="Q136" s="8">
        <f>IF($Q$1,tblSalaries[[#This Row],[PPP Factor]]*tblSalaries[[#This Row],[Salary in USD]],tblSalaries[[#This Row],[Salary in USD]])</f>
        <v>110332.47904470989</v>
      </c>
    </row>
    <row r="137" spans="2:17" ht="15" customHeight="1" x14ac:dyDescent="0.25">
      <c r="B137" t="s">
        <v>2140</v>
      </c>
      <c r="C137" s="1">
        <v>41055.029942129629</v>
      </c>
      <c r="D137" s="4">
        <v>71000</v>
      </c>
      <c r="E137">
        <v>71000</v>
      </c>
      <c r="F137" t="s">
        <v>6</v>
      </c>
      <c r="G137">
        <f>tblSalaries[[#This Row],[clean Salary (in local currency)]]*VLOOKUP(tblSalaries[[#This Row],[Currency]],tblXrate[],2,FALSE)</f>
        <v>71000</v>
      </c>
      <c r="H137" t="s">
        <v>202</v>
      </c>
      <c r="I137" t="s">
        <v>20</v>
      </c>
      <c r="J137" t="s">
        <v>15</v>
      </c>
      <c r="K137" t="str">
        <f>VLOOKUP(tblSalaries[[#This Row],[Where do you work]],tblCountries[[Actual]:[Mapping]],2,FALSE)</f>
        <v>USA</v>
      </c>
      <c r="L137" t="s">
        <v>9</v>
      </c>
      <c r="N137" s="8" t="str">
        <f>VLOOKUP(K137,tblCountries[],3,0)</f>
        <v>North Amer.</v>
      </c>
      <c r="O137" s="8">
        <f>VLOOKUP(tblSalaries[[#This Row],[How many hours of a day you work on Excel]],tblHours,2,0)</f>
        <v>4</v>
      </c>
      <c r="P137" s="8">
        <f>VLOOKUP(tblSalaries[[#This Row],[clean Country]],tblCountries[],5,0)</f>
        <v>1</v>
      </c>
      <c r="Q137" s="8">
        <f>IF($Q$1,tblSalaries[[#This Row],[PPP Factor]]*tblSalaries[[#This Row],[Salary in USD]],tblSalaries[[#This Row],[Salary in USD]])</f>
        <v>71000</v>
      </c>
    </row>
    <row r="138" spans="2:17" ht="15" customHeight="1" x14ac:dyDescent="0.25">
      <c r="B138" t="s">
        <v>2141</v>
      </c>
      <c r="C138" s="1">
        <v>41055.029953703706</v>
      </c>
      <c r="D138" s="4">
        <v>800000</v>
      </c>
      <c r="E138">
        <v>800000</v>
      </c>
      <c r="F138" t="s">
        <v>40</v>
      </c>
      <c r="G138">
        <f>tblSalaries[[#This Row],[clean Salary (in local currency)]]*VLOOKUP(tblSalaries[[#This Row],[Currency]],tblXrate[],2,FALSE)</f>
        <v>14246.333349954055</v>
      </c>
      <c r="H138" t="s">
        <v>203</v>
      </c>
      <c r="I138" t="s">
        <v>52</v>
      </c>
      <c r="J138" t="s">
        <v>8</v>
      </c>
      <c r="K138" t="str">
        <f>VLOOKUP(tblSalaries[[#This Row],[Where do you work]],tblCountries[[Actual]:[Mapping]],2,FALSE)</f>
        <v>India</v>
      </c>
      <c r="L138" t="s">
        <v>18</v>
      </c>
      <c r="N138" s="8" t="str">
        <f>VLOOKUP(K138,tblCountries[],3,0)</f>
        <v>Asia</v>
      </c>
      <c r="O138" s="8">
        <f>VLOOKUP(tblSalaries[[#This Row],[How many hours of a day you work on Excel]],tblHours,2,0)</f>
        <v>3</v>
      </c>
      <c r="P138" s="8">
        <f>VLOOKUP(tblSalaries[[#This Row],[clean Country]],tblCountries[],5,0)</f>
        <v>13.098808879263672</v>
      </c>
      <c r="Q138" s="8">
        <f>IF($Q$1,tblSalaries[[#This Row],[PPP Factor]]*tblSalaries[[#This Row],[Salary in USD]],tblSalaries[[#This Row],[Salary in USD]])</f>
        <v>14246.333349954055</v>
      </c>
    </row>
    <row r="139" spans="2:17" ht="15" customHeight="1" x14ac:dyDescent="0.25">
      <c r="B139" t="s">
        <v>2142</v>
      </c>
      <c r="C139" s="1">
        <v>41055.030057870368</v>
      </c>
      <c r="D139" s="4">
        <v>70000</v>
      </c>
      <c r="E139">
        <v>70000</v>
      </c>
      <c r="F139" t="s">
        <v>86</v>
      </c>
      <c r="G139">
        <f>tblSalaries[[#This Row],[clean Salary (in local currency)]]*VLOOKUP(tblSalaries[[#This Row],[Currency]],tblXrate[],2,FALSE)</f>
        <v>68835.306612122877</v>
      </c>
      <c r="H139" t="s">
        <v>204</v>
      </c>
      <c r="I139" t="s">
        <v>52</v>
      </c>
      <c r="J139" t="s">
        <v>205</v>
      </c>
      <c r="K139" t="str">
        <f>VLOOKUP(tblSalaries[[#This Row],[Where do you work]],tblCountries[[Actual]:[Mapping]],2,FALSE)</f>
        <v>Canada</v>
      </c>
      <c r="L139" t="s">
        <v>9</v>
      </c>
      <c r="N139" s="8" t="str">
        <f>VLOOKUP(K139,tblCountries[],3,0)</f>
        <v>North Amer.</v>
      </c>
      <c r="O139" s="8">
        <f>VLOOKUP(tblSalaries[[#This Row],[How many hours of a day you work on Excel]],tblHours,2,0)</f>
        <v>4</v>
      </c>
      <c r="P139" s="8">
        <f>VLOOKUP(tblSalaries[[#This Row],[clean Country]],tblCountries[],5,0)</f>
        <v>1.1935324732986359</v>
      </c>
      <c r="Q139" s="8">
        <f>IF($Q$1,tblSalaries[[#This Row],[PPP Factor]]*tblSalaries[[#This Row],[Salary in USD]],tblSalaries[[#This Row],[Salary in USD]])</f>
        <v>68835.306612122877</v>
      </c>
    </row>
    <row r="140" spans="2:17" ht="15" customHeight="1" x14ac:dyDescent="0.25">
      <c r="B140" t="s">
        <v>2143</v>
      </c>
      <c r="C140" s="1">
        <v>41055.030150462961</v>
      </c>
      <c r="D140" s="4">
        <v>50000</v>
      </c>
      <c r="E140">
        <v>50000</v>
      </c>
      <c r="F140" t="s">
        <v>86</v>
      </c>
      <c r="G140">
        <f>tblSalaries[[#This Row],[clean Salary (in local currency)]]*VLOOKUP(tblSalaries[[#This Row],[Currency]],tblXrate[],2,FALSE)</f>
        <v>49168.076151516347</v>
      </c>
      <c r="H140" t="s">
        <v>206</v>
      </c>
      <c r="I140" t="s">
        <v>52</v>
      </c>
      <c r="J140" t="s">
        <v>88</v>
      </c>
      <c r="K140" t="str">
        <f>VLOOKUP(tblSalaries[[#This Row],[Where do you work]],tblCountries[[Actual]:[Mapping]],2,FALSE)</f>
        <v>Canada</v>
      </c>
      <c r="L140" t="s">
        <v>9</v>
      </c>
      <c r="N140" s="8" t="str">
        <f>VLOOKUP(K140,tblCountries[],3,0)</f>
        <v>North Amer.</v>
      </c>
      <c r="O140" s="8">
        <f>VLOOKUP(tblSalaries[[#This Row],[How many hours of a day you work on Excel]],tblHours,2,0)</f>
        <v>4</v>
      </c>
      <c r="P140" s="8">
        <f>VLOOKUP(tblSalaries[[#This Row],[clean Country]],tblCountries[],5,0)</f>
        <v>1.1935324732986359</v>
      </c>
      <c r="Q140" s="8">
        <f>IF($Q$1,tblSalaries[[#This Row],[PPP Factor]]*tblSalaries[[#This Row],[Salary in USD]],tblSalaries[[#This Row],[Salary in USD]])</f>
        <v>49168.076151516347</v>
      </c>
    </row>
    <row r="141" spans="2:17" ht="15" customHeight="1" x14ac:dyDescent="0.25">
      <c r="B141" t="s">
        <v>2144</v>
      </c>
      <c r="C141" s="1">
        <v>41055.030173611114</v>
      </c>
      <c r="D141" s="4">
        <v>40000</v>
      </c>
      <c r="E141">
        <v>40000</v>
      </c>
      <c r="F141" t="s">
        <v>6</v>
      </c>
      <c r="G141">
        <f>tblSalaries[[#This Row],[clean Salary (in local currency)]]*VLOOKUP(tblSalaries[[#This Row],[Currency]],tblXrate[],2,FALSE)</f>
        <v>40000</v>
      </c>
      <c r="H141" t="s">
        <v>207</v>
      </c>
      <c r="I141" t="s">
        <v>20</v>
      </c>
      <c r="J141" t="s">
        <v>15</v>
      </c>
      <c r="K141" t="str">
        <f>VLOOKUP(tblSalaries[[#This Row],[Where do you work]],tblCountries[[Actual]:[Mapping]],2,FALSE)</f>
        <v>USA</v>
      </c>
      <c r="L141" t="s">
        <v>9</v>
      </c>
      <c r="N141" s="8" t="str">
        <f>VLOOKUP(K141,tblCountries[],3,0)</f>
        <v>North Amer.</v>
      </c>
      <c r="O141" s="8">
        <f>VLOOKUP(tblSalaries[[#This Row],[How many hours of a day you work on Excel]],tblHours,2,0)</f>
        <v>4</v>
      </c>
      <c r="P141" s="8">
        <f>VLOOKUP(tblSalaries[[#This Row],[clean Country]],tblCountries[],5,0)</f>
        <v>1</v>
      </c>
      <c r="Q141" s="8">
        <f>IF($Q$1,tblSalaries[[#This Row],[PPP Factor]]*tblSalaries[[#This Row],[Salary in USD]],tblSalaries[[#This Row],[Salary in USD]])</f>
        <v>40000</v>
      </c>
    </row>
    <row r="142" spans="2:17" ht="15" customHeight="1" x14ac:dyDescent="0.25">
      <c r="B142" t="s">
        <v>2145</v>
      </c>
      <c r="C142" s="1">
        <v>41055.03025462963</v>
      </c>
      <c r="D142" s="4" t="s">
        <v>208</v>
      </c>
      <c r="E142">
        <v>62000</v>
      </c>
      <c r="F142" t="s">
        <v>86</v>
      </c>
      <c r="G142">
        <f>tblSalaries[[#This Row],[clean Salary (in local currency)]]*VLOOKUP(tblSalaries[[#This Row],[Currency]],tblXrate[],2,FALSE)</f>
        <v>60968.414427880263</v>
      </c>
      <c r="H142" t="s">
        <v>209</v>
      </c>
      <c r="I142" t="s">
        <v>20</v>
      </c>
      <c r="J142" t="s">
        <v>88</v>
      </c>
      <c r="K142" t="str">
        <f>VLOOKUP(tblSalaries[[#This Row],[Where do you work]],tblCountries[[Actual]:[Mapping]],2,FALSE)</f>
        <v>Canada</v>
      </c>
      <c r="L142" t="s">
        <v>18</v>
      </c>
      <c r="N142" s="8" t="str">
        <f>VLOOKUP(K142,tblCountries[],3,0)</f>
        <v>North Amer.</v>
      </c>
      <c r="O142" s="8">
        <f>VLOOKUP(tblSalaries[[#This Row],[How many hours of a day you work on Excel]],tblHours,2,0)</f>
        <v>3</v>
      </c>
      <c r="P142" s="8">
        <f>VLOOKUP(tblSalaries[[#This Row],[clean Country]],tblCountries[],5,0)</f>
        <v>1.1935324732986359</v>
      </c>
      <c r="Q142" s="8">
        <f>IF($Q$1,tblSalaries[[#This Row],[PPP Factor]]*tblSalaries[[#This Row],[Salary in USD]],tblSalaries[[#This Row],[Salary in USD]])</f>
        <v>60968.414427880263</v>
      </c>
    </row>
    <row r="143" spans="2:17" ht="15" customHeight="1" x14ac:dyDescent="0.25">
      <c r="B143" t="s">
        <v>2146</v>
      </c>
      <c r="C143" s="1">
        <v>41055.030277777776</v>
      </c>
      <c r="D143" s="4" t="s">
        <v>210</v>
      </c>
      <c r="E143">
        <v>336000</v>
      </c>
      <c r="F143" t="s">
        <v>40</v>
      </c>
      <c r="G143">
        <f>tblSalaries[[#This Row],[clean Salary (in local currency)]]*VLOOKUP(tblSalaries[[#This Row],[Currency]],tblXrate[],2,FALSE)</f>
        <v>5983.4600069807029</v>
      </c>
      <c r="H143" t="s">
        <v>211</v>
      </c>
      <c r="I143" t="s">
        <v>3999</v>
      </c>
      <c r="J143" t="s">
        <v>8</v>
      </c>
      <c r="K143" t="str">
        <f>VLOOKUP(tblSalaries[[#This Row],[Where do you work]],tblCountries[[Actual]:[Mapping]],2,FALSE)</f>
        <v>India</v>
      </c>
      <c r="L143" t="s">
        <v>9</v>
      </c>
      <c r="N143" s="8" t="str">
        <f>VLOOKUP(K143,tblCountries[],3,0)</f>
        <v>Asia</v>
      </c>
      <c r="O143" s="8">
        <f>VLOOKUP(tblSalaries[[#This Row],[How many hours of a day you work on Excel]],tblHours,2,0)</f>
        <v>4</v>
      </c>
      <c r="P143" s="8">
        <f>VLOOKUP(tblSalaries[[#This Row],[clean Country]],tblCountries[],5,0)</f>
        <v>13.098808879263672</v>
      </c>
      <c r="Q143" s="8">
        <f>IF($Q$1,tblSalaries[[#This Row],[PPP Factor]]*tblSalaries[[#This Row],[Salary in USD]],tblSalaries[[#This Row],[Salary in USD]])</f>
        <v>5983.4600069807029</v>
      </c>
    </row>
    <row r="144" spans="2:17" ht="15" customHeight="1" x14ac:dyDescent="0.25">
      <c r="B144" t="s">
        <v>2147</v>
      </c>
      <c r="C144" s="1">
        <v>41055.030277777776</v>
      </c>
      <c r="D144" s="4">
        <v>53000</v>
      </c>
      <c r="E144">
        <v>53000</v>
      </c>
      <c r="F144" t="s">
        <v>6</v>
      </c>
      <c r="G144">
        <f>tblSalaries[[#This Row],[clean Salary (in local currency)]]*VLOOKUP(tblSalaries[[#This Row],[Currency]],tblXrate[],2,FALSE)</f>
        <v>53000</v>
      </c>
      <c r="H144" t="s">
        <v>153</v>
      </c>
      <c r="I144" t="s">
        <v>20</v>
      </c>
      <c r="J144" t="s">
        <v>15</v>
      </c>
      <c r="K144" t="str">
        <f>VLOOKUP(tblSalaries[[#This Row],[Where do you work]],tblCountries[[Actual]:[Mapping]],2,FALSE)</f>
        <v>USA</v>
      </c>
      <c r="L144" t="s">
        <v>9</v>
      </c>
      <c r="N144" s="8" t="str">
        <f>VLOOKUP(K144,tblCountries[],3,0)</f>
        <v>North Amer.</v>
      </c>
      <c r="O144" s="8">
        <f>VLOOKUP(tblSalaries[[#This Row],[How many hours of a day you work on Excel]],tblHours,2,0)</f>
        <v>4</v>
      </c>
      <c r="P144" s="8">
        <f>VLOOKUP(tblSalaries[[#This Row],[clean Country]],tblCountries[],5,0)</f>
        <v>1</v>
      </c>
      <c r="Q144" s="8">
        <f>IF($Q$1,tblSalaries[[#This Row],[PPP Factor]]*tblSalaries[[#This Row],[Salary in USD]],tblSalaries[[#This Row],[Salary in USD]])</f>
        <v>53000</v>
      </c>
    </row>
    <row r="145" spans="2:17" ht="15" customHeight="1" x14ac:dyDescent="0.25">
      <c r="B145" t="s">
        <v>2148</v>
      </c>
      <c r="C145" s="1">
        <v>41055.030428240738</v>
      </c>
      <c r="D145" s="4">
        <v>104000</v>
      </c>
      <c r="E145">
        <v>104000</v>
      </c>
      <c r="F145" t="s">
        <v>6</v>
      </c>
      <c r="G145">
        <f>tblSalaries[[#This Row],[clean Salary (in local currency)]]*VLOOKUP(tblSalaries[[#This Row],[Currency]],tblXrate[],2,FALSE)</f>
        <v>104000</v>
      </c>
      <c r="H145" t="s">
        <v>212</v>
      </c>
      <c r="I145" t="s">
        <v>4001</v>
      </c>
      <c r="J145" t="s">
        <v>15</v>
      </c>
      <c r="K145" t="str">
        <f>VLOOKUP(tblSalaries[[#This Row],[Where do you work]],tblCountries[[Actual]:[Mapping]],2,FALSE)</f>
        <v>USA</v>
      </c>
      <c r="L145" t="s">
        <v>18</v>
      </c>
      <c r="N145" s="8" t="str">
        <f>VLOOKUP(K145,tblCountries[],3,0)</f>
        <v>North Amer.</v>
      </c>
      <c r="O145" s="8">
        <f>VLOOKUP(tblSalaries[[#This Row],[How many hours of a day you work on Excel]],tblHours,2,0)</f>
        <v>3</v>
      </c>
      <c r="P145" s="8">
        <f>VLOOKUP(tblSalaries[[#This Row],[clean Country]],tblCountries[],5,0)</f>
        <v>1</v>
      </c>
      <c r="Q145" s="8">
        <f>IF($Q$1,tblSalaries[[#This Row],[PPP Factor]]*tblSalaries[[#This Row],[Salary in USD]],tblSalaries[[#This Row],[Salary in USD]])</f>
        <v>104000</v>
      </c>
    </row>
    <row r="146" spans="2:17" ht="15" customHeight="1" x14ac:dyDescent="0.25">
      <c r="B146" t="s">
        <v>2149</v>
      </c>
      <c r="C146" s="1">
        <v>41055.030578703707</v>
      </c>
      <c r="D146" s="4">
        <v>57000</v>
      </c>
      <c r="E146">
        <v>57000</v>
      </c>
      <c r="F146" t="s">
        <v>6</v>
      </c>
      <c r="G146">
        <f>tblSalaries[[#This Row],[clean Salary (in local currency)]]*VLOOKUP(tblSalaries[[#This Row],[Currency]],tblXrate[],2,FALSE)</f>
        <v>57000</v>
      </c>
      <c r="H146" t="s">
        <v>213</v>
      </c>
      <c r="I146" t="s">
        <v>279</v>
      </c>
      <c r="J146" t="s">
        <v>15</v>
      </c>
      <c r="K146" t="str">
        <f>VLOOKUP(tblSalaries[[#This Row],[Where do you work]],tblCountries[[Actual]:[Mapping]],2,FALSE)</f>
        <v>USA</v>
      </c>
      <c r="L146" t="s">
        <v>9</v>
      </c>
      <c r="N146" s="8" t="str">
        <f>VLOOKUP(K146,tblCountries[],3,0)</f>
        <v>North Amer.</v>
      </c>
      <c r="O146" s="8">
        <f>VLOOKUP(tblSalaries[[#This Row],[How many hours of a day you work on Excel]],tblHours,2,0)</f>
        <v>4</v>
      </c>
      <c r="P146" s="8">
        <f>VLOOKUP(tblSalaries[[#This Row],[clean Country]],tblCountries[],5,0)</f>
        <v>1</v>
      </c>
      <c r="Q146" s="8">
        <f>IF($Q$1,tblSalaries[[#This Row],[PPP Factor]]*tblSalaries[[#This Row],[Salary in USD]],tblSalaries[[#This Row],[Salary in USD]])</f>
        <v>57000</v>
      </c>
    </row>
    <row r="147" spans="2:17" ht="15" customHeight="1" x14ac:dyDescent="0.25">
      <c r="B147" t="s">
        <v>2150</v>
      </c>
      <c r="C147" s="1">
        <v>41055.030659722222</v>
      </c>
      <c r="D147" s="4">
        <v>45000</v>
      </c>
      <c r="E147">
        <v>45000</v>
      </c>
      <c r="F147" t="s">
        <v>6</v>
      </c>
      <c r="G147">
        <f>tblSalaries[[#This Row],[clean Salary (in local currency)]]*VLOOKUP(tblSalaries[[#This Row],[Currency]],tblXrate[],2,FALSE)</f>
        <v>45000</v>
      </c>
      <c r="H147" t="s">
        <v>214</v>
      </c>
      <c r="I147" t="s">
        <v>20</v>
      </c>
      <c r="J147" t="s">
        <v>15</v>
      </c>
      <c r="K147" t="str">
        <f>VLOOKUP(tblSalaries[[#This Row],[Where do you work]],tblCountries[[Actual]:[Mapping]],2,FALSE)</f>
        <v>USA</v>
      </c>
      <c r="L147" t="s">
        <v>18</v>
      </c>
      <c r="N147" s="8" t="str">
        <f>VLOOKUP(K147,tblCountries[],3,0)</f>
        <v>North Amer.</v>
      </c>
      <c r="O147" s="8">
        <f>VLOOKUP(tblSalaries[[#This Row],[How many hours of a day you work on Excel]],tblHours,2,0)</f>
        <v>3</v>
      </c>
      <c r="P147" s="8">
        <f>VLOOKUP(tblSalaries[[#This Row],[clean Country]],tblCountries[],5,0)</f>
        <v>1</v>
      </c>
      <c r="Q147" s="8">
        <f>IF($Q$1,tblSalaries[[#This Row],[PPP Factor]]*tblSalaries[[#This Row],[Salary in USD]],tblSalaries[[#This Row],[Salary in USD]])</f>
        <v>45000</v>
      </c>
    </row>
    <row r="148" spans="2:17" ht="15" customHeight="1" x14ac:dyDescent="0.25">
      <c r="B148" t="s">
        <v>2151</v>
      </c>
      <c r="C148" s="1">
        <v>41055.030729166669</v>
      </c>
      <c r="D148" s="4">
        <v>92000</v>
      </c>
      <c r="E148">
        <v>92000</v>
      </c>
      <c r="F148" t="s">
        <v>6</v>
      </c>
      <c r="G148">
        <f>tblSalaries[[#This Row],[clean Salary (in local currency)]]*VLOOKUP(tblSalaries[[#This Row],[Currency]],tblXrate[],2,FALSE)</f>
        <v>92000</v>
      </c>
      <c r="H148" t="s">
        <v>215</v>
      </c>
      <c r="I148" t="s">
        <v>20</v>
      </c>
      <c r="J148" t="s">
        <v>15</v>
      </c>
      <c r="K148" t="str">
        <f>VLOOKUP(tblSalaries[[#This Row],[Where do you work]],tblCountries[[Actual]:[Mapping]],2,FALSE)</f>
        <v>USA</v>
      </c>
      <c r="L148" t="s">
        <v>9</v>
      </c>
      <c r="N148" s="8" t="str">
        <f>VLOOKUP(K148,tblCountries[],3,0)</f>
        <v>North Amer.</v>
      </c>
      <c r="O148" s="8">
        <f>VLOOKUP(tblSalaries[[#This Row],[How many hours of a day you work on Excel]],tblHours,2,0)</f>
        <v>4</v>
      </c>
      <c r="P148" s="8">
        <f>VLOOKUP(tblSalaries[[#This Row],[clean Country]],tblCountries[],5,0)</f>
        <v>1</v>
      </c>
      <c r="Q148" s="8">
        <f>IF($Q$1,tblSalaries[[#This Row],[PPP Factor]]*tblSalaries[[#This Row],[Salary in USD]],tblSalaries[[#This Row],[Salary in USD]])</f>
        <v>92000</v>
      </c>
    </row>
    <row r="149" spans="2:17" ht="15" customHeight="1" x14ac:dyDescent="0.25">
      <c r="B149" t="s">
        <v>2152</v>
      </c>
      <c r="C149" s="1">
        <v>41055.030763888892</v>
      </c>
      <c r="D149" s="4">
        <v>88000</v>
      </c>
      <c r="E149">
        <v>88000</v>
      </c>
      <c r="F149" t="s">
        <v>6</v>
      </c>
      <c r="G149">
        <f>tblSalaries[[#This Row],[clean Salary (in local currency)]]*VLOOKUP(tblSalaries[[#This Row],[Currency]],tblXrate[],2,FALSE)</f>
        <v>88000</v>
      </c>
      <c r="H149" t="s">
        <v>216</v>
      </c>
      <c r="I149" t="s">
        <v>52</v>
      </c>
      <c r="J149" t="s">
        <v>15</v>
      </c>
      <c r="K149" t="str">
        <f>VLOOKUP(tblSalaries[[#This Row],[Where do you work]],tblCountries[[Actual]:[Mapping]],2,FALSE)</f>
        <v>USA</v>
      </c>
      <c r="L149" t="s">
        <v>9</v>
      </c>
      <c r="N149" s="8" t="str">
        <f>VLOOKUP(K149,tblCountries[],3,0)</f>
        <v>North Amer.</v>
      </c>
      <c r="O149" s="8">
        <f>VLOOKUP(tblSalaries[[#This Row],[How many hours of a day you work on Excel]],tblHours,2,0)</f>
        <v>4</v>
      </c>
      <c r="P149" s="8">
        <f>VLOOKUP(tblSalaries[[#This Row],[clean Country]],tblCountries[],5,0)</f>
        <v>1</v>
      </c>
      <c r="Q149" s="8">
        <f>IF($Q$1,tblSalaries[[#This Row],[PPP Factor]]*tblSalaries[[#This Row],[Salary in USD]],tblSalaries[[#This Row],[Salary in USD]])</f>
        <v>88000</v>
      </c>
    </row>
    <row r="150" spans="2:17" ht="15" customHeight="1" x14ac:dyDescent="0.25">
      <c r="B150" t="s">
        <v>2153</v>
      </c>
      <c r="C150" s="1">
        <v>41055.030787037038</v>
      </c>
      <c r="D150" s="4">
        <v>80000</v>
      </c>
      <c r="E150">
        <v>80000</v>
      </c>
      <c r="F150" t="s">
        <v>6</v>
      </c>
      <c r="G150">
        <f>tblSalaries[[#This Row],[clean Salary (in local currency)]]*VLOOKUP(tblSalaries[[#This Row],[Currency]],tblXrate[],2,FALSE)</f>
        <v>80000</v>
      </c>
      <c r="H150" t="s">
        <v>217</v>
      </c>
      <c r="I150" t="s">
        <v>20</v>
      </c>
      <c r="J150" t="s">
        <v>15</v>
      </c>
      <c r="K150" t="str">
        <f>VLOOKUP(tblSalaries[[#This Row],[Where do you work]],tblCountries[[Actual]:[Mapping]],2,FALSE)</f>
        <v>USA</v>
      </c>
      <c r="L150" t="s">
        <v>18</v>
      </c>
      <c r="N150" s="8" t="str">
        <f>VLOOKUP(K150,tblCountries[],3,0)</f>
        <v>North Amer.</v>
      </c>
      <c r="O150" s="8">
        <f>VLOOKUP(tblSalaries[[#This Row],[How many hours of a day you work on Excel]],tblHours,2,0)</f>
        <v>3</v>
      </c>
      <c r="P150" s="8">
        <f>VLOOKUP(tblSalaries[[#This Row],[clean Country]],tblCountries[],5,0)</f>
        <v>1</v>
      </c>
      <c r="Q150" s="8">
        <f>IF($Q$1,tblSalaries[[#This Row],[PPP Factor]]*tblSalaries[[#This Row],[Salary in USD]],tblSalaries[[#This Row],[Salary in USD]])</f>
        <v>80000</v>
      </c>
    </row>
    <row r="151" spans="2:17" ht="15" customHeight="1" x14ac:dyDescent="0.25">
      <c r="B151" t="s">
        <v>2154</v>
      </c>
      <c r="C151" s="1">
        <v>41055.030810185184</v>
      </c>
      <c r="D151" s="4">
        <v>69000</v>
      </c>
      <c r="E151">
        <v>69000</v>
      </c>
      <c r="F151" t="s">
        <v>6</v>
      </c>
      <c r="G151">
        <f>tblSalaries[[#This Row],[clean Salary (in local currency)]]*VLOOKUP(tblSalaries[[#This Row],[Currency]],tblXrate[],2,FALSE)</f>
        <v>69000</v>
      </c>
      <c r="H151" t="s">
        <v>218</v>
      </c>
      <c r="I151" t="s">
        <v>356</v>
      </c>
      <c r="J151" t="s">
        <v>15</v>
      </c>
      <c r="K151" t="str">
        <f>VLOOKUP(tblSalaries[[#This Row],[Where do you work]],tblCountries[[Actual]:[Mapping]],2,FALSE)</f>
        <v>USA</v>
      </c>
      <c r="L151" t="s">
        <v>9</v>
      </c>
      <c r="N151" s="8" t="str">
        <f>VLOOKUP(K151,tblCountries[],3,0)</f>
        <v>North Amer.</v>
      </c>
      <c r="O151" s="8">
        <f>VLOOKUP(tblSalaries[[#This Row],[How many hours of a day you work on Excel]],tblHours,2,0)</f>
        <v>4</v>
      </c>
      <c r="P151" s="8">
        <f>VLOOKUP(tblSalaries[[#This Row],[clean Country]],tblCountries[],5,0)</f>
        <v>1</v>
      </c>
      <c r="Q151" s="8">
        <f>IF($Q$1,tblSalaries[[#This Row],[PPP Factor]]*tblSalaries[[#This Row],[Salary in USD]],tblSalaries[[#This Row],[Salary in USD]])</f>
        <v>69000</v>
      </c>
    </row>
    <row r="152" spans="2:17" ht="15" customHeight="1" x14ac:dyDescent="0.25">
      <c r="B152" t="s">
        <v>2155</v>
      </c>
      <c r="C152" s="1">
        <v>41055.030821759261</v>
      </c>
      <c r="D152" s="4">
        <v>50000</v>
      </c>
      <c r="E152">
        <v>50000</v>
      </c>
      <c r="F152" t="s">
        <v>6</v>
      </c>
      <c r="G152">
        <f>tblSalaries[[#This Row],[clean Salary (in local currency)]]*VLOOKUP(tblSalaries[[#This Row],[Currency]],tblXrate[],2,FALSE)</f>
        <v>50000</v>
      </c>
      <c r="H152" t="s">
        <v>219</v>
      </c>
      <c r="I152" t="s">
        <v>20</v>
      </c>
      <c r="J152" t="s">
        <v>166</v>
      </c>
      <c r="K152" t="str">
        <f>VLOOKUP(tblSalaries[[#This Row],[Where do you work]],tblCountries[[Actual]:[Mapping]],2,FALSE)</f>
        <v>Mexico</v>
      </c>
      <c r="L152" t="s">
        <v>13</v>
      </c>
      <c r="N152" s="8" t="str">
        <f>VLOOKUP(K152,tblCountries[],3,0)</f>
        <v>North Amer.</v>
      </c>
      <c r="O152" s="8">
        <f>VLOOKUP(tblSalaries[[#This Row],[How many hours of a day you work on Excel]],tblHours,2,0)</f>
        <v>5</v>
      </c>
      <c r="P152" s="8">
        <f>VLOOKUP(tblSalaries[[#This Row],[clean Country]],tblCountries[],5,0)</f>
        <v>3.3119096509240245</v>
      </c>
      <c r="Q152" s="8">
        <f>IF($Q$1,tblSalaries[[#This Row],[PPP Factor]]*tblSalaries[[#This Row],[Salary in USD]],tblSalaries[[#This Row],[Salary in USD]])</f>
        <v>50000</v>
      </c>
    </row>
    <row r="153" spans="2:17" ht="15" customHeight="1" x14ac:dyDescent="0.25">
      <c r="B153" t="s">
        <v>2156</v>
      </c>
      <c r="C153" s="1">
        <v>41055.031018518515</v>
      </c>
      <c r="D153" s="4">
        <v>35000</v>
      </c>
      <c r="E153">
        <v>35000</v>
      </c>
      <c r="F153" t="s">
        <v>6</v>
      </c>
      <c r="G153">
        <f>tblSalaries[[#This Row],[clean Salary (in local currency)]]*VLOOKUP(tblSalaries[[#This Row],[Currency]],tblXrate[],2,FALSE)</f>
        <v>35000</v>
      </c>
      <c r="H153" t="s">
        <v>220</v>
      </c>
      <c r="I153" t="s">
        <v>52</v>
      </c>
      <c r="J153" t="s">
        <v>15</v>
      </c>
      <c r="K153" t="str">
        <f>VLOOKUP(tblSalaries[[#This Row],[Where do you work]],tblCountries[[Actual]:[Mapping]],2,FALSE)</f>
        <v>USA</v>
      </c>
      <c r="L153" t="s">
        <v>18</v>
      </c>
      <c r="N153" s="8" t="str">
        <f>VLOOKUP(K153,tblCountries[],3,0)</f>
        <v>North Amer.</v>
      </c>
      <c r="O153" s="8">
        <f>VLOOKUP(tblSalaries[[#This Row],[How many hours of a day you work on Excel]],tblHours,2,0)</f>
        <v>3</v>
      </c>
      <c r="P153" s="8">
        <f>VLOOKUP(tblSalaries[[#This Row],[clean Country]],tblCountries[],5,0)</f>
        <v>1</v>
      </c>
      <c r="Q153" s="8">
        <f>IF($Q$1,tblSalaries[[#This Row],[PPP Factor]]*tblSalaries[[#This Row],[Salary in USD]],tblSalaries[[#This Row],[Salary in USD]])</f>
        <v>35000</v>
      </c>
    </row>
    <row r="154" spans="2:17" ht="15" customHeight="1" x14ac:dyDescent="0.25">
      <c r="B154" t="s">
        <v>2157</v>
      </c>
      <c r="C154" s="1">
        <v>41055.031238425923</v>
      </c>
      <c r="D154" s="4">
        <v>96000</v>
      </c>
      <c r="E154">
        <v>96000</v>
      </c>
      <c r="F154" t="s">
        <v>6</v>
      </c>
      <c r="G154">
        <f>tblSalaries[[#This Row],[clean Salary (in local currency)]]*VLOOKUP(tblSalaries[[#This Row],[Currency]],tblXrate[],2,FALSE)</f>
        <v>96000</v>
      </c>
      <c r="H154" t="s">
        <v>221</v>
      </c>
      <c r="I154" t="s">
        <v>20</v>
      </c>
      <c r="J154" t="s">
        <v>15</v>
      </c>
      <c r="K154" t="str">
        <f>VLOOKUP(tblSalaries[[#This Row],[Where do you work]],tblCountries[[Actual]:[Mapping]],2,FALSE)</f>
        <v>USA</v>
      </c>
      <c r="L154" t="s">
        <v>9</v>
      </c>
      <c r="N154" s="8" t="str">
        <f>VLOOKUP(K154,tblCountries[],3,0)</f>
        <v>North Amer.</v>
      </c>
      <c r="O154" s="8">
        <f>VLOOKUP(tblSalaries[[#This Row],[How many hours of a day you work on Excel]],tblHours,2,0)</f>
        <v>4</v>
      </c>
      <c r="P154" s="8">
        <f>VLOOKUP(tblSalaries[[#This Row],[clean Country]],tblCountries[],5,0)</f>
        <v>1</v>
      </c>
      <c r="Q154" s="8">
        <f>IF($Q$1,tblSalaries[[#This Row],[PPP Factor]]*tblSalaries[[#This Row],[Salary in USD]],tblSalaries[[#This Row],[Salary in USD]])</f>
        <v>96000</v>
      </c>
    </row>
    <row r="155" spans="2:17" ht="15" customHeight="1" x14ac:dyDescent="0.25">
      <c r="B155" t="s">
        <v>2158</v>
      </c>
      <c r="C155" s="1">
        <v>41055.03125</v>
      </c>
      <c r="D155" s="4">
        <v>65000</v>
      </c>
      <c r="E155">
        <v>65000</v>
      </c>
      <c r="F155" t="s">
        <v>6</v>
      </c>
      <c r="G155">
        <f>tblSalaries[[#This Row],[clean Salary (in local currency)]]*VLOOKUP(tblSalaries[[#This Row],[Currency]],tblXrate[],2,FALSE)</f>
        <v>65000</v>
      </c>
      <c r="H155" t="s">
        <v>222</v>
      </c>
      <c r="I155" t="s">
        <v>310</v>
      </c>
      <c r="J155" t="s">
        <v>15</v>
      </c>
      <c r="K155" t="str">
        <f>VLOOKUP(tblSalaries[[#This Row],[Where do you work]],tblCountries[[Actual]:[Mapping]],2,FALSE)</f>
        <v>USA</v>
      </c>
      <c r="L155" t="s">
        <v>13</v>
      </c>
      <c r="N155" s="8" t="str">
        <f>VLOOKUP(K155,tblCountries[],3,0)</f>
        <v>North Amer.</v>
      </c>
      <c r="O155" s="8">
        <f>VLOOKUP(tblSalaries[[#This Row],[How many hours of a day you work on Excel]],tblHours,2,0)</f>
        <v>5</v>
      </c>
      <c r="P155" s="8">
        <f>VLOOKUP(tblSalaries[[#This Row],[clean Country]],tblCountries[],5,0)</f>
        <v>1</v>
      </c>
      <c r="Q155" s="8">
        <f>IF($Q$1,tblSalaries[[#This Row],[PPP Factor]]*tblSalaries[[#This Row],[Salary in USD]],tblSalaries[[#This Row],[Salary in USD]])</f>
        <v>65000</v>
      </c>
    </row>
    <row r="156" spans="2:17" ht="15" customHeight="1" x14ac:dyDescent="0.25">
      <c r="B156" t="s">
        <v>2159</v>
      </c>
      <c r="C156" s="1">
        <v>41055.031319444446</v>
      </c>
      <c r="D156" s="4">
        <v>37440</v>
      </c>
      <c r="E156">
        <v>37440</v>
      </c>
      <c r="F156" t="s">
        <v>6</v>
      </c>
      <c r="G156">
        <f>tblSalaries[[#This Row],[clean Salary (in local currency)]]*VLOOKUP(tblSalaries[[#This Row],[Currency]],tblXrate[],2,FALSE)</f>
        <v>37440</v>
      </c>
      <c r="H156" t="s">
        <v>121</v>
      </c>
      <c r="I156" t="s">
        <v>20</v>
      </c>
      <c r="J156" t="s">
        <v>15</v>
      </c>
      <c r="K156" t="str">
        <f>VLOOKUP(tblSalaries[[#This Row],[Where do you work]],tblCountries[[Actual]:[Mapping]],2,FALSE)</f>
        <v>USA</v>
      </c>
      <c r="L156" t="s">
        <v>13</v>
      </c>
      <c r="N156" s="8" t="str">
        <f>VLOOKUP(K156,tblCountries[],3,0)</f>
        <v>North Amer.</v>
      </c>
      <c r="O156" s="8">
        <f>VLOOKUP(tblSalaries[[#This Row],[How many hours of a day you work on Excel]],tblHours,2,0)</f>
        <v>5</v>
      </c>
      <c r="P156" s="8">
        <f>VLOOKUP(tblSalaries[[#This Row],[clean Country]],tblCountries[],5,0)</f>
        <v>1</v>
      </c>
      <c r="Q156" s="8">
        <f>IF($Q$1,tblSalaries[[#This Row],[PPP Factor]]*tblSalaries[[#This Row],[Salary in USD]],tblSalaries[[#This Row],[Salary in USD]])</f>
        <v>37440</v>
      </c>
    </row>
    <row r="157" spans="2:17" ht="15" customHeight="1" x14ac:dyDescent="0.25">
      <c r="B157" t="s">
        <v>2160</v>
      </c>
      <c r="C157" s="1">
        <v>41055.031377314815</v>
      </c>
      <c r="D157" s="4">
        <v>15500</v>
      </c>
      <c r="E157">
        <v>15500</v>
      </c>
      <c r="F157" t="s">
        <v>6</v>
      </c>
      <c r="G157">
        <f>tblSalaries[[#This Row],[clean Salary (in local currency)]]*VLOOKUP(tblSalaries[[#This Row],[Currency]],tblXrate[],2,FALSE)</f>
        <v>15500</v>
      </c>
      <c r="H157" t="s">
        <v>223</v>
      </c>
      <c r="I157" t="s">
        <v>310</v>
      </c>
      <c r="J157" t="s">
        <v>166</v>
      </c>
      <c r="K157" t="str">
        <f>VLOOKUP(tblSalaries[[#This Row],[Where do you work]],tblCountries[[Actual]:[Mapping]],2,FALSE)</f>
        <v>Mexico</v>
      </c>
      <c r="L157" t="s">
        <v>13</v>
      </c>
      <c r="N157" s="8" t="str">
        <f>VLOOKUP(K157,tblCountries[],3,0)</f>
        <v>North Amer.</v>
      </c>
      <c r="O157" s="8">
        <f>VLOOKUP(tblSalaries[[#This Row],[How many hours of a day you work on Excel]],tblHours,2,0)</f>
        <v>5</v>
      </c>
      <c r="P157" s="8">
        <f>VLOOKUP(tblSalaries[[#This Row],[clean Country]],tblCountries[],5,0)</f>
        <v>3.3119096509240245</v>
      </c>
      <c r="Q157" s="8">
        <f>IF($Q$1,tblSalaries[[#This Row],[PPP Factor]]*tblSalaries[[#This Row],[Salary in USD]],tblSalaries[[#This Row],[Salary in USD]])</f>
        <v>15500</v>
      </c>
    </row>
    <row r="158" spans="2:17" ht="15" customHeight="1" x14ac:dyDescent="0.25">
      <c r="B158" t="s">
        <v>2161</v>
      </c>
      <c r="C158" s="1">
        <v>41055.031446759262</v>
      </c>
      <c r="D158" s="4" t="s">
        <v>224</v>
      </c>
      <c r="E158">
        <v>90000</v>
      </c>
      <c r="F158" t="s">
        <v>6</v>
      </c>
      <c r="G158">
        <f>tblSalaries[[#This Row],[clean Salary (in local currency)]]*VLOOKUP(tblSalaries[[#This Row],[Currency]],tblXrate[],2,FALSE)</f>
        <v>90000</v>
      </c>
      <c r="H158" t="s">
        <v>225</v>
      </c>
      <c r="I158" t="s">
        <v>20</v>
      </c>
      <c r="J158" t="s">
        <v>15</v>
      </c>
      <c r="K158" t="str">
        <f>VLOOKUP(tblSalaries[[#This Row],[Where do you work]],tblCountries[[Actual]:[Mapping]],2,FALSE)</f>
        <v>USA</v>
      </c>
      <c r="L158" t="s">
        <v>18</v>
      </c>
      <c r="N158" s="8" t="str">
        <f>VLOOKUP(K158,tblCountries[],3,0)</f>
        <v>North Amer.</v>
      </c>
      <c r="O158" s="8">
        <f>VLOOKUP(tblSalaries[[#This Row],[How many hours of a day you work on Excel]],tblHours,2,0)</f>
        <v>3</v>
      </c>
      <c r="P158" s="8">
        <f>VLOOKUP(tblSalaries[[#This Row],[clean Country]],tblCountries[],5,0)</f>
        <v>1</v>
      </c>
      <c r="Q158" s="8">
        <f>IF($Q$1,tblSalaries[[#This Row],[PPP Factor]]*tblSalaries[[#This Row],[Salary in USD]],tblSalaries[[#This Row],[Salary in USD]])</f>
        <v>90000</v>
      </c>
    </row>
    <row r="159" spans="2:17" ht="15" customHeight="1" x14ac:dyDescent="0.25">
      <c r="B159" t="s">
        <v>2162</v>
      </c>
      <c r="C159" s="1">
        <v>41055.031782407408</v>
      </c>
      <c r="D159" s="4">
        <v>66500</v>
      </c>
      <c r="E159">
        <v>66500</v>
      </c>
      <c r="F159" t="s">
        <v>6</v>
      </c>
      <c r="G159">
        <f>tblSalaries[[#This Row],[clean Salary (in local currency)]]*VLOOKUP(tblSalaries[[#This Row],[Currency]],tblXrate[],2,FALSE)</f>
        <v>66500</v>
      </c>
      <c r="H159" t="s">
        <v>226</v>
      </c>
      <c r="I159" t="s">
        <v>20</v>
      </c>
      <c r="J159" t="s">
        <v>15</v>
      </c>
      <c r="K159" t="str">
        <f>VLOOKUP(tblSalaries[[#This Row],[Where do you work]],tblCountries[[Actual]:[Mapping]],2,FALSE)</f>
        <v>USA</v>
      </c>
      <c r="L159" t="s">
        <v>13</v>
      </c>
      <c r="N159" s="8" t="str">
        <f>VLOOKUP(K159,tblCountries[],3,0)</f>
        <v>North Amer.</v>
      </c>
      <c r="O159" s="8">
        <f>VLOOKUP(tblSalaries[[#This Row],[How many hours of a day you work on Excel]],tblHours,2,0)</f>
        <v>5</v>
      </c>
      <c r="P159" s="8">
        <f>VLOOKUP(tblSalaries[[#This Row],[clean Country]],tblCountries[],5,0)</f>
        <v>1</v>
      </c>
      <c r="Q159" s="8">
        <f>IF($Q$1,tblSalaries[[#This Row],[PPP Factor]]*tblSalaries[[#This Row],[Salary in USD]],tblSalaries[[#This Row],[Salary in USD]])</f>
        <v>66500</v>
      </c>
    </row>
    <row r="160" spans="2:17" ht="15" customHeight="1" x14ac:dyDescent="0.25">
      <c r="B160" t="s">
        <v>2163</v>
      </c>
      <c r="C160" s="1">
        <v>41055.031817129631</v>
      </c>
      <c r="D160" s="4">
        <v>100000</v>
      </c>
      <c r="E160">
        <v>100000</v>
      </c>
      <c r="F160" t="s">
        <v>6</v>
      </c>
      <c r="G160">
        <f>tblSalaries[[#This Row],[clean Salary (in local currency)]]*VLOOKUP(tblSalaries[[#This Row],[Currency]],tblXrate[],2,FALSE)</f>
        <v>100000</v>
      </c>
      <c r="H160" t="s">
        <v>227</v>
      </c>
      <c r="I160" t="s">
        <v>310</v>
      </c>
      <c r="J160" t="s">
        <v>15</v>
      </c>
      <c r="K160" t="str">
        <f>VLOOKUP(tblSalaries[[#This Row],[Where do you work]],tblCountries[[Actual]:[Mapping]],2,FALSE)</f>
        <v>USA</v>
      </c>
      <c r="L160" t="s">
        <v>13</v>
      </c>
      <c r="N160" s="8" t="str">
        <f>VLOOKUP(K160,tblCountries[],3,0)</f>
        <v>North Amer.</v>
      </c>
      <c r="O160" s="8">
        <f>VLOOKUP(tblSalaries[[#This Row],[How many hours of a day you work on Excel]],tblHours,2,0)</f>
        <v>5</v>
      </c>
      <c r="P160" s="8">
        <f>VLOOKUP(tblSalaries[[#This Row],[clean Country]],tblCountries[],5,0)</f>
        <v>1</v>
      </c>
      <c r="Q160" s="8">
        <f>IF($Q$1,tblSalaries[[#This Row],[PPP Factor]]*tblSalaries[[#This Row],[Salary in USD]],tblSalaries[[#This Row],[Salary in USD]])</f>
        <v>100000</v>
      </c>
    </row>
    <row r="161" spans="2:17" ht="15" customHeight="1" x14ac:dyDescent="0.25">
      <c r="B161" t="s">
        <v>2164</v>
      </c>
      <c r="C161" s="1">
        <v>41055.031840277778</v>
      </c>
      <c r="D161" s="4" t="s">
        <v>228</v>
      </c>
      <c r="E161">
        <v>32250</v>
      </c>
      <c r="F161" t="s">
        <v>69</v>
      </c>
      <c r="G161">
        <f>tblSalaries[[#This Row],[clean Salary (in local currency)]]*VLOOKUP(tblSalaries[[#This Row],[Currency]],tblXrate[],2,FALSE)</f>
        <v>50831.74927416991</v>
      </c>
      <c r="H161" t="s">
        <v>229</v>
      </c>
      <c r="I161" t="s">
        <v>52</v>
      </c>
      <c r="J161" t="s">
        <v>71</v>
      </c>
      <c r="K161" t="str">
        <f>VLOOKUP(tblSalaries[[#This Row],[Where do you work]],tblCountries[[Actual]:[Mapping]],2,FALSE)</f>
        <v>UK</v>
      </c>
      <c r="L161" t="s">
        <v>9</v>
      </c>
      <c r="N161" s="8" t="str">
        <f>VLOOKUP(K161,tblCountries[],3,0)</f>
        <v>Europe</v>
      </c>
      <c r="O161" s="8">
        <f>VLOOKUP(tblSalaries[[#This Row],[How many hours of a day you work on Excel]],tblHours,2,0)</f>
        <v>4</v>
      </c>
      <c r="P161" s="8">
        <f>VLOOKUP(tblSalaries[[#This Row],[clean Country]],tblCountries[],5,0)</f>
        <v>1.3407315045719035</v>
      </c>
      <c r="Q161" s="8">
        <f>IF($Q$1,tblSalaries[[#This Row],[PPP Factor]]*tblSalaries[[#This Row],[Salary in USD]],tblSalaries[[#This Row],[Salary in USD]])</f>
        <v>50831.74927416991</v>
      </c>
    </row>
    <row r="162" spans="2:17" ht="15" customHeight="1" x14ac:dyDescent="0.25">
      <c r="B162" t="s">
        <v>2165</v>
      </c>
      <c r="C162" s="1">
        <v>41055.031863425924</v>
      </c>
      <c r="D162" s="4">
        <v>420000</v>
      </c>
      <c r="E162">
        <v>420000</v>
      </c>
      <c r="F162" t="s">
        <v>40</v>
      </c>
      <c r="G162">
        <f>tblSalaries[[#This Row],[clean Salary (in local currency)]]*VLOOKUP(tblSalaries[[#This Row],[Currency]],tblXrate[],2,FALSE)</f>
        <v>7479.3250087258784</v>
      </c>
      <c r="H162" t="s">
        <v>230</v>
      </c>
      <c r="I162" t="s">
        <v>52</v>
      </c>
      <c r="J162" t="s">
        <v>8</v>
      </c>
      <c r="K162" t="str">
        <f>VLOOKUP(tblSalaries[[#This Row],[Where do you work]],tblCountries[[Actual]:[Mapping]],2,FALSE)</f>
        <v>India</v>
      </c>
      <c r="L162" t="s">
        <v>25</v>
      </c>
      <c r="N162" s="8" t="str">
        <f>VLOOKUP(K162,tblCountries[],3,0)</f>
        <v>Asia</v>
      </c>
      <c r="O162" s="8">
        <f>VLOOKUP(tblSalaries[[#This Row],[How many hours of a day you work on Excel]],tblHours,2,0)</f>
        <v>2</v>
      </c>
      <c r="P162" s="8">
        <f>VLOOKUP(tblSalaries[[#This Row],[clean Country]],tblCountries[],5,0)</f>
        <v>13.098808879263672</v>
      </c>
      <c r="Q162" s="8">
        <f>IF($Q$1,tblSalaries[[#This Row],[PPP Factor]]*tblSalaries[[#This Row],[Salary in USD]],tblSalaries[[#This Row],[Salary in USD]])</f>
        <v>7479.3250087258784</v>
      </c>
    </row>
    <row r="163" spans="2:17" ht="15" customHeight="1" x14ac:dyDescent="0.25">
      <c r="B163" t="s">
        <v>2166</v>
      </c>
      <c r="C163" s="1">
        <v>41055.031944444447</v>
      </c>
      <c r="D163" s="4">
        <v>75000</v>
      </c>
      <c r="E163">
        <v>75000</v>
      </c>
      <c r="F163" t="s">
        <v>6</v>
      </c>
      <c r="G163">
        <f>tblSalaries[[#This Row],[clean Salary (in local currency)]]*VLOOKUP(tblSalaries[[#This Row],[Currency]],tblXrate[],2,FALSE)</f>
        <v>75000</v>
      </c>
      <c r="H163" t="s">
        <v>231</v>
      </c>
      <c r="I163" t="s">
        <v>20</v>
      </c>
      <c r="J163" t="s">
        <v>15</v>
      </c>
      <c r="K163" t="str">
        <f>VLOOKUP(tblSalaries[[#This Row],[Where do you work]],tblCountries[[Actual]:[Mapping]],2,FALSE)</f>
        <v>USA</v>
      </c>
      <c r="L163" t="s">
        <v>25</v>
      </c>
      <c r="N163" s="8" t="str">
        <f>VLOOKUP(K163,tblCountries[],3,0)</f>
        <v>North Amer.</v>
      </c>
      <c r="O163" s="8">
        <f>VLOOKUP(tblSalaries[[#This Row],[How many hours of a day you work on Excel]],tblHours,2,0)</f>
        <v>2</v>
      </c>
      <c r="P163" s="8">
        <f>VLOOKUP(tblSalaries[[#This Row],[clean Country]],tblCountries[],5,0)</f>
        <v>1</v>
      </c>
      <c r="Q163" s="8">
        <f>IF($Q$1,tblSalaries[[#This Row],[PPP Factor]]*tblSalaries[[#This Row],[Salary in USD]],tblSalaries[[#This Row],[Salary in USD]])</f>
        <v>75000</v>
      </c>
    </row>
    <row r="164" spans="2:17" ht="15" customHeight="1" x14ac:dyDescent="0.25">
      <c r="B164" t="s">
        <v>2167</v>
      </c>
      <c r="C164" s="1">
        <v>41055.032233796293</v>
      </c>
      <c r="D164" s="4">
        <v>58</v>
      </c>
      <c r="E164">
        <v>58000</v>
      </c>
      <c r="F164" t="s">
        <v>6</v>
      </c>
      <c r="G164">
        <f>tblSalaries[[#This Row],[clean Salary (in local currency)]]*VLOOKUP(tblSalaries[[#This Row],[Currency]],tblXrate[],2,FALSE)</f>
        <v>58000</v>
      </c>
      <c r="H164" t="s">
        <v>232</v>
      </c>
      <c r="I164" t="s">
        <v>52</v>
      </c>
      <c r="J164" t="s">
        <v>88</v>
      </c>
      <c r="K164" t="str">
        <f>VLOOKUP(tblSalaries[[#This Row],[Where do you work]],tblCountries[[Actual]:[Mapping]],2,FALSE)</f>
        <v>Canada</v>
      </c>
      <c r="L164" t="s">
        <v>25</v>
      </c>
      <c r="N164" s="8" t="str">
        <f>VLOOKUP(K164,tblCountries[],3,0)</f>
        <v>North Amer.</v>
      </c>
      <c r="O164" s="8">
        <f>VLOOKUP(tblSalaries[[#This Row],[How many hours of a day you work on Excel]],tblHours,2,0)</f>
        <v>2</v>
      </c>
      <c r="P164" s="8">
        <f>VLOOKUP(tblSalaries[[#This Row],[clean Country]],tblCountries[],5,0)</f>
        <v>1.1935324732986359</v>
      </c>
      <c r="Q164" s="8">
        <f>IF($Q$1,tblSalaries[[#This Row],[PPP Factor]]*tblSalaries[[#This Row],[Salary in USD]],tblSalaries[[#This Row],[Salary in USD]])</f>
        <v>58000</v>
      </c>
    </row>
    <row r="165" spans="2:17" ht="15" customHeight="1" x14ac:dyDescent="0.25">
      <c r="B165" t="s">
        <v>2168</v>
      </c>
      <c r="C165" s="1">
        <v>41055.032280092593</v>
      </c>
      <c r="D165" s="4">
        <v>55000</v>
      </c>
      <c r="E165">
        <v>55000</v>
      </c>
      <c r="F165" t="s">
        <v>6</v>
      </c>
      <c r="G165">
        <f>tblSalaries[[#This Row],[clean Salary (in local currency)]]*VLOOKUP(tblSalaries[[#This Row],[Currency]],tblXrate[],2,FALSE)</f>
        <v>55000</v>
      </c>
      <c r="H165" t="s">
        <v>233</v>
      </c>
      <c r="I165" t="s">
        <v>52</v>
      </c>
      <c r="J165" t="s">
        <v>15</v>
      </c>
      <c r="K165" t="str">
        <f>VLOOKUP(tblSalaries[[#This Row],[Where do you work]],tblCountries[[Actual]:[Mapping]],2,FALSE)</f>
        <v>USA</v>
      </c>
      <c r="L165" t="s">
        <v>18</v>
      </c>
      <c r="N165" s="8" t="str">
        <f>VLOOKUP(K165,tblCountries[],3,0)</f>
        <v>North Amer.</v>
      </c>
      <c r="O165" s="8">
        <f>VLOOKUP(tblSalaries[[#This Row],[How many hours of a day you work on Excel]],tblHours,2,0)</f>
        <v>3</v>
      </c>
      <c r="P165" s="8">
        <f>VLOOKUP(tblSalaries[[#This Row],[clean Country]],tblCountries[],5,0)</f>
        <v>1</v>
      </c>
      <c r="Q165" s="8">
        <f>IF($Q$1,tblSalaries[[#This Row],[PPP Factor]]*tblSalaries[[#This Row],[Salary in USD]],tblSalaries[[#This Row],[Salary in USD]])</f>
        <v>55000</v>
      </c>
    </row>
    <row r="166" spans="2:17" ht="15" customHeight="1" x14ac:dyDescent="0.25">
      <c r="B166" t="s">
        <v>2169</v>
      </c>
      <c r="C166" s="1">
        <v>41055.033125000002</v>
      </c>
      <c r="D166" s="4">
        <v>60000</v>
      </c>
      <c r="E166">
        <v>60000</v>
      </c>
      <c r="F166" t="s">
        <v>6</v>
      </c>
      <c r="G166">
        <f>tblSalaries[[#This Row],[clean Salary (in local currency)]]*VLOOKUP(tblSalaries[[#This Row],[Currency]],tblXrate[],2,FALSE)</f>
        <v>60000</v>
      </c>
      <c r="H166" t="s">
        <v>234</v>
      </c>
      <c r="I166" t="s">
        <v>20</v>
      </c>
      <c r="J166" t="s">
        <v>15</v>
      </c>
      <c r="K166" t="str">
        <f>VLOOKUP(tblSalaries[[#This Row],[Where do you work]],tblCountries[[Actual]:[Mapping]],2,FALSE)</f>
        <v>USA</v>
      </c>
      <c r="L166" t="s">
        <v>9</v>
      </c>
      <c r="N166" s="8" t="str">
        <f>VLOOKUP(K166,tblCountries[],3,0)</f>
        <v>North Amer.</v>
      </c>
      <c r="O166" s="8">
        <f>VLOOKUP(tblSalaries[[#This Row],[How many hours of a day you work on Excel]],tblHours,2,0)</f>
        <v>4</v>
      </c>
      <c r="P166" s="8">
        <f>VLOOKUP(tblSalaries[[#This Row],[clean Country]],tblCountries[],5,0)</f>
        <v>1</v>
      </c>
      <c r="Q166" s="8">
        <f>IF($Q$1,tblSalaries[[#This Row],[PPP Factor]]*tblSalaries[[#This Row],[Salary in USD]],tblSalaries[[#This Row],[Salary in USD]])</f>
        <v>60000</v>
      </c>
    </row>
    <row r="167" spans="2:17" ht="15" customHeight="1" x14ac:dyDescent="0.25">
      <c r="B167" t="s">
        <v>2170</v>
      </c>
      <c r="C167" s="1">
        <v>41055.033159722225</v>
      </c>
      <c r="D167" s="4" t="s">
        <v>235</v>
      </c>
      <c r="E167">
        <v>1300000</v>
      </c>
      <c r="F167" t="s">
        <v>40</v>
      </c>
      <c r="G167">
        <f>tblSalaries[[#This Row],[clean Salary (in local currency)]]*VLOOKUP(tblSalaries[[#This Row],[Currency]],tblXrate[],2,FALSE)</f>
        <v>23150.291693675339</v>
      </c>
      <c r="H167" t="s">
        <v>52</v>
      </c>
      <c r="I167" t="s">
        <v>52</v>
      </c>
      <c r="J167" t="s">
        <v>8</v>
      </c>
      <c r="K167" t="str">
        <f>VLOOKUP(tblSalaries[[#This Row],[Where do you work]],tblCountries[[Actual]:[Mapping]],2,FALSE)</f>
        <v>India</v>
      </c>
      <c r="L167" t="s">
        <v>9</v>
      </c>
      <c r="N167" s="8" t="str">
        <f>VLOOKUP(K167,tblCountries[],3,0)</f>
        <v>Asia</v>
      </c>
      <c r="O167" s="8">
        <f>VLOOKUP(tblSalaries[[#This Row],[How many hours of a day you work on Excel]],tblHours,2,0)</f>
        <v>4</v>
      </c>
      <c r="P167" s="8">
        <f>VLOOKUP(tblSalaries[[#This Row],[clean Country]],tblCountries[],5,0)</f>
        <v>13.098808879263672</v>
      </c>
      <c r="Q167" s="8">
        <f>IF($Q$1,tblSalaries[[#This Row],[PPP Factor]]*tblSalaries[[#This Row],[Salary in USD]],tblSalaries[[#This Row],[Salary in USD]])</f>
        <v>23150.291693675339</v>
      </c>
    </row>
    <row r="168" spans="2:17" ht="15" customHeight="1" x14ac:dyDescent="0.25">
      <c r="B168" t="s">
        <v>2171</v>
      </c>
      <c r="C168" s="1">
        <v>41055.033217592594</v>
      </c>
      <c r="D168" s="4">
        <v>107000</v>
      </c>
      <c r="E168">
        <v>107000</v>
      </c>
      <c r="F168" t="s">
        <v>86</v>
      </c>
      <c r="G168">
        <f>tblSalaries[[#This Row],[clean Salary (in local currency)]]*VLOOKUP(tblSalaries[[#This Row],[Currency]],tblXrate[],2,FALSE)</f>
        <v>105219.68296424497</v>
      </c>
      <c r="H168" t="s">
        <v>236</v>
      </c>
      <c r="I168" t="s">
        <v>52</v>
      </c>
      <c r="J168" t="s">
        <v>88</v>
      </c>
      <c r="K168" t="str">
        <f>VLOOKUP(tblSalaries[[#This Row],[Where do you work]],tblCountries[[Actual]:[Mapping]],2,FALSE)</f>
        <v>Canada</v>
      </c>
      <c r="L168" t="s">
        <v>18</v>
      </c>
      <c r="N168" s="8" t="str">
        <f>VLOOKUP(K168,tblCountries[],3,0)</f>
        <v>North Amer.</v>
      </c>
      <c r="O168" s="8">
        <f>VLOOKUP(tblSalaries[[#This Row],[How many hours of a day you work on Excel]],tblHours,2,0)</f>
        <v>3</v>
      </c>
      <c r="P168" s="8">
        <f>VLOOKUP(tblSalaries[[#This Row],[clean Country]],tblCountries[],5,0)</f>
        <v>1.1935324732986359</v>
      </c>
      <c r="Q168" s="8">
        <f>IF($Q$1,tblSalaries[[#This Row],[PPP Factor]]*tblSalaries[[#This Row],[Salary in USD]],tblSalaries[[#This Row],[Salary in USD]])</f>
        <v>105219.68296424497</v>
      </c>
    </row>
    <row r="169" spans="2:17" ht="15" customHeight="1" x14ac:dyDescent="0.25">
      <c r="B169" t="s">
        <v>2172</v>
      </c>
      <c r="C169" s="1">
        <v>41055.03329861111</v>
      </c>
      <c r="D169" s="4">
        <v>145000</v>
      </c>
      <c r="E169">
        <v>145000</v>
      </c>
      <c r="F169" t="s">
        <v>6</v>
      </c>
      <c r="G169">
        <f>tblSalaries[[#This Row],[clean Salary (in local currency)]]*VLOOKUP(tblSalaries[[#This Row],[Currency]],tblXrate[],2,FALSE)</f>
        <v>145000</v>
      </c>
      <c r="H169" t="s">
        <v>237</v>
      </c>
      <c r="I169" t="s">
        <v>488</v>
      </c>
      <c r="J169" t="s">
        <v>46</v>
      </c>
      <c r="K169" t="str">
        <f>VLOOKUP(tblSalaries[[#This Row],[Where do you work]],tblCountries[[Actual]:[Mapping]],2,FALSE)</f>
        <v>Switzerland</v>
      </c>
      <c r="L169" t="s">
        <v>13</v>
      </c>
      <c r="N169" s="8" t="str">
        <f>VLOOKUP(K169,tblCountries[],3,0)</f>
        <v>Europe</v>
      </c>
      <c r="O169" s="8">
        <f>VLOOKUP(tblSalaries[[#This Row],[How many hours of a day you work on Excel]],tblHours,2,0)</f>
        <v>5</v>
      </c>
      <c r="P169" s="8">
        <f>VLOOKUP(tblSalaries[[#This Row],[clean Country]],tblCountries[],5,0)</f>
        <v>1.1156790408116208</v>
      </c>
      <c r="Q169" s="8">
        <f>IF($Q$1,tblSalaries[[#This Row],[PPP Factor]]*tblSalaries[[#This Row],[Salary in USD]],tblSalaries[[#This Row],[Salary in USD]])</f>
        <v>145000</v>
      </c>
    </row>
    <row r="170" spans="2:17" ht="15" customHeight="1" x14ac:dyDescent="0.25">
      <c r="B170" t="s">
        <v>2173</v>
      </c>
      <c r="C170" s="1">
        <v>41055.033379629633</v>
      </c>
      <c r="D170" s="4">
        <v>22880</v>
      </c>
      <c r="E170">
        <v>22880</v>
      </c>
      <c r="F170" t="s">
        <v>6</v>
      </c>
      <c r="G170">
        <f>tblSalaries[[#This Row],[clean Salary (in local currency)]]*VLOOKUP(tblSalaries[[#This Row],[Currency]],tblXrate[],2,FALSE)</f>
        <v>22880</v>
      </c>
      <c r="H170" t="s">
        <v>238</v>
      </c>
      <c r="I170" t="s">
        <v>310</v>
      </c>
      <c r="J170" t="s">
        <v>15</v>
      </c>
      <c r="K170" t="str">
        <f>VLOOKUP(tblSalaries[[#This Row],[Where do you work]],tblCountries[[Actual]:[Mapping]],2,FALSE)</f>
        <v>USA</v>
      </c>
      <c r="L170" t="s">
        <v>9</v>
      </c>
      <c r="N170" s="8" t="str">
        <f>VLOOKUP(K170,tblCountries[],3,0)</f>
        <v>North Amer.</v>
      </c>
      <c r="O170" s="8">
        <f>VLOOKUP(tblSalaries[[#This Row],[How many hours of a day you work on Excel]],tblHours,2,0)</f>
        <v>4</v>
      </c>
      <c r="P170" s="8">
        <f>VLOOKUP(tblSalaries[[#This Row],[clean Country]],tblCountries[],5,0)</f>
        <v>1</v>
      </c>
      <c r="Q170" s="8">
        <f>IF($Q$1,tblSalaries[[#This Row],[PPP Factor]]*tblSalaries[[#This Row],[Salary in USD]],tblSalaries[[#This Row],[Salary in USD]])</f>
        <v>22880</v>
      </c>
    </row>
    <row r="171" spans="2:17" ht="15" customHeight="1" x14ac:dyDescent="0.25">
      <c r="B171" t="s">
        <v>2174</v>
      </c>
      <c r="C171" s="1">
        <v>41055.033414351848</v>
      </c>
      <c r="D171" s="4">
        <v>80000</v>
      </c>
      <c r="E171">
        <v>80000</v>
      </c>
      <c r="F171" t="s">
        <v>6</v>
      </c>
      <c r="G171">
        <f>tblSalaries[[#This Row],[clean Salary (in local currency)]]*VLOOKUP(tblSalaries[[#This Row],[Currency]],tblXrate[],2,FALSE)</f>
        <v>80000</v>
      </c>
      <c r="H171" t="s">
        <v>239</v>
      </c>
      <c r="I171" t="s">
        <v>356</v>
      </c>
      <c r="J171" t="s">
        <v>15</v>
      </c>
      <c r="K171" t="str">
        <f>VLOOKUP(tblSalaries[[#This Row],[Where do you work]],tblCountries[[Actual]:[Mapping]],2,FALSE)</f>
        <v>USA</v>
      </c>
      <c r="L171" t="s">
        <v>9</v>
      </c>
      <c r="N171" s="8" t="str">
        <f>VLOOKUP(K171,tblCountries[],3,0)</f>
        <v>North Amer.</v>
      </c>
      <c r="O171" s="8">
        <f>VLOOKUP(tblSalaries[[#This Row],[How many hours of a day you work on Excel]],tblHours,2,0)</f>
        <v>4</v>
      </c>
      <c r="P171" s="8">
        <f>VLOOKUP(tblSalaries[[#This Row],[clean Country]],tblCountries[],5,0)</f>
        <v>1</v>
      </c>
      <c r="Q171" s="8">
        <f>IF($Q$1,tblSalaries[[#This Row],[PPP Factor]]*tblSalaries[[#This Row],[Salary in USD]],tblSalaries[[#This Row],[Salary in USD]])</f>
        <v>80000</v>
      </c>
    </row>
    <row r="172" spans="2:17" ht="15" customHeight="1" x14ac:dyDescent="0.25">
      <c r="B172" t="s">
        <v>2175</v>
      </c>
      <c r="C172" s="1">
        <v>41055.033460648148</v>
      </c>
      <c r="D172" s="4" t="s">
        <v>240</v>
      </c>
      <c r="E172">
        <v>500000</v>
      </c>
      <c r="F172" t="s">
        <v>40</v>
      </c>
      <c r="G172">
        <f>tblSalaries[[#This Row],[clean Salary (in local currency)]]*VLOOKUP(tblSalaries[[#This Row],[Currency]],tblXrate[],2,FALSE)</f>
        <v>8903.9583437212841</v>
      </c>
      <c r="H172" t="s">
        <v>241</v>
      </c>
      <c r="I172" t="s">
        <v>20</v>
      </c>
      <c r="J172" t="s">
        <v>8</v>
      </c>
      <c r="K172" t="str">
        <f>VLOOKUP(tblSalaries[[#This Row],[Where do you work]],tblCountries[[Actual]:[Mapping]],2,FALSE)</f>
        <v>India</v>
      </c>
      <c r="L172" t="s">
        <v>18</v>
      </c>
      <c r="N172" s="8" t="str">
        <f>VLOOKUP(K172,tblCountries[],3,0)</f>
        <v>Asia</v>
      </c>
      <c r="O172" s="8">
        <f>VLOOKUP(tblSalaries[[#This Row],[How many hours of a day you work on Excel]],tblHours,2,0)</f>
        <v>3</v>
      </c>
      <c r="P172" s="8">
        <f>VLOOKUP(tblSalaries[[#This Row],[clean Country]],tblCountries[],5,0)</f>
        <v>13.098808879263672</v>
      </c>
      <c r="Q172" s="8">
        <f>IF($Q$1,tblSalaries[[#This Row],[PPP Factor]]*tblSalaries[[#This Row],[Salary in USD]],tblSalaries[[#This Row],[Salary in USD]])</f>
        <v>8903.9583437212841</v>
      </c>
    </row>
    <row r="173" spans="2:17" ht="15" customHeight="1" x14ac:dyDescent="0.25">
      <c r="B173" t="s">
        <v>2176</v>
      </c>
      <c r="C173" s="1">
        <v>41055.033865740741</v>
      </c>
      <c r="D173" s="4">
        <v>90000</v>
      </c>
      <c r="E173">
        <v>90000</v>
      </c>
      <c r="F173" t="s">
        <v>86</v>
      </c>
      <c r="G173">
        <f>tblSalaries[[#This Row],[clean Salary (in local currency)]]*VLOOKUP(tblSalaries[[#This Row],[Currency]],tblXrate[],2,FALSE)</f>
        <v>88502.537072729421</v>
      </c>
      <c r="H173" t="s">
        <v>242</v>
      </c>
      <c r="I173" t="s">
        <v>20</v>
      </c>
      <c r="J173" t="s">
        <v>88</v>
      </c>
      <c r="K173" t="str">
        <f>VLOOKUP(tblSalaries[[#This Row],[Where do you work]],tblCountries[[Actual]:[Mapping]],2,FALSE)</f>
        <v>Canada</v>
      </c>
      <c r="L173" t="s">
        <v>9</v>
      </c>
      <c r="N173" s="8" t="str">
        <f>VLOOKUP(K173,tblCountries[],3,0)</f>
        <v>North Amer.</v>
      </c>
      <c r="O173" s="8">
        <f>VLOOKUP(tblSalaries[[#This Row],[How many hours of a day you work on Excel]],tblHours,2,0)</f>
        <v>4</v>
      </c>
      <c r="P173" s="8">
        <f>VLOOKUP(tblSalaries[[#This Row],[clean Country]],tblCountries[],5,0)</f>
        <v>1.1935324732986359</v>
      </c>
      <c r="Q173" s="8">
        <f>IF($Q$1,tblSalaries[[#This Row],[PPP Factor]]*tblSalaries[[#This Row],[Salary in USD]],tblSalaries[[#This Row],[Salary in USD]])</f>
        <v>88502.537072729421</v>
      </c>
    </row>
    <row r="174" spans="2:17" ht="15" customHeight="1" x14ac:dyDescent="0.25">
      <c r="B174" t="s">
        <v>2177</v>
      </c>
      <c r="C174" s="1">
        <v>41055.033888888887</v>
      </c>
      <c r="D174" s="4">
        <v>180000</v>
      </c>
      <c r="E174">
        <v>180000</v>
      </c>
      <c r="F174" t="s">
        <v>40</v>
      </c>
      <c r="G174">
        <f>tblSalaries[[#This Row],[clean Salary (in local currency)]]*VLOOKUP(tblSalaries[[#This Row],[Currency]],tblXrate[],2,FALSE)</f>
        <v>3205.4250037396623</v>
      </c>
      <c r="H174" t="s">
        <v>243</v>
      </c>
      <c r="I174" t="s">
        <v>20</v>
      </c>
      <c r="J174" t="s">
        <v>8</v>
      </c>
      <c r="K174" t="str">
        <f>VLOOKUP(tblSalaries[[#This Row],[Where do you work]],tblCountries[[Actual]:[Mapping]],2,FALSE)</f>
        <v>India</v>
      </c>
      <c r="L174" t="s">
        <v>9</v>
      </c>
      <c r="N174" s="8" t="str">
        <f>VLOOKUP(K174,tblCountries[],3,0)</f>
        <v>Asia</v>
      </c>
      <c r="O174" s="8">
        <f>VLOOKUP(tblSalaries[[#This Row],[How many hours of a day you work on Excel]],tblHours,2,0)</f>
        <v>4</v>
      </c>
      <c r="P174" s="8">
        <f>VLOOKUP(tblSalaries[[#This Row],[clean Country]],tblCountries[],5,0)</f>
        <v>13.098808879263672</v>
      </c>
      <c r="Q174" s="8">
        <f>IF($Q$1,tblSalaries[[#This Row],[PPP Factor]]*tblSalaries[[#This Row],[Salary in USD]],tblSalaries[[#This Row],[Salary in USD]])</f>
        <v>3205.4250037396623</v>
      </c>
    </row>
    <row r="175" spans="2:17" ht="15" customHeight="1" x14ac:dyDescent="0.25">
      <c r="B175" t="s">
        <v>2178</v>
      </c>
      <c r="C175" s="1">
        <v>41055.033888888887</v>
      </c>
      <c r="D175" s="4">
        <v>46584</v>
      </c>
      <c r="E175">
        <v>46584</v>
      </c>
      <c r="F175" t="s">
        <v>6</v>
      </c>
      <c r="G175">
        <f>tblSalaries[[#This Row],[clean Salary (in local currency)]]*VLOOKUP(tblSalaries[[#This Row],[Currency]],tblXrate[],2,FALSE)</f>
        <v>46584</v>
      </c>
      <c r="H175" t="s">
        <v>244</v>
      </c>
      <c r="I175" t="s">
        <v>20</v>
      </c>
      <c r="J175" t="s">
        <v>15</v>
      </c>
      <c r="K175" t="str">
        <f>VLOOKUP(tblSalaries[[#This Row],[Where do you work]],tblCountries[[Actual]:[Mapping]],2,FALSE)</f>
        <v>USA</v>
      </c>
      <c r="L175" t="s">
        <v>9</v>
      </c>
      <c r="N175" s="8" t="str">
        <f>VLOOKUP(K175,tblCountries[],3,0)</f>
        <v>North Amer.</v>
      </c>
      <c r="O175" s="8">
        <f>VLOOKUP(tblSalaries[[#This Row],[How many hours of a day you work on Excel]],tblHours,2,0)</f>
        <v>4</v>
      </c>
      <c r="P175" s="8">
        <f>VLOOKUP(tblSalaries[[#This Row],[clean Country]],tblCountries[],5,0)</f>
        <v>1</v>
      </c>
      <c r="Q175" s="8">
        <f>IF($Q$1,tblSalaries[[#This Row],[PPP Factor]]*tblSalaries[[#This Row],[Salary in USD]],tblSalaries[[#This Row],[Salary in USD]])</f>
        <v>46584</v>
      </c>
    </row>
    <row r="176" spans="2:17" ht="15" customHeight="1" x14ac:dyDescent="0.25">
      <c r="B176" t="s">
        <v>2179</v>
      </c>
      <c r="C176" s="1">
        <v>41055.033888888887</v>
      </c>
      <c r="D176" s="4">
        <v>67000</v>
      </c>
      <c r="E176">
        <v>67000</v>
      </c>
      <c r="F176" t="s">
        <v>6</v>
      </c>
      <c r="G176">
        <f>tblSalaries[[#This Row],[clean Salary (in local currency)]]*VLOOKUP(tblSalaries[[#This Row],[Currency]],tblXrate[],2,FALSE)</f>
        <v>67000</v>
      </c>
      <c r="H176" t="s">
        <v>245</v>
      </c>
      <c r="I176" t="s">
        <v>20</v>
      </c>
      <c r="J176" t="s">
        <v>15</v>
      </c>
      <c r="K176" t="str">
        <f>VLOOKUP(tblSalaries[[#This Row],[Where do you work]],tblCountries[[Actual]:[Mapping]],2,FALSE)</f>
        <v>USA</v>
      </c>
      <c r="L176" t="s">
        <v>9</v>
      </c>
      <c r="N176" s="8" t="str">
        <f>VLOOKUP(K176,tblCountries[],3,0)</f>
        <v>North Amer.</v>
      </c>
      <c r="O176" s="8">
        <f>VLOOKUP(tblSalaries[[#This Row],[How many hours of a day you work on Excel]],tblHours,2,0)</f>
        <v>4</v>
      </c>
      <c r="P176" s="8">
        <f>VLOOKUP(tblSalaries[[#This Row],[clean Country]],tblCountries[],5,0)</f>
        <v>1</v>
      </c>
      <c r="Q176" s="8">
        <f>IF($Q$1,tblSalaries[[#This Row],[PPP Factor]]*tblSalaries[[#This Row],[Salary in USD]],tblSalaries[[#This Row],[Salary in USD]])</f>
        <v>67000</v>
      </c>
    </row>
    <row r="177" spans="2:17" ht="15" customHeight="1" x14ac:dyDescent="0.25">
      <c r="B177" t="s">
        <v>2180</v>
      </c>
      <c r="C177" s="1">
        <v>41055.033993055556</v>
      </c>
      <c r="D177" s="4" t="s">
        <v>246</v>
      </c>
      <c r="E177">
        <v>1100000</v>
      </c>
      <c r="F177" t="s">
        <v>40</v>
      </c>
      <c r="G177">
        <f>tblSalaries[[#This Row],[clean Salary (in local currency)]]*VLOOKUP(tblSalaries[[#This Row],[Currency]],tblXrate[],2,FALSE)</f>
        <v>19588.708356186824</v>
      </c>
      <c r="H177" t="s">
        <v>247</v>
      </c>
      <c r="I177" t="s">
        <v>52</v>
      </c>
      <c r="J177" t="s">
        <v>8</v>
      </c>
      <c r="K177" t="str">
        <f>VLOOKUP(tblSalaries[[#This Row],[Where do you work]],tblCountries[[Actual]:[Mapping]],2,FALSE)</f>
        <v>India</v>
      </c>
      <c r="L177" t="s">
        <v>9</v>
      </c>
      <c r="N177" s="8" t="str">
        <f>VLOOKUP(K177,tblCountries[],3,0)</f>
        <v>Asia</v>
      </c>
      <c r="O177" s="8">
        <f>VLOOKUP(tblSalaries[[#This Row],[How many hours of a day you work on Excel]],tblHours,2,0)</f>
        <v>4</v>
      </c>
      <c r="P177" s="8">
        <f>VLOOKUP(tblSalaries[[#This Row],[clean Country]],tblCountries[],5,0)</f>
        <v>13.098808879263672</v>
      </c>
      <c r="Q177" s="8">
        <f>IF($Q$1,tblSalaries[[#This Row],[PPP Factor]]*tblSalaries[[#This Row],[Salary in USD]],tblSalaries[[#This Row],[Salary in USD]])</f>
        <v>19588.708356186824</v>
      </c>
    </row>
    <row r="178" spans="2:17" ht="15" customHeight="1" x14ac:dyDescent="0.25">
      <c r="B178" t="s">
        <v>2181</v>
      </c>
      <c r="C178" s="1">
        <v>41055.034236111111</v>
      </c>
      <c r="D178" s="4">
        <v>92000</v>
      </c>
      <c r="E178">
        <v>92000</v>
      </c>
      <c r="F178" t="s">
        <v>6</v>
      </c>
      <c r="G178">
        <f>tblSalaries[[#This Row],[clean Salary (in local currency)]]*VLOOKUP(tblSalaries[[#This Row],[Currency]],tblXrate[],2,FALSE)</f>
        <v>92000</v>
      </c>
      <c r="H178" t="s">
        <v>248</v>
      </c>
      <c r="I178" t="s">
        <v>279</v>
      </c>
      <c r="J178" t="s">
        <v>15</v>
      </c>
      <c r="K178" t="str">
        <f>VLOOKUP(tblSalaries[[#This Row],[Where do you work]],tblCountries[[Actual]:[Mapping]],2,FALSE)</f>
        <v>USA</v>
      </c>
      <c r="L178" t="s">
        <v>9</v>
      </c>
      <c r="N178" s="8" t="str">
        <f>VLOOKUP(K178,tblCountries[],3,0)</f>
        <v>North Amer.</v>
      </c>
      <c r="O178" s="8">
        <f>VLOOKUP(tblSalaries[[#This Row],[How many hours of a day you work on Excel]],tblHours,2,0)</f>
        <v>4</v>
      </c>
      <c r="P178" s="8">
        <f>VLOOKUP(tblSalaries[[#This Row],[clean Country]],tblCountries[],5,0)</f>
        <v>1</v>
      </c>
      <c r="Q178" s="8">
        <f>IF($Q$1,tblSalaries[[#This Row],[PPP Factor]]*tblSalaries[[#This Row],[Salary in USD]],tblSalaries[[#This Row],[Salary in USD]])</f>
        <v>92000</v>
      </c>
    </row>
    <row r="179" spans="2:17" ht="15" customHeight="1" x14ac:dyDescent="0.25">
      <c r="B179" t="s">
        <v>2182</v>
      </c>
      <c r="C179" s="1">
        <v>41055.034270833334</v>
      </c>
      <c r="D179" s="4">
        <v>75000</v>
      </c>
      <c r="E179">
        <v>75000</v>
      </c>
      <c r="F179" t="s">
        <v>6</v>
      </c>
      <c r="G179">
        <f>tblSalaries[[#This Row],[clean Salary (in local currency)]]*VLOOKUP(tblSalaries[[#This Row],[Currency]],tblXrate[],2,FALSE)</f>
        <v>75000</v>
      </c>
      <c r="H179" t="s">
        <v>249</v>
      </c>
      <c r="I179" t="s">
        <v>67</v>
      </c>
      <c r="J179" t="s">
        <v>15</v>
      </c>
      <c r="K179" t="str">
        <f>VLOOKUP(tblSalaries[[#This Row],[Where do you work]],tblCountries[[Actual]:[Mapping]],2,FALSE)</f>
        <v>USA</v>
      </c>
      <c r="L179" t="s">
        <v>13</v>
      </c>
      <c r="N179" s="8" t="str">
        <f>VLOOKUP(K179,tblCountries[],3,0)</f>
        <v>North Amer.</v>
      </c>
      <c r="O179" s="8">
        <f>VLOOKUP(tblSalaries[[#This Row],[How many hours of a day you work on Excel]],tblHours,2,0)</f>
        <v>5</v>
      </c>
      <c r="P179" s="8">
        <f>VLOOKUP(tblSalaries[[#This Row],[clean Country]],tblCountries[],5,0)</f>
        <v>1</v>
      </c>
      <c r="Q179" s="8">
        <f>IF($Q$1,tblSalaries[[#This Row],[PPP Factor]]*tblSalaries[[#This Row],[Salary in USD]],tblSalaries[[#This Row],[Salary in USD]])</f>
        <v>75000</v>
      </c>
    </row>
    <row r="180" spans="2:17" ht="15" customHeight="1" x14ac:dyDescent="0.25">
      <c r="B180" t="s">
        <v>2183</v>
      </c>
      <c r="C180" s="1">
        <v>41055.034432870372</v>
      </c>
      <c r="D180" s="4">
        <v>180000</v>
      </c>
      <c r="E180">
        <v>180000</v>
      </c>
      <c r="F180" t="s">
        <v>40</v>
      </c>
      <c r="G180">
        <f>tblSalaries[[#This Row],[clean Salary (in local currency)]]*VLOOKUP(tblSalaries[[#This Row],[Currency]],tblXrate[],2,FALSE)</f>
        <v>3205.4250037396623</v>
      </c>
      <c r="H180" t="s">
        <v>243</v>
      </c>
      <c r="I180" t="s">
        <v>20</v>
      </c>
      <c r="J180" t="s">
        <v>8</v>
      </c>
      <c r="K180" t="str">
        <f>VLOOKUP(tblSalaries[[#This Row],[Where do you work]],tblCountries[[Actual]:[Mapping]],2,FALSE)</f>
        <v>India</v>
      </c>
      <c r="L180" t="s">
        <v>9</v>
      </c>
      <c r="N180" s="8" t="str">
        <f>VLOOKUP(K180,tblCountries[],3,0)</f>
        <v>Asia</v>
      </c>
      <c r="O180" s="8">
        <f>VLOOKUP(tblSalaries[[#This Row],[How many hours of a day you work on Excel]],tblHours,2,0)</f>
        <v>4</v>
      </c>
      <c r="P180" s="8">
        <f>VLOOKUP(tblSalaries[[#This Row],[clean Country]],tblCountries[],5,0)</f>
        <v>13.098808879263672</v>
      </c>
      <c r="Q180" s="8">
        <f>IF($Q$1,tblSalaries[[#This Row],[PPP Factor]]*tblSalaries[[#This Row],[Salary in USD]],tblSalaries[[#This Row],[Salary in USD]])</f>
        <v>3205.4250037396623</v>
      </c>
    </row>
    <row r="181" spans="2:17" ht="15" customHeight="1" x14ac:dyDescent="0.25">
      <c r="B181" t="s">
        <v>2184</v>
      </c>
      <c r="C181" s="1">
        <v>41055.034583333334</v>
      </c>
      <c r="D181" s="4">
        <v>18500</v>
      </c>
      <c r="E181">
        <v>18500</v>
      </c>
      <c r="F181" t="s">
        <v>69</v>
      </c>
      <c r="G181">
        <f>tblSalaries[[#This Row],[clean Salary (in local currency)]]*VLOOKUP(tblSalaries[[#This Row],[Currency]],tblXrate[],2,FALSE)</f>
        <v>29159.298033244755</v>
      </c>
      <c r="H181" t="s">
        <v>250</v>
      </c>
      <c r="I181" t="s">
        <v>52</v>
      </c>
      <c r="J181" t="s">
        <v>71</v>
      </c>
      <c r="K181" t="str">
        <f>VLOOKUP(tblSalaries[[#This Row],[Where do you work]],tblCountries[[Actual]:[Mapping]],2,FALSE)</f>
        <v>UK</v>
      </c>
      <c r="L181" t="s">
        <v>13</v>
      </c>
      <c r="N181" s="8" t="str">
        <f>VLOOKUP(K181,tblCountries[],3,0)</f>
        <v>Europe</v>
      </c>
      <c r="O181" s="8">
        <f>VLOOKUP(tblSalaries[[#This Row],[How many hours of a day you work on Excel]],tblHours,2,0)</f>
        <v>5</v>
      </c>
      <c r="P181" s="8">
        <f>VLOOKUP(tblSalaries[[#This Row],[clean Country]],tblCountries[],5,0)</f>
        <v>1.3407315045719035</v>
      </c>
      <c r="Q181" s="8">
        <f>IF($Q$1,tblSalaries[[#This Row],[PPP Factor]]*tblSalaries[[#This Row],[Salary in USD]],tblSalaries[[#This Row],[Salary in USD]])</f>
        <v>29159.298033244755</v>
      </c>
    </row>
    <row r="182" spans="2:17" ht="15" customHeight="1" x14ac:dyDescent="0.25">
      <c r="B182" t="s">
        <v>2185</v>
      </c>
      <c r="C182" s="1">
        <v>41055.03460648148</v>
      </c>
      <c r="D182" s="4">
        <v>40000</v>
      </c>
      <c r="E182">
        <v>40000</v>
      </c>
      <c r="F182" t="s">
        <v>6</v>
      </c>
      <c r="G182">
        <f>tblSalaries[[#This Row],[clean Salary (in local currency)]]*VLOOKUP(tblSalaries[[#This Row],[Currency]],tblXrate[],2,FALSE)</f>
        <v>40000</v>
      </c>
      <c r="H182" t="s">
        <v>251</v>
      </c>
      <c r="I182" t="s">
        <v>20</v>
      </c>
      <c r="J182" t="s">
        <v>15</v>
      </c>
      <c r="K182" t="str">
        <f>VLOOKUP(tblSalaries[[#This Row],[Where do you work]],tblCountries[[Actual]:[Mapping]],2,FALSE)</f>
        <v>USA</v>
      </c>
      <c r="L182" t="s">
        <v>13</v>
      </c>
      <c r="N182" s="8" t="str">
        <f>VLOOKUP(K182,tblCountries[],3,0)</f>
        <v>North Amer.</v>
      </c>
      <c r="O182" s="8">
        <f>VLOOKUP(tblSalaries[[#This Row],[How many hours of a day you work on Excel]],tblHours,2,0)</f>
        <v>5</v>
      </c>
      <c r="P182" s="8">
        <f>VLOOKUP(tblSalaries[[#This Row],[clean Country]],tblCountries[],5,0)</f>
        <v>1</v>
      </c>
      <c r="Q182" s="8">
        <f>IF($Q$1,tblSalaries[[#This Row],[PPP Factor]]*tblSalaries[[#This Row],[Salary in USD]],tblSalaries[[#This Row],[Salary in USD]])</f>
        <v>40000</v>
      </c>
    </row>
    <row r="183" spans="2:17" ht="15" customHeight="1" x14ac:dyDescent="0.25">
      <c r="B183" t="s">
        <v>2186</v>
      </c>
      <c r="C183" s="1">
        <v>41055.034710648149</v>
      </c>
      <c r="D183" s="4">
        <v>111680</v>
      </c>
      <c r="E183">
        <v>111680</v>
      </c>
      <c r="F183" t="s">
        <v>6</v>
      </c>
      <c r="G183">
        <f>tblSalaries[[#This Row],[clean Salary (in local currency)]]*VLOOKUP(tblSalaries[[#This Row],[Currency]],tblXrate[],2,FALSE)</f>
        <v>111680</v>
      </c>
      <c r="H183" t="s">
        <v>252</v>
      </c>
      <c r="I183" t="s">
        <v>20</v>
      </c>
      <c r="J183" t="s">
        <v>15</v>
      </c>
      <c r="K183" t="str">
        <f>VLOOKUP(tblSalaries[[#This Row],[Where do you work]],tblCountries[[Actual]:[Mapping]],2,FALSE)</f>
        <v>USA</v>
      </c>
      <c r="L183" t="s">
        <v>18</v>
      </c>
      <c r="N183" s="8" t="str">
        <f>VLOOKUP(K183,tblCountries[],3,0)</f>
        <v>North Amer.</v>
      </c>
      <c r="O183" s="8">
        <f>VLOOKUP(tblSalaries[[#This Row],[How many hours of a day you work on Excel]],tblHours,2,0)</f>
        <v>3</v>
      </c>
      <c r="P183" s="8">
        <f>VLOOKUP(tblSalaries[[#This Row],[clean Country]],tblCountries[],5,0)</f>
        <v>1</v>
      </c>
      <c r="Q183" s="8">
        <f>IF($Q$1,tblSalaries[[#This Row],[PPP Factor]]*tblSalaries[[#This Row],[Salary in USD]],tblSalaries[[#This Row],[Salary in USD]])</f>
        <v>111680</v>
      </c>
    </row>
    <row r="184" spans="2:17" ht="15" customHeight="1" x14ac:dyDescent="0.25">
      <c r="B184" t="s">
        <v>2187</v>
      </c>
      <c r="C184" s="1">
        <v>41055.034849537034</v>
      </c>
      <c r="D184" s="4">
        <v>41.405999999999999</v>
      </c>
      <c r="E184">
        <v>41406</v>
      </c>
      <c r="F184" t="s">
        <v>6</v>
      </c>
      <c r="G184">
        <f>tblSalaries[[#This Row],[clean Salary (in local currency)]]*VLOOKUP(tblSalaries[[#This Row],[Currency]],tblXrate[],2,FALSE)</f>
        <v>41406</v>
      </c>
      <c r="H184" t="s">
        <v>253</v>
      </c>
      <c r="I184" t="s">
        <v>20</v>
      </c>
      <c r="J184" t="s">
        <v>88</v>
      </c>
      <c r="K184" t="str">
        <f>VLOOKUP(tblSalaries[[#This Row],[Where do you work]],tblCountries[[Actual]:[Mapping]],2,FALSE)</f>
        <v>Canada</v>
      </c>
      <c r="L184" t="s">
        <v>25</v>
      </c>
      <c r="N184" s="8" t="str">
        <f>VLOOKUP(K184,tblCountries[],3,0)</f>
        <v>North Amer.</v>
      </c>
      <c r="O184" s="8">
        <f>VLOOKUP(tblSalaries[[#This Row],[How many hours of a day you work on Excel]],tblHours,2,0)</f>
        <v>2</v>
      </c>
      <c r="P184" s="8">
        <f>VLOOKUP(tblSalaries[[#This Row],[clean Country]],tblCountries[],5,0)</f>
        <v>1.1935324732986359</v>
      </c>
      <c r="Q184" s="8">
        <f>IF($Q$1,tblSalaries[[#This Row],[PPP Factor]]*tblSalaries[[#This Row],[Salary in USD]],tblSalaries[[#This Row],[Salary in USD]])</f>
        <v>41406</v>
      </c>
    </row>
    <row r="185" spans="2:17" ht="15" customHeight="1" x14ac:dyDescent="0.25">
      <c r="B185" t="s">
        <v>2188</v>
      </c>
      <c r="C185" s="1">
        <v>41055.034895833334</v>
      </c>
      <c r="D185" s="4">
        <v>70000</v>
      </c>
      <c r="E185">
        <v>70000</v>
      </c>
      <c r="F185" t="s">
        <v>6</v>
      </c>
      <c r="G185">
        <f>tblSalaries[[#This Row],[clean Salary (in local currency)]]*VLOOKUP(tblSalaries[[#This Row],[Currency]],tblXrate[],2,FALSE)</f>
        <v>70000</v>
      </c>
      <c r="H185" t="s">
        <v>254</v>
      </c>
      <c r="I185" t="s">
        <v>52</v>
      </c>
      <c r="J185" t="s">
        <v>15</v>
      </c>
      <c r="K185" t="str">
        <f>VLOOKUP(tblSalaries[[#This Row],[Where do you work]],tblCountries[[Actual]:[Mapping]],2,FALSE)</f>
        <v>USA</v>
      </c>
      <c r="L185" t="s">
        <v>9</v>
      </c>
      <c r="N185" s="8" t="str">
        <f>VLOOKUP(K185,tblCountries[],3,0)</f>
        <v>North Amer.</v>
      </c>
      <c r="O185" s="8">
        <f>VLOOKUP(tblSalaries[[#This Row],[How many hours of a day you work on Excel]],tblHours,2,0)</f>
        <v>4</v>
      </c>
      <c r="P185" s="8">
        <f>VLOOKUP(tblSalaries[[#This Row],[clean Country]],tblCountries[],5,0)</f>
        <v>1</v>
      </c>
      <c r="Q185" s="8">
        <f>IF($Q$1,tblSalaries[[#This Row],[PPP Factor]]*tblSalaries[[#This Row],[Salary in USD]],tblSalaries[[#This Row],[Salary in USD]])</f>
        <v>70000</v>
      </c>
    </row>
    <row r="186" spans="2:17" ht="15" customHeight="1" x14ac:dyDescent="0.25">
      <c r="B186" t="s">
        <v>2189</v>
      </c>
      <c r="C186" s="1">
        <v>41055.035081018519</v>
      </c>
      <c r="D186" s="4">
        <v>40700</v>
      </c>
      <c r="E186">
        <v>40700</v>
      </c>
      <c r="F186" t="s">
        <v>6</v>
      </c>
      <c r="G186">
        <f>tblSalaries[[#This Row],[clean Salary (in local currency)]]*VLOOKUP(tblSalaries[[#This Row],[Currency]],tblXrate[],2,FALSE)</f>
        <v>40700</v>
      </c>
      <c r="H186" t="s">
        <v>255</v>
      </c>
      <c r="I186" t="s">
        <v>20</v>
      </c>
      <c r="J186" t="s">
        <v>15</v>
      </c>
      <c r="K186" t="str">
        <f>VLOOKUP(tblSalaries[[#This Row],[Where do you work]],tblCountries[[Actual]:[Mapping]],2,FALSE)</f>
        <v>USA</v>
      </c>
      <c r="L186" t="s">
        <v>25</v>
      </c>
      <c r="N186" s="8" t="str">
        <f>VLOOKUP(K186,tblCountries[],3,0)</f>
        <v>North Amer.</v>
      </c>
      <c r="O186" s="8">
        <f>VLOOKUP(tblSalaries[[#This Row],[How many hours of a day you work on Excel]],tblHours,2,0)</f>
        <v>2</v>
      </c>
      <c r="P186" s="8">
        <f>VLOOKUP(tblSalaries[[#This Row],[clean Country]],tblCountries[],5,0)</f>
        <v>1</v>
      </c>
      <c r="Q186" s="8">
        <f>IF($Q$1,tblSalaries[[#This Row],[PPP Factor]]*tblSalaries[[#This Row],[Salary in USD]],tblSalaries[[#This Row],[Salary in USD]])</f>
        <v>40700</v>
      </c>
    </row>
    <row r="187" spans="2:17" ht="15" customHeight="1" x14ac:dyDescent="0.25">
      <c r="B187" t="s">
        <v>2190</v>
      </c>
      <c r="C187" s="1">
        <v>41055.035092592596</v>
      </c>
      <c r="D187" s="4">
        <v>40000</v>
      </c>
      <c r="E187">
        <v>40000</v>
      </c>
      <c r="F187" t="s">
        <v>6</v>
      </c>
      <c r="G187">
        <f>tblSalaries[[#This Row],[clean Salary (in local currency)]]*VLOOKUP(tblSalaries[[#This Row],[Currency]],tblXrate[],2,FALSE)</f>
        <v>40000</v>
      </c>
      <c r="H187" t="s">
        <v>256</v>
      </c>
      <c r="I187" t="s">
        <v>20</v>
      </c>
      <c r="J187" t="s">
        <v>15</v>
      </c>
      <c r="K187" t="str">
        <f>VLOOKUP(tblSalaries[[#This Row],[Where do you work]],tblCountries[[Actual]:[Mapping]],2,FALSE)</f>
        <v>USA</v>
      </c>
      <c r="L187" t="s">
        <v>9</v>
      </c>
      <c r="N187" s="8" t="str">
        <f>VLOOKUP(K187,tblCountries[],3,0)</f>
        <v>North Amer.</v>
      </c>
      <c r="O187" s="8">
        <f>VLOOKUP(tblSalaries[[#This Row],[How many hours of a day you work on Excel]],tblHours,2,0)</f>
        <v>4</v>
      </c>
      <c r="P187" s="8">
        <f>VLOOKUP(tblSalaries[[#This Row],[clean Country]],tblCountries[],5,0)</f>
        <v>1</v>
      </c>
      <c r="Q187" s="8">
        <f>IF($Q$1,tblSalaries[[#This Row],[PPP Factor]]*tblSalaries[[#This Row],[Salary in USD]],tblSalaries[[#This Row],[Salary in USD]])</f>
        <v>40000</v>
      </c>
    </row>
    <row r="188" spans="2:17" ht="15" customHeight="1" x14ac:dyDescent="0.25">
      <c r="B188" t="s">
        <v>2191</v>
      </c>
      <c r="C188" s="1">
        <v>41055.035162037035</v>
      </c>
      <c r="D188" s="4">
        <v>60000</v>
      </c>
      <c r="E188">
        <v>60000</v>
      </c>
      <c r="F188" t="s">
        <v>6</v>
      </c>
      <c r="G188">
        <f>tblSalaries[[#This Row],[clean Salary (in local currency)]]*VLOOKUP(tblSalaries[[#This Row],[Currency]],tblXrate[],2,FALSE)</f>
        <v>60000</v>
      </c>
      <c r="H188" t="s">
        <v>257</v>
      </c>
      <c r="I188" t="s">
        <v>310</v>
      </c>
      <c r="J188" t="s">
        <v>15</v>
      </c>
      <c r="K188" t="str">
        <f>VLOOKUP(tblSalaries[[#This Row],[Where do you work]],tblCountries[[Actual]:[Mapping]],2,FALSE)</f>
        <v>USA</v>
      </c>
      <c r="L188" t="s">
        <v>9</v>
      </c>
      <c r="N188" s="8" t="str">
        <f>VLOOKUP(K188,tblCountries[],3,0)</f>
        <v>North Amer.</v>
      </c>
      <c r="O188" s="8">
        <f>VLOOKUP(tblSalaries[[#This Row],[How many hours of a day you work on Excel]],tblHours,2,0)</f>
        <v>4</v>
      </c>
      <c r="P188" s="8">
        <f>VLOOKUP(tblSalaries[[#This Row],[clean Country]],tblCountries[],5,0)</f>
        <v>1</v>
      </c>
      <c r="Q188" s="8">
        <f>IF($Q$1,tblSalaries[[#This Row],[PPP Factor]]*tblSalaries[[#This Row],[Salary in USD]],tblSalaries[[#This Row],[Salary in USD]])</f>
        <v>60000</v>
      </c>
    </row>
    <row r="189" spans="2:17" ht="15" customHeight="1" x14ac:dyDescent="0.25">
      <c r="B189" t="s">
        <v>2192</v>
      </c>
      <c r="C189" s="1">
        <v>41055.035196759258</v>
      </c>
      <c r="D189" s="4">
        <v>92000</v>
      </c>
      <c r="E189">
        <v>92000</v>
      </c>
      <c r="F189" t="s">
        <v>86</v>
      </c>
      <c r="G189">
        <f>tblSalaries[[#This Row],[clean Salary (in local currency)]]*VLOOKUP(tblSalaries[[#This Row],[Currency]],tblXrate[],2,FALSE)</f>
        <v>90469.260118790073</v>
      </c>
      <c r="H189" t="s">
        <v>258</v>
      </c>
      <c r="I189" t="s">
        <v>356</v>
      </c>
      <c r="J189" t="s">
        <v>88</v>
      </c>
      <c r="K189" t="str">
        <f>VLOOKUP(tblSalaries[[#This Row],[Where do you work]],tblCountries[[Actual]:[Mapping]],2,FALSE)</f>
        <v>Canada</v>
      </c>
      <c r="L189" t="s">
        <v>13</v>
      </c>
      <c r="N189" s="8" t="str">
        <f>VLOOKUP(K189,tblCountries[],3,0)</f>
        <v>North Amer.</v>
      </c>
      <c r="O189" s="8">
        <f>VLOOKUP(tblSalaries[[#This Row],[How many hours of a day you work on Excel]],tblHours,2,0)</f>
        <v>5</v>
      </c>
      <c r="P189" s="8">
        <f>VLOOKUP(tblSalaries[[#This Row],[clean Country]],tblCountries[],5,0)</f>
        <v>1.1935324732986359</v>
      </c>
      <c r="Q189" s="8">
        <f>IF($Q$1,tblSalaries[[#This Row],[PPP Factor]]*tblSalaries[[#This Row],[Salary in USD]],tblSalaries[[#This Row],[Salary in USD]])</f>
        <v>90469.260118790073</v>
      </c>
    </row>
    <row r="190" spans="2:17" ht="15" customHeight="1" x14ac:dyDescent="0.25">
      <c r="B190" t="s">
        <v>2193</v>
      </c>
      <c r="C190" s="1">
        <v>41055.035219907404</v>
      </c>
      <c r="D190" s="4">
        <v>13636.36</v>
      </c>
      <c r="E190">
        <v>13636</v>
      </c>
      <c r="F190" t="s">
        <v>6</v>
      </c>
      <c r="G190">
        <f>tblSalaries[[#This Row],[clean Salary (in local currency)]]*VLOOKUP(tblSalaries[[#This Row],[Currency]],tblXrate[],2,FALSE)</f>
        <v>13636</v>
      </c>
      <c r="H190" t="s">
        <v>259</v>
      </c>
      <c r="I190" t="s">
        <v>52</v>
      </c>
      <c r="J190" t="s">
        <v>8</v>
      </c>
      <c r="K190" t="str">
        <f>VLOOKUP(tblSalaries[[#This Row],[Where do you work]],tblCountries[[Actual]:[Mapping]],2,FALSE)</f>
        <v>India</v>
      </c>
      <c r="L190" t="s">
        <v>13</v>
      </c>
      <c r="N190" s="8" t="str">
        <f>VLOOKUP(K190,tblCountries[],3,0)</f>
        <v>Asia</v>
      </c>
      <c r="O190" s="8">
        <f>VLOOKUP(tblSalaries[[#This Row],[How many hours of a day you work on Excel]],tblHours,2,0)</f>
        <v>5</v>
      </c>
      <c r="P190" s="8">
        <f>VLOOKUP(tblSalaries[[#This Row],[clean Country]],tblCountries[],5,0)</f>
        <v>13.098808879263672</v>
      </c>
      <c r="Q190" s="8">
        <f>IF($Q$1,tblSalaries[[#This Row],[PPP Factor]]*tblSalaries[[#This Row],[Salary in USD]],tblSalaries[[#This Row],[Salary in USD]])</f>
        <v>13636</v>
      </c>
    </row>
    <row r="191" spans="2:17" ht="15" customHeight="1" x14ac:dyDescent="0.25">
      <c r="B191" t="s">
        <v>2194</v>
      </c>
      <c r="C191" s="1">
        <v>41055.035219907404</v>
      </c>
      <c r="D191" s="4">
        <v>80000</v>
      </c>
      <c r="E191">
        <v>80000</v>
      </c>
      <c r="F191" t="s">
        <v>6</v>
      </c>
      <c r="G191">
        <f>tblSalaries[[#This Row],[clean Salary (in local currency)]]*VLOOKUP(tblSalaries[[#This Row],[Currency]],tblXrate[],2,FALSE)</f>
        <v>80000</v>
      </c>
      <c r="H191" t="s">
        <v>260</v>
      </c>
      <c r="I191" t="s">
        <v>52</v>
      </c>
      <c r="J191" t="s">
        <v>15</v>
      </c>
      <c r="K191" t="str">
        <f>VLOOKUP(tblSalaries[[#This Row],[Where do you work]],tblCountries[[Actual]:[Mapping]],2,FALSE)</f>
        <v>USA</v>
      </c>
      <c r="L191" t="s">
        <v>18</v>
      </c>
      <c r="N191" s="8" t="str">
        <f>VLOOKUP(K191,tblCountries[],3,0)</f>
        <v>North Amer.</v>
      </c>
      <c r="O191" s="8">
        <f>VLOOKUP(tblSalaries[[#This Row],[How many hours of a day you work on Excel]],tblHours,2,0)</f>
        <v>3</v>
      </c>
      <c r="P191" s="8">
        <f>VLOOKUP(tblSalaries[[#This Row],[clean Country]],tblCountries[],5,0)</f>
        <v>1</v>
      </c>
      <c r="Q191" s="8">
        <f>IF($Q$1,tblSalaries[[#This Row],[PPP Factor]]*tblSalaries[[#This Row],[Salary in USD]],tblSalaries[[#This Row],[Salary in USD]])</f>
        <v>80000</v>
      </c>
    </row>
    <row r="192" spans="2:17" ht="15" customHeight="1" x14ac:dyDescent="0.25">
      <c r="B192" t="s">
        <v>2195</v>
      </c>
      <c r="C192" s="1">
        <v>41055.035416666666</v>
      </c>
      <c r="D192" s="4" t="s">
        <v>261</v>
      </c>
      <c r="E192">
        <v>60000</v>
      </c>
      <c r="F192" t="s">
        <v>86</v>
      </c>
      <c r="G192">
        <f>tblSalaries[[#This Row],[clean Salary (in local currency)]]*VLOOKUP(tblSalaries[[#This Row],[Currency]],tblXrate[],2,FALSE)</f>
        <v>59001.691381819612</v>
      </c>
      <c r="H192" t="s">
        <v>262</v>
      </c>
      <c r="I192" t="s">
        <v>20</v>
      </c>
      <c r="J192" t="s">
        <v>88</v>
      </c>
      <c r="K192" t="str">
        <f>VLOOKUP(tblSalaries[[#This Row],[Where do you work]],tblCountries[[Actual]:[Mapping]],2,FALSE)</f>
        <v>Canada</v>
      </c>
      <c r="L192" t="s">
        <v>18</v>
      </c>
      <c r="N192" s="8" t="str">
        <f>VLOOKUP(K192,tblCountries[],3,0)</f>
        <v>North Amer.</v>
      </c>
      <c r="O192" s="8">
        <f>VLOOKUP(tblSalaries[[#This Row],[How many hours of a day you work on Excel]],tblHours,2,0)</f>
        <v>3</v>
      </c>
      <c r="P192" s="8">
        <f>VLOOKUP(tblSalaries[[#This Row],[clean Country]],tblCountries[],5,0)</f>
        <v>1.1935324732986359</v>
      </c>
      <c r="Q192" s="8">
        <f>IF($Q$1,tblSalaries[[#This Row],[PPP Factor]]*tblSalaries[[#This Row],[Salary in USD]],tblSalaries[[#This Row],[Salary in USD]])</f>
        <v>59001.691381819612</v>
      </c>
    </row>
    <row r="193" spans="2:17" ht="15" customHeight="1" x14ac:dyDescent="0.25">
      <c r="B193" t="s">
        <v>2196</v>
      </c>
      <c r="C193" s="1">
        <v>41055.035914351851</v>
      </c>
      <c r="D193" s="4">
        <v>28000</v>
      </c>
      <c r="E193">
        <v>28000</v>
      </c>
      <c r="F193" t="s">
        <v>6</v>
      </c>
      <c r="G193">
        <f>tblSalaries[[#This Row],[clean Salary (in local currency)]]*VLOOKUP(tblSalaries[[#This Row],[Currency]],tblXrate[],2,FALSE)</f>
        <v>28000</v>
      </c>
      <c r="H193" t="s">
        <v>263</v>
      </c>
      <c r="I193" t="s">
        <v>20</v>
      </c>
      <c r="J193" t="s">
        <v>15</v>
      </c>
      <c r="K193" t="str">
        <f>VLOOKUP(tblSalaries[[#This Row],[Where do you work]],tblCountries[[Actual]:[Mapping]],2,FALSE)</f>
        <v>USA</v>
      </c>
      <c r="L193" t="s">
        <v>9</v>
      </c>
      <c r="N193" s="8" t="str">
        <f>VLOOKUP(K193,tblCountries[],3,0)</f>
        <v>North Amer.</v>
      </c>
      <c r="O193" s="8">
        <f>VLOOKUP(tblSalaries[[#This Row],[How many hours of a day you work on Excel]],tblHours,2,0)</f>
        <v>4</v>
      </c>
      <c r="P193" s="8">
        <f>VLOOKUP(tblSalaries[[#This Row],[clean Country]],tblCountries[],5,0)</f>
        <v>1</v>
      </c>
      <c r="Q193" s="8">
        <f>IF($Q$1,tblSalaries[[#This Row],[PPP Factor]]*tblSalaries[[#This Row],[Salary in USD]],tblSalaries[[#This Row],[Salary in USD]])</f>
        <v>28000</v>
      </c>
    </row>
    <row r="194" spans="2:17" ht="15" customHeight="1" x14ac:dyDescent="0.25">
      <c r="B194" t="s">
        <v>2197</v>
      </c>
      <c r="C194" s="1">
        <v>41055.036053240743</v>
      </c>
      <c r="D194" s="4">
        <v>60000</v>
      </c>
      <c r="E194">
        <v>60000</v>
      </c>
      <c r="F194" t="s">
        <v>6</v>
      </c>
      <c r="G194">
        <f>tblSalaries[[#This Row],[clean Salary (in local currency)]]*VLOOKUP(tblSalaries[[#This Row],[Currency]],tblXrate[],2,FALSE)</f>
        <v>60000</v>
      </c>
      <c r="H194" t="s">
        <v>264</v>
      </c>
      <c r="I194" t="s">
        <v>20</v>
      </c>
      <c r="J194" t="s">
        <v>15</v>
      </c>
      <c r="K194" t="str">
        <f>VLOOKUP(tblSalaries[[#This Row],[Where do you work]],tblCountries[[Actual]:[Mapping]],2,FALSE)</f>
        <v>USA</v>
      </c>
      <c r="L194" t="s">
        <v>9</v>
      </c>
      <c r="N194" s="8" t="str">
        <f>VLOOKUP(K194,tblCountries[],3,0)</f>
        <v>North Amer.</v>
      </c>
      <c r="O194" s="8">
        <f>VLOOKUP(tblSalaries[[#This Row],[How many hours of a day you work on Excel]],tblHours,2,0)</f>
        <v>4</v>
      </c>
      <c r="P194" s="8">
        <f>VLOOKUP(tblSalaries[[#This Row],[clean Country]],tblCountries[],5,0)</f>
        <v>1</v>
      </c>
      <c r="Q194" s="8">
        <f>IF($Q$1,tblSalaries[[#This Row],[PPP Factor]]*tblSalaries[[#This Row],[Salary in USD]],tblSalaries[[#This Row],[Salary in USD]])</f>
        <v>60000</v>
      </c>
    </row>
    <row r="195" spans="2:17" ht="15" customHeight="1" x14ac:dyDescent="0.25">
      <c r="B195" t="s">
        <v>2198</v>
      </c>
      <c r="C195" s="1">
        <v>41055.036099537036</v>
      </c>
      <c r="D195" s="4">
        <v>96000</v>
      </c>
      <c r="E195">
        <v>96000</v>
      </c>
      <c r="F195" t="s">
        <v>6</v>
      </c>
      <c r="G195">
        <f>tblSalaries[[#This Row],[clean Salary (in local currency)]]*VLOOKUP(tblSalaries[[#This Row],[Currency]],tblXrate[],2,FALSE)</f>
        <v>96000</v>
      </c>
      <c r="H195" t="s">
        <v>265</v>
      </c>
      <c r="I195" t="s">
        <v>67</v>
      </c>
      <c r="J195" t="s">
        <v>15</v>
      </c>
      <c r="K195" t="str">
        <f>VLOOKUP(tblSalaries[[#This Row],[Where do you work]],tblCountries[[Actual]:[Mapping]],2,FALSE)</f>
        <v>USA</v>
      </c>
      <c r="L195" t="s">
        <v>18</v>
      </c>
      <c r="N195" s="8" t="str">
        <f>VLOOKUP(K195,tblCountries[],3,0)</f>
        <v>North Amer.</v>
      </c>
      <c r="O195" s="8">
        <f>VLOOKUP(tblSalaries[[#This Row],[How many hours of a day you work on Excel]],tblHours,2,0)</f>
        <v>3</v>
      </c>
      <c r="P195" s="8">
        <f>VLOOKUP(tblSalaries[[#This Row],[clean Country]],tblCountries[],5,0)</f>
        <v>1</v>
      </c>
      <c r="Q195" s="8">
        <f>IF($Q$1,tblSalaries[[#This Row],[PPP Factor]]*tblSalaries[[#This Row],[Salary in USD]],tblSalaries[[#This Row],[Salary in USD]])</f>
        <v>96000</v>
      </c>
    </row>
    <row r="196" spans="2:17" ht="15" customHeight="1" x14ac:dyDescent="0.25">
      <c r="B196" t="s">
        <v>2199</v>
      </c>
      <c r="C196" s="1">
        <v>41055.036354166667</v>
      </c>
      <c r="D196" s="4">
        <v>67000</v>
      </c>
      <c r="E196">
        <v>67000</v>
      </c>
      <c r="F196" t="s">
        <v>6</v>
      </c>
      <c r="G196">
        <f>tblSalaries[[#This Row],[clean Salary (in local currency)]]*VLOOKUP(tblSalaries[[#This Row],[Currency]],tblXrate[],2,FALSE)</f>
        <v>67000</v>
      </c>
      <c r="H196" t="s">
        <v>14</v>
      </c>
      <c r="I196" t="s">
        <v>20</v>
      </c>
      <c r="J196" t="s">
        <v>15</v>
      </c>
      <c r="K196" t="str">
        <f>VLOOKUP(tblSalaries[[#This Row],[Where do you work]],tblCountries[[Actual]:[Mapping]],2,FALSE)</f>
        <v>USA</v>
      </c>
      <c r="L196" t="s">
        <v>9</v>
      </c>
      <c r="N196" s="8" t="str">
        <f>VLOOKUP(K196,tblCountries[],3,0)</f>
        <v>North Amer.</v>
      </c>
      <c r="O196" s="8">
        <f>VLOOKUP(tblSalaries[[#This Row],[How many hours of a day you work on Excel]],tblHours,2,0)</f>
        <v>4</v>
      </c>
      <c r="P196" s="8">
        <f>VLOOKUP(tblSalaries[[#This Row],[clean Country]],tblCountries[],5,0)</f>
        <v>1</v>
      </c>
      <c r="Q196" s="8">
        <f>IF($Q$1,tblSalaries[[#This Row],[PPP Factor]]*tblSalaries[[#This Row],[Salary in USD]],tblSalaries[[#This Row],[Salary in USD]])</f>
        <v>67000</v>
      </c>
    </row>
    <row r="197" spans="2:17" ht="15" customHeight="1" x14ac:dyDescent="0.25">
      <c r="B197" t="s">
        <v>2200</v>
      </c>
      <c r="C197" s="1">
        <v>41055.036400462966</v>
      </c>
      <c r="D197" s="4">
        <v>70000</v>
      </c>
      <c r="E197">
        <v>70000</v>
      </c>
      <c r="F197" t="s">
        <v>6</v>
      </c>
      <c r="G197">
        <f>tblSalaries[[#This Row],[clean Salary (in local currency)]]*VLOOKUP(tblSalaries[[#This Row],[Currency]],tblXrate[],2,FALSE)</f>
        <v>70000</v>
      </c>
      <c r="H197" t="s">
        <v>266</v>
      </c>
      <c r="I197" t="s">
        <v>20</v>
      </c>
      <c r="J197" t="s">
        <v>15</v>
      </c>
      <c r="K197" t="str">
        <f>VLOOKUP(tblSalaries[[#This Row],[Where do you work]],tblCountries[[Actual]:[Mapping]],2,FALSE)</f>
        <v>USA</v>
      </c>
      <c r="L197" t="s">
        <v>9</v>
      </c>
      <c r="N197" s="8" t="str">
        <f>VLOOKUP(K197,tblCountries[],3,0)</f>
        <v>North Amer.</v>
      </c>
      <c r="O197" s="8">
        <f>VLOOKUP(tblSalaries[[#This Row],[How many hours of a day you work on Excel]],tblHours,2,0)</f>
        <v>4</v>
      </c>
      <c r="P197" s="8">
        <f>VLOOKUP(tblSalaries[[#This Row],[clean Country]],tblCountries[],5,0)</f>
        <v>1</v>
      </c>
      <c r="Q197" s="8">
        <f>IF($Q$1,tblSalaries[[#This Row],[PPP Factor]]*tblSalaries[[#This Row],[Salary in USD]],tblSalaries[[#This Row],[Salary in USD]])</f>
        <v>70000</v>
      </c>
    </row>
    <row r="198" spans="2:17" ht="15" customHeight="1" x14ac:dyDescent="0.25">
      <c r="B198" t="s">
        <v>2201</v>
      </c>
      <c r="C198" s="1">
        <v>41055.036458333336</v>
      </c>
      <c r="D198" s="4">
        <v>233000</v>
      </c>
      <c r="E198">
        <v>233000</v>
      </c>
      <c r="F198" t="s">
        <v>40</v>
      </c>
      <c r="G198">
        <f>tblSalaries[[#This Row],[clean Salary (in local currency)]]*VLOOKUP(tblSalaries[[#This Row],[Currency]],tblXrate[],2,FALSE)</f>
        <v>4149.2445881741187</v>
      </c>
      <c r="H198" t="s">
        <v>267</v>
      </c>
      <c r="I198" t="s">
        <v>52</v>
      </c>
      <c r="J198" t="s">
        <v>8</v>
      </c>
      <c r="K198" t="str">
        <f>VLOOKUP(tblSalaries[[#This Row],[Where do you work]],tblCountries[[Actual]:[Mapping]],2,FALSE)</f>
        <v>India</v>
      </c>
      <c r="L198" t="s">
        <v>13</v>
      </c>
      <c r="N198" s="8" t="str">
        <f>VLOOKUP(K198,tblCountries[],3,0)</f>
        <v>Asia</v>
      </c>
      <c r="O198" s="8">
        <f>VLOOKUP(tblSalaries[[#This Row],[How many hours of a day you work on Excel]],tblHours,2,0)</f>
        <v>5</v>
      </c>
      <c r="P198" s="8">
        <f>VLOOKUP(tblSalaries[[#This Row],[clean Country]],tblCountries[],5,0)</f>
        <v>13.098808879263672</v>
      </c>
      <c r="Q198" s="8">
        <f>IF($Q$1,tblSalaries[[#This Row],[PPP Factor]]*tblSalaries[[#This Row],[Salary in USD]],tblSalaries[[#This Row],[Salary in USD]])</f>
        <v>4149.2445881741187</v>
      </c>
    </row>
    <row r="199" spans="2:17" ht="15" customHeight="1" x14ac:dyDescent="0.25">
      <c r="B199" t="s">
        <v>2202</v>
      </c>
      <c r="C199" s="1">
        <v>41055.036539351851</v>
      </c>
      <c r="D199" s="4" t="s">
        <v>268</v>
      </c>
      <c r="E199">
        <v>99000</v>
      </c>
      <c r="F199" t="s">
        <v>6</v>
      </c>
      <c r="G199">
        <f>tblSalaries[[#This Row],[clean Salary (in local currency)]]*VLOOKUP(tblSalaries[[#This Row],[Currency]],tblXrate[],2,FALSE)</f>
        <v>99000</v>
      </c>
      <c r="H199" t="s">
        <v>269</v>
      </c>
      <c r="I199" t="s">
        <v>488</v>
      </c>
      <c r="J199" t="s">
        <v>15</v>
      </c>
      <c r="K199" t="str">
        <f>VLOOKUP(tblSalaries[[#This Row],[Where do you work]],tblCountries[[Actual]:[Mapping]],2,FALSE)</f>
        <v>USA</v>
      </c>
      <c r="L199" t="s">
        <v>9</v>
      </c>
      <c r="N199" s="8" t="str">
        <f>VLOOKUP(K199,tblCountries[],3,0)</f>
        <v>North Amer.</v>
      </c>
      <c r="O199" s="8">
        <f>VLOOKUP(tblSalaries[[#This Row],[How many hours of a day you work on Excel]],tblHours,2,0)</f>
        <v>4</v>
      </c>
      <c r="P199" s="8">
        <f>VLOOKUP(tblSalaries[[#This Row],[clean Country]],tblCountries[],5,0)</f>
        <v>1</v>
      </c>
      <c r="Q199" s="8">
        <f>IF($Q$1,tblSalaries[[#This Row],[PPP Factor]]*tblSalaries[[#This Row],[Salary in USD]],tblSalaries[[#This Row],[Salary in USD]])</f>
        <v>99000</v>
      </c>
    </row>
    <row r="200" spans="2:17" ht="15" customHeight="1" x14ac:dyDescent="0.25">
      <c r="B200" t="s">
        <v>2203</v>
      </c>
      <c r="C200" s="1">
        <v>41055.036805555559</v>
      </c>
      <c r="D200" s="4">
        <v>90000</v>
      </c>
      <c r="E200">
        <v>90000</v>
      </c>
      <c r="F200" t="s">
        <v>6</v>
      </c>
      <c r="G200">
        <f>tblSalaries[[#This Row],[clean Salary (in local currency)]]*VLOOKUP(tblSalaries[[#This Row],[Currency]],tblXrate[],2,FALSE)</f>
        <v>90000</v>
      </c>
      <c r="H200" t="s">
        <v>201</v>
      </c>
      <c r="I200" t="s">
        <v>52</v>
      </c>
      <c r="J200" t="s">
        <v>15</v>
      </c>
      <c r="K200" t="str">
        <f>VLOOKUP(tblSalaries[[#This Row],[Where do you work]],tblCountries[[Actual]:[Mapping]],2,FALSE)</f>
        <v>USA</v>
      </c>
      <c r="L200" t="s">
        <v>18</v>
      </c>
      <c r="N200" s="8" t="str">
        <f>VLOOKUP(K200,tblCountries[],3,0)</f>
        <v>North Amer.</v>
      </c>
      <c r="O200" s="8">
        <f>VLOOKUP(tblSalaries[[#This Row],[How many hours of a day you work on Excel]],tblHours,2,0)</f>
        <v>3</v>
      </c>
      <c r="P200" s="8">
        <f>VLOOKUP(tblSalaries[[#This Row],[clean Country]],tblCountries[],5,0)</f>
        <v>1</v>
      </c>
      <c r="Q200" s="8">
        <f>IF($Q$1,tblSalaries[[#This Row],[PPP Factor]]*tblSalaries[[#This Row],[Salary in USD]],tblSalaries[[#This Row],[Salary in USD]])</f>
        <v>90000</v>
      </c>
    </row>
    <row r="201" spans="2:17" ht="15" customHeight="1" x14ac:dyDescent="0.25">
      <c r="B201" t="s">
        <v>2204</v>
      </c>
      <c r="C201" s="1">
        <v>41055.036828703705</v>
      </c>
      <c r="D201" s="4" t="s">
        <v>271</v>
      </c>
      <c r="E201">
        <v>275000</v>
      </c>
      <c r="F201" t="s">
        <v>40</v>
      </c>
      <c r="G201">
        <f>tblSalaries[[#This Row],[clean Salary (in local currency)]]*VLOOKUP(tblSalaries[[#This Row],[Currency]],tblXrate[],2,FALSE)</f>
        <v>4897.177089046706</v>
      </c>
      <c r="H201" t="s">
        <v>272</v>
      </c>
      <c r="I201" t="s">
        <v>20</v>
      </c>
      <c r="J201" t="s">
        <v>8</v>
      </c>
      <c r="K201" t="str">
        <f>VLOOKUP(tblSalaries[[#This Row],[Where do you work]],tblCountries[[Actual]:[Mapping]],2,FALSE)</f>
        <v>India</v>
      </c>
      <c r="L201" t="s">
        <v>18</v>
      </c>
      <c r="N201" s="8" t="str">
        <f>VLOOKUP(K201,tblCountries[],3,0)</f>
        <v>Asia</v>
      </c>
      <c r="O201" s="8">
        <f>VLOOKUP(tblSalaries[[#This Row],[How many hours of a day you work on Excel]],tblHours,2,0)</f>
        <v>3</v>
      </c>
      <c r="P201" s="8">
        <f>VLOOKUP(tblSalaries[[#This Row],[clean Country]],tblCountries[],5,0)</f>
        <v>13.098808879263672</v>
      </c>
      <c r="Q201" s="8">
        <f>IF($Q$1,tblSalaries[[#This Row],[PPP Factor]]*tblSalaries[[#This Row],[Salary in USD]],tblSalaries[[#This Row],[Salary in USD]])</f>
        <v>4897.177089046706</v>
      </c>
    </row>
    <row r="202" spans="2:17" ht="15" customHeight="1" x14ac:dyDescent="0.25">
      <c r="B202" t="s">
        <v>2205</v>
      </c>
      <c r="C202" s="1">
        <v>41055.03701388889</v>
      </c>
      <c r="D202" s="4" t="s">
        <v>273</v>
      </c>
      <c r="E202">
        <v>192000</v>
      </c>
      <c r="F202" t="s">
        <v>40</v>
      </c>
      <c r="G202">
        <f>tblSalaries[[#This Row],[clean Salary (in local currency)]]*VLOOKUP(tblSalaries[[#This Row],[Currency]],tblXrate[],2,FALSE)</f>
        <v>3419.1200039889732</v>
      </c>
      <c r="H202" t="s">
        <v>274</v>
      </c>
      <c r="I202" t="s">
        <v>20</v>
      </c>
      <c r="J202" t="s">
        <v>8</v>
      </c>
      <c r="K202" t="str">
        <f>VLOOKUP(tblSalaries[[#This Row],[Where do you work]],tblCountries[[Actual]:[Mapping]],2,FALSE)</f>
        <v>India</v>
      </c>
      <c r="L202" t="s">
        <v>13</v>
      </c>
      <c r="N202" s="8" t="str">
        <f>VLOOKUP(K202,tblCountries[],3,0)</f>
        <v>Asia</v>
      </c>
      <c r="O202" s="8">
        <f>VLOOKUP(tblSalaries[[#This Row],[How many hours of a day you work on Excel]],tblHours,2,0)</f>
        <v>5</v>
      </c>
      <c r="P202" s="8">
        <f>VLOOKUP(tblSalaries[[#This Row],[clean Country]],tblCountries[],5,0)</f>
        <v>13.098808879263672</v>
      </c>
      <c r="Q202" s="8">
        <f>IF($Q$1,tblSalaries[[#This Row],[PPP Factor]]*tblSalaries[[#This Row],[Salary in USD]],tblSalaries[[#This Row],[Salary in USD]])</f>
        <v>3419.1200039889732</v>
      </c>
    </row>
    <row r="203" spans="2:17" ht="15" customHeight="1" x14ac:dyDescent="0.25">
      <c r="B203" t="s">
        <v>2206</v>
      </c>
      <c r="C203" s="1">
        <v>41055.037233796298</v>
      </c>
      <c r="D203" s="4">
        <v>51000</v>
      </c>
      <c r="E203">
        <v>51000</v>
      </c>
      <c r="F203" t="s">
        <v>6</v>
      </c>
      <c r="G203">
        <f>tblSalaries[[#This Row],[clean Salary (in local currency)]]*VLOOKUP(tblSalaries[[#This Row],[Currency]],tblXrate[],2,FALSE)</f>
        <v>51000</v>
      </c>
      <c r="H203" t="s">
        <v>275</v>
      </c>
      <c r="I203" t="s">
        <v>52</v>
      </c>
      <c r="J203" t="s">
        <v>15</v>
      </c>
      <c r="K203" t="str">
        <f>VLOOKUP(tblSalaries[[#This Row],[Where do you work]],tblCountries[[Actual]:[Mapping]],2,FALSE)</f>
        <v>USA</v>
      </c>
      <c r="L203" t="s">
        <v>9</v>
      </c>
      <c r="N203" s="8" t="str">
        <f>VLOOKUP(K203,tblCountries[],3,0)</f>
        <v>North Amer.</v>
      </c>
      <c r="O203" s="8">
        <f>VLOOKUP(tblSalaries[[#This Row],[How many hours of a day you work on Excel]],tblHours,2,0)</f>
        <v>4</v>
      </c>
      <c r="P203" s="8">
        <f>VLOOKUP(tblSalaries[[#This Row],[clean Country]],tblCountries[],5,0)</f>
        <v>1</v>
      </c>
      <c r="Q203" s="8">
        <f>IF($Q$1,tblSalaries[[#This Row],[PPP Factor]]*tblSalaries[[#This Row],[Salary in USD]],tblSalaries[[#This Row],[Salary in USD]])</f>
        <v>51000</v>
      </c>
    </row>
    <row r="204" spans="2:17" ht="15" customHeight="1" x14ac:dyDescent="0.25">
      <c r="B204" t="s">
        <v>2207</v>
      </c>
      <c r="C204" s="1">
        <v>41055.037291666667</v>
      </c>
      <c r="D204" s="4">
        <v>100000</v>
      </c>
      <c r="E204">
        <v>100000</v>
      </c>
      <c r="F204" t="s">
        <v>6</v>
      </c>
      <c r="G204">
        <f>tblSalaries[[#This Row],[clean Salary (in local currency)]]*VLOOKUP(tblSalaries[[#This Row],[Currency]],tblXrate[],2,FALSE)</f>
        <v>100000</v>
      </c>
      <c r="H204" t="s">
        <v>276</v>
      </c>
      <c r="I204" t="s">
        <v>52</v>
      </c>
      <c r="J204" t="s">
        <v>15</v>
      </c>
      <c r="K204" t="str">
        <f>VLOOKUP(tblSalaries[[#This Row],[Where do you work]],tblCountries[[Actual]:[Mapping]],2,FALSE)</f>
        <v>USA</v>
      </c>
      <c r="L204" t="s">
        <v>13</v>
      </c>
      <c r="N204" s="8" t="str">
        <f>VLOOKUP(K204,tblCountries[],3,0)</f>
        <v>North Amer.</v>
      </c>
      <c r="O204" s="8">
        <f>VLOOKUP(tblSalaries[[#This Row],[How many hours of a day you work on Excel]],tblHours,2,0)</f>
        <v>5</v>
      </c>
      <c r="P204" s="8">
        <f>VLOOKUP(tblSalaries[[#This Row],[clean Country]],tblCountries[],5,0)</f>
        <v>1</v>
      </c>
      <c r="Q204" s="8">
        <f>IF($Q$1,tblSalaries[[#This Row],[PPP Factor]]*tblSalaries[[#This Row],[Salary in USD]],tblSalaries[[#This Row],[Salary in USD]])</f>
        <v>100000</v>
      </c>
    </row>
    <row r="205" spans="2:17" ht="15" customHeight="1" x14ac:dyDescent="0.25">
      <c r="B205" t="s">
        <v>2208</v>
      </c>
      <c r="C205" s="1">
        <v>41055.03733796296</v>
      </c>
      <c r="D205" s="4" t="s">
        <v>277</v>
      </c>
      <c r="E205">
        <v>1800000</v>
      </c>
      <c r="F205" t="s">
        <v>40</v>
      </c>
      <c r="G205">
        <f>tblSalaries[[#This Row],[clean Salary (in local currency)]]*VLOOKUP(tblSalaries[[#This Row],[Currency]],tblXrate[],2,FALSE)</f>
        <v>32054.250037396621</v>
      </c>
      <c r="H205" t="s">
        <v>278</v>
      </c>
      <c r="I205" t="s">
        <v>52</v>
      </c>
      <c r="J205" t="s">
        <v>8</v>
      </c>
      <c r="K205" t="str">
        <f>VLOOKUP(tblSalaries[[#This Row],[Where do you work]],tblCountries[[Actual]:[Mapping]],2,FALSE)</f>
        <v>India</v>
      </c>
      <c r="L205" t="s">
        <v>25</v>
      </c>
      <c r="N205" s="8" t="str">
        <f>VLOOKUP(K205,tblCountries[],3,0)</f>
        <v>Asia</v>
      </c>
      <c r="O205" s="8">
        <f>VLOOKUP(tblSalaries[[#This Row],[How many hours of a day you work on Excel]],tblHours,2,0)</f>
        <v>2</v>
      </c>
      <c r="P205" s="8">
        <f>VLOOKUP(tblSalaries[[#This Row],[clean Country]],tblCountries[],5,0)</f>
        <v>13.098808879263672</v>
      </c>
      <c r="Q205" s="8">
        <f>IF($Q$1,tblSalaries[[#This Row],[PPP Factor]]*tblSalaries[[#This Row],[Salary in USD]],tblSalaries[[#This Row],[Salary in USD]])</f>
        <v>32054.250037396621</v>
      </c>
    </row>
    <row r="206" spans="2:17" ht="15" customHeight="1" x14ac:dyDescent="0.25">
      <c r="B206" t="s">
        <v>2209</v>
      </c>
      <c r="C206" s="1">
        <v>41055.037638888891</v>
      </c>
      <c r="D206" s="4" t="s">
        <v>137</v>
      </c>
      <c r="E206">
        <v>30000</v>
      </c>
      <c r="F206" t="s">
        <v>69</v>
      </c>
      <c r="G206">
        <f>tblSalaries[[#This Row],[clean Salary (in local currency)]]*VLOOKUP(tblSalaries[[#This Row],[Currency]],tblXrate[],2,FALSE)</f>
        <v>47285.348162018527</v>
      </c>
      <c r="H206" t="s">
        <v>280</v>
      </c>
      <c r="I206" t="s">
        <v>20</v>
      </c>
      <c r="J206" t="s">
        <v>71</v>
      </c>
      <c r="K206" t="str">
        <f>VLOOKUP(tblSalaries[[#This Row],[Where do you work]],tblCountries[[Actual]:[Mapping]],2,FALSE)</f>
        <v>UK</v>
      </c>
      <c r="L206" t="s">
        <v>18</v>
      </c>
      <c r="N206" s="8" t="str">
        <f>VLOOKUP(K206,tblCountries[],3,0)</f>
        <v>Europe</v>
      </c>
      <c r="O206" s="8">
        <f>VLOOKUP(tblSalaries[[#This Row],[How many hours of a day you work on Excel]],tblHours,2,0)</f>
        <v>3</v>
      </c>
      <c r="P206" s="8">
        <f>VLOOKUP(tblSalaries[[#This Row],[clean Country]],tblCountries[],5,0)</f>
        <v>1.3407315045719035</v>
      </c>
      <c r="Q206" s="8">
        <f>IF($Q$1,tblSalaries[[#This Row],[PPP Factor]]*tblSalaries[[#This Row],[Salary in USD]],tblSalaries[[#This Row],[Salary in USD]])</f>
        <v>47285.348162018527</v>
      </c>
    </row>
    <row r="207" spans="2:17" ht="15" customHeight="1" x14ac:dyDescent="0.25">
      <c r="B207" t="s">
        <v>2210</v>
      </c>
      <c r="C207" s="1">
        <v>41055.037662037037</v>
      </c>
      <c r="D207" s="4" t="s">
        <v>281</v>
      </c>
      <c r="E207">
        <v>50000</v>
      </c>
      <c r="F207" t="s">
        <v>22</v>
      </c>
      <c r="G207">
        <f>tblSalaries[[#This Row],[clean Salary (in local currency)]]*VLOOKUP(tblSalaries[[#This Row],[Currency]],tblXrate[],2,FALSE)</f>
        <v>63519.971949580387</v>
      </c>
      <c r="H207" t="s">
        <v>153</v>
      </c>
      <c r="I207" t="s">
        <v>20</v>
      </c>
      <c r="J207" t="s">
        <v>36</v>
      </c>
      <c r="K207" t="str">
        <f>VLOOKUP(tblSalaries[[#This Row],[Where do you work]],tblCountries[[Actual]:[Mapping]],2,FALSE)</f>
        <v>Ireland</v>
      </c>
      <c r="L207" t="s">
        <v>9</v>
      </c>
      <c r="N207" s="8" t="str">
        <f>VLOOKUP(K207,tblCountries[],3,0)</f>
        <v>Europe</v>
      </c>
      <c r="O207" s="8">
        <f>VLOOKUP(tblSalaries[[#This Row],[How many hours of a day you work on Excel]],tblHours,2,0)</f>
        <v>4</v>
      </c>
      <c r="P207" s="8">
        <f>VLOOKUP(tblSalaries[[#This Row],[clean Country]],tblCountries[],5,0)</f>
        <v>1.2206917429803981</v>
      </c>
      <c r="Q207" s="8">
        <f>IF($Q$1,tblSalaries[[#This Row],[PPP Factor]]*tblSalaries[[#This Row],[Salary in USD]],tblSalaries[[#This Row],[Salary in USD]])</f>
        <v>63519.971949580387</v>
      </c>
    </row>
    <row r="208" spans="2:17" ht="15" customHeight="1" x14ac:dyDescent="0.25">
      <c r="B208" t="s">
        <v>2211</v>
      </c>
      <c r="C208" s="1">
        <v>41055.037685185183</v>
      </c>
      <c r="D208" s="4">
        <v>108160</v>
      </c>
      <c r="E208">
        <v>108160</v>
      </c>
      <c r="F208" t="s">
        <v>6</v>
      </c>
      <c r="G208">
        <f>tblSalaries[[#This Row],[clean Salary (in local currency)]]*VLOOKUP(tblSalaries[[#This Row],[Currency]],tblXrate[],2,FALSE)</f>
        <v>108160</v>
      </c>
      <c r="H208" t="s">
        <v>282</v>
      </c>
      <c r="I208" t="s">
        <v>20</v>
      </c>
      <c r="J208" t="s">
        <v>15</v>
      </c>
      <c r="K208" t="str">
        <f>VLOOKUP(tblSalaries[[#This Row],[Where do you work]],tblCountries[[Actual]:[Mapping]],2,FALSE)</f>
        <v>USA</v>
      </c>
      <c r="L208" t="s">
        <v>9</v>
      </c>
      <c r="N208" s="8" t="str">
        <f>VLOOKUP(K208,tblCountries[],3,0)</f>
        <v>North Amer.</v>
      </c>
      <c r="O208" s="8">
        <f>VLOOKUP(tblSalaries[[#This Row],[How many hours of a day you work on Excel]],tblHours,2,0)</f>
        <v>4</v>
      </c>
      <c r="P208" s="8">
        <f>VLOOKUP(tblSalaries[[#This Row],[clean Country]],tblCountries[],5,0)</f>
        <v>1</v>
      </c>
      <c r="Q208" s="8">
        <f>IF($Q$1,tblSalaries[[#This Row],[PPP Factor]]*tblSalaries[[#This Row],[Salary in USD]],tblSalaries[[#This Row],[Salary in USD]])</f>
        <v>108160</v>
      </c>
    </row>
    <row r="209" spans="2:17" ht="15" customHeight="1" x14ac:dyDescent="0.25">
      <c r="B209" t="s">
        <v>2212</v>
      </c>
      <c r="C209" s="1">
        <v>41055.037812499999</v>
      </c>
      <c r="D209" s="4">
        <v>50000</v>
      </c>
      <c r="E209">
        <v>50000</v>
      </c>
      <c r="F209" t="s">
        <v>6</v>
      </c>
      <c r="G209">
        <f>tblSalaries[[#This Row],[clean Salary (in local currency)]]*VLOOKUP(tblSalaries[[#This Row],[Currency]],tblXrate[],2,FALSE)</f>
        <v>50000</v>
      </c>
      <c r="H209" t="s">
        <v>283</v>
      </c>
      <c r="I209" t="s">
        <v>52</v>
      </c>
      <c r="J209" t="s">
        <v>15</v>
      </c>
      <c r="K209" t="str">
        <f>VLOOKUP(tblSalaries[[#This Row],[Where do you work]],tblCountries[[Actual]:[Mapping]],2,FALSE)</f>
        <v>USA</v>
      </c>
      <c r="L209" t="s">
        <v>9</v>
      </c>
      <c r="N209" s="8" t="str">
        <f>VLOOKUP(K209,tblCountries[],3,0)</f>
        <v>North Amer.</v>
      </c>
      <c r="O209" s="8">
        <f>VLOOKUP(tblSalaries[[#This Row],[How many hours of a day you work on Excel]],tblHours,2,0)</f>
        <v>4</v>
      </c>
      <c r="P209" s="8">
        <f>VLOOKUP(tblSalaries[[#This Row],[clean Country]],tblCountries[],5,0)</f>
        <v>1</v>
      </c>
      <c r="Q209" s="8">
        <f>IF($Q$1,tblSalaries[[#This Row],[PPP Factor]]*tblSalaries[[#This Row],[Salary in USD]],tblSalaries[[#This Row],[Salary in USD]])</f>
        <v>50000</v>
      </c>
    </row>
    <row r="210" spans="2:17" ht="15" customHeight="1" x14ac:dyDescent="0.25">
      <c r="B210" t="s">
        <v>2213</v>
      </c>
      <c r="C210" s="1">
        <v>41055.037824074076</v>
      </c>
      <c r="D210" s="4">
        <v>400000</v>
      </c>
      <c r="E210">
        <v>400000</v>
      </c>
      <c r="F210" t="s">
        <v>6</v>
      </c>
      <c r="G210">
        <f>tblSalaries[[#This Row],[clean Salary (in local currency)]]*VLOOKUP(tblSalaries[[#This Row],[Currency]],tblXrate[],2,FALSE)</f>
        <v>400000</v>
      </c>
      <c r="H210" t="s">
        <v>284</v>
      </c>
      <c r="I210" t="s">
        <v>52</v>
      </c>
      <c r="J210" t="s">
        <v>15</v>
      </c>
      <c r="K210" t="str">
        <f>VLOOKUP(tblSalaries[[#This Row],[Where do you work]],tblCountries[[Actual]:[Mapping]],2,FALSE)</f>
        <v>USA</v>
      </c>
      <c r="L210" t="s">
        <v>25</v>
      </c>
      <c r="N210" s="8" t="str">
        <f>VLOOKUP(K210,tblCountries[],3,0)</f>
        <v>North Amer.</v>
      </c>
      <c r="O210" s="8">
        <f>VLOOKUP(tblSalaries[[#This Row],[How many hours of a day you work on Excel]],tblHours,2,0)</f>
        <v>2</v>
      </c>
      <c r="P210" s="8">
        <f>VLOOKUP(tblSalaries[[#This Row],[clean Country]],tblCountries[],5,0)</f>
        <v>1</v>
      </c>
      <c r="Q210" s="8">
        <f>IF($Q$1,tblSalaries[[#This Row],[PPP Factor]]*tblSalaries[[#This Row],[Salary in USD]],tblSalaries[[#This Row],[Salary in USD]])</f>
        <v>400000</v>
      </c>
    </row>
    <row r="211" spans="2:17" ht="15" customHeight="1" x14ac:dyDescent="0.25">
      <c r="B211" t="s">
        <v>2214</v>
      </c>
      <c r="C211" s="1">
        <v>41055.037974537037</v>
      </c>
      <c r="D211" s="4">
        <v>43000</v>
      </c>
      <c r="E211">
        <v>43000</v>
      </c>
      <c r="F211" t="s">
        <v>6</v>
      </c>
      <c r="G211">
        <f>tblSalaries[[#This Row],[clean Salary (in local currency)]]*VLOOKUP(tblSalaries[[#This Row],[Currency]],tblXrate[],2,FALSE)</f>
        <v>43000</v>
      </c>
      <c r="H211" t="s">
        <v>285</v>
      </c>
      <c r="I211" t="s">
        <v>20</v>
      </c>
      <c r="J211" t="s">
        <v>15</v>
      </c>
      <c r="K211" t="str">
        <f>VLOOKUP(tblSalaries[[#This Row],[Where do you work]],tblCountries[[Actual]:[Mapping]],2,FALSE)</f>
        <v>USA</v>
      </c>
      <c r="L211" t="s">
        <v>13</v>
      </c>
      <c r="N211" s="8" t="str">
        <f>VLOOKUP(K211,tblCountries[],3,0)</f>
        <v>North Amer.</v>
      </c>
      <c r="O211" s="8">
        <f>VLOOKUP(tblSalaries[[#This Row],[How many hours of a day you work on Excel]],tblHours,2,0)</f>
        <v>5</v>
      </c>
      <c r="P211" s="8">
        <f>VLOOKUP(tblSalaries[[#This Row],[clean Country]],tblCountries[],5,0)</f>
        <v>1</v>
      </c>
      <c r="Q211" s="8">
        <f>IF($Q$1,tblSalaries[[#This Row],[PPP Factor]]*tblSalaries[[#This Row],[Salary in USD]],tblSalaries[[#This Row],[Salary in USD]])</f>
        <v>43000</v>
      </c>
    </row>
    <row r="212" spans="2:17" ht="15" customHeight="1" x14ac:dyDescent="0.25">
      <c r="B212" t="s">
        <v>2215</v>
      </c>
      <c r="C212" s="1">
        <v>41055.038032407407</v>
      </c>
      <c r="D212" s="4">
        <v>27000</v>
      </c>
      <c r="E212">
        <v>27000</v>
      </c>
      <c r="F212" t="s">
        <v>6</v>
      </c>
      <c r="G212">
        <f>tblSalaries[[#This Row],[clean Salary (in local currency)]]*VLOOKUP(tblSalaries[[#This Row],[Currency]],tblXrate[],2,FALSE)</f>
        <v>27000</v>
      </c>
      <c r="H212" t="s">
        <v>170</v>
      </c>
      <c r="I212" t="s">
        <v>20</v>
      </c>
      <c r="J212" t="s">
        <v>171</v>
      </c>
      <c r="K212" t="str">
        <f>VLOOKUP(tblSalaries[[#This Row],[Where do you work]],tblCountries[[Actual]:[Mapping]],2,FALSE)</f>
        <v>Singapore</v>
      </c>
      <c r="L212" t="s">
        <v>13</v>
      </c>
      <c r="N212" s="8" t="str">
        <f>VLOOKUP(K212,tblCountries[],3,0)</f>
        <v>Asia</v>
      </c>
      <c r="O212" s="8">
        <f>VLOOKUP(tblSalaries[[#This Row],[How many hours of a day you work on Excel]],tblHours,2,0)</f>
        <v>5</v>
      </c>
      <c r="P212" s="8">
        <f>VLOOKUP(tblSalaries[[#This Row],[clean Country]],tblCountries[],5,0)</f>
        <v>0.81035320125270049</v>
      </c>
      <c r="Q212" s="8">
        <f>IF($Q$1,tblSalaries[[#This Row],[PPP Factor]]*tblSalaries[[#This Row],[Salary in USD]],tblSalaries[[#This Row],[Salary in USD]])</f>
        <v>27000</v>
      </c>
    </row>
    <row r="213" spans="2:17" ht="15" customHeight="1" x14ac:dyDescent="0.25">
      <c r="B213" t="s">
        <v>2216</v>
      </c>
      <c r="C213" s="1">
        <v>41055.038148148145</v>
      </c>
      <c r="D213" s="4">
        <v>41000</v>
      </c>
      <c r="E213">
        <v>41000</v>
      </c>
      <c r="F213" t="s">
        <v>6</v>
      </c>
      <c r="G213">
        <f>tblSalaries[[#This Row],[clean Salary (in local currency)]]*VLOOKUP(tblSalaries[[#This Row],[Currency]],tblXrate[],2,FALSE)</f>
        <v>41000</v>
      </c>
      <c r="H213" t="s">
        <v>286</v>
      </c>
      <c r="I213" t="s">
        <v>52</v>
      </c>
      <c r="J213" t="s">
        <v>15</v>
      </c>
      <c r="K213" t="str">
        <f>VLOOKUP(tblSalaries[[#This Row],[Where do you work]],tblCountries[[Actual]:[Mapping]],2,FALSE)</f>
        <v>USA</v>
      </c>
      <c r="L213" t="s">
        <v>13</v>
      </c>
      <c r="N213" s="8" t="str">
        <f>VLOOKUP(K213,tblCountries[],3,0)</f>
        <v>North Amer.</v>
      </c>
      <c r="O213" s="8">
        <f>VLOOKUP(tblSalaries[[#This Row],[How many hours of a day you work on Excel]],tblHours,2,0)</f>
        <v>5</v>
      </c>
      <c r="P213" s="8">
        <f>VLOOKUP(tblSalaries[[#This Row],[clean Country]],tblCountries[],5,0)</f>
        <v>1</v>
      </c>
      <c r="Q213" s="8">
        <f>IF($Q$1,tblSalaries[[#This Row],[PPP Factor]]*tblSalaries[[#This Row],[Salary in USD]],tblSalaries[[#This Row],[Salary in USD]])</f>
        <v>41000</v>
      </c>
    </row>
    <row r="214" spans="2:17" ht="15" customHeight="1" x14ac:dyDescent="0.25">
      <c r="B214" t="s">
        <v>2217</v>
      </c>
      <c r="C214" s="1">
        <v>41055.038263888891</v>
      </c>
      <c r="D214" s="4">
        <v>100000</v>
      </c>
      <c r="E214">
        <v>100000</v>
      </c>
      <c r="F214" t="s">
        <v>6</v>
      </c>
      <c r="G214">
        <f>tblSalaries[[#This Row],[clean Salary (in local currency)]]*VLOOKUP(tblSalaries[[#This Row],[Currency]],tblXrate[],2,FALSE)</f>
        <v>100000</v>
      </c>
      <c r="H214" t="s">
        <v>287</v>
      </c>
      <c r="I214" t="s">
        <v>4001</v>
      </c>
      <c r="J214" t="s">
        <v>15</v>
      </c>
      <c r="K214" t="str">
        <f>VLOOKUP(tblSalaries[[#This Row],[Where do you work]],tblCountries[[Actual]:[Mapping]],2,FALSE)</f>
        <v>USA</v>
      </c>
      <c r="L214" t="s">
        <v>9</v>
      </c>
      <c r="N214" s="8" t="str">
        <f>VLOOKUP(K214,tblCountries[],3,0)</f>
        <v>North Amer.</v>
      </c>
      <c r="O214" s="8">
        <f>VLOOKUP(tblSalaries[[#This Row],[How many hours of a day you work on Excel]],tblHours,2,0)</f>
        <v>4</v>
      </c>
      <c r="P214" s="8">
        <f>VLOOKUP(tblSalaries[[#This Row],[clean Country]],tblCountries[],5,0)</f>
        <v>1</v>
      </c>
      <c r="Q214" s="8">
        <f>IF($Q$1,tblSalaries[[#This Row],[PPP Factor]]*tblSalaries[[#This Row],[Salary in USD]],tblSalaries[[#This Row],[Salary in USD]])</f>
        <v>100000</v>
      </c>
    </row>
    <row r="215" spans="2:17" ht="15" customHeight="1" x14ac:dyDescent="0.25">
      <c r="B215" t="s">
        <v>2218</v>
      </c>
      <c r="C215" s="1">
        <v>41055.038773148146</v>
      </c>
      <c r="D215" s="4">
        <v>42140</v>
      </c>
      <c r="E215">
        <v>42140</v>
      </c>
      <c r="F215" t="s">
        <v>6</v>
      </c>
      <c r="G215">
        <f>tblSalaries[[#This Row],[clean Salary (in local currency)]]*VLOOKUP(tblSalaries[[#This Row],[Currency]],tblXrate[],2,FALSE)</f>
        <v>42140</v>
      </c>
      <c r="H215" t="s">
        <v>288</v>
      </c>
      <c r="I215" t="s">
        <v>20</v>
      </c>
      <c r="J215" t="s">
        <v>15</v>
      </c>
      <c r="K215" t="str">
        <f>VLOOKUP(tblSalaries[[#This Row],[Where do you work]],tblCountries[[Actual]:[Mapping]],2,FALSE)</f>
        <v>USA</v>
      </c>
      <c r="L215" t="s">
        <v>9</v>
      </c>
      <c r="N215" s="8" t="str">
        <f>VLOOKUP(K215,tblCountries[],3,0)</f>
        <v>North Amer.</v>
      </c>
      <c r="O215" s="8">
        <f>VLOOKUP(tblSalaries[[#This Row],[How many hours of a day you work on Excel]],tblHours,2,0)</f>
        <v>4</v>
      </c>
      <c r="P215" s="8">
        <f>VLOOKUP(tblSalaries[[#This Row],[clean Country]],tblCountries[],5,0)</f>
        <v>1</v>
      </c>
      <c r="Q215" s="8">
        <f>IF($Q$1,tblSalaries[[#This Row],[PPP Factor]]*tblSalaries[[#This Row],[Salary in USD]],tblSalaries[[#This Row],[Salary in USD]])</f>
        <v>42140</v>
      </c>
    </row>
    <row r="216" spans="2:17" ht="15" customHeight="1" x14ac:dyDescent="0.25">
      <c r="B216" t="s">
        <v>2219</v>
      </c>
      <c r="C216" s="1">
        <v>41055.038958333331</v>
      </c>
      <c r="D216" s="4">
        <v>80000</v>
      </c>
      <c r="E216">
        <v>80000</v>
      </c>
      <c r="F216" t="s">
        <v>6</v>
      </c>
      <c r="G216">
        <f>tblSalaries[[#This Row],[clean Salary (in local currency)]]*VLOOKUP(tblSalaries[[#This Row],[Currency]],tblXrate[],2,FALSE)</f>
        <v>80000</v>
      </c>
      <c r="H216" t="s">
        <v>135</v>
      </c>
      <c r="I216" t="s">
        <v>20</v>
      </c>
      <c r="J216" t="s">
        <v>15</v>
      </c>
      <c r="K216" t="str">
        <f>VLOOKUP(tblSalaries[[#This Row],[Where do you work]],tblCountries[[Actual]:[Mapping]],2,FALSE)</f>
        <v>USA</v>
      </c>
      <c r="L216" t="s">
        <v>9</v>
      </c>
      <c r="N216" s="8" t="str">
        <f>VLOOKUP(K216,tblCountries[],3,0)</f>
        <v>North Amer.</v>
      </c>
      <c r="O216" s="8">
        <f>VLOOKUP(tblSalaries[[#This Row],[How many hours of a day you work on Excel]],tblHours,2,0)</f>
        <v>4</v>
      </c>
      <c r="P216" s="8">
        <f>VLOOKUP(tblSalaries[[#This Row],[clean Country]],tblCountries[],5,0)</f>
        <v>1</v>
      </c>
      <c r="Q216" s="8">
        <f>IF($Q$1,tblSalaries[[#This Row],[PPP Factor]]*tblSalaries[[#This Row],[Salary in USD]],tblSalaries[[#This Row],[Salary in USD]])</f>
        <v>80000</v>
      </c>
    </row>
    <row r="217" spans="2:17" ht="15" customHeight="1" x14ac:dyDescent="0.25">
      <c r="B217" t="s">
        <v>2220</v>
      </c>
      <c r="C217" s="1">
        <v>41055.039317129631</v>
      </c>
      <c r="D217" s="4">
        <v>41600</v>
      </c>
      <c r="E217">
        <v>41600</v>
      </c>
      <c r="F217" t="s">
        <v>6</v>
      </c>
      <c r="G217">
        <f>tblSalaries[[#This Row],[clean Salary (in local currency)]]*VLOOKUP(tblSalaries[[#This Row],[Currency]],tblXrate[],2,FALSE)</f>
        <v>41600</v>
      </c>
      <c r="H217" t="s">
        <v>201</v>
      </c>
      <c r="I217" t="s">
        <v>52</v>
      </c>
      <c r="J217" t="s">
        <v>15</v>
      </c>
      <c r="K217" t="str">
        <f>VLOOKUP(tblSalaries[[#This Row],[Where do you work]],tblCountries[[Actual]:[Mapping]],2,FALSE)</f>
        <v>USA</v>
      </c>
      <c r="L217" t="s">
        <v>9</v>
      </c>
      <c r="N217" s="8" t="str">
        <f>VLOOKUP(K217,tblCountries[],3,0)</f>
        <v>North Amer.</v>
      </c>
      <c r="O217" s="8">
        <f>VLOOKUP(tblSalaries[[#This Row],[How many hours of a day you work on Excel]],tblHours,2,0)</f>
        <v>4</v>
      </c>
      <c r="P217" s="8">
        <f>VLOOKUP(tblSalaries[[#This Row],[clean Country]],tblCountries[],5,0)</f>
        <v>1</v>
      </c>
      <c r="Q217" s="8">
        <f>IF($Q$1,tblSalaries[[#This Row],[PPP Factor]]*tblSalaries[[#This Row],[Salary in USD]],tblSalaries[[#This Row],[Salary in USD]])</f>
        <v>41600</v>
      </c>
    </row>
    <row r="218" spans="2:17" ht="15" customHeight="1" x14ac:dyDescent="0.25">
      <c r="B218" t="s">
        <v>2221</v>
      </c>
      <c r="C218" s="1">
        <v>41055.039317129631</v>
      </c>
      <c r="D218" s="4" t="s">
        <v>289</v>
      </c>
      <c r="E218">
        <v>45000</v>
      </c>
      <c r="F218" t="s">
        <v>6</v>
      </c>
      <c r="G218">
        <f>tblSalaries[[#This Row],[clean Salary (in local currency)]]*VLOOKUP(tblSalaries[[#This Row],[Currency]],tblXrate[],2,FALSE)</f>
        <v>45000</v>
      </c>
      <c r="H218" t="s">
        <v>290</v>
      </c>
      <c r="I218" t="s">
        <v>310</v>
      </c>
      <c r="J218" t="s">
        <v>15</v>
      </c>
      <c r="K218" t="str">
        <f>VLOOKUP(tblSalaries[[#This Row],[Where do you work]],tblCountries[[Actual]:[Mapping]],2,FALSE)</f>
        <v>USA</v>
      </c>
      <c r="L218" t="s">
        <v>18</v>
      </c>
      <c r="N218" s="8" t="str">
        <f>VLOOKUP(K218,tblCountries[],3,0)</f>
        <v>North Amer.</v>
      </c>
      <c r="O218" s="8">
        <f>VLOOKUP(tblSalaries[[#This Row],[How many hours of a day you work on Excel]],tblHours,2,0)</f>
        <v>3</v>
      </c>
      <c r="P218" s="8">
        <f>VLOOKUP(tblSalaries[[#This Row],[clean Country]],tblCountries[],5,0)</f>
        <v>1</v>
      </c>
      <c r="Q218" s="8">
        <f>IF($Q$1,tblSalaries[[#This Row],[PPP Factor]]*tblSalaries[[#This Row],[Salary in USD]],tblSalaries[[#This Row],[Salary in USD]])</f>
        <v>45000</v>
      </c>
    </row>
    <row r="219" spans="2:17" ht="15" customHeight="1" x14ac:dyDescent="0.25">
      <c r="B219" t="s">
        <v>2222</v>
      </c>
      <c r="C219" s="1">
        <v>41055.039513888885</v>
      </c>
      <c r="D219" s="4">
        <v>78000</v>
      </c>
      <c r="E219">
        <v>78000</v>
      </c>
      <c r="F219" t="s">
        <v>6</v>
      </c>
      <c r="G219">
        <f>tblSalaries[[#This Row],[clean Salary (in local currency)]]*VLOOKUP(tblSalaries[[#This Row],[Currency]],tblXrate[],2,FALSE)</f>
        <v>78000</v>
      </c>
      <c r="H219" t="s">
        <v>291</v>
      </c>
      <c r="I219" t="s">
        <v>310</v>
      </c>
      <c r="J219" t="s">
        <v>292</v>
      </c>
      <c r="K219" t="str">
        <f>VLOOKUP(tblSalaries[[#This Row],[Where do you work]],tblCountries[[Actual]:[Mapping]],2,FALSE)</f>
        <v>Bermuda</v>
      </c>
      <c r="L219" t="s">
        <v>9</v>
      </c>
      <c r="N219" s="8" t="str">
        <f>VLOOKUP(K219,tblCountries[],3,0)</f>
        <v>South Amer.</v>
      </c>
      <c r="O219" s="8">
        <f>VLOOKUP(tblSalaries[[#This Row],[How many hours of a day you work on Excel]],tblHours,2,0)</f>
        <v>4</v>
      </c>
      <c r="P219" s="8">
        <f>VLOOKUP(tblSalaries[[#This Row],[clean Country]],tblCountries[],5,0)</f>
        <v>1</v>
      </c>
      <c r="Q219" s="8">
        <f>IF($Q$1,tblSalaries[[#This Row],[PPP Factor]]*tblSalaries[[#This Row],[Salary in USD]],tblSalaries[[#This Row],[Salary in USD]])</f>
        <v>78000</v>
      </c>
    </row>
    <row r="220" spans="2:17" ht="15" customHeight="1" x14ac:dyDescent="0.25">
      <c r="B220" t="s">
        <v>2223</v>
      </c>
      <c r="C220" s="1">
        <v>41055.039826388886</v>
      </c>
      <c r="D220" s="4" t="s">
        <v>293</v>
      </c>
      <c r="E220">
        <v>500000</v>
      </c>
      <c r="F220" t="s">
        <v>40</v>
      </c>
      <c r="G220">
        <f>tblSalaries[[#This Row],[clean Salary (in local currency)]]*VLOOKUP(tblSalaries[[#This Row],[Currency]],tblXrate[],2,FALSE)</f>
        <v>8903.9583437212841</v>
      </c>
      <c r="H220" t="s">
        <v>201</v>
      </c>
      <c r="I220" t="s">
        <v>52</v>
      </c>
      <c r="J220" t="s">
        <v>8</v>
      </c>
      <c r="K220" t="str">
        <f>VLOOKUP(tblSalaries[[#This Row],[Where do you work]],tblCountries[[Actual]:[Mapping]],2,FALSE)</f>
        <v>India</v>
      </c>
      <c r="L220" t="s">
        <v>9</v>
      </c>
      <c r="N220" s="8" t="str">
        <f>VLOOKUP(K220,tblCountries[],3,0)</f>
        <v>Asia</v>
      </c>
      <c r="O220" s="8">
        <f>VLOOKUP(tblSalaries[[#This Row],[How many hours of a day you work on Excel]],tblHours,2,0)</f>
        <v>4</v>
      </c>
      <c r="P220" s="8">
        <f>VLOOKUP(tblSalaries[[#This Row],[clean Country]],tblCountries[],5,0)</f>
        <v>13.098808879263672</v>
      </c>
      <c r="Q220" s="8">
        <f>IF($Q$1,tblSalaries[[#This Row],[PPP Factor]]*tblSalaries[[#This Row],[Salary in USD]],tblSalaries[[#This Row],[Salary in USD]])</f>
        <v>8903.9583437212841</v>
      </c>
    </row>
    <row r="221" spans="2:17" ht="15" customHeight="1" x14ac:dyDescent="0.25">
      <c r="B221" t="s">
        <v>2224</v>
      </c>
      <c r="C221" s="1">
        <v>41055.039988425924</v>
      </c>
      <c r="D221" s="4" t="s">
        <v>294</v>
      </c>
      <c r="E221">
        <v>350000</v>
      </c>
      <c r="F221" t="s">
        <v>40</v>
      </c>
      <c r="G221">
        <f>tblSalaries[[#This Row],[clean Salary (in local currency)]]*VLOOKUP(tblSalaries[[#This Row],[Currency]],tblXrate[],2,FALSE)</f>
        <v>6232.7708406048987</v>
      </c>
      <c r="H221" t="s">
        <v>295</v>
      </c>
      <c r="I221" t="s">
        <v>310</v>
      </c>
      <c r="J221" t="s">
        <v>8</v>
      </c>
      <c r="K221" t="str">
        <f>VLOOKUP(tblSalaries[[#This Row],[Where do you work]],tblCountries[[Actual]:[Mapping]],2,FALSE)</f>
        <v>India</v>
      </c>
      <c r="L221" t="s">
        <v>9</v>
      </c>
      <c r="N221" s="8" t="str">
        <f>VLOOKUP(K221,tblCountries[],3,0)</f>
        <v>Asia</v>
      </c>
      <c r="O221" s="8">
        <f>VLOOKUP(tblSalaries[[#This Row],[How many hours of a day you work on Excel]],tblHours,2,0)</f>
        <v>4</v>
      </c>
      <c r="P221" s="8">
        <f>VLOOKUP(tblSalaries[[#This Row],[clean Country]],tblCountries[],5,0)</f>
        <v>13.098808879263672</v>
      </c>
      <c r="Q221" s="8">
        <f>IF($Q$1,tblSalaries[[#This Row],[PPP Factor]]*tblSalaries[[#This Row],[Salary in USD]],tblSalaries[[#This Row],[Salary in USD]])</f>
        <v>6232.7708406048987</v>
      </c>
    </row>
    <row r="222" spans="2:17" ht="15" customHeight="1" x14ac:dyDescent="0.25">
      <c r="B222" t="s">
        <v>2225</v>
      </c>
      <c r="C222" s="1">
        <v>41055.040092592593</v>
      </c>
      <c r="D222" s="4">
        <v>72500</v>
      </c>
      <c r="E222">
        <v>72500</v>
      </c>
      <c r="F222" t="s">
        <v>6</v>
      </c>
      <c r="G222">
        <f>tblSalaries[[#This Row],[clean Salary (in local currency)]]*VLOOKUP(tblSalaries[[#This Row],[Currency]],tblXrate[],2,FALSE)</f>
        <v>72500</v>
      </c>
      <c r="H222" t="s">
        <v>296</v>
      </c>
      <c r="I222" t="s">
        <v>488</v>
      </c>
      <c r="J222" t="s">
        <v>15</v>
      </c>
      <c r="K222" t="str">
        <f>VLOOKUP(tblSalaries[[#This Row],[Where do you work]],tblCountries[[Actual]:[Mapping]],2,FALSE)</f>
        <v>USA</v>
      </c>
      <c r="L222" t="s">
        <v>9</v>
      </c>
      <c r="N222" s="8" t="str">
        <f>VLOOKUP(K222,tblCountries[],3,0)</f>
        <v>North Amer.</v>
      </c>
      <c r="O222" s="8">
        <f>VLOOKUP(tblSalaries[[#This Row],[How many hours of a day you work on Excel]],tblHours,2,0)</f>
        <v>4</v>
      </c>
      <c r="P222" s="8">
        <f>VLOOKUP(tblSalaries[[#This Row],[clean Country]],tblCountries[],5,0)</f>
        <v>1</v>
      </c>
      <c r="Q222" s="8">
        <f>IF($Q$1,tblSalaries[[#This Row],[PPP Factor]]*tblSalaries[[#This Row],[Salary in USD]],tblSalaries[[#This Row],[Salary in USD]])</f>
        <v>72500</v>
      </c>
    </row>
    <row r="223" spans="2:17" ht="15" customHeight="1" x14ac:dyDescent="0.25">
      <c r="B223" t="s">
        <v>2226</v>
      </c>
      <c r="C223" s="1">
        <v>41055.040185185186</v>
      </c>
      <c r="D223" s="4" t="s">
        <v>297</v>
      </c>
      <c r="E223">
        <v>138000</v>
      </c>
      <c r="F223" t="s">
        <v>6</v>
      </c>
      <c r="G223">
        <f>tblSalaries[[#This Row],[clean Salary (in local currency)]]*VLOOKUP(tblSalaries[[#This Row],[Currency]],tblXrate[],2,FALSE)</f>
        <v>138000</v>
      </c>
      <c r="H223" t="s">
        <v>298</v>
      </c>
      <c r="I223" t="s">
        <v>279</v>
      </c>
      <c r="J223" t="s">
        <v>299</v>
      </c>
      <c r="K223" t="str">
        <f>VLOOKUP(tblSalaries[[#This Row],[Where do you work]],tblCountries[[Actual]:[Mapping]],2,FALSE)</f>
        <v>Thailand</v>
      </c>
      <c r="L223" t="s">
        <v>9</v>
      </c>
      <c r="N223" s="8" t="str">
        <f>VLOOKUP(K223,tblCountries[],3,0)</f>
        <v>Asia</v>
      </c>
      <c r="O223" s="8">
        <f>VLOOKUP(tblSalaries[[#This Row],[How many hours of a day you work on Excel]],tblHours,2,0)</f>
        <v>4</v>
      </c>
      <c r="P223" s="8">
        <f>VLOOKUP(tblSalaries[[#This Row],[clean Country]],tblCountries[],5,0)</f>
        <v>5.1497445721583652</v>
      </c>
      <c r="Q223" s="8">
        <f>IF($Q$1,tblSalaries[[#This Row],[PPP Factor]]*tblSalaries[[#This Row],[Salary in USD]],tblSalaries[[#This Row],[Salary in USD]])</f>
        <v>138000</v>
      </c>
    </row>
    <row r="224" spans="2:17" ht="15" customHeight="1" x14ac:dyDescent="0.25">
      <c r="B224" t="s">
        <v>2227</v>
      </c>
      <c r="C224" s="1">
        <v>41055.040312500001</v>
      </c>
      <c r="D224" s="4">
        <v>480000</v>
      </c>
      <c r="E224">
        <v>480000</v>
      </c>
      <c r="F224" t="s">
        <v>40</v>
      </c>
      <c r="G224">
        <f>tblSalaries[[#This Row],[clean Salary (in local currency)]]*VLOOKUP(tblSalaries[[#This Row],[Currency]],tblXrate[],2,FALSE)</f>
        <v>8547.8000099724322</v>
      </c>
      <c r="H224" t="s">
        <v>300</v>
      </c>
      <c r="I224" t="s">
        <v>52</v>
      </c>
      <c r="J224" t="s">
        <v>8</v>
      </c>
      <c r="K224" t="str">
        <f>VLOOKUP(tblSalaries[[#This Row],[Where do you work]],tblCountries[[Actual]:[Mapping]],2,FALSE)</f>
        <v>India</v>
      </c>
      <c r="L224" t="s">
        <v>9</v>
      </c>
      <c r="N224" s="8" t="str">
        <f>VLOOKUP(K224,tblCountries[],3,0)</f>
        <v>Asia</v>
      </c>
      <c r="O224" s="8">
        <f>VLOOKUP(tblSalaries[[#This Row],[How many hours of a day you work on Excel]],tblHours,2,0)</f>
        <v>4</v>
      </c>
      <c r="P224" s="8">
        <f>VLOOKUP(tblSalaries[[#This Row],[clean Country]],tblCountries[],5,0)</f>
        <v>13.098808879263672</v>
      </c>
      <c r="Q224" s="8">
        <f>IF($Q$1,tblSalaries[[#This Row],[PPP Factor]]*tblSalaries[[#This Row],[Salary in USD]],tblSalaries[[#This Row],[Salary in USD]])</f>
        <v>8547.8000099724322</v>
      </c>
    </row>
    <row r="225" spans="2:17" ht="15" customHeight="1" x14ac:dyDescent="0.25">
      <c r="B225" t="s">
        <v>2228</v>
      </c>
      <c r="C225" s="1">
        <v>41055.040335648147</v>
      </c>
      <c r="D225" s="4">
        <v>80000</v>
      </c>
      <c r="E225">
        <v>80000</v>
      </c>
      <c r="F225" t="s">
        <v>6</v>
      </c>
      <c r="G225">
        <f>tblSalaries[[#This Row],[clean Salary (in local currency)]]*VLOOKUP(tblSalaries[[#This Row],[Currency]],tblXrate[],2,FALSE)</f>
        <v>80000</v>
      </c>
      <c r="H225" t="s">
        <v>72</v>
      </c>
      <c r="I225" t="s">
        <v>20</v>
      </c>
      <c r="J225" t="s">
        <v>15</v>
      </c>
      <c r="K225" t="str">
        <f>VLOOKUP(tblSalaries[[#This Row],[Where do you work]],tblCountries[[Actual]:[Mapping]],2,FALSE)</f>
        <v>USA</v>
      </c>
      <c r="L225" t="s">
        <v>9</v>
      </c>
      <c r="N225" s="8" t="str">
        <f>VLOOKUP(K225,tblCountries[],3,0)</f>
        <v>North Amer.</v>
      </c>
      <c r="O225" s="8">
        <f>VLOOKUP(tblSalaries[[#This Row],[How many hours of a day you work on Excel]],tblHours,2,0)</f>
        <v>4</v>
      </c>
      <c r="P225" s="8">
        <f>VLOOKUP(tblSalaries[[#This Row],[clean Country]],tblCountries[],5,0)</f>
        <v>1</v>
      </c>
      <c r="Q225" s="8">
        <f>IF($Q$1,tblSalaries[[#This Row],[PPP Factor]]*tblSalaries[[#This Row],[Salary in USD]],tblSalaries[[#This Row],[Salary in USD]])</f>
        <v>80000</v>
      </c>
    </row>
    <row r="226" spans="2:17" ht="15" customHeight="1" x14ac:dyDescent="0.25">
      <c r="B226" t="s">
        <v>2229</v>
      </c>
      <c r="C226" s="1">
        <v>41055.040347222224</v>
      </c>
      <c r="D226" s="4">
        <v>50000</v>
      </c>
      <c r="E226">
        <v>50000</v>
      </c>
      <c r="F226" t="s">
        <v>6</v>
      </c>
      <c r="G226">
        <f>tblSalaries[[#This Row],[clean Salary (in local currency)]]*VLOOKUP(tblSalaries[[#This Row],[Currency]],tblXrate[],2,FALSE)</f>
        <v>50000</v>
      </c>
      <c r="H226" t="s">
        <v>201</v>
      </c>
      <c r="I226" t="s">
        <v>52</v>
      </c>
      <c r="J226" t="s">
        <v>15</v>
      </c>
      <c r="K226" t="str">
        <f>VLOOKUP(tblSalaries[[#This Row],[Where do you work]],tblCountries[[Actual]:[Mapping]],2,FALSE)</f>
        <v>USA</v>
      </c>
      <c r="L226" t="s">
        <v>9</v>
      </c>
      <c r="N226" s="8" t="str">
        <f>VLOOKUP(K226,tblCountries[],3,0)</f>
        <v>North Amer.</v>
      </c>
      <c r="O226" s="8">
        <f>VLOOKUP(tblSalaries[[#This Row],[How many hours of a day you work on Excel]],tblHours,2,0)</f>
        <v>4</v>
      </c>
      <c r="P226" s="8">
        <f>VLOOKUP(tblSalaries[[#This Row],[clean Country]],tblCountries[],5,0)</f>
        <v>1</v>
      </c>
      <c r="Q226" s="8">
        <f>IF($Q$1,tblSalaries[[#This Row],[PPP Factor]]*tblSalaries[[#This Row],[Salary in USD]],tblSalaries[[#This Row],[Salary in USD]])</f>
        <v>50000</v>
      </c>
    </row>
    <row r="227" spans="2:17" ht="15" customHeight="1" x14ac:dyDescent="0.25">
      <c r="B227" t="s">
        <v>2230</v>
      </c>
      <c r="C227" s="1">
        <v>41055.040393518517</v>
      </c>
      <c r="D227" s="4">
        <v>45000</v>
      </c>
      <c r="E227">
        <v>45000</v>
      </c>
      <c r="F227" t="s">
        <v>86</v>
      </c>
      <c r="G227">
        <f>tblSalaries[[#This Row],[clean Salary (in local currency)]]*VLOOKUP(tblSalaries[[#This Row],[Currency]],tblXrate[],2,FALSE)</f>
        <v>44251.268536364711</v>
      </c>
      <c r="H227" t="s">
        <v>301</v>
      </c>
      <c r="I227" t="s">
        <v>67</v>
      </c>
      <c r="J227" t="s">
        <v>88</v>
      </c>
      <c r="K227" t="str">
        <f>VLOOKUP(tblSalaries[[#This Row],[Where do you work]],tblCountries[[Actual]:[Mapping]],2,FALSE)</f>
        <v>Canada</v>
      </c>
      <c r="L227" t="s">
        <v>25</v>
      </c>
      <c r="N227" s="8" t="str">
        <f>VLOOKUP(K227,tblCountries[],3,0)</f>
        <v>North Amer.</v>
      </c>
      <c r="O227" s="8">
        <f>VLOOKUP(tblSalaries[[#This Row],[How many hours of a day you work on Excel]],tblHours,2,0)</f>
        <v>2</v>
      </c>
      <c r="P227" s="8">
        <f>VLOOKUP(tblSalaries[[#This Row],[clean Country]],tblCountries[],5,0)</f>
        <v>1.1935324732986359</v>
      </c>
      <c r="Q227" s="8">
        <f>IF($Q$1,tblSalaries[[#This Row],[PPP Factor]]*tblSalaries[[#This Row],[Salary in USD]],tblSalaries[[#This Row],[Salary in USD]])</f>
        <v>44251.268536364711</v>
      </c>
    </row>
    <row r="228" spans="2:17" ht="15" customHeight="1" x14ac:dyDescent="0.25">
      <c r="B228" t="s">
        <v>2231</v>
      </c>
      <c r="C228" s="1">
        <v>41055.040532407409</v>
      </c>
      <c r="D228" s="4">
        <v>43000</v>
      </c>
      <c r="E228">
        <v>43000</v>
      </c>
      <c r="F228" t="s">
        <v>69</v>
      </c>
      <c r="G228">
        <f>tblSalaries[[#This Row],[clean Salary (in local currency)]]*VLOOKUP(tblSalaries[[#This Row],[Currency]],tblXrate[],2,FALSE)</f>
        <v>67775.665698893223</v>
      </c>
      <c r="H228" t="s">
        <v>302</v>
      </c>
      <c r="I228" t="s">
        <v>52</v>
      </c>
      <c r="J228" t="s">
        <v>71</v>
      </c>
      <c r="K228" t="str">
        <f>VLOOKUP(tblSalaries[[#This Row],[Where do you work]],tblCountries[[Actual]:[Mapping]],2,FALSE)</f>
        <v>UK</v>
      </c>
      <c r="L228" t="s">
        <v>18</v>
      </c>
      <c r="N228" s="8" t="str">
        <f>VLOOKUP(K228,tblCountries[],3,0)</f>
        <v>Europe</v>
      </c>
      <c r="O228" s="8">
        <f>VLOOKUP(tblSalaries[[#This Row],[How many hours of a day you work on Excel]],tblHours,2,0)</f>
        <v>3</v>
      </c>
      <c r="P228" s="8">
        <f>VLOOKUP(tblSalaries[[#This Row],[clean Country]],tblCountries[],5,0)</f>
        <v>1.3407315045719035</v>
      </c>
      <c r="Q228" s="8">
        <f>IF($Q$1,tblSalaries[[#This Row],[PPP Factor]]*tblSalaries[[#This Row],[Salary in USD]],tblSalaries[[#This Row],[Salary in USD]])</f>
        <v>67775.665698893223</v>
      </c>
    </row>
    <row r="229" spans="2:17" ht="15" customHeight="1" x14ac:dyDescent="0.25">
      <c r="B229" t="s">
        <v>2232</v>
      </c>
      <c r="C229" s="1">
        <v>41055.040925925925</v>
      </c>
      <c r="D229" s="4">
        <v>200000</v>
      </c>
      <c r="E229">
        <v>200000</v>
      </c>
      <c r="F229" t="s">
        <v>40</v>
      </c>
      <c r="G229">
        <f>tblSalaries[[#This Row],[clean Salary (in local currency)]]*VLOOKUP(tblSalaries[[#This Row],[Currency]],tblXrate[],2,FALSE)</f>
        <v>3561.5833374885137</v>
      </c>
      <c r="H229" t="s">
        <v>303</v>
      </c>
      <c r="I229" t="s">
        <v>20</v>
      </c>
      <c r="J229" t="s">
        <v>8</v>
      </c>
      <c r="K229" t="str">
        <f>VLOOKUP(tblSalaries[[#This Row],[Where do you work]],tblCountries[[Actual]:[Mapping]],2,FALSE)</f>
        <v>India</v>
      </c>
      <c r="L229" t="s">
        <v>25</v>
      </c>
      <c r="N229" s="8" t="str">
        <f>VLOOKUP(K229,tblCountries[],3,0)</f>
        <v>Asia</v>
      </c>
      <c r="O229" s="8">
        <f>VLOOKUP(tblSalaries[[#This Row],[How many hours of a day you work on Excel]],tblHours,2,0)</f>
        <v>2</v>
      </c>
      <c r="P229" s="8">
        <f>VLOOKUP(tblSalaries[[#This Row],[clean Country]],tblCountries[],5,0)</f>
        <v>13.098808879263672</v>
      </c>
      <c r="Q229" s="8">
        <f>IF($Q$1,tblSalaries[[#This Row],[PPP Factor]]*tblSalaries[[#This Row],[Salary in USD]],tblSalaries[[#This Row],[Salary in USD]])</f>
        <v>3561.5833374885137</v>
      </c>
    </row>
    <row r="230" spans="2:17" ht="15" customHeight="1" x14ac:dyDescent="0.25">
      <c r="B230" t="s">
        <v>2233</v>
      </c>
      <c r="C230" s="1">
        <v>41055.041006944448</v>
      </c>
      <c r="D230" s="4">
        <v>65000</v>
      </c>
      <c r="E230">
        <v>65000</v>
      </c>
      <c r="F230" t="s">
        <v>6</v>
      </c>
      <c r="G230">
        <f>tblSalaries[[#This Row],[clean Salary (in local currency)]]*VLOOKUP(tblSalaries[[#This Row],[Currency]],tblXrate[],2,FALSE)</f>
        <v>65000</v>
      </c>
      <c r="H230" t="s">
        <v>304</v>
      </c>
      <c r="I230" t="s">
        <v>67</v>
      </c>
      <c r="J230" t="s">
        <v>15</v>
      </c>
      <c r="K230" t="str">
        <f>VLOOKUP(tblSalaries[[#This Row],[Where do you work]],tblCountries[[Actual]:[Mapping]],2,FALSE)</f>
        <v>USA</v>
      </c>
      <c r="L230" t="s">
        <v>18</v>
      </c>
      <c r="N230" s="8" t="str">
        <f>VLOOKUP(K230,tblCountries[],3,0)</f>
        <v>North Amer.</v>
      </c>
      <c r="O230" s="8">
        <f>VLOOKUP(tblSalaries[[#This Row],[How many hours of a day you work on Excel]],tblHours,2,0)</f>
        <v>3</v>
      </c>
      <c r="P230" s="8">
        <f>VLOOKUP(tblSalaries[[#This Row],[clean Country]],tblCountries[],5,0)</f>
        <v>1</v>
      </c>
      <c r="Q230" s="8">
        <f>IF($Q$1,tblSalaries[[#This Row],[PPP Factor]]*tblSalaries[[#This Row],[Salary in USD]],tblSalaries[[#This Row],[Salary in USD]])</f>
        <v>65000</v>
      </c>
    </row>
    <row r="231" spans="2:17" ht="15" customHeight="1" x14ac:dyDescent="0.25">
      <c r="B231" t="s">
        <v>2234</v>
      </c>
      <c r="C231" s="1">
        <v>41055.041076388887</v>
      </c>
      <c r="D231" s="4">
        <v>114000</v>
      </c>
      <c r="E231">
        <v>114000</v>
      </c>
      <c r="F231" t="s">
        <v>6</v>
      </c>
      <c r="G231">
        <f>tblSalaries[[#This Row],[clean Salary (in local currency)]]*VLOOKUP(tblSalaries[[#This Row],[Currency]],tblXrate[],2,FALSE)</f>
        <v>114000</v>
      </c>
      <c r="H231" t="s">
        <v>139</v>
      </c>
      <c r="I231" t="s">
        <v>4001</v>
      </c>
      <c r="J231" t="s">
        <v>15</v>
      </c>
      <c r="K231" t="str">
        <f>VLOOKUP(tblSalaries[[#This Row],[Where do you work]],tblCountries[[Actual]:[Mapping]],2,FALSE)</f>
        <v>USA</v>
      </c>
      <c r="L231" t="s">
        <v>18</v>
      </c>
      <c r="N231" s="8" t="str">
        <f>VLOOKUP(K231,tblCountries[],3,0)</f>
        <v>North Amer.</v>
      </c>
      <c r="O231" s="8">
        <f>VLOOKUP(tblSalaries[[#This Row],[How many hours of a day you work on Excel]],tblHours,2,0)</f>
        <v>3</v>
      </c>
      <c r="P231" s="8">
        <f>VLOOKUP(tblSalaries[[#This Row],[clean Country]],tblCountries[],5,0)</f>
        <v>1</v>
      </c>
      <c r="Q231" s="8">
        <f>IF($Q$1,tblSalaries[[#This Row],[PPP Factor]]*tblSalaries[[#This Row],[Salary in USD]],tblSalaries[[#This Row],[Salary in USD]])</f>
        <v>114000</v>
      </c>
    </row>
    <row r="232" spans="2:17" ht="15" customHeight="1" x14ac:dyDescent="0.25">
      <c r="B232" t="s">
        <v>2235</v>
      </c>
      <c r="C232" s="1">
        <v>41055.041284722225</v>
      </c>
      <c r="D232" s="4">
        <v>95000</v>
      </c>
      <c r="E232">
        <v>95000</v>
      </c>
      <c r="F232" t="s">
        <v>6</v>
      </c>
      <c r="G232">
        <f>tblSalaries[[#This Row],[clean Salary (in local currency)]]*VLOOKUP(tblSalaries[[#This Row],[Currency]],tblXrate[],2,FALSE)</f>
        <v>95000</v>
      </c>
      <c r="H232" t="s">
        <v>305</v>
      </c>
      <c r="I232" t="s">
        <v>4001</v>
      </c>
      <c r="J232" t="s">
        <v>15</v>
      </c>
      <c r="K232" t="str">
        <f>VLOOKUP(tblSalaries[[#This Row],[Where do you work]],tblCountries[[Actual]:[Mapping]],2,FALSE)</f>
        <v>USA</v>
      </c>
      <c r="L232" t="s">
        <v>9</v>
      </c>
      <c r="N232" s="8" t="str">
        <f>VLOOKUP(K232,tblCountries[],3,0)</f>
        <v>North Amer.</v>
      </c>
      <c r="O232" s="8">
        <f>VLOOKUP(tblSalaries[[#This Row],[How many hours of a day you work on Excel]],tblHours,2,0)</f>
        <v>4</v>
      </c>
      <c r="P232" s="8">
        <f>VLOOKUP(tblSalaries[[#This Row],[clean Country]],tblCountries[],5,0)</f>
        <v>1</v>
      </c>
      <c r="Q232" s="8">
        <f>IF($Q$1,tblSalaries[[#This Row],[PPP Factor]]*tblSalaries[[#This Row],[Salary in USD]],tblSalaries[[#This Row],[Salary in USD]])</f>
        <v>95000</v>
      </c>
    </row>
    <row r="233" spans="2:17" ht="15" customHeight="1" x14ac:dyDescent="0.25">
      <c r="B233" t="s">
        <v>2236</v>
      </c>
      <c r="C233" s="1">
        <v>41055.042256944442</v>
      </c>
      <c r="D233" s="4" t="s">
        <v>306</v>
      </c>
      <c r="E233">
        <v>52500</v>
      </c>
      <c r="F233" t="s">
        <v>6</v>
      </c>
      <c r="G233">
        <f>tblSalaries[[#This Row],[clean Salary (in local currency)]]*VLOOKUP(tblSalaries[[#This Row],[Currency]],tblXrate[],2,FALSE)</f>
        <v>52500</v>
      </c>
      <c r="H233" t="s">
        <v>307</v>
      </c>
      <c r="I233" t="s">
        <v>20</v>
      </c>
      <c r="J233" t="s">
        <v>15</v>
      </c>
      <c r="K233" t="str">
        <f>VLOOKUP(tblSalaries[[#This Row],[Where do you work]],tblCountries[[Actual]:[Mapping]],2,FALSE)</f>
        <v>USA</v>
      </c>
      <c r="L233" t="s">
        <v>9</v>
      </c>
      <c r="N233" s="8" t="str">
        <f>VLOOKUP(K233,tblCountries[],3,0)</f>
        <v>North Amer.</v>
      </c>
      <c r="O233" s="8">
        <f>VLOOKUP(tblSalaries[[#This Row],[How many hours of a day you work on Excel]],tblHours,2,0)</f>
        <v>4</v>
      </c>
      <c r="P233" s="8">
        <f>VLOOKUP(tblSalaries[[#This Row],[clean Country]],tblCountries[],5,0)</f>
        <v>1</v>
      </c>
      <c r="Q233" s="8">
        <f>IF($Q$1,tblSalaries[[#This Row],[PPP Factor]]*tblSalaries[[#This Row],[Salary in USD]],tblSalaries[[#This Row],[Salary in USD]])</f>
        <v>52500</v>
      </c>
    </row>
    <row r="234" spans="2:17" ht="15" customHeight="1" x14ac:dyDescent="0.25">
      <c r="B234" t="s">
        <v>2237</v>
      </c>
      <c r="C234" s="1">
        <v>41055.042395833334</v>
      </c>
      <c r="D234" s="4">
        <v>45000</v>
      </c>
      <c r="E234">
        <v>45000</v>
      </c>
      <c r="F234" t="s">
        <v>69</v>
      </c>
      <c r="G234">
        <f>tblSalaries[[#This Row],[clean Salary (in local currency)]]*VLOOKUP(tblSalaries[[#This Row],[Currency]],tblXrate[],2,FALSE)</f>
        <v>70928.022243027779</v>
      </c>
      <c r="H234" t="s">
        <v>308</v>
      </c>
      <c r="I234" t="s">
        <v>52</v>
      </c>
      <c r="J234" t="s">
        <v>71</v>
      </c>
      <c r="K234" t="str">
        <f>VLOOKUP(tblSalaries[[#This Row],[Where do you work]],tblCountries[[Actual]:[Mapping]],2,FALSE)</f>
        <v>UK</v>
      </c>
      <c r="L234" t="s">
        <v>18</v>
      </c>
      <c r="N234" s="8" t="str">
        <f>VLOOKUP(K234,tblCountries[],3,0)</f>
        <v>Europe</v>
      </c>
      <c r="O234" s="8">
        <f>VLOOKUP(tblSalaries[[#This Row],[How many hours of a day you work on Excel]],tblHours,2,0)</f>
        <v>3</v>
      </c>
      <c r="P234" s="8">
        <f>VLOOKUP(tblSalaries[[#This Row],[clean Country]],tblCountries[],5,0)</f>
        <v>1.3407315045719035</v>
      </c>
      <c r="Q234" s="8">
        <f>IF($Q$1,tblSalaries[[#This Row],[PPP Factor]]*tblSalaries[[#This Row],[Salary in USD]],tblSalaries[[#This Row],[Salary in USD]])</f>
        <v>70928.022243027779</v>
      </c>
    </row>
    <row r="235" spans="2:17" ht="15" customHeight="1" x14ac:dyDescent="0.25">
      <c r="B235" t="s">
        <v>2238</v>
      </c>
      <c r="C235" s="1">
        <v>41055.042731481481</v>
      </c>
      <c r="D235" s="4">
        <v>60000</v>
      </c>
      <c r="E235">
        <v>60000</v>
      </c>
      <c r="F235" t="s">
        <v>6</v>
      </c>
      <c r="G235">
        <f>tblSalaries[[#This Row],[clean Salary (in local currency)]]*VLOOKUP(tblSalaries[[#This Row],[Currency]],tblXrate[],2,FALSE)</f>
        <v>60000</v>
      </c>
      <c r="H235" t="s">
        <v>309</v>
      </c>
      <c r="I235" t="s">
        <v>20</v>
      </c>
      <c r="J235" t="s">
        <v>15</v>
      </c>
      <c r="K235" t="str">
        <f>VLOOKUP(tblSalaries[[#This Row],[Where do you work]],tblCountries[[Actual]:[Mapping]],2,FALSE)</f>
        <v>USA</v>
      </c>
      <c r="L235" t="s">
        <v>9</v>
      </c>
      <c r="N235" s="8" t="str">
        <f>VLOOKUP(K235,tblCountries[],3,0)</f>
        <v>North Amer.</v>
      </c>
      <c r="O235" s="8">
        <f>VLOOKUP(tblSalaries[[#This Row],[How many hours of a day you work on Excel]],tblHours,2,0)</f>
        <v>4</v>
      </c>
      <c r="P235" s="8">
        <f>VLOOKUP(tblSalaries[[#This Row],[clean Country]],tblCountries[],5,0)</f>
        <v>1</v>
      </c>
      <c r="Q235" s="8">
        <f>IF($Q$1,tblSalaries[[#This Row],[PPP Factor]]*tblSalaries[[#This Row],[Salary in USD]],tblSalaries[[#This Row],[Salary in USD]])</f>
        <v>60000</v>
      </c>
    </row>
    <row r="236" spans="2:17" ht="15" customHeight="1" x14ac:dyDescent="0.25">
      <c r="B236" t="s">
        <v>2239</v>
      </c>
      <c r="C236" s="1">
        <v>41055.04310185185</v>
      </c>
      <c r="D236" s="4">
        <v>65250</v>
      </c>
      <c r="E236">
        <v>65250</v>
      </c>
      <c r="F236" t="s">
        <v>6</v>
      </c>
      <c r="G236">
        <f>tblSalaries[[#This Row],[clean Salary (in local currency)]]*VLOOKUP(tblSalaries[[#This Row],[Currency]],tblXrate[],2,FALSE)</f>
        <v>65250</v>
      </c>
      <c r="H236" t="s">
        <v>310</v>
      </c>
      <c r="I236" t="s">
        <v>310</v>
      </c>
      <c r="J236" t="s">
        <v>15</v>
      </c>
      <c r="K236" t="str">
        <f>VLOOKUP(tblSalaries[[#This Row],[Where do you work]],tblCountries[[Actual]:[Mapping]],2,FALSE)</f>
        <v>USA</v>
      </c>
      <c r="L236" t="s">
        <v>9</v>
      </c>
      <c r="N236" s="8" t="str">
        <f>VLOOKUP(K236,tblCountries[],3,0)</f>
        <v>North Amer.</v>
      </c>
      <c r="O236" s="8">
        <f>VLOOKUP(tblSalaries[[#This Row],[How many hours of a day you work on Excel]],tblHours,2,0)</f>
        <v>4</v>
      </c>
      <c r="P236" s="8">
        <f>VLOOKUP(tblSalaries[[#This Row],[clean Country]],tblCountries[],5,0)</f>
        <v>1</v>
      </c>
      <c r="Q236" s="8">
        <f>IF($Q$1,tblSalaries[[#This Row],[PPP Factor]]*tblSalaries[[#This Row],[Salary in USD]],tblSalaries[[#This Row],[Salary in USD]])</f>
        <v>65250</v>
      </c>
    </row>
    <row r="237" spans="2:17" ht="15" customHeight="1" x14ac:dyDescent="0.25">
      <c r="B237" t="s">
        <v>2240</v>
      </c>
      <c r="C237" s="1">
        <v>41055.043136574073</v>
      </c>
      <c r="D237" s="4">
        <v>1200000</v>
      </c>
      <c r="E237">
        <v>1200000</v>
      </c>
      <c r="F237" t="s">
        <v>40</v>
      </c>
      <c r="G237">
        <f>tblSalaries[[#This Row],[clean Salary (in local currency)]]*VLOOKUP(tblSalaries[[#This Row],[Currency]],tblXrate[],2,FALSE)</f>
        <v>21369.500024931083</v>
      </c>
      <c r="H237" t="s">
        <v>311</v>
      </c>
      <c r="I237" t="s">
        <v>52</v>
      </c>
      <c r="J237" t="s">
        <v>8</v>
      </c>
      <c r="K237" t="str">
        <f>VLOOKUP(tblSalaries[[#This Row],[Where do you work]],tblCountries[[Actual]:[Mapping]],2,FALSE)</f>
        <v>India</v>
      </c>
      <c r="L237" t="s">
        <v>18</v>
      </c>
      <c r="N237" s="8" t="str">
        <f>VLOOKUP(K237,tblCountries[],3,0)</f>
        <v>Asia</v>
      </c>
      <c r="O237" s="8">
        <f>VLOOKUP(tblSalaries[[#This Row],[How many hours of a day you work on Excel]],tblHours,2,0)</f>
        <v>3</v>
      </c>
      <c r="P237" s="8">
        <f>VLOOKUP(tblSalaries[[#This Row],[clean Country]],tblCountries[],5,0)</f>
        <v>13.098808879263672</v>
      </c>
      <c r="Q237" s="8">
        <f>IF($Q$1,tblSalaries[[#This Row],[PPP Factor]]*tblSalaries[[#This Row],[Salary in USD]],tblSalaries[[#This Row],[Salary in USD]])</f>
        <v>21369.500024931083</v>
      </c>
    </row>
    <row r="238" spans="2:17" ht="15" customHeight="1" x14ac:dyDescent="0.25">
      <c r="B238" t="s">
        <v>2241</v>
      </c>
      <c r="C238" s="1">
        <v>41055.043171296296</v>
      </c>
      <c r="D238" s="4">
        <v>100000</v>
      </c>
      <c r="E238">
        <v>100000</v>
      </c>
      <c r="F238" t="s">
        <v>86</v>
      </c>
      <c r="G238">
        <f>tblSalaries[[#This Row],[clean Salary (in local currency)]]*VLOOKUP(tblSalaries[[#This Row],[Currency]],tblXrate[],2,FALSE)</f>
        <v>98336.152303032693</v>
      </c>
      <c r="H238" t="s">
        <v>312</v>
      </c>
      <c r="I238" t="s">
        <v>52</v>
      </c>
      <c r="J238" t="s">
        <v>88</v>
      </c>
      <c r="K238" t="str">
        <f>VLOOKUP(tblSalaries[[#This Row],[Where do you work]],tblCountries[[Actual]:[Mapping]],2,FALSE)</f>
        <v>Canada</v>
      </c>
      <c r="L238" t="s">
        <v>18</v>
      </c>
      <c r="N238" s="8" t="str">
        <f>VLOOKUP(K238,tblCountries[],3,0)</f>
        <v>North Amer.</v>
      </c>
      <c r="O238" s="8">
        <f>VLOOKUP(tblSalaries[[#This Row],[How many hours of a day you work on Excel]],tblHours,2,0)</f>
        <v>3</v>
      </c>
      <c r="P238" s="8">
        <f>VLOOKUP(tblSalaries[[#This Row],[clean Country]],tblCountries[],5,0)</f>
        <v>1.1935324732986359</v>
      </c>
      <c r="Q238" s="8">
        <f>IF($Q$1,tblSalaries[[#This Row],[PPP Factor]]*tblSalaries[[#This Row],[Salary in USD]],tblSalaries[[#This Row],[Salary in USD]])</f>
        <v>98336.152303032693</v>
      </c>
    </row>
    <row r="239" spans="2:17" ht="15" customHeight="1" x14ac:dyDescent="0.25">
      <c r="B239" t="s">
        <v>2242</v>
      </c>
      <c r="C239" s="1">
        <v>41055.043240740742</v>
      </c>
      <c r="D239" s="4" t="s">
        <v>313</v>
      </c>
      <c r="E239">
        <v>12000</v>
      </c>
      <c r="F239" t="s">
        <v>22</v>
      </c>
      <c r="G239">
        <f>tblSalaries[[#This Row],[clean Salary (in local currency)]]*VLOOKUP(tblSalaries[[#This Row],[Currency]],tblXrate[],2,FALSE)</f>
        <v>15244.793267899293</v>
      </c>
      <c r="H239" t="s">
        <v>314</v>
      </c>
      <c r="I239" t="s">
        <v>67</v>
      </c>
      <c r="J239" t="s">
        <v>30</v>
      </c>
      <c r="K239" t="str">
        <f>VLOOKUP(tblSalaries[[#This Row],[Where do you work]],tblCountries[[Actual]:[Mapping]],2,FALSE)</f>
        <v>Portugal</v>
      </c>
      <c r="L239" t="s">
        <v>13</v>
      </c>
      <c r="N239" s="8" t="str">
        <f>VLOOKUP(K239,tblCountries[],3,0)</f>
        <v>Europe</v>
      </c>
      <c r="O239" s="8">
        <f>VLOOKUP(tblSalaries[[#This Row],[How many hours of a day you work on Excel]],tblHours,2,0)</f>
        <v>5</v>
      </c>
      <c r="P239" s="8">
        <f>VLOOKUP(tblSalaries[[#This Row],[clean Country]],tblCountries[],5,0)</f>
        <v>2.0712726338769745</v>
      </c>
      <c r="Q239" s="8">
        <f>IF($Q$1,tblSalaries[[#This Row],[PPP Factor]]*tblSalaries[[#This Row],[Salary in USD]],tblSalaries[[#This Row],[Salary in USD]])</f>
        <v>15244.793267899293</v>
      </c>
    </row>
    <row r="240" spans="2:17" ht="15" customHeight="1" x14ac:dyDescent="0.25">
      <c r="B240" t="s">
        <v>2243</v>
      </c>
      <c r="C240" s="1">
        <v>41055.043298611112</v>
      </c>
      <c r="D240" s="4">
        <v>73000</v>
      </c>
      <c r="E240">
        <v>73000</v>
      </c>
      <c r="F240" t="s">
        <v>6</v>
      </c>
      <c r="G240">
        <f>tblSalaries[[#This Row],[clean Salary (in local currency)]]*VLOOKUP(tblSalaries[[#This Row],[Currency]],tblXrate[],2,FALSE)</f>
        <v>73000</v>
      </c>
      <c r="H240" t="s">
        <v>14</v>
      </c>
      <c r="I240" t="s">
        <v>20</v>
      </c>
      <c r="J240" t="s">
        <v>15</v>
      </c>
      <c r="K240" t="str">
        <f>VLOOKUP(tblSalaries[[#This Row],[Where do you work]],tblCountries[[Actual]:[Mapping]],2,FALSE)</f>
        <v>USA</v>
      </c>
      <c r="L240" t="s">
        <v>9</v>
      </c>
      <c r="N240" s="8" t="str">
        <f>VLOOKUP(K240,tblCountries[],3,0)</f>
        <v>North Amer.</v>
      </c>
      <c r="O240" s="8">
        <f>VLOOKUP(tblSalaries[[#This Row],[How many hours of a day you work on Excel]],tblHours,2,0)</f>
        <v>4</v>
      </c>
      <c r="P240" s="8">
        <f>VLOOKUP(tblSalaries[[#This Row],[clean Country]],tblCountries[],5,0)</f>
        <v>1</v>
      </c>
      <c r="Q240" s="8">
        <f>IF($Q$1,tblSalaries[[#This Row],[PPP Factor]]*tblSalaries[[#This Row],[Salary in USD]],tblSalaries[[#This Row],[Salary in USD]])</f>
        <v>73000</v>
      </c>
    </row>
    <row r="241" spans="2:17" ht="15" customHeight="1" x14ac:dyDescent="0.25">
      <c r="B241" t="s">
        <v>2244</v>
      </c>
      <c r="C241" s="1">
        <v>41055.043599537035</v>
      </c>
      <c r="D241" s="4">
        <v>50000</v>
      </c>
      <c r="E241">
        <v>50000</v>
      </c>
      <c r="F241" t="s">
        <v>6</v>
      </c>
      <c r="G241">
        <f>tblSalaries[[#This Row],[clean Salary (in local currency)]]*VLOOKUP(tblSalaries[[#This Row],[Currency]],tblXrate[],2,FALSE)</f>
        <v>50000</v>
      </c>
      <c r="H241" t="s">
        <v>214</v>
      </c>
      <c r="I241" t="s">
        <v>20</v>
      </c>
      <c r="J241" t="s">
        <v>15</v>
      </c>
      <c r="K241" t="str">
        <f>VLOOKUP(tblSalaries[[#This Row],[Where do you work]],tblCountries[[Actual]:[Mapping]],2,FALSE)</f>
        <v>USA</v>
      </c>
      <c r="L241" t="s">
        <v>13</v>
      </c>
      <c r="N241" s="8" t="str">
        <f>VLOOKUP(K241,tblCountries[],3,0)</f>
        <v>North Amer.</v>
      </c>
      <c r="O241" s="8">
        <f>VLOOKUP(tblSalaries[[#This Row],[How many hours of a day you work on Excel]],tblHours,2,0)</f>
        <v>5</v>
      </c>
      <c r="P241" s="8">
        <f>VLOOKUP(tblSalaries[[#This Row],[clean Country]],tblCountries[],5,0)</f>
        <v>1</v>
      </c>
      <c r="Q241" s="8">
        <f>IF($Q$1,tblSalaries[[#This Row],[PPP Factor]]*tblSalaries[[#This Row],[Salary in USD]],tblSalaries[[#This Row],[Salary in USD]])</f>
        <v>50000</v>
      </c>
    </row>
    <row r="242" spans="2:17" ht="15" customHeight="1" x14ac:dyDescent="0.25">
      <c r="B242" t="s">
        <v>2245</v>
      </c>
      <c r="C242" s="1">
        <v>41055.043645833335</v>
      </c>
      <c r="D242" s="4">
        <v>79000</v>
      </c>
      <c r="E242">
        <v>79000</v>
      </c>
      <c r="F242" t="s">
        <v>6</v>
      </c>
      <c r="G242">
        <f>tblSalaries[[#This Row],[clean Salary (in local currency)]]*VLOOKUP(tblSalaries[[#This Row],[Currency]],tblXrate[],2,FALSE)</f>
        <v>79000</v>
      </c>
      <c r="H242" t="s">
        <v>315</v>
      </c>
      <c r="I242" t="s">
        <v>310</v>
      </c>
      <c r="J242" t="s">
        <v>15</v>
      </c>
      <c r="K242" t="str">
        <f>VLOOKUP(tblSalaries[[#This Row],[Where do you work]],tblCountries[[Actual]:[Mapping]],2,FALSE)</f>
        <v>USA</v>
      </c>
      <c r="L242" t="s">
        <v>18</v>
      </c>
      <c r="N242" s="8" t="str">
        <f>VLOOKUP(K242,tblCountries[],3,0)</f>
        <v>North Amer.</v>
      </c>
      <c r="O242" s="8">
        <f>VLOOKUP(tblSalaries[[#This Row],[How many hours of a day you work on Excel]],tblHours,2,0)</f>
        <v>3</v>
      </c>
      <c r="P242" s="8">
        <f>VLOOKUP(tblSalaries[[#This Row],[clean Country]],tblCountries[],5,0)</f>
        <v>1</v>
      </c>
      <c r="Q242" s="8">
        <f>IF($Q$1,tblSalaries[[#This Row],[PPP Factor]]*tblSalaries[[#This Row],[Salary in USD]],tblSalaries[[#This Row],[Salary in USD]])</f>
        <v>79000</v>
      </c>
    </row>
    <row r="243" spans="2:17" ht="15" customHeight="1" x14ac:dyDescent="0.25">
      <c r="B243" t="s">
        <v>2246</v>
      </c>
      <c r="C243" s="1">
        <v>41055.04383101852</v>
      </c>
      <c r="D243" s="4">
        <v>90000</v>
      </c>
      <c r="E243">
        <v>90000</v>
      </c>
      <c r="F243" t="s">
        <v>6</v>
      </c>
      <c r="G243">
        <f>tblSalaries[[#This Row],[clean Salary (in local currency)]]*VLOOKUP(tblSalaries[[#This Row],[Currency]],tblXrate[],2,FALSE)</f>
        <v>90000</v>
      </c>
      <c r="H243" t="s">
        <v>316</v>
      </c>
      <c r="I243" t="s">
        <v>52</v>
      </c>
      <c r="J243" t="s">
        <v>15</v>
      </c>
      <c r="K243" t="str">
        <f>VLOOKUP(tblSalaries[[#This Row],[Where do you work]],tblCountries[[Actual]:[Mapping]],2,FALSE)</f>
        <v>USA</v>
      </c>
      <c r="L243" t="s">
        <v>9</v>
      </c>
      <c r="N243" s="8" t="str">
        <f>VLOOKUP(K243,tblCountries[],3,0)</f>
        <v>North Amer.</v>
      </c>
      <c r="O243" s="8">
        <f>VLOOKUP(tblSalaries[[#This Row],[How many hours of a day you work on Excel]],tblHours,2,0)</f>
        <v>4</v>
      </c>
      <c r="P243" s="8">
        <f>VLOOKUP(tblSalaries[[#This Row],[clean Country]],tblCountries[],5,0)</f>
        <v>1</v>
      </c>
      <c r="Q243" s="8">
        <f>IF($Q$1,tblSalaries[[#This Row],[PPP Factor]]*tblSalaries[[#This Row],[Salary in USD]],tblSalaries[[#This Row],[Salary in USD]])</f>
        <v>90000</v>
      </c>
    </row>
    <row r="244" spans="2:17" ht="15" customHeight="1" x14ac:dyDescent="0.25">
      <c r="B244" t="s">
        <v>2247</v>
      </c>
      <c r="C244" s="1">
        <v>41055.044074074074</v>
      </c>
      <c r="D244" s="4">
        <v>70000</v>
      </c>
      <c r="E244">
        <v>70000</v>
      </c>
      <c r="F244" t="s">
        <v>6</v>
      </c>
      <c r="G244">
        <f>tblSalaries[[#This Row],[clean Salary (in local currency)]]*VLOOKUP(tblSalaries[[#This Row],[Currency]],tblXrate[],2,FALSE)</f>
        <v>70000</v>
      </c>
      <c r="H244" t="s">
        <v>317</v>
      </c>
      <c r="I244" t="s">
        <v>52</v>
      </c>
      <c r="J244" t="s">
        <v>15</v>
      </c>
      <c r="K244" t="str">
        <f>VLOOKUP(tblSalaries[[#This Row],[Where do you work]],tblCountries[[Actual]:[Mapping]],2,FALSE)</f>
        <v>USA</v>
      </c>
      <c r="L244" t="s">
        <v>18</v>
      </c>
      <c r="N244" s="8" t="str">
        <f>VLOOKUP(K244,tblCountries[],3,0)</f>
        <v>North Amer.</v>
      </c>
      <c r="O244" s="8">
        <f>VLOOKUP(tblSalaries[[#This Row],[How many hours of a day you work on Excel]],tblHours,2,0)</f>
        <v>3</v>
      </c>
      <c r="P244" s="8">
        <f>VLOOKUP(tblSalaries[[#This Row],[clean Country]],tblCountries[],5,0)</f>
        <v>1</v>
      </c>
      <c r="Q244" s="8">
        <f>IF($Q$1,tblSalaries[[#This Row],[PPP Factor]]*tblSalaries[[#This Row],[Salary in USD]],tblSalaries[[#This Row],[Salary in USD]])</f>
        <v>70000</v>
      </c>
    </row>
    <row r="245" spans="2:17" ht="15" customHeight="1" x14ac:dyDescent="0.25">
      <c r="B245" t="s">
        <v>2248</v>
      </c>
      <c r="C245" s="1">
        <v>41055.04414351852</v>
      </c>
      <c r="D245" s="4">
        <v>65000</v>
      </c>
      <c r="E245">
        <v>65000</v>
      </c>
      <c r="F245" t="s">
        <v>86</v>
      </c>
      <c r="G245">
        <f>tblSalaries[[#This Row],[clean Salary (in local currency)]]*VLOOKUP(tblSalaries[[#This Row],[Currency]],tblXrate[],2,FALSE)</f>
        <v>63918.498996971248</v>
      </c>
      <c r="H245" t="s">
        <v>318</v>
      </c>
      <c r="I245" t="s">
        <v>52</v>
      </c>
      <c r="J245" t="s">
        <v>88</v>
      </c>
      <c r="K245" t="str">
        <f>VLOOKUP(tblSalaries[[#This Row],[Where do you work]],tblCountries[[Actual]:[Mapping]],2,FALSE)</f>
        <v>Canada</v>
      </c>
      <c r="L245" t="s">
        <v>9</v>
      </c>
      <c r="N245" s="8" t="str">
        <f>VLOOKUP(K245,tblCountries[],3,0)</f>
        <v>North Amer.</v>
      </c>
      <c r="O245" s="8">
        <f>VLOOKUP(tblSalaries[[#This Row],[How many hours of a day you work on Excel]],tblHours,2,0)</f>
        <v>4</v>
      </c>
      <c r="P245" s="8">
        <f>VLOOKUP(tblSalaries[[#This Row],[clean Country]],tblCountries[],5,0)</f>
        <v>1.1935324732986359</v>
      </c>
      <c r="Q245" s="8">
        <f>IF($Q$1,tblSalaries[[#This Row],[PPP Factor]]*tblSalaries[[#This Row],[Salary in USD]],tblSalaries[[#This Row],[Salary in USD]])</f>
        <v>63918.498996971248</v>
      </c>
    </row>
    <row r="246" spans="2:17" ht="15" customHeight="1" x14ac:dyDescent="0.25">
      <c r="B246" t="s">
        <v>2249</v>
      </c>
      <c r="C246" s="1">
        <v>41055.044351851851</v>
      </c>
      <c r="D246" s="4">
        <v>80000</v>
      </c>
      <c r="E246">
        <v>80000</v>
      </c>
      <c r="F246" t="s">
        <v>6</v>
      </c>
      <c r="G246">
        <f>tblSalaries[[#This Row],[clean Salary (in local currency)]]*VLOOKUP(tblSalaries[[#This Row],[Currency]],tblXrate[],2,FALSE)</f>
        <v>80000</v>
      </c>
      <c r="H246" t="s">
        <v>20</v>
      </c>
      <c r="I246" t="s">
        <v>20</v>
      </c>
      <c r="J246" t="s">
        <v>15</v>
      </c>
      <c r="K246" t="str">
        <f>VLOOKUP(tblSalaries[[#This Row],[Where do you work]],tblCountries[[Actual]:[Mapping]],2,FALSE)</f>
        <v>USA</v>
      </c>
      <c r="L246" t="s">
        <v>9</v>
      </c>
      <c r="N246" s="8" t="str">
        <f>VLOOKUP(K246,tblCountries[],3,0)</f>
        <v>North Amer.</v>
      </c>
      <c r="O246" s="8">
        <f>VLOOKUP(tblSalaries[[#This Row],[How many hours of a day you work on Excel]],tblHours,2,0)</f>
        <v>4</v>
      </c>
      <c r="P246" s="8">
        <f>VLOOKUP(tblSalaries[[#This Row],[clean Country]],tblCountries[],5,0)</f>
        <v>1</v>
      </c>
      <c r="Q246" s="8">
        <f>IF($Q$1,tblSalaries[[#This Row],[PPP Factor]]*tblSalaries[[#This Row],[Salary in USD]],tblSalaries[[#This Row],[Salary in USD]])</f>
        <v>80000</v>
      </c>
    </row>
    <row r="247" spans="2:17" ht="15" customHeight="1" x14ac:dyDescent="0.25">
      <c r="B247" t="s">
        <v>2250</v>
      </c>
      <c r="C247" s="1">
        <v>41055.044374999998</v>
      </c>
      <c r="D247" s="4">
        <v>140000</v>
      </c>
      <c r="E247">
        <v>140000</v>
      </c>
      <c r="F247" t="s">
        <v>6</v>
      </c>
      <c r="G247">
        <f>tblSalaries[[#This Row],[clean Salary (in local currency)]]*VLOOKUP(tblSalaries[[#This Row],[Currency]],tblXrate[],2,FALSE)</f>
        <v>140000</v>
      </c>
      <c r="H247" t="s">
        <v>52</v>
      </c>
      <c r="I247" t="s">
        <v>52</v>
      </c>
      <c r="J247" t="s">
        <v>15</v>
      </c>
      <c r="K247" t="str">
        <f>VLOOKUP(tblSalaries[[#This Row],[Where do you work]],tblCountries[[Actual]:[Mapping]],2,FALSE)</f>
        <v>USA</v>
      </c>
      <c r="L247" t="s">
        <v>9</v>
      </c>
      <c r="N247" s="8" t="str">
        <f>VLOOKUP(K247,tblCountries[],3,0)</f>
        <v>North Amer.</v>
      </c>
      <c r="O247" s="8">
        <f>VLOOKUP(tblSalaries[[#This Row],[How many hours of a day you work on Excel]],tblHours,2,0)</f>
        <v>4</v>
      </c>
      <c r="P247" s="8">
        <f>VLOOKUP(tblSalaries[[#This Row],[clean Country]],tblCountries[],5,0)</f>
        <v>1</v>
      </c>
      <c r="Q247" s="8">
        <f>IF($Q$1,tblSalaries[[#This Row],[PPP Factor]]*tblSalaries[[#This Row],[Salary in USD]],tblSalaries[[#This Row],[Salary in USD]])</f>
        <v>140000</v>
      </c>
    </row>
    <row r="248" spans="2:17" ht="15" customHeight="1" x14ac:dyDescent="0.25">
      <c r="B248" t="s">
        <v>2251</v>
      </c>
      <c r="C248" s="1">
        <v>41055.044594907406</v>
      </c>
      <c r="D248" s="4" t="s">
        <v>319</v>
      </c>
      <c r="E248">
        <v>96000</v>
      </c>
      <c r="F248" t="s">
        <v>6</v>
      </c>
      <c r="G248">
        <f>tblSalaries[[#This Row],[clean Salary (in local currency)]]*VLOOKUP(tblSalaries[[#This Row],[Currency]],tblXrate[],2,FALSE)</f>
        <v>96000</v>
      </c>
      <c r="H248" t="s">
        <v>320</v>
      </c>
      <c r="I248" t="s">
        <v>356</v>
      </c>
      <c r="J248" t="s">
        <v>75</v>
      </c>
      <c r="K248" t="str">
        <f>VLOOKUP(tblSalaries[[#This Row],[Where do you work]],tblCountries[[Actual]:[Mapping]],2,FALSE)</f>
        <v>Poland</v>
      </c>
      <c r="L248" t="s">
        <v>18</v>
      </c>
      <c r="N248" s="8" t="str">
        <f>VLOOKUP(K248,tblCountries[],3,0)</f>
        <v>Europe</v>
      </c>
      <c r="O248" s="8">
        <f>VLOOKUP(tblSalaries[[#This Row],[How many hours of a day you work on Excel]],tblHours,2,0)</f>
        <v>3</v>
      </c>
      <c r="P248" s="8">
        <f>VLOOKUP(tblSalaries[[#This Row],[clean Country]],tblCountries[],5,0)</f>
        <v>2.3796105045736207</v>
      </c>
      <c r="Q248" s="8">
        <f>IF($Q$1,tblSalaries[[#This Row],[PPP Factor]]*tblSalaries[[#This Row],[Salary in USD]],tblSalaries[[#This Row],[Salary in USD]])</f>
        <v>96000</v>
      </c>
    </row>
    <row r="249" spans="2:17" ht="15" customHeight="1" x14ac:dyDescent="0.25">
      <c r="B249" t="s">
        <v>2252</v>
      </c>
      <c r="C249" s="1">
        <v>41055.044641203705</v>
      </c>
      <c r="D249" s="4">
        <v>20000</v>
      </c>
      <c r="E249">
        <v>20000</v>
      </c>
      <c r="F249" t="s">
        <v>6</v>
      </c>
      <c r="G249">
        <f>tblSalaries[[#This Row],[clean Salary (in local currency)]]*VLOOKUP(tblSalaries[[#This Row],[Currency]],tblXrate[],2,FALSE)</f>
        <v>20000</v>
      </c>
      <c r="H249" t="s">
        <v>321</v>
      </c>
      <c r="I249" t="s">
        <v>52</v>
      </c>
      <c r="J249" t="s">
        <v>8</v>
      </c>
      <c r="K249" t="str">
        <f>VLOOKUP(tblSalaries[[#This Row],[Where do you work]],tblCountries[[Actual]:[Mapping]],2,FALSE)</f>
        <v>India</v>
      </c>
      <c r="L249" t="s">
        <v>9</v>
      </c>
      <c r="N249" s="8" t="str">
        <f>VLOOKUP(K249,tblCountries[],3,0)</f>
        <v>Asia</v>
      </c>
      <c r="O249" s="8">
        <f>VLOOKUP(tblSalaries[[#This Row],[How many hours of a day you work on Excel]],tblHours,2,0)</f>
        <v>4</v>
      </c>
      <c r="P249" s="8">
        <f>VLOOKUP(tblSalaries[[#This Row],[clean Country]],tblCountries[],5,0)</f>
        <v>13.098808879263672</v>
      </c>
      <c r="Q249" s="8">
        <f>IF($Q$1,tblSalaries[[#This Row],[PPP Factor]]*tblSalaries[[#This Row],[Salary in USD]],tblSalaries[[#This Row],[Salary in USD]])</f>
        <v>20000</v>
      </c>
    </row>
    <row r="250" spans="2:17" ht="15" customHeight="1" x14ac:dyDescent="0.25">
      <c r="B250" t="s">
        <v>2253</v>
      </c>
      <c r="C250" s="1">
        <v>41055.045023148145</v>
      </c>
      <c r="D250" s="4">
        <v>47700</v>
      </c>
      <c r="E250">
        <v>47700</v>
      </c>
      <c r="F250" t="s">
        <v>6</v>
      </c>
      <c r="G250">
        <f>tblSalaries[[#This Row],[clean Salary (in local currency)]]*VLOOKUP(tblSalaries[[#This Row],[Currency]],tblXrate[],2,FALSE)</f>
        <v>47700</v>
      </c>
      <c r="H250" t="s">
        <v>322</v>
      </c>
      <c r="I250" t="s">
        <v>20</v>
      </c>
      <c r="J250" t="s">
        <v>15</v>
      </c>
      <c r="K250" t="str">
        <f>VLOOKUP(tblSalaries[[#This Row],[Where do you work]],tblCountries[[Actual]:[Mapping]],2,FALSE)</f>
        <v>USA</v>
      </c>
      <c r="L250" t="s">
        <v>9</v>
      </c>
      <c r="N250" s="8" t="str">
        <f>VLOOKUP(K250,tblCountries[],3,0)</f>
        <v>North Amer.</v>
      </c>
      <c r="O250" s="8">
        <f>VLOOKUP(tblSalaries[[#This Row],[How many hours of a day you work on Excel]],tblHours,2,0)</f>
        <v>4</v>
      </c>
      <c r="P250" s="8">
        <f>VLOOKUP(tblSalaries[[#This Row],[clean Country]],tblCountries[],5,0)</f>
        <v>1</v>
      </c>
      <c r="Q250" s="8">
        <f>IF($Q$1,tblSalaries[[#This Row],[PPP Factor]]*tblSalaries[[#This Row],[Salary in USD]],tblSalaries[[#This Row],[Salary in USD]])</f>
        <v>47700</v>
      </c>
    </row>
    <row r="251" spans="2:17" ht="15" customHeight="1" x14ac:dyDescent="0.25">
      <c r="B251" t="s">
        <v>2254</v>
      </c>
      <c r="C251" s="1">
        <v>41055.045300925929</v>
      </c>
      <c r="D251" s="4">
        <v>25000</v>
      </c>
      <c r="E251">
        <v>25000</v>
      </c>
      <c r="F251" t="s">
        <v>6</v>
      </c>
      <c r="G251">
        <f>tblSalaries[[#This Row],[clean Salary (in local currency)]]*VLOOKUP(tblSalaries[[#This Row],[Currency]],tblXrate[],2,FALSE)</f>
        <v>25000</v>
      </c>
      <c r="H251" t="s">
        <v>91</v>
      </c>
      <c r="I251" t="s">
        <v>52</v>
      </c>
      <c r="J251" t="s">
        <v>8</v>
      </c>
      <c r="K251" t="str">
        <f>VLOOKUP(tblSalaries[[#This Row],[Where do you work]],tblCountries[[Actual]:[Mapping]],2,FALSE)</f>
        <v>India</v>
      </c>
      <c r="L251" t="s">
        <v>25</v>
      </c>
      <c r="N251" s="8" t="str">
        <f>VLOOKUP(K251,tblCountries[],3,0)</f>
        <v>Asia</v>
      </c>
      <c r="O251" s="8">
        <f>VLOOKUP(tblSalaries[[#This Row],[How many hours of a day you work on Excel]],tblHours,2,0)</f>
        <v>2</v>
      </c>
      <c r="P251" s="8">
        <f>VLOOKUP(tblSalaries[[#This Row],[clean Country]],tblCountries[],5,0)</f>
        <v>13.098808879263672</v>
      </c>
      <c r="Q251" s="8">
        <f>IF($Q$1,tblSalaries[[#This Row],[PPP Factor]]*tblSalaries[[#This Row],[Salary in USD]],tblSalaries[[#This Row],[Salary in USD]])</f>
        <v>25000</v>
      </c>
    </row>
    <row r="252" spans="2:17" ht="15" customHeight="1" x14ac:dyDescent="0.25">
      <c r="B252" t="s">
        <v>2255</v>
      </c>
      <c r="C252" s="1">
        <v>41055.045347222222</v>
      </c>
      <c r="D252" s="4">
        <v>52500</v>
      </c>
      <c r="E252">
        <v>52500</v>
      </c>
      <c r="F252" t="s">
        <v>6</v>
      </c>
      <c r="G252">
        <f>tblSalaries[[#This Row],[clean Salary (in local currency)]]*VLOOKUP(tblSalaries[[#This Row],[Currency]],tblXrate[],2,FALSE)</f>
        <v>52500</v>
      </c>
      <c r="H252" t="s">
        <v>20</v>
      </c>
      <c r="I252" t="s">
        <v>20</v>
      </c>
      <c r="J252" t="s">
        <v>15</v>
      </c>
      <c r="K252" t="str">
        <f>VLOOKUP(tblSalaries[[#This Row],[Where do you work]],tblCountries[[Actual]:[Mapping]],2,FALSE)</f>
        <v>USA</v>
      </c>
      <c r="L252" t="s">
        <v>9</v>
      </c>
      <c r="N252" s="8" t="str">
        <f>VLOOKUP(K252,tblCountries[],3,0)</f>
        <v>North Amer.</v>
      </c>
      <c r="O252" s="8">
        <f>VLOOKUP(tblSalaries[[#This Row],[How many hours of a day you work on Excel]],tblHours,2,0)</f>
        <v>4</v>
      </c>
      <c r="P252" s="8">
        <f>VLOOKUP(tblSalaries[[#This Row],[clean Country]],tblCountries[],5,0)</f>
        <v>1</v>
      </c>
      <c r="Q252" s="8">
        <f>IF($Q$1,tblSalaries[[#This Row],[PPP Factor]]*tblSalaries[[#This Row],[Salary in USD]],tblSalaries[[#This Row],[Salary in USD]])</f>
        <v>52500</v>
      </c>
    </row>
    <row r="253" spans="2:17" ht="15" customHeight="1" x14ac:dyDescent="0.25">
      <c r="B253" t="s">
        <v>2256</v>
      </c>
      <c r="C253" s="1">
        <v>41055.045451388891</v>
      </c>
      <c r="D253" s="4">
        <v>40000</v>
      </c>
      <c r="E253">
        <v>40000</v>
      </c>
      <c r="F253" t="s">
        <v>6</v>
      </c>
      <c r="G253">
        <f>tblSalaries[[#This Row],[clean Salary (in local currency)]]*VLOOKUP(tblSalaries[[#This Row],[Currency]],tblXrate[],2,FALSE)</f>
        <v>40000</v>
      </c>
      <c r="H253" t="s">
        <v>207</v>
      </c>
      <c r="I253" t="s">
        <v>20</v>
      </c>
      <c r="J253" t="s">
        <v>15</v>
      </c>
      <c r="K253" t="str">
        <f>VLOOKUP(tblSalaries[[#This Row],[Where do you work]],tblCountries[[Actual]:[Mapping]],2,FALSE)</f>
        <v>USA</v>
      </c>
      <c r="L253" t="s">
        <v>13</v>
      </c>
      <c r="N253" s="8" t="str">
        <f>VLOOKUP(K253,tblCountries[],3,0)</f>
        <v>North Amer.</v>
      </c>
      <c r="O253" s="8">
        <f>VLOOKUP(tblSalaries[[#This Row],[How many hours of a day you work on Excel]],tblHours,2,0)</f>
        <v>5</v>
      </c>
      <c r="P253" s="8">
        <f>VLOOKUP(tblSalaries[[#This Row],[clean Country]],tblCountries[],5,0)</f>
        <v>1</v>
      </c>
      <c r="Q253" s="8">
        <f>IF($Q$1,tblSalaries[[#This Row],[PPP Factor]]*tblSalaries[[#This Row],[Salary in USD]],tblSalaries[[#This Row],[Salary in USD]])</f>
        <v>40000</v>
      </c>
    </row>
    <row r="254" spans="2:17" ht="15" customHeight="1" x14ac:dyDescent="0.25">
      <c r="B254" t="s">
        <v>2257</v>
      </c>
      <c r="C254" s="1">
        <v>41055.045856481483</v>
      </c>
      <c r="D254" s="4" t="s">
        <v>323</v>
      </c>
      <c r="E254">
        <v>31000</v>
      </c>
      <c r="F254" t="s">
        <v>6</v>
      </c>
      <c r="G254">
        <f>tblSalaries[[#This Row],[clean Salary (in local currency)]]*VLOOKUP(tblSalaries[[#This Row],[Currency]],tblXrate[],2,FALSE)</f>
        <v>31000</v>
      </c>
      <c r="H254" t="s">
        <v>324</v>
      </c>
      <c r="I254" t="s">
        <v>20</v>
      </c>
      <c r="J254" t="s">
        <v>15</v>
      </c>
      <c r="K254" t="str">
        <f>VLOOKUP(tblSalaries[[#This Row],[Where do you work]],tblCountries[[Actual]:[Mapping]],2,FALSE)</f>
        <v>USA</v>
      </c>
      <c r="L254" t="s">
        <v>9</v>
      </c>
      <c r="N254" s="8" t="str">
        <f>VLOOKUP(K254,tblCountries[],3,0)</f>
        <v>North Amer.</v>
      </c>
      <c r="O254" s="8">
        <f>VLOOKUP(tblSalaries[[#This Row],[How many hours of a day you work on Excel]],tblHours,2,0)</f>
        <v>4</v>
      </c>
      <c r="P254" s="8">
        <f>VLOOKUP(tblSalaries[[#This Row],[clean Country]],tblCountries[],5,0)</f>
        <v>1</v>
      </c>
      <c r="Q254" s="8">
        <f>IF($Q$1,tblSalaries[[#This Row],[PPP Factor]]*tblSalaries[[#This Row],[Salary in USD]],tblSalaries[[#This Row],[Salary in USD]])</f>
        <v>31000</v>
      </c>
    </row>
    <row r="255" spans="2:17" ht="15" customHeight="1" x14ac:dyDescent="0.25">
      <c r="B255" t="s">
        <v>2258</v>
      </c>
      <c r="C255" s="1">
        <v>41055.045972222222</v>
      </c>
      <c r="D255" s="4">
        <v>4390</v>
      </c>
      <c r="E255">
        <v>52680</v>
      </c>
      <c r="F255" t="s">
        <v>69</v>
      </c>
      <c r="G255">
        <f>tblSalaries[[#This Row],[clean Salary (in local currency)]]*VLOOKUP(tblSalaries[[#This Row],[Currency]],tblXrate[],2,FALSE)</f>
        <v>83033.071372504521</v>
      </c>
      <c r="H255" t="s">
        <v>325</v>
      </c>
      <c r="I255" t="s">
        <v>356</v>
      </c>
      <c r="J255" t="s">
        <v>71</v>
      </c>
      <c r="K255" t="str">
        <f>VLOOKUP(tblSalaries[[#This Row],[Where do you work]],tblCountries[[Actual]:[Mapping]],2,FALSE)</f>
        <v>UK</v>
      </c>
      <c r="L255" t="s">
        <v>13</v>
      </c>
      <c r="N255" s="8" t="str">
        <f>VLOOKUP(K255,tblCountries[],3,0)</f>
        <v>Europe</v>
      </c>
      <c r="O255" s="8">
        <f>VLOOKUP(tblSalaries[[#This Row],[How many hours of a day you work on Excel]],tblHours,2,0)</f>
        <v>5</v>
      </c>
      <c r="P255" s="8">
        <f>VLOOKUP(tblSalaries[[#This Row],[clean Country]],tblCountries[],5,0)</f>
        <v>1.3407315045719035</v>
      </c>
      <c r="Q255" s="8">
        <f>IF($Q$1,tblSalaries[[#This Row],[PPP Factor]]*tblSalaries[[#This Row],[Salary in USD]],tblSalaries[[#This Row],[Salary in USD]])</f>
        <v>83033.071372504521</v>
      </c>
    </row>
    <row r="256" spans="2:17" ht="15" customHeight="1" x14ac:dyDescent="0.25">
      <c r="B256" t="s">
        <v>2259</v>
      </c>
      <c r="C256" s="1">
        <v>41055.04619212963</v>
      </c>
      <c r="D256" s="4">
        <v>130000</v>
      </c>
      <c r="E256">
        <v>130000</v>
      </c>
      <c r="F256" t="s">
        <v>6</v>
      </c>
      <c r="G256">
        <f>tblSalaries[[#This Row],[clean Salary (in local currency)]]*VLOOKUP(tblSalaries[[#This Row],[Currency]],tblXrate[],2,FALSE)</f>
        <v>130000</v>
      </c>
      <c r="H256" t="s">
        <v>326</v>
      </c>
      <c r="I256" t="s">
        <v>52</v>
      </c>
      <c r="J256" t="s">
        <v>15</v>
      </c>
      <c r="K256" t="str">
        <f>VLOOKUP(tblSalaries[[#This Row],[Where do you work]],tblCountries[[Actual]:[Mapping]],2,FALSE)</f>
        <v>USA</v>
      </c>
      <c r="L256" t="s">
        <v>9</v>
      </c>
      <c r="N256" s="8" t="str">
        <f>VLOOKUP(K256,tblCountries[],3,0)</f>
        <v>North Amer.</v>
      </c>
      <c r="O256" s="8">
        <f>VLOOKUP(tblSalaries[[#This Row],[How many hours of a day you work on Excel]],tblHours,2,0)</f>
        <v>4</v>
      </c>
      <c r="P256" s="8">
        <f>VLOOKUP(tblSalaries[[#This Row],[clean Country]],tblCountries[],5,0)</f>
        <v>1</v>
      </c>
      <c r="Q256" s="8">
        <f>IF($Q$1,tblSalaries[[#This Row],[PPP Factor]]*tblSalaries[[#This Row],[Salary in USD]],tblSalaries[[#This Row],[Salary in USD]])</f>
        <v>130000</v>
      </c>
    </row>
    <row r="257" spans="2:17" ht="15" customHeight="1" x14ac:dyDescent="0.25">
      <c r="B257" t="s">
        <v>2260</v>
      </c>
      <c r="C257" s="1">
        <v>41055.046273148146</v>
      </c>
      <c r="D257" s="4" t="s">
        <v>327</v>
      </c>
      <c r="E257">
        <v>470000</v>
      </c>
      <c r="F257" t="s">
        <v>40</v>
      </c>
      <c r="G257">
        <f>tblSalaries[[#This Row],[clean Salary (in local currency)]]*VLOOKUP(tblSalaries[[#This Row],[Currency]],tblXrate[],2,FALSE)</f>
        <v>8369.7208430980063</v>
      </c>
      <c r="H257" t="s">
        <v>328</v>
      </c>
      <c r="I257" t="s">
        <v>20</v>
      </c>
      <c r="J257" t="s">
        <v>8</v>
      </c>
      <c r="K257" t="str">
        <f>VLOOKUP(tblSalaries[[#This Row],[Where do you work]],tblCountries[[Actual]:[Mapping]],2,FALSE)</f>
        <v>India</v>
      </c>
      <c r="L257" t="s">
        <v>13</v>
      </c>
      <c r="N257" s="8" t="str">
        <f>VLOOKUP(K257,tblCountries[],3,0)</f>
        <v>Asia</v>
      </c>
      <c r="O257" s="8">
        <f>VLOOKUP(tblSalaries[[#This Row],[How many hours of a day you work on Excel]],tblHours,2,0)</f>
        <v>5</v>
      </c>
      <c r="P257" s="8">
        <f>VLOOKUP(tblSalaries[[#This Row],[clean Country]],tblCountries[],5,0)</f>
        <v>13.098808879263672</v>
      </c>
      <c r="Q257" s="8">
        <f>IF($Q$1,tblSalaries[[#This Row],[PPP Factor]]*tblSalaries[[#This Row],[Salary in USD]],tblSalaries[[#This Row],[Salary in USD]])</f>
        <v>8369.7208430980063</v>
      </c>
    </row>
    <row r="258" spans="2:17" ht="15" customHeight="1" x14ac:dyDescent="0.25">
      <c r="B258" t="s">
        <v>2261</v>
      </c>
      <c r="C258" s="1">
        <v>41055.046550925923</v>
      </c>
      <c r="D258" s="4">
        <v>51000</v>
      </c>
      <c r="E258">
        <v>51000</v>
      </c>
      <c r="F258" t="s">
        <v>6</v>
      </c>
      <c r="G258">
        <f>tblSalaries[[#This Row],[clean Salary (in local currency)]]*VLOOKUP(tblSalaries[[#This Row],[Currency]],tblXrate[],2,FALSE)</f>
        <v>51000</v>
      </c>
      <c r="H258" t="s">
        <v>329</v>
      </c>
      <c r="I258" t="s">
        <v>20</v>
      </c>
      <c r="J258" t="s">
        <v>15</v>
      </c>
      <c r="K258" t="str">
        <f>VLOOKUP(tblSalaries[[#This Row],[Where do you work]],tblCountries[[Actual]:[Mapping]],2,FALSE)</f>
        <v>USA</v>
      </c>
      <c r="L258" t="s">
        <v>18</v>
      </c>
      <c r="N258" s="8" t="str">
        <f>VLOOKUP(K258,tblCountries[],3,0)</f>
        <v>North Amer.</v>
      </c>
      <c r="O258" s="8">
        <f>VLOOKUP(tblSalaries[[#This Row],[How many hours of a day you work on Excel]],tblHours,2,0)</f>
        <v>3</v>
      </c>
      <c r="P258" s="8">
        <f>VLOOKUP(tblSalaries[[#This Row],[clean Country]],tblCountries[],5,0)</f>
        <v>1</v>
      </c>
      <c r="Q258" s="8">
        <f>IF($Q$1,tblSalaries[[#This Row],[PPP Factor]]*tblSalaries[[#This Row],[Salary in USD]],tblSalaries[[#This Row],[Salary in USD]])</f>
        <v>51000</v>
      </c>
    </row>
    <row r="259" spans="2:17" ht="15" customHeight="1" x14ac:dyDescent="0.25">
      <c r="B259" t="s">
        <v>2262</v>
      </c>
      <c r="C259" s="1">
        <v>41055.046736111108</v>
      </c>
      <c r="D259" s="4" t="s">
        <v>330</v>
      </c>
      <c r="E259">
        <v>60000</v>
      </c>
      <c r="F259" t="s">
        <v>69</v>
      </c>
      <c r="G259">
        <f>tblSalaries[[#This Row],[clean Salary (in local currency)]]*VLOOKUP(tblSalaries[[#This Row],[Currency]],tblXrate[],2,FALSE)</f>
        <v>94570.696324037053</v>
      </c>
      <c r="H259" t="s">
        <v>331</v>
      </c>
      <c r="I259" t="s">
        <v>20</v>
      </c>
      <c r="J259" t="s">
        <v>71</v>
      </c>
      <c r="K259" t="str">
        <f>VLOOKUP(tblSalaries[[#This Row],[Where do you work]],tblCountries[[Actual]:[Mapping]],2,FALSE)</f>
        <v>UK</v>
      </c>
      <c r="L259" t="s">
        <v>13</v>
      </c>
      <c r="N259" s="8" t="str">
        <f>VLOOKUP(K259,tblCountries[],3,0)</f>
        <v>Europe</v>
      </c>
      <c r="O259" s="8">
        <f>VLOOKUP(tblSalaries[[#This Row],[How many hours of a day you work on Excel]],tblHours,2,0)</f>
        <v>5</v>
      </c>
      <c r="P259" s="8">
        <f>VLOOKUP(tblSalaries[[#This Row],[clean Country]],tblCountries[],5,0)</f>
        <v>1.3407315045719035</v>
      </c>
      <c r="Q259" s="8">
        <f>IF($Q$1,tblSalaries[[#This Row],[PPP Factor]]*tblSalaries[[#This Row],[Salary in USD]],tblSalaries[[#This Row],[Salary in USD]])</f>
        <v>94570.696324037053</v>
      </c>
    </row>
    <row r="260" spans="2:17" ht="15" customHeight="1" x14ac:dyDescent="0.25">
      <c r="B260" t="s">
        <v>2263</v>
      </c>
      <c r="C260" s="1">
        <v>41055.047013888892</v>
      </c>
      <c r="D260" s="4">
        <v>1920000</v>
      </c>
      <c r="E260">
        <v>1920000</v>
      </c>
      <c r="F260" t="s">
        <v>40</v>
      </c>
      <c r="G260">
        <f>tblSalaries[[#This Row],[clean Salary (in local currency)]]*VLOOKUP(tblSalaries[[#This Row],[Currency]],tblXrate[],2,FALSE)</f>
        <v>34191.200039889729</v>
      </c>
      <c r="H260" t="s">
        <v>201</v>
      </c>
      <c r="I260" t="s">
        <v>52</v>
      </c>
      <c r="J260" t="s">
        <v>8</v>
      </c>
      <c r="K260" t="str">
        <f>VLOOKUP(tblSalaries[[#This Row],[Where do you work]],tblCountries[[Actual]:[Mapping]],2,FALSE)</f>
        <v>India</v>
      </c>
      <c r="L260" t="s">
        <v>18</v>
      </c>
      <c r="N260" s="8" t="str">
        <f>VLOOKUP(K260,tblCountries[],3,0)</f>
        <v>Asia</v>
      </c>
      <c r="O260" s="8">
        <f>VLOOKUP(tblSalaries[[#This Row],[How many hours of a day you work on Excel]],tblHours,2,0)</f>
        <v>3</v>
      </c>
      <c r="P260" s="8">
        <f>VLOOKUP(tblSalaries[[#This Row],[clean Country]],tblCountries[],5,0)</f>
        <v>13.098808879263672</v>
      </c>
      <c r="Q260" s="8">
        <f>IF($Q$1,tblSalaries[[#This Row],[PPP Factor]]*tblSalaries[[#This Row],[Salary in USD]],tblSalaries[[#This Row],[Salary in USD]])</f>
        <v>34191.200039889729</v>
      </c>
    </row>
    <row r="261" spans="2:17" ht="15" customHeight="1" x14ac:dyDescent="0.25">
      <c r="B261" t="s">
        <v>2264</v>
      </c>
      <c r="C261" s="1">
        <v>41055.047222222223</v>
      </c>
      <c r="D261" s="4">
        <v>28000</v>
      </c>
      <c r="E261">
        <v>28000</v>
      </c>
      <c r="F261" t="s">
        <v>69</v>
      </c>
      <c r="G261">
        <f>tblSalaries[[#This Row],[clean Salary (in local currency)]]*VLOOKUP(tblSalaries[[#This Row],[Currency]],tblXrate[],2,FALSE)</f>
        <v>44132.991617883956</v>
      </c>
      <c r="H261" t="s">
        <v>332</v>
      </c>
      <c r="I261" t="s">
        <v>20</v>
      </c>
      <c r="J261" t="s">
        <v>71</v>
      </c>
      <c r="K261" t="str">
        <f>VLOOKUP(tblSalaries[[#This Row],[Where do you work]],tblCountries[[Actual]:[Mapping]],2,FALSE)</f>
        <v>UK</v>
      </c>
      <c r="L261" t="s">
        <v>13</v>
      </c>
      <c r="N261" s="8" t="str">
        <f>VLOOKUP(K261,tblCountries[],3,0)</f>
        <v>Europe</v>
      </c>
      <c r="O261" s="8">
        <f>VLOOKUP(tblSalaries[[#This Row],[How many hours of a day you work on Excel]],tblHours,2,0)</f>
        <v>5</v>
      </c>
      <c r="P261" s="8">
        <f>VLOOKUP(tblSalaries[[#This Row],[clean Country]],tblCountries[],5,0)</f>
        <v>1.3407315045719035</v>
      </c>
      <c r="Q261" s="8">
        <f>IF($Q$1,tblSalaries[[#This Row],[PPP Factor]]*tblSalaries[[#This Row],[Salary in USD]],tblSalaries[[#This Row],[Salary in USD]])</f>
        <v>44132.991617883956</v>
      </c>
    </row>
    <row r="262" spans="2:17" ht="15" customHeight="1" x14ac:dyDescent="0.25">
      <c r="B262" t="s">
        <v>2265</v>
      </c>
      <c r="C262" s="1">
        <v>41055.047268518516</v>
      </c>
      <c r="D262" s="4">
        <v>73000</v>
      </c>
      <c r="E262">
        <v>73000</v>
      </c>
      <c r="F262" t="s">
        <v>6</v>
      </c>
      <c r="G262">
        <f>tblSalaries[[#This Row],[clean Salary (in local currency)]]*VLOOKUP(tblSalaries[[#This Row],[Currency]],tblXrate[],2,FALSE)</f>
        <v>73000</v>
      </c>
      <c r="H262" t="s">
        <v>333</v>
      </c>
      <c r="I262" t="s">
        <v>67</v>
      </c>
      <c r="J262" t="s">
        <v>15</v>
      </c>
      <c r="K262" t="str">
        <f>VLOOKUP(tblSalaries[[#This Row],[Where do you work]],tblCountries[[Actual]:[Mapping]],2,FALSE)</f>
        <v>USA</v>
      </c>
      <c r="L262" t="s">
        <v>9</v>
      </c>
      <c r="N262" s="8" t="str">
        <f>VLOOKUP(K262,tblCountries[],3,0)</f>
        <v>North Amer.</v>
      </c>
      <c r="O262" s="8">
        <f>VLOOKUP(tblSalaries[[#This Row],[How many hours of a day you work on Excel]],tblHours,2,0)</f>
        <v>4</v>
      </c>
      <c r="P262" s="8">
        <f>VLOOKUP(tblSalaries[[#This Row],[clean Country]],tblCountries[],5,0)</f>
        <v>1</v>
      </c>
      <c r="Q262" s="8">
        <f>IF($Q$1,tblSalaries[[#This Row],[PPP Factor]]*tblSalaries[[#This Row],[Salary in USD]],tblSalaries[[#This Row],[Salary in USD]])</f>
        <v>73000</v>
      </c>
    </row>
    <row r="263" spans="2:17" ht="15" customHeight="1" x14ac:dyDescent="0.25">
      <c r="B263" t="s">
        <v>2266</v>
      </c>
      <c r="C263" s="1">
        <v>41055.047442129631</v>
      </c>
      <c r="D263" s="4">
        <v>62400</v>
      </c>
      <c r="E263">
        <v>62400</v>
      </c>
      <c r="F263" t="s">
        <v>6</v>
      </c>
      <c r="G263">
        <f>tblSalaries[[#This Row],[clean Salary (in local currency)]]*VLOOKUP(tblSalaries[[#This Row],[Currency]],tblXrate[],2,FALSE)</f>
        <v>62400</v>
      </c>
      <c r="H263" t="s">
        <v>334</v>
      </c>
      <c r="I263" t="s">
        <v>310</v>
      </c>
      <c r="J263" t="s">
        <v>15</v>
      </c>
      <c r="K263" t="str">
        <f>VLOOKUP(tblSalaries[[#This Row],[Where do you work]],tblCountries[[Actual]:[Mapping]],2,FALSE)</f>
        <v>USA</v>
      </c>
      <c r="L263" t="s">
        <v>13</v>
      </c>
      <c r="N263" s="8" t="str">
        <f>VLOOKUP(K263,tblCountries[],3,0)</f>
        <v>North Amer.</v>
      </c>
      <c r="O263" s="8">
        <f>VLOOKUP(tblSalaries[[#This Row],[How many hours of a day you work on Excel]],tblHours,2,0)</f>
        <v>5</v>
      </c>
      <c r="P263" s="8">
        <f>VLOOKUP(tblSalaries[[#This Row],[clean Country]],tblCountries[],5,0)</f>
        <v>1</v>
      </c>
      <c r="Q263" s="8">
        <f>IF($Q$1,tblSalaries[[#This Row],[PPP Factor]]*tblSalaries[[#This Row],[Salary in USD]],tblSalaries[[#This Row],[Salary in USD]])</f>
        <v>62400</v>
      </c>
    </row>
    <row r="264" spans="2:17" ht="15" customHeight="1" x14ac:dyDescent="0.25">
      <c r="B264" t="s">
        <v>2267</v>
      </c>
      <c r="C264" s="1">
        <v>41055.047465277778</v>
      </c>
      <c r="D264" s="4">
        <v>2300</v>
      </c>
      <c r="E264">
        <v>27600</v>
      </c>
      <c r="F264" t="s">
        <v>6</v>
      </c>
      <c r="G264">
        <f>tblSalaries[[#This Row],[clean Salary (in local currency)]]*VLOOKUP(tblSalaries[[#This Row],[Currency]],tblXrate[],2,FALSE)</f>
        <v>27600</v>
      </c>
      <c r="H264" t="s">
        <v>335</v>
      </c>
      <c r="I264" t="s">
        <v>356</v>
      </c>
      <c r="J264" t="s">
        <v>171</v>
      </c>
      <c r="K264" t="str">
        <f>VLOOKUP(tblSalaries[[#This Row],[Where do you work]],tblCountries[[Actual]:[Mapping]],2,FALSE)</f>
        <v>Singapore</v>
      </c>
      <c r="L264" t="s">
        <v>13</v>
      </c>
      <c r="N264" s="8" t="str">
        <f>VLOOKUP(K264,tblCountries[],3,0)</f>
        <v>Asia</v>
      </c>
      <c r="O264" s="8">
        <f>VLOOKUP(tblSalaries[[#This Row],[How many hours of a day you work on Excel]],tblHours,2,0)</f>
        <v>5</v>
      </c>
      <c r="P264" s="8">
        <f>VLOOKUP(tblSalaries[[#This Row],[clean Country]],tblCountries[],5,0)</f>
        <v>0.81035320125270049</v>
      </c>
      <c r="Q264" s="8">
        <f>IF($Q$1,tblSalaries[[#This Row],[PPP Factor]]*tblSalaries[[#This Row],[Salary in USD]],tblSalaries[[#This Row],[Salary in USD]])</f>
        <v>27600</v>
      </c>
    </row>
    <row r="265" spans="2:17" ht="15" customHeight="1" x14ac:dyDescent="0.25">
      <c r="B265" t="s">
        <v>2268</v>
      </c>
      <c r="C265" s="1">
        <v>41055.047627314816</v>
      </c>
      <c r="D265" s="4">
        <v>54000</v>
      </c>
      <c r="E265">
        <v>54000</v>
      </c>
      <c r="F265" t="s">
        <v>6</v>
      </c>
      <c r="G265">
        <f>tblSalaries[[#This Row],[clean Salary (in local currency)]]*VLOOKUP(tblSalaries[[#This Row],[Currency]],tblXrate[],2,FALSE)</f>
        <v>54000</v>
      </c>
      <c r="H265" t="s">
        <v>336</v>
      </c>
      <c r="I265" t="s">
        <v>52</v>
      </c>
      <c r="J265" t="s">
        <v>15</v>
      </c>
      <c r="K265" t="str">
        <f>VLOOKUP(tblSalaries[[#This Row],[Where do you work]],tblCountries[[Actual]:[Mapping]],2,FALSE)</f>
        <v>USA</v>
      </c>
      <c r="L265" t="s">
        <v>13</v>
      </c>
      <c r="N265" s="8" t="str">
        <f>VLOOKUP(K265,tblCountries[],3,0)</f>
        <v>North Amer.</v>
      </c>
      <c r="O265" s="8">
        <f>VLOOKUP(tblSalaries[[#This Row],[How many hours of a day you work on Excel]],tblHours,2,0)</f>
        <v>5</v>
      </c>
      <c r="P265" s="8">
        <f>VLOOKUP(tblSalaries[[#This Row],[clean Country]],tblCountries[],5,0)</f>
        <v>1</v>
      </c>
      <c r="Q265" s="8">
        <f>IF($Q$1,tblSalaries[[#This Row],[PPP Factor]]*tblSalaries[[#This Row],[Salary in USD]],tblSalaries[[#This Row],[Salary in USD]])</f>
        <v>54000</v>
      </c>
    </row>
    <row r="266" spans="2:17" ht="15" customHeight="1" x14ac:dyDescent="0.25">
      <c r="B266" t="s">
        <v>2269</v>
      </c>
      <c r="C266" s="1">
        <v>41055.047673611109</v>
      </c>
      <c r="D266" s="4" t="s">
        <v>337</v>
      </c>
      <c r="E266">
        <v>276000</v>
      </c>
      <c r="F266" t="s">
        <v>40</v>
      </c>
      <c r="G266">
        <f>tblSalaries[[#This Row],[clean Salary (in local currency)]]*VLOOKUP(tblSalaries[[#This Row],[Currency]],tblXrate[],2,FALSE)</f>
        <v>4914.9850057341491</v>
      </c>
      <c r="H266" t="s">
        <v>256</v>
      </c>
      <c r="I266" t="s">
        <v>20</v>
      </c>
      <c r="J266" t="s">
        <v>8</v>
      </c>
      <c r="K266" t="str">
        <f>VLOOKUP(tblSalaries[[#This Row],[Where do you work]],tblCountries[[Actual]:[Mapping]],2,FALSE)</f>
        <v>India</v>
      </c>
      <c r="L266" t="s">
        <v>13</v>
      </c>
      <c r="N266" s="8" t="str">
        <f>VLOOKUP(K266,tblCountries[],3,0)</f>
        <v>Asia</v>
      </c>
      <c r="O266" s="8">
        <f>VLOOKUP(tblSalaries[[#This Row],[How many hours of a day you work on Excel]],tblHours,2,0)</f>
        <v>5</v>
      </c>
      <c r="P266" s="8">
        <f>VLOOKUP(tblSalaries[[#This Row],[clean Country]],tblCountries[],5,0)</f>
        <v>13.098808879263672</v>
      </c>
      <c r="Q266" s="8">
        <f>IF($Q$1,tblSalaries[[#This Row],[PPP Factor]]*tblSalaries[[#This Row],[Salary in USD]],tblSalaries[[#This Row],[Salary in USD]])</f>
        <v>4914.9850057341491</v>
      </c>
    </row>
    <row r="267" spans="2:17" ht="15" customHeight="1" x14ac:dyDescent="0.25">
      <c r="B267" t="s">
        <v>2270</v>
      </c>
      <c r="C267" s="1">
        <v>41055.047708333332</v>
      </c>
      <c r="D267" s="4" t="s">
        <v>338</v>
      </c>
      <c r="E267">
        <v>77000</v>
      </c>
      <c r="F267" t="s">
        <v>6</v>
      </c>
      <c r="G267">
        <f>tblSalaries[[#This Row],[clean Salary (in local currency)]]*VLOOKUP(tblSalaries[[#This Row],[Currency]],tblXrate[],2,FALSE)</f>
        <v>77000</v>
      </c>
      <c r="H267" t="s">
        <v>339</v>
      </c>
      <c r="I267" t="s">
        <v>310</v>
      </c>
      <c r="J267" t="s">
        <v>15</v>
      </c>
      <c r="K267" t="str">
        <f>VLOOKUP(tblSalaries[[#This Row],[Where do you work]],tblCountries[[Actual]:[Mapping]],2,FALSE)</f>
        <v>USA</v>
      </c>
      <c r="L267" t="s">
        <v>9</v>
      </c>
      <c r="N267" s="8" t="str">
        <f>VLOOKUP(K267,tblCountries[],3,0)</f>
        <v>North Amer.</v>
      </c>
      <c r="O267" s="8">
        <f>VLOOKUP(tblSalaries[[#This Row],[How many hours of a day you work on Excel]],tblHours,2,0)</f>
        <v>4</v>
      </c>
      <c r="P267" s="8">
        <f>VLOOKUP(tblSalaries[[#This Row],[clean Country]],tblCountries[],5,0)</f>
        <v>1</v>
      </c>
      <c r="Q267" s="8">
        <f>IF($Q$1,tblSalaries[[#This Row],[PPP Factor]]*tblSalaries[[#This Row],[Salary in USD]],tblSalaries[[#This Row],[Salary in USD]])</f>
        <v>77000</v>
      </c>
    </row>
    <row r="268" spans="2:17" ht="15" customHeight="1" x14ac:dyDescent="0.25">
      <c r="B268" t="s">
        <v>2271</v>
      </c>
      <c r="C268" s="1">
        <v>41055.04792824074</v>
      </c>
      <c r="D268" s="4">
        <v>76000</v>
      </c>
      <c r="E268">
        <v>76000</v>
      </c>
      <c r="F268" t="s">
        <v>6</v>
      </c>
      <c r="G268">
        <f>tblSalaries[[#This Row],[clean Salary (in local currency)]]*VLOOKUP(tblSalaries[[#This Row],[Currency]],tblXrate[],2,FALSE)</f>
        <v>76000</v>
      </c>
      <c r="H268" t="s">
        <v>340</v>
      </c>
      <c r="I268" t="s">
        <v>52</v>
      </c>
      <c r="J268" t="s">
        <v>15</v>
      </c>
      <c r="K268" t="str">
        <f>VLOOKUP(tblSalaries[[#This Row],[Where do you work]],tblCountries[[Actual]:[Mapping]],2,FALSE)</f>
        <v>USA</v>
      </c>
      <c r="L268" t="s">
        <v>13</v>
      </c>
      <c r="N268" s="8" t="str">
        <f>VLOOKUP(K268,tblCountries[],3,0)</f>
        <v>North Amer.</v>
      </c>
      <c r="O268" s="8">
        <f>VLOOKUP(tblSalaries[[#This Row],[How many hours of a day you work on Excel]],tblHours,2,0)</f>
        <v>5</v>
      </c>
      <c r="P268" s="8">
        <f>VLOOKUP(tblSalaries[[#This Row],[clean Country]],tblCountries[],5,0)</f>
        <v>1</v>
      </c>
      <c r="Q268" s="8">
        <f>IF($Q$1,tblSalaries[[#This Row],[PPP Factor]]*tblSalaries[[#This Row],[Salary in USD]],tblSalaries[[#This Row],[Salary in USD]])</f>
        <v>76000</v>
      </c>
    </row>
    <row r="269" spans="2:17" ht="15" customHeight="1" x14ac:dyDescent="0.25">
      <c r="B269" t="s">
        <v>2272</v>
      </c>
      <c r="C269" s="1">
        <v>41055.04828703704</v>
      </c>
      <c r="D269" s="4">
        <v>103000</v>
      </c>
      <c r="E269">
        <v>103000</v>
      </c>
      <c r="F269" t="s">
        <v>6</v>
      </c>
      <c r="G269">
        <f>tblSalaries[[#This Row],[clean Salary (in local currency)]]*VLOOKUP(tblSalaries[[#This Row],[Currency]],tblXrate[],2,FALSE)</f>
        <v>103000</v>
      </c>
      <c r="H269" t="s">
        <v>341</v>
      </c>
      <c r="I269" t="s">
        <v>4001</v>
      </c>
      <c r="J269" t="s">
        <v>15</v>
      </c>
      <c r="K269" t="str">
        <f>VLOOKUP(tblSalaries[[#This Row],[Where do you work]],tblCountries[[Actual]:[Mapping]],2,FALSE)</f>
        <v>USA</v>
      </c>
      <c r="L269" t="s">
        <v>18</v>
      </c>
      <c r="N269" s="8" t="str">
        <f>VLOOKUP(K269,tblCountries[],3,0)</f>
        <v>North Amer.</v>
      </c>
      <c r="O269" s="8">
        <f>VLOOKUP(tblSalaries[[#This Row],[How many hours of a day you work on Excel]],tblHours,2,0)</f>
        <v>3</v>
      </c>
      <c r="P269" s="8">
        <f>VLOOKUP(tblSalaries[[#This Row],[clean Country]],tblCountries[],5,0)</f>
        <v>1</v>
      </c>
      <c r="Q269" s="8">
        <f>IF($Q$1,tblSalaries[[#This Row],[PPP Factor]]*tblSalaries[[#This Row],[Salary in USD]],tblSalaries[[#This Row],[Salary in USD]])</f>
        <v>103000</v>
      </c>
    </row>
    <row r="270" spans="2:17" ht="15" customHeight="1" x14ac:dyDescent="0.25">
      <c r="B270" t="s">
        <v>2273</v>
      </c>
      <c r="C270" s="1">
        <v>41055.048310185186</v>
      </c>
      <c r="D270" s="4">
        <v>7600</v>
      </c>
      <c r="E270">
        <v>7600</v>
      </c>
      <c r="F270" t="s">
        <v>6</v>
      </c>
      <c r="G270">
        <f>tblSalaries[[#This Row],[clean Salary (in local currency)]]*VLOOKUP(tblSalaries[[#This Row],[Currency]],tblXrate[],2,FALSE)</f>
        <v>7600</v>
      </c>
      <c r="H270" t="s">
        <v>342</v>
      </c>
      <c r="I270" t="s">
        <v>67</v>
      </c>
      <c r="J270" t="s">
        <v>27</v>
      </c>
      <c r="K270" t="str">
        <f>VLOOKUP(tblSalaries[[#This Row],[Where do you work]],tblCountries[[Actual]:[Mapping]],2,FALSE)</f>
        <v>Ukraine</v>
      </c>
      <c r="L270" t="s">
        <v>25</v>
      </c>
      <c r="N270" s="8" t="str">
        <f>VLOOKUP(K270,tblCountries[],3,0)</f>
        <v>Europe</v>
      </c>
      <c r="O270" s="8">
        <f>VLOOKUP(tblSalaries[[#This Row],[How many hours of a day you work on Excel]],tblHours,2,0)</f>
        <v>2</v>
      </c>
      <c r="P270" s="8">
        <f>VLOOKUP(tblSalaries[[#This Row],[clean Country]],tblCountries[],5,0)</f>
        <v>6.6897552882621323</v>
      </c>
      <c r="Q270" s="8">
        <f>IF($Q$1,tblSalaries[[#This Row],[PPP Factor]]*tblSalaries[[#This Row],[Salary in USD]],tblSalaries[[#This Row],[Salary in USD]])</f>
        <v>7600</v>
      </c>
    </row>
    <row r="271" spans="2:17" ht="15" customHeight="1" x14ac:dyDescent="0.25">
      <c r="B271" t="s">
        <v>2274</v>
      </c>
      <c r="C271" s="1">
        <v>41055.048564814817</v>
      </c>
      <c r="D271" s="4">
        <v>40000</v>
      </c>
      <c r="E271">
        <v>40000</v>
      </c>
      <c r="F271" t="s">
        <v>6</v>
      </c>
      <c r="G271">
        <f>tblSalaries[[#This Row],[clean Salary (in local currency)]]*VLOOKUP(tblSalaries[[#This Row],[Currency]],tblXrate[],2,FALSE)</f>
        <v>40000</v>
      </c>
      <c r="H271" t="s">
        <v>343</v>
      </c>
      <c r="I271" t="s">
        <v>20</v>
      </c>
      <c r="J271" t="s">
        <v>15</v>
      </c>
      <c r="K271" t="str">
        <f>VLOOKUP(tblSalaries[[#This Row],[Where do you work]],tblCountries[[Actual]:[Mapping]],2,FALSE)</f>
        <v>USA</v>
      </c>
      <c r="L271" t="s">
        <v>9</v>
      </c>
      <c r="N271" s="8" t="str">
        <f>VLOOKUP(K271,tblCountries[],3,0)</f>
        <v>North Amer.</v>
      </c>
      <c r="O271" s="8">
        <f>VLOOKUP(tblSalaries[[#This Row],[How many hours of a day you work on Excel]],tblHours,2,0)</f>
        <v>4</v>
      </c>
      <c r="P271" s="8">
        <f>VLOOKUP(tblSalaries[[#This Row],[clean Country]],tblCountries[],5,0)</f>
        <v>1</v>
      </c>
      <c r="Q271" s="8">
        <f>IF($Q$1,tblSalaries[[#This Row],[PPP Factor]]*tblSalaries[[#This Row],[Salary in USD]],tblSalaries[[#This Row],[Salary in USD]])</f>
        <v>40000</v>
      </c>
    </row>
    <row r="272" spans="2:17" ht="15" customHeight="1" x14ac:dyDescent="0.25">
      <c r="B272" t="s">
        <v>2275</v>
      </c>
      <c r="C272" s="1">
        <v>41055.048842592594</v>
      </c>
      <c r="D272" s="4">
        <v>80000</v>
      </c>
      <c r="E272">
        <v>80000</v>
      </c>
      <c r="F272" t="s">
        <v>6</v>
      </c>
      <c r="G272">
        <f>tblSalaries[[#This Row],[clean Salary (in local currency)]]*VLOOKUP(tblSalaries[[#This Row],[Currency]],tblXrate[],2,FALSE)</f>
        <v>80000</v>
      </c>
      <c r="H272" t="s">
        <v>344</v>
      </c>
      <c r="I272" t="s">
        <v>4001</v>
      </c>
      <c r="J272" t="s">
        <v>15</v>
      </c>
      <c r="K272" t="str">
        <f>VLOOKUP(tblSalaries[[#This Row],[Where do you work]],tblCountries[[Actual]:[Mapping]],2,FALSE)</f>
        <v>USA</v>
      </c>
      <c r="L272" t="s">
        <v>18</v>
      </c>
      <c r="N272" s="8" t="str">
        <f>VLOOKUP(K272,tblCountries[],3,0)</f>
        <v>North Amer.</v>
      </c>
      <c r="O272" s="8">
        <f>VLOOKUP(tblSalaries[[#This Row],[How many hours of a day you work on Excel]],tblHours,2,0)</f>
        <v>3</v>
      </c>
      <c r="P272" s="8">
        <f>VLOOKUP(tblSalaries[[#This Row],[clean Country]],tblCountries[],5,0)</f>
        <v>1</v>
      </c>
      <c r="Q272" s="8">
        <f>IF($Q$1,tblSalaries[[#This Row],[PPP Factor]]*tblSalaries[[#This Row],[Salary in USD]],tblSalaries[[#This Row],[Salary in USD]])</f>
        <v>80000</v>
      </c>
    </row>
    <row r="273" spans="2:17" ht="15" customHeight="1" x14ac:dyDescent="0.25">
      <c r="B273" t="s">
        <v>2276</v>
      </c>
      <c r="C273" s="1">
        <v>41055.048888888887</v>
      </c>
      <c r="D273" s="4">
        <v>55000</v>
      </c>
      <c r="E273">
        <v>55000</v>
      </c>
      <c r="F273" t="s">
        <v>6</v>
      </c>
      <c r="G273">
        <f>tblSalaries[[#This Row],[clean Salary (in local currency)]]*VLOOKUP(tblSalaries[[#This Row],[Currency]],tblXrate[],2,FALSE)</f>
        <v>55000</v>
      </c>
      <c r="H273" t="s">
        <v>214</v>
      </c>
      <c r="I273" t="s">
        <v>20</v>
      </c>
      <c r="J273" t="s">
        <v>15</v>
      </c>
      <c r="K273" t="str">
        <f>VLOOKUP(tblSalaries[[#This Row],[Where do you work]],tblCountries[[Actual]:[Mapping]],2,FALSE)</f>
        <v>USA</v>
      </c>
      <c r="L273" t="s">
        <v>13</v>
      </c>
      <c r="N273" s="8" t="str">
        <f>VLOOKUP(K273,tblCountries[],3,0)</f>
        <v>North Amer.</v>
      </c>
      <c r="O273" s="8">
        <f>VLOOKUP(tblSalaries[[#This Row],[How many hours of a day you work on Excel]],tblHours,2,0)</f>
        <v>5</v>
      </c>
      <c r="P273" s="8">
        <f>VLOOKUP(tblSalaries[[#This Row],[clean Country]],tblCountries[],5,0)</f>
        <v>1</v>
      </c>
      <c r="Q273" s="8">
        <f>IF($Q$1,tblSalaries[[#This Row],[PPP Factor]]*tblSalaries[[#This Row],[Salary in USD]],tblSalaries[[#This Row],[Salary in USD]])</f>
        <v>55000</v>
      </c>
    </row>
    <row r="274" spans="2:17" ht="15" customHeight="1" x14ac:dyDescent="0.25">
      <c r="B274" t="s">
        <v>2277</v>
      </c>
      <c r="C274" s="1">
        <v>41055.049247685187</v>
      </c>
      <c r="D274" s="4">
        <v>99000</v>
      </c>
      <c r="E274">
        <v>99000</v>
      </c>
      <c r="F274" t="s">
        <v>6</v>
      </c>
      <c r="G274">
        <f>tblSalaries[[#This Row],[clean Salary (in local currency)]]*VLOOKUP(tblSalaries[[#This Row],[Currency]],tblXrate[],2,FALSE)</f>
        <v>99000</v>
      </c>
      <c r="H274" t="s">
        <v>207</v>
      </c>
      <c r="I274" t="s">
        <v>20</v>
      </c>
      <c r="J274" t="s">
        <v>15</v>
      </c>
      <c r="K274" t="str">
        <f>VLOOKUP(tblSalaries[[#This Row],[Where do you work]],tblCountries[[Actual]:[Mapping]],2,FALSE)</f>
        <v>USA</v>
      </c>
      <c r="L274" t="s">
        <v>18</v>
      </c>
      <c r="N274" s="8" t="str">
        <f>VLOOKUP(K274,tblCountries[],3,0)</f>
        <v>North Amer.</v>
      </c>
      <c r="O274" s="8">
        <f>VLOOKUP(tblSalaries[[#This Row],[How many hours of a day you work on Excel]],tblHours,2,0)</f>
        <v>3</v>
      </c>
      <c r="P274" s="8">
        <f>VLOOKUP(tblSalaries[[#This Row],[clean Country]],tblCountries[],5,0)</f>
        <v>1</v>
      </c>
      <c r="Q274" s="8">
        <f>IF($Q$1,tblSalaries[[#This Row],[PPP Factor]]*tblSalaries[[#This Row],[Salary in USD]],tblSalaries[[#This Row],[Salary in USD]])</f>
        <v>99000</v>
      </c>
    </row>
    <row r="275" spans="2:17" ht="15" customHeight="1" x14ac:dyDescent="0.25">
      <c r="B275" t="s">
        <v>2278</v>
      </c>
      <c r="C275" s="1">
        <v>41055.049259259256</v>
      </c>
      <c r="D275" s="4" t="s">
        <v>345</v>
      </c>
      <c r="E275">
        <v>420000</v>
      </c>
      <c r="F275" t="s">
        <v>3951</v>
      </c>
      <c r="G275">
        <f>tblSalaries[[#This Row],[clean Salary (in local currency)]]*VLOOKUP(tblSalaries[[#This Row],[Currency]],tblXrate[],2,FALSE)</f>
        <v>9956.1219482708348</v>
      </c>
      <c r="H275" t="s">
        <v>346</v>
      </c>
      <c r="I275" t="s">
        <v>52</v>
      </c>
      <c r="J275" t="s">
        <v>347</v>
      </c>
      <c r="K275" t="str">
        <f>VLOOKUP(tblSalaries[[#This Row],[Where do you work]],tblCountries[[Actual]:[Mapping]],2,FALSE)</f>
        <v>Philippines</v>
      </c>
      <c r="L275" t="s">
        <v>9</v>
      </c>
      <c r="N275" s="8" t="str">
        <f>VLOOKUP(K275,tblCountries[],3,0)</f>
        <v>Asia</v>
      </c>
      <c r="O275" s="8">
        <f>VLOOKUP(tblSalaries[[#This Row],[How many hours of a day you work on Excel]],tblHours,2,0)</f>
        <v>4</v>
      </c>
      <c r="P275" s="8">
        <f>VLOOKUP(tblSalaries[[#This Row],[clean Country]],tblCountries[],5,0)</f>
        <v>11.879941075374417</v>
      </c>
      <c r="Q275" s="8">
        <f>IF($Q$1,tblSalaries[[#This Row],[PPP Factor]]*tblSalaries[[#This Row],[Salary in USD]],tblSalaries[[#This Row],[Salary in USD]])</f>
        <v>9956.1219482708348</v>
      </c>
    </row>
    <row r="276" spans="2:17" ht="15" customHeight="1" x14ac:dyDescent="0.25">
      <c r="B276" t="s">
        <v>2279</v>
      </c>
      <c r="C276" s="1">
        <v>41055.049444444441</v>
      </c>
      <c r="D276" s="4">
        <v>75000</v>
      </c>
      <c r="E276">
        <v>75000</v>
      </c>
      <c r="F276" t="s">
        <v>6</v>
      </c>
      <c r="G276">
        <f>tblSalaries[[#This Row],[clean Salary (in local currency)]]*VLOOKUP(tblSalaries[[#This Row],[Currency]],tblXrate[],2,FALSE)</f>
        <v>75000</v>
      </c>
      <c r="H276" t="s">
        <v>160</v>
      </c>
      <c r="I276" t="s">
        <v>20</v>
      </c>
      <c r="J276" t="s">
        <v>15</v>
      </c>
      <c r="K276" t="str">
        <f>VLOOKUP(tblSalaries[[#This Row],[Where do you work]],tblCountries[[Actual]:[Mapping]],2,FALSE)</f>
        <v>USA</v>
      </c>
      <c r="L276" t="s">
        <v>9</v>
      </c>
      <c r="N276" s="8" t="str">
        <f>VLOOKUP(K276,tblCountries[],3,0)</f>
        <v>North Amer.</v>
      </c>
      <c r="O276" s="8">
        <f>VLOOKUP(tblSalaries[[#This Row],[How many hours of a day you work on Excel]],tblHours,2,0)</f>
        <v>4</v>
      </c>
      <c r="P276" s="8">
        <f>VLOOKUP(tblSalaries[[#This Row],[clean Country]],tblCountries[],5,0)</f>
        <v>1</v>
      </c>
      <c r="Q276" s="8">
        <f>IF($Q$1,tblSalaries[[#This Row],[PPP Factor]]*tblSalaries[[#This Row],[Salary in USD]],tblSalaries[[#This Row],[Salary in USD]])</f>
        <v>75000</v>
      </c>
    </row>
    <row r="277" spans="2:17" ht="15" customHeight="1" x14ac:dyDescent="0.25">
      <c r="B277" t="s">
        <v>2280</v>
      </c>
      <c r="C277" s="1">
        <v>41055.049930555557</v>
      </c>
      <c r="D277" s="4">
        <v>80000</v>
      </c>
      <c r="E277">
        <v>80000</v>
      </c>
      <c r="F277" t="s">
        <v>6</v>
      </c>
      <c r="G277">
        <f>tblSalaries[[#This Row],[clean Salary (in local currency)]]*VLOOKUP(tblSalaries[[#This Row],[Currency]],tblXrate[],2,FALSE)</f>
        <v>80000</v>
      </c>
      <c r="H277" t="s">
        <v>348</v>
      </c>
      <c r="I277" t="s">
        <v>52</v>
      </c>
      <c r="J277" t="s">
        <v>15</v>
      </c>
      <c r="K277" t="str">
        <f>VLOOKUP(tblSalaries[[#This Row],[Where do you work]],tblCountries[[Actual]:[Mapping]],2,FALSE)</f>
        <v>USA</v>
      </c>
      <c r="L277" t="s">
        <v>18</v>
      </c>
      <c r="N277" s="8" t="str">
        <f>VLOOKUP(K277,tblCountries[],3,0)</f>
        <v>North Amer.</v>
      </c>
      <c r="O277" s="8">
        <f>VLOOKUP(tblSalaries[[#This Row],[How many hours of a day you work on Excel]],tblHours,2,0)</f>
        <v>3</v>
      </c>
      <c r="P277" s="8">
        <f>VLOOKUP(tblSalaries[[#This Row],[clean Country]],tblCountries[],5,0)</f>
        <v>1</v>
      </c>
      <c r="Q277" s="8">
        <f>IF($Q$1,tblSalaries[[#This Row],[PPP Factor]]*tblSalaries[[#This Row],[Salary in USD]],tblSalaries[[#This Row],[Salary in USD]])</f>
        <v>80000</v>
      </c>
    </row>
    <row r="278" spans="2:17" ht="15" customHeight="1" x14ac:dyDescent="0.25">
      <c r="B278" t="s">
        <v>2281</v>
      </c>
      <c r="C278" s="1">
        <v>41055.050474537034</v>
      </c>
      <c r="D278" s="4">
        <v>20000</v>
      </c>
      <c r="E278">
        <v>20000</v>
      </c>
      <c r="F278" t="s">
        <v>6</v>
      </c>
      <c r="G278">
        <f>tblSalaries[[#This Row],[clean Salary (in local currency)]]*VLOOKUP(tblSalaries[[#This Row],[Currency]],tblXrate[],2,FALSE)</f>
        <v>20000</v>
      </c>
      <c r="H278" t="s">
        <v>20</v>
      </c>
      <c r="I278" t="s">
        <v>20</v>
      </c>
      <c r="J278" t="s">
        <v>8</v>
      </c>
      <c r="K278" t="str">
        <f>VLOOKUP(tblSalaries[[#This Row],[Where do you work]],tblCountries[[Actual]:[Mapping]],2,FALSE)</f>
        <v>India</v>
      </c>
      <c r="L278" t="s">
        <v>13</v>
      </c>
      <c r="N278" s="8" t="str">
        <f>VLOOKUP(K278,tblCountries[],3,0)</f>
        <v>Asia</v>
      </c>
      <c r="O278" s="8">
        <f>VLOOKUP(tblSalaries[[#This Row],[How many hours of a day you work on Excel]],tblHours,2,0)</f>
        <v>5</v>
      </c>
      <c r="P278" s="8">
        <f>VLOOKUP(tblSalaries[[#This Row],[clean Country]],tblCountries[],5,0)</f>
        <v>13.098808879263672</v>
      </c>
      <c r="Q278" s="8">
        <f>IF($Q$1,tblSalaries[[#This Row],[PPP Factor]]*tblSalaries[[#This Row],[Salary in USD]],tblSalaries[[#This Row],[Salary in USD]])</f>
        <v>20000</v>
      </c>
    </row>
    <row r="279" spans="2:17" ht="15" customHeight="1" x14ac:dyDescent="0.25">
      <c r="B279" t="s">
        <v>2282</v>
      </c>
      <c r="C279" s="1">
        <v>41055.05127314815</v>
      </c>
      <c r="D279" s="4">
        <v>40000</v>
      </c>
      <c r="E279">
        <v>40000</v>
      </c>
      <c r="F279" t="s">
        <v>6</v>
      </c>
      <c r="G279">
        <f>tblSalaries[[#This Row],[clean Salary (in local currency)]]*VLOOKUP(tblSalaries[[#This Row],[Currency]],tblXrate[],2,FALSE)</f>
        <v>40000</v>
      </c>
      <c r="H279" t="s">
        <v>207</v>
      </c>
      <c r="I279" t="s">
        <v>20</v>
      </c>
      <c r="J279" t="s">
        <v>15</v>
      </c>
      <c r="K279" t="str">
        <f>VLOOKUP(tblSalaries[[#This Row],[Where do you work]],tblCountries[[Actual]:[Mapping]],2,FALSE)</f>
        <v>USA</v>
      </c>
      <c r="L279" t="s">
        <v>13</v>
      </c>
      <c r="N279" s="8" t="str">
        <f>VLOOKUP(K279,tblCountries[],3,0)</f>
        <v>North Amer.</v>
      </c>
      <c r="O279" s="8">
        <f>VLOOKUP(tblSalaries[[#This Row],[How many hours of a day you work on Excel]],tblHours,2,0)</f>
        <v>5</v>
      </c>
      <c r="P279" s="8">
        <f>VLOOKUP(tblSalaries[[#This Row],[clean Country]],tblCountries[],5,0)</f>
        <v>1</v>
      </c>
      <c r="Q279" s="8">
        <f>IF($Q$1,tblSalaries[[#This Row],[PPP Factor]]*tblSalaries[[#This Row],[Salary in USD]],tblSalaries[[#This Row],[Salary in USD]])</f>
        <v>40000</v>
      </c>
    </row>
    <row r="280" spans="2:17" ht="15" customHeight="1" x14ac:dyDescent="0.25">
      <c r="B280" t="s">
        <v>2283</v>
      </c>
      <c r="C280" s="1">
        <v>41055.051701388889</v>
      </c>
      <c r="D280" s="4">
        <v>46000</v>
      </c>
      <c r="E280">
        <v>46000</v>
      </c>
      <c r="F280" t="s">
        <v>6</v>
      </c>
      <c r="G280">
        <f>tblSalaries[[#This Row],[clean Salary (in local currency)]]*VLOOKUP(tblSalaries[[#This Row],[Currency]],tblXrate[],2,FALSE)</f>
        <v>46000</v>
      </c>
      <c r="H280" t="s">
        <v>349</v>
      </c>
      <c r="I280" t="s">
        <v>20</v>
      </c>
      <c r="J280" t="s">
        <v>15</v>
      </c>
      <c r="K280" t="str">
        <f>VLOOKUP(tblSalaries[[#This Row],[Where do you work]],tblCountries[[Actual]:[Mapping]],2,FALSE)</f>
        <v>USA</v>
      </c>
      <c r="L280" t="s">
        <v>13</v>
      </c>
      <c r="N280" s="8" t="str">
        <f>VLOOKUP(K280,tblCountries[],3,0)</f>
        <v>North Amer.</v>
      </c>
      <c r="O280" s="8">
        <f>VLOOKUP(tblSalaries[[#This Row],[How many hours of a day you work on Excel]],tblHours,2,0)</f>
        <v>5</v>
      </c>
      <c r="P280" s="8">
        <f>VLOOKUP(tblSalaries[[#This Row],[clean Country]],tblCountries[],5,0)</f>
        <v>1</v>
      </c>
      <c r="Q280" s="8">
        <f>IF($Q$1,tblSalaries[[#This Row],[PPP Factor]]*tblSalaries[[#This Row],[Salary in USD]],tblSalaries[[#This Row],[Salary in USD]])</f>
        <v>46000</v>
      </c>
    </row>
    <row r="281" spans="2:17" ht="15" customHeight="1" x14ac:dyDescent="0.25">
      <c r="B281" t="s">
        <v>2284</v>
      </c>
      <c r="C281" s="1">
        <v>41055.052025462966</v>
      </c>
      <c r="D281" s="4">
        <v>14000</v>
      </c>
      <c r="E281">
        <v>14000</v>
      </c>
      <c r="F281" t="s">
        <v>6</v>
      </c>
      <c r="G281">
        <f>tblSalaries[[#This Row],[clean Salary (in local currency)]]*VLOOKUP(tblSalaries[[#This Row],[Currency]],tblXrate[],2,FALSE)</f>
        <v>14000</v>
      </c>
      <c r="H281" t="s">
        <v>350</v>
      </c>
      <c r="I281" t="s">
        <v>20</v>
      </c>
      <c r="J281" t="s">
        <v>143</v>
      </c>
      <c r="K281" t="str">
        <f>VLOOKUP(tblSalaries[[#This Row],[Where do you work]],tblCountries[[Actual]:[Mapping]],2,FALSE)</f>
        <v>Brazil</v>
      </c>
      <c r="L281" t="s">
        <v>25</v>
      </c>
      <c r="N281" s="8" t="str">
        <f>VLOOKUP(K281,tblCountries[],3,0)</f>
        <v>South Amer.</v>
      </c>
      <c r="O281" s="8">
        <f>VLOOKUP(tblSalaries[[#This Row],[How many hours of a day you work on Excel]],tblHours,2,0)</f>
        <v>2</v>
      </c>
      <c r="P281" s="8">
        <f>VLOOKUP(tblSalaries[[#This Row],[clean Country]],tblCountries[],5,0)</f>
        <v>4.1113943410655107</v>
      </c>
      <c r="Q281" s="8">
        <f>IF($Q$1,tblSalaries[[#This Row],[PPP Factor]]*tblSalaries[[#This Row],[Salary in USD]],tblSalaries[[#This Row],[Salary in USD]])</f>
        <v>14000</v>
      </c>
    </row>
    <row r="282" spans="2:17" ht="15" customHeight="1" x14ac:dyDescent="0.25">
      <c r="B282" t="s">
        <v>2285</v>
      </c>
      <c r="C282" s="1">
        <v>41055.052141203705</v>
      </c>
      <c r="D282" s="4">
        <v>70000</v>
      </c>
      <c r="E282">
        <v>70000</v>
      </c>
      <c r="F282" t="s">
        <v>6</v>
      </c>
      <c r="G282">
        <f>tblSalaries[[#This Row],[clean Salary (in local currency)]]*VLOOKUP(tblSalaries[[#This Row],[Currency]],tblXrate[],2,FALSE)</f>
        <v>70000</v>
      </c>
      <c r="H282" t="s">
        <v>351</v>
      </c>
      <c r="I282" t="s">
        <v>279</v>
      </c>
      <c r="J282" t="s">
        <v>15</v>
      </c>
      <c r="K282" t="str">
        <f>VLOOKUP(tblSalaries[[#This Row],[Where do you work]],tblCountries[[Actual]:[Mapping]],2,FALSE)</f>
        <v>USA</v>
      </c>
      <c r="L282" t="s">
        <v>13</v>
      </c>
      <c r="N282" s="8" t="str">
        <f>VLOOKUP(K282,tblCountries[],3,0)</f>
        <v>North Amer.</v>
      </c>
      <c r="O282" s="8">
        <f>VLOOKUP(tblSalaries[[#This Row],[How many hours of a day you work on Excel]],tblHours,2,0)</f>
        <v>5</v>
      </c>
      <c r="P282" s="8">
        <f>VLOOKUP(tblSalaries[[#This Row],[clean Country]],tblCountries[],5,0)</f>
        <v>1</v>
      </c>
      <c r="Q282" s="8">
        <f>IF($Q$1,tblSalaries[[#This Row],[PPP Factor]]*tblSalaries[[#This Row],[Salary in USD]],tblSalaries[[#This Row],[Salary in USD]])</f>
        <v>70000</v>
      </c>
    </row>
    <row r="283" spans="2:17" ht="15" customHeight="1" x14ac:dyDescent="0.25">
      <c r="B283" t="s">
        <v>2286</v>
      </c>
      <c r="C283" s="1">
        <v>41055.052222222221</v>
      </c>
      <c r="D283" s="4" t="s">
        <v>352</v>
      </c>
      <c r="E283">
        <v>36000</v>
      </c>
      <c r="F283" t="s">
        <v>6</v>
      </c>
      <c r="G283">
        <f>tblSalaries[[#This Row],[clean Salary (in local currency)]]*VLOOKUP(tblSalaries[[#This Row],[Currency]],tblXrate[],2,FALSE)</f>
        <v>36000</v>
      </c>
      <c r="H283" t="s">
        <v>353</v>
      </c>
      <c r="I283" t="s">
        <v>67</v>
      </c>
      <c r="J283" t="s">
        <v>65</v>
      </c>
      <c r="K283" t="str">
        <f>VLOOKUP(tblSalaries[[#This Row],[Where do you work]],tblCountries[[Actual]:[Mapping]],2,FALSE)</f>
        <v>Russia</v>
      </c>
      <c r="L283" t="s">
        <v>9</v>
      </c>
      <c r="N283" s="8" t="str">
        <f>VLOOKUP(K283,tblCountries[],3,0)</f>
        <v>Asia</v>
      </c>
      <c r="O283" s="8">
        <f>VLOOKUP(tblSalaries[[#This Row],[How many hours of a day you work on Excel]],tblHours,2,0)</f>
        <v>4</v>
      </c>
      <c r="P283" s="8">
        <f>VLOOKUP(tblSalaries[[#This Row],[clean Country]],tblCountries[],5,0)</f>
        <v>2.8911926386233269</v>
      </c>
      <c r="Q283" s="8">
        <f>IF($Q$1,tblSalaries[[#This Row],[PPP Factor]]*tblSalaries[[#This Row],[Salary in USD]],tblSalaries[[#This Row],[Salary in USD]])</f>
        <v>36000</v>
      </c>
    </row>
    <row r="284" spans="2:17" ht="15" customHeight="1" x14ac:dyDescent="0.25">
      <c r="B284" t="s">
        <v>2287</v>
      </c>
      <c r="C284" s="1">
        <v>41055.052372685182</v>
      </c>
      <c r="D284" s="4">
        <v>15000</v>
      </c>
      <c r="E284">
        <v>15000</v>
      </c>
      <c r="F284" t="s">
        <v>6</v>
      </c>
      <c r="G284">
        <f>tblSalaries[[#This Row],[clean Salary (in local currency)]]*VLOOKUP(tblSalaries[[#This Row],[Currency]],tblXrate[],2,FALSE)</f>
        <v>15000</v>
      </c>
      <c r="H284" t="s">
        <v>354</v>
      </c>
      <c r="I284" t="s">
        <v>52</v>
      </c>
      <c r="J284" t="s">
        <v>15</v>
      </c>
      <c r="K284" t="str">
        <f>VLOOKUP(tblSalaries[[#This Row],[Where do you work]],tblCountries[[Actual]:[Mapping]],2,FALSE)</f>
        <v>USA</v>
      </c>
      <c r="L284" t="s">
        <v>18</v>
      </c>
      <c r="N284" s="8" t="str">
        <f>VLOOKUP(K284,tblCountries[],3,0)</f>
        <v>North Amer.</v>
      </c>
      <c r="O284" s="8">
        <f>VLOOKUP(tblSalaries[[#This Row],[How many hours of a day you work on Excel]],tblHours,2,0)</f>
        <v>3</v>
      </c>
      <c r="P284" s="8">
        <f>VLOOKUP(tblSalaries[[#This Row],[clean Country]],tblCountries[],5,0)</f>
        <v>1</v>
      </c>
      <c r="Q284" s="8">
        <f>IF($Q$1,tblSalaries[[#This Row],[PPP Factor]]*tblSalaries[[#This Row],[Salary in USD]],tblSalaries[[#This Row],[Salary in USD]])</f>
        <v>15000</v>
      </c>
    </row>
    <row r="285" spans="2:17" ht="15" customHeight="1" x14ac:dyDescent="0.25">
      <c r="B285" t="s">
        <v>2288</v>
      </c>
      <c r="C285" s="1">
        <v>41055.052986111114</v>
      </c>
      <c r="D285" s="4" t="s">
        <v>355</v>
      </c>
      <c r="E285">
        <v>1500000</v>
      </c>
      <c r="F285" t="s">
        <v>40</v>
      </c>
      <c r="G285">
        <f>tblSalaries[[#This Row],[clean Salary (in local currency)]]*VLOOKUP(tblSalaries[[#This Row],[Currency]],tblXrate[],2,FALSE)</f>
        <v>26711.875031163851</v>
      </c>
      <c r="H285" t="s">
        <v>356</v>
      </c>
      <c r="I285" t="s">
        <v>356</v>
      </c>
      <c r="J285" t="s">
        <v>8</v>
      </c>
      <c r="K285" t="str">
        <f>VLOOKUP(tblSalaries[[#This Row],[Where do you work]],tblCountries[[Actual]:[Mapping]],2,FALSE)</f>
        <v>India</v>
      </c>
      <c r="L285" t="s">
        <v>13</v>
      </c>
      <c r="N285" s="8" t="str">
        <f>VLOOKUP(K285,tblCountries[],3,0)</f>
        <v>Asia</v>
      </c>
      <c r="O285" s="8">
        <f>VLOOKUP(tblSalaries[[#This Row],[How many hours of a day you work on Excel]],tblHours,2,0)</f>
        <v>5</v>
      </c>
      <c r="P285" s="8">
        <f>VLOOKUP(tblSalaries[[#This Row],[clean Country]],tblCountries[],5,0)</f>
        <v>13.098808879263672</v>
      </c>
      <c r="Q285" s="8">
        <f>IF($Q$1,tblSalaries[[#This Row],[PPP Factor]]*tblSalaries[[#This Row],[Salary in USD]],tblSalaries[[#This Row],[Salary in USD]])</f>
        <v>26711.875031163851</v>
      </c>
    </row>
    <row r="286" spans="2:17" ht="15" customHeight="1" x14ac:dyDescent="0.25">
      <c r="B286" t="s">
        <v>2289</v>
      </c>
      <c r="C286" s="1">
        <v>41055.053599537037</v>
      </c>
      <c r="D286" s="4" t="s">
        <v>357</v>
      </c>
      <c r="E286">
        <v>100000</v>
      </c>
      <c r="F286" t="s">
        <v>358</v>
      </c>
      <c r="G286">
        <f>tblSalaries[[#This Row],[clean Salary (in local currency)]]*VLOOKUP(tblSalaries[[#This Row],[Currency]],tblXrate[],2,FALSE)</f>
        <v>27221.92126875931</v>
      </c>
      <c r="H286" t="s">
        <v>310</v>
      </c>
      <c r="I286" t="s">
        <v>310</v>
      </c>
      <c r="J286" t="s">
        <v>359</v>
      </c>
      <c r="K286" t="str">
        <f>VLOOKUP(tblSalaries[[#This Row],[Where do you work]],tblCountries[[Actual]:[Mapping]],2,FALSE)</f>
        <v>Dubai</v>
      </c>
      <c r="L286" t="s">
        <v>9</v>
      </c>
      <c r="N286" s="8" t="str">
        <f>VLOOKUP(K286,tblCountries[],3,0)</f>
        <v>Asia</v>
      </c>
      <c r="O286" s="8">
        <f>VLOOKUP(tblSalaries[[#This Row],[How many hours of a day you work on Excel]],tblHours,2,0)</f>
        <v>4</v>
      </c>
      <c r="P286" s="8">
        <f>VLOOKUP(tblSalaries[[#This Row],[clean Country]],tblCountries[],5,0)</f>
        <v>1</v>
      </c>
      <c r="Q286" s="8">
        <f>IF($Q$1,tblSalaries[[#This Row],[PPP Factor]]*tblSalaries[[#This Row],[Salary in USD]],tblSalaries[[#This Row],[Salary in USD]])</f>
        <v>27221.92126875931</v>
      </c>
    </row>
    <row r="287" spans="2:17" ht="15" customHeight="1" x14ac:dyDescent="0.25">
      <c r="B287" t="s">
        <v>2290</v>
      </c>
      <c r="C287" s="1">
        <v>41055.054050925923</v>
      </c>
      <c r="D287" s="4">
        <v>22000</v>
      </c>
      <c r="E287">
        <v>22000</v>
      </c>
      <c r="F287" t="s">
        <v>6</v>
      </c>
      <c r="G287">
        <f>tblSalaries[[#This Row],[clean Salary (in local currency)]]*VLOOKUP(tblSalaries[[#This Row],[Currency]],tblXrate[],2,FALSE)</f>
        <v>22000</v>
      </c>
      <c r="H287" t="s">
        <v>360</v>
      </c>
      <c r="I287" t="s">
        <v>3999</v>
      </c>
      <c r="J287" t="s">
        <v>8</v>
      </c>
      <c r="K287" t="str">
        <f>VLOOKUP(tblSalaries[[#This Row],[Where do you work]],tblCountries[[Actual]:[Mapping]],2,FALSE)</f>
        <v>India</v>
      </c>
      <c r="L287" t="s">
        <v>13</v>
      </c>
      <c r="N287" s="8" t="str">
        <f>VLOOKUP(K287,tblCountries[],3,0)</f>
        <v>Asia</v>
      </c>
      <c r="O287" s="8">
        <f>VLOOKUP(tblSalaries[[#This Row],[How many hours of a day you work on Excel]],tblHours,2,0)</f>
        <v>5</v>
      </c>
      <c r="P287" s="8">
        <f>VLOOKUP(tblSalaries[[#This Row],[clean Country]],tblCountries[],5,0)</f>
        <v>13.098808879263672</v>
      </c>
      <c r="Q287" s="8">
        <f>IF($Q$1,tblSalaries[[#This Row],[PPP Factor]]*tblSalaries[[#This Row],[Salary in USD]],tblSalaries[[#This Row],[Salary in USD]])</f>
        <v>22000</v>
      </c>
    </row>
    <row r="288" spans="2:17" ht="15" customHeight="1" x14ac:dyDescent="0.25">
      <c r="B288" t="s">
        <v>2291</v>
      </c>
      <c r="C288" s="1">
        <v>41055.054120370369</v>
      </c>
      <c r="D288" s="4">
        <v>68000</v>
      </c>
      <c r="E288">
        <v>68000</v>
      </c>
      <c r="F288" t="s">
        <v>6</v>
      </c>
      <c r="G288">
        <f>tblSalaries[[#This Row],[clean Salary (in local currency)]]*VLOOKUP(tblSalaries[[#This Row],[Currency]],tblXrate[],2,FALSE)</f>
        <v>68000</v>
      </c>
      <c r="H288" t="s">
        <v>361</v>
      </c>
      <c r="I288" t="s">
        <v>52</v>
      </c>
      <c r="J288" t="s">
        <v>15</v>
      </c>
      <c r="K288" t="str">
        <f>VLOOKUP(tblSalaries[[#This Row],[Where do you work]],tblCountries[[Actual]:[Mapping]],2,FALSE)</f>
        <v>USA</v>
      </c>
      <c r="L288" t="s">
        <v>13</v>
      </c>
      <c r="N288" s="8" t="str">
        <f>VLOOKUP(K288,tblCountries[],3,0)</f>
        <v>North Amer.</v>
      </c>
      <c r="O288" s="8">
        <f>VLOOKUP(tblSalaries[[#This Row],[How many hours of a day you work on Excel]],tblHours,2,0)</f>
        <v>5</v>
      </c>
      <c r="P288" s="8">
        <f>VLOOKUP(tblSalaries[[#This Row],[clean Country]],tblCountries[],5,0)</f>
        <v>1</v>
      </c>
      <c r="Q288" s="8">
        <f>IF($Q$1,tblSalaries[[#This Row],[PPP Factor]]*tblSalaries[[#This Row],[Salary in USD]],tblSalaries[[#This Row],[Salary in USD]])</f>
        <v>68000</v>
      </c>
    </row>
    <row r="289" spans="2:17" ht="15" customHeight="1" x14ac:dyDescent="0.25">
      <c r="B289" t="s">
        <v>2292</v>
      </c>
      <c r="C289" s="1">
        <v>41055.054131944446</v>
      </c>
      <c r="D289" s="4">
        <v>97000</v>
      </c>
      <c r="E289">
        <v>97000</v>
      </c>
      <c r="F289" t="s">
        <v>6</v>
      </c>
      <c r="G289">
        <f>tblSalaries[[#This Row],[clean Salary (in local currency)]]*VLOOKUP(tblSalaries[[#This Row],[Currency]],tblXrate[],2,FALSE)</f>
        <v>97000</v>
      </c>
      <c r="H289" t="s">
        <v>42</v>
      </c>
      <c r="I289" t="s">
        <v>20</v>
      </c>
      <c r="J289" t="s">
        <v>15</v>
      </c>
      <c r="K289" t="str">
        <f>VLOOKUP(tblSalaries[[#This Row],[Where do you work]],tblCountries[[Actual]:[Mapping]],2,FALSE)</f>
        <v>USA</v>
      </c>
      <c r="L289" t="s">
        <v>13</v>
      </c>
      <c r="N289" s="8" t="str">
        <f>VLOOKUP(K289,tblCountries[],3,0)</f>
        <v>North Amer.</v>
      </c>
      <c r="O289" s="8">
        <f>VLOOKUP(tblSalaries[[#This Row],[How many hours of a day you work on Excel]],tblHours,2,0)</f>
        <v>5</v>
      </c>
      <c r="P289" s="8">
        <f>VLOOKUP(tblSalaries[[#This Row],[clean Country]],tblCountries[],5,0)</f>
        <v>1</v>
      </c>
      <c r="Q289" s="8">
        <f>IF($Q$1,tblSalaries[[#This Row],[PPP Factor]]*tblSalaries[[#This Row],[Salary in USD]],tblSalaries[[#This Row],[Salary in USD]])</f>
        <v>97000</v>
      </c>
    </row>
    <row r="290" spans="2:17" ht="15" customHeight="1" x14ac:dyDescent="0.25">
      <c r="B290" t="s">
        <v>2293</v>
      </c>
      <c r="C290" s="1">
        <v>41055.054571759261</v>
      </c>
      <c r="D290" s="4" t="s">
        <v>362</v>
      </c>
      <c r="E290">
        <v>31000</v>
      </c>
      <c r="F290" t="s">
        <v>69</v>
      </c>
      <c r="G290">
        <f>tblSalaries[[#This Row],[clean Salary (in local currency)]]*VLOOKUP(tblSalaries[[#This Row],[Currency]],tblXrate[],2,FALSE)</f>
        <v>48861.526434085805</v>
      </c>
      <c r="H290" t="s">
        <v>363</v>
      </c>
      <c r="I290" t="s">
        <v>279</v>
      </c>
      <c r="J290" t="s">
        <v>71</v>
      </c>
      <c r="K290" t="str">
        <f>VLOOKUP(tblSalaries[[#This Row],[Where do you work]],tblCountries[[Actual]:[Mapping]],2,FALSE)</f>
        <v>UK</v>
      </c>
      <c r="L290" t="s">
        <v>18</v>
      </c>
      <c r="N290" s="8" t="str">
        <f>VLOOKUP(K290,tblCountries[],3,0)</f>
        <v>Europe</v>
      </c>
      <c r="O290" s="8">
        <f>VLOOKUP(tblSalaries[[#This Row],[How many hours of a day you work on Excel]],tblHours,2,0)</f>
        <v>3</v>
      </c>
      <c r="P290" s="8">
        <f>VLOOKUP(tblSalaries[[#This Row],[clean Country]],tblCountries[],5,0)</f>
        <v>1.3407315045719035</v>
      </c>
      <c r="Q290" s="8">
        <f>IF($Q$1,tblSalaries[[#This Row],[PPP Factor]]*tblSalaries[[#This Row],[Salary in USD]],tblSalaries[[#This Row],[Salary in USD]])</f>
        <v>48861.526434085805</v>
      </c>
    </row>
    <row r="291" spans="2:17" ht="15" customHeight="1" x14ac:dyDescent="0.25">
      <c r="B291" t="s">
        <v>2294</v>
      </c>
      <c r="C291" s="1">
        <v>41055.0547337963</v>
      </c>
      <c r="D291" s="4">
        <v>65000</v>
      </c>
      <c r="E291">
        <v>65000</v>
      </c>
      <c r="F291" t="s">
        <v>6</v>
      </c>
      <c r="G291">
        <f>tblSalaries[[#This Row],[clean Salary (in local currency)]]*VLOOKUP(tblSalaries[[#This Row],[Currency]],tblXrate[],2,FALSE)</f>
        <v>65000</v>
      </c>
      <c r="H291" t="s">
        <v>364</v>
      </c>
      <c r="I291" t="s">
        <v>20</v>
      </c>
      <c r="J291" t="s">
        <v>15</v>
      </c>
      <c r="K291" t="str">
        <f>VLOOKUP(tblSalaries[[#This Row],[Where do you work]],tblCountries[[Actual]:[Mapping]],2,FALSE)</f>
        <v>USA</v>
      </c>
      <c r="L291" t="s">
        <v>9</v>
      </c>
      <c r="N291" s="8" t="str">
        <f>VLOOKUP(K291,tblCountries[],3,0)</f>
        <v>North Amer.</v>
      </c>
      <c r="O291" s="8">
        <f>VLOOKUP(tblSalaries[[#This Row],[How many hours of a day you work on Excel]],tblHours,2,0)</f>
        <v>4</v>
      </c>
      <c r="P291" s="8">
        <f>VLOOKUP(tblSalaries[[#This Row],[clean Country]],tblCountries[],5,0)</f>
        <v>1</v>
      </c>
      <c r="Q291" s="8">
        <f>IF($Q$1,tblSalaries[[#This Row],[PPP Factor]]*tblSalaries[[#This Row],[Salary in USD]],tblSalaries[[#This Row],[Salary in USD]])</f>
        <v>65000</v>
      </c>
    </row>
    <row r="292" spans="2:17" ht="15" customHeight="1" x14ac:dyDescent="0.25">
      <c r="B292" t="s">
        <v>2295</v>
      </c>
      <c r="C292" s="1">
        <v>41055.054837962962</v>
      </c>
      <c r="D292" s="4">
        <v>3600</v>
      </c>
      <c r="E292">
        <v>43200</v>
      </c>
      <c r="F292" t="s">
        <v>6</v>
      </c>
      <c r="G292">
        <f>tblSalaries[[#This Row],[clean Salary (in local currency)]]*VLOOKUP(tblSalaries[[#This Row],[Currency]],tblXrate[],2,FALSE)</f>
        <v>43200</v>
      </c>
      <c r="H292" t="s">
        <v>365</v>
      </c>
      <c r="I292" t="s">
        <v>52</v>
      </c>
      <c r="J292" t="s">
        <v>133</v>
      </c>
      <c r="K292" t="str">
        <f>VLOOKUP(tblSalaries[[#This Row],[Where do you work]],tblCountries[[Actual]:[Mapping]],2,FALSE)</f>
        <v>Saudi Arabia</v>
      </c>
      <c r="L292" t="s">
        <v>9</v>
      </c>
      <c r="N292" s="8" t="str">
        <f>VLOOKUP(K292,tblCountries[],3,0)</f>
        <v>Asia</v>
      </c>
      <c r="O292" s="8">
        <f>VLOOKUP(tblSalaries[[#This Row],[How many hours of a day you work on Excel]],tblHours,2,0)</f>
        <v>4</v>
      </c>
      <c r="P292" s="8">
        <f>VLOOKUP(tblSalaries[[#This Row],[clean Country]],tblCountries[],5,0)</f>
        <v>1.9964104468374799</v>
      </c>
      <c r="Q292" s="8">
        <f>IF($Q$1,tblSalaries[[#This Row],[PPP Factor]]*tblSalaries[[#This Row],[Salary in USD]],tblSalaries[[#This Row],[Salary in USD]])</f>
        <v>43200</v>
      </c>
    </row>
    <row r="293" spans="2:17" ht="15" customHeight="1" x14ac:dyDescent="0.25">
      <c r="B293" t="s">
        <v>2296</v>
      </c>
      <c r="C293" s="1">
        <v>41055.054965277777</v>
      </c>
      <c r="D293" s="4" t="s">
        <v>366</v>
      </c>
      <c r="E293">
        <v>450000</v>
      </c>
      <c r="F293" t="s">
        <v>40</v>
      </c>
      <c r="G293">
        <f>tblSalaries[[#This Row],[clean Salary (in local currency)]]*VLOOKUP(tblSalaries[[#This Row],[Currency]],tblXrate[],2,FALSE)</f>
        <v>8013.5625093491553</v>
      </c>
      <c r="H293" t="s">
        <v>207</v>
      </c>
      <c r="I293" t="s">
        <v>20</v>
      </c>
      <c r="J293" t="s">
        <v>8</v>
      </c>
      <c r="K293" t="str">
        <f>VLOOKUP(tblSalaries[[#This Row],[Where do you work]],tblCountries[[Actual]:[Mapping]],2,FALSE)</f>
        <v>India</v>
      </c>
      <c r="L293" t="s">
        <v>9</v>
      </c>
      <c r="N293" s="8" t="str">
        <f>VLOOKUP(K293,tblCountries[],3,0)</f>
        <v>Asia</v>
      </c>
      <c r="O293" s="8">
        <f>VLOOKUP(tblSalaries[[#This Row],[How many hours of a day you work on Excel]],tblHours,2,0)</f>
        <v>4</v>
      </c>
      <c r="P293" s="8">
        <f>VLOOKUP(tblSalaries[[#This Row],[clean Country]],tblCountries[],5,0)</f>
        <v>13.098808879263672</v>
      </c>
      <c r="Q293" s="8">
        <f>IF($Q$1,tblSalaries[[#This Row],[PPP Factor]]*tblSalaries[[#This Row],[Salary in USD]],tblSalaries[[#This Row],[Salary in USD]])</f>
        <v>8013.5625093491553</v>
      </c>
    </row>
    <row r="294" spans="2:17" ht="15" customHeight="1" x14ac:dyDescent="0.25">
      <c r="B294" t="s">
        <v>2297</v>
      </c>
      <c r="C294" s="1">
        <v>41055.054965277777</v>
      </c>
      <c r="D294" s="4">
        <v>50000</v>
      </c>
      <c r="E294">
        <v>50000</v>
      </c>
      <c r="F294" t="s">
        <v>6</v>
      </c>
      <c r="G294">
        <f>tblSalaries[[#This Row],[clean Salary (in local currency)]]*VLOOKUP(tblSalaries[[#This Row],[Currency]],tblXrate[],2,FALSE)</f>
        <v>50000</v>
      </c>
      <c r="H294" t="s">
        <v>367</v>
      </c>
      <c r="I294" t="s">
        <v>20</v>
      </c>
      <c r="J294" t="s">
        <v>15</v>
      </c>
      <c r="K294" t="str">
        <f>VLOOKUP(tblSalaries[[#This Row],[Where do you work]],tblCountries[[Actual]:[Mapping]],2,FALSE)</f>
        <v>USA</v>
      </c>
      <c r="L294" t="s">
        <v>13</v>
      </c>
      <c r="N294" s="8" t="str">
        <f>VLOOKUP(K294,tblCountries[],3,0)</f>
        <v>North Amer.</v>
      </c>
      <c r="O294" s="8">
        <f>VLOOKUP(tblSalaries[[#This Row],[How many hours of a day you work on Excel]],tblHours,2,0)</f>
        <v>5</v>
      </c>
      <c r="P294" s="8">
        <f>VLOOKUP(tblSalaries[[#This Row],[clean Country]],tblCountries[],5,0)</f>
        <v>1</v>
      </c>
      <c r="Q294" s="8">
        <f>IF($Q$1,tblSalaries[[#This Row],[PPP Factor]]*tblSalaries[[#This Row],[Salary in USD]],tblSalaries[[#This Row],[Salary in USD]])</f>
        <v>50000</v>
      </c>
    </row>
    <row r="295" spans="2:17" ht="15" customHeight="1" x14ac:dyDescent="0.25">
      <c r="B295" t="s">
        <v>2298</v>
      </c>
      <c r="C295" s="1">
        <v>41055.055115740739</v>
      </c>
      <c r="D295" s="4">
        <v>45000</v>
      </c>
      <c r="E295">
        <v>45000</v>
      </c>
      <c r="F295" t="s">
        <v>6</v>
      </c>
      <c r="G295">
        <f>tblSalaries[[#This Row],[clean Salary (in local currency)]]*VLOOKUP(tblSalaries[[#This Row],[Currency]],tblXrate[],2,FALSE)</f>
        <v>45000</v>
      </c>
      <c r="H295" t="s">
        <v>368</v>
      </c>
      <c r="I295" t="s">
        <v>20</v>
      </c>
      <c r="J295" t="s">
        <v>15</v>
      </c>
      <c r="K295" t="str">
        <f>VLOOKUP(tblSalaries[[#This Row],[Where do you work]],tblCountries[[Actual]:[Mapping]],2,FALSE)</f>
        <v>USA</v>
      </c>
      <c r="L295" t="s">
        <v>9</v>
      </c>
      <c r="N295" s="8" t="str">
        <f>VLOOKUP(K295,tblCountries[],3,0)</f>
        <v>North Amer.</v>
      </c>
      <c r="O295" s="8">
        <f>VLOOKUP(tblSalaries[[#This Row],[How many hours of a day you work on Excel]],tblHours,2,0)</f>
        <v>4</v>
      </c>
      <c r="P295" s="8">
        <f>VLOOKUP(tblSalaries[[#This Row],[clean Country]],tblCountries[],5,0)</f>
        <v>1</v>
      </c>
      <c r="Q295" s="8">
        <f>IF($Q$1,tblSalaries[[#This Row],[PPP Factor]]*tblSalaries[[#This Row],[Salary in USD]],tblSalaries[[#This Row],[Salary in USD]])</f>
        <v>45000</v>
      </c>
    </row>
    <row r="296" spans="2:17" ht="15" customHeight="1" x14ac:dyDescent="0.25">
      <c r="B296" t="s">
        <v>2299</v>
      </c>
      <c r="C296" s="1">
        <v>41055.055289351854</v>
      </c>
      <c r="D296" s="4" t="s">
        <v>369</v>
      </c>
      <c r="E296">
        <v>180000</v>
      </c>
      <c r="F296" t="s">
        <v>40</v>
      </c>
      <c r="G296">
        <f>tblSalaries[[#This Row],[clean Salary (in local currency)]]*VLOOKUP(tblSalaries[[#This Row],[Currency]],tblXrate[],2,FALSE)</f>
        <v>3205.4250037396623</v>
      </c>
      <c r="H296" t="s">
        <v>370</v>
      </c>
      <c r="I296" t="s">
        <v>52</v>
      </c>
      <c r="J296" t="s">
        <v>8</v>
      </c>
      <c r="K296" t="str">
        <f>VLOOKUP(tblSalaries[[#This Row],[Where do you work]],tblCountries[[Actual]:[Mapping]],2,FALSE)</f>
        <v>India</v>
      </c>
      <c r="L296" t="s">
        <v>9</v>
      </c>
      <c r="N296" s="8" t="str">
        <f>VLOOKUP(K296,tblCountries[],3,0)</f>
        <v>Asia</v>
      </c>
      <c r="O296" s="8">
        <f>VLOOKUP(tblSalaries[[#This Row],[How many hours of a day you work on Excel]],tblHours,2,0)</f>
        <v>4</v>
      </c>
      <c r="P296" s="8">
        <f>VLOOKUP(tblSalaries[[#This Row],[clean Country]],tblCountries[],5,0)</f>
        <v>13.098808879263672</v>
      </c>
      <c r="Q296" s="8">
        <f>IF($Q$1,tblSalaries[[#This Row],[PPP Factor]]*tblSalaries[[#This Row],[Salary in USD]],tblSalaries[[#This Row],[Salary in USD]])</f>
        <v>3205.4250037396623</v>
      </c>
    </row>
    <row r="297" spans="2:17" ht="15" customHeight="1" x14ac:dyDescent="0.25">
      <c r="B297" t="s">
        <v>2300</v>
      </c>
      <c r="C297" s="1">
        <v>41055.055567129632</v>
      </c>
      <c r="D297" s="4">
        <v>60000</v>
      </c>
      <c r="E297">
        <v>60000</v>
      </c>
      <c r="F297" t="s">
        <v>6</v>
      </c>
      <c r="G297">
        <f>tblSalaries[[#This Row],[clean Salary (in local currency)]]*VLOOKUP(tblSalaries[[#This Row],[Currency]],tblXrate[],2,FALSE)</f>
        <v>60000</v>
      </c>
      <c r="H297" t="s">
        <v>371</v>
      </c>
      <c r="I297" t="s">
        <v>52</v>
      </c>
      <c r="J297" t="s">
        <v>15</v>
      </c>
      <c r="K297" t="str">
        <f>VLOOKUP(tblSalaries[[#This Row],[Where do you work]],tblCountries[[Actual]:[Mapping]],2,FALSE)</f>
        <v>USA</v>
      </c>
      <c r="L297" t="s">
        <v>13</v>
      </c>
      <c r="N297" s="8" t="str">
        <f>VLOOKUP(K297,tblCountries[],3,0)</f>
        <v>North Amer.</v>
      </c>
      <c r="O297" s="8">
        <f>VLOOKUP(tblSalaries[[#This Row],[How many hours of a day you work on Excel]],tblHours,2,0)</f>
        <v>5</v>
      </c>
      <c r="P297" s="8">
        <f>VLOOKUP(tblSalaries[[#This Row],[clean Country]],tblCountries[],5,0)</f>
        <v>1</v>
      </c>
      <c r="Q297" s="8">
        <f>IF($Q$1,tblSalaries[[#This Row],[PPP Factor]]*tblSalaries[[#This Row],[Salary in USD]],tblSalaries[[#This Row],[Salary in USD]])</f>
        <v>60000</v>
      </c>
    </row>
    <row r="298" spans="2:17" ht="15" customHeight="1" x14ac:dyDescent="0.25">
      <c r="B298" t="s">
        <v>2301</v>
      </c>
      <c r="C298" s="1">
        <v>41055.056087962963</v>
      </c>
      <c r="D298" s="4">
        <v>31000</v>
      </c>
      <c r="E298">
        <v>31000</v>
      </c>
      <c r="F298" t="s">
        <v>6</v>
      </c>
      <c r="G298">
        <f>tblSalaries[[#This Row],[clean Salary (in local currency)]]*VLOOKUP(tblSalaries[[#This Row],[Currency]],tblXrate[],2,FALSE)</f>
        <v>31000</v>
      </c>
      <c r="H298" t="s">
        <v>372</v>
      </c>
      <c r="I298" t="s">
        <v>67</v>
      </c>
      <c r="J298" t="s">
        <v>15</v>
      </c>
      <c r="K298" t="str">
        <f>VLOOKUP(tblSalaries[[#This Row],[Where do you work]],tblCountries[[Actual]:[Mapping]],2,FALSE)</f>
        <v>USA</v>
      </c>
      <c r="L298" t="s">
        <v>18</v>
      </c>
      <c r="N298" s="8" t="str">
        <f>VLOOKUP(K298,tblCountries[],3,0)</f>
        <v>North Amer.</v>
      </c>
      <c r="O298" s="8">
        <f>VLOOKUP(tblSalaries[[#This Row],[How many hours of a day you work on Excel]],tblHours,2,0)</f>
        <v>3</v>
      </c>
      <c r="P298" s="8">
        <f>VLOOKUP(tblSalaries[[#This Row],[clean Country]],tblCountries[],5,0)</f>
        <v>1</v>
      </c>
      <c r="Q298" s="8">
        <f>IF($Q$1,tblSalaries[[#This Row],[PPP Factor]]*tblSalaries[[#This Row],[Salary in USD]],tblSalaries[[#This Row],[Salary in USD]])</f>
        <v>31000</v>
      </c>
    </row>
    <row r="299" spans="2:17" ht="15" customHeight="1" x14ac:dyDescent="0.25">
      <c r="B299" t="s">
        <v>2302</v>
      </c>
      <c r="C299" s="1">
        <v>41055.056319444448</v>
      </c>
      <c r="D299" s="4">
        <v>75000</v>
      </c>
      <c r="E299">
        <v>75000</v>
      </c>
      <c r="F299" t="s">
        <v>6</v>
      </c>
      <c r="G299">
        <f>tblSalaries[[#This Row],[clean Salary (in local currency)]]*VLOOKUP(tblSalaries[[#This Row],[Currency]],tblXrate[],2,FALSE)</f>
        <v>75000</v>
      </c>
      <c r="H299" t="s">
        <v>373</v>
      </c>
      <c r="I299" t="s">
        <v>20</v>
      </c>
      <c r="J299" t="s">
        <v>15</v>
      </c>
      <c r="K299" t="str">
        <f>VLOOKUP(tblSalaries[[#This Row],[Where do you work]],tblCountries[[Actual]:[Mapping]],2,FALSE)</f>
        <v>USA</v>
      </c>
      <c r="L299" t="s">
        <v>9</v>
      </c>
      <c r="N299" s="8" t="str">
        <f>VLOOKUP(K299,tblCountries[],3,0)</f>
        <v>North Amer.</v>
      </c>
      <c r="O299" s="8">
        <f>VLOOKUP(tblSalaries[[#This Row],[How many hours of a day you work on Excel]],tblHours,2,0)</f>
        <v>4</v>
      </c>
      <c r="P299" s="8">
        <f>VLOOKUP(tblSalaries[[#This Row],[clean Country]],tblCountries[],5,0)</f>
        <v>1</v>
      </c>
      <c r="Q299" s="8">
        <f>IF($Q$1,tblSalaries[[#This Row],[PPP Factor]]*tblSalaries[[#This Row],[Salary in USD]],tblSalaries[[#This Row],[Salary in USD]])</f>
        <v>75000</v>
      </c>
    </row>
    <row r="300" spans="2:17" ht="15" customHeight="1" x14ac:dyDescent="0.25">
      <c r="B300" t="s">
        <v>2303</v>
      </c>
      <c r="C300" s="1">
        <v>41055.05704861111</v>
      </c>
      <c r="D300" s="4">
        <v>16000</v>
      </c>
      <c r="E300">
        <v>16000</v>
      </c>
      <c r="F300" t="s">
        <v>6</v>
      </c>
      <c r="G300">
        <f>tblSalaries[[#This Row],[clean Salary (in local currency)]]*VLOOKUP(tblSalaries[[#This Row],[Currency]],tblXrate[],2,FALSE)</f>
        <v>16000</v>
      </c>
      <c r="H300" t="s">
        <v>374</v>
      </c>
      <c r="I300" t="s">
        <v>4001</v>
      </c>
      <c r="J300" t="s">
        <v>15</v>
      </c>
      <c r="K300" t="str">
        <f>VLOOKUP(tblSalaries[[#This Row],[Where do you work]],tblCountries[[Actual]:[Mapping]],2,FALSE)</f>
        <v>USA</v>
      </c>
      <c r="L300" t="s">
        <v>25</v>
      </c>
      <c r="N300" s="8" t="str">
        <f>VLOOKUP(K300,tblCountries[],3,0)</f>
        <v>North Amer.</v>
      </c>
      <c r="O300" s="8">
        <f>VLOOKUP(tblSalaries[[#This Row],[How many hours of a day you work on Excel]],tblHours,2,0)</f>
        <v>2</v>
      </c>
      <c r="P300" s="8">
        <f>VLOOKUP(tblSalaries[[#This Row],[clean Country]],tblCountries[],5,0)</f>
        <v>1</v>
      </c>
      <c r="Q300" s="8">
        <f>IF($Q$1,tblSalaries[[#This Row],[PPP Factor]]*tblSalaries[[#This Row],[Salary in USD]],tblSalaries[[#This Row],[Salary in USD]])</f>
        <v>16000</v>
      </c>
    </row>
    <row r="301" spans="2:17" ht="15" customHeight="1" x14ac:dyDescent="0.25">
      <c r="B301" t="s">
        <v>2304</v>
      </c>
      <c r="C301" s="1">
        <v>41055.057199074072</v>
      </c>
      <c r="D301" s="4" t="s">
        <v>375</v>
      </c>
      <c r="E301">
        <v>36000</v>
      </c>
      <c r="F301" t="s">
        <v>6</v>
      </c>
      <c r="G301">
        <f>tblSalaries[[#This Row],[clean Salary (in local currency)]]*VLOOKUP(tblSalaries[[#This Row],[Currency]],tblXrate[],2,FALSE)</f>
        <v>36000</v>
      </c>
      <c r="H301" t="s">
        <v>376</v>
      </c>
      <c r="I301" t="s">
        <v>20</v>
      </c>
      <c r="J301" t="s">
        <v>15</v>
      </c>
      <c r="K301" t="str">
        <f>VLOOKUP(tblSalaries[[#This Row],[Where do you work]],tblCountries[[Actual]:[Mapping]],2,FALSE)</f>
        <v>USA</v>
      </c>
      <c r="L301" t="s">
        <v>13</v>
      </c>
      <c r="N301" s="8" t="str">
        <f>VLOOKUP(K301,tblCountries[],3,0)</f>
        <v>North Amer.</v>
      </c>
      <c r="O301" s="8">
        <f>VLOOKUP(tblSalaries[[#This Row],[How many hours of a day you work on Excel]],tblHours,2,0)</f>
        <v>5</v>
      </c>
      <c r="P301" s="8">
        <f>VLOOKUP(tblSalaries[[#This Row],[clean Country]],tblCountries[],5,0)</f>
        <v>1</v>
      </c>
      <c r="Q301" s="8">
        <f>IF($Q$1,tblSalaries[[#This Row],[PPP Factor]]*tblSalaries[[#This Row],[Salary in USD]],tblSalaries[[#This Row],[Salary in USD]])</f>
        <v>36000</v>
      </c>
    </row>
    <row r="302" spans="2:17" ht="15" customHeight="1" x14ac:dyDescent="0.25">
      <c r="B302" t="s">
        <v>2305</v>
      </c>
      <c r="C302" s="1">
        <v>41055.05740740741</v>
      </c>
      <c r="D302" s="4">
        <v>42000</v>
      </c>
      <c r="E302">
        <v>42000</v>
      </c>
      <c r="F302" t="s">
        <v>86</v>
      </c>
      <c r="G302">
        <f>tblSalaries[[#This Row],[clean Salary (in local currency)]]*VLOOKUP(tblSalaries[[#This Row],[Currency]],tblXrate[],2,FALSE)</f>
        <v>41301.183967273726</v>
      </c>
      <c r="H302" t="s">
        <v>14</v>
      </c>
      <c r="I302" t="s">
        <v>20</v>
      </c>
      <c r="J302" t="s">
        <v>88</v>
      </c>
      <c r="K302" t="str">
        <f>VLOOKUP(tblSalaries[[#This Row],[Where do you work]],tblCountries[[Actual]:[Mapping]],2,FALSE)</f>
        <v>Canada</v>
      </c>
      <c r="L302" t="s">
        <v>13</v>
      </c>
      <c r="N302" s="8" t="str">
        <f>VLOOKUP(K302,tblCountries[],3,0)</f>
        <v>North Amer.</v>
      </c>
      <c r="O302" s="8">
        <f>VLOOKUP(tblSalaries[[#This Row],[How many hours of a day you work on Excel]],tblHours,2,0)</f>
        <v>5</v>
      </c>
      <c r="P302" s="8">
        <f>VLOOKUP(tblSalaries[[#This Row],[clean Country]],tblCountries[],5,0)</f>
        <v>1.1935324732986359</v>
      </c>
      <c r="Q302" s="8">
        <f>IF($Q$1,tblSalaries[[#This Row],[PPP Factor]]*tblSalaries[[#This Row],[Salary in USD]],tblSalaries[[#This Row],[Salary in USD]])</f>
        <v>41301.183967273726</v>
      </c>
    </row>
    <row r="303" spans="2:17" ht="15" customHeight="1" x14ac:dyDescent="0.25">
      <c r="B303" t="s">
        <v>2306</v>
      </c>
      <c r="C303" s="1">
        <v>41055.05746527778</v>
      </c>
      <c r="D303" s="4">
        <v>53000</v>
      </c>
      <c r="E303">
        <v>53000</v>
      </c>
      <c r="F303" t="s">
        <v>6</v>
      </c>
      <c r="G303">
        <f>tblSalaries[[#This Row],[clean Salary (in local currency)]]*VLOOKUP(tblSalaries[[#This Row],[Currency]],tblXrate[],2,FALSE)</f>
        <v>53000</v>
      </c>
      <c r="H303" t="s">
        <v>153</v>
      </c>
      <c r="I303" t="s">
        <v>20</v>
      </c>
      <c r="J303" t="s">
        <v>15</v>
      </c>
      <c r="K303" t="str">
        <f>VLOOKUP(tblSalaries[[#This Row],[Where do you work]],tblCountries[[Actual]:[Mapping]],2,FALSE)</f>
        <v>USA</v>
      </c>
      <c r="L303" t="s">
        <v>9</v>
      </c>
      <c r="N303" s="8" t="str">
        <f>VLOOKUP(K303,tblCountries[],3,0)</f>
        <v>North Amer.</v>
      </c>
      <c r="O303" s="8">
        <f>VLOOKUP(tblSalaries[[#This Row],[How many hours of a day you work on Excel]],tblHours,2,0)</f>
        <v>4</v>
      </c>
      <c r="P303" s="8">
        <f>VLOOKUP(tblSalaries[[#This Row],[clean Country]],tblCountries[],5,0)</f>
        <v>1</v>
      </c>
      <c r="Q303" s="8">
        <f>IF($Q$1,tblSalaries[[#This Row],[PPP Factor]]*tblSalaries[[#This Row],[Salary in USD]],tblSalaries[[#This Row],[Salary in USD]])</f>
        <v>53000</v>
      </c>
    </row>
    <row r="304" spans="2:17" ht="15" customHeight="1" x14ac:dyDescent="0.25">
      <c r="B304" t="s">
        <v>2307</v>
      </c>
      <c r="C304" s="1">
        <v>41055.057500000003</v>
      </c>
      <c r="D304" s="4" t="s">
        <v>377</v>
      </c>
      <c r="E304">
        <v>65000</v>
      </c>
      <c r="F304" t="s">
        <v>22</v>
      </c>
      <c r="G304">
        <f>tblSalaries[[#This Row],[clean Salary (in local currency)]]*VLOOKUP(tblSalaries[[#This Row],[Currency]],tblXrate[],2,FALSE)</f>
        <v>82575.963534454509</v>
      </c>
      <c r="H304" t="s">
        <v>270</v>
      </c>
      <c r="I304" t="s">
        <v>488</v>
      </c>
      <c r="J304" t="s">
        <v>378</v>
      </c>
      <c r="K304" t="str">
        <f>VLOOKUP(tblSalaries[[#This Row],[Where do you work]],tblCountries[[Actual]:[Mapping]],2,FALSE)</f>
        <v>Germany</v>
      </c>
      <c r="L304" t="s">
        <v>13</v>
      </c>
      <c r="N304" s="8" t="str">
        <f>VLOOKUP(K304,tblCountries[],3,0)</f>
        <v>Europe</v>
      </c>
      <c r="O304" s="8">
        <f>VLOOKUP(tblSalaries[[#This Row],[How many hours of a day you work on Excel]],tblHours,2,0)</f>
        <v>5</v>
      </c>
      <c r="P304" s="8">
        <f>VLOOKUP(tblSalaries[[#This Row],[clean Country]],tblCountries[],5,0)</f>
        <v>1.276802913159353</v>
      </c>
      <c r="Q304" s="8">
        <f>IF($Q$1,tblSalaries[[#This Row],[PPP Factor]]*tblSalaries[[#This Row],[Salary in USD]],tblSalaries[[#This Row],[Salary in USD]])</f>
        <v>82575.963534454509</v>
      </c>
    </row>
    <row r="305" spans="2:17" ht="15" customHeight="1" x14ac:dyDescent="0.25">
      <c r="B305" t="s">
        <v>2308</v>
      </c>
      <c r="C305" s="1">
        <v>41055.057592592595</v>
      </c>
      <c r="D305" s="4">
        <v>67000</v>
      </c>
      <c r="E305">
        <v>67000</v>
      </c>
      <c r="F305" t="s">
        <v>6</v>
      </c>
      <c r="G305">
        <f>tblSalaries[[#This Row],[clean Salary (in local currency)]]*VLOOKUP(tblSalaries[[#This Row],[Currency]],tblXrate[],2,FALSE)</f>
        <v>67000</v>
      </c>
      <c r="H305" t="s">
        <v>379</v>
      </c>
      <c r="I305" t="s">
        <v>20</v>
      </c>
      <c r="J305" t="s">
        <v>15</v>
      </c>
      <c r="K305" t="str">
        <f>VLOOKUP(tblSalaries[[#This Row],[Where do you work]],tblCountries[[Actual]:[Mapping]],2,FALSE)</f>
        <v>USA</v>
      </c>
      <c r="L305" t="s">
        <v>9</v>
      </c>
      <c r="N305" s="8" t="str">
        <f>VLOOKUP(K305,tblCountries[],3,0)</f>
        <v>North Amer.</v>
      </c>
      <c r="O305" s="8">
        <f>VLOOKUP(tblSalaries[[#This Row],[How many hours of a day you work on Excel]],tblHours,2,0)</f>
        <v>4</v>
      </c>
      <c r="P305" s="8">
        <f>VLOOKUP(tblSalaries[[#This Row],[clean Country]],tblCountries[],5,0)</f>
        <v>1</v>
      </c>
      <c r="Q305" s="8">
        <f>IF($Q$1,tblSalaries[[#This Row],[PPP Factor]]*tblSalaries[[#This Row],[Salary in USD]],tblSalaries[[#This Row],[Salary in USD]])</f>
        <v>67000</v>
      </c>
    </row>
    <row r="306" spans="2:17" ht="15" customHeight="1" x14ac:dyDescent="0.25">
      <c r="B306" t="s">
        <v>2309</v>
      </c>
      <c r="C306" s="1">
        <v>41055.057881944442</v>
      </c>
      <c r="D306" s="4">
        <v>12000</v>
      </c>
      <c r="E306">
        <v>12000</v>
      </c>
      <c r="F306" t="s">
        <v>6</v>
      </c>
      <c r="G306">
        <f>tblSalaries[[#This Row],[clean Salary (in local currency)]]*VLOOKUP(tblSalaries[[#This Row],[Currency]],tblXrate[],2,FALSE)</f>
        <v>12000</v>
      </c>
      <c r="H306" t="s">
        <v>20</v>
      </c>
      <c r="I306" t="s">
        <v>20</v>
      </c>
      <c r="J306" t="s">
        <v>8</v>
      </c>
      <c r="K306" t="str">
        <f>VLOOKUP(tblSalaries[[#This Row],[Where do you work]],tblCountries[[Actual]:[Mapping]],2,FALSE)</f>
        <v>India</v>
      </c>
      <c r="L306" t="s">
        <v>13</v>
      </c>
      <c r="N306" s="8" t="str">
        <f>VLOOKUP(K306,tblCountries[],3,0)</f>
        <v>Asia</v>
      </c>
      <c r="O306" s="8">
        <f>VLOOKUP(tblSalaries[[#This Row],[How many hours of a day you work on Excel]],tblHours,2,0)</f>
        <v>5</v>
      </c>
      <c r="P306" s="8">
        <f>VLOOKUP(tblSalaries[[#This Row],[clean Country]],tblCountries[],5,0)</f>
        <v>13.098808879263672</v>
      </c>
      <c r="Q306" s="8">
        <f>IF($Q$1,tblSalaries[[#This Row],[PPP Factor]]*tblSalaries[[#This Row],[Salary in USD]],tblSalaries[[#This Row],[Salary in USD]])</f>
        <v>12000</v>
      </c>
    </row>
    <row r="307" spans="2:17" ht="15" customHeight="1" x14ac:dyDescent="0.25">
      <c r="B307" t="s">
        <v>2310</v>
      </c>
      <c r="C307" s="1">
        <v>41055.058136574073</v>
      </c>
      <c r="D307" s="4">
        <v>85000</v>
      </c>
      <c r="E307">
        <v>85000</v>
      </c>
      <c r="F307" t="s">
        <v>6</v>
      </c>
      <c r="G307">
        <f>tblSalaries[[#This Row],[clean Salary (in local currency)]]*VLOOKUP(tblSalaries[[#This Row],[Currency]],tblXrate[],2,FALSE)</f>
        <v>85000</v>
      </c>
      <c r="H307" t="s">
        <v>380</v>
      </c>
      <c r="I307" t="s">
        <v>488</v>
      </c>
      <c r="J307" t="s">
        <v>15</v>
      </c>
      <c r="K307" t="str">
        <f>VLOOKUP(tblSalaries[[#This Row],[Where do you work]],tblCountries[[Actual]:[Mapping]],2,FALSE)</f>
        <v>USA</v>
      </c>
      <c r="L307" t="s">
        <v>13</v>
      </c>
      <c r="N307" s="8" t="str">
        <f>VLOOKUP(K307,tblCountries[],3,0)</f>
        <v>North Amer.</v>
      </c>
      <c r="O307" s="8">
        <f>VLOOKUP(tblSalaries[[#This Row],[How many hours of a day you work on Excel]],tblHours,2,0)</f>
        <v>5</v>
      </c>
      <c r="P307" s="8">
        <f>VLOOKUP(tblSalaries[[#This Row],[clean Country]],tblCountries[],5,0)</f>
        <v>1</v>
      </c>
      <c r="Q307" s="8">
        <f>IF($Q$1,tblSalaries[[#This Row],[PPP Factor]]*tblSalaries[[#This Row],[Salary in USD]],tblSalaries[[#This Row],[Salary in USD]])</f>
        <v>85000</v>
      </c>
    </row>
    <row r="308" spans="2:17" ht="15" customHeight="1" x14ac:dyDescent="0.25">
      <c r="B308" t="s">
        <v>2311</v>
      </c>
      <c r="C308" s="1">
        <v>41055.058217592596</v>
      </c>
      <c r="D308" s="4">
        <v>200000</v>
      </c>
      <c r="E308">
        <v>200000</v>
      </c>
      <c r="F308" t="s">
        <v>22</v>
      </c>
      <c r="G308">
        <f>tblSalaries[[#This Row],[clean Salary (in local currency)]]*VLOOKUP(tblSalaries[[#This Row],[Currency]],tblXrate[],2,FALSE)</f>
        <v>254079.88779832155</v>
      </c>
      <c r="H308" t="s">
        <v>381</v>
      </c>
      <c r="I308" t="s">
        <v>3999</v>
      </c>
      <c r="J308" t="s">
        <v>382</v>
      </c>
      <c r="K308" t="str">
        <f>VLOOKUP(tblSalaries[[#This Row],[Where do you work]],tblCountries[[Actual]:[Mapping]],2,FALSE)</f>
        <v>Netherlands</v>
      </c>
      <c r="L308" t="s">
        <v>13</v>
      </c>
      <c r="N308" s="8" t="str">
        <f>VLOOKUP(K308,tblCountries[],3,0)</f>
        <v>Europe</v>
      </c>
      <c r="O308" s="8">
        <f>VLOOKUP(tblSalaries[[#This Row],[How many hours of a day you work on Excel]],tblHours,2,0)</f>
        <v>5</v>
      </c>
      <c r="P308" s="8">
        <f>VLOOKUP(tblSalaries[[#This Row],[clean Country]],tblCountries[],5,0)</f>
        <v>1.1470734656141099</v>
      </c>
      <c r="Q308" s="8">
        <f>IF($Q$1,tblSalaries[[#This Row],[PPP Factor]]*tblSalaries[[#This Row],[Salary in USD]],tblSalaries[[#This Row],[Salary in USD]])</f>
        <v>254079.88779832155</v>
      </c>
    </row>
    <row r="309" spans="2:17" ht="15" customHeight="1" x14ac:dyDescent="0.25">
      <c r="B309" t="s">
        <v>2312</v>
      </c>
      <c r="C309" s="1">
        <v>41055.058298611111</v>
      </c>
      <c r="D309" s="4">
        <v>40000</v>
      </c>
      <c r="E309">
        <v>40000</v>
      </c>
      <c r="F309" t="s">
        <v>6</v>
      </c>
      <c r="G309">
        <f>tblSalaries[[#This Row],[clean Salary (in local currency)]]*VLOOKUP(tblSalaries[[#This Row],[Currency]],tblXrate[],2,FALSE)</f>
        <v>40000</v>
      </c>
      <c r="H309" t="s">
        <v>383</v>
      </c>
      <c r="I309" t="s">
        <v>52</v>
      </c>
      <c r="J309" t="s">
        <v>15</v>
      </c>
      <c r="K309" t="str">
        <f>VLOOKUP(tblSalaries[[#This Row],[Where do you work]],tblCountries[[Actual]:[Mapping]],2,FALSE)</f>
        <v>USA</v>
      </c>
      <c r="L309" t="s">
        <v>9</v>
      </c>
      <c r="N309" s="8" t="str">
        <f>VLOOKUP(K309,tblCountries[],3,0)</f>
        <v>North Amer.</v>
      </c>
      <c r="O309" s="8">
        <f>VLOOKUP(tblSalaries[[#This Row],[How many hours of a day you work on Excel]],tblHours,2,0)</f>
        <v>4</v>
      </c>
      <c r="P309" s="8">
        <f>VLOOKUP(tblSalaries[[#This Row],[clean Country]],tblCountries[],5,0)</f>
        <v>1</v>
      </c>
      <c r="Q309" s="8">
        <f>IF($Q$1,tblSalaries[[#This Row],[PPP Factor]]*tblSalaries[[#This Row],[Salary in USD]],tblSalaries[[#This Row],[Salary in USD]])</f>
        <v>40000</v>
      </c>
    </row>
    <row r="310" spans="2:17" ht="15" customHeight="1" x14ac:dyDescent="0.25">
      <c r="B310" t="s">
        <v>2313</v>
      </c>
      <c r="C310" s="1">
        <v>41055.058368055557</v>
      </c>
      <c r="D310" s="4" t="s">
        <v>384</v>
      </c>
      <c r="E310">
        <v>20000</v>
      </c>
      <c r="F310" t="s">
        <v>69</v>
      </c>
      <c r="G310">
        <f>tblSalaries[[#This Row],[clean Salary (in local currency)]]*VLOOKUP(tblSalaries[[#This Row],[Currency]],tblXrate[],2,FALSE)</f>
        <v>31523.565441345683</v>
      </c>
      <c r="H310" t="s">
        <v>385</v>
      </c>
      <c r="I310" t="s">
        <v>279</v>
      </c>
      <c r="J310" t="s">
        <v>71</v>
      </c>
      <c r="K310" t="str">
        <f>VLOOKUP(tblSalaries[[#This Row],[Where do you work]],tblCountries[[Actual]:[Mapping]],2,FALSE)</f>
        <v>UK</v>
      </c>
      <c r="L310" t="s">
        <v>25</v>
      </c>
      <c r="N310" s="8" t="str">
        <f>VLOOKUP(K310,tblCountries[],3,0)</f>
        <v>Europe</v>
      </c>
      <c r="O310" s="8">
        <f>VLOOKUP(tblSalaries[[#This Row],[How many hours of a day you work on Excel]],tblHours,2,0)</f>
        <v>2</v>
      </c>
      <c r="P310" s="8">
        <f>VLOOKUP(tblSalaries[[#This Row],[clean Country]],tblCountries[],5,0)</f>
        <v>1.3407315045719035</v>
      </c>
      <c r="Q310" s="8">
        <f>IF($Q$1,tblSalaries[[#This Row],[PPP Factor]]*tblSalaries[[#This Row],[Salary in USD]],tblSalaries[[#This Row],[Salary in USD]])</f>
        <v>31523.565441345683</v>
      </c>
    </row>
    <row r="311" spans="2:17" ht="15" customHeight="1" x14ac:dyDescent="0.25">
      <c r="B311" t="s">
        <v>2314</v>
      </c>
      <c r="C311" s="1">
        <v>41055.05908564815</v>
      </c>
      <c r="D311" s="4">
        <v>41000</v>
      </c>
      <c r="E311">
        <v>41000</v>
      </c>
      <c r="F311" t="s">
        <v>6</v>
      </c>
      <c r="G311">
        <f>tblSalaries[[#This Row],[clean Salary (in local currency)]]*VLOOKUP(tblSalaries[[#This Row],[Currency]],tblXrate[],2,FALSE)</f>
        <v>41000</v>
      </c>
      <c r="H311" t="s">
        <v>386</v>
      </c>
      <c r="I311" t="s">
        <v>20</v>
      </c>
      <c r="J311" t="s">
        <v>15</v>
      </c>
      <c r="K311" t="str">
        <f>VLOOKUP(tblSalaries[[#This Row],[Where do you work]],tblCountries[[Actual]:[Mapping]],2,FALSE)</f>
        <v>USA</v>
      </c>
      <c r="L311" t="s">
        <v>9</v>
      </c>
      <c r="N311" s="8" t="str">
        <f>VLOOKUP(K311,tblCountries[],3,0)</f>
        <v>North Amer.</v>
      </c>
      <c r="O311" s="8">
        <f>VLOOKUP(tblSalaries[[#This Row],[How many hours of a day you work on Excel]],tblHours,2,0)</f>
        <v>4</v>
      </c>
      <c r="P311" s="8">
        <f>VLOOKUP(tblSalaries[[#This Row],[clean Country]],tblCountries[],5,0)</f>
        <v>1</v>
      </c>
      <c r="Q311" s="8">
        <f>IF($Q$1,tblSalaries[[#This Row],[PPP Factor]]*tblSalaries[[#This Row],[Salary in USD]],tblSalaries[[#This Row],[Salary in USD]])</f>
        <v>41000</v>
      </c>
    </row>
    <row r="312" spans="2:17" ht="15" customHeight="1" x14ac:dyDescent="0.25">
      <c r="B312" t="s">
        <v>2315</v>
      </c>
      <c r="C312" s="1">
        <v>41055.05909722222</v>
      </c>
      <c r="D312" s="4">
        <v>1400000</v>
      </c>
      <c r="E312">
        <v>1400000</v>
      </c>
      <c r="F312" t="s">
        <v>40</v>
      </c>
      <c r="G312">
        <f>tblSalaries[[#This Row],[clean Salary (in local currency)]]*VLOOKUP(tblSalaries[[#This Row],[Currency]],tblXrate[],2,FALSE)</f>
        <v>24931.083362419595</v>
      </c>
      <c r="H312" t="s">
        <v>387</v>
      </c>
      <c r="I312" t="s">
        <v>52</v>
      </c>
      <c r="J312" t="s">
        <v>8</v>
      </c>
      <c r="K312" t="str">
        <f>VLOOKUP(tblSalaries[[#This Row],[Where do you work]],tblCountries[[Actual]:[Mapping]],2,FALSE)</f>
        <v>India</v>
      </c>
      <c r="L312" t="s">
        <v>25</v>
      </c>
      <c r="N312" s="8" t="str">
        <f>VLOOKUP(K312,tblCountries[],3,0)</f>
        <v>Asia</v>
      </c>
      <c r="O312" s="8">
        <f>VLOOKUP(tblSalaries[[#This Row],[How many hours of a day you work on Excel]],tblHours,2,0)</f>
        <v>2</v>
      </c>
      <c r="P312" s="8">
        <f>VLOOKUP(tblSalaries[[#This Row],[clean Country]],tblCountries[],5,0)</f>
        <v>13.098808879263672</v>
      </c>
      <c r="Q312" s="8">
        <f>IF($Q$1,tblSalaries[[#This Row],[PPP Factor]]*tblSalaries[[#This Row],[Salary in USD]],tblSalaries[[#This Row],[Salary in USD]])</f>
        <v>24931.083362419595</v>
      </c>
    </row>
    <row r="313" spans="2:17" ht="15" customHeight="1" x14ac:dyDescent="0.25">
      <c r="B313" t="s">
        <v>2316</v>
      </c>
      <c r="C313" s="1">
        <v>41055.059374999997</v>
      </c>
      <c r="D313" s="4">
        <v>125000</v>
      </c>
      <c r="E313">
        <v>125000</v>
      </c>
      <c r="F313" t="s">
        <v>6</v>
      </c>
      <c r="G313">
        <f>tblSalaries[[#This Row],[clean Salary (in local currency)]]*VLOOKUP(tblSalaries[[#This Row],[Currency]],tblXrate[],2,FALSE)</f>
        <v>125000</v>
      </c>
      <c r="H313" t="s">
        <v>388</v>
      </c>
      <c r="I313" t="s">
        <v>52</v>
      </c>
      <c r="J313" t="s">
        <v>15</v>
      </c>
      <c r="K313" t="str">
        <f>VLOOKUP(tblSalaries[[#This Row],[Where do you work]],tblCountries[[Actual]:[Mapping]],2,FALSE)</f>
        <v>USA</v>
      </c>
      <c r="L313" t="s">
        <v>9</v>
      </c>
      <c r="N313" s="8" t="str">
        <f>VLOOKUP(K313,tblCountries[],3,0)</f>
        <v>North Amer.</v>
      </c>
      <c r="O313" s="8">
        <f>VLOOKUP(tblSalaries[[#This Row],[How many hours of a day you work on Excel]],tblHours,2,0)</f>
        <v>4</v>
      </c>
      <c r="P313" s="8">
        <f>VLOOKUP(tblSalaries[[#This Row],[clean Country]],tblCountries[],5,0)</f>
        <v>1</v>
      </c>
      <c r="Q313" s="8">
        <f>IF($Q$1,tblSalaries[[#This Row],[PPP Factor]]*tblSalaries[[#This Row],[Salary in USD]],tblSalaries[[#This Row],[Salary in USD]])</f>
        <v>125000</v>
      </c>
    </row>
    <row r="314" spans="2:17" ht="15" customHeight="1" x14ac:dyDescent="0.25">
      <c r="B314" t="s">
        <v>2317</v>
      </c>
      <c r="C314" s="1">
        <v>41055.060023148151</v>
      </c>
      <c r="D314" s="4">
        <v>60000</v>
      </c>
      <c r="E314">
        <v>60000</v>
      </c>
      <c r="F314" t="s">
        <v>86</v>
      </c>
      <c r="G314">
        <f>tblSalaries[[#This Row],[clean Salary (in local currency)]]*VLOOKUP(tblSalaries[[#This Row],[Currency]],tblXrate[],2,FALSE)</f>
        <v>59001.691381819612</v>
      </c>
      <c r="H314" t="s">
        <v>389</v>
      </c>
      <c r="I314" t="s">
        <v>20</v>
      </c>
      <c r="J314" t="s">
        <v>88</v>
      </c>
      <c r="K314" t="str">
        <f>VLOOKUP(tblSalaries[[#This Row],[Where do you work]],tblCountries[[Actual]:[Mapping]],2,FALSE)</f>
        <v>Canada</v>
      </c>
      <c r="L314" t="s">
        <v>13</v>
      </c>
      <c r="N314" s="8" t="str">
        <f>VLOOKUP(K314,tblCountries[],3,0)</f>
        <v>North Amer.</v>
      </c>
      <c r="O314" s="8">
        <f>VLOOKUP(tblSalaries[[#This Row],[How many hours of a day you work on Excel]],tblHours,2,0)</f>
        <v>5</v>
      </c>
      <c r="P314" s="8">
        <f>VLOOKUP(tblSalaries[[#This Row],[clean Country]],tblCountries[],5,0)</f>
        <v>1.1935324732986359</v>
      </c>
      <c r="Q314" s="8">
        <f>IF($Q$1,tblSalaries[[#This Row],[PPP Factor]]*tblSalaries[[#This Row],[Salary in USD]],tblSalaries[[#This Row],[Salary in USD]])</f>
        <v>59001.691381819612</v>
      </c>
    </row>
    <row r="315" spans="2:17" ht="15" customHeight="1" x14ac:dyDescent="0.25">
      <c r="B315" t="s">
        <v>2318</v>
      </c>
      <c r="C315" s="1">
        <v>41055.060150462959</v>
      </c>
      <c r="D315" s="4" t="s">
        <v>390</v>
      </c>
      <c r="E315">
        <v>150000</v>
      </c>
      <c r="F315" t="s">
        <v>391</v>
      </c>
      <c r="G315">
        <f>tblSalaries[[#This Row],[clean Salary (in local currency)]]*VLOOKUP(tblSalaries[[#This Row],[Currency]],tblXrate[],2,FALSE)</f>
        <v>10956.982885192734</v>
      </c>
      <c r="H315" t="s">
        <v>392</v>
      </c>
      <c r="I315" t="s">
        <v>20</v>
      </c>
      <c r="J315" t="s">
        <v>166</v>
      </c>
      <c r="K315" t="str">
        <f>VLOOKUP(tblSalaries[[#This Row],[Where do you work]],tblCountries[[Actual]:[Mapping]],2,FALSE)</f>
        <v>Mexico</v>
      </c>
      <c r="L315" t="s">
        <v>13</v>
      </c>
      <c r="N315" s="8" t="str">
        <f>VLOOKUP(K315,tblCountries[],3,0)</f>
        <v>North Amer.</v>
      </c>
      <c r="O315" s="8">
        <f>VLOOKUP(tblSalaries[[#This Row],[How many hours of a day you work on Excel]],tblHours,2,0)</f>
        <v>5</v>
      </c>
      <c r="P315" s="8">
        <f>VLOOKUP(tblSalaries[[#This Row],[clean Country]],tblCountries[],5,0)</f>
        <v>3.3119096509240245</v>
      </c>
      <c r="Q315" s="8">
        <f>IF($Q$1,tblSalaries[[#This Row],[PPP Factor]]*tblSalaries[[#This Row],[Salary in USD]],tblSalaries[[#This Row],[Salary in USD]])</f>
        <v>10956.982885192734</v>
      </c>
    </row>
    <row r="316" spans="2:17" ht="15" customHeight="1" x14ac:dyDescent="0.25">
      <c r="B316" t="s">
        <v>2319</v>
      </c>
      <c r="C316" s="1">
        <v>41055.060324074075</v>
      </c>
      <c r="D316" s="4">
        <v>70000</v>
      </c>
      <c r="E316">
        <v>70000</v>
      </c>
      <c r="F316" t="s">
        <v>6</v>
      </c>
      <c r="G316">
        <f>tblSalaries[[#This Row],[clean Salary (in local currency)]]*VLOOKUP(tblSalaries[[#This Row],[Currency]],tblXrate[],2,FALSE)</f>
        <v>70000</v>
      </c>
      <c r="H316" t="s">
        <v>20</v>
      </c>
      <c r="I316" t="s">
        <v>20</v>
      </c>
      <c r="J316" t="s">
        <v>15</v>
      </c>
      <c r="K316" t="str">
        <f>VLOOKUP(tblSalaries[[#This Row],[Where do you work]],tblCountries[[Actual]:[Mapping]],2,FALSE)</f>
        <v>USA</v>
      </c>
      <c r="L316" t="s">
        <v>18</v>
      </c>
      <c r="N316" s="8" t="str">
        <f>VLOOKUP(K316,tblCountries[],3,0)</f>
        <v>North Amer.</v>
      </c>
      <c r="O316" s="8">
        <f>VLOOKUP(tblSalaries[[#This Row],[How many hours of a day you work on Excel]],tblHours,2,0)</f>
        <v>3</v>
      </c>
      <c r="P316" s="8">
        <f>VLOOKUP(tblSalaries[[#This Row],[clean Country]],tblCountries[],5,0)</f>
        <v>1</v>
      </c>
      <c r="Q316" s="8">
        <f>IF($Q$1,tblSalaries[[#This Row],[PPP Factor]]*tblSalaries[[#This Row],[Salary in USD]],tblSalaries[[#This Row],[Salary in USD]])</f>
        <v>70000</v>
      </c>
    </row>
    <row r="317" spans="2:17" ht="15" customHeight="1" x14ac:dyDescent="0.25">
      <c r="B317" t="s">
        <v>2320</v>
      </c>
      <c r="C317" s="1">
        <v>41055.06045138889</v>
      </c>
      <c r="D317" s="4">
        <v>400000</v>
      </c>
      <c r="E317">
        <v>400000</v>
      </c>
      <c r="F317" t="s">
        <v>6</v>
      </c>
      <c r="G317">
        <f>tblSalaries[[#This Row],[clean Salary (in local currency)]]*VLOOKUP(tblSalaries[[#This Row],[Currency]],tblXrate[],2,FALSE)</f>
        <v>400000</v>
      </c>
      <c r="H317" t="s">
        <v>393</v>
      </c>
      <c r="I317" t="s">
        <v>67</v>
      </c>
      <c r="J317" t="s">
        <v>15</v>
      </c>
      <c r="K317" t="str">
        <f>VLOOKUP(tblSalaries[[#This Row],[Where do you work]],tblCountries[[Actual]:[Mapping]],2,FALSE)</f>
        <v>USA</v>
      </c>
      <c r="L317" t="s">
        <v>13</v>
      </c>
      <c r="N317" s="8" t="str">
        <f>VLOOKUP(K317,tblCountries[],3,0)</f>
        <v>North Amer.</v>
      </c>
      <c r="O317" s="8">
        <f>VLOOKUP(tblSalaries[[#This Row],[How many hours of a day you work on Excel]],tblHours,2,0)</f>
        <v>5</v>
      </c>
      <c r="P317" s="8">
        <f>VLOOKUP(tblSalaries[[#This Row],[clean Country]],tblCountries[],5,0)</f>
        <v>1</v>
      </c>
      <c r="Q317" s="8">
        <f>IF($Q$1,tblSalaries[[#This Row],[PPP Factor]]*tblSalaries[[#This Row],[Salary in USD]],tblSalaries[[#This Row],[Salary in USD]])</f>
        <v>400000</v>
      </c>
    </row>
    <row r="318" spans="2:17" ht="15" customHeight="1" x14ac:dyDescent="0.25">
      <c r="B318" t="s">
        <v>2321</v>
      </c>
      <c r="C318" s="1">
        <v>41055.060717592591</v>
      </c>
      <c r="D318" s="4">
        <v>55</v>
      </c>
      <c r="E318">
        <v>55000</v>
      </c>
      <c r="F318" t="s">
        <v>6</v>
      </c>
      <c r="G318">
        <f>tblSalaries[[#This Row],[clean Salary (in local currency)]]*VLOOKUP(tblSalaries[[#This Row],[Currency]],tblXrate[],2,FALSE)</f>
        <v>55000</v>
      </c>
      <c r="H318" t="s">
        <v>207</v>
      </c>
      <c r="I318" t="s">
        <v>20</v>
      </c>
      <c r="J318" t="s">
        <v>15</v>
      </c>
      <c r="K318" t="str">
        <f>VLOOKUP(tblSalaries[[#This Row],[Where do you work]],tblCountries[[Actual]:[Mapping]],2,FALSE)</f>
        <v>USA</v>
      </c>
      <c r="L318" t="s">
        <v>9</v>
      </c>
      <c r="N318" s="8" t="str">
        <f>VLOOKUP(K318,tblCountries[],3,0)</f>
        <v>North Amer.</v>
      </c>
      <c r="O318" s="8">
        <f>VLOOKUP(tblSalaries[[#This Row],[How many hours of a day you work on Excel]],tblHours,2,0)</f>
        <v>4</v>
      </c>
      <c r="P318" s="8">
        <f>VLOOKUP(tblSalaries[[#This Row],[clean Country]],tblCountries[],5,0)</f>
        <v>1</v>
      </c>
      <c r="Q318" s="8">
        <f>IF($Q$1,tblSalaries[[#This Row],[PPP Factor]]*tblSalaries[[#This Row],[Salary in USD]],tblSalaries[[#This Row],[Salary in USD]])</f>
        <v>55000</v>
      </c>
    </row>
    <row r="319" spans="2:17" ht="15" customHeight="1" x14ac:dyDescent="0.25">
      <c r="B319" t="s">
        <v>2322</v>
      </c>
      <c r="C319" s="1">
        <v>41055.060752314814</v>
      </c>
      <c r="D319" s="4">
        <v>60000</v>
      </c>
      <c r="E319">
        <v>60000</v>
      </c>
      <c r="F319" t="s">
        <v>6</v>
      </c>
      <c r="G319">
        <f>tblSalaries[[#This Row],[clean Salary (in local currency)]]*VLOOKUP(tblSalaries[[#This Row],[Currency]],tblXrate[],2,FALSE)</f>
        <v>60000</v>
      </c>
      <c r="H319" t="s">
        <v>394</v>
      </c>
      <c r="I319" t="s">
        <v>20</v>
      </c>
      <c r="J319" t="s">
        <v>15</v>
      </c>
      <c r="K319" t="str">
        <f>VLOOKUP(tblSalaries[[#This Row],[Where do you work]],tblCountries[[Actual]:[Mapping]],2,FALSE)</f>
        <v>USA</v>
      </c>
      <c r="L319" t="s">
        <v>9</v>
      </c>
      <c r="N319" s="8" t="str">
        <f>VLOOKUP(K319,tblCountries[],3,0)</f>
        <v>North Amer.</v>
      </c>
      <c r="O319" s="8">
        <f>VLOOKUP(tblSalaries[[#This Row],[How many hours of a day you work on Excel]],tblHours,2,0)</f>
        <v>4</v>
      </c>
      <c r="P319" s="8">
        <f>VLOOKUP(tblSalaries[[#This Row],[clean Country]],tblCountries[],5,0)</f>
        <v>1</v>
      </c>
      <c r="Q319" s="8">
        <f>IF($Q$1,tblSalaries[[#This Row],[PPP Factor]]*tblSalaries[[#This Row],[Salary in USD]],tblSalaries[[#This Row],[Salary in USD]])</f>
        <v>60000</v>
      </c>
    </row>
    <row r="320" spans="2:17" ht="15" customHeight="1" x14ac:dyDescent="0.25">
      <c r="B320" t="s">
        <v>2323</v>
      </c>
      <c r="C320" s="1">
        <v>41055.060925925929</v>
      </c>
      <c r="D320" s="4" t="s">
        <v>395</v>
      </c>
      <c r="E320">
        <v>1000000</v>
      </c>
      <c r="F320" t="s">
        <v>40</v>
      </c>
      <c r="G320">
        <f>tblSalaries[[#This Row],[clean Salary (in local currency)]]*VLOOKUP(tblSalaries[[#This Row],[Currency]],tblXrate[],2,FALSE)</f>
        <v>17807.916687442568</v>
      </c>
      <c r="H320" t="s">
        <v>52</v>
      </c>
      <c r="I320" t="s">
        <v>52</v>
      </c>
      <c r="J320" t="s">
        <v>8</v>
      </c>
      <c r="K320" t="str">
        <f>VLOOKUP(tblSalaries[[#This Row],[Where do you work]],tblCountries[[Actual]:[Mapping]],2,FALSE)</f>
        <v>India</v>
      </c>
      <c r="L320" t="s">
        <v>9</v>
      </c>
      <c r="N320" s="8" t="str">
        <f>VLOOKUP(K320,tblCountries[],3,0)</f>
        <v>Asia</v>
      </c>
      <c r="O320" s="8">
        <f>VLOOKUP(tblSalaries[[#This Row],[How many hours of a day you work on Excel]],tblHours,2,0)</f>
        <v>4</v>
      </c>
      <c r="P320" s="8">
        <f>VLOOKUP(tblSalaries[[#This Row],[clean Country]],tblCountries[],5,0)</f>
        <v>13.098808879263672</v>
      </c>
      <c r="Q320" s="8">
        <f>IF($Q$1,tblSalaries[[#This Row],[PPP Factor]]*tblSalaries[[#This Row],[Salary in USD]],tblSalaries[[#This Row],[Salary in USD]])</f>
        <v>17807.916687442568</v>
      </c>
    </row>
    <row r="321" spans="2:17" ht="15" customHeight="1" x14ac:dyDescent="0.25">
      <c r="B321" t="s">
        <v>2324</v>
      </c>
      <c r="C321" s="1">
        <v>41055.061018518521</v>
      </c>
      <c r="D321" s="4">
        <v>40000</v>
      </c>
      <c r="E321">
        <v>40000</v>
      </c>
      <c r="F321" t="s">
        <v>6</v>
      </c>
      <c r="G321">
        <f>tblSalaries[[#This Row],[clean Salary (in local currency)]]*VLOOKUP(tblSalaries[[#This Row],[Currency]],tblXrate[],2,FALSE)</f>
        <v>40000</v>
      </c>
      <c r="H321" t="s">
        <v>396</v>
      </c>
      <c r="I321" t="s">
        <v>52</v>
      </c>
      <c r="J321" t="s">
        <v>38</v>
      </c>
      <c r="K321" t="str">
        <f>VLOOKUP(tblSalaries[[#This Row],[Where do you work]],tblCountries[[Actual]:[Mapping]],2,FALSE)</f>
        <v>Hungary</v>
      </c>
      <c r="L321" t="s">
        <v>9</v>
      </c>
      <c r="N321" s="8" t="str">
        <f>VLOOKUP(K321,tblCountries[],3,0)</f>
        <v>Europe</v>
      </c>
      <c r="O321" s="8">
        <f>VLOOKUP(tblSalaries[[#This Row],[How many hours of a day you work on Excel]],tblHours,2,0)</f>
        <v>4</v>
      </c>
      <c r="P321" s="8">
        <f>VLOOKUP(tblSalaries[[#This Row],[clean Country]],tblCountries[],5,0)</f>
        <v>2.4698586085447398</v>
      </c>
      <c r="Q321" s="8">
        <f>IF($Q$1,tblSalaries[[#This Row],[PPP Factor]]*tblSalaries[[#This Row],[Salary in USD]],tblSalaries[[#This Row],[Salary in USD]])</f>
        <v>40000</v>
      </c>
    </row>
    <row r="322" spans="2:17" ht="15" customHeight="1" x14ac:dyDescent="0.25">
      <c r="B322" t="s">
        <v>2325</v>
      </c>
      <c r="C322" s="1">
        <v>41055.061539351853</v>
      </c>
      <c r="D322" s="4">
        <v>137500</v>
      </c>
      <c r="E322">
        <v>137500</v>
      </c>
      <c r="F322" t="s">
        <v>6</v>
      </c>
      <c r="G322">
        <f>tblSalaries[[#This Row],[clean Salary (in local currency)]]*VLOOKUP(tblSalaries[[#This Row],[Currency]],tblXrate[],2,FALSE)</f>
        <v>137500</v>
      </c>
      <c r="H322" t="s">
        <v>397</v>
      </c>
      <c r="I322" t="s">
        <v>20</v>
      </c>
      <c r="J322" t="s">
        <v>15</v>
      </c>
      <c r="K322" t="str">
        <f>VLOOKUP(tblSalaries[[#This Row],[Where do you work]],tblCountries[[Actual]:[Mapping]],2,FALSE)</f>
        <v>USA</v>
      </c>
      <c r="L322" t="s">
        <v>9</v>
      </c>
      <c r="N322" s="8" t="str">
        <f>VLOOKUP(K322,tblCountries[],3,0)</f>
        <v>North Amer.</v>
      </c>
      <c r="O322" s="8">
        <f>VLOOKUP(tblSalaries[[#This Row],[How many hours of a day you work on Excel]],tblHours,2,0)</f>
        <v>4</v>
      </c>
      <c r="P322" s="8">
        <f>VLOOKUP(tblSalaries[[#This Row],[clean Country]],tblCountries[],5,0)</f>
        <v>1</v>
      </c>
      <c r="Q322" s="8">
        <f>IF($Q$1,tblSalaries[[#This Row],[PPP Factor]]*tblSalaries[[#This Row],[Salary in USD]],tblSalaries[[#This Row],[Salary in USD]])</f>
        <v>137500</v>
      </c>
    </row>
    <row r="323" spans="2:17" ht="15" customHeight="1" x14ac:dyDescent="0.25">
      <c r="B323" t="s">
        <v>2326</v>
      </c>
      <c r="C323" s="1">
        <v>41055.062175925923</v>
      </c>
      <c r="D323" s="4" t="s">
        <v>398</v>
      </c>
      <c r="E323">
        <v>4545</v>
      </c>
      <c r="F323" t="s">
        <v>6</v>
      </c>
      <c r="G323">
        <f>tblSalaries[[#This Row],[clean Salary (in local currency)]]*VLOOKUP(tblSalaries[[#This Row],[Currency]],tblXrate[],2,FALSE)</f>
        <v>4545</v>
      </c>
      <c r="H323" t="s">
        <v>399</v>
      </c>
      <c r="I323" t="s">
        <v>20</v>
      </c>
      <c r="J323" t="s">
        <v>111</v>
      </c>
      <c r="K323" t="str">
        <f>VLOOKUP(tblSalaries[[#This Row],[Where do you work]],tblCountries[[Actual]:[Mapping]],2,FALSE)</f>
        <v>Brazil</v>
      </c>
      <c r="L323" t="s">
        <v>13</v>
      </c>
      <c r="N323" s="8" t="str">
        <f>VLOOKUP(K323,tblCountries[],3,0)</f>
        <v>South Amer.</v>
      </c>
      <c r="O323" s="8">
        <f>VLOOKUP(tblSalaries[[#This Row],[How many hours of a day you work on Excel]],tblHours,2,0)</f>
        <v>5</v>
      </c>
      <c r="P323" s="8">
        <f>VLOOKUP(tblSalaries[[#This Row],[clean Country]],tblCountries[],5,0)</f>
        <v>4.1113943410655107</v>
      </c>
      <c r="Q323" s="8">
        <f>IF($Q$1,tblSalaries[[#This Row],[PPP Factor]]*tblSalaries[[#This Row],[Salary in USD]],tblSalaries[[#This Row],[Salary in USD]])</f>
        <v>4545</v>
      </c>
    </row>
    <row r="324" spans="2:17" ht="15" customHeight="1" x14ac:dyDescent="0.25">
      <c r="B324" t="s">
        <v>2327</v>
      </c>
      <c r="C324" s="1">
        <v>41055.0622337963</v>
      </c>
      <c r="D324" s="4" t="s">
        <v>400</v>
      </c>
      <c r="E324">
        <v>29000</v>
      </c>
      <c r="F324" t="s">
        <v>69</v>
      </c>
      <c r="G324">
        <f>tblSalaries[[#This Row],[clean Salary (in local currency)]]*VLOOKUP(tblSalaries[[#This Row],[Currency]],tblXrate[],2,FALSE)</f>
        <v>45709.169889951241</v>
      </c>
      <c r="H324" t="s">
        <v>401</v>
      </c>
      <c r="I324" t="s">
        <v>20</v>
      </c>
      <c r="J324" t="s">
        <v>71</v>
      </c>
      <c r="K324" t="str">
        <f>VLOOKUP(tblSalaries[[#This Row],[Where do you work]],tblCountries[[Actual]:[Mapping]],2,FALSE)</f>
        <v>UK</v>
      </c>
      <c r="L324" t="s">
        <v>9</v>
      </c>
      <c r="N324" s="8" t="str">
        <f>VLOOKUP(K324,tblCountries[],3,0)</f>
        <v>Europe</v>
      </c>
      <c r="O324" s="8">
        <f>VLOOKUP(tblSalaries[[#This Row],[How many hours of a day you work on Excel]],tblHours,2,0)</f>
        <v>4</v>
      </c>
      <c r="P324" s="8">
        <f>VLOOKUP(tblSalaries[[#This Row],[clean Country]],tblCountries[],5,0)</f>
        <v>1.3407315045719035</v>
      </c>
      <c r="Q324" s="8">
        <f>IF($Q$1,tblSalaries[[#This Row],[PPP Factor]]*tblSalaries[[#This Row],[Salary in USD]],tblSalaries[[#This Row],[Salary in USD]])</f>
        <v>45709.169889951241</v>
      </c>
    </row>
    <row r="325" spans="2:17" ht="15" customHeight="1" x14ac:dyDescent="0.25">
      <c r="B325" t="s">
        <v>2328</v>
      </c>
      <c r="C325" s="1">
        <v>41055.062638888892</v>
      </c>
      <c r="D325" s="4">
        <v>47000</v>
      </c>
      <c r="E325">
        <v>47000</v>
      </c>
      <c r="F325" t="s">
        <v>6</v>
      </c>
      <c r="G325">
        <f>tblSalaries[[#This Row],[clean Salary (in local currency)]]*VLOOKUP(tblSalaries[[#This Row],[Currency]],tblXrate[],2,FALSE)</f>
        <v>47000</v>
      </c>
      <c r="H325" t="s">
        <v>402</v>
      </c>
      <c r="I325" t="s">
        <v>67</v>
      </c>
      <c r="J325" t="s">
        <v>15</v>
      </c>
      <c r="K325" t="str">
        <f>VLOOKUP(tblSalaries[[#This Row],[Where do you work]],tblCountries[[Actual]:[Mapping]],2,FALSE)</f>
        <v>USA</v>
      </c>
      <c r="L325" t="s">
        <v>9</v>
      </c>
      <c r="N325" s="8" t="str">
        <f>VLOOKUP(K325,tblCountries[],3,0)</f>
        <v>North Amer.</v>
      </c>
      <c r="O325" s="8">
        <f>VLOOKUP(tblSalaries[[#This Row],[How many hours of a day you work on Excel]],tblHours,2,0)</f>
        <v>4</v>
      </c>
      <c r="P325" s="8">
        <f>VLOOKUP(tblSalaries[[#This Row],[clean Country]],tblCountries[],5,0)</f>
        <v>1</v>
      </c>
      <c r="Q325" s="8">
        <f>IF($Q$1,tblSalaries[[#This Row],[PPP Factor]]*tblSalaries[[#This Row],[Salary in USD]],tblSalaries[[#This Row],[Salary in USD]])</f>
        <v>47000</v>
      </c>
    </row>
    <row r="326" spans="2:17" ht="15" customHeight="1" x14ac:dyDescent="0.25">
      <c r="B326" t="s">
        <v>2329</v>
      </c>
      <c r="C326" s="1">
        <v>41055.062951388885</v>
      </c>
      <c r="D326" s="4">
        <v>65000</v>
      </c>
      <c r="E326">
        <v>65000</v>
      </c>
      <c r="F326" t="s">
        <v>6</v>
      </c>
      <c r="G326">
        <f>tblSalaries[[#This Row],[clean Salary (in local currency)]]*VLOOKUP(tblSalaries[[#This Row],[Currency]],tblXrate[],2,FALSE)</f>
        <v>65000</v>
      </c>
      <c r="H326" t="s">
        <v>42</v>
      </c>
      <c r="I326" t="s">
        <v>20</v>
      </c>
      <c r="J326" t="s">
        <v>15</v>
      </c>
      <c r="K326" t="str">
        <f>VLOOKUP(tblSalaries[[#This Row],[Where do you work]],tblCountries[[Actual]:[Mapping]],2,FALSE)</f>
        <v>USA</v>
      </c>
      <c r="L326" t="s">
        <v>13</v>
      </c>
      <c r="N326" s="8" t="str">
        <f>VLOOKUP(K326,tblCountries[],3,0)</f>
        <v>North Amer.</v>
      </c>
      <c r="O326" s="8">
        <f>VLOOKUP(tblSalaries[[#This Row],[How many hours of a day you work on Excel]],tblHours,2,0)</f>
        <v>5</v>
      </c>
      <c r="P326" s="8">
        <f>VLOOKUP(tblSalaries[[#This Row],[clean Country]],tblCountries[],5,0)</f>
        <v>1</v>
      </c>
      <c r="Q326" s="8">
        <f>IF($Q$1,tblSalaries[[#This Row],[PPP Factor]]*tblSalaries[[#This Row],[Salary in USD]],tblSalaries[[#This Row],[Salary in USD]])</f>
        <v>65000</v>
      </c>
    </row>
    <row r="327" spans="2:17" ht="15" customHeight="1" x14ac:dyDescent="0.25">
      <c r="B327" t="s">
        <v>2330</v>
      </c>
      <c r="C327" s="1">
        <v>41055.063148148147</v>
      </c>
      <c r="D327" s="4" t="s">
        <v>403</v>
      </c>
      <c r="E327">
        <v>456000</v>
      </c>
      <c r="F327" t="s">
        <v>3951</v>
      </c>
      <c r="G327">
        <f>tblSalaries[[#This Row],[clean Salary (in local currency)]]*VLOOKUP(tblSalaries[[#This Row],[Currency]],tblXrate[],2,FALSE)</f>
        <v>10809.503829551191</v>
      </c>
      <c r="H327" t="s">
        <v>404</v>
      </c>
      <c r="I327" t="s">
        <v>3999</v>
      </c>
      <c r="J327" t="s">
        <v>347</v>
      </c>
      <c r="K327" t="str">
        <f>VLOOKUP(tblSalaries[[#This Row],[Where do you work]],tblCountries[[Actual]:[Mapping]],2,FALSE)</f>
        <v>Philippines</v>
      </c>
      <c r="L327" t="s">
        <v>9</v>
      </c>
      <c r="N327" s="8" t="str">
        <f>VLOOKUP(K327,tblCountries[],3,0)</f>
        <v>Asia</v>
      </c>
      <c r="O327" s="8">
        <f>VLOOKUP(tblSalaries[[#This Row],[How many hours of a day you work on Excel]],tblHours,2,0)</f>
        <v>4</v>
      </c>
      <c r="P327" s="8">
        <f>VLOOKUP(tblSalaries[[#This Row],[clean Country]],tblCountries[],5,0)</f>
        <v>11.879941075374417</v>
      </c>
      <c r="Q327" s="8">
        <f>IF($Q$1,tblSalaries[[#This Row],[PPP Factor]]*tblSalaries[[#This Row],[Salary in USD]],tblSalaries[[#This Row],[Salary in USD]])</f>
        <v>10809.503829551191</v>
      </c>
    </row>
    <row r="328" spans="2:17" ht="15" customHeight="1" x14ac:dyDescent="0.25">
      <c r="B328" t="s">
        <v>2331</v>
      </c>
      <c r="C328" s="1">
        <v>41055.06349537037</v>
      </c>
      <c r="D328" s="4">
        <v>92000</v>
      </c>
      <c r="E328">
        <v>92000</v>
      </c>
      <c r="F328" t="s">
        <v>6</v>
      </c>
      <c r="G328">
        <f>tblSalaries[[#This Row],[clean Salary (in local currency)]]*VLOOKUP(tblSalaries[[#This Row],[Currency]],tblXrate[],2,FALSE)</f>
        <v>92000</v>
      </c>
      <c r="H328" t="s">
        <v>405</v>
      </c>
      <c r="I328" t="s">
        <v>52</v>
      </c>
      <c r="J328" t="s">
        <v>15</v>
      </c>
      <c r="K328" t="str">
        <f>VLOOKUP(tblSalaries[[#This Row],[Where do you work]],tblCountries[[Actual]:[Mapping]],2,FALSE)</f>
        <v>USA</v>
      </c>
      <c r="L328" t="s">
        <v>9</v>
      </c>
      <c r="N328" s="8" t="str">
        <f>VLOOKUP(K328,tblCountries[],3,0)</f>
        <v>North Amer.</v>
      </c>
      <c r="O328" s="8">
        <f>VLOOKUP(tblSalaries[[#This Row],[How many hours of a day you work on Excel]],tblHours,2,0)</f>
        <v>4</v>
      </c>
      <c r="P328" s="8">
        <f>VLOOKUP(tblSalaries[[#This Row],[clean Country]],tblCountries[],5,0)</f>
        <v>1</v>
      </c>
      <c r="Q328" s="8">
        <f>IF($Q$1,tblSalaries[[#This Row],[PPP Factor]]*tblSalaries[[#This Row],[Salary in USD]],tblSalaries[[#This Row],[Salary in USD]])</f>
        <v>92000</v>
      </c>
    </row>
    <row r="329" spans="2:17" ht="15" customHeight="1" x14ac:dyDescent="0.25">
      <c r="B329" t="s">
        <v>2332</v>
      </c>
      <c r="C329" s="1">
        <v>41055.063680555555</v>
      </c>
      <c r="D329" s="4" t="s">
        <v>406</v>
      </c>
      <c r="E329">
        <v>22000</v>
      </c>
      <c r="F329" t="s">
        <v>6</v>
      </c>
      <c r="G329">
        <f>tblSalaries[[#This Row],[clean Salary (in local currency)]]*VLOOKUP(tblSalaries[[#This Row],[Currency]],tblXrate[],2,FALSE)</f>
        <v>22000</v>
      </c>
      <c r="H329" t="s">
        <v>407</v>
      </c>
      <c r="I329" t="s">
        <v>52</v>
      </c>
      <c r="J329" t="s">
        <v>166</v>
      </c>
      <c r="K329" t="str">
        <f>VLOOKUP(tblSalaries[[#This Row],[Where do you work]],tblCountries[[Actual]:[Mapping]],2,FALSE)</f>
        <v>Mexico</v>
      </c>
      <c r="L329" t="s">
        <v>9</v>
      </c>
      <c r="N329" s="8" t="str">
        <f>VLOOKUP(K329,tblCountries[],3,0)</f>
        <v>North Amer.</v>
      </c>
      <c r="O329" s="8">
        <f>VLOOKUP(tblSalaries[[#This Row],[How many hours of a day you work on Excel]],tblHours,2,0)</f>
        <v>4</v>
      </c>
      <c r="P329" s="8">
        <f>VLOOKUP(tblSalaries[[#This Row],[clean Country]],tblCountries[],5,0)</f>
        <v>3.3119096509240245</v>
      </c>
      <c r="Q329" s="8">
        <f>IF($Q$1,tblSalaries[[#This Row],[PPP Factor]]*tblSalaries[[#This Row],[Salary in USD]],tblSalaries[[#This Row],[Salary in USD]])</f>
        <v>22000</v>
      </c>
    </row>
    <row r="330" spans="2:17" ht="15" customHeight="1" x14ac:dyDescent="0.25">
      <c r="B330" t="s">
        <v>2333</v>
      </c>
      <c r="C330" s="1">
        <v>41055.06386574074</v>
      </c>
      <c r="D330" s="4">
        <v>108000</v>
      </c>
      <c r="E330">
        <v>108000</v>
      </c>
      <c r="F330" t="s">
        <v>6</v>
      </c>
      <c r="G330">
        <f>tblSalaries[[#This Row],[clean Salary (in local currency)]]*VLOOKUP(tblSalaries[[#This Row],[Currency]],tblXrate[],2,FALSE)</f>
        <v>108000</v>
      </c>
      <c r="H330" t="s">
        <v>408</v>
      </c>
      <c r="I330" t="s">
        <v>52</v>
      </c>
      <c r="J330" t="s">
        <v>15</v>
      </c>
      <c r="K330" t="str">
        <f>VLOOKUP(tblSalaries[[#This Row],[Where do you work]],tblCountries[[Actual]:[Mapping]],2,FALSE)</f>
        <v>USA</v>
      </c>
      <c r="L330" t="s">
        <v>18</v>
      </c>
      <c r="N330" s="8" t="str">
        <f>VLOOKUP(K330,tblCountries[],3,0)</f>
        <v>North Amer.</v>
      </c>
      <c r="O330" s="8">
        <f>VLOOKUP(tblSalaries[[#This Row],[How many hours of a day you work on Excel]],tblHours,2,0)</f>
        <v>3</v>
      </c>
      <c r="P330" s="8">
        <f>VLOOKUP(tblSalaries[[#This Row],[clean Country]],tblCountries[],5,0)</f>
        <v>1</v>
      </c>
      <c r="Q330" s="8">
        <f>IF($Q$1,tblSalaries[[#This Row],[PPP Factor]]*tblSalaries[[#This Row],[Salary in USD]],tblSalaries[[#This Row],[Salary in USD]])</f>
        <v>108000</v>
      </c>
    </row>
    <row r="331" spans="2:17" ht="15" customHeight="1" x14ac:dyDescent="0.25">
      <c r="B331" t="s">
        <v>2334</v>
      </c>
      <c r="C331" s="1">
        <v>41055.063981481479</v>
      </c>
      <c r="D331" s="4">
        <v>61000</v>
      </c>
      <c r="E331">
        <v>61000</v>
      </c>
      <c r="F331" t="s">
        <v>6</v>
      </c>
      <c r="G331">
        <f>tblSalaries[[#This Row],[clean Salary (in local currency)]]*VLOOKUP(tblSalaries[[#This Row],[Currency]],tblXrate[],2,FALSE)</f>
        <v>61000</v>
      </c>
      <c r="H331" t="s">
        <v>153</v>
      </c>
      <c r="I331" t="s">
        <v>20</v>
      </c>
      <c r="J331" t="s">
        <v>15</v>
      </c>
      <c r="K331" t="str">
        <f>VLOOKUP(tblSalaries[[#This Row],[Where do you work]],tblCountries[[Actual]:[Mapping]],2,FALSE)</f>
        <v>USA</v>
      </c>
      <c r="L331" t="s">
        <v>25</v>
      </c>
      <c r="N331" s="8" t="str">
        <f>VLOOKUP(K331,tblCountries[],3,0)</f>
        <v>North Amer.</v>
      </c>
      <c r="O331" s="8">
        <f>VLOOKUP(tblSalaries[[#This Row],[How many hours of a day you work on Excel]],tblHours,2,0)</f>
        <v>2</v>
      </c>
      <c r="P331" s="8">
        <f>VLOOKUP(tblSalaries[[#This Row],[clean Country]],tblCountries[],5,0)</f>
        <v>1</v>
      </c>
      <c r="Q331" s="8">
        <f>IF($Q$1,tblSalaries[[#This Row],[PPP Factor]]*tblSalaries[[#This Row],[Salary in USD]],tblSalaries[[#This Row],[Salary in USD]])</f>
        <v>61000</v>
      </c>
    </row>
    <row r="332" spans="2:17" ht="15" customHeight="1" x14ac:dyDescent="0.25">
      <c r="B332" t="s">
        <v>2335</v>
      </c>
      <c r="C332" s="1">
        <v>41055.064050925925</v>
      </c>
      <c r="D332" s="4" t="s">
        <v>409</v>
      </c>
      <c r="E332">
        <v>65000</v>
      </c>
      <c r="F332" t="s">
        <v>86</v>
      </c>
      <c r="G332">
        <f>tblSalaries[[#This Row],[clean Salary (in local currency)]]*VLOOKUP(tblSalaries[[#This Row],[Currency]],tblXrate[],2,FALSE)</f>
        <v>63918.498996971248</v>
      </c>
      <c r="H332" t="s">
        <v>410</v>
      </c>
      <c r="I332" t="s">
        <v>52</v>
      </c>
      <c r="J332" t="s">
        <v>109</v>
      </c>
      <c r="K332" t="str">
        <f>VLOOKUP(tblSalaries[[#This Row],[Where do you work]],tblCountries[[Actual]:[Mapping]],2,FALSE)</f>
        <v>Canada</v>
      </c>
      <c r="L332" t="s">
        <v>18</v>
      </c>
      <c r="N332" s="8" t="str">
        <f>VLOOKUP(K332,tblCountries[],3,0)</f>
        <v>North Amer.</v>
      </c>
      <c r="O332" s="8">
        <f>VLOOKUP(tblSalaries[[#This Row],[How many hours of a day you work on Excel]],tblHours,2,0)</f>
        <v>3</v>
      </c>
      <c r="P332" s="8">
        <f>VLOOKUP(tblSalaries[[#This Row],[clean Country]],tblCountries[],5,0)</f>
        <v>1.1935324732986359</v>
      </c>
      <c r="Q332" s="8">
        <f>IF($Q$1,tblSalaries[[#This Row],[PPP Factor]]*tblSalaries[[#This Row],[Salary in USD]],tblSalaries[[#This Row],[Salary in USD]])</f>
        <v>63918.498996971248</v>
      </c>
    </row>
    <row r="333" spans="2:17" ht="15" customHeight="1" x14ac:dyDescent="0.25">
      <c r="B333" t="s">
        <v>2336</v>
      </c>
      <c r="C333" s="1">
        <v>41055.064189814817</v>
      </c>
      <c r="D333" s="4">
        <v>50000</v>
      </c>
      <c r="E333">
        <v>50000</v>
      </c>
      <c r="F333" t="s">
        <v>6</v>
      </c>
      <c r="G333">
        <f>tblSalaries[[#This Row],[clean Salary (in local currency)]]*VLOOKUP(tblSalaries[[#This Row],[Currency]],tblXrate[],2,FALSE)</f>
        <v>50000</v>
      </c>
      <c r="H333" t="s">
        <v>411</v>
      </c>
      <c r="I333" t="s">
        <v>20</v>
      </c>
      <c r="J333" t="s">
        <v>15</v>
      </c>
      <c r="K333" t="str">
        <f>VLOOKUP(tblSalaries[[#This Row],[Where do you work]],tblCountries[[Actual]:[Mapping]],2,FALSE)</f>
        <v>USA</v>
      </c>
      <c r="L333" t="s">
        <v>13</v>
      </c>
      <c r="N333" s="8" t="str">
        <f>VLOOKUP(K333,tblCountries[],3,0)</f>
        <v>North Amer.</v>
      </c>
      <c r="O333" s="8">
        <f>VLOOKUP(tblSalaries[[#This Row],[How many hours of a day you work on Excel]],tblHours,2,0)</f>
        <v>5</v>
      </c>
      <c r="P333" s="8">
        <f>VLOOKUP(tblSalaries[[#This Row],[clean Country]],tblCountries[],5,0)</f>
        <v>1</v>
      </c>
      <c r="Q333" s="8">
        <f>IF($Q$1,tblSalaries[[#This Row],[PPP Factor]]*tblSalaries[[#This Row],[Salary in USD]],tblSalaries[[#This Row],[Salary in USD]])</f>
        <v>50000</v>
      </c>
    </row>
    <row r="334" spans="2:17" ht="15" customHeight="1" x14ac:dyDescent="0.25">
      <c r="B334" t="s">
        <v>2337</v>
      </c>
      <c r="C334" s="1">
        <v>41055.064618055556</v>
      </c>
      <c r="D334" s="4">
        <v>150000</v>
      </c>
      <c r="E334">
        <v>150000</v>
      </c>
      <c r="F334" t="s">
        <v>6</v>
      </c>
      <c r="G334">
        <f>tblSalaries[[#This Row],[clean Salary (in local currency)]]*VLOOKUP(tblSalaries[[#This Row],[Currency]],tblXrate[],2,FALSE)</f>
        <v>150000</v>
      </c>
      <c r="H334" t="s">
        <v>412</v>
      </c>
      <c r="I334" t="s">
        <v>310</v>
      </c>
      <c r="J334" t="s">
        <v>15</v>
      </c>
      <c r="K334" t="str">
        <f>VLOOKUP(tblSalaries[[#This Row],[Where do you work]],tblCountries[[Actual]:[Mapping]],2,FALSE)</f>
        <v>USA</v>
      </c>
      <c r="L334" t="s">
        <v>13</v>
      </c>
      <c r="N334" s="8" t="str">
        <f>VLOOKUP(K334,tblCountries[],3,0)</f>
        <v>North Amer.</v>
      </c>
      <c r="O334" s="8">
        <f>VLOOKUP(tblSalaries[[#This Row],[How many hours of a day you work on Excel]],tblHours,2,0)</f>
        <v>5</v>
      </c>
      <c r="P334" s="8">
        <f>VLOOKUP(tblSalaries[[#This Row],[clean Country]],tblCountries[],5,0)</f>
        <v>1</v>
      </c>
      <c r="Q334" s="8">
        <f>IF($Q$1,tblSalaries[[#This Row],[PPP Factor]]*tblSalaries[[#This Row],[Salary in USD]],tblSalaries[[#This Row],[Salary in USD]])</f>
        <v>150000</v>
      </c>
    </row>
    <row r="335" spans="2:17" ht="15" customHeight="1" x14ac:dyDescent="0.25">
      <c r="B335" t="s">
        <v>2338</v>
      </c>
      <c r="C335" s="1">
        <v>41055.065011574072</v>
      </c>
      <c r="D335" s="4" t="s">
        <v>413</v>
      </c>
      <c r="E335">
        <v>400000</v>
      </c>
      <c r="F335" t="s">
        <v>40</v>
      </c>
      <c r="G335">
        <f>tblSalaries[[#This Row],[clean Salary (in local currency)]]*VLOOKUP(tblSalaries[[#This Row],[Currency]],tblXrate[],2,FALSE)</f>
        <v>7123.1666749770275</v>
      </c>
      <c r="H335" t="s">
        <v>414</v>
      </c>
      <c r="I335" t="s">
        <v>20</v>
      </c>
      <c r="J335" t="s">
        <v>8</v>
      </c>
      <c r="K335" t="str">
        <f>VLOOKUP(tblSalaries[[#This Row],[Where do you work]],tblCountries[[Actual]:[Mapping]],2,FALSE)</f>
        <v>India</v>
      </c>
      <c r="L335" t="s">
        <v>9</v>
      </c>
      <c r="N335" s="8" t="str">
        <f>VLOOKUP(K335,tblCountries[],3,0)</f>
        <v>Asia</v>
      </c>
      <c r="O335" s="8">
        <f>VLOOKUP(tblSalaries[[#This Row],[How many hours of a day you work on Excel]],tblHours,2,0)</f>
        <v>4</v>
      </c>
      <c r="P335" s="8">
        <f>VLOOKUP(tblSalaries[[#This Row],[clean Country]],tblCountries[],5,0)</f>
        <v>13.098808879263672</v>
      </c>
      <c r="Q335" s="8">
        <f>IF($Q$1,tblSalaries[[#This Row],[PPP Factor]]*tblSalaries[[#This Row],[Salary in USD]],tblSalaries[[#This Row],[Salary in USD]])</f>
        <v>7123.1666749770275</v>
      </c>
    </row>
    <row r="336" spans="2:17" ht="15" customHeight="1" x14ac:dyDescent="0.25">
      <c r="B336" t="s">
        <v>2339</v>
      </c>
      <c r="C336" s="1">
        <v>41055.065104166664</v>
      </c>
      <c r="D336" s="4">
        <v>150000</v>
      </c>
      <c r="E336">
        <v>150000</v>
      </c>
      <c r="F336" t="s">
        <v>6</v>
      </c>
      <c r="G336">
        <f>tblSalaries[[#This Row],[clean Salary (in local currency)]]*VLOOKUP(tblSalaries[[#This Row],[Currency]],tblXrate[],2,FALSE)</f>
        <v>150000</v>
      </c>
      <c r="H336" t="s">
        <v>415</v>
      </c>
      <c r="I336" t="s">
        <v>52</v>
      </c>
      <c r="J336" t="s">
        <v>416</v>
      </c>
      <c r="K336" t="str">
        <f>VLOOKUP(tblSalaries[[#This Row],[Where do you work]],tblCountries[[Actual]:[Mapping]],2,FALSE)</f>
        <v>Israel</v>
      </c>
      <c r="L336" t="s">
        <v>9</v>
      </c>
      <c r="N336" s="8" t="str">
        <f>VLOOKUP(K336,tblCountries[],3,0)</f>
        <v>Asia</v>
      </c>
      <c r="O336" s="8">
        <f>VLOOKUP(tblSalaries[[#This Row],[How many hours of a day you work on Excel]],tblHours,2,0)</f>
        <v>4</v>
      </c>
      <c r="P336" s="8">
        <f>VLOOKUP(tblSalaries[[#This Row],[clean Country]],tblCountries[],5,0)</f>
        <v>1.5621307506053268</v>
      </c>
      <c r="Q336" s="8">
        <f>IF($Q$1,tblSalaries[[#This Row],[PPP Factor]]*tblSalaries[[#This Row],[Salary in USD]],tblSalaries[[#This Row],[Salary in USD]])</f>
        <v>150000</v>
      </c>
    </row>
    <row r="337" spans="2:17" ht="15" customHeight="1" x14ac:dyDescent="0.25">
      <c r="B337" t="s">
        <v>2340</v>
      </c>
      <c r="C337" s="1">
        <v>41055.065925925926</v>
      </c>
      <c r="D337" s="4">
        <v>45000</v>
      </c>
      <c r="E337">
        <v>45000</v>
      </c>
      <c r="F337" t="s">
        <v>6</v>
      </c>
      <c r="G337">
        <f>tblSalaries[[#This Row],[clean Salary (in local currency)]]*VLOOKUP(tblSalaries[[#This Row],[Currency]],tblXrate[],2,FALSE)</f>
        <v>45000</v>
      </c>
      <c r="H337" t="s">
        <v>417</v>
      </c>
      <c r="I337" t="s">
        <v>67</v>
      </c>
      <c r="J337" t="s">
        <v>15</v>
      </c>
      <c r="K337" t="str">
        <f>VLOOKUP(tblSalaries[[#This Row],[Where do you work]],tblCountries[[Actual]:[Mapping]],2,FALSE)</f>
        <v>USA</v>
      </c>
      <c r="L337" t="s">
        <v>9</v>
      </c>
      <c r="N337" s="8" t="str">
        <f>VLOOKUP(K337,tblCountries[],3,0)</f>
        <v>North Amer.</v>
      </c>
      <c r="O337" s="8">
        <f>VLOOKUP(tblSalaries[[#This Row],[How many hours of a day you work on Excel]],tblHours,2,0)</f>
        <v>4</v>
      </c>
      <c r="P337" s="8">
        <f>VLOOKUP(tblSalaries[[#This Row],[clean Country]],tblCountries[],5,0)</f>
        <v>1</v>
      </c>
      <c r="Q337" s="8">
        <f>IF($Q$1,tblSalaries[[#This Row],[PPP Factor]]*tblSalaries[[#This Row],[Salary in USD]],tblSalaries[[#This Row],[Salary in USD]])</f>
        <v>45000</v>
      </c>
    </row>
    <row r="338" spans="2:17" ht="15" customHeight="1" x14ac:dyDescent="0.25">
      <c r="B338" t="s">
        <v>2341</v>
      </c>
      <c r="C338" s="1">
        <v>41055.065995370373</v>
      </c>
      <c r="D338" s="4">
        <v>135000</v>
      </c>
      <c r="E338">
        <v>135000</v>
      </c>
      <c r="F338" t="s">
        <v>6</v>
      </c>
      <c r="G338">
        <f>tblSalaries[[#This Row],[clean Salary (in local currency)]]*VLOOKUP(tblSalaries[[#This Row],[Currency]],tblXrate[],2,FALSE)</f>
        <v>135000</v>
      </c>
      <c r="H338" t="s">
        <v>418</v>
      </c>
      <c r="I338" t="s">
        <v>52</v>
      </c>
      <c r="J338" t="s">
        <v>15</v>
      </c>
      <c r="K338" t="str">
        <f>VLOOKUP(tblSalaries[[#This Row],[Where do you work]],tblCountries[[Actual]:[Mapping]],2,FALSE)</f>
        <v>USA</v>
      </c>
      <c r="L338" t="s">
        <v>13</v>
      </c>
      <c r="N338" s="8" t="str">
        <f>VLOOKUP(K338,tblCountries[],3,0)</f>
        <v>North Amer.</v>
      </c>
      <c r="O338" s="8">
        <f>VLOOKUP(tblSalaries[[#This Row],[How many hours of a day you work on Excel]],tblHours,2,0)</f>
        <v>5</v>
      </c>
      <c r="P338" s="8">
        <f>VLOOKUP(tblSalaries[[#This Row],[clean Country]],tblCountries[],5,0)</f>
        <v>1</v>
      </c>
      <c r="Q338" s="8">
        <f>IF($Q$1,tblSalaries[[#This Row],[PPP Factor]]*tblSalaries[[#This Row],[Salary in USD]],tblSalaries[[#This Row],[Salary in USD]])</f>
        <v>135000</v>
      </c>
    </row>
    <row r="339" spans="2:17" ht="15" customHeight="1" x14ac:dyDescent="0.25">
      <c r="B339" t="s">
        <v>2342</v>
      </c>
      <c r="C339" s="1">
        <v>41055.066180555557</v>
      </c>
      <c r="D339" s="4" t="s">
        <v>419</v>
      </c>
      <c r="E339">
        <v>360000</v>
      </c>
      <c r="F339" t="s">
        <v>40</v>
      </c>
      <c r="G339">
        <f>tblSalaries[[#This Row],[clean Salary (in local currency)]]*VLOOKUP(tblSalaries[[#This Row],[Currency]],tblXrate[],2,FALSE)</f>
        <v>6410.8500074793246</v>
      </c>
      <c r="H339" t="s">
        <v>420</v>
      </c>
      <c r="I339" t="s">
        <v>20</v>
      </c>
      <c r="J339" t="s">
        <v>8</v>
      </c>
      <c r="K339" t="str">
        <f>VLOOKUP(tblSalaries[[#This Row],[Where do you work]],tblCountries[[Actual]:[Mapping]],2,FALSE)</f>
        <v>India</v>
      </c>
      <c r="L339" t="s">
        <v>18</v>
      </c>
      <c r="N339" s="8" t="str">
        <f>VLOOKUP(K339,tblCountries[],3,0)</f>
        <v>Asia</v>
      </c>
      <c r="O339" s="8">
        <f>VLOOKUP(tblSalaries[[#This Row],[How many hours of a day you work on Excel]],tblHours,2,0)</f>
        <v>3</v>
      </c>
      <c r="P339" s="8">
        <f>VLOOKUP(tblSalaries[[#This Row],[clean Country]],tblCountries[],5,0)</f>
        <v>13.098808879263672</v>
      </c>
      <c r="Q339" s="8">
        <f>IF($Q$1,tblSalaries[[#This Row],[PPP Factor]]*tblSalaries[[#This Row],[Salary in USD]],tblSalaries[[#This Row],[Salary in USD]])</f>
        <v>6410.8500074793246</v>
      </c>
    </row>
    <row r="340" spans="2:17" ht="15" customHeight="1" x14ac:dyDescent="0.25">
      <c r="B340" t="s">
        <v>2343</v>
      </c>
      <c r="C340" s="1">
        <v>41055.066377314812</v>
      </c>
      <c r="D340" s="4">
        <v>29000</v>
      </c>
      <c r="E340">
        <v>29000</v>
      </c>
      <c r="F340" t="s">
        <v>6</v>
      </c>
      <c r="G340">
        <f>tblSalaries[[#This Row],[clean Salary (in local currency)]]*VLOOKUP(tblSalaries[[#This Row],[Currency]],tblXrate[],2,FALSE)</f>
        <v>29000</v>
      </c>
      <c r="H340" t="s">
        <v>421</v>
      </c>
      <c r="I340" t="s">
        <v>52</v>
      </c>
      <c r="J340" t="s">
        <v>15</v>
      </c>
      <c r="K340" t="str">
        <f>VLOOKUP(tblSalaries[[#This Row],[Where do you work]],tblCountries[[Actual]:[Mapping]],2,FALSE)</f>
        <v>USA</v>
      </c>
      <c r="L340" t="s">
        <v>9</v>
      </c>
      <c r="N340" s="8" t="str">
        <f>VLOOKUP(K340,tblCountries[],3,0)</f>
        <v>North Amer.</v>
      </c>
      <c r="O340" s="8">
        <f>VLOOKUP(tblSalaries[[#This Row],[How many hours of a day you work on Excel]],tblHours,2,0)</f>
        <v>4</v>
      </c>
      <c r="P340" s="8">
        <f>VLOOKUP(tblSalaries[[#This Row],[clean Country]],tblCountries[],5,0)</f>
        <v>1</v>
      </c>
      <c r="Q340" s="8">
        <f>IF($Q$1,tblSalaries[[#This Row],[PPP Factor]]*tblSalaries[[#This Row],[Salary in USD]],tblSalaries[[#This Row],[Salary in USD]])</f>
        <v>29000</v>
      </c>
    </row>
    <row r="341" spans="2:17" ht="15" customHeight="1" x14ac:dyDescent="0.25">
      <c r="B341" t="s">
        <v>2344</v>
      </c>
      <c r="C341" s="1">
        <v>41055.067743055559</v>
      </c>
      <c r="D341" s="4">
        <v>13000</v>
      </c>
      <c r="E341">
        <v>13000</v>
      </c>
      <c r="F341" t="s">
        <v>6</v>
      </c>
      <c r="G341">
        <f>tblSalaries[[#This Row],[clean Salary (in local currency)]]*VLOOKUP(tblSalaries[[#This Row],[Currency]],tblXrate[],2,FALSE)</f>
        <v>13000</v>
      </c>
      <c r="H341" t="s">
        <v>422</v>
      </c>
      <c r="I341" t="s">
        <v>52</v>
      </c>
      <c r="J341" t="s">
        <v>8</v>
      </c>
      <c r="K341" t="str">
        <f>VLOOKUP(tblSalaries[[#This Row],[Where do you work]],tblCountries[[Actual]:[Mapping]],2,FALSE)</f>
        <v>India</v>
      </c>
      <c r="L341" t="s">
        <v>13</v>
      </c>
      <c r="N341" s="8" t="str">
        <f>VLOOKUP(K341,tblCountries[],3,0)</f>
        <v>Asia</v>
      </c>
      <c r="O341" s="8">
        <f>VLOOKUP(tblSalaries[[#This Row],[How many hours of a day you work on Excel]],tblHours,2,0)</f>
        <v>5</v>
      </c>
      <c r="P341" s="8">
        <f>VLOOKUP(tblSalaries[[#This Row],[clean Country]],tblCountries[],5,0)</f>
        <v>13.098808879263672</v>
      </c>
      <c r="Q341" s="8">
        <f>IF($Q$1,tblSalaries[[#This Row],[PPP Factor]]*tblSalaries[[#This Row],[Salary in USD]],tblSalaries[[#This Row],[Salary in USD]])</f>
        <v>13000</v>
      </c>
    </row>
    <row r="342" spans="2:17" ht="15" customHeight="1" x14ac:dyDescent="0.25">
      <c r="B342" t="s">
        <v>2345</v>
      </c>
      <c r="C342" s="1">
        <v>41055.068124999998</v>
      </c>
      <c r="D342" s="4" t="s">
        <v>423</v>
      </c>
      <c r="E342">
        <v>63000</v>
      </c>
      <c r="F342" t="s">
        <v>6</v>
      </c>
      <c r="G342">
        <f>tblSalaries[[#This Row],[clean Salary (in local currency)]]*VLOOKUP(tblSalaries[[#This Row],[Currency]],tblXrate[],2,FALSE)</f>
        <v>63000</v>
      </c>
      <c r="H342" t="s">
        <v>108</v>
      </c>
      <c r="I342" t="s">
        <v>20</v>
      </c>
      <c r="J342" t="s">
        <v>15</v>
      </c>
      <c r="K342" t="str">
        <f>VLOOKUP(tblSalaries[[#This Row],[Where do you work]],tblCountries[[Actual]:[Mapping]],2,FALSE)</f>
        <v>USA</v>
      </c>
      <c r="L342" t="s">
        <v>13</v>
      </c>
      <c r="N342" s="8" t="str">
        <f>VLOOKUP(K342,tblCountries[],3,0)</f>
        <v>North Amer.</v>
      </c>
      <c r="O342" s="8">
        <f>VLOOKUP(tblSalaries[[#This Row],[How many hours of a day you work on Excel]],tblHours,2,0)</f>
        <v>5</v>
      </c>
      <c r="P342" s="8">
        <f>VLOOKUP(tblSalaries[[#This Row],[clean Country]],tblCountries[],5,0)</f>
        <v>1</v>
      </c>
      <c r="Q342" s="8">
        <f>IF($Q$1,tblSalaries[[#This Row],[PPP Factor]]*tblSalaries[[#This Row],[Salary in USD]],tblSalaries[[#This Row],[Salary in USD]])</f>
        <v>63000</v>
      </c>
    </row>
    <row r="343" spans="2:17" ht="15" customHeight="1" x14ac:dyDescent="0.25">
      <c r="B343" t="s">
        <v>2346</v>
      </c>
      <c r="C343" s="1">
        <v>41055.068124999998</v>
      </c>
      <c r="D343" s="4">
        <v>95000</v>
      </c>
      <c r="E343">
        <v>95000</v>
      </c>
      <c r="F343" t="s">
        <v>6</v>
      </c>
      <c r="G343">
        <f>tblSalaries[[#This Row],[clean Salary (in local currency)]]*VLOOKUP(tblSalaries[[#This Row],[Currency]],tblXrate[],2,FALSE)</f>
        <v>95000</v>
      </c>
      <c r="H343" t="s">
        <v>424</v>
      </c>
      <c r="I343" t="s">
        <v>20</v>
      </c>
      <c r="J343" t="s">
        <v>15</v>
      </c>
      <c r="K343" t="str">
        <f>VLOOKUP(tblSalaries[[#This Row],[Where do you work]],tblCountries[[Actual]:[Mapping]],2,FALSE)</f>
        <v>USA</v>
      </c>
      <c r="L343" t="s">
        <v>9</v>
      </c>
      <c r="N343" s="8" t="str">
        <f>VLOOKUP(K343,tblCountries[],3,0)</f>
        <v>North Amer.</v>
      </c>
      <c r="O343" s="8">
        <f>VLOOKUP(tblSalaries[[#This Row],[How many hours of a day you work on Excel]],tblHours,2,0)</f>
        <v>4</v>
      </c>
      <c r="P343" s="8">
        <f>VLOOKUP(tblSalaries[[#This Row],[clean Country]],tblCountries[],5,0)</f>
        <v>1</v>
      </c>
      <c r="Q343" s="8">
        <f>IF($Q$1,tblSalaries[[#This Row],[PPP Factor]]*tblSalaries[[#This Row],[Salary in USD]],tblSalaries[[#This Row],[Salary in USD]])</f>
        <v>95000</v>
      </c>
    </row>
    <row r="344" spans="2:17" ht="15" customHeight="1" x14ac:dyDescent="0.25">
      <c r="B344" t="s">
        <v>2347</v>
      </c>
      <c r="C344" s="1">
        <v>41055.068645833337</v>
      </c>
      <c r="D344" s="4" t="s">
        <v>426</v>
      </c>
      <c r="E344">
        <v>100000</v>
      </c>
      <c r="F344" t="s">
        <v>6</v>
      </c>
      <c r="G344">
        <f>tblSalaries[[#This Row],[clean Salary (in local currency)]]*VLOOKUP(tblSalaries[[#This Row],[Currency]],tblXrate[],2,FALSE)</f>
        <v>100000</v>
      </c>
      <c r="H344" t="s">
        <v>427</v>
      </c>
      <c r="I344" t="s">
        <v>20</v>
      </c>
      <c r="J344" t="s">
        <v>71</v>
      </c>
      <c r="K344" t="str">
        <f>VLOOKUP(tblSalaries[[#This Row],[Where do you work]],tblCountries[[Actual]:[Mapping]],2,FALSE)</f>
        <v>UK</v>
      </c>
      <c r="L344" t="s">
        <v>9</v>
      </c>
      <c r="N344" s="8" t="str">
        <f>VLOOKUP(K344,tblCountries[],3,0)</f>
        <v>Europe</v>
      </c>
      <c r="O344" s="8">
        <f>VLOOKUP(tblSalaries[[#This Row],[How many hours of a day you work on Excel]],tblHours,2,0)</f>
        <v>4</v>
      </c>
      <c r="P344" s="8">
        <f>VLOOKUP(tblSalaries[[#This Row],[clean Country]],tblCountries[],5,0)</f>
        <v>1.3407315045719035</v>
      </c>
      <c r="Q344" s="8">
        <f>IF($Q$1,tblSalaries[[#This Row],[PPP Factor]]*tblSalaries[[#This Row],[Salary in USD]],tblSalaries[[#This Row],[Salary in USD]])</f>
        <v>100000</v>
      </c>
    </row>
    <row r="345" spans="2:17" ht="15" customHeight="1" x14ac:dyDescent="0.25">
      <c r="B345" t="s">
        <v>2348</v>
      </c>
      <c r="C345" s="1">
        <v>41055.069178240738</v>
      </c>
      <c r="D345" s="4" t="s">
        <v>428</v>
      </c>
      <c r="E345">
        <v>3800</v>
      </c>
      <c r="F345" t="s">
        <v>6</v>
      </c>
      <c r="G345">
        <f>tblSalaries[[#This Row],[clean Salary (in local currency)]]*VLOOKUP(tblSalaries[[#This Row],[Currency]],tblXrate[],2,FALSE)</f>
        <v>3800</v>
      </c>
      <c r="H345" t="s">
        <v>429</v>
      </c>
      <c r="I345" t="s">
        <v>3999</v>
      </c>
      <c r="J345" t="s">
        <v>8</v>
      </c>
      <c r="K345" t="str">
        <f>VLOOKUP(tblSalaries[[#This Row],[Where do you work]],tblCountries[[Actual]:[Mapping]],2,FALSE)</f>
        <v>India</v>
      </c>
      <c r="L345" t="s">
        <v>9</v>
      </c>
      <c r="N345" s="8" t="str">
        <f>VLOOKUP(K345,tblCountries[],3,0)</f>
        <v>Asia</v>
      </c>
      <c r="O345" s="8">
        <f>VLOOKUP(tblSalaries[[#This Row],[How many hours of a day you work on Excel]],tblHours,2,0)</f>
        <v>4</v>
      </c>
      <c r="P345" s="8">
        <f>VLOOKUP(tblSalaries[[#This Row],[clean Country]],tblCountries[],5,0)</f>
        <v>13.098808879263672</v>
      </c>
      <c r="Q345" s="8">
        <f>IF($Q$1,tblSalaries[[#This Row],[PPP Factor]]*tblSalaries[[#This Row],[Salary in USD]],tblSalaries[[#This Row],[Salary in USD]])</f>
        <v>3800</v>
      </c>
    </row>
    <row r="346" spans="2:17" ht="15" customHeight="1" x14ac:dyDescent="0.25">
      <c r="B346" t="s">
        <v>2349</v>
      </c>
      <c r="C346" s="1">
        <v>41055.069502314815</v>
      </c>
      <c r="D346" s="4">
        <v>950</v>
      </c>
      <c r="E346">
        <v>11400</v>
      </c>
      <c r="F346" t="s">
        <v>6</v>
      </c>
      <c r="G346">
        <f>tblSalaries[[#This Row],[clean Salary (in local currency)]]*VLOOKUP(tblSalaries[[#This Row],[Currency]],tblXrate[],2,FALSE)</f>
        <v>11400</v>
      </c>
      <c r="H346" t="s">
        <v>430</v>
      </c>
      <c r="I346" t="s">
        <v>356</v>
      </c>
      <c r="J346" t="s">
        <v>143</v>
      </c>
      <c r="K346" t="str">
        <f>VLOOKUP(tblSalaries[[#This Row],[Where do you work]],tblCountries[[Actual]:[Mapping]],2,FALSE)</f>
        <v>Brazil</v>
      </c>
      <c r="L346" t="s">
        <v>9</v>
      </c>
      <c r="N346" s="8" t="str">
        <f>VLOOKUP(K346,tblCountries[],3,0)</f>
        <v>South Amer.</v>
      </c>
      <c r="O346" s="8">
        <f>VLOOKUP(tblSalaries[[#This Row],[How many hours of a day you work on Excel]],tblHours,2,0)</f>
        <v>4</v>
      </c>
      <c r="P346" s="8">
        <f>VLOOKUP(tblSalaries[[#This Row],[clean Country]],tblCountries[],5,0)</f>
        <v>4.1113943410655107</v>
      </c>
      <c r="Q346" s="8">
        <f>IF($Q$1,tblSalaries[[#This Row],[PPP Factor]]*tblSalaries[[#This Row],[Salary in USD]],tblSalaries[[#This Row],[Salary in USD]])</f>
        <v>11400</v>
      </c>
    </row>
    <row r="347" spans="2:17" ht="15" customHeight="1" x14ac:dyDescent="0.25">
      <c r="B347" t="s">
        <v>2350</v>
      </c>
      <c r="C347" s="1">
        <v>41055.069652777776</v>
      </c>
      <c r="D347" s="4">
        <v>56000</v>
      </c>
      <c r="E347">
        <v>56000</v>
      </c>
      <c r="F347" t="s">
        <v>86</v>
      </c>
      <c r="G347">
        <f>tblSalaries[[#This Row],[clean Salary (in local currency)]]*VLOOKUP(tblSalaries[[#This Row],[Currency]],tblXrate[],2,FALSE)</f>
        <v>55068.245289698301</v>
      </c>
      <c r="H347" t="s">
        <v>431</v>
      </c>
      <c r="I347" t="s">
        <v>20</v>
      </c>
      <c r="J347" t="s">
        <v>88</v>
      </c>
      <c r="K347" t="str">
        <f>VLOOKUP(tblSalaries[[#This Row],[Where do you work]],tblCountries[[Actual]:[Mapping]],2,FALSE)</f>
        <v>Canada</v>
      </c>
      <c r="L347" t="s">
        <v>9</v>
      </c>
      <c r="N347" s="8" t="str">
        <f>VLOOKUP(K347,tblCountries[],3,0)</f>
        <v>North Amer.</v>
      </c>
      <c r="O347" s="8">
        <f>VLOOKUP(tblSalaries[[#This Row],[How many hours of a day you work on Excel]],tblHours,2,0)</f>
        <v>4</v>
      </c>
      <c r="P347" s="8">
        <f>VLOOKUP(tblSalaries[[#This Row],[clean Country]],tblCountries[],5,0)</f>
        <v>1.1935324732986359</v>
      </c>
      <c r="Q347" s="8">
        <f>IF($Q$1,tblSalaries[[#This Row],[PPP Factor]]*tblSalaries[[#This Row],[Salary in USD]],tblSalaries[[#This Row],[Salary in USD]])</f>
        <v>55068.245289698301</v>
      </c>
    </row>
    <row r="348" spans="2:17" ht="15" customHeight="1" x14ac:dyDescent="0.25">
      <c r="B348" t="s">
        <v>2351</v>
      </c>
      <c r="C348" s="1">
        <v>41055.069768518515</v>
      </c>
      <c r="D348" s="4">
        <v>53000</v>
      </c>
      <c r="E348">
        <v>53000</v>
      </c>
      <c r="F348" t="s">
        <v>6</v>
      </c>
      <c r="G348">
        <f>tblSalaries[[#This Row],[clean Salary (in local currency)]]*VLOOKUP(tblSalaries[[#This Row],[Currency]],tblXrate[],2,FALSE)</f>
        <v>53000</v>
      </c>
      <c r="H348" t="s">
        <v>432</v>
      </c>
      <c r="I348" t="s">
        <v>52</v>
      </c>
      <c r="J348" t="s">
        <v>15</v>
      </c>
      <c r="K348" t="str">
        <f>VLOOKUP(tblSalaries[[#This Row],[Where do you work]],tblCountries[[Actual]:[Mapping]],2,FALSE)</f>
        <v>USA</v>
      </c>
      <c r="L348" t="s">
        <v>18</v>
      </c>
      <c r="N348" s="8" t="str">
        <f>VLOOKUP(K348,tblCountries[],3,0)</f>
        <v>North Amer.</v>
      </c>
      <c r="O348" s="8">
        <f>VLOOKUP(tblSalaries[[#This Row],[How many hours of a day you work on Excel]],tblHours,2,0)</f>
        <v>3</v>
      </c>
      <c r="P348" s="8">
        <f>VLOOKUP(tblSalaries[[#This Row],[clean Country]],tblCountries[],5,0)</f>
        <v>1</v>
      </c>
      <c r="Q348" s="8">
        <f>IF($Q$1,tblSalaries[[#This Row],[PPP Factor]]*tblSalaries[[#This Row],[Salary in USD]],tblSalaries[[#This Row],[Salary in USD]])</f>
        <v>53000</v>
      </c>
    </row>
    <row r="349" spans="2:17" ht="15" customHeight="1" x14ac:dyDescent="0.25">
      <c r="B349" t="s">
        <v>2352</v>
      </c>
      <c r="C349" s="1">
        <v>41055.070034722223</v>
      </c>
      <c r="D349" s="4">
        <v>130000</v>
      </c>
      <c r="E349">
        <v>130000</v>
      </c>
      <c r="F349" t="s">
        <v>6</v>
      </c>
      <c r="G349">
        <f>tblSalaries[[#This Row],[clean Salary (in local currency)]]*VLOOKUP(tblSalaries[[#This Row],[Currency]],tblXrate[],2,FALSE)</f>
        <v>130000</v>
      </c>
      <c r="H349" t="s">
        <v>433</v>
      </c>
      <c r="I349" t="s">
        <v>279</v>
      </c>
      <c r="J349" t="s">
        <v>15</v>
      </c>
      <c r="K349" t="str">
        <f>VLOOKUP(tblSalaries[[#This Row],[Where do you work]],tblCountries[[Actual]:[Mapping]],2,FALSE)</f>
        <v>USA</v>
      </c>
      <c r="L349" t="s">
        <v>9</v>
      </c>
      <c r="N349" s="8" t="str">
        <f>VLOOKUP(K349,tblCountries[],3,0)</f>
        <v>North Amer.</v>
      </c>
      <c r="O349" s="8">
        <f>VLOOKUP(tblSalaries[[#This Row],[How many hours of a day you work on Excel]],tblHours,2,0)</f>
        <v>4</v>
      </c>
      <c r="P349" s="8">
        <f>VLOOKUP(tblSalaries[[#This Row],[clean Country]],tblCountries[],5,0)</f>
        <v>1</v>
      </c>
      <c r="Q349" s="8">
        <f>IF($Q$1,tblSalaries[[#This Row],[PPP Factor]]*tblSalaries[[#This Row],[Salary in USD]],tblSalaries[[#This Row],[Salary in USD]])</f>
        <v>130000</v>
      </c>
    </row>
    <row r="350" spans="2:17" ht="15" customHeight="1" x14ac:dyDescent="0.25">
      <c r="B350" t="s">
        <v>2353</v>
      </c>
      <c r="C350" s="1">
        <v>41055.070509259262</v>
      </c>
      <c r="D350" s="4" t="s">
        <v>434</v>
      </c>
      <c r="E350">
        <v>370000</v>
      </c>
      <c r="F350" t="s">
        <v>40</v>
      </c>
      <c r="G350">
        <f>tblSalaries[[#This Row],[clean Salary (in local currency)]]*VLOOKUP(tblSalaries[[#This Row],[Currency]],tblXrate[],2,FALSE)</f>
        <v>6588.9291743537506</v>
      </c>
      <c r="H350" t="s">
        <v>435</v>
      </c>
      <c r="I350" t="s">
        <v>20</v>
      </c>
      <c r="J350" t="s">
        <v>8</v>
      </c>
      <c r="K350" t="str">
        <f>VLOOKUP(tblSalaries[[#This Row],[Where do you work]],tblCountries[[Actual]:[Mapping]],2,FALSE)</f>
        <v>India</v>
      </c>
      <c r="L350" t="s">
        <v>13</v>
      </c>
      <c r="N350" s="8" t="str">
        <f>VLOOKUP(K350,tblCountries[],3,0)</f>
        <v>Asia</v>
      </c>
      <c r="O350" s="8">
        <f>VLOOKUP(tblSalaries[[#This Row],[How many hours of a day you work on Excel]],tblHours,2,0)</f>
        <v>5</v>
      </c>
      <c r="P350" s="8">
        <f>VLOOKUP(tblSalaries[[#This Row],[clean Country]],tblCountries[],5,0)</f>
        <v>13.098808879263672</v>
      </c>
      <c r="Q350" s="8">
        <f>IF($Q$1,tblSalaries[[#This Row],[PPP Factor]]*tblSalaries[[#This Row],[Salary in USD]],tblSalaries[[#This Row],[Salary in USD]])</f>
        <v>6588.9291743537506</v>
      </c>
    </row>
    <row r="351" spans="2:17" ht="15" customHeight="1" x14ac:dyDescent="0.25">
      <c r="B351" t="s">
        <v>2354</v>
      </c>
      <c r="C351" s="1">
        <v>41055.070752314816</v>
      </c>
      <c r="D351" s="4">
        <v>160000</v>
      </c>
      <c r="E351">
        <v>160000</v>
      </c>
      <c r="F351" t="s">
        <v>86</v>
      </c>
      <c r="G351">
        <f>tblSalaries[[#This Row],[clean Salary (in local currency)]]*VLOOKUP(tblSalaries[[#This Row],[Currency]],tblXrate[],2,FALSE)</f>
        <v>157337.8436848523</v>
      </c>
      <c r="H351" t="s">
        <v>356</v>
      </c>
      <c r="I351" t="s">
        <v>356</v>
      </c>
      <c r="J351" t="s">
        <v>88</v>
      </c>
      <c r="K351" t="str">
        <f>VLOOKUP(tblSalaries[[#This Row],[Where do you work]],tblCountries[[Actual]:[Mapping]],2,FALSE)</f>
        <v>Canada</v>
      </c>
      <c r="L351" t="s">
        <v>18</v>
      </c>
      <c r="N351" s="8" t="str">
        <f>VLOOKUP(K351,tblCountries[],3,0)</f>
        <v>North Amer.</v>
      </c>
      <c r="O351" s="8">
        <f>VLOOKUP(tblSalaries[[#This Row],[How many hours of a day you work on Excel]],tblHours,2,0)</f>
        <v>3</v>
      </c>
      <c r="P351" s="8">
        <f>VLOOKUP(tblSalaries[[#This Row],[clean Country]],tblCountries[],5,0)</f>
        <v>1.1935324732986359</v>
      </c>
      <c r="Q351" s="8">
        <f>IF($Q$1,tblSalaries[[#This Row],[PPP Factor]]*tblSalaries[[#This Row],[Salary in USD]],tblSalaries[[#This Row],[Salary in USD]])</f>
        <v>157337.8436848523</v>
      </c>
    </row>
    <row r="352" spans="2:17" ht="15" customHeight="1" x14ac:dyDescent="0.25">
      <c r="B352" t="s">
        <v>2355</v>
      </c>
      <c r="C352" s="1">
        <v>41055.070763888885</v>
      </c>
      <c r="D352" s="4">
        <v>44200</v>
      </c>
      <c r="E352">
        <v>44200</v>
      </c>
      <c r="F352" t="s">
        <v>6</v>
      </c>
      <c r="G352">
        <f>tblSalaries[[#This Row],[clean Salary (in local currency)]]*VLOOKUP(tblSalaries[[#This Row],[Currency]],tblXrate[],2,FALSE)</f>
        <v>44200</v>
      </c>
      <c r="H352" t="s">
        <v>436</v>
      </c>
      <c r="I352" t="s">
        <v>20</v>
      </c>
      <c r="J352" t="s">
        <v>15</v>
      </c>
      <c r="K352" t="str">
        <f>VLOOKUP(tblSalaries[[#This Row],[Where do you work]],tblCountries[[Actual]:[Mapping]],2,FALSE)</f>
        <v>USA</v>
      </c>
      <c r="L352" t="s">
        <v>13</v>
      </c>
      <c r="N352" s="8" t="str">
        <f>VLOOKUP(K352,tblCountries[],3,0)</f>
        <v>North Amer.</v>
      </c>
      <c r="O352" s="8">
        <f>VLOOKUP(tblSalaries[[#This Row],[How many hours of a day you work on Excel]],tblHours,2,0)</f>
        <v>5</v>
      </c>
      <c r="P352" s="8">
        <f>VLOOKUP(tblSalaries[[#This Row],[clean Country]],tblCountries[],5,0)</f>
        <v>1</v>
      </c>
      <c r="Q352" s="8">
        <f>IF($Q$1,tblSalaries[[#This Row],[PPP Factor]]*tblSalaries[[#This Row],[Salary in USD]],tblSalaries[[#This Row],[Salary in USD]])</f>
        <v>44200</v>
      </c>
    </row>
    <row r="353" spans="2:17" ht="15" customHeight="1" x14ac:dyDescent="0.25">
      <c r="B353" t="s">
        <v>2356</v>
      </c>
      <c r="C353" s="1">
        <v>41055.070914351854</v>
      </c>
      <c r="D353" s="4">
        <v>56000</v>
      </c>
      <c r="E353">
        <v>56000</v>
      </c>
      <c r="F353" t="s">
        <v>6</v>
      </c>
      <c r="G353">
        <f>tblSalaries[[#This Row],[clean Salary (in local currency)]]*VLOOKUP(tblSalaries[[#This Row],[Currency]],tblXrate[],2,FALSE)</f>
        <v>56000</v>
      </c>
      <c r="H353" t="s">
        <v>437</v>
      </c>
      <c r="I353" t="s">
        <v>52</v>
      </c>
      <c r="J353" t="s">
        <v>15</v>
      </c>
      <c r="K353" t="str">
        <f>VLOOKUP(tblSalaries[[#This Row],[Where do you work]],tblCountries[[Actual]:[Mapping]],2,FALSE)</f>
        <v>USA</v>
      </c>
      <c r="L353" t="s">
        <v>18</v>
      </c>
      <c r="N353" s="8" t="str">
        <f>VLOOKUP(K353,tblCountries[],3,0)</f>
        <v>North Amer.</v>
      </c>
      <c r="O353" s="8">
        <f>VLOOKUP(tblSalaries[[#This Row],[How many hours of a day you work on Excel]],tblHours,2,0)</f>
        <v>3</v>
      </c>
      <c r="P353" s="8">
        <f>VLOOKUP(tblSalaries[[#This Row],[clean Country]],tblCountries[],5,0)</f>
        <v>1</v>
      </c>
      <c r="Q353" s="8">
        <f>IF($Q$1,tblSalaries[[#This Row],[PPP Factor]]*tblSalaries[[#This Row],[Salary in USD]],tblSalaries[[#This Row],[Salary in USD]])</f>
        <v>56000</v>
      </c>
    </row>
    <row r="354" spans="2:17" ht="15" customHeight="1" x14ac:dyDescent="0.25">
      <c r="B354" t="s">
        <v>2357</v>
      </c>
      <c r="C354" s="1">
        <v>41055.071145833332</v>
      </c>
      <c r="D354" s="4">
        <v>72500</v>
      </c>
      <c r="E354">
        <v>72500</v>
      </c>
      <c r="F354" t="s">
        <v>6</v>
      </c>
      <c r="G354">
        <f>tblSalaries[[#This Row],[clean Salary (in local currency)]]*VLOOKUP(tblSalaries[[#This Row],[Currency]],tblXrate[],2,FALSE)</f>
        <v>72500</v>
      </c>
      <c r="H354" t="s">
        <v>438</v>
      </c>
      <c r="I354" t="s">
        <v>279</v>
      </c>
      <c r="J354" t="s">
        <v>15</v>
      </c>
      <c r="K354" t="str">
        <f>VLOOKUP(tblSalaries[[#This Row],[Where do you work]],tblCountries[[Actual]:[Mapping]],2,FALSE)</f>
        <v>USA</v>
      </c>
      <c r="L354" t="s">
        <v>18</v>
      </c>
      <c r="N354" s="8" t="str">
        <f>VLOOKUP(K354,tblCountries[],3,0)</f>
        <v>North Amer.</v>
      </c>
      <c r="O354" s="8">
        <f>VLOOKUP(tblSalaries[[#This Row],[How many hours of a day you work on Excel]],tblHours,2,0)</f>
        <v>3</v>
      </c>
      <c r="P354" s="8">
        <f>VLOOKUP(tblSalaries[[#This Row],[clean Country]],tblCountries[],5,0)</f>
        <v>1</v>
      </c>
      <c r="Q354" s="8">
        <f>IF($Q$1,tblSalaries[[#This Row],[PPP Factor]]*tblSalaries[[#This Row],[Salary in USD]],tblSalaries[[#This Row],[Salary in USD]])</f>
        <v>72500</v>
      </c>
    </row>
    <row r="355" spans="2:17" ht="15" customHeight="1" x14ac:dyDescent="0.25">
      <c r="B355" t="s">
        <v>2358</v>
      </c>
      <c r="C355" s="1">
        <v>41055.071192129632</v>
      </c>
      <c r="D355" s="4">
        <v>75000</v>
      </c>
      <c r="E355">
        <v>75000</v>
      </c>
      <c r="F355" t="s">
        <v>86</v>
      </c>
      <c r="G355">
        <f>tblSalaries[[#This Row],[clean Salary (in local currency)]]*VLOOKUP(tblSalaries[[#This Row],[Currency]],tblXrate[],2,FALSE)</f>
        <v>73752.11422727452</v>
      </c>
      <c r="H355" t="s">
        <v>439</v>
      </c>
      <c r="I355" t="s">
        <v>20</v>
      </c>
      <c r="J355" t="s">
        <v>205</v>
      </c>
      <c r="K355" t="str">
        <f>VLOOKUP(tblSalaries[[#This Row],[Where do you work]],tblCountries[[Actual]:[Mapping]],2,FALSE)</f>
        <v>Canada</v>
      </c>
      <c r="L355" t="s">
        <v>9</v>
      </c>
      <c r="N355" s="8" t="str">
        <f>VLOOKUP(K355,tblCountries[],3,0)</f>
        <v>North Amer.</v>
      </c>
      <c r="O355" s="8">
        <f>VLOOKUP(tblSalaries[[#This Row],[How many hours of a day you work on Excel]],tblHours,2,0)</f>
        <v>4</v>
      </c>
      <c r="P355" s="8">
        <f>VLOOKUP(tblSalaries[[#This Row],[clean Country]],tblCountries[],5,0)</f>
        <v>1.1935324732986359</v>
      </c>
      <c r="Q355" s="8">
        <f>IF($Q$1,tblSalaries[[#This Row],[PPP Factor]]*tblSalaries[[#This Row],[Salary in USD]],tblSalaries[[#This Row],[Salary in USD]])</f>
        <v>73752.11422727452</v>
      </c>
    </row>
    <row r="356" spans="2:17" ht="15" customHeight="1" x14ac:dyDescent="0.25">
      <c r="B356" t="s">
        <v>2359</v>
      </c>
      <c r="C356" s="1">
        <v>41055.071446759262</v>
      </c>
      <c r="D356" s="4" t="s">
        <v>440</v>
      </c>
      <c r="E356">
        <v>170000</v>
      </c>
      <c r="F356" t="s">
        <v>6</v>
      </c>
      <c r="G356">
        <f>tblSalaries[[#This Row],[clean Salary (in local currency)]]*VLOOKUP(tblSalaries[[#This Row],[Currency]],tblXrate[],2,FALSE)</f>
        <v>170000</v>
      </c>
      <c r="H356" t="s">
        <v>441</v>
      </c>
      <c r="I356" t="s">
        <v>20</v>
      </c>
      <c r="J356" t="s">
        <v>71</v>
      </c>
      <c r="K356" t="str">
        <f>VLOOKUP(tblSalaries[[#This Row],[Where do you work]],tblCountries[[Actual]:[Mapping]],2,FALSE)</f>
        <v>UK</v>
      </c>
      <c r="L356" t="s">
        <v>186</v>
      </c>
      <c r="N356" s="8" t="str">
        <f>VLOOKUP(K356,tblCountries[],3,0)</f>
        <v>Europe</v>
      </c>
      <c r="O356" s="8">
        <f>VLOOKUP(tblSalaries[[#This Row],[How many hours of a day you work on Excel]],tblHours,2,0)</f>
        <v>1</v>
      </c>
      <c r="P356" s="8">
        <f>VLOOKUP(tblSalaries[[#This Row],[clean Country]],tblCountries[],5,0)</f>
        <v>1.3407315045719035</v>
      </c>
      <c r="Q356" s="8">
        <f>IF($Q$1,tblSalaries[[#This Row],[PPP Factor]]*tblSalaries[[#This Row],[Salary in USD]],tblSalaries[[#This Row],[Salary in USD]])</f>
        <v>170000</v>
      </c>
    </row>
    <row r="357" spans="2:17" ht="15" customHeight="1" x14ac:dyDescent="0.25">
      <c r="B357" t="s">
        <v>2360</v>
      </c>
      <c r="C357" s="1">
        <v>41055.072083333333</v>
      </c>
      <c r="D357" s="4">
        <v>68000</v>
      </c>
      <c r="E357">
        <v>68000</v>
      </c>
      <c r="F357" t="s">
        <v>6</v>
      </c>
      <c r="G357">
        <f>tblSalaries[[#This Row],[clean Salary (in local currency)]]*VLOOKUP(tblSalaries[[#This Row],[Currency]],tblXrate[],2,FALSE)</f>
        <v>68000</v>
      </c>
      <c r="H357" t="s">
        <v>201</v>
      </c>
      <c r="I357" t="s">
        <v>52</v>
      </c>
      <c r="J357" t="s">
        <v>15</v>
      </c>
      <c r="K357" t="str">
        <f>VLOOKUP(tblSalaries[[#This Row],[Where do you work]],tblCountries[[Actual]:[Mapping]],2,FALSE)</f>
        <v>USA</v>
      </c>
      <c r="L357" t="s">
        <v>18</v>
      </c>
      <c r="N357" s="8" t="str">
        <f>VLOOKUP(K357,tblCountries[],3,0)</f>
        <v>North Amer.</v>
      </c>
      <c r="O357" s="8">
        <f>VLOOKUP(tblSalaries[[#This Row],[How many hours of a day you work on Excel]],tblHours,2,0)</f>
        <v>3</v>
      </c>
      <c r="P357" s="8">
        <f>VLOOKUP(tblSalaries[[#This Row],[clean Country]],tblCountries[],5,0)</f>
        <v>1</v>
      </c>
      <c r="Q357" s="8">
        <f>IF($Q$1,tblSalaries[[#This Row],[PPP Factor]]*tblSalaries[[#This Row],[Salary in USD]],tblSalaries[[#This Row],[Salary in USD]])</f>
        <v>68000</v>
      </c>
    </row>
    <row r="358" spans="2:17" ht="15" customHeight="1" x14ac:dyDescent="0.25">
      <c r="B358" t="s">
        <v>2361</v>
      </c>
      <c r="C358" s="1">
        <v>41055.072905092595</v>
      </c>
      <c r="D358" s="4">
        <v>75000</v>
      </c>
      <c r="E358">
        <v>75000</v>
      </c>
      <c r="F358" t="s">
        <v>6</v>
      </c>
      <c r="G358">
        <f>tblSalaries[[#This Row],[clean Salary (in local currency)]]*VLOOKUP(tblSalaries[[#This Row],[Currency]],tblXrate[],2,FALSE)</f>
        <v>75000</v>
      </c>
      <c r="H358" t="s">
        <v>282</v>
      </c>
      <c r="I358" t="s">
        <v>20</v>
      </c>
      <c r="J358" t="s">
        <v>15</v>
      </c>
      <c r="K358" t="str">
        <f>VLOOKUP(tblSalaries[[#This Row],[Where do you work]],tblCountries[[Actual]:[Mapping]],2,FALSE)</f>
        <v>USA</v>
      </c>
      <c r="L358" t="s">
        <v>13</v>
      </c>
      <c r="N358" s="8" t="str">
        <f>VLOOKUP(K358,tblCountries[],3,0)</f>
        <v>North Amer.</v>
      </c>
      <c r="O358" s="8">
        <f>VLOOKUP(tblSalaries[[#This Row],[How many hours of a day you work on Excel]],tblHours,2,0)</f>
        <v>5</v>
      </c>
      <c r="P358" s="8">
        <f>VLOOKUP(tblSalaries[[#This Row],[clean Country]],tblCountries[],5,0)</f>
        <v>1</v>
      </c>
      <c r="Q358" s="8">
        <f>IF($Q$1,tblSalaries[[#This Row],[PPP Factor]]*tblSalaries[[#This Row],[Salary in USD]],tblSalaries[[#This Row],[Salary in USD]])</f>
        <v>75000</v>
      </c>
    </row>
    <row r="359" spans="2:17" ht="15" customHeight="1" x14ac:dyDescent="0.25">
      <c r="B359" t="s">
        <v>2362</v>
      </c>
      <c r="C359" s="1">
        <v>41055.073495370372</v>
      </c>
      <c r="D359" s="4" t="s">
        <v>442</v>
      </c>
      <c r="E359">
        <v>62500</v>
      </c>
      <c r="F359" t="s">
        <v>6</v>
      </c>
      <c r="G359">
        <f>tblSalaries[[#This Row],[clean Salary (in local currency)]]*VLOOKUP(tblSalaries[[#This Row],[Currency]],tblXrate[],2,FALSE)</f>
        <v>62500</v>
      </c>
      <c r="H359" t="s">
        <v>443</v>
      </c>
      <c r="I359" t="s">
        <v>4001</v>
      </c>
      <c r="J359" t="s">
        <v>15</v>
      </c>
      <c r="K359" t="str">
        <f>VLOOKUP(tblSalaries[[#This Row],[Where do you work]],tblCountries[[Actual]:[Mapping]],2,FALSE)</f>
        <v>USA</v>
      </c>
      <c r="L359" t="s">
        <v>13</v>
      </c>
      <c r="N359" s="8" t="str">
        <f>VLOOKUP(K359,tblCountries[],3,0)</f>
        <v>North Amer.</v>
      </c>
      <c r="O359" s="8">
        <f>VLOOKUP(tblSalaries[[#This Row],[How many hours of a day you work on Excel]],tblHours,2,0)</f>
        <v>5</v>
      </c>
      <c r="P359" s="8">
        <f>VLOOKUP(tblSalaries[[#This Row],[clean Country]],tblCountries[],5,0)</f>
        <v>1</v>
      </c>
      <c r="Q359" s="8">
        <f>IF($Q$1,tblSalaries[[#This Row],[PPP Factor]]*tblSalaries[[#This Row],[Salary in USD]],tblSalaries[[#This Row],[Salary in USD]])</f>
        <v>62500</v>
      </c>
    </row>
    <row r="360" spans="2:17" ht="15" customHeight="1" x14ac:dyDescent="0.25">
      <c r="B360" t="s">
        <v>2363</v>
      </c>
      <c r="C360" s="1">
        <v>41055.073587962965</v>
      </c>
      <c r="D360" s="4">
        <v>25000</v>
      </c>
      <c r="E360">
        <v>25000</v>
      </c>
      <c r="F360" t="s">
        <v>6</v>
      </c>
      <c r="G360">
        <f>tblSalaries[[#This Row],[clean Salary (in local currency)]]*VLOOKUP(tblSalaries[[#This Row],[Currency]],tblXrate[],2,FALSE)</f>
        <v>25000</v>
      </c>
      <c r="H360" t="s">
        <v>52</v>
      </c>
      <c r="I360" t="s">
        <v>52</v>
      </c>
      <c r="J360" t="s">
        <v>8</v>
      </c>
      <c r="K360" t="str">
        <f>VLOOKUP(tblSalaries[[#This Row],[Where do you work]],tblCountries[[Actual]:[Mapping]],2,FALSE)</f>
        <v>India</v>
      </c>
      <c r="L360" t="s">
        <v>9</v>
      </c>
      <c r="N360" s="8" t="str">
        <f>VLOOKUP(K360,tblCountries[],3,0)</f>
        <v>Asia</v>
      </c>
      <c r="O360" s="8">
        <f>VLOOKUP(tblSalaries[[#This Row],[How many hours of a day you work on Excel]],tblHours,2,0)</f>
        <v>4</v>
      </c>
      <c r="P360" s="8">
        <f>VLOOKUP(tblSalaries[[#This Row],[clean Country]],tblCountries[],5,0)</f>
        <v>13.098808879263672</v>
      </c>
      <c r="Q360" s="8">
        <f>IF($Q$1,tblSalaries[[#This Row],[PPP Factor]]*tblSalaries[[#This Row],[Salary in USD]],tblSalaries[[#This Row],[Salary in USD]])</f>
        <v>25000</v>
      </c>
    </row>
    <row r="361" spans="2:17" ht="15" customHeight="1" x14ac:dyDescent="0.25">
      <c r="B361" t="s">
        <v>2364</v>
      </c>
      <c r="C361" s="1">
        <v>41055.073888888888</v>
      </c>
      <c r="D361" s="4" t="s">
        <v>444</v>
      </c>
      <c r="E361">
        <v>480000</v>
      </c>
      <c r="F361" t="s">
        <v>445</v>
      </c>
      <c r="G361">
        <f>tblSalaries[[#This Row],[clean Salary (in local currency)]]*VLOOKUP(tblSalaries[[#This Row],[Currency]],tblXrate[],2,FALSE)</f>
        <v>68954.520184280962</v>
      </c>
      <c r="H361" t="s">
        <v>446</v>
      </c>
      <c r="I361" t="s">
        <v>356</v>
      </c>
      <c r="J361" t="s">
        <v>447</v>
      </c>
      <c r="K361" t="str">
        <f>VLOOKUP(tblSalaries[[#This Row],[Where do you work]],tblCountries[[Actual]:[Mapping]],2,FALSE)</f>
        <v>Sweden</v>
      </c>
      <c r="L361" t="s">
        <v>25</v>
      </c>
      <c r="N361" s="8" t="str">
        <f>VLOOKUP(K361,tblCountries[],3,0)</f>
        <v>Europe</v>
      </c>
      <c r="O361" s="8">
        <f>VLOOKUP(tblSalaries[[#This Row],[How many hours of a day you work on Excel]],tblHours,2,0)</f>
        <v>2</v>
      </c>
      <c r="P361" s="8">
        <f>VLOOKUP(tblSalaries[[#This Row],[clean Country]],tblCountries[],5,0)</f>
        <v>1.1978759221666584</v>
      </c>
      <c r="Q361" s="8">
        <f>IF($Q$1,tblSalaries[[#This Row],[PPP Factor]]*tblSalaries[[#This Row],[Salary in USD]],tblSalaries[[#This Row],[Salary in USD]])</f>
        <v>68954.520184280962</v>
      </c>
    </row>
    <row r="362" spans="2:17" ht="15" customHeight="1" x14ac:dyDescent="0.25">
      <c r="B362" t="s">
        <v>2365</v>
      </c>
      <c r="C362" s="1">
        <v>41055.075914351852</v>
      </c>
      <c r="D362" s="4">
        <v>85000</v>
      </c>
      <c r="E362">
        <v>85000</v>
      </c>
      <c r="F362" t="s">
        <v>6</v>
      </c>
      <c r="G362">
        <f>tblSalaries[[#This Row],[clean Salary (in local currency)]]*VLOOKUP(tblSalaries[[#This Row],[Currency]],tblXrate[],2,FALSE)</f>
        <v>85000</v>
      </c>
      <c r="H362" t="s">
        <v>282</v>
      </c>
      <c r="I362" t="s">
        <v>20</v>
      </c>
      <c r="J362" t="s">
        <v>15</v>
      </c>
      <c r="K362" t="str">
        <f>VLOOKUP(tblSalaries[[#This Row],[Where do you work]],tblCountries[[Actual]:[Mapping]],2,FALSE)</f>
        <v>USA</v>
      </c>
      <c r="L362" t="s">
        <v>9</v>
      </c>
      <c r="N362" s="8" t="str">
        <f>VLOOKUP(K362,tblCountries[],3,0)</f>
        <v>North Amer.</v>
      </c>
      <c r="O362" s="8">
        <f>VLOOKUP(tblSalaries[[#This Row],[How many hours of a day you work on Excel]],tblHours,2,0)</f>
        <v>4</v>
      </c>
      <c r="P362" s="8">
        <f>VLOOKUP(tblSalaries[[#This Row],[clean Country]],tblCountries[],5,0)</f>
        <v>1</v>
      </c>
      <c r="Q362" s="8">
        <f>IF($Q$1,tblSalaries[[#This Row],[PPP Factor]]*tblSalaries[[#This Row],[Salary in USD]],tblSalaries[[#This Row],[Salary in USD]])</f>
        <v>85000</v>
      </c>
    </row>
    <row r="363" spans="2:17" ht="15" customHeight="1" x14ac:dyDescent="0.25">
      <c r="B363" t="s">
        <v>2366</v>
      </c>
      <c r="C363" s="1">
        <v>41055.076331018521</v>
      </c>
      <c r="D363" s="4">
        <v>43000</v>
      </c>
      <c r="E363">
        <v>43000</v>
      </c>
      <c r="F363" t="s">
        <v>69</v>
      </c>
      <c r="G363">
        <f>tblSalaries[[#This Row],[clean Salary (in local currency)]]*VLOOKUP(tblSalaries[[#This Row],[Currency]],tblXrate[],2,FALSE)</f>
        <v>67775.665698893223</v>
      </c>
      <c r="H363" t="s">
        <v>448</v>
      </c>
      <c r="I363" t="s">
        <v>52</v>
      </c>
      <c r="J363" t="s">
        <v>71</v>
      </c>
      <c r="K363" t="str">
        <f>VLOOKUP(tblSalaries[[#This Row],[Where do you work]],tblCountries[[Actual]:[Mapping]],2,FALSE)</f>
        <v>UK</v>
      </c>
      <c r="L363" t="s">
        <v>9</v>
      </c>
      <c r="N363" s="8" t="str">
        <f>VLOOKUP(K363,tblCountries[],3,0)</f>
        <v>Europe</v>
      </c>
      <c r="O363" s="8">
        <f>VLOOKUP(tblSalaries[[#This Row],[How many hours of a day you work on Excel]],tblHours,2,0)</f>
        <v>4</v>
      </c>
      <c r="P363" s="8">
        <f>VLOOKUP(tblSalaries[[#This Row],[clean Country]],tblCountries[],5,0)</f>
        <v>1.3407315045719035</v>
      </c>
      <c r="Q363" s="8">
        <f>IF($Q$1,tblSalaries[[#This Row],[PPP Factor]]*tblSalaries[[#This Row],[Salary in USD]],tblSalaries[[#This Row],[Salary in USD]])</f>
        <v>67775.665698893223</v>
      </c>
    </row>
    <row r="364" spans="2:17" ht="15" customHeight="1" x14ac:dyDescent="0.25">
      <c r="B364" t="s">
        <v>2367</v>
      </c>
      <c r="C364" s="1">
        <v>41055.076342592591</v>
      </c>
      <c r="D364" s="4">
        <v>89000</v>
      </c>
      <c r="E364">
        <v>89000</v>
      </c>
      <c r="F364" t="s">
        <v>6</v>
      </c>
      <c r="G364">
        <f>tblSalaries[[#This Row],[clean Salary (in local currency)]]*VLOOKUP(tblSalaries[[#This Row],[Currency]],tblXrate[],2,FALSE)</f>
        <v>89000</v>
      </c>
      <c r="H364" t="s">
        <v>449</v>
      </c>
      <c r="I364" t="s">
        <v>52</v>
      </c>
      <c r="J364" t="s">
        <v>15</v>
      </c>
      <c r="K364" t="str">
        <f>VLOOKUP(tblSalaries[[#This Row],[Where do you work]],tblCountries[[Actual]:[Mapping]],2,FALSE)</f>
        <v>USA</v>
      </c>
      <c r="L364" t="s">
        <v>9</v>
      </c>
      <c r="N364" s="8" t="str">
        <f>VLOOKUP(K364,tblCountries[],3,0)</f>
        <v>North Amer.</v>
      </c>
      <c r="O364" s="8">
        <f>VLOOKUP(tblSalaries[[#This Row],[How many hours of a day you work on Excel]],tblHours,2,0)</f>
        <v>4</v>
      </c>
      <c r="P364" s="8">
        <f>VLOOKUP(tblSalaries[[#This Row],[clean Country]],tblCountries[],5,0)</f>
        <v>1</v>
      </c>
      <c r="Q364" s="8">
        <f>IF($Q$1,tblSalaries[[#This Row],[PPP Factor]]*tblSalaries[[#This Row],[Salary in USD]],tblSalaries[[#This Row],[Salary in USD]])</f>
        <v>89000</v>
      </c>
    </row>
    <row r="365" spans="2:17" ht="15" customHeight="1" x14ac:dyDescent="0.25">
      <c r="B365" t="s">
        <v>2368</v>
      </c>
      <c r="C365" s="1">
        <v>41055.076388888891</v>
      </c>
      <c r="D365" s="4">
        <v>35000</v>
      </c>
      <c r="E365">
        <v>35000</v>
      </c>
      <c r="F365" t="s">
        <v>6</v>
      </c>
      <c r="G365">
        <f>tblSalaries[[#This Row],[clean Salary (in local currency)]]*VLOOKUP(tblSalaries[[#This Row],[Currency]],tblXrate[],2,FALSE)</f>
        <v>35000</v>
      </c>
      <c r="H365" t="s">
        <v>450</v>
      </c>
      <c r="I365" t="s">
        <v>20</v>
      </c>
      <c r="J365" t="s">
        <v>111</v>
      </c>
      <c r="K365" t="str">
        <f>VLOOKUP(tblSalaries[[#This Row],[Where do you work]],tblCountries[[Actual]:[Mapping]],2,FALSE)</f>
        <v>Brazil</v>
      </c>
      <c r="L365" t="s">
        <v>13</v>
      </c>
      <c r="N365" s="8" t="str">
        <f>VLOOKUP(K365,tblCountries[],3,0)</f>
        <v>South Amer.</v>
      </c>
      <c r="O365" s="8">
        <f>VLOOKUP(tblSalaries[[#This Row],[How many hours of a day you work on Excel]],tblHours,2,0)</f>
        <v>5</v>
      </c>
      <c r="P365" s="8">
        <f>VLOOKUP(tblSalaries[[#This Row],[clean Country]],tblCountries[],5,0)</f>
        <v>4.1113943410655107</v>
      </c>
      <c r="Q365" s="8">
        <f>IF($Q$1,tblSalaries[[#This Row],[PPP Factor]]*tblSalaries[[#This Row],[Salary in USD]],tblSalaries[[#This Row],[Salary in USD]])</f>
        <v>35000</v>
      </c>
    </row>
    <row r="366" spans="2:17" ht="15" customHeight="1" x14ac:dyDescent="0.25">
      <c r="B366" t="s">
        <v>2369</v>
      </c>
      <c r="C366" s="1">
        <v>41055.07671296296</v>
      </c>
      <c r="D366" s="4">
        <v>47500</v>
      </c>
      <c r="E366">
        <v>47500</v>
      </c>
      <c r="F366" t="s">
        <v>6</v>
      </c>
      <c r="G366">
        <f>tblSalaries[[#This Row],[clean Salary (in local currency)]]*VLOOKUP(tblSalaries[[#This Row],[Currency]],tblXrate[],2,FALSE)</f>
        <v>47500</v>
      </c>
      <c r="H366" t="s">
        <v>451</v>
      </c>
      <c r="I366" t="s">
        <v>52</v>
      </c>
      <c r="J366" t="s">
        <v>15</v>
      </c>
      <c r="K366" t="str">
        <f>VLOOKUP(tblSalaries[[#This Row],[Where do you work]],tblCountries[[Actual]:[Mapping]],2,FALSE)</f>
        <v>USA</v>
      </c>
      <c r="L366" t="s">
        <v>13</v>
      </c>
      <c r="N366" s="8" t="str">
        <f>VLOOKUP(K366,tblCountries[],3,0)</f>
        <v>North Amer.</v>
      </c>
      <c r="O366" s="8">
        <f>VLOOKUP(tblSalaries[[#This Row],[How many hours of a day you work on Excel]],tblHours,2,0)</f>
        <v>5</v>
      </c>
      <c r="P366" s="8">
        <f>VLOOKUP(tblSalaries[[#This Row],[clean Country]],tblCountries[],5,0)</f>
        <v>1</v>
      </c>
      <c r="Q366" s="8">
        <f>IF($Q$1,tblSalaries[[#This Row],[PPP Factor]]*tblSalaries[[#This Row],[Salary in USD]],tblSalaries[[#This Row],[Salary in USD]])</f>
        <v>47500</v>
      </c>
    </row>
    <row r="367" spans="2:17" ht="15" customHeight="1" x14ac:dyDescent="0.25">
      <c r="B367" t="s">
        <v>2370</v>
      </c>
      <c r="C367" s="1">
        <v>41055.076736111114</v>
      </c>
      <c r="D367" s="4">
        <v>130000</v>
      </c>
      <c r="E367">
        <v>130000</v>
      </c>
      <c r="F367" t="s">
        <v>6</v>
      </c>
      <c r="G367">
        <f>tblSalaries[[#This Row],[clean Salary (in local currency)]]*VLOOKUP(tblSalaries[[#This Row],[Currency]],tblXrate[],2,FALSE)</f>
        <v>130000</v>
      </c>
      <c r="H367" t="s">
        <v>201</v>
      </c>
      <c r="I367" t="s">
        <v>52</v>
      </c>
      <c r="J367" t="s">
        <v>15</v>
      </c>
      <c r="K367" t="str">
        <f>VLOOKUP(tblSalaries[[#This Row],[Where do you work]],tblCountries[[Actual]:[Mapping]],2,FALSE)</f>
        <v>USA</v>
      </c>
      <c r="L367" t="s">
        <v>18</v>
      </c>
      <c r="N367" s="8" t="str">
        <f>VLOOKUP(K367,tblCountries[],3,0)</f>
        <v>North Amer.</v>
      </c>
      <c r="O367" s="8">
        <f>VLOOKUP(tblSalaries[[#This Row],[How many hours of a day you work on Excel]],tblHours,2,0)</f>
        <v>3</v>
      </c>
      <c r="P367" s="8">
        <f>VLOOKUP(tblSalaries[[#This Row],[clean Country]],tblCountries[],5,0)</f>
        <v>1</v>
      </c>
      <c r="Q367" s="8">
        <f>IF($Q$1,tblSalaries[[#This Row],[PPP Factor]]*tblSalaries[[#This Row],[Salary in USD]],tblSalaries[[#This Row],[Salary in USD]])</f>
        <v>130000</v>
      </c>
    </row>
    <row r="368" spans="2:17" ht="15" customHeight="1" x14ac:dyDescent="0.25">
      <c r="B368" t="s">
        <v>2371</v>
      </c>
      <c r="C368" s="1">
        <v>41055.077037037037</v>
      </c>
      <c r="D368" s="4">
        <v>18000</v>
      </c>
      <c r="E368">
        <v>18000</v>
      </c>
      <c r="F368" t="s">
        <v>6</v>
      </c>
      <c r="G368">
        <f>tblSalaries[[#This Row],[clean Salary (in local currency)]]*VLOOKUP(tblSalaries[[#This Row],[Currency]],tblXrate[],2,FALSE)</f>
        <v>18000</v>
      </c>
      <c r="H368" t="s">
        <v>452</v>
      </c>
      <c r="I368" t="s">
        <v>4001</v>
      </c>
      <c r="J368" t="s">
        <v>8</v>
      </c>
      <c r="K368" t="str">
        <f>VLOOKUP(tblSalaries[[#This Row],[Where do you work]],tblCountries[[Actual]:[Mapping]],2,FALSE)</f>
        <v>India</v>
      </c>
      <c r="L368" t="s">
        <v>18</v>
      </c>
      <c r="N368" s="8" t="str">
        <f>VLOOKUP(K368,tblCountries[],3,0)</f>
        <v>Asia</v>
      </c>
      <c r="O368" s="8">
        <f>VLOOKUP(tblSalaries[[#This Row],[How many hours of a day you work on Excel]],tblHours,2,0)</f>
        <v>3</v>
      </c>
      <c r="P368" s="8">
        <f>VLOOKUP(tblSalaries[[#This Row],[clean Country]],tblCountries[],5,0)</f>
        <v>13.098808879263672</v>
      </c>
      <c r="Q368" s="8">
        <f>IF($Q$1,tblSalaries[[#This Row],[PPP Factor]]*tblSalaries[[#This Row],[Salary in USD]],tblSalaries[[#This Row],[Salary in USD]])</f>
        <v>18000</v>
      </c>
    </row>
    <row r="369" spans="2:17" ht="15" customHeight="1" x14ac:dyDescent="0.25">
      <c r="B369" t="s">
        <v>2372</v>
      </c>
      <c r="C369" s="1">
        <v>41055.07707175926</v>
      </c>
      <c r="D369" s="4" t="s">
        <v>453</v>
      </c>
      <c r="E369">
        <v>480000</v>
      </c>
      <c r="F369" t="s">
        <v>40</v>
      </c>
      <c r="G369">
        <f>tblSalaries[[#This Row],[clean Salary (in local currency)]]*VLOOKUP(tblSalaries[[#This Row],[Currency]],tblXrate[],2,FALSE)</f>
        <v>8547.8000099724322</v>
      </c>
      <c r="H369" t="s">
        <v>454</v>
      </c>
      <c r="I369" t="s">
        <v>52</v>
      </c>
      <c r="J369" t="s">
        <v>8</v>
      </c>
      <c r="K369" t="str">
        <f>VLOOKUP(tblSalaries[[#This Row],[Where do you work]],tblCountries[[Actual]:[Mapping]],2,FALSE)</f>
        <v>India</v>
      </c>
      <c r="L369" t="s">
        <v>25</v>
      </c>
      <c r="N369" s="8" t="str">
        <f>VLOOKUP(K369,tblCountries[],3,0)</f>
        <v>Asia</v>
      </c>
      <c r="O369" s="8">
        <f>VLOOKUP(tblSalaries[[#This Row],[How many hours of a day you work on Excel]],tblHours,2,0)</f>
        <v>2</v>
      </c>
      <c r="P369" s="8">
        <f>VLOOKUP(tblSalaries[[#This Row],[clean Country]],tblCountries[],5,0)</f>
        <v>13.098808879263672</v>
      </c>
      <c r="Q369" s="8">
        <f>IF($Q$1,tblSalaries[[#This Row],[PPP Factor]]*tblSalaries[[#This Row],[Salary in USD]],tblSalaries[[#This Row],[Salary in USD]])</f>
        <v>8547.8000099724322</v>
      </c>
    </row>
    <row r="370" spans="2:17" ht="15" customHeight="1" x14ac:dyDescent="0.25">
      <c r="B370" t="s">
        <v>2373</v>
      </c>
      <c r="C370" s="1">
        <v>41055.077361111114</v>
      </c>
      <c r="D370" s="4">
        <v>41932</v>
      </c>
      <c r="E370">
        <v>41932</v>
      </c>
      <c r="F370" t="s">
        <v>6</v>
      </c>
      <c r="G370">
        <f>tblSalaries[[#This Row],[clean Salary (in local currency)]]*VLOOKUP(tblSalaries[[#This Row],[Currency]],tblXrate[],2,FALSE)</f>
        <v>41932</v>
      </c>
      <c r="H370" t="s">
        <v>283</v>
      </c>
      <c r="I370" t="s">
        <v>52</v>
      </c>
      <c r="J370" t="s">
        <v>15</v>
      </c>
      <c r="K370" t="str">
        <f>VLOOKUP(tblSalaries[[#This Row],[Where do you work]],tblCountries[[Actual]:[Mapping]],2,FALSE)</f>
        <v>USA</v>
      </c>
      <c r="L370" t="s">
        <v>18</v>
      </c>
      <c r="N370" s="8" t="str">
        <f>VLOOKUP(K370,tblCountries[],3,0)</f>
        <v>North Amer.</v>
      </c>
      <c r="O370" s="8">
        <f>VLOOKUP(tblSalaries[[#This Row],[How many hours of a day you work on Excel]],tblHours,2,0)</f>
        <v>3</v>
      </c>
      <c r="P370" s="8">
        <f>VLOOKUP(tblSalaries[[#This Row],[clean Country]],tblCountries[],5,0)</f>
        <v>1</v>
      </c>
      <c r="Q370" s="8">
        <f>IF($Q$1,tblSalaries[[#This Row],[PPP Factor]]*tblSalaries[[#This Row],[Salary in USD]],tblSalaries[[#This Row],[Salary in USD]])</f>
        <v>41932</v>
      </c>
    </row>
    <row r="371" spans="2:17" ht="15" customHeight="1" x14ac:dyDescent="0.25">
      <c r="B371" t="s">
        <v>2374</v>
      </c>
      <c r="C371" s="1">
        <v>41055.077789351853</v>
      </c>
      <c r="D371" s="4" t="s">
        <v>455</v>
      </c>
      <c r="E371">
        <v>220700</v>
      </c>
      <c r="F371" t="s">
        <v>6</v>
      </c>
      <c r="G371">
        <f>tblSalaries[[#This Row],[clean Salary (in local currency)]]*VLOOKUP(tblSalaries[[#This Row],[Currency]],tblXrate[],2,FALSE)</f>
        <v>220700</v>
      </c>
      <c r="H371" t="s">
        <v>356</v>
      </c>
      <c r="I371" t="s">
        <v>356</v>
      </c>
      <c r="J371" t="s">
        <v>143</v>
      </c>
      <c r="K371" t="str">
        <f>VLOOKUP(tblSalaries[[#This Row],[Where do you work]],tblCountries[[Actual]:[Mapping]],2,FALSE)</f>
        <v>Brazil</v>
      </c>
      <c r="L371" t="s">
        <v>13</v>
      </c>
      <c r="N371" s="8" t="str">
        <f>VLOOKUP(K371,tblCountries[],3,0)</f>
        <v>South Amer.</v>
      </c>
      <c r="O371" s="8">
        <f>VLOOKUP(tblSalaries[[#This Row],[How many hours of a day you work on Excel]],tblHours,2,0)</f>
        <v>5</v>
      </c>
      <c r="P371" s="8">
        <f>VLOOKUP(tblSalaries[[#This Row],[clean Country]],tblCountries[],5,0)</f>
        <v>4.1113943410655107</v>
      </c>
      <c r="Q371" s="8">
        <f>IF($Q$1,tblSalaries[[#This Row],[PPP Factor]]*tblSalaries[[#This Row],[Salary in USD]],tblSalaries[[#This Row],[Salary in USD]])</f>
        <v>220700</v>
      </c>
    </row>
    <row r="372" spans="2:17" ht="15" customHeight="1" x14ac:dyDescent="0.25">
      <c r="B372" t="s">
        <v>2375</v>
      </c>
      <c r="C372" s="1">
        <v>41055.077824074076</v>
      </c>
      <c r="D372" s="4">
        <v>194000</v>
      </c>
      <c r="E372">
        <v>194000</v>
      </c>
      <c r="F372" t="s">
        <v>6</v>
      </c>
      <c r="G372">
        <f>tblSalaries[[#This Row],[clean Salary (in local currency)]]*VLOOKUP(tblSalaries[[#This Row],[Currency]],tblXrate[],2,FALSE)</f>
        <v>194000</v>
      </c>
      <c r="H372" t="s">
        <v>456</v>
      </c>
      <c r="I372" t="s">
        <v>4001</v>
      </c>
      <c r="J372" t="s">
        <v>15</v>
      </c>
      <c r="K372" t="str">
        <f>VLOOKUP(tblSalaries[[#This Row],[Where do you work]],tblCountries[[Actual]:[Mapping]],2,FALSE)</f>
        <v>USA</v>
      </c>
      <c r="L372" t="s">
        <v>18</v>
      </c>
      <c r="N372" s="8" t="str">
        <f>VLOOKUP(K372,tblCountries[],3,0)</f>
        <v>North Amer.</v>
      </c>
      <c r="O372" s="8">
        <f>VLOOKUP(tblSalaries[[#This Row],[How many hours of a day you work on Excel]],tblHours,2,0)</f>
        <v>3</v>
      </c>
      <c r="P372" s="8">
        <f>VLOOKUP(tblSalaries[[#This Row],[clean Country]],tblCountries[],5,0)</f>
        <v>1</v>
      </c>
      <c r="Q372" s="8">
        <f>IF($Q$1,tblSalaries[[#This Row],[PPP Factor]]*tblSalaries[[#This Row],[Salary in USD]],tblSalaries[[#This Row],[Salary in USD]])</f>
        <v>194000</v>
      </c>
    </row>
    <row r="373" spans="2:17" ht="15" customHeight="1" x14ac:dyDescent="0.25">
      <c r="B373" t="s">
        <v>2376</v>
      </c>
      <c r="C373" s="1">
        <v>41055.07949074074</v>
      </c>
      <c r="D373" s="4">
        <v>9000000</v>
      </c>
      <c r="E373">
        <v>9000000</v>
      </c>
      <c r="F373" t="s">
        <v>40</v>
      </c>
      <c r="G373">
        <f>tblSalaries[[#This Row],[clean Salary (in local currency)]]*VLOOKUP(tblSalaries[[#This Row],[Currency]],tblXrate[],2,FALSE)</f>
        <v>160271.25018698312</v>
      </c>
      <c r="H373" t="s">
        <v>14</v>
      </c>
      <c r="I373" t="s">
        <v>20</v>
      </c>
      <c r="J373" t="s">
        <v>8</v>
      </c>
      <c r="K373" t="str">
        <f>VLOOKUP(tblSalaries[[#This Row],[Where do you work]],tblCountries[[Actual]:[Mapping]],2,FALSE)</f>
        <v>India</v>
      </c>
      <c r="L373" t="s">
        <v>9</v>
      </c>
      <c r="N373" s="8" t="str">
        <f>VLOOKUP(K373,tblCountries[],3,0)</f>
        <v>Asia</v>
      </c>
      <c r="O373" s="8">
        <f>VLOOKUP(tblSalaries[[#This Row],[How many hours of a day you work on Excel]],tblHours,2,0)</f>
        <v>4</v>
      </c>
      <c r="P373" s="8">
        <f>VLOOKUP(tblSalaries[[#This Row],[clean Country]],tblCountries[],5,0)</f>
        <v>13.098808879263672</v>
      </c>
      <c r="Q373" s="8">
        <f>IF($Q$1,tblSalaries[[#This Row],[PPP Factor]]*tblSalaries[[#This Row],[Salary in USD]],tblSalaries[[#This Row],[Salary in USD]])</f>
        <v>160271.25018698312</v>
      </c>
    </row>
    <row r="374" spans="2:17" ht="15" customHeight="1" x14ac:dyDescent="0.25">
      <c r="B374" t="s">
        <v>2377</v>
      </c>
      <c r="C374" s="1">
        <v>41055.079710648148</v>
      </c>
      <c r="D374" s="4" t="s">
        <v>457</v>
      </c>
      <c r="E374">
        <v>500000</v>
      </c>
      <c r="F374" t="s">
        <v>40</v>
      </c>
      <c r="G374">
        <f>tblSalaries[[#This Row],[clean Salary (in local currency)]]*VLOOKUP(tblSalaries[[#This Row],[Currency]],tblXrate[],2,FALSE)</f>
        <v>8903.9583437212841</v>
      </c>
      <c r="H374" t="s">
        <v>458</v>
      </c>
      <c r="I374" t="s">
        <v>52</v>
      </c>
      <c r="J374" t="s">
        <v>8</v>
      </c>
      <c r="K374" t="str">
        <f>VLOOKUP(tblSalaries[[#This Row],[Where do you work]],tblCountries[[Actual]:[Mapping]],2,FALSE)</f>
        <v>India</v>
      </c>
      <c r="L374" t="s">
        <v>18</v>
      </c>
      <c r="N374" s="8" t="str">
        <f>VLOOKUP(K374,tblCountries[],3,0)</f>
        <v>Asia</v>
      </c>
      <c r="O374" s="8">
        <f>VLOOKUP(tblSalaries[[#This Row],[How many hours of a day you work on Excel]],tblHours,2,0)</f>
        <v>3</v>
      </c>
      <c r="P374" s="8">
        <f>VLOOKUP(tblSalaries[[#This Row],[clean Country]],tblCountries[],5,0)</f>
        <v>13.098808879263672</v>
      </c>
      <c r="Q374" s="8">
        <f>IF($Q$1,tblSalaries[[#This Row],[PPP Factor]]*tblSalaries[[#This Row],[Salary in USD]],tblSalaries[[#This Row],[Salary in USD]])</f>
        <v>8903.9583437212841</v>
      </c>
    </row>
    <row r="375" spans="2:17" ht="15" customHeight="1" x14ac:dyDescent="0.25">
      <c r="B375" t="s">
        <v>2378</v>
      </c>
      <c r="C375" s="1">
        <v>41055.081516203703</v>
      </c>
      <c r="D375" s="4">
        <v>80000</v>
      </c>
      <c r="E375">
        <v>80000</v>
      </c>
      <c r="F375" t="s">
        <v>86</v>
      </c>
      <c r="G375">
        <f>tblSalaries[[#This Row],[clean Salary (in local currency)]]*VLOOKUP(tblSalaries[[#This Row],[Currency]],tblXrate[],2,FALSE)</f>
        <v>78668.921842426149</v>
      </c>
      <c r="H375" t="s">
        <v>459</v>
      </c>
      <c r="I375" t="s">
        <v>20</v>
      </c>
      <c r="J375" t="s">
        <v>88</v>
      </c>
      <c r="K375" t="str">
        <f>VLOOKUP(tblSalaries[[#This Row],[Where do you work]],tblCountries[[Actual]:[Mapping]],2,FALSE)</f>
        <v>Canada</v>
      </c>
      <c r="L375" t="s">
        <v>9</v>
      </c>
      <c r="N375" s="8" t="str">
        <f>VLOOKUP(K375,tblCountries[],3,0)</f>
        <v>North Amer.</v>
      </c>
      <c r="O375" s="8">
        <f>VLOOKUP(tblSalaries[[#This Row],[How many hours of a day you work on Excel]],tblHours,2,0)</f>
        <v>4</v>
      </c>
      <c r="P375" s="8">
        <f>VLOOKUP(tblSalaries[[#This Row],[clean Country]],tblCountries[],5,0)</f>
        <v>1.1935324732986359</v>
      </c>
      <c r="Q375" s="8">
        <f>IF($Q$1,tblSalaries[[#This Row],[PPP Factor]]*tblSalaries[[#This Row],[Salary in USD]],tblSalaries[[#This Row],[Salary in USD]])</f>
        <v>78668.921842426149</v>
      </c>
    </row>
    <row r="376" spans="2:17" ht="15" customHeight="1" x14ac:dyDescent="0.25">
      <c r="B376" t="s">
        <v>2379</v>
      </c>
      <c r="C376" s="1">
        <v>41055.081712962965</v>
      </c>
      <c r="D376" s="4">
        <v>1500</v>
      </c>
      <c r="E376">
        <v>18000</v>
      </c>
      <c r="F376" t="s">
        <v>22</v>
      </c>
      <c r="G376">
        <f>tblSalaries[[#This Row],[clean Salary (in local currency)]]*VLOOKUP(tblSalaries[[#This Row],[Currency]],tblXrate[],2,FALSE)</f>
        <v>22867.189901848938</v>
      </c>
      <c r="H376" t="s">
        <v>460</v>
      </c>
      <c r="I376" t="s">
        <v>52</v>
      </c>
      <c r="J376" t="s">
        <v>30</v>
      </c>
      <c r="K376" t="str">
        <f>VLOOKUP(tblSalaries[[#This Row],[Where do you work]],tblCountries[[Actual]:[Mapping]],2,FALSE)</f>
        <v>Portugal</v>
      </c>
      <c r="L376" t="s">
        <v>18</v>
      </c>
      <c r="N376" s="8" t="str">
        <f>VLOOKUP(K376,tblCountries[],3,0)</f>
        <v>Europe</v>
      </c>
      <c r="O376" s="8">
        <f>VLOOKUP(tblSalaries[[#This Row],[How many hours of a day you work on Excel]],tblHours,2,0)</f>
        <v>3</v>
      </c>
      <c r="P376" s="8">
        <f>VLOOKUP(tblSalaries[[#This Row],[clean Country]],tblCountries[],5,0)</f>
        <v>2.0712726338769745</v>
      </c>
      <c r="Q376" s="8">
        <f>IF($Q$1,tblSalaries[[#This Row],[PPP Factor]]*tblSalaries[[#This Row],[Salary in USD]],tblSalaries[[#This Row],[Salary in USD]])</f>
        <v>22867.189901848938</v>
      </c>
    </row>
    <row r="377" spans="2:17" ht="15" customHeight="1" x14ac:dyDescent="0.25">
      <c r="B377" t="s">
        <v>2380</v>
      </c>
      <c r="C377" s="1">
        <v>41055.08216435185</v>
      </c>
      <c r="D377" s="4" t="s">
        <v>330</v>
      </c>
      <c r="E377">
        <v>60000</v>
      </c>
      <c r="F377" t="s">
        <v>69</v>
      </c>
      <c r="G377">
        <f>tblSalaries[[#This Row],[clean Salary (in local currency)]]*VLOOKUP(tblSalaries[[#This Row],[Currency]],tblXrate[],2,FALSE)</f>
        <v>94570.696324037053</v>
      </c>
      <c r="H377" t="s">
        <v>461</v>
      </c>
      <c r="I377" t="s">
        <v>4001</v>
      </c>
      <c r="J377" t="s">
        <v>71</v>
      </c>
      <c r="K377" t="str">
        <f>VLOOKUP(tblSalaries[[#This Row],[Where do you work]],tblCountries[[Actual]:[Mapping]],2,FALSE)</f>
        <v>UK</v>
      </c>
      <c r="L377" t="s">
        <v>18</v>
      </c>
      <c r="N377" s="8" t="str">
        <f>VLOOKUP(K377,tblCountries[],3,0)</f>
        <v>Europe</v>
      </c>
      <c r="O377" s="8">
        <f>VLOOKUP(tblSalaries[[#This Row],[How many hours of a day you work on Excel]],tblHours,2,0)</f>
        <v>3</v>
      </c>
      <c r="P377" s="8">
        <f>VLOOKUP(tblSalaries[[#This Row],[clean Country]],tblCountries[],5,0)</f>
        <v>1.3407315045719035</v>
      </c>
      <c r="Q377" s="8">
        <f>IF($Q$1,tblSalaries[[#This Row],[PPP Factor]]*tblSalaries[[#This Row],[Salary in USD]],tblSalaries[[#This Row],[Salary in USD]])</f>
        <v>94570.696324037053</v>
      </c>
    </row>
    <row r="378" spans="2:17" ht="15" customHeight="1" x14ac:dyDescent="0.25">
      <c r="B378" t="s">
        <v>2381</v>
      </c>
      <c r="C378" s="1">
        <v>41055.082430555558</v>
      </c>
      <c r="D378" s="4">
        <v>95000</v>
      </c>
      <c r="E378">
        <v>95000</v>
      </c>
      <c r="F378" t="s">
        <v>6</v>
      </c>
      <c r="G378">
        <f>tblSalaries[[#This Row],[clean Salary (in local currency)]]*VLOOKUP(tblSalaries[[#This Row],[Currency]],tblXrate[],2,FALSE)</f>
        <v>95000</v>
      </c>
      <c r="H378" t="s">
        <v>424</v>
      </c>
      <c r="I378" t="s">
        <v>20</v>
      </c>
      <c r="J378" t="s">
        <v>15</v>
      </c>
      <c r="K378" t="str">
        <f>VLOOKUP(tblSalaries[[#This Row],[Where do you work]],tblCountries[[Actual]:[Mapping]],2,FALSE)</f>
        <v>USA</v>
      </c>
      <c r="L378" t="s">
        <v>13</v>
      </c>
      <c r="N378" s="8" t="str">
        <f>VLOOKUP(K378,tblCountries[],3,0)</f>
        <v>North Amer.</v>
      </c>
      <c r="O378" s="8">
        <f>VLOOKUP(tblSalaries[[#This Row],[How many hours of a day you work on Excel]],tblHours,2,0)</f>
        <v>5</v>
      </c>
      <c r="P378" s="8">
        <f>VLOOKUP(tblSalaries[[#This Row],[clean Country]],tblCountries[],5,0)</f>
        <v>1</v>
      </c>
      <c r="Q378" s="8">
        <f>IF($Q$1,tblSalaries[[#This Row],[PPP Factor]]*tblSalaries[[#This Row],[Salary in USD]],tblSalaries[[#This Row],[Salary in USD]])</f>
        <v>95000</v>
      </c>
    </row>
    <row r="379" spans="2:17" ht="15" customHeight="1" x14ac:dyDescent="0.25">
      <c r="B379" t="s">
        <v>2382</v>
      </c>
      <c r="C379" s="1">
        <v>41055.082881944443</v>
      </c>
      <c r="D379" s="4" t="s">
        <v>462</v>
      </c>
      <c r="E379">
        <v>540000</v>
      </c>
      <c r="F379" t="s">
        <v>40</v>
      </c>
      <c r="G379">
        <f>tblSalaries[[#This Row],[clean Salary (in local currency)]]*VLOOKUP(tblSalaries[[#This Row],[Currency]],tblXrate[],2,FALSE)</f>
        <v>9616.275011218986</v>
      </c>
      <c r="H379" t="s">
        <v>463</v>
      </c>
      <c r="I379" t="s">
        <v>279</v>
      </c>
      <c r="J379" t="s">
        <v>8</v>
      </c>
      <c r="K379" t="str">
        <f>VLOOKUP(tblSalaries[[#This Row],[Where do you work]],tblCountries[[Actual]:[Mapping]],2,FALSE)</f>
        <v>India</v>
      </c>
      <c r="L379" t="s">
        <v>9</v>
      </c>
      <c r="N379" s="8" t="str">
        <f>VLOOKUP(K379,tblCountries[],3,0)</f>
        <v>Asia</v>
      </c>
      <c r="O379" s="8">
        <f>VLOOKUP(tblSalaries[[#This Row],[How many hours of a day you work on Excel]],tblHours,2,0)</f>
        <v>4</v>
      </c>
      <c r="P379" s="8">
        <f>VLOOKUP(tblSalaries[[#This Row],[clean Country]],tblCountries[],5,0)</f>
        <v>13.098808879263672</v>
      </c>
      <c r="Q379" s="8">
        <f>IF($Q$1,tblSalaries[[#This Row],[PPP Factor]]*tblSalaries[[#This Row],[Salary in USD]],tblSalaries[[#This Row],[Salary in USD]])</f>
        <v>9616.275011218986</v>
      </c>
    </row>
    <row r="380" spans="2:17" ht="15" customHeight="1" x14ac:dyDescent="0.25">
      <c r="B380" t="s">
        <v>2383</v>
      </c>
      <c r="C380" s="1">
        <v>41055.083101851851</v>
      </c>
      <c r="D380" s="4">
        <v>48000</v>
      </c>
      <c r="E380">
        <v>48000</v>
      </c>
      <c r="F380" t="s">
        <v>6</v>
      </c>
      <c r="G380">
        <f>tblSalaries[[#This Row],[clean Salary (in local currency)]]*VLOOKUP(tblSalaries[[#This Row],[Currency]],tblXrate[],2,FALSE)</f>
        <v>48000</v>
      </c>
      <c r="H380" t="s">
        <v>464</v>
      </c>
      <c r="I380" t="s">
        <v>20</v>
      </c>
      <c r="J380" t="s">
        <v>15</v>
      </c>
      <c r="K380" t="str">
        <f>VLOOKUP(tblSalaries[[#This Row],[Where do you work]],tblCountries[[Actual]:[Mapping]],2,FALSE)</f>
        <v>USA</v>
      </c>
      <c r="L380" t="s">
        <v>25</v>
      </c>
      <c r="N380" s="8" t="str">
        <f>VLOOKUP(K380,tblCountries[],3,0)</f>
        <v>North Amer.</v>
      </c>
      <c r="O380" s="8">
        <f>VLOOKUP(tblSalaries[[#This Row],[How many hours of a day you work on Excel]],tblHours,2,0)</f>
        <v>2</v>
      </c>
      <c r="P380" s="8">
        <f>VLOOKUP(tblSalaries[[#This Row],[clean Country]],tblCountries[],5,0)</f>
        <v>1</v>
      </c>
      <c r="Q380" s="8">
        <f>IF($Q$1,tblSalaries[[#This Row],[PPP Factor]]*tblSalaries[[#This Row],[Salary in USD]],tblSalaries[[#This Row],[Salary in USD]])</f>
        <v>48000</v>
      </c>
    </row>
    <row r="381" spans="2:17" ht="15" customHeight="1" x14ac:dyDescent="0.25">
      <c r="B381" t="s">
        <v>2384</v>
      </c>
      <c r="C381" s="1">
        <v>41055.08315972222</v>
      </c>
      <c r="D381" s="4" t="s">
        <v>465</v>
      </c>
      <c r="E381">
        <v>46000</v>
      </c>
      <c r="F381" t="s">
        <v>6</v>
      </c>
      <c r="G381">
        <f>tblSalaries[[#This Row],[clean Salary (in local currency)]]*VLOOKUP(tblSalaries[[#This Row],[Currency]],tblXrate[],2,FALSE)</f>
        <v>46000</v>
      </c>
      <c r="H381" t="s">
        <v>466</v>
      </c>
      <c r="I381" t="s">
        <v>20</v>
      </c>
      <c r="J381" t="s">
        <v>15</v>
      </c>
      <c r="K381" t="str">
        <f>VLOOKUP(tblSalaries[[#This Row],[Where do you work]],tblCountries[[Actual]:[Mapping]],2,FALSE)</f>
        <v>USA</v>
      </c>
      <c r="L381" t="s">
        <v>9</v>
      </c>
      <c r="N381" s="8" t="str">
        <f>VLOOKUP(K381,tblCountries[],3,0)</f>
        <v>North Amer.</v>
      </c>
      <c r="O381" s="8">
        <f>VLOOKUP(tblSalaries[[#This Row],[How many hours of a day you work on Excel]],tblHours,2,0)</f>
        <v>4</v>
      </c>
      <c r="P381" s="8">
        <f>VLOOKUP(tblSalaries[[#This Row],[clean Country]],tblCountries[],5,0)</f>
        <v>1</v>
      </c>
      <c r="Q381" s="8">
        <f>IF($Q$1,tblSalaries[[#This Row],[PPP Factor]]*tblSalaries[[#This Row],[Salary in USD]],tblSalaries[[#This Row],[Salary in USD]])</f>
        <v>46000</v>
      </c>
    </row>
    <row r="382" spans="2:17" ht="15" customHeight="1" x14ac:dyDescent="0.25">
      <c r="B382" t="s">
        <v>2385</v>
      </c>
      <c r="C382" s="1">
        <v>41055.083194444444</v>
      </c>
      <c r="D382" s="4">
        <v>15000</v>
      </c>
      <c r="E382">
        <v>15000</v>
      </c>
      <c r="F382" t="s">
        <v>6</v>
      </c>
      <c r="G382">
        <f>tblSalaries[[#This Row],[clean Salary (in local currency)]]*VLOOKUP(tblSalaries[[#This Row],[Currency]],tblXrate[],2,FALSE)</f>
        <v>15000</v>
      </c>
      <c r="H382" t="s">
        <v>467</v>
      </c>
      <c r="I382" t="s">
        <v>3999</v>
      </c>
      <c r="J382" t="s">
        <v>27</v>
      </c>
      <c r="K382" t="str">
        <f>VLOOKUP(tblSalaries[[#This Row],[Where do you work]],tblCountries[[Actual]:[Mapping]],2,FALSE)</f>
        <v>Ukraine</v>
      </c>
      <c r="L382" t="s">
        <v>18</v>
      </c>
      <c r="N382" s="8" t="str">
        <f>VLOOKUP(K382,tblCountries[],3,0)</f>
        <v>Europe</v>
      </c>
      <c r="O382" s="8">
        <f>VLOOKUP(tblSalaries[[#This Row],[How many hours of a day you work on Excel]],tblHours,2,0)</f>
        <v>3</v>
      </c>
      <c r="P382" s="8">
        <f>VLOOKUP(tblSalaries[[#This Row],[clean Country]],tblCountries[],5,0)</f>
        <v>6.6897552882621323</v>
      </c>
      <c r="Q382" s="8">
        <f>IF($Q$1,tblSalaries[[#This Row],[PPP Factor]]*tblSalaries[[#This Row],[Salary in USD]],tblSalaries[[#This Row],[Salary in USD]])</f>
        <v>15000</v>
      </c>
    </row>
    <row r="383" spans="2:17" ht="15" customHeight="1" x14ac:dyDescent="0.25">
      <c r="B383" t="s">
        <v>2386</v>
      </c>
      <c r="C383" s="1">
        <v>41055.083379629628</v>
      </c>
      <c r="D383" s="4" t="s">
        <v>468</v>
      </c>
      <c r="E383">
        <v>620000</v>
      </c>
      <c r="F383" t="s">
        <v>40</v>
      </c>
      <c r="G383">
        <f>tblSalaries[[#This Row],[clean Salary (in local currency)]]*VLOOKUP(tblSalaries[[#This Row],[Currency]],tblXrate[],2,FALSE)</f>
        <v>11040.908346214392</v>
      </c>
      <c r="H383" t="s">
        <v>469</v>
      </c>
      <c r="I383" t="s">
        <v>52</v>
      </c>
      <c r="J383" t="s">
        <v>8</v>
      </c>
      <c r="K383" t="str">
        <f>VLOOKUP(tblSalaries[[#This Row],[Where do you work]],tblCountries[[Actual]:[Mapping]],2,FALSE)</f>
        <v>India</v>
      </c>
      <c r="L383" t="s">
        <v>25</v>
      </c>
      <c r="N383" s="8" t="str">
        <f>VLOOKUP(K383,tblCountries[],3,0)</f>
        <v>Asia</v>
      </c>
      <c r="O383" s="8">
        <f>VLOOKUP(tblSalaries[[#This Row],[How many hours of a day you work on Excel]],tblHours,2,0)</f>
        <v>2</v>
      </c>
      <c r="P383" s="8">
        <f>VLOOKUP(tblSalaries[[#This Row],[clean Country]],tblCountries[],5,0)</f>
        <v>13.098808879263672</v>
      </c>
      <c r="Q383" s="8">
        <f>IF($Q$1,tblSalaries[[#This Row],[PPP Factor]]*tblSalaries[[#This Row],[Salary in USD]],tblSalaries[[#This Row],[Salary in USD]])</f>
        <v>11040.908346214392</v>
      </c>
    </row>
    <row r="384" spans="2:17" ht="15" customHeight="1" x14ac:dyDescent="0.25">
      <c r="B384" t="s">
        <v>2387</v>
      </c>
      <c r="C384" s="1">
        <v>41055.083449074074</v>
      </c>
      <c r="D384" s="4" t="s">
        <v>470</v>
      </c>
      <c r="E384">
        <v>28000</v>
      </c>
      <c r="F384" t="s">
        <v>69</v>
      </c>
      <c r="G384">
        <f>tblSalaries[[#This Row],[clean Salary (in local currency)]]*VLOOKUP(tblSalaries[[#This Row],[Currency]],tblXrate[],2,FALSE)</f>
        <v>44132.991617883956</v>
      </c>
      <c r="H384" t="s">
        <v>471</v>
      </c>
      <c r="I384" t="s">
        <v>52</v>
      </c>
      <c r="J384" t="s">
        <v>71</v>
      </c>
      <c r="K384" t="str">
        <f>VLOOKUP(tblSalaries[[#This Row],[Where do you work]],tblCountries[[Actual]:[Mapping]],2,FALSE)</f>
        <v>UK</v>
      </c>
      <c r="L384" t="s">
        <v>18</v>
      </c>
      <c r="N384" s="8" t="str">
        <f>VLOOKUP(K384,tblCountries[],3,0)</f>
        <v>Europe</v>
      </c>
      <c r="O384" s="8">
        <f>VLOOKUP(tblSalaries[[#This Row],[How many hours of a day you work on Excel]],tblHours,2,0)</f>
        <v>3</v>
      </c>
      <c r="P384" s="8">
        <f>VLOOKUP(tblSalaries[[#This Row],[clean Country]],tblCountries[],5,0)</f>
        <v>1.3407315045719035</v>
      </c>
      <c r="Q384" s="8">
        <f>IF($Q$1,tblSalaries[[#This Row],[PPP Factor]]*tblSalaries[[#This Row],[Salary in USD]],tblSalaries[[#This Row],[Salary in USD]])</f>
        <v>44132.991617883956</v>
      </c>
    </row>
    <row r="385" spans="2:17" ht="15" customHeight="1" x14ac:dyDescent="0.25">
      <c r="B385" t="s">
        <v>2388</v>
      </c>
      <c r="C385" s="1">
        <v>41055.083495370367</v>
      </c>
      <c r="D385" s="4">
        <v>47000</v>
      </c>
      <c r="E385">
        <v>47000</v>
      </c>
      <c r="F385" t="s">
        <v>6</v>
      </c>
      <c r="G385">
        <f>tblSalaries[[#This Row],[clean Salary (in local currency)]]*VLOOKUP(tblSalaries[[#This Row],[Currency]],tblXrate[],2,FALSE)</f>
        <v>47000</v>
      </c>
      <c r="H385" t="s">
        <v>472</v>
      </c>
      <c r="I385" t="s">
        <v>52</v>
      </c>
      <c r="J385" t="s">
        <v>15</v>
      </c>
      <c r="K385" t="str">
        <f>VLOOKUP(tblSalaries[[#This Row],[Where do you work]],tblCountries[[Actual]:[Mapping]],2,FALSE)</f>
        <v>USA</v>
      </c>
      <c r="L385" t="s">
        <v>18</v>
      </c>
      <c r="N385" s="8" t="str">
        <f>VLOOKUP(K385,tblCountries[],3,0)</f>
        <v>North Amer.</v>
      </c>
      <c r="O385" s="8">
        <f>VLOOKUP(tblSalaries[[#This Row],[How many hours of a day you work on Excel]],tblHours,2,0)</f>
        <v>3</v>
      </c>
      <c r="P385" s="8">
        <f>VLOOKUP(tblSalaries[[#This Row],[clean Country]],tblCountries[],5,0)</f>
        <v>1</v>
      </c>
      <c r="Q385" s="8">
        <f>IF($Q$1,tblSalaries[[#This Row],[PPP Factor]]*tblSalaries[[#This Row],[Salary in USD]],tblSalaries[[#This Row],[Salary in USD]])</f>
        <v>47000</v>
      </c>
    </row>
    <row r="386" spans="2:17" ht="15" customHeight="1" x14ac:dyDescent="0.25">
      <c r="B386" t="s">
        <v>2389</v>
      </c>
      <c r="C386" s="1">
        <v>41055.083819444444</v>
      </c>
      <c r="D386" s="4">
        <v>44000</v>
      </c>
      <c r="E386">
        <v>44000</v>
      </c>
      <c r="F386" t="s">
        <v>6</v>
      </c>
      <c r="G386">
        <f>tblSalaries[[#This Row],[clean Salary (in local currency)]]*VLOOKUP(tblSalaries[[#This Row],[Currency]],tblXrate[],2,FALSE)</f>
        <v>44000</v>
      </c>
      <c r="H386" t="s">
        <v>473</v>
      </c>
      <c r="I386" t="s">
        <v>20</v>
      </c>
      <c r="J386" t="s">
        <v>15</v>
      </c>
      <c r="K386" t="str">
        <f>VLOOKUP(tblSalaries[[#This Row],[Where do you work]],tblCountries[[Actual]:[Mapping]],2,FALSE)</f>
        <v>USA</v>
      </c>
      <c r="L386" t="s">
        <v>18</v>
      </c>
      <c r="N386" s="8" t="str">
        <f>VLOOKUP(K386,tblCountries[],3,0)</f>
        <v>North Amer.</v>
      </c>
      <c r="O386" s="8">
        <f>VLOOKUP(tblSalaries[[#This Row],[How many hours of a day you work on Excel]],tblHours,2,0)</f>
        <v>3</v>
      </c>
      <c r="P386" s="8">
        <f>VLOOKUP(tblSalaries[[#This Row],[clean Country]],tblCountries[],5,0)</f>
        <v>1</v>
      </c>
      <c r="Q386" s="8">
        <f>IF($Q$1,tblSalaries[[#This Row],[PPP Factor]]*tblSalaries[[#This Row],[Salary in USD]],tblSalaries[[#This Row],[Salary in USD]])</f>
        <v>44000</v>
      </c>
    </row>
    <row r="387" spans="2:17" ht="15" customHeight="1" x14ac:dyDescent="0.25">
      <c r="B387" t="s">
        <v>2390</v>
      </c>
      <c r="C387" s="1">
        <v>41055.083865740744</v>
      </c>
      <c r="D387" s="4">
        <v>55000</v>
      </c>
      <c r="E387">
        <v>55000</v>
      </c>
      <c r="F387" t="s">
        <v>6</v>
      </c>
      <c r="G387">
        <f>tblSalaries[[#This Row],[clean Salary (in local currency)]]*VLOOKUP(tblSalaries[[#This Row],[Currency]],tblXrate[],2,FALSE)</f>
        <v>55000</v>
      </c>
      <c r="H387" t="s">
        <v>310</v>
      </c>
      <c r="I387" t="s">
        <v>310</v>
      </c>
      <c r="J387" t="s">
        <v>15</v>
      </c>
      <c r="K387" t="str">
        <f>VLOOKUP(tblSalaries[[#This Row],[Where do you work]],tblCountries[[Actual]:[Mapping]],2,FALSE)</f>
        <v>USA</v>
      </c>
      <c r="L387" t="s">
        <v>9</v>
      </c>
      <c r="N387" s="8" t="str">
        <f>VLOOKUP(K387,tblCountries[],3,0)</f>
        <v>North Amer.</v>
      </c>
      <c r="O387" s="8">
        <f>VLOOKUP(tblSalaries[[#This Row],[How many hours of a day you work on Excel]],tblHours,2,0)</f>
        <v>4</v>
      </c>
      <c r="P387" s="8">
        <f>VLOOKUP(tblSalaries[[#This Row],[clean Country]],tblCountries[],5,0)</f>
        <v>1</v>
      </c>
      <c r="Q387" s="8">
        <f>IF($Q$1,tblSalaries[[#This Row],[PPP Factor]]*tblSalaries[[#This Row],[Salary in USD]],tblSalaries[[#This Row],[Salary in USD]])</f>
        <v>55000</v>
      </c>
    </row>
    <row r="388" spans="2:17" ht="15" customHeight="1" x14ac:dyDescent="0.25">
      <c r="B388" t="s">
        <v>2391</v>
      </c>
      <c r="C388" s="1">
        <v>41055.083958333336</v>
      </c>
      <c r="D388" s="4">
        <v>12000</v>
      </c>
      <c r="E388">
        <v>12000</v>
      </c>
      <c r="F388" t="s">
        <v>6</v>
      </c>
      <c r="G388">
        <f>tblSalaries[[#This Row],[clean Salary (in local currency)]]*VLOOKUP(tblSalaries[[#This Row],[Currency]],tblXrate[],2,FALSE)</f>
        <v>12000</v>
      </c>
      <c r="H388" t="s">
        <v>474</v>
      </c>
      <c r="I388" t="s">
        <v>3999</v>
      </c>
      <c r="J388" t="s">
        <v>48</v>
      </c>
      <c r="K388" t="str">
        <f>VLOOKUP(tblSalaries[[#This Row],[Where do you work]],tblCountries[[Actual]:[Mapping]],2,FALSE)</f>
        <v>South Africa</v>
      </c>
      <c r="L388" t="s">
        <v>9</v>
      </c>
      <c r="N388" s="8" t="str">
        <f>VLOOKUP(K388,tblCountries[],3,0)</f>
        <v>Africa</v>
      </c>
      <c r="O388" s="8">
        <f>VLOOKUP(tblSalaries[[#This Row],[How many hours of a day you work on Excel]],tblHours,2,0)</f>
        <v>4</v>
      </c>
      <c r="P388" s="8">
        <f>VLOOKUP(tblSalaries[[#This Row],[clean Country]],tblCountries[],5,0)</f>
        <v>4.4096418481727877</v>
      </c>
      <c r="Q388" s="8">
        <f>IF($Q$1,tblSalaries[[#This Row],[PPP Factor]]*tblSalaries[[#This Row],[Salary in USD]],tblSalaries[[#This Row],[Salary in USD]])</f>
        <v>12000</v>
      </c>
    </row>
    <row r="389" spans="2:17" ht="15" customHeight="1" x14ac:dyDescent="0.25">
      <c r="B389" t="s">
        <v>2392</v>
      </c>
      <c r="C389" s="1">
        <v>41055.084108796298</v>
      </c>
      <c r="D389" s="4">
        <v>50000</v>
      </c>
      <c r="E389">
        <v>50000</v>
      </c>
      <c r="F389" t="s">
        <v>6</v>
      </c>
      <c r="G389">
        <f>tblSalaries[[#This Row],[clean Salary (in local currency)]]*VLOOKUP(tblSalaries[[#This Row],[Currency]],tblXrate[],2,FALSE)</f>
        <v>50000</v>
      </c>
      <c r="H389" t="s">
        <v>475</v>
      </c>
      <c r="I389" t="s">
        <v>52</v>
      </c>
      <c r="J389" t="s">
        <v>15</v>
      </c>
      <c r="K389" t="str">
        <f>VLOOKUP(tblSalaries[[#This Row],[Where do you work]],tblCountries[[Actual]:[Mapping]],2,FALSE)</f>
        <v>USA</v>
      </c>
      <c r="L389" t="s">
        <v>18</v>
      </c>
      <c r="N389" s="8" t="str">
        <f>VLOOKUP(K389,tblCountries[],3,0)</f>
        <v>North Amer.</v>
      </c>
      <c r="O389" s="8">
        <f>VLOOKUP(tblSalaries[[#This Row],[How many hours of a day you work on Excel]],tblHours,2,0)</f>
        <v>3</v>
      </c>
      <c r="P389" s="8">
        <f>VLOOKUP(tblSalaries[[#This Row],[clean Country]],tblCountries[],5,0)</f>
        <v>1</v>
      </c>
      <c r="Q389" s="8">
        <f>IF($Q$1,tblSalaries[[#This Row],[PPP Factor]]*tblSalaries[[#This Row],[Salary in USD]],tblSalaries[[#This Row],[Salary in USD]])</f>
        <v>50000</v>
      </c>
    </row>
    <row r="390" spans="2:17" ht="15" customHeight="1" x14ac:dyDescent="0.25">
      <c r="B390" t="s">
        <v>2393</v>
      </c>
      <c r="C390" s="1">
        <v>41055.084386574075</v>
      </c>
      <c r="D390" s="4" t="s">
        <v>476</v>
      </c>
      <c r="E390">
        <v>750000</v>
      </c>
      <c r="F390" t="s">
        <v>40</v>
      </c>
      <c r="G390">
        <f>tblSalaries[[#This Row],[clean Salary (in local currency)]]*VLOOKUP(tblSalaries[[#This Row],[Currency]],tblXrate[],2,FALSE)</f>
        <v>13355.937515581925</v>
      </c>
      <c r="H390" t="s">
        <v>207</v>
      </c>
      <c r="I390" t="s">
        <v>20</v>
      </c>
      <c r="J390" t="s">
        <v>8</v>
      </c>
      <c r="K390" t="str">
        <f>VLOOKUP(tblSalaries[[#This Row],[Where do you work]],tblCountries[[Actual]:[Mapping]],2,FALSE)</f>
        <v>India</v>
      </c>
      <c r="L390" t="s">
        <v>25</v>
      </c>
      <c r="N390" s="8" t="str">
        <f>VLOOKUP(K390,tblCountries[],3,0)</f>
        <v>Asia</v>
      </c>
      <c r="O390" s="8">
        <f>VLOOKUP(tblSalaries[[#This Row],[How many hours of a day you work on Excel]],tblHours,2,0)</f>
        <v>2</v>
      </c>
      <c r="P390" s="8">
        <f>VLOOKUP(tblSalaries[[#This Row],[clean Country]],tblCountries[],5,0)</f>
        <v>13.098808879263672</v>
      </c>
      <c r="Q390" s="8">
        <f>IF($Q$1,tblSalaries[[#This Row],[PPP Factor]]*tblSalaries[[#This Row],[Salary in USD]],tblSalaries[[#This Row],[Salary in USD]])</f>
        <v>13355.937515581925</v>
      </c>
    </row>
    <row r="391" spans="2:17" ht="15" customHeight="1" x14ac:dyDescent="0.25">
      <c r="B391" t="s">
        <v>2394</v>
      </c>
      <c r="C391" s="1">
        <v>41055.084745370368</v>
      </c>
      <c r="D391" s="4" t="s">
        <v>477</v>
      </c>
      <c r="E391">
        <v>99147</v>
      </c>
      <c r="F391" t="s">
        <v>6</v>
      </c>
      <c r="G391">
        <f>tblSalaries[[#This Row],[clean Salary (in local currency)]]*VLOOKUP(tblSalaries[[#This Row],[Currency]],tblXrate[],2,FALSE)</f>
        <v>99147</v>
      </c>
      <c r="H391" t="s">
        <v>478</v>
      </c>
      <c r="I391" t="s">
        <v>67</v>
      </c>
      <c r="J391" t="s">
        <v>65</v>
      </c>
      <c r="K391" t="str">
        <f>VLOOKUP(tblSalaries[[#This Row],[Where do you work]],tblCountries[[Actual]:[Mapping]],2,FALSE)</f>
        <v>Russia</v>
      </c>
      <c r="L391" t="s">
        <v>9</v>
      </c>
      <c r="N391" s="8" t="str">
        <f>VLOOKUP(K391,tblCountries[],3,0)</f>
        <v>Asia</v>
      </c>
      <c r="O391" s="8">
        <f>VLOOKUP(tblSalaries[[#This Row],[How many hours of a day you work on Excel]],tblHours,2,0)</f>
        <v>4</v>
      </c>
      <c r="P391" s="8">
        <f>VLOOKUP(tblSalaries[[#This Row],[clean Country]],tblCountries[],5,0)</f>
        <v>2.8911926386233269</v>
      </c>
      <c r="Q391" s="8">
        <f>IF($Q$1,tblSalaries[[#This Row],[PPP Factor]]*tblSalaries[[#This Row],[Salary in USD]],tblSalaries[[#This Row],[Salary in USD]])</f>
        <v>99147</v>
      </c>
    </row>
    <row r="392" spans="2:17" ht="15" customHeight="1" x14ac:dyDescent="0.25">
      <c r="B392" t="s">
        <v>2395</v>
      </c>
      <c r="C392" s="1">
        <v>41055.085821759261</v>
      </c>
      <c r="D392" s="4">
        <v>45880</v>
      </c>
      <c r="E392">
        <v>45880</v>
      </c>
      <c r="F392" t="s">
        <v>6</v>
      </c>
      <c r="G392">
        <f>tblSalaries[[#This Row],[clean Salary (in local currency)]]*VLOOKUP(tblSalaries[[#This Row],[Currency]],tblXrate[],2,FALSE)</f>
        <v>45880</v>
      </c>
      <c r="H392" t="s">
        <v>479</v>
      </c>
      <c r="I392" t="s">
        <v>52</v>
      </c>
      <c r="J392" t="s">
        <v>15</v>
      </c>
      <c r="K392" t="str">
        <f>VLOOKUP(tblSalaries[[#This Row],[Where do you work]],tblCountries[[Actual]:[Mapping]],2,FALSE)</f>
        <v>USA</v>
      </c>
      <c r="L392" t="s">
        <v>13</v>
      </c>
      <c r="N392" s="8" t="str">
        <f>VLOOKUP(K392,tblCountries[],3,0)</f>
        <v>North Amer.</v>
      </c>
      <c r="O392" s="8">
        <f>VLOOKUP(tblSalaries[[#This Row],[How many hours of a day you work on Excel]],tblHours,2,0)</f>
        <v>5</v>
      </c>
      <c r="P392" s="8">
        <f>VLOOKUP(tblSalaries[[#This Row],[clean Country]],tblCountries[],5,0)</f>
        <v>1</v>
      </c>
      <c r="Q392" s="8">
        <f>IF($Q$1,tblSalaries[[#This Row],[PPP Factor]]*tblSalaries[[#This Row],[Salary in USD]],tblSalaries[[#This Row],[Salary in USD]])</f>
        <v>45880</v>
      </c>
    </row>
    <row r="393" spans="2:17" ht="15" customHeight="1" x14ac:dyDescent="0.25">
      <c r="B393" t="s">
        <v>2396</v>
      </c>
      <c r="C393" s="1">
        <v>41055.0859375</v>
      </c>
      <c r="D393" s="4">
        <v>70000</v>
      </c>
      <c r="E393">
        <v>70000</v>
      </c>
      <c r="F393" t="s">
        <v>6</v>
      </c>
      <c r="G393">
        <f>tblSalaries[[#This Row],[clean Salary (in local currency)]]*VLOOKUP(tblSalaries[[#This Row],[Currency]],tblXrate[],2,FALSE)</f>
        <v>70000</v>
      </c>
      <c r="H393" t="s">
        <v>480</v>
      </c>
      <c r="I393" t="s">
        <v>52</v>
      </c>
      <c r="J393" t="s">
        <v>15</v>
      </c>
      <c r="K393" t="str">
        <f>VLOOKUP(tblSalaries[[#This Row],[Where do you work]],tblCountries[[Actual]:[Mapping]],2,FALSE)</f>
        <v>USA</v>
      </c>
      <c r="L393" t="s">
        <v>9</v>
      </c>
      <c r="N393" s="8" t="str">
        <f>VLOOKUP(K393,tblCountries[],3,0)</f>
        <v>North Amer.</v>
      </c>
      <c r="O393" s="8">
        <f>VLOOKUP(tblSalaries[[#This Row],[How many hours of a day you work on Excel]],tblHours,2,0)</f>
        <v>4</v>
      </c>
      <c r="P393" s="8">
        <f>VLOOKUP(tblSalaries[[#This Row],[clean Country]],tblCountries[],5,0)</f>
        <v>1</v>
      </c>
      <c r="Q393" s="8">
        <f>IF($Q$1,tblSalaries[[#This Row],[PPP Factor]]*tblSalaries[[#This Row],[Salary in USD]],tblSalaries[[#This Row],[Salary in USD]])</f>
        <v>70000</v>
      </c>
    </row>
    <row r="394" spans="2:17" ht="15" customHeight="1" x14ac:dyDescent="0.25">
      <c r="B394" t="s">
        <v>2397</v>
      </c>
      <c r="C394" s="1">
        <v>41055.086122685185</v>
      </c>
      <c r="D394" s="4">
        <v>100000</v>
      </c>
      <c r="E394">
        <v>100000</v>
      </c>
      <c r="F394" t="s">
        <v>6</v>
      </c>
      <c r="G394">
        <f>tblSalaries[[#This Row],[clean Salary (in local currency)]]*VLOOKUP(tblSalaries[[#This Row],[Currency]],tblXrate[],2,FALSE)</f>
        <v>100000</v>
      </c>
      <c r="H394" t="s">
        <v>481</v>
      </c>
      <c r="I394" t="s">
        <v>20</v>
      </c>
      <c r="J394" t="s">
        <v>15</v>
      </c>
      <c r="K394" t="str">
        <f>VLOOKUP(tblSalaries[[#This Row],[Where do you work]],tblCountries[[Actual]:[Mapping]],2,FALSE)</f>
        <v>USA</v>
      </c>
      <c r="L394" t="s">
        <v>13</v>
      </c>
      <c r="N394" s="8" t="str">
        <f>VLOOKUP(K394,tblCountries[],3,0)</f>
        <v>North Amer.</v>
      </c>
      <c r="O394" s="8">
        <f>VLOOKUP(tblSalaries[[#This Row],[How many hours of a day you work on Excel]],tblHours,2,0)</f>
        <v>5</v>
      </c>
      <c r="P394" s="8">
        <f>VLOOKUP(tblSalaries[[#This Row],[clean Country]],tblCountries[],5,0)</f>
        <v>1</v>
      </c>
      <c r="Q394" s="8">
        <f>IF($Q$1,tblSalaries[[#This Row],[PPP Factor]]*tblSalaries[[#This Row],[Salary in USD]],tblSalaries[[#This Row],[Salary in USD]])</f>
        <v>100000</v>
      </c>
    </row>
    <row r="395" spans="2:17" ht="15" customHeight="1" x14ac:dyDescent="0.25">
      <c r="B395" t="s">
        <v>2398</v>
      </c>
      <c r="C395" s="1">
        <v>41055.086168981485</v>
      </c>
      <c r="D395" s="4" t="s">
        <v>482</v>
      </c>
      <c r="E395">
        <v>1440000</v>
      </c>
      <c r="F395" t="s">
        <v>483</v>
      </c>
      <c r="G395">
        <f>tblSalaries[[#This Row],[clean Salary (in local currency)]]*VLOOKUP(tblSalaries[[#This Row],[Currency]],tblXrate[],2,FALSE)</f>
        <v>17598.017290051986</v>
      </c>
      <c r="H395" t="s">
        <v>484</v>
      </c>
      <c r="I395" t="s">
        <v>20</v>
      </c>
      <c r="J395" t="s">
        <v>425</v>
      </c>
      <c r="K395" t="str">
        <f>VLOOKUP(tblSalaries[[#This Row],[Where do you work]],tblCountries[[Actual]:[Mapping]],2,FALSE)</f>
        <v>Bangladesh</v>
      </c>
      <c r="L395" t="s">
        <v>18</v>
      </c>
      <c r="N395" s="8" t="str">
        <f>VLOOKUP(K395,tblCountries[],3,0)</f>
        <v>Asia</v>
      </c>
      <c r="O395" s="8">
        <f>VLOOKUP(tblSalaries[[#This Row],[How many hours of a day you work on Excel]],tblHours,2,0)</f>
        <v>3</v>
      </c>
      <c r="P395" s="8">
        <f>VLOOKUP(tblSalaries[[#This Row],[clean Country]],tblCountries[],5,0)</f>
        <v>28.580626107501477</v>
      </c>
      <c r="Q395" s="8">
        <f>IF($Q$1,tblSalaries[[#This Row],[PPP Factor]]*tblSalaries[[#This Row],[Salary in USD]],tblSalaries[[#This Row],[Salary in USD]])</f>
        <v>17598.017290051986</v>
      </c>
    </row>
    <row r="396" spans="2:17" ht="15" customHeight="1" x14ac:dyDescent="0.25">
      <c r="B396" t="s">
        <v>2399</v>
      </c>
      <c r="C396" s="1">
        <v>41055.086875000001</v>
      </c>
      <c r="D396" s="4">
        <v>85000</v>
      </c>
      <c r="E396">
        <v>85000</v>
      </c>
      <c r="F396" t="s">
        <v>6</v>
      </c>
      <c r="G396">
        <f>tblSalaries[[#This Row],[clean Salary (in local currency)]]*VLOOKUP(tblSalaries[[#This Row],[Currency]],tblXrate[],2,FALSE)</f>
        <v>85000</v>
      </c>
      <c r="H396" t="s">
        <v>485</v>
      </c>
      <c r="I396" t="s">
        <v>279</v>
      </c>
      <c r="J396" t="s">
        <v>15</v>
      </c>
      <c r="K396" t="str">
        <f>VLOOKUP(tblSalaries[[#This Row],[Where do you work]],tblCountries[[Actual]:[Mapping]],2,FALSE)</f>
        <v>USA</v>
      </c>
      <c r="L396" t="s">
        <v>18</v>
      </c>
      <c r="N396" s="8" t="str">
        <f>VLOOKUP(K396,tblCountries[],3,0)</f>
        <v>North Amer.</v>
      </c>
      <c r="O396" s="8">
        <f>VLOOKUP(tblSalaries[[#This Row],[How many hours of a day you work on Excel]],tblHours,2,0)</f>
        <v>3</v>
      </c>
      <c r="P396" s="8">
        <f>VLOOKUP(tblSalaries[[#This Row],[clean Country]],tblCountries[],5,0)</f>
        <v>1</v>
      </c>
      <c r="Q396" s="8">
        <f>IF($Q$1,tblSalaries[[#This Row],[PPP Factor]]*tblSalaries[[#This Row],[Salary in USD]],tblSalaries[[#This Row],[Salary in USD]])</f>
        <v>85000</v>
      </c>
    </row>
    <row r="397" spans="2:17" ht="15" customHeight="1" x14ac:dyDescent="0.25">
      <c r="B397" t="s">
        <v>2400</v>
      </c>
      <c r="C397" s="1">
        <v>41055.087372685186</v>
      </c>
      <c r="D397" s="4">
        <v>47000</v>
      </c>
      <c r="E397">
        <v>47000</v>
      </c>
      <c r="F397" t="s">
        <v>6</v>
      </c>
      <c r="G397">
        <f>tblSalaries[[#This Row],[clean Salary (in local currency)]]*VLOOKUP(tblSalaries[[#This Row],[Currency]],tblXrate[],2,FALSE)</f>
        <v>47000</v>
      </c>
      <c r="H397" t="s">
        <v>486</v>
      </c>
      <c r="I397" t="s">
        <v>52</v>
      </c>
      <c r="J397" t="s">
        <v>15</v>
      </c>
      <c r="K397" t="str">
        <f>VLOOKUP(tblSalaries[[#This Row],[Where do you work]],tblCountries[[Actual]:[Mapping]],2,FALSE)</f>
        <v>USA</v>
      </c>
      <c r="L397" t="s">
        <v>9</v>
      </c>
      <c r="N397" s="8" t="str">
        <f>VLOOKUP(K397,tblCountries[],3,0)</f>
        <v>North Amer.</v>
      </c>
      <c r="O397" s="8">
        <f>VLOOKUP(tblSalaries[[#This Row],[How many hours of a day you work on Excel]],tblHours,2,0)</f>
        <v>4</v>
      </c>
      <c r="P397" s="8">
        <f>VLOOKUP(tblSalaries[[#This Row],[clean Country]],tblCountries[],5,0)</f>
        <v>1</v>
      </c>
      <c r="Q397" s="8">
        <f>IF($Q$1,tblSalaries[[#This Row],[PPP Factor]]*tblSalaries[[#This Row],[Salary in USD]],tblSalaries[[#This Row],[Salary in USD]])</f>
        <v>47000</v>
      </c>
    </row>
    <row r="398" spans="2:17" ht="15" customHeight="1" x14ac:dyDescent="0.25">
      <c r="B398" t="s">
        <v>2401</v>
      </c>
      <c r="C398" s="1">
        <v>41055.087476851855</v>
      </c>
      <c r="D398" s="4">
        <v>40000</v>
      </c>
      <c r="E398">
        <v>40000</v>
      </c>
      <c r="F398" t="s">
        <v>6</v>
      </c>
      <c r="G398">
        <f>tblSalaries[[#This Row],[clean Salary (in local currency)]]*VLOOKUP(tblSalaries[[#This Row],[Currency]],tblXrate[],2,FALSE)</f>
        <v>40000</v>
      </c>
      <c r="H398" t="s">
        <v>487</v>
      </c>
      <c r="I398" t="s">
        <v>52</v>
      </c>
      <c r="J398" t="s">
        <v>15</v>
      </c>
      <c r="K398" t="str">
        <f>VLOOKUP(tblSalaries[[#This Row],[Where do you work]],tblCountries[[Actual]:[Mapping]],2,FALSE)</f>
        <v>USA</v>
      </c>
      <c r="L398" t="s">
        <v>18</v>
      </c>
      <c r="N398" s="8" t="str">
        <f>VLOOKUP(K398,tblCountries[],3,0)</f>
        <v>North Amer.</v>
      </c>
      <c r="O398" s="8">
        <f>VLOOKUP(tblSalaries[[#This Row],[How many hours of a day you work on Excel]],tblHours,2,0)</f>
        <v>3</v>
      </c>
      <c r="P398" s="8">
        <f>VLOOKUP(tblSalaries[[#This Row],[clean Country]],tblCountries[],5,0)</f>
        <v>1</v>
      </c>
      <c r="Q398" s="8">
        <f>IF($Q$1,tblSalaries[[#This Row],[PPP Factor]]*tblSalaries[[#This Row],[Salary in USD]],tblSalaries[[#This Row],[Salary in USD]])</f>
        <v>40000</v>
      </c>
    </row>
    <row r="399" spans="2:17" ht="15" customHeight="1" x14ac:dyDescent="0.25">
      <c r="B399" t="s">
        <v>2402</v>
      </c>
      <c r="C399" s="1">
        <v>41055.087939814817</v>
      </c>
      <c r="D399" s="4">
        <v>30000</v>
      </c>
      <c r="E399">
        <v>30000</v>
      </c>
      <c r="F399" t="s">
        <v>6</v>
      </c>
      <c r="G399">
        <f>tblSalaries[[#This Row],[clean Salary (in local currency)]]*VLOOKUP(tblSalaries[[#This Row],[Currency]],tblXrate[],2,FALSE)</f>
        <v>30000</v>
      </c>
      <c r="H399" t="s">
        <v>452</v>
      </c>
      <c r="I399" t="s">
        <v>4001</v>
      </c>
      <c r="J399" t="s">
        <v>8</v>
      </c>
      <c r="K399" t="str">
        <f>VLOOKUP(tblSalaries[[#This Row],[Where do you work]],tblCountries[[Actual]:[Mapping]],2,FALSE)</f>
        <v>India</v>
      </c>
      <c r="L399" t="s">
        <v>18</v>
      </c>
      <c r="N399" s="8" t="str">
        <f>VLOOKUP(K399,tblCountries[],3,0)</f>
        <v>Asia</v>
      </c>
      <c r="O399" s="8">
        <f>VLOOKUP(tblSalaries[[#This Row],[How many hours of a day you work on Excel]],tblHours,2,0)</f>
        <v>3</v>
      </c>
      <c r="P399" s="8">
        <f>VLOOKUP(tblSalaries[[#This Row],[clean Country]],tblCountries[],5,0)</f>
        <v>13.098808879263672</v>
      </c>
      <c r="Q399" s="8">
        <f>IF($Q$1,tblSalaries[[#This Row],[PPP Factor]]*tblSalaries[[#This Row],[Salary in USD]],tblSalaries[[#This Row],[Salary in USD]])</f>
        <v>30000</v>
      </c>
    </row>
    <row r="400" spans="2:17" ht="15" customHeight="1" x14ac:dyDescent="0.25">
      <c r="B400" t="s">
        <v>2403</v>
      </c>
      <c r="C400" s="1">
        <v>41055.088148148148</v>
      </c>
      <c r="D400" s="4">
        <v>72000</v>
      </c>
      <c r="E400">
        <v>72000</v>
      </c>
      <c r="F400" t="s">
        <v>86</v>
      </c>
      <c r="G400">
        <f>tblSalaries[[#This Row],[clean Salary (in local currency)]]*VLOOKUP(tblSalaries[[#This Row],[Currency]],tblXrate[],2,FALSE)</f>
        <v>70802.029658183528</v>
      </c>
      <c r="H400" t="s">
        <v>488</v>
      </c>
      <c r="I400" t="s">
        <v>488</v>
      </c>
      <c r="J400" t="s">
        <v>88</v>
      </c>
      <c r="K400" t="str">
        <f>VLOOKUP(tblSalaries[[#This Row],[Where do you work]],tblCountries[[Actual]:[Mapping]],2,FALSE)</f>
        <v>Canada</v>
      </c>
      <c r="L400" t="s">
        <v>9</v>
      </c>
      <c r="N400" s="8" t="str">
        <f>VLOOKUP(K400,tblCountries[],3,0)</f>
        <v>North Amer.</v>
      </c>
      <c r="O400" s="8">
        <f>VLOOKUP(tblSalaries[[#This Row],[How many hours of a day you work on Excel]],tblHours,2,0)</f>
        <v>4</v>
      </c>
      <c r="P400" s="8">
        <f>VLOOKUP(tblSalaries[[#This Row],[clean Country]],tblCountries[],5,0)</f>
        <v>1.1935324732986359</v>
      </c>
      <c r="Q400" s="8">
        <f>IF($Q$1,tblSalaries[[#This Row],[PPP Factor]]*tblSalaries[[#This Row],[Salary in USD]],tblSalaries[[#This Row],[Salary in USD]])</f>
        <v>70802.029658183528</v>
      </c>
    </row>
    <row r="401" spans="2:17" ht="15" customHeight="1" x14ac:dyDescent="0.25">
      <c r="B401" t="s">
        <v>2404</v>
      </c>
      <c r="C401" s="1">
        <v>41055.088518518518</v>
      </c>
      <c r="D401" s="4">
        <v>34000</v>
      </c>
      <c r="E401">
        <v>34000</v>
      </c>
      <c r="F401" t="s">
        <v>6</v>
      </c>
      <c r="G401">
        <f>tblSalaries[[#This Row],[clean Salary (in local currency)]]*VLOOKUP(tblSalaries[[#This Row],[Currency]],tblXrate[],2,FALSE)</f>
        <v>34000</v>
      </c>
      <c r="H401" t="s">
        <v>489</v>
      </c>
      <c r="I401" t="s">
        <v>20</v>
      </c>
      <c r="J401" t="s">
        <v>15</v>
      </c>
      <c r="K401" t="str">
        <f>VLOOKUP(tblSalaries[[#This Row],[Where do you work]],tblCountries[[Actual]:[Mapping]],2,FALSE)</f>
        <v>USA</v>
      </c>
      <c r="L401" t="s">
        <v>9</v>
      </c>
      <c r="N401" s="8" t="str">
        <f>VLOOKUP(K401,tblCountries[],3,0)</f>
        <v>North Amer.</v>
      </c>
      <c r="O401" s="8">
        <f>VLOOKUP(tblSalaries[[#This Row],[How many hours of a day you work on Excel]],tblHours,2,0)</f>
        <v>4</v>
      </c>
      <c r="P401" s="8">
        <f>VLOOKUP(tblSalaries[[#This Row],[clean Country]],tblCountries[],5,0)</f>
        <v>1</v>
      </c>
      <c r="Q401" s="8">
        <f>IF($Q$1,tblSalaries[[#This Row],[PPP Factor]]*tblSalaries[[#This Row],[Salary in USD]],tblSalaries[[#This Row],[Salary in USD]])</f>
        <v>34000</v>
      </c>
    </row>
    <row r="402" spans="2:17" ht="15" customHeight="1" x14ac:dyDescent="0.25">
      <c r="B402" t="s">
        <v>2405</v>
      </c>
      <c r="C402" s="1">
        <v>41055.088761574072</v>
      </c>
      <c r="D402" s="4">
        <v>52000</v>
      </c>
      <c r="E402">
        <v>52000</v>
      </c>
      <c r="F402" t="s">
        <v>6</v>
      </c>
      <c r="G402">
        <f>tblSalaries[[#This Row],[clean Salary (in local currency)]]*VLOOKUP(tblSalaries[[#This Row],[Currency]],tblXrate[],2,FALSE)</f>
        <v>52000</v>
      </c>
      <c r="H402" t="s">
        <v>153</v>
      </c>
      <c r="I402" t="s">
        <v>20</v>
      </c>
      <c r="J402" t="s">
        <v>15</v>
      </c>
      <c r="K402" t="str">
        <f>VLOOKUP(tblSalaries[[#This Row],[Where do you work]],tblCountries[[Actual]:[Mapping]],2,FALSE)</f>
        <v>USA</v>
      </c>
      <c r="L402" t="s">
        <v>9</v>
      </c>
      <c r="N402" s="8" t="str">
        <f>VLOOKUP(K402,tblCountries[],3,0)</f>
        <v>North Amer.</v>
      </c>
      <c r="O402" s="8">
        <f>VLOOKUP(tblSalaries[[#This Row],[How many hours of a day you work on Excel]],tblHours,2,0)</f>
        <v>4</v>
      </c>
      <c r="P402" s="8">
        <f>VLOOKUP(tblSalaries[[#This Row],[clean Country]],tblCountries[],5,0)</f>
        <v>1</v>
      </c>
      <c r="Q402" s="8">
        <f>IF($Q$1,tblSalaries[[#This Row],[PPP Factor]]*tblSalaries[[#This Row],[Salary in USD]],tblSalaries[[#This Row],[Salary in USD]])</f>
        <v>52000</v>
      </c>
    </row>
    <row r="403" spans="2:17" ht="15" customHeight="1" x14ac:dyDescent="0.25">
      <c r="B403" t="s">
        <v>2406</v>
      </c>
      <c r="C403" s="1">
        <v>41055.089004629626</v>
      </c>
      <c r="D403" s="4">
        <v>300000</v>
      </c>
      <c r="E403">
        <v>300000</v>
      </c>
      <c r="F403" t="s">
        <v>40</v>
      </c>
      <c r="G403">
        <f>tblSalaries[[#This Row],[clean Salary (in local currency)]]*VLOOKUP(tblSalaries[[#This Row],[Currency]],tblXrate[],2,FALSE)</f>
        <v>5342.3750062327708</v>
      </c>
      <c r="H403" t="s">
        <v>490</v>
      </c>
      <c r="I403" t="s">
        <v>279</v>
      </c>
      <c r="J403" t="s">
        <v>8</v>
      </c>
      <c r="K403" t="str">
        <f>VLOOKUP(tblSalaries[[#This Row],[Where do you work]],tblCountries[[Actual]:[Mapping]],2,FALSE)</f>
        <v>India</v>
      </c>
      <c r="L403" t="s">
        <v>25</v>
      </c>
      <c r="N403" s="8" t="str">
        <f>VLOOKUP(K403,tblCountries[],3,0)</f>
        <v>Asia</v>
      </c>
      <c r="O403" s="8">
        <f>VLOOKUP(tblSalaries[[#This Row],[How many hours of a day you work on Excel]],tblHours,2,0)</f>
        <v>2</v>
      </c>
      <c r="P403" s="8">
        <f>VLOOKUP(tblSalaries[[#This Row],[clean Country]],tblCountries[],5,0)</f>
        <v>13.098808879263672</v>
      </c>
      <c r="Q403" s="8">
        <f>IF($Q$1,tblSalaries[[#This Row],[PPP Factor]]*tblSalaries[[#This Row],[Salary in USD]],tblSalaries[[#This Row],[Salary in USD]])</f>
        <v>5342.3750062327708</v>
      </c>
    </row>
    <row r="404" spans="2:17" ht="15" customHeight="1" x14ac:dyDescent="0.25">
      <c r="B404" t="s">
        <v>2407</v>
      </c>
      <c r="C404" s="1">
        <v>41055.090243055558</v>
      </c>
      <c r="D404" s="4">
        <v>400000</v>
      </c>
      <c r="E404">
        <v>400000</v>
      </c>
      <c r="F404" t="s">
        <v>40</v>
      </c>
      <c r="G404">
        <f>tblSalaries[[#This Row],[clean Salary (in local currency)]]*VLOOKUP(tblSalaries[[#This Row],[Currency]],tblXrate[],2,FALSE)</f>
        <v>7123.1666749770275</v>
      </c>
      <c r="H404" t="s">
        <v>20</v>
      </c>
      <c r="I404" t="s">
        <v>20</v>
      </c>
      <c r="J404" t="s">
        <v>8</v>
      </c>
      <c r="K404" t="str">
        <f>VLOOKUP(tblSalaries[[#This Row],[Where do you work]],tblCountries[[Actual]:[Mapping]],2,FALSE)</f>
        <v>India</v>
      </c>
      <c r="L404" t="s">
        <v>9</v>
      </c>
      <c r="N404" s="8" t="str">
        <f>VLOOKUP(K404,tblCountries[],3,0)</f>
        <v>Asia</v>
      </c>
      <c r="O404" s="8">
        <f>VLOOKUP(tblSalaries[[#This Row],[How many hours of a day you work on Excel]],tblHours,2,0)</f>
        <v>4</v>
      </c>
      <c r="P404" s="8">
        <f>VLOOKUP(tblSalaries[[#This Row],[clean Country]],tblCountries[],5,0)</f>
        <v>13.098808879263672</v>
      </c>
      <c r="Q404" s="8">
        <f>IF($Q$1,tblSalaries[[#This Row],[PPP Factor]]*tblSalaries[[#This Row],[Salary in USD]],tblSalaries[[#This Row],[Salary in USD]])</f>
        <v>7123.1666749770275</v>
      </c>
    </row>
    <row r="405" spans="2:17" ht="15" customHeight="1" x14ac:dyDescent="0.25">
      <c r="B405" t="s">
        <v>2408</v>
      </c>
      <c r="C405" s="1">
        <v>41055.090682870374</v>
      </c>
      <c r="D405" s="4">
        <v>63586.95</v>
      </c>
      <c r="E405">
        <v>63586</v>
      </c>
      <c r="F405" t="s">
        <v>6</v>
      </c>
      <c r="G405">
        <f>tblSalaries[[#This Row],[clean Salary (in local currency)]]*VLOOKUP(tblSalaries[[#This Row],[Currency]],tblXrate[],2,FALSE)</f>
        <v>63586</v>
      </c>
      <c r="H405" t="s">
        <v>491</v>
      </c>
      <c r="I405" t="s">
        <v>52</v>
      </c>
      <c r="J405" t="s">
        <v>492</v>
      </c>
      <c r="K405" t="str">
        <f>VLOOKUP(tblSalaries[[#This Row],[Where do you work]],tblCountries[[Actual]:[Mapping]],2,FALSE)</f>
        <v>UAE</v>
      </c>
      <c r="L405" t="s">
        <v>18</v>
      </c>
      <c r="N405" s="8" t="str">
        <f>VLOOKUP(K405,tblCountries[],3,0)</f>
        <v>Asia</v>
      </c>
      <c r="O405" s="8">
        <f>VLOOKUP(tblSalaries[[#This Row],[How many hours of a day you work on Excel]],tblHours,2,0)</f>
        <v>3</v>
      </c>
      <c r="P405" s="8">
        <f>VLOOKUP(tblSalaries[[#This Row],[clean Country]],tblCountries[],5,0)</f>
        <v>1.0047551808629926</v>
      </c>
      <c r="Q405" s="8">
        <f>IF($Q$1,tblSalaries[[#This Row],[PPP Factor]]*tblSalaries[[#This Row],[Salary in USD]],tblSalaries[[#This Row],[Salary in USD]])</f>
        <v>63586</v>
      </c>
    </row>
    <row r="406" spans="2:17" ht="15" customHeight="1" x14ac:dyDescent="0.25">
      <c r="B406" t="s">
        <v>2409</v>
      </c>
      <c r="C406" s="1">
        <v>41055.091435185182</v>
      </c>
      <c r="D406" s="4" t="s">
        <v>68</v>
      </c>
      <c r="E406">
        <v>35000</v>
      </c>
      <c r="F406" t="s">
        <v>69</v>
      </c>
      <c r="G406">
        <f>tblSalaries[[#This Row],[clean Salary (in local currency)]]*VLOOKUP(tblSalaries[[#This Row],[Currency]],tblXrate[],2,FALSE)</f>
        <v>55166.239522354947</v>
      </c>
      <c r="H406" t="s">
        <v>493</v>
      </c>
      <c r="I406" t="s">
        <v>310</v>
      </c>
      <c r="J406" t="s">
        <v>71</v>
      </c>
      <c r="K406" t="str">
        <f>VLOOKUP(tblSalaries[[#This Row],[Where do you work]],tblCountries[[Actual]:[Mapping]],2,FALSE)</f>
        <v>UK</v>
      </c>
      <c r="L406" t="s">
        <v>9</v>
      </c>
      <c r="N406" s="8" t="str">
        <f>VLOOKUP(K406,tblCountries[],3,0)</f>
        <v>Europe</v>
      </c>
      <c r="O406" s="8">
        <f>VLOOKUP(tblSalaries[[#This Row],[How many hours of a day you work on Excel]],tblHours,2,0)</f>
        <v>4</v>
      </c>
      <c r="P406" s="8">
        <f>VLOOKUP(tblSalaries[[#This Row],[clean Country]],tblCountries[],5,0)</f>
        <v>1.3407315045719035</v>
      </c>
      <c r="Q406" s="8">
        <f>IF($Q$1,tblSalaries[[#This Row],[PPP Factor]]*tblSalaries[[#This Row],[Salary in USD]],tblSalaries[[#This Row],[Salary in USD]])</f>
        <v>55166.239522354947</v>
      </c>
    </row>
    <row r="407" spans="2:17" ht="15" customHeight="1" x14ac:dyDescent="0.25">
      <c r="B407" t="s">
        <v>2410</v>
      </c>
      <c r="C407" s="1">
        <v>41055.09233796296</v>
      </c>
      <c r="D407" s="4">
        <v>60000</v>
      </c>
      <c r="E407">
        <v>60000</v>
      </c>
      <c r="F407" t="s">
        <v>6</v>
      </c>
      <c r="G407">
        <f>tblSalaries[[#This Row],[clean Salary (in local currency)]]*VLOOKUP(tblSalaries[[#This Row],[Currency]],tblXrate[],2,FALSE)</f>
        <v>60000</v>
      </c>
      <c r="H407" t="s">
        <v>494</v>
      </c>
      <c r="I407" t="s">
        <v>20</v>
      </c>
      <c r="J407" t="s">
        <v>15</v>
      </c>
      <c r="K407" t="str">
        <f>VLOOKUP(tblSalaries[[#This Row],[Where do you work]],tblCountries[[Actual]:[Mapping]],2,FALSE)</f>
        <v>USA</v>
      </c>
      <c r="L407" t="s">
        <v>9</v>
      </c>
      <c r="N407" s="8" t="str">
        <f>VLOOKUP(K407,tblCountries[],3,0)</f>
        <v>North Amer.</v>
      </c>
      <c r="O407" s="8">
        <f>VLOOKUP(tblSalaries[[#This Row],[How many hours of a day you work on Excel]],tblHours,2,0)</f>
        <v>4</v>
      </c>
      <c r="P407" s="8">
        <f>VLOOKUP(tblSalaries[[#This Row],[clean Country]],tblCountries[],5,0)</f>
        <v>1</v>
      </c>
      <c r="Q407" s="8">
        <f>IF($Q$1,tblSalaries[[#This Row],[PPP Factor]]*tblSalaries[[#This Row],[Salary in USD]],tblSalaries[[#This Row],[Salary in USD]])</f>
        <v>60000</v>
      </c>
    </row>
    <row r="408" spans="2:17" ht="15" customHeight="1" x14ac:dyDescent="0.25">
      <c r="B408" t="s">
        <v>2411</v>
      </c>
      <c r="C408" s="1">
        <v>41055.09302083333</v>
      </c>
      <c r="D408" s="4">
        <v>19200</v>
      </c>
      <c r="E408">
        <v>19200</v>
      </c>
      <c r="F408" t="s">
        <v>6</v>
      </c>
      <c r="G408">
        <f>tblSalaries[[#This Row],[clean Salary (in local currency)]]*VLOOKUP(tblSalaries[[#This Row],[Currency]],tblXrate[],2,FALSE)</f>
        <v>19200</v>
      </c>
      <c r="H408" t="s">
        <v>495</v>
      </c>
      <c r="I408" t="s">
        <v>52</v>
      </c>
      <c r="J408" t="s">
        <v>73</v>
      </c>
      <c r="K408" t="str">
        <f>VLOOKUP(tblSalaries[[#This Row],[Where do you work]],tblCountries[[Actual]:[Mapping]],2,FALSE)</f>
        <v>Romania</v>
      </c>
      <c r="L408" t="s">
        <v>13</v>
      </c>
      <c r="N408" s="8" t="str">
        <f>VLOOKUP(K408,tblCountries[],3,0)</f>
        <v>Europe</v>
      </c>
      <c r="O408" s="8">
        <f>VLOOKUP(tblSalaries[[#This Row],[How many hours of a day you work on Excel]],tblHours,2,0)</f>
        <v>5</v>
      </c>
      <c r="P408" s="8">
        <f>VLOOKUP(tblSalaries[[#This Row],[clean Country]],tblCountries[],5,0)</f>
        <v>3.8784065405578709</v>
      </c>
      <c r="Q408" s="8">
        <f>IF($Q$1,tblSalaries[[#This Row],[PPP Factor]]*tblSalaries[[#This Row],[Salary in USD]],tblSalaries[[#This Row],[Salary in USD]])</f>
        <v>19200</v>
      </c>
    </row>
    <row r="409" spans="2:17" ht="15" customHeight="1" x14ac:dyDescent="0.25">
      <c r="B409" t="s">
        <v>2412</v>
      </c>
      <c r="C409" s="1">
        <v>41055.093113425923</v>
      </c>
      <c r="D409" s="4" t="s">
        <v>496</v>
      </c>
      <c r="E409">
        <v>14000000</v>
      </c>
      <c r="F409" t="s">
        <v>497</v>
      </c>
      <c r="G409">
        <f>tblSalaries[[#This Row],[clean Salary (in local currency)]]*VLOOKUP(tblSalaries[[#This Row],[Currency]],tblXrate[],2,FALSE)</f>
        <v>28109.627547434993</v>
      </c>
      <c r="H409" t="s">
        <v>498</v>
      </c>
      <c r="I409" t="s">
        <v>20</v>
      </c>
      <c r="J409" t="s">
        <v>499</v>
      </c>
      <c r="K409" t="str">
        <f>VLOOKUP(tblSalaries[[#This Row],[Where do you work]],tblCountries[[Actual]:[Mapping]],2,FALSE)</f>
        <v>Costa Rica</v>
      </c>
      <c r="L409" t="s">
        <v>13</v>
      </c>
      <c r="N409" s="8" t="str">
        <f>VLOOKUP(K409,tblCountries[],3,0)</f>
        <v>North Amer.</v>
      </c>
      <c r="O409" s="8">
        <f>VLOOKUP(tblSalaries[[#This Row],[How many hours of a day you work on Excel]],tblHours,2,0)</f>
        <v>5</v>
      </c>
      <c r="P409" s="8">
        <f>VLOOKUP(tblSalaries[[#This Row],[clean Country]],tblCountries[],5,0)</f>
        <v>4.0569296554037058</v>
      </c>
      <c r="Q409" s="8">
        <f>IF($Q$1,tblSalaries[[#This Row],[PPP Factor]]*tblSalaries[[#This Row],[Salary in USD]],tblSalaries[[#This Row],[Salary in USD]])</f>
        <v>28109.627547434993</v>
      </c>
    </row>
    <row r="410" spans="2:17" ht="15" customHeight="1" x14ac:dyDescent="0.25">
      <c r="B410" t="s">
        <v>2413</v>
      </c>
      <c r="C410" s="1">
        <v>41055.093391203707</v>
      </c>
      <c r="D410" s="4">
        <v>56000</v>
      </c>
      <c r="E410">
        <v>56000</v>
      </c>
      <c r="F410" t="s">
        <v>6</v>
      </c>
      <c r="G410">
        <f>tblSalaries[[#This Row],[clean Salary (in local currency)]]*VLOOKUP(tblSalaries[[#This Row],[Currency]],tblXrate[],2,FALSE)</f>
        <v>56000</v>
      </c>
      <c r="H410" t="s">
        <v>500</v>
      </c>
      <c r="I410" t="s">
        <v>20</v>
      </c>
      <c r="J410" t="s">
        <v>15</v>
      </c>
      <c r="K410" t="str">
        <f>VLOOKUP(tblSalaries[[#This Row],[Where do you work]],tblCountries[[Actual]:[Mapping]],2,FALSE)</f>
        <v>USA</v>
      </c>
      <c r="L410" t="s">
        <v>9</v>
      </c>
      <c r="N410" s="8" t="str">
        <f>VLOOKUP(K410,tblCountries[],3,0)</f>
        <v>North Amer.</v>
      </c>
      <c r="O410" s="8">
        <f>VLOOKUP(tblSalaries[[#This Row],[How many hours of a day you work on Excel]],tblHours,2,0)</f>
        <v>4</v>
      </c>
      <c r="P410" s="8">
        <f>VLOOKUP(tblSalaries[[#This Row],[clean Country]],tblCountries[],5,0)</f>
        <v>1</v>
      </c>
      <c r="Q410" s="8">
        <f>IF($Q$1,tblSalaries[[#This Row],[PPP Factor]]*tblSalaries[[#This Row],[Salary in USD]],tblSalaries[[#This Row],[Salary in USD]])</f>
        <v>56000</v>
      </c>
    </row>
    <row r="411" spans="2:17" ht="15" customHeight="1" x14ac:dyDescent="0.25">
      <c r="B411" t="s">
        <v>2414</v>
      </c>
      <c r="C411" s="1">
        <v>41055.093611111108</v>
      </c>
      <c r="D411" s="4">
        <v>52000</v>
      </c>
      <c r="E411">
        <v>52000</v>
      </c>
      <c r="F411" t="s">
        <v>6</v>
      </c>
      <c r="G411">
        <f>tblSalaries[[#This Row],[clean Salary (in local currency)]]*VLOOKUP(tblSalaries[[#This Row],[Currency]],tblXrate[],2,FALSE)</f>
        <v>52000</v>
      </c>
      <c r="H411" t="s">
        <v>501</v>
      </c>
      <c r="I411" t="s">
        <v>310</v>
      </c>
      <c r="J411" t="s">
        <v>15</v>
      </c>
      <c r="K411" t="str">
        <f>VLOOKUP(tblSalaries[[#This Row],[Where do you work]],tblCountries[[Actual]:[Mapping]],2,FALSE)</f>
        <v>USA</v>
      </c>
      <c r="L411" t="s">
        <v>9</v>
      </c>
      <c r="N411" s="8" t="str">
        <f>VLOOKUP(K411,tblCountries[],3,0)</f>
        <v>North Amer.</v>
      </c>
      <c r="O411" s="8">
        <f>VLOOKUP(tblSalaries[[#This Row],[How many hours of a day you work on Excel]],tblHours,2,0)</f>
        <v>4</v>
      </c>
      <c r="P411" s="8">
        <f>VLOOKUP(tblSalaries[[#This Row],[clean Country]],tblCountries[],5,0)</f>
        <v>1</v>
      </c>
      <c r="Q411" s="8">
        <f>IF($Q$1,tblSalaries[[#This Row],[PPP Factor]]*tblSalaries[[#This Row],[Salary in USD]],tblSalaries[[#This Row],[Salary in USD]])</f>
        <v>52000</v>
      </c>
    </row>
    <row r="412" spans="2:17" ht="15" customHeight="1" x14ac:dyDescent="0.25">
      <c r="B412" t="s">
        <v>2415</v>
      </c>
      <c r="C412" s="1">
        <v>41055.093969907408</v>
      </c>
      <c r="D412" s="4">
        <v>51613</v>
      </c>
      <c r="E412">
        <v>51613</v>
      </c>
      <c r="F412" t="s">
        <v>6</v>
      </c>
      <c r="G412">
        <f>tblSalaries[[#This Row],[clean Salary (in local currency)]]*VLOOKUP(tblSalaries[[#This Row],[Currency]],tblXrate[],2,FALSE)</f>
        <v>51613</v>
      </c>
      <c r="H412" t="s">
        <v>502</v>
      </c>
      <c r="I412" t="s">
        <v>20</v>
      </c>
      <c r="J412" t="s">
        <v>15</v>
      </c>
      <c r="K412" t="str">
        <f>VLOOKUP(tblSalaries[[#This Row],[Where do you work]],tblCountries[[Actual]:[Mapping]],2,FALSE)</f>
        <v>USA</v>
      </c>
      <c r="L412" t="s">
        <v>13</v>
      </c>
      <c r="N412" s="8" t="str">
        <f>VLOOKUP(K412,tblCountries[],3,0)</f>
        <v>North Amer.</v>
      </c>
      <c r="O412" s="8">
        <f>VLOOKUP(tblSalaries[[#This Row],[How many hours of a day you work on Excel]],tblHours,2,0)</f>
        <v>5</v>
      </c>
      <c r="P412" s="8">
        <f>VLOOKUP(tblSalaries[[#This Row],[clean Country]],tblCountries[],5,0)</f>
        <v>1</v>
      </c>
      <c r="Q412" s="8">
        <f>IF($Q$1,tblSalaries[[#This Row],[PPP Factor]]*tblSalaries[[#This Row],[Salary in USD]],tblSalaries[[#This Row],[Salary in USD]])</f>
        <v>51613</v>
      </c>
    </row>
    <row r="413" spans="2:17" ht="15" customHeight="1" x14ac:dyDescent="0.25">
      <c r="B413" t="s">
        <v>2416</v>
      </c>
      <c r="C413" s="1">
        <v>41055.095150462963</v>
      </c>
      <c r="D413" s="4">
        <v>35000</v>
      </c>
      <c r="E413">
        <v>35000</v>
      </c>
      <c r="F413" t="s">
        <v>6</v>
      </c>
      <c r="G413">
        <f>tblSalaries[[#This Row],[clean Salary (in local currency)]]*VLOOKUP(tblSalaries[[#This Row],[Currency]],tblXrate[],2,FALSE)</f>
        <v>35000</v>
      </c>
      <c r="H413" t="s">
        <v>503</v>
      </c>
      <c r="I413" t="s">
        <v>20</v>
      </c>
      <c r="J413" t="s">
        <v>65</v>
      </c>
      <c r="K413" t="str">
        <f>VLOOKUP(tblSalaries[[#This Row],[Where do you work]],tblCountries[[Actual]:[Mapping]],2,FALSE)</f>
        <v>Russia</v>
      </c>
      <c r="L413" t="s">
        <v>9</v>
      </c>
      <c r="N413" s="8" t="str">
        <f>VLOOKUP(K413,tblCountries[],3,0)</f>
        <v>Asia</v>
      </c>
      <c r="O413" s="8">
        <f>VLOOKUP(tblSalaries[[#This Row],[How many hours of a day you work on Excel]],tblHours,2,0)</f>
        <v>4</v>
      </c>
      <c r="P413" s="8">
        <f>VLOOKUP(tblSalaries[[#This Row],[clean Country]],tblCountries[],5,0)</f>
        <v>2.8911926386233269</v>
      </c>
      <c r="Q413" s="8">
        <f>IF($Q$1,tblSalaries[[#This Row],[PPP Factor]]*tblSalaries[[#This Row],[Salary in USD]],tblSalaries[[#This Row],[Salary in USD]])</f>
        <v>35000</v>
      </c>
    </row>
    <row r="414" spans="2:17" ht="15" customHeight="1" x14ac:dyDescent="0.25">
      <c r="B414" t="s">
        <v>2417</v>
      </c>
      <c r="C414" s="1">
        <v>41055.095347222225</v>
      </c>
      <c r="D414" s="4">
        <v>56000</v>
      </c>
      <c r="E414">
        <v>56000</v>
      </c>
      <c r="F414" t="s">
        <v>6</v>
      </c>
      <c r="G414">
        <f>tblSalaries[[#This Row],[clean Salary (in local currency)]]*VLOOKUP(tblSalaries[[#This Row],[Currency]],tblXrate[],2,FALSE)</f>
        <v>56000</v>
      </c>
      <c r="H414" t="s">
        <v>504</v>
      </c>
      <c r="I414" t="s">
        <v>52</v>
      </c>
      <c r="J414" t="s">
        <v>15</v>
      </c>
      <c r="K414" t="str">
        <f>VLOOKUP(tblSalaries[[#This Row],[Where do you work]],tblCountries[[Actual]:[Mapping]],2,FALSE)</f>
        <v>USA</v>
      </c>
      <c r="L414" t="s">
        <v>13</v>
      </c>
      <c r="N414" s="8" t="str">
        <f>VLOOKUP(K414,tblCountries[],3,0)</f>
        <v>North Amer.</v>
      </c>
      <c r="O414" s="8">
        <f>VLOOKUP(tblSalaries[[#This Row],[How many hours of a day you work on Excel]],tblHours,2,0)</f>
        <v>5</v>
      </c>
      <c r="P414" s="8">
        <f>VLOOKUP(tblSalaries[[#This Row],[clean Country]],tblCountries[],5,0)</f>
        <v>1</v>
      </c>
      <c r="Q414" s="8">
        <f>IF($Q$1,tblSalaries[[#This Row],[PPP Factor]]*tblSalaries[[#This Row],[Salary in USD]],tblSalaries[[#This Row],[Salary in USD]])</f>
        <v>56000</v>
      </c>
    </row>
    <row r="415" spans="2:17" ht="15" customHeight="1" x14ac:dyDescent="0.25">
      <c r="B415" t="s">
        <v>2418</v>
      </c>
      <c r="C415" s="1">
        <v>41055.095578703702</v>
      </c>
      <c r="D415" s="4" t="s">
        <v>505</v>
      </c>
      <c r="E415">
        <v>115000</v>
      </c>
      <c r="F415" t="s">
        <v>6</v>
      </c>
      <c r="G415">
        <f>tblSalaries[[#This Row],[clean Salary (in local currency)]]*VLOOKUP(tblSalaries[[#This Row],[Currency]],tblXrate[],2,FALSE)</f>
        <v>115000</v>
      </c>
      <c r="H415" t="s">
        <v>356</v>
      </c>
      <c r="I415" t="s">
        <v>356</v>
      </c>
      <c r="J415" t="s">
        <v>15</v>
      </c>
      <c r="K415" t="str">
        <f>VLOOKUP(tblSalaries[[#This Row],[Where do you work]],tblCountries[[Actual]:[Mapping]],2,FALSE)</f>
        <v>USA</v>
      </c>
      <c r="L415" t="s">
        <v>18</v>
      </c>
      <c r="N415" s="8" t="str">
        <f>VLOOKUP(K415,tblCountries[],3,0)</f>
        <v>North Amer.</v>
      </c>
      <c r="O415" s="8">
        <f>VLOOKUP(tblSalaries[[#This Row],[How many hours of a day you work on Excel]],tblHours,2,0)</f>
        <v>3</v>
      </c>
      <c r="P415" s="8">
        <f>VLOOKUP(tblSalaries[[#This Row],[clean Country]],tblCountries[],5,0)</f>
        <v>1</v>
      </c>
      <c r="Q415" s="8">
        <f>IF($Q$1,tblSalaries[[#This Row],[PPP Factor]]*tblSalaries[[#This Row],[Salary in USD]],tblSalaries[[#This Row],[Salary in USD]])</f>
        <v>115000</v>
      </c>
    </row>
    <row r="416" spans="2:17" ht="15" customHeight="1" x14ac:dyDescent="0.25">
      <c r="B416" t="s">
        <v>2419</v>
      </c>
      <c r="C416" s="1">
        <v>41055.095868055556</v>
      </c>
      <c r="D416" s="4" t="s">
        <v>506</v>
      </c>
      <c r="E416">
        <v>66000</v>
      </c>
      <c r="F416" t="s">
        <v>69</v>
      </c>
      <c r="G416">
        <f>tblSalaries[[#This Row],[clean Salary (in local currency)]]*VLOOKUP(tblSalaries[[#This Row],[Currency]],tblXrate[],2,FALSE)</f>
        <v>104027.76595644075</v>
      </c>
      <c r="H416" t="s">
        <v>507</v>
      </c>
      <c r="I416" t="s">
        <v>52</v>
      </c>
      <c r="J416" t="s">
        <v>71</v>
      </c>
      <c r="K416" t="str">
        <f>VLOOKUP(tblSalaries[[#This Row],[Where do you work]],tblCountries[[Actual]:[Mapping]],2,FALSE)</f>
        <v>UK</v>
      </c>
      <c r="L416" t="s">
        <v>25</v>
      </c>
      <c r="N416" s="8" t="str">
        <f>VLOOKUP(K416,tblCountries[],3,0)</f>
        <v>Europe</v>
      </c>
      <c r="O416" s="8">
        <f>VLOOKUP(tblSalaries[[#This Row],[How many hours of a day you work on Excel]],tblHours,2,0)</f>
        <v>2</v>
      </c>
      <c r="P416" s="8">
        <f>VLOOKUP(tblSalaries[[#This Row],[clean Country]],tblCountries[],5,0)</f>
        <v>1.3407315045719035</v>
      </c>
      <c r="Q416" s="8">
        <f>IF($Q$1,tblSalaries[[#This Row],[PPP Factor]]*tblSalaries[[#This Row],[Salary in USD]],tblSalaries[[#This Row],[Salary in USD]])</f>
        <v>104027.76595644075</v>
      </c>
    </row>
    <row r="417" spans="2:17" ht="15" customHeight="1" x14ac:dyDescent="0.25">
      <c r="B417" t="s">
        <v>2420</v>
      </c>
      <c r="C417" s="1">
        <v>41055.096666666665</v>
      </c>
      <c r="D417" s="4" t="s">
        <v>508</v>
      </c>
      <c r="E417">
        <v>200000</v>
      </c>
      <c r="F417" t="s">
        <v>40</v>
      </c>
      <c r="G417">
        <f>tblSalaries[[#This Row],[clean Salary (in local currency)]]*VLOOKUP(tblSalaries[[#This Row],[Currency]],tblXrate[],2,FALSE)</f>
        <v>3561.5833374885137</v>
      </c>
      <c r="H417" t="s">
        <v>356</v>
      </c>
      <c r="I417" t="s">
        <v>356</v>
      </c>
      <c r="J417" t="s">
        <v>8</v>
      </c>
      <c r="K417" t="str">
        <f>VLOOKUP(tblSalaries[[#This Row],[Where do you work]],tblCountries[[Actual]:[Mapping]],2,FALSE)</f>
        <v>India</v>
      </c>
      <c r="L417" t="s">
        <v>25</v>
      </c>
      <c r="N417" s="8" t="str">
        <f>VLOOKUP(K417,tblCountries[],3,0)</f>
        <v>Asia</v>
      </c>
      <c r="O417" s="8">
        <f>VLOOKUP(tblSalaries[[#This Row],[How many hours of a day you work on Excel]],tblHours,2,0)</f>
        <v>2</v>
      </c>
      <c r="P417" s="8">
        <f>VLOOKUP(tblSalaries[[#This Row],[clean Country]],tblCountries[],5,0)</f>
        <v>13.098808879263672</v>
      </c>
      <c r="Q417" s="8">
        <f>IF($Q$1,tblSalaries[[#This Row],[PPP Factor]]*tblSalaries[[#This Row],[Salary in USD]],tblSalaries[[#This Row],[Salary in USD]])</f>
        <v>3561.5833374885137</v>
      </c>
    </row>
    <row r="418" spans="2:17" ht="15" customHeight="1" x14ac:dyDescent="0.25">
      <c r="B418" t="s">
        <v>2421</v>
      </c>
      <c r="C418" s="1">
        <v>41055.097083333334</v>
      </c>
      <c r="D418" s="4">
        <v>72000</v>
      </c>
      <c r="E418">
        <v>72000</v>
      </c>
      <c r="F418" t="s">
        <v>6</v>
      </c>
      <c r="G418">
        <f>tblSalaries[[#This Row],[clean Salary (in local currency)]]*VLOOKUP(tblSalaries[[#This Row],[Currency]],tblXrate[],2,FALSE)</f>
        <v>72000</v>
      </c>
      <c r="H418" t="s">
        <v>509</v>
      </c>
      <c r="I418" t="s">
        <v>4001</v>
      </c>
      <c r="J418" t="s">
        <v>15</v>
      </c>
      <c r="K418" t="str">
        <f>VLOOKUP(tblSalaries[[#This Row],[Where do you work]],tblCountries[[Actual]:[Mapping]],2,FALSE)</f>
        <v>USA</v>
      </c>
      <c r="L418" t="s">
        <v>9</v>
      </c>
      <c r="N418" s="8" t="str">
        <f>VLOOKUP(K418,tblCountries[],3,0)</f>
        <v>North Amer.</v>
      </c>
      <c r="O418" s="8">
        <f>VLOOKUP(tblSalaries[[#This Row],[How many hours of a day you work on Excel]],tblHours,2,0)</f>
        <v>4</v>
      </c>
      <c r="P418" s="8">
        <f>VLOOKUP(tblSalaries[[#This Row],[clean Country]],tblCountries[],5,0)</f>
        <v>1</v>
      </c>
      <c r="Q418" s="8">
        <f>IF($Q$1,tblSalaries[[#This Row],[PPP Factor]]*tblSalaries[[#This Row],[Salary in USD]],tblSalaries[[#This Row],[Salary in USD]])</f>
        <v>72000</v>
      </c>
    </row>
    <row r="419" spans="2:17" ht="15" customHeight="1" x14ac:dyDescent="0.25">
      <c r="B419" t="s">
        <v>2422</v>
      </c>
      <c r="C419" s="1">
        <v>41055.097129629627</v>
      </c>
      <c r="D419" s="4">
        <v>90000</v>
      </c>
      <c r="E419">
        <v>90000</v>
      </c>
      <c r="F419" t="s">
        <v>6</v>
      </c>
      <c r="G419">
        <f>tblSalaries[[#This Row],[clean Salary (in local currency)]]*VLOOKUP(tblSalaries[[#This Row],[Currency]],tblXrate[],2,FALSE)</f>
        <v>90000</v>
      </c>
      <c r="H419" t="s">
        <v>14</v>
      </c>
      <c r="I419" t="s">
        <v>20</v>
      </c>
      <c r="J419" t="s">
        <v>15</v>
      </c>
      <c r="K419" t="str">
        <f>VLOOKUP(tblSalaries[[#This Row],[Where do you work]],tblCountries[[Actual]:[Mapping]],2,FALSE)</f>
        <v>USA</v>
      </c>
      <c r="L419" t="s">
        <v>13</v>
      </c>
      <c r="N419" s="8" t="str">
        <f>VLOOKUP(K419,tblCountries[],3,0)</f>
        <v>North Amer.</v>
      </c>
      <c r="O419" s="8">
        <f>VLOOKUP(tblSalaries[[#This Row],[How many hours of a day you work on Excel]],tblHours,2,0)</f>
        <v>5</v>
      </c>
      <c r="P419" s="8">
        <f>VLOOKUP(tblSalaries[[#This Row],[clean Country]],tblCountries[],5,0)</f>
        <v>1</v>
      </c>
      <c r="Q419" s="8">
        <f>IF($Q$1,tblSalaries[[#This Row],[PPP Factor]]*tblSalaries[[#This Row],[Salary in USD]],tblSalaries[[#This Row],[Salary in USD]])</f>
        <v>90000</v>
      </c>
    </row>
    <row r="420" spans="2:17" ht="15" customHeight="1" x14ac:dyDescent="0.25">
      <c r="B420" t="s">
        <v>2423</v>
      </c>
      <c r="C420" s="1">
        <v>41055.097395833334</v>
      </c>
      <c r="D420" s="4" t="s">
        <v>510</v>
      </c>
      <c r="E420">
        <v>8500</v>
      </c>
      <c r="F420" t="s">
        <v>6</v>
      </c>
      <c r="G420">
        <f>tblSalaries[[#This Row],[clean Salary (in local currency)]]*VLOOKUP(tblSalaries[[#This Row],[Currency]],tblXrate[],2,FALSE)</f>
        <v>8500</v>
      </c>
      <c r="H420" t="s">
        <v>177</v>
      </c>
      <c r="I420" t="s">
        <v>310</v>
      </c>
      <c r="J420" t="s">
        <v>73</v>
      </c>
      <c r="K420" t="str">
        <f>VLOOKUP(tblSalaries[[#This Row],[Where do you work]],tblCountries[[Actual]:[Mapping]],2,FALSE)</f>
        <v>Romania</v>
      </c>
      <c r="L420" t="s">
        <v>18</v>
      </c>
      <c r="N420" s="8" t="str">
        <f>VLOOKUP(K420,tblCountries[],3,0)</f>
        <v>Europe</v>
      </c>
      <c r="O420" s="8">
        <f>VLOOKUP(tblSalaries[[#This Row],[How many hours of a day you work on Excel]],tblHours,2,0)</f>
        <v>3</v>
      </c>
      <c r="P420" s="8">
        <f>VLOOKUP(tblSalaries[[#This Row],[clean Country]],tblCountries[],5,0)</f>
        <v>3.8784065405578709</v>
      </c>
      <c r="Q420" s="8">
        <f>IF($Q$1,tblSalaries[[#This Row],[PPP Factor]]*tblSalaries[[#This Row],[Salary in USD]],tblSalaries[[#This Row],[Salary in USD]])</f>
        <v>8500</v>
      </c>
    </row>
    <row r="421" spans="2:17" ht="15" customHeight="1" x14ac:dyDescent="0.25">
      <c r="B421" t="s">
        <v>2424</v>
      </c>
      <c r="C421" s="1">
        <v>41055.09747685185</v>
      </c>
      <c r="D421" s="4">
        <v>12000</v>
      </c>
      <c r="E421">
        <v>12000</v>
      </c>
      <c r="F421" t="s">
        <v>6</v>
      </c>
      <c r="G421">
        <f>tblSalaries[[#This Row],[clean Salary (in local currency)]]*VLOOKUP(tblSalaries[[#This Row],[Currency]],tblXrate[],2,FALSE)</f>
        <v>12000</v>
      </c>
      <c r="H421" t="s">
        <v>511</v>
      </c>
      <c r="I421" t="s">
        <v>20</v>
      </c>
      <c r="J421" t="s">
        <v>512</v>
      </c>
      <c r="K421" t="str">
        <f>VLOOKUP(tblSalaries[[#This Row],[Where do you work]],tblCountries[[Actual]:[Mapping]],2,FALSE)</f>
        <v>iran</v>
      </c>
      <c r="L421" t="s">
        <v>18</v>
      </c>
      <c r="N421" s="8" t="str">
        <f>VLOOKUP(K421,tblCountries[],3,0)</f>
        <v>Asia</v>
      </c>
      <c r="O421" s="8">
        <f>VLOOKUP(tblSalaries[[#This Row],[How many hours of a day you work on Excel]],tblHours,2,0)</f>
        <v>3</v>
      </c>
      <c r="P421" s="8">
        <f>VLOOKUP(tblSalaries[[#This Row],[clean Country]],tblCountries[],5,0)</f>
        <v>3.706963916341071</v>
      </c>
      <c r="Q421" s="8">
        <f>IF($Q$1,tblSalaries[[#This Row],[PPP Factor]]*tblSalaries[[#This Row],[Salary in USD]],tblSalaries[[#This Row],[Salary in USD]])</f>
        <v>12000</v>
      </c>
    </row>
    <row r="422" spans="2:17" ht="15" customHeight="1" x14ac:dyDescent="0.25">
      <c r="B422" t="s">
        <v>2425</v>
      </c>
      <c r="C422" s="1">
        <v>41055.098807870374</v>
      </c>
      <c r="D422" s="4" t="s">
        <v>513</v>
      </c>
      <c r="E422">
        <v>250000</v>
      </c>
      <c r="F422" t="s">
        <v>6</v>
      </c>
      <c r="G422">
        <f>tblSalaries[[#This Row],[clean Salary (in local currency)]]*VLOOKUP(tblSalaries[[#This Row],[Currency]],tblXrate[],2,FALSE)</f>
        <v>250000</v>
      </c>
      <c r="H422" t="s">
        <v>83</v>
      </c>
      <c r="I422" t="s">
        <v>356</v>
      </c>
      <c r="J422" t="s">
        <v>15</v>
      </c>
      <c r="K422" t="str">
        <f>VLOOKUP(tblSalaries[[#This Row],[Where do you work]],tblCountries[[Actual]:[Mapping]],2,FALSE)</f>
        <v>USA</v>
      </c>
      <c r="L422" t="s">
        <v>13</v>
      </c>
      <c r="N422" s="8" t="str">
        <f>VLOOKUP(K422,tblCountries[],3,0)</f>
        <v>North Amer.</v>
      </c>
      <c r="O422" s="8">
        <f>VLOOKUP(tblSalaries[[#This Row],[How many hours of a day you work on Excel]],tblHours,2,0)</f>
        <v>5</v>
      </c>
      <c r="P422" s="8">
        <f>VLOOKUP(tblSalaries[[#This Row],[clean Country]],tblCountries[],5,0)</f>
        <v>1</v>
      </c>
      <c r="Q422" s="8">
        <f>IF($Q$1,tblSalaries[[#This Row],[PPP Factor]]*tblSalaries[[#This Row],[Salary in USD]],tblSalaries[[#This Row],[Salary in USD]])</f>
        <v>250000</v>
      </c>
    </row>
    <row r="423" spans="2:17" ht="15" customHeight="1" x14ac:dyDescent="0.25">
      <c r="B423" t="s">
        <v>2426</v>
      </c>
      <c r="C423" s="1">
        <v>41055.100277777776</v>
      </c>
      <c r="D423" s="4">
        <v>5900</v>
      </c>
      <c r="E423">
        <v>70800</v>
      </c>
      <c r="F423" t="s">
        <v>22</v>
      </c>
      <c r="G423">
        <f>tblSalaries[[#This Row],[clean Salary (in local currency)]]*VLOOKUP(tblSalaries[[#This Row],[Currency]],tblXrate[],2,FALSE)</f>
        <v>89944.280280605832</v>
      </c>
      <c r="H423" t="s">
        <v>514</v>
      </c>
      <c r="I423" t="s">
        <v>20</v>
      </c>
      <c r="J423" t="s">
        <v>515</v>
      </c>
      <c r="K423" t="str">
        <f>VLOOKUP(tblSalaries[[#This Row],[Where do you work]],tblCountries[[Actual]:[Mapping]],2,FALSE)</f>
        <v>Finland</v>
      </c>
      <c r="L423" t="s">
        <v>13</v>
      </c>
      <c r="N423" s="8" t="str">
        <f>VLOOKUP(K423,tblCountries[],3,0)</f>
        <v>Europe</v>
      </c>
      <c r="O423" s="8">
        <f>VLOOKUP(tblSalaries[[#This Row],[How many hours of a day you work on Excel]],tblHours,2,0)</f>
        <v>5</v>
      </c>
      <c r="P423" s="8">
        <f>VLOOKUP(tblSalaries[[#This Row],[clean Country]],tblCountries[],5,0)</f>
        <v>1.3353295065680539</v>
      </c>
      <c r="Q423" s="8">
        <f>IF($Q$1,tblSalaries[[#This Row],[PPP Factor]]*tblSalaries[[#This Row],[Salary in USD]],tblSalaries[[#This Row],[Salary in USD]])</f>
        <v>89944.280280605832</v>
      </c>
    </row>
    <row r="424" spans="2:17" ht="15" customHeight="1" x14ac:dyDescent="0.25">
      <c r="B424" t="s">
        <v>2427</v>
      </c>
      <c r="C424" s="1">
        <v>41055.100810185184</v>
      </c>
      <c r="D424" s="4" t="s">
        <v>516</v>
      </c>
      <c r="E424">
        <v>240000</v>
      </c>
      <c r="F424" t="s">
        <v>40</v>
      </c>
      <c r="G424">
        <f>tblSalaries[[#This Row],[clean Salary (in local currency)]]*VLOOKUP(tblSalaries[[#This Row],[Currency]],tblXrate[],2,FALSE)</f>
        <v>4273.9000049862161</v>
      </c>
      <c r="H424" t="s">
        <v>517</v>
      </c>
      <c r="I424" t="s">
        <v>52</v>
      </c>
      <c r="J424" t="s">
        <v>8</v>
      </c>
      <c r="K424" t="str">
        <f>VLOOKUP(tblSalaries[[#This Row],[Where do you work]],tblCountries[[Actual]:[Mapping]],2,FALSE)</f>
        <v>India</v>
      </c>
      <c r="L424" t="s">
        <v>13</v>
      </c>
      <c r="N424" s="8" t="str">
        <f>VLOOKUP(K424,tblCountries[],3,0)</f>
        <v>Asia</v>
      </c>
      <c r="O424" s="8">
        <f>VLOOKUP(tblSalaries[[#This Row],[How many hours of a day you work on Excel]],tblHours,2,0)</f>
        <v>5</v>
      </c>
      <c r="P424" s="8">
        <f>VLOOKUP(tblSalaries[[#This Row],[clean Country]],tblCountries[],5,0)</f>
        <v>13.098808879263672</v>
      </c>
      <c r="Q424" s="8">
        <f>IF($Q$1,tblSalaries[[#This Row],[PPP Factor]]*tblSalaries[[#This Row],[Salary in USD]],tblSalaries[[#This Row],[Salary in USD]])</f>
        <v>4273.9000049862161</v>
      </c>
    </row>
    <row r="425" spans="2:17" ht="15" customHeight="1" x14ac:dyDescent="0.25">
      <c r="B425" t="s">
        <v>2428</v>
      </c>
      <c r="C425" s="1">
        <v>41055.102662037039</v>
      </c>
      <c r="D425" s="4" t="s">
        <v>518</v>
      </c>
      <c r="E425">
        <v>30000</v>
      </c>
      <c r="F425" t="s">
        <v>6</v>
      </c>
      <c r="G425">
        <f>tblSalaries[[#This Row],[clean Salary (in local currency)]]*VLOOKUP(tblSalaries[[#This Row],[Currency]],tblXrate[],2,FALSE)</f>
        <v>30000</v>
      </c>
      <c r="H425" t="s">
        <v>519</v>
      </c>
      <c r="I425" t="s">
        <v>52</v>
      </c>
      <c r="J425" t="s">
        <v>15</v>
      </c>
      <c r="K425" t="str">
        <f>VLOOKUP(tblSalaries[[#This Row],[Where do you work]],tblCountries[[Actual]:[Mapping]],2,FALSE)</f>
        <v>USA</v>
      </c>
      <c r="L425" t="s">
        <v>18</v>
      </c>
      <c r="N425" s="8" t="str">
        <f>VLOOKUP(K425,tblCountries[],3,0)</f>
        <v>North Amer.</v>
      </c>
      <c r="O425" s="8">
        <f>VLOOKUP(tblSalaries[[#This Row],[How many hours of a day you work on Excel]],tblHours,2,0)</f>
        <v>3</v>
      </c>
      <c r="P425" s="8">
        <f>VLOOKUP(tblSalaries[[#This Row],[clean Country]],tblCountries[],5,0)</f>
        <v>1</v>
      </c>
      <c r="Q425" s="8">
        <f>IF($Q$1,tblSalaries[[#This Row],[PPP Factor]]*tblSalaries[[#This Row],[Salary in USD]],tblSalaries[[#This Row],[Salary in USD]])</f>
        <v>30000</v>
      </c>
    </row>
    <row r="426" spans="2:17" ht="15" customHeight="1" x14ac:dyDescent="0.25">
      <c r="B426" t="s">
        <v>2429</v>
      </c>
      <c r="C426" s="1">
        <v>41055.103900462964</v>
      </c>
      <c r="D426" s="4" t="s">
        <v>520</v>
      </c>
      <c r="E426">
        <v>30000</v>
      </c>
      <c r="F426" t="s">
        <v>6</v>
      </c>
      <c r="G426">
        <f>tblSalaries[[#This Row],[clean Salary (in local currency)]]*VLOOKUP(tblSalaries[[#This Row],[Currency]],tblXrate[],2,FALSE)</f>
        <v>30000</v>
      </c>
      <c r="H426" t="s">
        <v>521</v>
      </c>
      <c r="I426" t="s">
        <v>3999</v>
      </c>
      <c r="J426" t="s">
        <v>73</v>
      </c>
      <c r="K426" t="str">
        <f>VLOOKUP(tblSalaries[[#This Row],[Where do you work]],tblCountries[[Actual]:[Mapping]],2,FALSE)</f>
        <v>Romania</v>
      </c>
      <c r="L426" t="s">
        <v>25</v>
      </c>
      <c r="N426" s="8" t="str">
        <f>VLOOKUP(K426,tblCountries[],3,0)</f>
        <v>Europe</v>
      </c>
      <c r="O426" s="8">
        <f>VLOOKUP(tblSalaries[[#This Row],[How many hours of a day you work on Excel]],tblHours,2,0)</f>
        <v>2</v>
      </c>
      <c r="P426" s="8">
        <f>VLOOKUP(tblSalaries[[#This Row],[clean Country]],tblCountries[],5,0)</f>
        <v>3.8784065405578709</v>
      </c>
      <c r="Q426" s="8">
        <f>IF($Q$1,tblSalaries[[#This Row],[PPP Factor]]*tblSalaries[[#This Row],[Salary in USD]],tblSalaries[[#This Row],[Salary in USD]])</f>
        <v>30000</v>
      </c>
    </row>
    <row r="427" spans="2:17" ht="15" customHeight="1" x14ac:dyDescent="0.25">
      <c r="B427" t="s">
        <v>2430</v>
      </c>
      <c r="C427" s="1">
        <v>41055.105138888888</v>
      </c>
      <c r="D427" s="4">
        <v>24</v>
      </c>
      <c r="E427">
        <v>24000</v>
      </c>
      <c r="F427" t="s">
        <v>6</v>
      </c>
      <c r="G427">
        <f>tblSalaries[[#This Row],[clean Salary (in local currency)]]*VLOOKUP(tblSalaries[[#This Row],[Currency]],tblXrate[],2,FALSE)</f>
        <v>24000</v>
      </c>
      <c r="H427" t="s">
        <v>522</v>
      </c>
      <c r="I427" t="s">
        <v>279</v>
      </c>
      <c r="J427" t="s">
        <v>15</v>
      </c>
      <c r="K427" t="str">
        <f>VLOOKUP(tblSalaries[[#This Row],[Where do you work]],tblCountries[[Actual]:[Mapping]],2,FALSE)</f>
        <v>USA</v>
      </c>
      <c r="L427" t="s">
        <v>25</v>
      </c>
      <c r="N427" s="8" t="str">
        <f>VLOOKUP(K427,tblCountries[],3,0)</f>
        <v>North Amer.</v>
      </c>
      <c r="O427" s="8">
        <f>VLOOKUP(tblSalaries[[#This Row],[How many hours of a day you work on Excel]],tblHours,2,0)</f>
        <v>2</v>
      </c>
      <c r="P427" s="8">
        <f>VLOOKUP(tblSalaries[[#This Row],[clean Country]],tblCountries[],5,0)</f>
        <v>1</v>
      </c>
      <c r="Q427" s="8">
        <f>IF($Q$1,tblSalaries[[#This Row],[PPP Factor]]*tblSalaries[[#This Row],[Salary in USD]],tblSalaries[[#This Row],[Salary in USD]])</f>
        <v>24000</v>
      </c>
    </row>
    <row r="428" spans="2:17" ht="15" customHeight="1" x14ac:dyDescent="0.25">
      <c r="B428" t="s">
        <v>2431</v>
      </c>
      <c r="C428" s="1">
        <v>41055.106249999997</v>
      </c>
      <c r="D428" s="4">
        <v>60000</v>
      </c>
      <c r="E428">
        <v>60000</v>
      </c>
      <c r="F428" t="s">
        <v>6</v>
      </c>
      <c r="G428">
        <f>tblSalaries[[#This Row],[clean Salary (in local currency)]]*VLOOKUP(tblSalaries[[#This Row],[Currency]],tblXrate[],2,FALSE)</f>
        <v>60000</v>
      </c>
      <c r="H428" t="s">
        <v>523</v>
      </c>
      <c r="I428" t="s">
        <v>52</v>
      </c>
      <c r="J428" t="s">
        <v>15</v>
      </c>
      <c r="K428" t="str">
        <f>VLOOKUP(tblSalaries[[#This Row],[Where do you work]],tblCountries[[Actual]:[Mapping]],2,FALSE)</f>
        <v>USA</v>
      </c>
      <c r="L428" t="s">
        <v>9</v>
      </c>
      <c r="N428" s="8" t="str">
        <f>VLOOKUP(K428,tblCountries[],3,0)</f>
        <v>North Amer.</v>
      </c>
      <c r="O428" s="8">
        <f>VLOOKUP(tblSalaries[[#This Row],[How many hours of a day you work on Excel]],tblHours,2,0)</f>
        <v>4</v>
      </c>
      <c r="P428" s="8">
        <f>VLOOKUP(tblSalaries[[#This Row],[clean Country]],tblCountries[],5,0)</f>
        <v>1</v>
      </c>
      <c r="Q428" s="8">
        <f>IF($Q$1,tblSalaries[[#This Row],[PPP Factor]]*tblSalaries[[#This Row],[Salary in USD]],tblSalaries[[#This Row],[Salary in USD]])</f>
        <v>60000</v>
      </c>
    </row>
    <row r="429" spans="2:17" ht="15" customHeight="1" x14ac:dyDescent="0.25">
      <c r="B429" t="s">
        <v>2432</v>
      </c>
      <c r="C429" s="1">
        <v>41055.106319444443</v>
      </c>
      <c r="D429" s="4">
        <v>76600</v>
      </c>
      <c r="E429">
        <v>76600</v>
      </c>
      <c r="F429" t="s">
        <v>6</v>
      </c>
      <c r="G429">
        <f>tblSalaries[[#This Row],[clean Salary (in local currency)]]*VLOOKUP(tblSalaries[[#This Row],[Currency]],tblXrate[],2,FALSE)</f>
        <v>76600</v>
      </c>
      <c r="H429" t="s">
        <v>20</v>
      </c>
      <c r="I429" t="s">
        <v>20</v>
      </c>
      <c r="J429" t="s">
        <v>15</v>
      </c>
      <c r="K429" t="str">
        <f>VLOOKUP(tblSalaries[[#This Row],[Where do you work]],tblCountries[[Actual]:[Mapping]],2,FALSE)</f>
        <v>USA</v>
      </c>
      <c r="L429" t="s">
        <v>18</v>
      </c>
      <c r="N429" s="8" t="str">
        <f>VLOOKUP(K429,tblCountries[],3,0)</f>
        <v>North Amer.</v>
      </c>
      <c r="O429" s="8">
        <f>VLOOKUP(tblSalaries[[#This Row],[How many hours of a day you work on Excel]],tblHours,2,0)</f>
        <v>3</v>
      </c>
      <c r="P429" s="8">
        <f>VLOOKUP(tblSalaries[[#This Row],[clean Country]],tblCountries[],5,0)</f>
        <v>1</v>
      </c>
      <c r="Q429" s="8">
        <f>IF($Q$1,tblSalaries[[#This Row],[PPP Factor]]*tblSalaries[[#This Row],[Salary in USD]],tblSalaries[[#This Row],[Salary in USD]])</f>
        <v>76600</v>
      </c>
    </row>
    <row r="430" spans="2:17" ht="15" customHeight="1" x14ac:dyDescent="0.25">
      <c r="B430" t="s">
        <v>2433</v>
      </c>
      <c r="C430" s="1">
        <v>41055.106365740743</v>
      </c>
      <c r="D430" s="4" t="s">
        <v>524</v>
      </c>
      <c r="E430">
        <v>65000</v>
      </c>
      <c r="F430" t="s">
        <v>69</v>
      </c>
      <c r="G430">
        <f>tblSalaries[[#This Row],[clean Salary (in local currency)]]*VLOOKUP(tblSalaries[[#This Row],[Currency]],tblXrate[],2,FALSE)</f>
        <v>102451.58768437347</v>
      </c>
      <c r="H430" t="s">
        <v>181</v>
      </c>
      <c r="I430" t="s">
        <v>488</v>
      </c>
      <c r="J430" t="s">
        <v>71</v>
      </c>
      <c r="K430" t="str">
        <f>VLOOKUP(tblSalaries[[#This Row],[Where do you work]],tblCountries[[Actual]:[Mapping]],2,FALSE)</f>
        <v>UK</v>
      </c>
      <c r="L430" t="s">
        <v>18</v>
      </c>
      <c r="N430" s="8" t="str">
        <f>VLOOKUP(K430,tblCountries[],3,0)</f>
        <v>Europe</v>
      </c>
      <c r="O430" s="8">
        <f>VLOOKUP(tblSalaries[[#This Row],[How many hours of a day you work on Excel]],tblHours,2,0)</f>
        <v>3</v>
      </c>
      <c r="P430" s="8">
        <f>VLOOKUP(tblSalaries[[#This Row],[clean Country]],tblCountries[],5,0)</f>
        <v>1.3407315045719035</v>
      </c>
      <c r="Q430" s="8">
        <f>IF($Q$1,tblSalaries[[#This Row],[PPP Factor]]*tblSalaries[[#This Row],[Salary in USD]],tblSalaries[[#This Row],[Salary in USD]])</f>
        <v>102451.58768437347</v>
      </c>
    </row>
    <row r="431" spans="2:17" ht="15" customHeight="1" x14ac:dyDescent="0.25">
      <c r="B431" t="s">
        <v>2434</v>
      </c>
      <c r="C431" s="1">
        <v>41055.106944444444</v>
      </c>
      <c r="D431" s="4" t="s">
        <v>525</v>
      </c>
      <c r="E431">
        <v>6629</v>
      </c>
      <c r="F431" t="s">
        <v>6</v>
      </c>
      <c r="G431">
        <f>tblSalaries[[#This Row],[clean Salary (in local currency)]]*VLOOKUP(tblSalaries[[#This Row],[Currency]],tblXrate[],2,FALSE)</f>
        <v>6629</v>
      </c>
      <c r="H431" t="s">
        <v>279</v>
      </c>
      <c r="I431" t="s">
        <v>279</v>
      </c>
      <c r="J431" t="s">
        <v>526</v>
      </c>
      <c r="K431" t="str">
        <f>VLOOKUP(tblSalaries[[#This Row],[Where do you work]],tblCountries[[Actual]:[Mapping]],2,FALSE)</f>
        <v>Dominican Republic</v>
      </c>
      <c r="L431" t="s">
        <v>13</v>
      </c>
      <c r="N431" s="8" t="str">
        <f>VLOOKUP(K431,tblCountries[],3,0)</f>
        <v>North Amer.</v>
      </c>
      <c r="O431" s="8">
        <f>VLOOKUP(tblSalaries[[#This Row],[How many hours of a day you work on Excel]],tblHours,2,0)</f>
        <v>5</v>
      </c>
      <c r="P431" s="8">
        <f>VLOOKUP(tblSalaries[[#This Row],[clean Country]],tblCountries[],5,0)</f>
        <v>5.2101862818994293</v>
      </c>
      <c r="Q431" s="8">
        <f>IF($Q$1,tblSalaries[[#This Row],[PPP Factor]]*tblSalaries[[#This Row],[Salary in USD]],tblSalaries[[#This Row],[Salary in USD]])</f>
        <v>6629</v>
      </c>
    </row>
    <row r="432" spans="2:17" ht="15" customHeight="1" x14ac:dyDescent="0.25">
      <c r="B432" t="s">
        <v>2435</v>
      </c>
      <c r="C432" s="1">
        <v>41055.107372685183</v>
      </c>
      <c r="D432" s="4">
        <v>90000</v>
      </c>
      <c r="E432">
        <v>90000</v>
      </c>
      <c r="F432" t="s">
        <v>6</v>
      </c>
      <c r="G432">
        <f>tblSalaries[[#This Row],[clean Salary (in local currency)]]*VLOOKUP(tblSalaries[[#This Row],[Currency]],tblXrate[],2,FALSE)</f>
        <v>90000</v>
      </c>
      <c r="H432" t="s">
        <v>527</v>
      </c>
      <c r="I432" t="s">
        <v>20</v>
      </c>
      <c r="J432" t="s">
        <v>15</v>
      </c>
      <c r="K432" t="str">
        <f>VLOOKUP(tblSalaries[[#This Row],[Where do you work]],tblCountries[[Actual]:[Mapping]],2,FALSE)</f>
        <v>USA</v>
      </c>
      <c r="L432" t="s">
        <v>25</v>
      </c>
      <c r="N432" s="8" t="str">
        <f>VLOOKUP(K432,tblCountries[],3,0)</f>
        <v>North Amer.</v>
      </c>
      <c r="O432" s="8">
        <f>VLOOKUP(tblSalaries[[#This Row],[How many hours of a day you work on Excel]],tblHours,2,0)</f>
        <v>2</v>
      </c>
      <c r="P432" s="8">
        <f>VLOOKUP(tblSalaries[[#This Row],[clean Country]],tblCountries[],5,0)</f>
        <v>1</v>
      </c>
      <c r="Q432" s="8">
        <f>IF($Q$1,tblSalaries[[#This Row],[PPP Factor]]*tblSalaries[[#This Row],[Salary in USD]],tblSalaries[[#This Row],[Salary in USD]])</f>
        <v>90000</v>
      </c>
    </row>
    <row r="433" spans="2:17" ht="15" customHeight="1" x14ac:dyDescent="0.25">
      <c r="B433" t="s">
        <v>2436</v>
      </c>
      <c r="C433" s="1">
        <v>41055.107754629629</v>
      </c>
      <c r="D433" s="4">
        <v>8500</v>
      </c>
      <c r="E433">
        <v>8500</v>
      </c>
      <c r="F433" t="s">
        <v>6</v>
      </c>
      <c r="G433">
        <f>tblSalaries[[#This Row],[clean Salary (in local currency)]]*VLOOKUP(tblSalaries[[#This Row],[Currency]],tblXrate[],2,FALSE)</f>
        <v>8500</v>
      </c>
      <c r="H433" t="s">
        <v>528</v>
      </c>
      <c r="I433" t="s">
        <v>20</v>
      </c>
      <c r="J433" t="s">
        <v>184</v>
      </c>
      <c r="K433" t="str">
        <f>VLOOKUP(tblSalaries[[#This Row],[Where do you work]],tblCountries[[Actual]:[Mapping]],2,FALSE)</f>
        <v>Colombia</v>
      </c>
      <c r="L433" t="s">
        <v>25</v>
      </c>
      <c r="N433" s="8" t="str">
        <f>VLOOKUP(K433,tblCountries[],3,0)</f>
        <v>South Amer.</v>
      </c>
      <c r="O433" s="8">
        <f>VLOOKUP(tblSalaries[[#This Row],[How many hours of a day you work on Excel]],tblHours,2,0)</f>
        <v>2</v>
      </c>
      <c r="P433" s="8">
        <f>VLOOKUP(tblSalaries[[#This Row],[clean Country]],tblCountries[],5,0)</f>
        <v>4.721143526197678</v>
      </c>
      <c r="Q433" s="8">
        <f>IF($Q$1,tblSalaries[[#This Row],[PPP Factor]]*tblSalaries[[#This Row],[Salary in USD]],tblSalaries[[#This Row],[Salary in USD]])</f>
        <v>8500</v>
      </c>
    </row>
    <row r="434" spans="2:17" ht="15" customHeight="1" x14ac:dyDescent="0.25">
      <c r="B434" t="s">
        <v>2437</v>
      </c>
      <c r="C434" s="1">
        <v>41055.107766203706</v>
      </c>
      <c r="D434" s="4">
        <v>75000</v>
      </c>
      <c r="E434">
        <v>75000</v>
      </c>
      <c r="F434" t="s">
        <v>6</v>
      </c>
      <c r="G434">
        <f>tblSalaries[[#This Row],[clean Salary (in local currency)]]*VLOOKUP(tblSalaries[[#This Row],[Currency]],tblXrate[],2,FALSE)</f>
        <v>75000</v>
      </c>
      <c r="H434" t="s">
        <v>529</v>
      </c>
      <c r="I434" t="s">
        <v>20</v>
      </c>
      <c r="J434" t="s">
        <v>15</v>
      </c>
      <c r="K434" t="str">
        <f>VLOOKUP(tblSalaries[[#This Row],[Where do you work]],tblCountries[[Actual]:[Mapping]],2,FALSE)</f>
        <v>USA</v>
      </c>
      <c r="L434" t="s">
        <v>9</v>
      </c>
      <c r="N434" s="8" t="str">
        <f>VLOOKUP(K434,tblCountries[],3,0)</f>
        <v>North Amer.</v>
      </c>
      <c r="O434" s="8">
        <f>VLOOKUP(tblSalaries[[#This Row],[How many hours of a day you work on Excel]],tblHours,2,0)</f>
        <v>4</v>
      </c>
      <c r="P434" s="8">
        <f>VLOOKUP(tblSalaries[[#This Row],[clean Country]],tblCountries[],5,0)</f>
        <v>1</v>
      </c>
      <c r="Q434" s="8">
        <f>IF($Q$1,tblSalaries[[#This Row],[PPP Factor]]*tblSalaries[[#This Row],[Salary in USD]],tblSalaries[[#This Row],[Salary in USD]])</f>
        <v>75000</v>
      </c>
    </row>
    <row r="435" spans="2:17" ht="15" customHeight="1" x14ac:dyDescent="0.25">
      <c r="B435" t="s">
        <v>2438</v>
      </c>
      <c r="C435" s="1">
        <v>41055.109606481485</v>
      </c>
      <c r="D435" s="4">
        <v>72000</v>
      </c>
      <c r="E435">
        <v>72000</v>
      </c>
      <c r="F435" t="s">
        <v>6</v>
      </c>
      <c r="G435">
        <f>tblSalaries[[#This Row],[clean Salary (in local currency)]]*VLOOKUP(tblSalaries[[#This Row],[Currency]],tblXrate[],2,FALSE)</f>
        <v>72000</v>
      </c>
      <c r="H435" t="s">
        <v>530</v>
      </c>
      <c r="I435" t="s">
        <v>20</v>
      </c>
      <c r="J435" t="s">
        <v>15</v>
      </c>
      <c r="K435" t="str">
        <f>VLOOKUP(tblSalaries[[#This Row],[Where do you work]],tblCountries[[Actual]:[Mapping]],2,FALSE)</f>
        <v>USA</v>
      </c>
      <c r="L435" t="s">
        <v>18</v>
      </c>
      <c r="N435" s="8" t="str">
        <f>VLOOKUP(K435,tblCountries[],3,0)</f>
        <v>North Amer.</v>
      </c>
      <c r="O435" s="8">
        <f>VLOOKUP(tblSalaries[[#This Row],[How many hours of a day you work on Excel]],tblHours,2,0)</f>
        <v>3</v>
      </c>
      <c r="P435" s="8">
        <f>VLOOKUP(tblSalaries[[#This Row],[clean Country]],tblCountries[],5,0)</f>
        <v>1</v>
      </c>
      <c r="Q435" s="8">
        <f>IF($Q$1,tblSalaries[[#This Row],[PPP Factor]]*tblSalaries[[#This Row],[Salary in USD]],tblSalaries[[#This Row],[Salary in USD]])</f>
        <v>72000</v>
      </c>
    </row>
    <row r="436" spans="2:17" ht="15" customHeight="1" x14ac:dyDescent="0.25">
      <c r="B436" t="s">
        <v>2439</v>
      </c>
      <c r="C436" s="1">
        <v>41055.110115740739</v>
      </c>
      <c r="D436" s="4">
        <v>65000</v>
      </c>
      <c r="E436">
        <v>65000</v>
      </c>
      <c r="F436" t="s">
        <v>6</v>
      </c>
      <c r="G436">
        <f>tblSalaries[[#This Row],[clean Salary (in local currency)]]*VLOOKUP(tblSalaries[[#This Row],[Currency]],tblXrate[],2,FALSE)</f>
        <v>65000</v>
      </c>
      <c r="H436" t="s">
        <v>531</v>
      </c>
      <c r="I436" t="s">
        <v>20</v>
      </c>
      <c r="J436" t="s">
        <v>15</v>
      </c>
      <c r="K436" t="str">
        <f>VLOOKUP(tblSalaries[[#This Row],[Where do you work]],tblCountries[[Actual]:[Mapping]],2,FALSE)</f>
        <v>USA</v>
      </c>
      <c r="L436" t="s">
        <v>9</v>
      </c>
      <c r="N436" s="8" t="str">
        <f>VLOOKUP(K436,tblCountries[],3,0)</f>
        <v>North Amer.</v>
      </c>
      <c r="O436" s="8">
        <f>VLOOKUP(tblSalaries[[#This Row],[How many hours of a day you work on Excel]],tblHours,2,0)</f>
        <v>4</v>
      </c>
      <c r="P436" s="8">
        <f>VLOOKUP(tblSalaries[[#This Row],[clean Country]],tblCountries[],5,0)</f>
        <v>1</v>
      </c>
      <c r="Q436" s="8">
        <f>IF($Q$1,tblSalaries[[#This Row],[PPP Factor]]*tblSalaries[[#This Row],[Salary in USD]],tblSalaries[[#This Row],[Salary in USD]])</f>
        <v>65000</v>
      </c>
    </row>
    <row r="437" spans="2:17" ht="15" customHeight="1" x14ac:dyDescent="0.25">
      <c r="B437" t="s">
        <v>2440</v>
      </c>
      <c r="C437" s="1">
        <v>41055.111064814817</v>
      </c>
      <c r="D437" s="4">
        <v>120000</v>
      </c>
      <c r="E437">
        <v>120000</v>
      </c>
      <c r="F437" t="s">
        <v>6</v>
      </c>
      <c r="G437">
        <f>tblSalaries[[#This Row],[clean Salary (in local currency)]]*VLOOKUP(tblSalaries[[#This Row],[Currency]],tblXrate[],2,FALSE)</f>
        <v>120000</v>
      </c>
      <c r="H437" t="s">
        <v>139</v>
      </c>
      <c r="I437" t="s">
        <v>4001</v>
      </c>
      <c r="J437" t="s">
        <v>15</v>
      </c>
      <c r="K437" t="str">
        <f>VLOOKUP(tblSalaries[[#This Row],[Where do you work]],tblCountries[[Actual]:[Mapping]],2,FALSE)</f>
        <v>USA</v>
      </c>
      <c r="L437" t="s">
        <v>25</v>
      </c>
      <c r="N437" s="8" t="str">
        <f>VLOOKUP(K437,tblCountries[],3,0)</f>
        <v>North Amer.</v>
      </c>
      <c r="O437" s="8">
        <f>VLOOKUP(tblSalaries[[#This Row],[How many hours of a day you work on Excel]],tblHours,2,0)</f>
        <v>2</v>
      </c>
      <c r="P437" s="8">
        <f>VLOOKUP(tblSalaries[[#This Row],[clean Country]],tblCountries[],5,0)</f>
        <v>1</v>
      </c>
      <c r="Q437" s="8">
        <f>IF($Q$1,tblSalaries[[#This Row],[PPP Factor]]*tblSalaries[[#This Row],[Salary in USD]],tblSalaries[[#This Row],[Salary in USD]])</f>
        <v>120000</v>
      </c>
    </row>
    <row r="438" spans="2:17" ht="15" customHeight="1" x14ac:dyDescent="0.25">
      <c r="B438" t="s">
        <v>2441</v>
      </c>
      <c r="C438" s="1">
        <v>41055.111562500002</v>
      </c>
      <c r="D438" s="4" t="s">
        <v>532</v>
      </c>
      <c r="E438">
        <v>4000000</v>
      </c>
      <c r="F438" t="s">
        <v>40</v>
      </c>
      <c r="G438">
        <f>tblSalaries[[#This Row],[clean Salary (in local currency)]]*VLOOKUP(tblSalaries[[#This Row],[Currency]],tblXrate[],2,FALSE)</f>
        <v>71231.666749770273</v>
      </c>
      <c r="H438" t="s">
        <v>533</v>
      </c>
      <c r="I438" t="s">
        <v>310</v>
      </c>
      <c r="J438" t="s">
        <v>8</v>
      </c>
      <c r="K438" t="str">
        <f>VLOOKUP(tblSalaries[[#This Row],[Where do you work]],tblCountries[[Actual]:[Mapping]],2,FALSE)</f>
        <v>India</v>
      </c>
      <c r="L438" t="s">
        <v>13</v>
      </c>
      <c r="N438" s="8" t="str">
        <f>VLOOKUP(K438,tblCountries[],3,0)</f>
        <v>Asia</v>
      </c>
      <c r="O438" s="8">
        <f>VLOOKUP(tblSalaries[[#This Row],[How many hours of a day you work on Excel]],tblHours,2,0)</f>
        <v>5</v>
      </c>
      <c r="P438" s="8">
        <f>VLOOKUP(tblSalaries[[#This Row],[clean Country]],tblCountries[],5,0)</f>
        <v>13.098808879263672</v>
      </c>
      <c r="Q438" s="8">
        <f>IF($Q$1,tblSalaries[[#This Row],[PPP Factor]]*tblSalaries[[#This Row],[Salary in USD]],tblSalaries[[#This Row],[Salary in USD]])</f>
        <v>71231.666749770273</v>
      </c>
    </row>
    <row r="439" spans="2:17" ht="15" customHeight="1" x14ac:dyDescent="0.25">
      <c r="B439" t="s">
        <v>2442</v>
      </c>
      <c r="C439" s="1">
        <v>41055.11273148148</v>
      </c>
      <c r="D439" s="4" t="s">
        <v>534</v>
      </c>
      <c r="E439">
        <v>300000</v>
      </c>
      <c r="F439" t="s">
        <v>40</v>
      </c>
      <c r="G439">
        <f>tblSalaries[[#This Row],[clean Salary (in local currency)]]*VLOOKUP(tblSalaries[[#This Row],[Currency]],tblXrate[],2,FALSE)</f>
        <v>5342.3750062327708</v>
      </c>
      <c r="H439" t="s">
        <v>535</v>
      </c>
      <c r="I439" t="s">
        <v>52</v>
      </c>
      <c r="J439" t="s">
        <v>8</v>
      </c>
      <c r="K439" t="str">
        <f>VLOOKUP(tblSalaries[[#This Row],[Where do you work]],tblCountries[[Actual]:[Mapping]],2,FALSE)</f>
        <v>India</v>
      </c>
      <c r="L439" t="s">
        <v>9</v>
      </c>
      <c r="N439" s="8" t="str">
        <f>VLOOKUP(K439,tblCountries[],3,0)</f>
        <v>Asia</v>
      </c>
      <c r="O439" s="8">
        <f>VLOOKUP(tblSalaries[[#This Row],[How many hours of a day you work on Excel]],tblHours,2,0)</f>
        <v>4</v>
      </c>
      <c r="P439" s="8">
        <f>VLOOKUP(tblSalaries[[#This Row],[clean Country]],tblCountries[],5,0)</f>
        <v>13.098808879263672</v>
      </c>
      <c r="Q439" s="8">
        <f>IF($Q$1,tblSalaries[[#This Row],[PPP Factor]]*tblSalaries[[#This Row],[Salary in USD]],tblSalaries[[#This Row],[Salary in USD]])</f>
        <v>5342.3750062327708</v>
      </c>
    </row>
    <row r="440" spans="2:17" ht="15" customHeight="1" x14ac:dyDescent="0.25">
      <c r="B440" t="s">
        <v>2443</v>
      </c>
      <c r="C440" s="1">
        <v>41055.113437499997</v>
      </c>
      <c r="D440" s="4">
        <v>1100000</v>
      </c>
      <c r="E440">
        <v>1100000</v>
      </c>
      <c r="F440" t="s">
        <v>40</v>
      </c>
      <c r="G440">
        <f>tblSalaries[[#This Row],[clean Salary (in local currency)]]*VLOOKUP(tblSalaries[[#This Row],[Currency]],tblXrate[],2,FALSE)</f>
        <v>19588.708356186824</v>
      </c>
      <c r="H440" t="s">
        <v>536</v>
      </c>
      <c r="I440" t="s">
        <v>52</v>
      </c>
      <c r="J440" t="s">
        <v>8</v>
      </c>
      <c r="K440" t="str">
        <f>VLOOKUP(tblSalaries[[#This Row],[Where do you work]],tblCountries[[Actual]:[Mapping]],2,FALSE)</f>
        <v>India</v>
      </c>
      <c r="L440" t="s">
        <v>9</v>
      </c>
      <c r="N440" s="8" t="str">
        <f>VLOOKUP(K440,tblCountries[],3,0)</f>
        <v>Asia</v>
      </c>
      <c r="O440" s="8">
        <f>VLOOKUP(tblSalaries[[#This Row],[How many hours of a day you work on Excel]],tblHours,2,0)</f>
        <v>4</v>
      </c>
      <c r="P440" s="8">
        <f>VLOOKUP(tblSalaries[[#This Row],[clean Country]],tblCountries[],5,0)</f>
        <v>13.098808879263672</v>
      </c>
      <c r="Q440" s="8">
        <f>IF($Q$1,tblSalaries[[#This Row],[PPP Factor]]*tblSalaries[[#This Row],[Salary in USD]],tblSalaries[[#This Row],[Salary in USD]])</f>
        <v>19588.708356186824</v>
      </c>
    </row>
    <row r="441" spans="2:17" ht="15" customHeight="1" x14ac:dyDescent="0.25">
      <c r="B441" t="s">
        <v>2444</v>
      </c>
      <c r="C441" s="1">
        <v>41055.115486111114</v>
      </c>
      <c r="D441" s="4">
        <v>80000</v>
      </c>
      <c r="E441">
        <v>80000</v>
      </c>
      <c r="F441" t="s">
        <v>6</v>
      </c>
      <c r="G441">
        <f>tblSalaries[[#This Row],[clean Salary (in local currency)]]*VLOOKUP(tblSalaries[[#This Row],[Currency]],tblXrate[],2,FALSE)</f>
        <v>80000</v>
      </c>
      <c r="H441" t="s">
        <v>537</v>
      </c>
      <c r="I441" t="s">
        <v>20</v>
      </c>
      <c r="J441" t="s">
        <v>15</v>
      </c>
      <c r="K441" t="str">
        <f>VLOOKUP(tblSalaries[[#This Row],[Where do you work]],tblCountries[[Actual]:[Mapping]],2,FALSE)</f>
        <v>USA</v>
      </c>
      <c r="L441" t="s">
        <v>9</v>
      </c>
      <c r="N441" s="8" t="str">
        <f>VLOOKUP(K441,tblCountries[],3,0)</f>
        <v>North Amer.</v>
      </c>
      <c r="O441" s="8">
        <f>VLOOKUP(tblSalaries[[#This Row],[How many hours of a day you work on Excel]],tblHours,2,0)</f>
        <v>4</v>
      </c>
      <c r="P441" s="8">
        <f>VLOOKUP(tblSalaries[[#This Row],[clean Country]],tblCountries[],5,0)</f>
        <v>1</v>
      </c>
      <c r="Q441" s="8">
        <f>IF($Q$1,tblSalaries[[#This Row],[PPP Factor]]*tblSalaries[[#This Row],[Salary in USD]],tblSalaries[[#This Row],[Salary in USD]])</f>
        <v>80000</v>
      </c>
    </row>
    <row r="442" spans="2:17" ht="15" customHeight="1" x14ac:dyDescent="0.25">
      <c r="B442" t="s">
        <v>2445</v>
      </c>
      <c r="C442" s="1">
        <v>41055.115925925929</v>
      </c>
      <c r="D442" s="4" t="s">
        <v>538</v>
      </c>
      <c r="E442">
        <v>3000000</v>
      </c>
      <c r="F442" t="s">
        <v>40</v>
      </c>
      <c r="G442">
        <f>tblSalaries[[#This Row],[clean Salary (in local currency)]]*VLOOKUP(tblSalaries[[#This Row],[Currency]],tblXrate[],2,FALSE)</f>
        <v>53423.750062327701</v>
      </c>
      <c r="H442" t="s">
        <v>539</v>
      </c>
      <c r="I442" t="s">
        <v>52</v>
      </c>
      <c r="J442" t="s">
        <v>8</v>
      </c>
      <c r="K442" t="str">
        <f>VLOOKUP(tblSalaries[[#This Row],[Where do you work]],tblCountries[[Actual]:[Mapping]],2,FALSE)</f>
        <v>India</v>
      </c>
      <c r="L442" t="s">
        <v>9</v>
      </c>
      <c r="N442" s="8" t="str">
        <f>VLOOKUP(K442,tblCountries[],3,0)</f>
        <v>Asia</v>
      </c>
      <c r="O442" s="8">
        <f>VLOOKUP(tblSalaries[[#This Row],[How many hours of a day you work on Excel]],tblHours,2,0)</f>
        <v>4</v>
      </c>
      <c r="P442" s="8">
        <f>VLOOKUP(tblSalaries[[#This Row],[clean Country]],tblCountries[],5,0)</f>
        <v>13.098808879263672</v>
      </c>
      <c r="Q442" s="8">
        <f>IF($Q$1,tblSalaries[[#This Row],[PPP Factor]]*tblSalaries[[#This Row],[Salary in USD]],tblSalaries[[#This Row],[Salary in USD]])</f>
        <v>53423.750062327701</v>
      </c>
    </row>
    <row r="443" spans="2:17" ht="15" customHeight="1" x14ac:dyDescent="0.25">
      <c r="B443" t="s">
        <v>2446</v>
      </c>
      <c r="C443" s="1">
        <v>41055.117037037038</v>
      </c>
      <c r="D443" s="4">
        <v>110000</v>
      </c>
      <c r="E443">
        <v>110000</v>
      </c>
      <c r="F443" t="s">
        <v>86</v>
      </c>
      <c r="G443">
        <f>tblSalaries[[#This Row],[clean Salary (in local currency)]]*VLOOKUP(tblSalaries[[#This Row],[Currency]],tblXrate[],2,FALSE)</f>
        <v>108169.76753333595</v>
      </c>
      <c r="H443" t="s">
        <v>540</v>
      </c>
      <c r="I443" t="s">
        <v>488</v>
      </c>
      <c r="J443" t="s">
        <v>541</v>
      </c>
      <c r="K443" t="str">
        <f>VLOOKUP(tblSalaries[[#This Row],[Where do you work]],tblCountries[[Actual]:[Mapping]],2,FALSE)</f>
        <v>Canada</v>
      </c>
      <c r="L443" t="s">
        <v>18</v>
      </c>
      <c r="N443" s="8" t="str">
        <f>VLOOKUP(K443,tblCountries[],3,0)</f>
        <v>North Amer.</v>
      </c>
      <c r="O443" s="8">
        <f>VLOOKUP(tblSalaries[[#This Row],[How many hours of a day you work on Excel]],tblHours,2,0)</f>
        <v>3</v>
      </c>
      <c r="P443" s="8">
        <f>VLOOKUP(tblSalaries[[#This Row],[clean Country]],tblCountries[],5,0)</f>
        <v>1.1935324732986359</v>
      </c>
      <c r="Q443" s="8">
        <f>IF($Q$1,tblSalaries[[#This Row],[PPP Factor]]*tblSalaries[[#This Row],[Salary in USD]],tblSalaries[[#This Row],[Salary in USD]])</f>
        <v>108169.76753333595</v>
      </c>
    </row>
    <row r="444" spans="2:17" ht="15" customHeight="1" x14ac:dyDescent="0.25">
      <c r="B444" t="s">
        <v>2447</v>
      </c>
      <c r="C444" s="1">
        <v>41055.117638888885</v>
      </c>
      <c r="D444" s="4">
        <v>51000</v>
      </c>
      <c r="E444">
        <v>51000</v>
      </c>
      <c r="F444" t="s">
        <v>6</v>
      </c>
      <c r="G444">
        <f>tblSalaries[[#This Row],[clean Salary (in local currency)]]*VLOOKUP(tblSalaries[[#This Row],[Currency]],tblXrate[],2,FALSE)</f>
        <v>51000</v>
      </c>
      <c r="H444" t="s">
        <v>542</v>
      </c>
      <c r="I444" t="s">
        <v>52</v>
      </c>
      <c r="J444" t="s">
        <v>15</v>
      </c>
      <c r="K444" t="str">
        <f>VLOOKUP(tblSalaries[[#This Row],[Where do you work]],tblCountries[[Actual]:[Mapping]],2,FALSE)</f>
        <v>USA</v>
      </c>
      <c r="L444" t="s">
        <v>18</v>
      </c>
      <c r="N444" s="8" t="str">
        <f>VLOOKUP(K444,tblCountries[],3,0)</f>
        <v>North Amer.</v>
      </c>
      <c r="O444" s="8">
        <f>VLOOKUP(tblSalaries[[#This Row],[How many hours of a day you work on Excel]],tblHours,2,0)</f>
        <v>3</v>
      </c>
      <c r="P444" s="8">
        <f>VLOOKUP(tblSalaries[[#This Row],[clean Country]],tblCountries[],5,0)</f>
        <v>1</v>
      </c>
      <c r="Q444" s="8">
        <f>IF($Q$1,tblSalaries[[#This Row],[PPP Factor]]*tblSalaries[[#This Row],[Salary in USD]],tblSalaries[[#This Row],[Salary in USD]])</f>
        <v>51000</v>
      </c>
    </row>
    <row r="445" spans="2:17" ht="15" customHeight="1" x14ac:dyDescent="0.25">
      <c r="B445" t="s">
        <v>2448</v>
      </c>
      <c r="C445" s="1">
        <v>41055.11824074074</v>
      </c>
      <c r="D445" s="4" t="s">
        <v>543</v>
      </c>
      <c r="E445">
        <v>5000</v>
      </c>
      <c r="F445" t="s">
        <v>6</v>
      </c>
      <c r="G445">
        <f>tblSalaries[[#This Row],[clean Salary (in local currency)]]*VLOOKUP(tblSalaries[[#This Row],[Currency]],tblXrate[],2,FALSE)</f>
        <v>5000</v>
      </c>
      <c r="H445" t="s">
        <v>544</v>
      </c>
      <c r="I445" t="s">
        <v>3999</v>
      </c>
      <c r="J445" t="s">
        <v>8</v>
      </c>
      <c r="K445" t="str">
        <f>VLOOKUP(tblSalaries[[#This Row],[Where do you work]],tblCountries[[Actual]:[Mapping]],2,FALSE)</f>
        <v>India</v>
      </c>
      <c r="L445" t="s">
        <v>9</v>
      </c>
      <c r="N445" s="8" t="str">
        <f>VLOOKUP(K445,tblCountries[],3,0)</f>
        <v>Asia</v>
      </c>
      <c r="O445" s="8">
        <f>VLOOKUP(tblSalaries[[#This Row],[How many hours of a day you work on Excel]],tblHours,2,0)</f>
        <v>4</v>
      </c>
      <c r="P445" s="8">
        <f>VLOOKUP(tblSalaries[[#This Row],[clean Country]],tblCountries[],5,0)</f>
        <v>13.098808879263672</v>
      </c>
      <c r="Q445" s="8">
        <f>IF($Q$1,tblSalaries[[#This Row],[PPP Factor]]*tblSalaries[[#This Row],[Salary in USD]],tblSalaries[[#This Row],[Salary in USD]])</f>
        <v>5000</v>
      </c>
    </row>
    <row r="446" spans="2:17" ht="15" customHeight="1" x14ac:dyDescent="0.25">
      <c r="B446" t="s">
        <v>2449</v>
      </c>
      <c r="C446" s="1">
        <v>41055.120474537034</v>
      </c>
      <c r="D446" s="4">
        <v>74000</v>
      </c>
      <c r="E446">
        <v>74000</v>
      </c>
      <c r="F446" t="s">
        <v>6</v>
      </c>
      <c r="G446">
        <f>tblSalaries[[#This Row],[clean Salary (in local currency)]]*VLOOKUP(tblSalaries[[#This Row],[Currency]],tblXrate[],2,FALSE)</f>
        <v>74000</v>
      </c>
      <c r="H446" t="s">
        <v>279</v>
      </c>
      <c r="I446" t="s">
        <v>279</v>
      </c>
      <c r="J446" t="s">
        <v>15</v>
      </c>
      <c r="K446" t="str">
        <f>VLOOKUP(tblSalaries[[#This Row],[Where do you work]],tblCountries[[Actual]:[Mapping]],2,FALSE)</f>
        <v>USA</v>
      </c>
      <c r="L446" t="s">
        <v>9</v>
      </c>
      <c r="N446" s="8" t="str">
        <f>VLOOKUP(K446,tblCountries[],3,0)</f>
        <v>North Amer.</v>
      </c>
      <c r="O446" s="8">
        <f>VLOOKUP(tblSalaries[[#This Row],[How many hours of a day you work on Excel]],tblHours,2,0)</f>
        <v>4</v>
      </c>
      <c r="P446" s="8">
        <f>VLOOKUP(tblSalaries[[#This Row],[clean Country]],tblCountries[],5,0)</f>
        <v>1</v>
      </c>
      <c r="Q446" s="8">
        <f>IF($Q$1,tblSalaries[[#This Row],[PPP Factor]]*tblSalaries[[#This Row],[Salary in USD]],tblSalaries[[#This Row],[Salary in USD]])</f>
        <v>74000</v>
      </c>
    </row>
    <row r="447" spans="2:17" ht="15" customHeight="1" x14ac:dyDescent="0.25">
      <c r="B447" t="s">
        <v>2450</v>
      </c>
      <c r="C447" s="1">
        <v>41055.120694444442</v>
      </c>
      <c r="D447" s="4" t="s">
        <v>330</v>
      </c>
      <c r="E447">
        <v>60000</v>
      </c>
      <c r="F447" t="s">
        <v>69</v>
      </c>
      <c r="G447">
        <f>tblSalaries[[#This Row],[clean Salary (in local currency)]]*VLOOKUP(tblSalaries[[#This Row],[Currency]],tblXrate[],2,FALSE)</f>
        <v>94570.696324037053</v>
      </c>
      <c r="H447" t="s">
        <v>325</v>
      </c>
      <c r="I447" t="s">
        <v>356</v>
      </c>
      <c r="J447" t="s">
        <v>71</v>
      </c>
      <c r="K447" t="str">
        <f>VLOOKUP(tblSalaries[[#This Row],[Where do you work]],tblCountries[[Actual]:[Mapping]],2,FALSE)</f>
        <v>UK</v>
      </c>
      <c r="L447" t="s">
        <v>9</v>
      </c>
      <c r="N447" s="8" t="str">
        <f>VLOOKUP(K447,tblCountries[],3,0)</f>
        <v>Europe</v>
      </c>
      <c r="O447" s="8">
        <f>VLOOKUP(tblSalaries[[#This Row],[How many hours of a day you work on Excel]],tblHours,2,0)</f>
        <v>4</v>
      </c>
      <c r="P447" s="8">
        <f>VLOOKUP(tblSalaries[[#This Row],[clean Country]],tblCountries[],5,0)</f>
        <v>1.3407315045719035</v>
      </c>
      <c r="Q447" s="8">
        <f>IF($Q$1,tblSalaries[[#This Row],[PPP Factor]]*tblSalaries[[#This Row],[Salary in USD]],tblSalaries[[#This Row],[Salary in USD]])</f>
        <v>94570.696324037053</v>
      </c>
    </row>
    <row r="448" spans="2:17" ht="15" customHeight="1" x14ac:dyDescent="0.25">
      <c r="B448" t="s">
        <v>2451</v>
      </c>
      <c r="C448" s="1">
        <v>41055.121840277781</v>
      </c>
      <c r="D448" s="4">
        <v>50000</v>
      </c>
      <c r="E448">
        <v>50000</v>
      </c>
      <c r="F448" t="s">
        <v>6</v>
      </c>
      <c r="G448">
        <f>tblSalaries[[#This Row],[clean Salary (in local currency)]]*VLOOKUP(tblSalaries[[#This Row],[Currency]],tblXrate[],2,FALSE)</f>
        <v>50000</v>
      </c>
      <c r="H448" t="s">
        <v>545</v>
      </c>
      <c r="I448" t="s">
        <v>20</v>
      </c>
      <c r="J448" t="s">
        <v>15</v>
      </c>
      <c r="K448" t="str">
        <f>VLOOKUP(tblSalaries[[#This Row],[Where do you work]],tblCountries[[Actual]:[Mapping]],2,FALSE)</f>
        <v>USA</v>
      </c>
      <c r="L448" t="s">
        <v>9</v>
      </c>
      <c r="N448" s="8" t="str">
        <f>VLOOKUP(K448,tblCountries[],3,0)</f>
        <v>North Amer.</v>
      </c>
      <c r="O448" s="8">
        <f>VLOOKUP(tblSalaries[[#This Row],[How many hours of a day you work on Excel]],tblHours,2,0)</f>
        <v>4</v>
      </c>
      <c r="P448" s="8">
        <f>VLOOKUP(tblSalaries[[#This Row],[clean Country]],tblCountries[],5,0)</f>
        <v>1</v>
      </c>
      <c r="Q448" s="8">
        <f>IF($Q$1,tblSalaries[[#This Row],[PPP Factor]]*tblSalaries[[#This Row],[Salary in USD]],tblSalaries[[#This Row],[Salary in USD]])</f>
        <v>50000</v>
      </c>
    </row>
    <row r="449" spans="2:17" ht="15" customHeight="1" x14ac:dyDescent="0.25">
      <c r="B449" t="s">
        <v>2452</v>
      </c>
      <c r="C449" s="1">
        <v>41055.121863425928</v>
      </c>
      <c r="D449" s="4" t="s">
        <v>546</v>
      </c>
      <c r="E449">
        <v>500000</v>
      </c>
      <c r="F449" t="s">
        <v>40</v>
      </c>
      <c r="G449">
        <f>tblSalaries[[#This Row],[clean Salary (in local currency)]]*VLOOKUP(tblSalaries[[#This Row],[Currency]],tblXrate[],2,FALSE)</f>
        <v>8903.9583437212841</v>
      </c>
      <c r="H449" t="s">
        <v>207</v>
      </c>
      <c r="I449" t="s">
        <v>20</v>
      </c>
      <c r="J449" t="s">
        <v>8</v>
      </c>
      <c r="K449" t="str">
        <f>VLOOKUP(tblSalaries[[#This Row],[Where do you work]],tblCountries[[Actual]:[Mapping]],2,FALSE)</f>
        <v>India</v>
      </c>
      <c r="L449" t="s">
        <v>9</v>
      </c>
      <c r="N449" s="8" t="str">
        <f>VLOOKUP(K449,tblCountries[],3,0)</f>
        <v>Asia</v>
      </c>
      <c r="O449" s="8">
        <f>VLOOKUP(tblSalaries[[#This Row],[How many hours of a day you work on Excel]],tblHours,2,0)</f>
        <v>4</v>
      </c>
      <c r="P449" s="8">
        <f>VLOOKUP(tblSalaries[[#This Row],[clean Country]],tblCountries[],5,0)</f>
        <v>13.098808879263672</v>
      </c>
      <c r="Q449" s="8">
        <f>IF($Q$1,tblSalaries[[#This Row],[PPP Factor]]*tblSalaries[[#This Row],[Salary in USD]],tblSalaries[[#This Row],[Salary in USD]])</f>
        <v>8903.9583437212841</v>
      </c>
    </row>
    <row r="450" spans="2:17" ht="15" customHeight="1" x14ac:dyDescent="0.25">
      <c r="B450" t="s">
        <v>2453</v>
      </c>
      <c r="C450" s="1">
        <v>41055.123287037037</v>
      </c>
      <c r="D450" s="4">
        <v>78000</v>
      </c>
      <c r="E450">
        <v>78000</v>
      </c>
      <c r="F450" t="s">
        <v>6</v>
      </c>
      <c r="G450">
        <f>tblSalaries[[#This Row],[clean Salary (in local currency)]]*VLOOKUP(tblSalaries[[#This Row],[Currency]],tblXrate[],2,FALSE)</f>
        <v>78000</v>
      </c>
      <c r="H450" t="s">
        <v>547</v>
      </c>
      <c r="I450" t="s">
        <v>52</v>
      </c>
      <c r="J450" t="s">
        <v>548</v>
      </c>
      <c r="K450" t="str">
        <f>VLOOKUP(tblSalaries[[#This Row],[Where do you work]],tblCountries[[Actual]:[Mapping]],2,FALSE)</f>
        <v>Somalia</v>
      </c>
      <c r="L450" t="s">
        <v>9</v>
      </c>
      <c r="N450" s="8" t="str">
        <f>VLOOKUP(K450,tblCountries[],3,0)</f>
        <v>Africa</v>
      </c>
      <c r="O450" s="8">
        <f>VLOOKUP(tblSalaries[[#This Row],[How many hours of a day you work on Excel]],tblHours,2,0)</f>
        <v>4</v>
      </c>
      <c r="P450" s="8">
        <f>VLOOKUP(tblSalaries[[#This Row],[clean Country]],tblCountries[],5,0)</f>
        <v>1</v>
      </c>
      <c r="Q450" s="8">
        <f>IF($Q$1,tblSalaries[[#This Row],[PPP Factor]]*tblSalaries[[#This Row],[Salary in USD]],tblSalaries[[#This Row],[Salary in USD]])</f>
        <v>78000</v>
      </c>
    </row>
    <row r="451" spans="2:17" ht="15" customHeight="1" x14ac:dyDescent="0.25">
      <c r="B451" t="s">
        <v>2454</v>
      </c>
      <c r="C451" s="1">
        <v>41055.123460648145</v>
      </c>
      <c r="D451" s="4">
        <v>900000</v>
      </c>
      <c r="E451">
        <v>900000</v>
      </c>
      <c r="F451" t="s">
        <v>40</v>
      </c>
      <c r="G451">
        <f>tblSalaries[[#This Row],[clean Salary (in local currency)]]*VLOOKUP(tblSalaries[[#This Row],[Currency]],tblXrate[],2,FALSE)</f>
        <v>16027.125018698311</v>
      </c>
      <c r="H451" t="s">
        <v>549</v>
      </c>
      <c r="I451" t="s">
        <v>52</v>
      </c>
      <c r="J451" t="s">
        <v>8</v>
      </c>
      <c r="K451" t="str">
        <f>VLOOKUP(tblSalaries[[#This Row],[Where do you work]],tblCountries[[Actual]:[Mapping]],2,FALSE)</f>
        <v>India</v>
      </c>
      <c r="L451" t="s">
        <v>25</v>
      </c>
      <c r="N451" s="8" t="str">
        <f>VLOOKUP(K451,tblCountries[],3,0)</f>
        <v>Asia</v>
      </c>
      <c r="O451" s="8">
        <f>VLOOKUP(tblSalaries[[#This Row],[How many hours of a day you work on Excel]],tblHours,2,0)</f>
        <v>2</v>
      </c>
      <c r="P451" s="8">
        <f>VLOOKUP(tblSalaries[[#This Row],[clean Country]],tblCountries[],5,0)</f>
        <v>13.098808879263672</v>
      </c>
      <c r="Q451" s="8">
        <f>IF($Q$1,tblSalaries[[#This Row],[PPP Factor]]*tblSalaries[[#This Row],[Salary in USD]],tblSalaries[[#This Row],[Salary in USD]])</f>
        <v>16027.125018698311</v>
      </c>
    </row>
    <row r="452" spans="2:17" ht="15" customHeight="1" x14ac:dyDescent="0.25">
      <c r="B452" t="s">
        <v>2455</v>
      </c>
      <c r="C452" s="1">
        <v>41055.12605324074</v>
      </c>
      <c r="D452" s="4" t="s">
        <v>550</v>
      </c>
      <c r="E452">
        <v>7500</v>
      </c>
      <c r="F452" t="s">
        <v>6</v>
      </c>
      <c r="G452">
        <f>tblSalaries[[#This Row],[clean Salary (in local currency)]]*VLOOKUP(tblSalaries[[#This Row],[Currency]],tblXrate[],2,FALSE)</f>
        <v>7500</v>
      </c>
      <c r="H452" t="s">
        <v>551</v>
      </c>
      <c r="I452" t="s">
        <v>20</v>
      </c>
      <c r="J452" t="s">
        <v>73</v>
      </c>
      <c r="K452" t="str">
        <f>VLOOKUP(tblSalaries[[#This Row],[Where do you work]],tblCountries[[Actual]:[Mapping]],2,FALSE)</f>
        <v>Romania</v>
      </c>
      <c r="L452" t="s">
        <v>13</v>
      </c>
      <c r="N452" s="8" t="str">
        <f>VLOOKUP(K452,tblCountries[],3,0)</f>
        <v>Europe</v>
      </c>
      <c r="O452" s="8">
        <f>VLOOKUP(tblSalaries[[#This Row],[How many hours of a day you work on Excel]],tblHours,2,0)</f>
        <v>5</v>
      </c>
      <c r="P452" s="8">
        <f>VLOOKUP(tblSalaries[[#This Row],[clean Country]],tblCountries[],5,0)</f>
        <v>3.8784065405578709</v>
      </c>
      <c r="Q452" s="8">
        <f>IF($Q$1,tblSalaries[[#This Row],[PPP Factor]]*tblSalaries[[#This Row],[Salary in USD]],tblSalaries[[#This Row],[Salary in USD]])</f>
        <v>7500</v>
      </c>
    </row>
    <row r="453" spans="2:17" ht="15" customHeight="1" x14ac:dyDescent="0.25">
      <c r="B453" t="s">
        <v>2456</v>
      </c>
      <c r="C453" s="1">
        <v>41055.126180555555</v>
      </c>
      <c r="D453" s="4">
        <v>60000</v>
      </c>
      <c r="E453">
        <v>60000</v>
      </c>
      <c r="F453" t="s">
        <v>6</v>
      </c>
      <c r="G453">
        <f>tblSalaries[[#This Row],[clean Salary (in local currency)]]*VLOOKUP(tblSalaries[[#This Row],[Currency]],tblXrate[],2,FALSE)</f>
        <v>60000</v>
      </c>
      <c r="H453" t="s">
        <v>552</v>
      </c>
      <c r="I453" t="s">
        <v>20</v>
      </c>
      <c r="J453" t="s">
        <v>15</v>
      </c>
      <c r="K453" t="str">
        <f>VLOOKUP(tblSalaries[[#This Row],[Where do you work]],tblCountries[[Actual]:[Mapping]],2,FALSE)</f>
        <v>USA</v>
      </c>
      <c r="L453" t="s">
        <v>13</v>
      </c>
      <c r="N453" s="8" t="str">
        <f>VLOOKUP(K453,tblCountries[],3,0)</f>
        <v>North Amer.</v>
      </c>
      <c r="O453" s="8">
        <f>VLOOKUP(tblSalaries[[#This Row],[How many hours of a day you work on Excel]],tblHours,2,0)</f>
        <v>5</v>
      </c>
      <c r="P453" s="8">
        <f>VLOOKUP(tblSalaries[[#This Row],[clean Country]],tblCountries[],5,0)</f>
        <v>1</v>
      </c>
      <c r="Q453" s="8">
        <f>IF($Q$1,tblSalaries[[#This Row],[PPP Factor]]*tblSalaries[[#This Row],[Salary in USD]],tblSalaries[[#This Row],[Salary in USD]])</f>
        <v>60000</v>
      </c>
    </row>
    <row r="454" spans="2:17" ht="15" customHeight="1" x14ac:dyDescent="0.25">
      <c r="B454" t="s">
        <v>2457</v>
      </c>
      <c r="C454" s="1">
        <v>41055.126875000002</v>
      </c>
      <c r="D454" s="4" t="s">
        <v>553</v>
      </c>
      <c r="E454">
        <v>800000</v>
      </c>
      <c r="F454" t="s">
        <v>40</v>
      </c>
      <c r="G454">
        <f>tblSalaries[[#This Row],[clean Salary (in local currency)]]*VLOOKUP(tblSalaries[[#This Row],[Currency]],tblXrate[],2,FALSE)</f>
        <v>14246.333349954055</v>
      </c>
      <c r="H454" t="s">
        <v>554</v>
      </c>
      <c r="I454" t="s">
        <v>4001</v>
      </c>
      <c r="J454" t="s">
        <v>8</v>
      </c>
      <c r="K454" t="str">
        <f>VLOOKUP(tblSalaries[[#This Row],[Where do you work]],tblCountries[[Actual]:[Mapping]],2,FALSE)</f>
        <v>India</v>
      </c>
      <c r="L454" t="s">
        <v>13</v>
      </c>
      <c r="N454" s="8" t="str">
        <f>VLOOKUP(K454,tblCountries[],3,0)</f>
        <v>Asia</v>
      </c>
      <c r="O454" s="8">
        <f>VLOOKUP(tblSalaries[[#This Row],[How many hours of a day you work on Excel]],tblHours,2,0)</f>
        <v>5</v>
      </c>
      <c r="P454" s="8">
        <f>VLOOKUP(tblSalaries[[#This Row],[clean Country]],tblCountries[],5,0)</f>
        <v>13.098808879263672</v>
      </c>
      <c r="Q454" s="8">
        <f>IF($Q$1,tblSalaries[[#This Row],[PPP Factor]]*tblSalaries[[#This Row],[Salary in USD]],tblSalaries[[#This Row],[Salary in USD]])</f>
        <v>14246.333349954055</v>
      </c>
    </row>
    <row r="455" spans="2:17" ht="15" customHeight="1" x14ac:dyDescent="0.25">
      <c r="B455" t="s">
        <v>2458</v>
      </c>
      <c r="C455" s="1">
        <v>41055.127187500002</v>
      </c>
      <c r="D455" s="4">
        <v>80000</v>
      </c>
      <c r="E455">
        <v>80000</v>
      </c>
      <c r="F455" t="s">
        <v>6</v>
      </c>
      <c r="G455">
        <f>tblSalaries[[#This Row],[clean Salary (in local currency)]]*VLOOKUP(tblSalaries[[#This Row],[Currency]],tblXrate[],2,FALSE)</f>
        <v>80000</v>
      </c>
      <c r="H455" t="s">
        <v>555</v>
      </c>
      <c r="I455" t="s">
        <v>52</v>
      </c>
      <c r="J455" t="s">
        <v>15</v>
      </c>
      <c r="K455" t="str">
        <f>VLOOKUP(tblSalaries[[#This Row],[Where do you work]],tblCountries[[Actual]:[Mapping]],2,FALSE)</f>
        <v>USA</v>
      </c>
      <c r="L455" t="s">
        <v>25</v>
      </c>
      <c r="N455" s="8" t="str">
        <f>VLOOKUP(K455,tblCountries[],3,0)</f>
        <v>North Amer.</v>
      </c>
      <c r="O455" s="8">
        <f>VLOOKUP(tblSalaries[[#This Row],[How many hours of a day you work on Excel]],tblHours,2,0)</f>
        <v>2</v>
      </c>
      <c r="P455" s="8">
        <f>VLOOKUP(tblSalaries[[#This Row],[clean Country]],tblCountries[],5,0)</f>
        <v>1</v>
      </c>
      <c r="Q455" s="8">
        <f>IF($Q$1,tblSalaries[[#This Row],[PPP Factor]]*tblSalaries[[#This Row],[Salary in USD]],tblSalaries[[#This Row],[Salary in USD]])</f>
        <v>80000</v>
      </c>
    </row>
    <row r="456" spans="2:17" ht="15" customHeight="1" x14ac:dyDescent="0.25">
      <c r="B456" t="s">
        <v>2459</v>
      </c>
      <c r="C456" s="1">
        <v>41055.127418981479</v>
      </c>
      <c r="D456" s="4" t="s">
        <v>556</v>
      </c>
      <c r="E456">
        <v>38000</v>
      </c>
      <c r="F456" t="s">
        <v>69</v>
      </c>
      <c r="G456">
        <f>tblSalaries[[#This Row],[clean Salary (in local currency)]]*VLOOKUP(tblSalaries[[#This Row],[Currency]],tblXrate[],2,FALSE)</f>
        <v>59894.774338556796</v>
      </c>
      <c r="H456" t="s">
        <v>557</v>
      </c>
      <c r="I456" t="s">
        <v>310</v>
      </c>
      <c r="J456" t="s">
        <v>71</v>
      </c>
      <c r="K456" t="str">
        <f>VLOOKUP(tblSalaries[[#This Row],[Where do you work]],tblCountries[[Actual]:[Mapping]],2,FALSE)</f>
        <v>UK</v>
      </c>
      <c r="L456" t="s">
        <v>9</v>
      </c>
      <c r="N456" s="8" t="str">
        <f>VLOOKUP(K456,tblCountries[],3,0)</f>
        <v>Europe</v>
      </c>
      <c r="O456" s="8">
        <f>VLOOKUP(tblSalaries[[#This Row],[How many hours of a day you work on Excel]],tblHours,2,0)</f>
        <v>4</v>
      </c>
      <c r="P456" s="8">
        <f>VLOOKUP(tblSalaries[[#This Row],[clean Country]],tblCountries[],5,0)</f>
        <v>1.3407315045719035</v>
      </c>
      <c r="Q456" s="8">
        <f>IF($Q$1,tblSalaries[[#This Row],[PPP Factor]]*tblSalaries[[#This Row],[Salary in USD]],tblSalaries[[#This Row],[Salary in USD]])</f>
        <v>59894.774338556796</v>
      </c>
    </row>
    <row r="457" spans="2:17" ht="15" customHeight="1" x14ac:dyDescent="0.25">
      <c r="B457" t="s">
        <v>2460</v>
      </c>
      <c r="C457" s="1">
        <v>41055.127847222226</v>
      </c>
      <c r="D457" s="4" t="s">
        <v>558</v>
      </c>
      <c r="E457">
        <v>52000</v>
      </c>
      <c r="F457" t="s">
        <v>86</v>
      </c>
      <c r="G457">
        <f>tblSalaries[[#This Row],[clean Salary (in local currency)]]*VLOOKUP(tblSalaries[[#This Row],[Currency]],tblXrate[],2,FALSE)</f>
        <v>51134.799197576998</v>
      </c>
      <c r="H457" t="s">
        <v>559</v>
      </c>
      <c r="I457" t="s">
        <v>52</v>
      </c>
      <c r="J457" t="s">
        <v>88</v>
      </c>
      <c r="K457" t="str">
        <f>VLOOKUP(tblSalaries[[#This Row],[Where do you work]],tblCountries[[Actual]:[Mapping]],2,FALSE)</f>
        <v>Canada</v>
      </c>
      <c r="L457" t="s">
        <v>9</v>
      </c>
      <c r="N457" s="8" t="str">
        <f>VLOOKUP(K457,tblCountries[],3,0)</f>
        <v>North Amer.</v>
      </c>
      <c r="O457" s="8">
        <f>VLOOKUP(tblSalaries[[#This Row],[How many hours of a day you work on Excel]],tblHours,2,0)</f>
        <v>4</v>
      </c>
      <c r="P457" s="8">
        <f>VLOOKUP(tblSalaries[[#This Row],[clean Country]],tblCountries[],5,0)</f>
        <v>1.1935324732986359</v>
      </c>
      <c r="Q457" s="8">
        <f>IF($Q$1,tblSalaries[[#This Row],[PPP Factor]]*tblSalaries[[#This Row],[Salary in USD]],tblSalaries[[#This Row],[Salary in USD]])</f>
        <v>51134.799197576998</v>
      </c>
    </row>
    <row r="458" spans="2:17" ht="15" customHeight="1" x14ac:dyDescent="0.25">
      <c r="B458" t="s">
        <v>2461</v>
      </c>
      <c r="C458" s="1">
        <v>41055.129351851851</v>
      </c>
      <c r="D458" s="4">
        <v>125000</v>
      </c>
      <c r="E458">
        <v>125000</v>
      </c>
      <c r="F458" t="s">
        <v>6</v>
      </c>
      <c r="G458">
        <f>tblSalaries[[#This Row],[clean Salary (in local currency)]]*VLOOKUP(tblSalaries[[#This Row],[Currency]],tblXrate[],2,FALSE)</f>
        <v>125000</v>
      </c>
      <c r="H458" t="s">
        <v>560</v>
      </c>
      <c r="I458" t="s">
        <v>52</v>
      </c>
      <c r="J458" t="s">
        <v>15</v>
      </c>
      <c r="K458" t="str">
        <f>VLOOKUP(tblSalaries[[#This Row],[Where do you work]],tblCountries[[Actual]:[Mapping]],2,FALSE)</f>
        <v>USA</v>
      </c>
      <c r="L458" t="s">
        <v>18</v>
      </c>
      <c r="N458" s="8" t="str">
        <f>VLOOKUP(K458,tblCountries[],3,0)</f>
        <v>North Amer.</v>
      </c>
      <c r="O458" s="8">
        <f>VLOOKUP(tblSalaries[[#This Row],[How many hours of a day you work on Excel]],tblHours,2,0)</f>
        <v>3</v>
      </c>
      <c r="P458" s="8">
        <f>VLOOKUP(tblSalaries[[#This Row],[clean Country]],tblCountries[],5,0)</f>
        <v>1</v>
      </c>
      <c r="Q458" s="8">
        <f>IF($Q$1,tblSalaries[[#This Row],[PPP Factor]]*tblSalaries[[#This Row],[Salary in USD]],tblSalaries[[#This Row],[Salary in USD]])</f>
        <v>125000</v>
      </c>
    </row>
    <row r="459" spans="2:17" ht="15" customHeight="1" x14ac:dyDescent="0.25">
      <c r="B459" t="s">
        <v>2462</v>
      </c>
      <c r="C459" s="1">
        <v>41055.129594907405</v>
      </c>
      <c r="D459" s="4">
        <v>52000</v>
      </c>
      <c r="E459">
        <v>52000</v>
      </c>
      <c r="F459" t="s">
        <v>6</v>
      </c>
      <c r="G459">
        <f>tblSalaries[[#This Row],[clean Salary (in local currency)]]*VLOOKUP(tblSalaries[[#This Row],[Currency]],tblXrate[],2,FALSE)</f>
        <v>52000</v>
      </c>
      <c r="H459" t="s">
        <v>561</v>
      </c>
      <c r="I459" t="s">
        <v>20</v>
      </c>
      <c r="J459" t="s">
        <v>15</v>
      </c>
      <c r="K459" t="str">
        <f>VLOOKUP(tblSalaries[[#This Row],[Where do you work]],tblCountries[[Actual]:[Mapping]],2,FALSE)</f>
        <v>USA</v>
      </c>
      <c r="L459" t="s">
        <v>18</v>
      </c>
      <c r="N459" s="8" t="str">
        <f>VLOOKUP(K459,tblCountries[],3,0)</f>
        <v>North Amer.</v>
      </c>
      <c r="O459" s="8">
        <f>VLOOKUP(tblSalaries[[#This Row],[How many hours of a day you work on Excel]],tblHours,2,0)</f>
        <v>3</v>
      </c>
      <c r="P459" s="8">
        <f>VLOOKUP(tblSalaries[[#This Row],[clean Country]],tblCountries[],5,0)</f>
        <v>1</v>
      </c>
      <c r="Q459" s="8">
        <f>IF($Q$1,tblSalaries[[#This Row],[PPP Factor]]*tblSalaries[[#This Row],[Salary in USD]],tblSalaries[[#This Row],[Salary in USD]])</f>
        <v>52000</v>
      </c>
    </row>
    <row r="460" spans="2:17" ht="15" customHeight="1" x14ac:dyDescent="0.25">
      <c r="B460" t="s">
        <v>2463</v>
      </c>
      <c r="C460" s="1">
        <v>41055.130393518521</v>
      </c>
      <c r="D460" s="4">
        <v>45000</v>
      </c>
      <c r="E460">
        <v>45000</v>
      </c>
      <c r="F460" t="s">
        <v>6</v>
      </c>
      <c r="G460">
        <f>tblSalaries[[#This Row],[clean Salary (in local currency)]]*VLOOKUP(tblSalaries[[#This Row],[Currency]],tblXrate[],2,FALSE)</f>
        <v>45000</v>
      </c>
      <c r="H460" t="s">
        <v>20</v>
      </c>
      <c r="I460" t="s">
        <v>20</v>
      </c>
      <c r="J460" t="s">
        <v>15</v>
      </c>
      <c r="K460" t="str">
        <f>VLOOKUP(tblSalaries[[#This Row],[Where do you work]],tblCountries[[Actual]:[Mapping]],2,FALSE)</f>
        <v>USA</v>
      </c>
      <c r="L460" t="s">
        <v>9</v>
      </c>
      <c r="N460" s="8" t="str">
        <f>VLOOKUP(K460,tblCountries[],3,0)</f>
        <v>North Amer.</v>
      </c>
      <c r="O460" s="8">
        <f>VLOOKUP(tblSalaries[[#This Row],[How many hours of a day you work on Excel]],tblHours,2,0)</f>
        <v>4</v>
      </c>
      <c r="P460" s="8">
        <f>VLOOKUP(tblSalaries[[#This Row],[clean Country]],tblCountries[],5,0)</f>
        <v>1</v>
      </c>
      <c r="Q460" s="8">
        <f>IF($Q$1,tblSalaries[[#This Row],[PPP Factor]]*tblSalaries[[#This Row],[Salary in USD]],tblSalaries[[#This Row],[Salary in USD]])</f>
        <v>45000</v>
      </c>
    </row>
    <row r="461" spans="2:17" ht="15" customHeight="1" x14ac:dyDescent="0.25">
      <c r="B461" t="s">
        <v>2464</v>
      </c>
      <c r="C461" s="1">
        <v>41055.130879629629</v>
      </c>
      <c r="D461" s="4">
        <v>25000</v>
      </c>
      <c r="E461">
        <v>25000</v>
      </c>
      <c r="F461" t="s">
        <v>69</v>
      </c>
      <c r="G461">
        <f>tblSalaries[[#This Row],[clean Salary (in local currency)]]*VLOOKUP(tblSalaries[[#This Row],[Currency]],tblXrate[],2,FALSE)</f>
        <v>39404.456801682099</v>
      </c>
      <c r="H461" t="s">
        <v>20</v>
      </c>
      <c r="I461" t="s">
        <v>20</v>
      </c>
      <c r="J461" t="s">
        <v>71</v>
      </c>
      <c r="K461" t="str">
        <f>VLOOKUP(tblSalaries[[#This Row],[Where do you work]],tblCountries[[Actual]:[Mapping]],2,FALSE)</f>
        <v>UK</v>
      </c>
      <c r="L461" t="s">
        <v>9</v>
      </c>
      <c r="N461" s="8" t="str">
        <f>VLOOKUP(K461,tblCountries[],3,0)</f>
        <v>Europe</v>
      </c>
      <c r="O461" s="8">
        <f>VLOOKUP(tblSalaries[[#This Row],[How many hours of a day you work on Excel]],tblHours,2,0)</f>
        <v>4</v>
      </c>
      <c r="P461" s="8">
        <f>VLOOKUP(tblSalaries[[#This Row],[clean Country]],tblCountries[],5,0)</f>
        <v>1.3407315045719035</v>
      </c>
      <c r="Q461" s="8">
        <f>IF($Q$1,tblSalaries[[#This Row],[PPP Factor]]*tblSalaries[[#This Row],[Salary in USD]],tblSalaries[[#This Row],[Salary in USD]])</f>
        <v>39404.456801682099</v>
      </c>
    </row>
    <row r="462" spans="2:17" ht="15" customHeight="1" x14ac:dyDescent="0.25">
      <c r="B462" t="s">
        <v>2465</v>
      </c>
      <c r="C462" s="1">
        <v>41055.131747685184</v>
      </c>
      <c r="D462" s="4">
        <v>60000</v>
      </c>
      <c r="E462">
        <v>60000</v>
      </c>
      <c r="F462" t="s">
        <v>6</v>
      </c>
      <c r="G462">
        <f>tblSalaries[[#This Row],[clean Salary (in local currency)]]*VLOOKUP(tblSalaries[[#This Row],[Currency]],tblXrate[],2,FALSE)</f>
        <v>60000</v>
      </c>
      <c r="H462" t="s">
        <v>562</v>
      </c>
      <c r="I462" t="s">
        <v>52</v>
      </c>
      <c r="J462" t="s">
        <v>15</v>
      </c>
      <c r="K462" t="str">
        <f>VLOOKUP(tblSalaries[[#This Row],[Where do you work]],tblCountries[[Actual]:[Mapping]],2,FALSE)</f>
        <v>USA</v>
      </c>
      <c r="L462" t="s">
        <v>13</v>
      </c>
      <c r="N462" s="8" t="str">
        <f>VLOOKUP(K462,tblCountries[],3,0)</f>
        <v>North Amer.</v>
      </c>
      <c r="O462" s="8">
        <f>VLOOKUP(tblSalaries[[#This Row],[How many hours of a day you work on Excel]],tblHours,2,0)</f>
        <v>5</v>
      </c>
      <c r="P462" s="8">
        <f>VLOOKUP(tblSalaries[[#This Row],[clean Country]],tblCountries[],5,0)</f>
        <v>1</v>
      </c>
      <c r="Q462" s="8">
        <f>IF($Q$1,tblSalaries[[#This Row],[PPP Factor]]*tblSalaries[[#This Row],[Salary in USD]],tblSalaries[[#This Row],[Salary in USD]])</f>
        <v>60000</v>
      </c>
    </row>
    <row r="463" spans="2:17" ht="15" customHeight="1" x14ac:dyDescent="0.25">
      <c r="B463" t="s">
        <v>2466</v>
      </c>
      <c r="C463" s="1">
        <v>41055.13181712963</v>
      </c>
      <c r="D463" s="4" t="s">
        <v>563</v>
      </c>
      <c r="E463">
        <v>70000</v>
      </c>
      <c r="F463" t="s">
        <v>86</v>
      </c>
      <c r="G463">
        <f>tblSalaries[[#This Row],[clean Salary (in local currency)]]*VLOOKUP(tblSalaries[[#This Row],[Currency]],tblXrate[],2,FALSE)</f>
        <v>68835.306612122877</v>
      </c>
      <c r="H463" t="s">
        <v>564</v>
      </c>
      <c r="I463" t="s">
        <v>52</v>
      </c>
      <c r="J463" t="s">
        <v>88</v>
      </c>
      <c r="K463" t="str">
        <f>VLOOKUP(tblSalaries[[#This Row],[Where do you work]],tblCountries[[Actual]:[Mapping]],2,FALSE)</f>
        <v>Canada</v>
      </c>
      <c r="L463" t="s">
        <v>25</v>
      </c>
      <c r="N463" s="8" t="str">
        <f>VLOOKUP(K463,tblCountries[],3,0)</f>
        <v>North Amer.</v>
      </c>
      <c r="O463" s="8">
        <f>VLOOKUP(tblSalaries[[#This Row],[How many hours of a day you work on Excel]],tblHours,2,0)</f>
        <v>2</v>
      </c>
      <c r="P463" s="8">
        <f>VLOOKUP(tblSalaries[[#This Row],[clean Country]],tblCountries[],5,0)</f>
        <v>1.1935324732986359</v>
      </c>
      <c r="Q463" s="8">
        <f>IF($Q$1,tblSalaries[[#This Row],[PPP Factor]]*tblSalaries[[#This Row],[Salary in USD]],tblSalaries[[#This Row],[Salary in USD]])</f>
        <v>68835.306612122877</v>
      </c>
    </row>
    <row r="464" spans="2:17" ht="15" customHeight="1" x14ac:dyDescent="0.25">
      <c r="B464" t="s">
        <v>2467</v>
      </c>
      <c r="C464" s="1">
        <v>41055.132881944446</v>
      </c>
      <c r="D464" s="4" t="s">
        <v>565</v>
      </c>
      <c r="E464">
        <v>5250</v>
      </c>
      <c r="F464" t="s">
        <v>6</v>
      </c>
      <c r="G464">
        <f>tblSalaries[[#This Row],[clean Salary (in local currency)]]*VLOOKUP(tblSalaries[[#This Row],[Currency]],tblXrate[],2,FALSE)</f>
        <v>5250</v>
      </c>
      <c r="H464" t="s">
        <v>566</v>
      </c>
      <c r="I464" t="s">
        <v>67</v>
      </c>
      <c r="J464" t="s">
        <v>567</v>
      </c>
      <c r="K464" t="str">
        <f>VLOOKUP(tblSalaries[[#This Row],[Where do you work]],tblCountries[[Actual]:[Mapping]],2,FALSE)</f>
        <v>Republic of Georgia</v>
      </c>
      <c r="L464" t="s">
        <v>9</v>
      </c>
      <c r="N464" s="8" t="str">
        <f>VLOOKUP(K464,tblCountries[],3,0)</f>
        <v>Asia</v>
      </c>
      <c r="O464" s="8">
        <f>VLOOKUP(tblSalaries[[#This Row],[How many hours of a day you work on Excel]],tblHours,2,0)</f>
        <v>4</v>
      </c>
      <c r="P464" s="8">
        <f>VLOOKUP(tblSalaries[[#This Row],[clean Country]],tblCountries[],5,0)</f>
        <v>1</v>
      </c>
      <c r="Q464" s="8">
        <f>IF($Q$1,tblSalaries[[#This Row],[PPP Factor]]*tblSalaries[[#This Row],[Salary in USD]],tblSalaries[[#This Row],[Salary in USD]])</f>
        <v>5250</v>
      </c>
    </row>
    <row r="465" spans="2:17" ht="15" customHeight="1" x14ac:dyDescent="0.25">
      <c r="B465" t="s">
        <v>2468</v>
      </c>
      <c r="C465" s="1">
        <v>41055.133148148147</v>
      </c>
      <c r="D465" s="4">
        <v>87000</v>
      </c>
      <c r="E465">
        <v>87000</v>
      </c>
      <c r="F465" t="s">
        <v>86</v>
      </c>
      <c r="G465">
        <f>tblSalaries[[#This Row],[clean Salary (in local currency)]]*VLOOKUP(tblSalaries[[#This Row],[Currency]],tblXrate[],2,FALSE)</f>
        <v>85552.452503638444</v>
      </c>
      <c r="H465" t="s">
        <v>568</v>
      </c>
      <c r="I465" t="s">
        <v>52</v>
      </c>
      <c r="J465" t="s">
        <v>88</v>
      </c>
      <c r="K465" t="str">
        <f>VLOOKUP(tblSalaries[[#This Row],[Where do you work]],tblCountries[[Actual]:[Mapping]],2,FALSE)</f>
        <v>Canada</v>
      </c>
      <c r="L465" t="s">
        <v>9</v>
      </c>
      <c r="N465" s="8" t="str">
        <f>VLOOKUP(K465,tblCountries[],3,0)</f>
        <v>North Amer.</v>
      </c>
      <c r="O465" s="8">
        <f>VLOOKUP(tblSalaries[[#This Row],[How many hours of a day you work on Excel]],tblHours,2,0)</f>
        <v>4</v>
      </c>
      <c r="P465" s="8">
        <f>VLOOKUP(tblSalaries[[#This Row],[clean Country]],tblCountries[],5,0)</f>
        <v>1.1935324732986359</v>
      </c>
      <c r="Q465" s="8">
        <f>IF($Q$1,tblSalaries[[#This Row],[PPP Factor]]*tblSalaries[[#This Row],[Salary in USD]],tblSalaries[[#This Row],[Salary in USD]])</f>
        <v>85552.452503638444</v>
      </c>
    </row>
    <row r="466" spans="2:17" ht="15" customHeight="1" x14ac:dyDescent="0.25">
      <c r="B466" t="s">
        <v>2469</v>
      </c>
      <c r="C466" s="1">
        <v>41055.13417824074</v>
      </c>
      <c r="D466" s="4">
        <v>125000</v>
      </c>
      <c r="E466">
        <v>125000</v>
      </c>
      <c r="F466" t="s">
        <v>40</v>
      </c>
      <c r="G466">
        <f>tblSalaries[[#This Row],[clean Salary (in local currency)]]*VLOOKUP(tblSalaries[[#This Row],[Currency]],tblXrate[],2,FALSE)</f>
        <v>2225.989585930321</v>
      </c>
      <c r="H466" t="s">
        <v>569</v>
      </c>
      <c r="I466" t="s">
        <v>20</v>
      </c>
      <c r="J466" t="s">
        <v>8</v>
      </c>
      <c r="K466" t="str">
        <f>VLOOKUP(tblSalaries[[#This Row],[Where do you work]],tblCountries[[Actual]:[Mapping]],2,FALSE)</f>
        <v>India</v>
      </c>
      <c r="L466" t="s">
        <v>9</v>
      </c>
      <c r="N466" s="8" t="str">
        <f>VLOOKUP(K466,tblCountries[],3,0)</f>
        <v>Asia</v>
      </c>
      <c r="O466" s="8">
        <f>VLOOKUP(tblSalaries[[#This Row],[How many hours of a day you work on Excel]],tblHours,2,0)</f>
        <v>4</v>
      </c>
      <c r="P466" s="8">
        <f>VLOOKUP(tblSalaries[[#This Row],[clean Country]],tblCountries[],5,0)</f>
        <v>13.098808879263672</v>
      </c>
      <c r="Q466" s="8">
        <f>IF($Q$1,tblSalaries[[#This Row],[PPP Factor]]*tblSalaries[[#This Row],[Salary in USD]],tblSalaries[[#This Row],[Salary in USD]])</f>
        <v>2225.989585930321</v>
      </c>
    </row>
    <row r="467" spans="2:17" ht="15" customHeight="1" x14ac:dyDescent="0.25">
      <c r="B467" t="s">
        <v>2470</v>
      </c>
      <c r="C467" s="1">
        <v>41055.135231481479</v>
      </c>
      <c r="D467" s="4">
        <v>150000</v>
      </c>
      <c r="E467">
        <v>150000</v>
      </c>
      <c r="F467" t="s">
        <v>6</v>
      </c>
      <c r="G467">
        <f>tblSalaries[[#This Row],[clean Salary (in local currency)]]*VLOOKUP(tblSalaries[[#This Row],[Currency]],tblXrate[],2,FALSE)</f>
        <v>150000</v>
      </c>
      <c r="H467" t="s">
        <v>29</v>
      </c>
      <c r="I467" t="s">
        <v>4001</v>
      </c>
      <c r="J467" t="s">
        <v>15</v>
      </c>
      <c r="K467" t="str">
        <f>VLOOKUP(tblSalaries[[#This Row],[Where do you work]],tblCountries[[Actual]:[Mapping]],2,FALSE)</f>
        <v>USA</v>
      </c>
      <c r="L467" t="s">
        <v>18</v>
      </c>
      <c r="N467" s="8" t="str">
        <f>VLOOKUP(K467,tblCountries[],3,0)</f>
        <v>North Amer.</v>
      </c>
      <c r="O467" s="8">
        <f>VLOOKUP(tblSalaries[[#This Row],[How many hours of a day you work on Excel]],tblHours,2,0)</f>
        <v>3</v>
      </c>
      <c r="P467" s="8">
        <f>VLOOKUP(tblSalaries[[#This Row],[clean Country]],tblCountries[],5,0)</f>
        <v>1</v>
      </c>
      <c r="Q467" s="8">
        <f>IF($Q$1,tblSalaries[[#This Row],[PPP Factor]]*tblSalaries[[#This Row],[Salary in USD]],tblSalaries[[#This Row],[Salary in USD]])</f>
        <v>150000</v>
      </c>
    </row>
    <row r="468" spans="2:17" ht="15" customHeight="1" x14ac:dyDescent="0.25">
      <c r="B468" t="s">
        <v>2471</v>
      </c>
      <c r="C468" s="1">
        <v>41055.135428240741</v>
      </c>
      <c r="D468" s="4">
        <v>50000</v>
      </c>
      <c r="E468">
        <v>50000</v>
      </c>
      <c r="F468" t="s">
        <v>6</v>
      </c>
      <c r="G468">
        <f>tblSalaries[[#This Row],[clean Salary (in local currency)]]*VLOOKUP(tblSalaries[[#This Row],[Currency]],tblXrate[],2,FALSE)</f>
        <v>50000</v>
      </c>
      <c r="H468" t="s">
        <v>570</v>
      </c>
      <c r="I468" t="s">
        <v>20</v>
      </c>
      <c r="J468" t="s">
        <v>15</v>
      </c>
      <c r="K468" t="str">
        <f>VLOOKUP(tblSalaries[[#This Row],[Where do you work]],tblCountries[[Actual]:[Mapping]],2,FALSE)</f>
        <v>USA</v>
      </c>
      <c r="L468" t="s">
        <v>9</v>
      </c>
      <c r="N468" s="8" t="str">
        <f>VLOOKUP(K468,tblCountries[],3,0)</f>
        <v>North Amer.</v>
      </c>
      <c r="O468" s="8">
        <f>VLOOKUP(tblSalaries[[#This Row],[How many hours of a day you work on Excel]],tblHours,2,0)</f>
        <v>4</v>
      </c>
      <c r="P468" s="8">
        <f>VLOOKUP(tblSalaries[[#This Row],[clean Country]],tblCountries[],5,0)</f>
        <v>1</v>
      </c>
      <c r="Q468" s="8">
        <f>IF($Q$1,tblSalaries[[#This Row],[PPP Factor]]*tblSalaries[[#This Row],[Salary in USD]],tblSalaries[[#This Row],[Salary in USD]])</f>
        <v>50000</v>
      </c>
    </row>
    <row r="469" spans="2:17" ht="15" customHeight="1" x14ac:dyDescent="0.25">
      <c r="B469" t="s">
        <v>2472</v>
      </c>
      <c r="C469" s="1">
        <v>41055.135462962964</v>
      </c>
      <c r="D469" s="4">
        <v>70000</v>
      </c>
      <c r="E469">
        <v>70000</v>
      </c>
      <c r="F469" t="s">
        <v>6</v>
      </c>
      <c r="G469">
        <f>tblSalaries[[#This Row],[clean Salary (in local currency)]]*VLOOKUP(tblSalaries[[#This Row],[Currency]],tblXrate[],2,FALSE)</f>
        <v>70000</v>
      </c>
      <c r="H469" t="s">
        <v>20</v>
      </c>
      <c r="I469" t="s">
        <v>20</v>
      </c>
      <c r="J469" t="s">
        <v>15</v>
      </c>
      <c r="K469" t="str">
        <f>VLOOKUP(tblSalaries[[#This Row],[Where do you work]],tblCountries[[Actual]:[Mapping]],2,FALSE)</f>
        <v>USA</v>
      </c>
      <c r="L469" t="s">
        <v>9</v>
      </c>
      <c r="N469" s="8" t="str">
        <f>VLOOKUP(K469,tblCountries[],3,0)</f>
        <v>North Amer.</v>
      </c>
      <c r="O469" s="8">
        <f>VLOOKUP(tblSalaries[[#This Row],[How many hours of a day you work on Excel]],tblHours,2,0)</f>
        <v>4</v>
      </c>
      <c r="P469" s="8">
        <f>VLOOKUP(tblSalaries[[#This Row],[clean Country]],tblCountries[],5,0)</f>
        <v>1</v>
      </c>
      <c r="Q469" s="8">
        <f>IF($Q$1,tblSalaries[[#This Row],[PPP Factor]]*tblSalaries[[#This Row],[Salary in USD]],tblSalaries[[#This Row],[Salary in USD]])</f>
        <v>70000</v>
      </c>
    </row>
    <row r="470" spans="2:17" ht="15" customHeight="1" x14ac:dyDescent="0.25">
      <c r="B470" t="s">
        <v>2473</v>
      </c>
      <c r="C470" s="1">
        <v>41055.135763888888</v>
      </c>
      <c r="D470" s="4" t="s">
        <v>571</v>
      </c>
      <c r="E470">
        <v>28500</v>
      </c>
      <c r="F470" t="s">
        <v>69</v>
      </c>
      <c r="G470">
        <f>tblSalaries[[#This Row],[clean Salary (in local currency)]]*VLOOKUP(tblSalaries[[#This Row],[Currency]],tblXrate[],2,FALSE)</f>
        <v>44921.080753917595</v>
      </c>
      <c r="H470" t="s">
        <v>572</v>
      </c>
      <c r="I470" t="s">
        <v>52</v>
      </c>
      <c r="J470" t="s">
        <v>71</v>
      </c>
      <c r="K470" t="str">
        <f>VLOOKUP(tblSalaries[[#This Row],[Where do you work]],tblCountries[[Actual]:[Mapping]],2,FALSE)</f>
        <v>UK</v>
      </c>
      <c r="L470" t="s">
        <v>18</v>
      </c>
      <c r="N470" s="8" t="str">
        <f>VLOOKUP(K470,tblCountries[],3,0)</f>
        <v>Europe</v>
      </c>
      <c r="O470" s="8">
        <f>VLOOKUP(tblSalaries[[#This Row],[How many hours of a day you work on Excel]],tblHours,2,0)</f>
        <v>3</v>
      </c>
      <c r="P470" s="8">
        <f>VLOOKUP(tblSalaries[[#This Row],[clean Country]],tblCountries[],5,0)</f>
        <v>1.3407315045719035</v>
      </c>
      <c r="Q470" s="8">
        <f>IF($Q$1,tblSalaries[[#This Row],[PPP Factor]]*tblSalaries[[#This Row],[Salary in USD]],tblSalaries[[#This Row],[Salary in USD]])</f>
        <v>44921.080753917595</v>
      </c>
    </row>
    <row r="471" spans="2:17" ht="15" customHeight="1" x14ac:dyDescent="0.25">
      <c r="B471" t="s">
        <v>2474</v>
      </c>
      <c r="C471" s="1">
        <v>41055.135995370372</v>
      </c>
      <c r="D471" s="4">
        <v>20000</v>
      </c>
      <c r="E471">
        <v>20000</v>
      </c>
      <c r="F471" t="s">
        <v>6</v>
      </c>
      <c r="G471">
        <f>tblSalaries[[#This Row],[clean Salary (in local currency)]]*VLOOKUP(tblSalaries[[#This Row],[Currency]],tblXrate[],2,FALSE)</f>
        <v>20000</v>
      </c>
      <c r="H471" t="s">
        <v>67</v>
      </c>
      <c r="I471" t="s">
        <v>67</v>
      </c>
      <c r="J471" t="s">
        <v>8</v>
      </c>
      <c r="K471" t="str">
        <f>VLOOKUP(tblSalaries[[#This Row],[Where do you work]],tblCountries[[Actual]:[Mapping]],2,FALSE)</f>
        <v>India</v>
      </c>
      <c r="L471" t="s">
        <v>9</v>
      </c>
      <c r="N471" s="8" t="str">
        <f>VLOOKUP(K471,tblCountries[],3,0)</f>
        <v>Asia</v>
      </c>
      <c r="O471" s="8">
        <f>VLOOKUP(tblSalaries[[#This Row],[How many hours of a day you work on Excel]],tblHours,2,0)</f>
        <v>4</v>
      </c>
      <c r="P471" s="8">
        <f>VLOOKUP(tblSalaries[[#This Row],[clean Country]],tblCountries[],5,0)</f>
        <v>13.098808879263672</v>
      </c>
      <c r="Q471" s="8">
        <f>IF($Q$1,tblSalaries[[#This Row],[PPP Factor]]*tblSalaries[[#This Row],[Salary in USD]],tblSalaries[[#This Row],[Salary in USD]])</f>
        <v>20000</v>
      </c>
    </row>
    <row r="472" spans="2:17" ht="15" customHeight="1" x14ac:dyDescent="0.25">
      <c r="B472" t="s">
        <v>2475</v>
      </c>
      <c r="C472" s="1">
        <v>41055.136782407404</v>
      </c>
      <c r="D472" s="4">
        <v>12000</v>
      </c>
      <c r="E472">
        <v>12000</v>
      </c>
      <c r="F472" t="s">
        <v>6</v>
      </c>
      <c r="G472">
        <f>tblSalaries[[#This Row],[clean Salary (in local currency)]]*VLOOKUP(tblSalaries[[#This Row],[Currency]],tblXrate[],2,FALSE)</f>
        <v>12000</v>
      </c>
      <c r="H472" t="s">
        <v>573</v>
      </c>
      <c r="I472" t="s">
        <v>20</v>
      </c>
      <c r="J472" t="s">
        <v>574</v>
      </c>
      <c r="K472" t="str">
        <f>VLOOKUP(tblSalaries[[#This Row],[Where do you work]],tblCountries[[Actual]:[Mapping]],2,FALSE)</f>
        <v>Estonia</v>
      </c>
      <c r="L472" t="s">
        <v>13</v>
      </c>
      <c r="N472" s="8" t="str">
        <f>VLOOKUP(K472,tblCountries[],3,0)</f>
        <v>Europe</v>
      </c>
      <c r="O472" s="8">
        <f>VLOOKUP(tblSalaries[[#This Row],[How many hours of a day you work on Excel]],tblHours,2,0)</f>
        <v>5</v>
      </c>
      <c r="P472" s="8">
        <f>VLOOKUP(tblSalaries[[#This Row],[clean Country]],tblCountries[],5,0)</f>
        <v>2.3742394504416096</v>
      </c>
      <c r="Q472" s="8">
        <f>IF($Q$1,tblSalaries[[#This Row],[PPP Factor]]*tblSalaries[[#This Row],[Salary in USD]],tblSalaries[[#This Row],[Salary in USD]])</f>
        <v>12000</v>
      </c>
    </row>
    <row r="473" spans="2:17" ht="15" customHeight="1" x14ac:dyDescent="0.25">
      <c r="B473" t="s">
        <v>2476</v>
      </c>
      <c r="C473" s="1">
        <v>41055.137025462966</v>
      </c>
      <c r="D473" s="4">
        <v>1250000</v>
      </c>
      <c r="E473">
        <v>1250000</v>
      </c>
      <c r="F473" t="s">
        <v>86</v>
      </c>
      <c r="G473">
        <f>tblSalaries[[#This Row],[clean Salary (in local currency)]]*VLOOKUP(tblSalaries[[#This Row],[Currency]],tblXrate[],2,FALSE)</f>
        <v>1229201.9037879086</v>
      </c>
      <c r="H473" t="s">
        <v>575</v>
      </c>
      <c r="I473" t="s">
        <v>310</v>
      </c>
      <c r="J473" t="s">
        <v>88</v>
      </c>
      <c r="K473" t="str">
        <f>VLOOKUP(tblSalaries[[#This Row],[Where do you work]],tblCountries[[Actual]:[Mapping]],2,FALSE)</f>
        <v>Canada</v>
      </c>
      <c r="L473" t="s">
        <v>9</v>
      </c>
      <c r="N473" s="8" t="str">
        <f>VLOOKUP(K473,tblCountries[],3,0)</f>
        <v>North Amer.</v>
      </c>
      <c r="O473" s="8">
        <f>VLOOKUP(tblSalaries[[#This Row],[How many hours of a day you work on Excel]],tblHours,2,0)</f>
        <v>4</v>
      </c>
      <c r="P473" s="8">
        <f>VLOOKUP(tblSalaries[[#This Row],[clean Country]],tblCountries[],5,0)</f>
        <v>1.1935324732986359</v>
      </c>
      <c r="Q473" s="8">
        <f>IF($Q$1,tblSalaries[[#This Row],[PPP Factor]]*tblSalaries[[#This Row],[Salary in USD]],tblSalaries[[#This Row],[Salary in USD]])</f>
        <v>1229201.9037879086</v>
      </c>
    </row>
    <row r="474" spans="2:17" ht="15" customHeight="1" x14ac:dyDescent="0.25">
      <c r="B474" t="s">
        <v>2477</v>
      </c>
      <c r="C474" s="1">
        <v>41055.138194444444</v>
      </c>
      <c r="D474" s="4">
        <v>30000</v>
      </c>
      <c r="E474">
        <v>30000</v>
      </c>
      <c r="F474" t="s">
        <v>6</v>
      </c>
      <c r="G474">
        <f>tblSalaries[[#This Row],[clean Salary (in local currency)]]*VLOOKUP(tblSalaries[[#This Row],[Currency]],tblXrate[],2,FALSE)</f>
        <v>30000</v>
      </c>
      <c r="H474" t="s">
        <v>576</v>
      </c>
      <c r="I474" t="s">
        <v>20</v>
      </c>
      <c r="J474" t="s">
        <v>15</v>
      </c>
      <c r="K474" t="str">
        <f>VLOOKUP(tblSalaries[[#This Row],[Where do you work]],tblCountries[[Actual]:[Mapping]],2,FALSE)</f>
        <v>USA</v>
      </c>
      <c r="L474" t="s">
        <v>186</v>
      </c>
      <c r="N474" s="8" t="str">
        <f>VLOOKUP(K474,tblCountries[],3,0)</f>
        <v>North Amer.</v>
      </c>
      <c r="O474" s="8">
        <f>VLOOKUP(tblSalaries[[#This Row],[How many hours of a day you work on Excel]],tblHours,2,0)</f>
        <v>1</v>
      </c>
      <c r="P474" s="8">
        <f>VLOOKUP(tblSalaries[[#This Row],[clean Country]],tblCountries[],5,0)</f>
        <v>1</v>
      </c>
      <c r="Q474" s="8">
        <f>IF($Q$1,tblSalaries[[#This Row],[PPP Factor]]*tblSalaries[[#This Row],[Salary in USD]],tblSalaries[[#This Row],[Salary in USD]])</f>
        <v>30000</v>
      </c>
    </row>
    <row r="475" spans="2:17" ht="15" customHeight="1" x14ac:dyDescent="0.25">
      <c r="B475" t="s">
        <v>2478</v>
      </c>
      <c r="C475" s="1">
        <v>41055.139884259261</v>
      </c>
      <c r="D475" s="4">
        <v>2000</v>
      </c>
      <c r="E475">
        <v>24000</v>
      </c>
      <c r="F475" t="s">
        <v>6</v>
      </c>
      <c r="G475">
        <f>tblSalaries[[#This Row],[clean Salary (in local currency)]]*VLOOKUP(tblSalaries[[#This Row],[Currency]],tblXrate[],2,FALSE)</f>
        <v>24000</v>
      </c>
      <c r="H475" t="s">
        <v>522</v>
      </c>
      <c r="I475" t="s">
        <v>279</v>
      </c>
      <c r="J475" t="s">
        <v>577</v>
      </c>
      <c r="K475" t="str">
        <f>VLOOKUP(tblSalaries[[#This Row],[Where do you work]],tblCountries[[Actual]:[Mapping]],2,FALSE)</f>
        <v>mozambique</v>
      </c>
      <c r="L475" t="s">
        <v>18</v>
      </c>
      <c r="N475" s="8" t="str">
        <f>VLOOKUP(K475,tblCountries[],3,0)</f>
        <v>Africa</v>
      </c>
      <c r="O475" s="8">
        <f>VLOOKUP(tblSalaries[[#This Row],[How many hours of a day you work on Excel]],tblHours,2,0)</f>
        <v>3</v>
      </c>
      <c r="P475" s="8">
        <f>VLOOKUP(tblSalaries[[#This Row],[clean Country]],tblCountries[],5,0)</f>
        <v>44.596313364055298</v>
      </c>
      <c r="Q475" s="8">
        <f>IF($Q$1,tblSalaries[[#This Row],[PPP Factor]]*tblSalaries[[#This Row],[Salary in USD]],tblSalaries[[#This Row],[Salary in USD]])</f>
        <v>24000</v>
      </c>
    </row>
    <row r="476" spans="2:17" ht="15" customHeight="1" x14ac:dyDescent="0.25">
      <c r="B476" t="s">
        <v>2479</v>
      </c>
      <c r="C476" s="1">
        <v>41055.140219907407</v>
      </c>
      <c r="D476" s="4">
        <v>92000</v>
      </c>
      <c r="E476">
        <v>92000</v>
      </c>
      <c r="F476" t="s">
        <v>6</v>
      </c>
      <c r="G476">
        <f>tblSalaries[[#This Row],[clean Salary (in local currency)]]*VLOOKUP(tblSalaries[[#This Row],[Currency]],tblXrate[],2,FALSE)</f>
        <v>92000</v>
      </c>
      <c r="H476" t="s">
        <v>578</v>
      </c>
      <c r="I476" t="s">
        <v>279</v>
      </c>
      <c r="J476" t="s">
        <v>15</v>
      </c>
      <c r="K476" t="str">
        <f>VLOOKUP(tblSalaries[[#This Row],[Where do you work]],tblCountries[[Actual]:[Mapping]],2,FALSE)</f>
        <v>USA</v>
      </c>
      <c r="L476" t="s">
        <v>25</v>
      </c>
      <c r="N476" s="8" t="str">
        <f>VLOOKUP(K476,tblCountries[],3,0)</f>
        <v>North Amer.</v>
      </c>
      <c r="O476" s="8">
        <f>VLOOKUP(tblSalaries[[#This Row],[How many hours of a day you work on Excel]],tblHours,2,0)</f>
        <v>2</v>
      </c>
      <c r="P476" s="8">
        <f>VLOOKUP(tblSalaries[[#This Row],[clean Country]],tblCountries[],5,0)</f>
        <v>1</v>
      </c>
      <c r="Q476" s="8">
        <f>IF($Q$1,tblSalaries[[#This Row],[PPP Factor]]*tblSalaries[[#This Row],[Salary in USD]],tblSalaries[[#This Row],[Salary in USD]])</f>
        <v>92000</v>
      </c>
    </row>
    <row r="477" spans="2:17" ht="15" customHeight="1" x14ac:dyDescent="0.25">
      <c r="B477" t="s">
        <v>2480</v>
      </c>
      <c r="C477" s="1">
        <v>41055.140659722223</v>
      </c>
      <c r="D477" s="4">
        <v>52000</v>
      </c>
      <c r="E477">
        <v>52000</v>
      </c>
      <c r="F477" t="s">
        <v>6</v>
      </c>
      <c r="G477">
        <f>tblSalaries[[#This Row],[clean Salary (in local currency)]]*VLOOKUP(tblSalaries[[#This Row],[Currency]],tblXrate[],2,FALSE)</f>
        <v>52000</v>
      </c>
      <c r="H477" t="s">
        <v>579</v>
      </c>
      <c r="I477" t="s">
        <v>20</v>
      </c>
      <c r="J477" t="s">
        <v>15</v>
      </c>
      <c r="K477" t="str">
        <f>VLOOKUP(tblSalaries[[#This Row],[Where do you work]],tblCountries[[Actual]:[Mapping]],2,FALSE)</f>
        <v>USA</v>
      </c>
      <c r="L477" t="s">
        <v>9</v>
      </c>
      <c r="N477" s="8" t="str">
        <f>VLOOKUP(K477,tblCountries[],3,0)</f>
        <v>North Amer.</v>
      </c>
      <c r="O477" s="8">
        <f>VLOOKUP(tblSalaries[[#This Row],[How many hours of a day you work on Excel]],tblHours,2,0)</f>
        <v>4</v>
      </c>
      <c r="P477" s="8">
        <f>VLOOKUP(tblSalaries[[#This Row],[clean Country]],tblCountries[],5,0)</f>
        <v>1</v>
      </c>
      <c r="Q477" s="8">
        <f>IF($Q$1,tblSalaries[[#This Row],[PPP Factor]]*tblSalaries[[#This Row],[Salary in USD]],tblSalaries[[#This Row],[Salary in USD]])</f>
        <v>52000</v>
      </c>
    </row>
    <row r="478" spans="2:17" ht="15" customHeight="1" x14ac:dyDescent="0.25">
      <c r="B478" t="s">
        <v>2481</v>
      </c>
      <c r="C478" s="1">
        <v>41055.141562500001</v>
      </c>
      <c r="D478" s="4" t="s">
        <v>580</v>
      </c>
      <c r="E478">
        <v>169000</v>
      </c>
      <c r="F478" t="s">
        <v>6</v>
      </c>
      <c r="G478">
        <f>tblSalaries[[#This Row],[clean Salary (in local currency)]]*VLOOKUP(tblSalaries[[#This Row],[Currency]],tblXrate[],2,FALSE)</f>
        <v>169000</v>
      </c>
      <c r="H478" t="s">
        <v>581</v>
      </c>
      <c r="I478" t="s">
        <v>4001</v>
      </c>
      <c r="J478" t="s">
        <v>15</v>
      </c>
      <c r="K478" t="str">
        <f>VLOOKUP(tblSalaries[[#This Row],[Where do you work]],tblCountries[[Actual]:[Mapping]],2,FALSE)</f>
        <v>USA</v>
      </c>
      <c r="L478" t="s">
        <v>18</v>
      </c>
      <c r="N478" s="8" t="str">
        <f>VLOOKUP(K478,tblCountries[],3,0)</f>
        <v>North Amer.</v>
      </c>
      <c r="O478" s="8">
        <f>VLOOKUP(tblSalaries[[#This Row],[How many hours of a day you work on Excel]],tblHours,2,0)</f>
        <v>3</v>
      </c>
      <c r="P478" s="8">
        <f>VLOOKUP(tblSalaries[[#This Row],[clean Country]],tblCountries[],5,0)</f>
        <v>1</v>
      </c>
      <c r="Q478" s="8">
        <f>IF($Q$1,tblSalaries[[#This Row],[PPP Factor]]*tblSalaries[[#This Row],[Salary in USD]],tblSalaries[[#This Row],[Salary in USD]])</f>
        <v>169000</v>
      </c>
    </row>
    <row r="479" spans="2:17" ht="15" customHeight="1" x14ac:dyDescent="0.25">
      <c r="B479" t="s">
        <v>2482</v>
      </c>
      <c r="C479" s="1">
        <v>41055.143020833333</v>
      </c>
      <c r="D479" s="4">
        <v>110000</v>
      </c>
      <c r="E479">
        <v>110000</v>
      </c>
      <c r="F479" t="s">
        <v>6</v>
      </c>
      <c r="G479">
        <f>tblSalaries[[#This Row],[clean Salary (in local currency)]]*VLOOKUP(tblSalaries[[#This Row],[Currency]],tblXrate[],2,FALSE)</f>
        <v>110000</v>
      </c>
      <c r="H479" t="s">
        <v>582</v>
      </c>
      <c r="I479" t="s">
        <v>310</v>
      </c>
      <c r="J479" t="s">
        <v>583</v>
      </c>
      <c r="K479" t="str">
        <f>VLOOKUP(tblSalaries[[#This Row],[Where do you work]],tblCountries[[Actual]:[Mapping]],2,FALSE)</f>
        <v>Norway</v>
      </c>
      <c r="L479" t="s">
        <v>18</v>
      </c>
      <c r="N479" s="8" t="str">
        <f>VLOOKUP(K479,tblCountries[],3,0)</f>
        <v>Europe</v>
      </c>
      <c r="O479" s="8">
        <f>VLOOKUP(tblSalaries[[#This Row],[How many hours of a day you work on Excel]],tblHours,2,0)</f>
        <v>3</v>
      </c>
      <c r="P479" s="8">
        <f>VLOOKUP(tblSalaries[[#This Row],[clean Country]],tblCountries[],5,0)</f>
        <v>0.90492042415514951</v>
      </c>
      <c r="Q479" s="8">
        <f>IF($Q$1,tblSalaries[[#This Row],[PPP Factor]]*tblSalaries[[#This Row],[Salary in USD]],tblSalaries[[#This Row],[Salary in USD]])</f>
        <v>110000</v>
      </c>
    </row>
    <row r="480" spans="2:17" ht="15" customHeight="1" x14ac:dyDescent="0.25">
      <c r="B480" t="s">
        <v>2483</v>
      </c>
      <c r="C480" s="1">
        <v>41055.14439814815</v>
      </c>
      <c r="D480" s="4" t="s">
        <v>584</v>
      </c>
      <c r="E480">
        <v>1080000</v>
      </c>
      <c r="F480" t="s">
        <v>585</v>
      </c>
      <c r="G480">
        <f>tblSalaries[[#This Row],[clean Salary (in local currency)]]*VLOOKUP(tblSalaries[[#This Row],[Currency]],tblXrate[],2,FALSE)</f>
        <v>131675.52225194403</v>
      </c>
      <c r="H480" t="s">
        <v>586</v>
      </c>
      <c r="I480" t="s">
        <v>52</v>
      </c>
      <c r="J480" t="s">
        <v>587</v>
      </c>
      <c r="K480" t="str">
        <f>VLOOKUP(tblSalaries[[#This Row],[Where do you work]],tblCountries[[Actual]:[Mapping]],2,FALSE)</f>
        <v>South Africa</v>
      </c>
      <c r="L480" t="s">
        <v>18</v>
      </c>
      <c r="N480" s="8" t="str">
        <f>VLOOKUP(K480,tblCountries[],3,0)</f>
        <v>Africa</v>
      </c>
      <c r="O480" s="8">
        <f>VLOOKUP(tblSalaries[[#This Row],[How many hours of a day you work on Excel]],tblHours,2,0)</f>
        <v>3</v>
      </c>
      <c r="P480" s="8">
        <f>VLOOKUP(tblSalaries[[#This Row],[clean Country]],tblCountries[],5,0)</f>
        <v>4.4096418481727877</v>
      </c>
      <c r="Q480" s="8">
        <f>IF($Q$1,tblSalaries[[#This Row],[PPP Factor]]*tblSalaries[[#This Row],[Salary in USD]],tblSalaries[[#This Row],[Salary in USD]])</f>
        <v>131675.52225194403</v>
      </c>
    </row>
    <row r="481" spans="2:17" ht="15" customHeight="1" x14ac:dyDescent="0.25">
      <c r="B481" t="s">
        <v>2484</v>
      </c>
      <c r="C481" s="1">
        <v>41055.146319444444</v>
      </c>
      <c r="D481" s="4" t="s">
        <v>588</v>
      </c>
      <c r="E481">
        <v>59000</v>
      </c>
      <c r="F481" t="s">
        <v>69</v>
      </c>
      <c r="G481">
        <f>tblSalaries[[#This Row],[clean Salary (in local currency)]]*VLOOKUP(tblSalaries[[#This Row],[Currency]],tblXrate[],2,FALSE)</f>
        <v>92994.518051969761</v>
      </c>
      <c r="H481" t="s">
        <v>589</v>
      </c>
      <c r="I481" t="s">
        <v>356</v>
      </c>
      <c r="J481" t="s">
        <v>71</v>
      </c>
      <c r="K481" t="str">
        <f>VLOOKUP(tblSalaries[[#This Row],[Where do you work]],tblCountries[[Actual]:[Mapping]],2,FALSE)</f>
        <v>UK</v>
      </c>
      <c r="L481" t="s">
        <v>18</v>
      </c>
      <c r="N481" s="8" t="str">
        <f>VLOOKUP(K481,tblCountries[],3,0)</f>
        <v>Europe</v>
      </c>
      <c r="O481" s="8">
        <f>VLOOKUP(tblSalaries[[#This Row],[How many hours of a day you work on Excel]],tblHours,2,0)</f>
        <v>3</v>
      </c>
      <c r="P481" s="8">
        <f>VLOOKUP(tblSalaries[[#This Row],[clean Country]],tblCountries[],5,0)</f>
        <v>1.3407315045719035</v>
      </c>
      <c r="Q481" s="8">
        <f>IF($Q$1,tblSalaries[[#This Row],[PPP Factor]]*tblSalaries[[#This Row],[Salary in USD]],tblSalaries[[#This Row],[Salary in USD]])</f>
        <v>92994.518051969761</v>
      </c>
    </row>
    <row r="482" spans="2:17" ht="15" customHeight="1" x14ac:dyDescent="0.25">
      <c r="B482" t="s">
        <v>2485</v>
      </c>
      <c r="C482" s="1">
        <v>41055.146921296298</v>
      </c>
      <c r="D482" s="4">
        <v>50000</v>
      </c>
      <c r="E482">
        <v>50000</v>
      </c>
      <c r="F482" t="s">
        <v>6</v>
      </c>
      <c r="G482">
        <f>tblSalaries[[#This Row],[clean Salary (in local currency)]]*VLOOKUP(tblSalaries[[#This Row],[Currency]],tblXrate[],2,FALSE)</f>
        <v>50000</v>
      </c>
      <c r="H482" t="s">
        <v>590</v>
      </c>
      <c r="I482" t="s">
        <v>20</v>
      </c>
      <c r="J482" t="s">
        <v>15</v>
      </c>
      <c r="K482" t="str">
        <f>VLOOKUP(tblSalaries[[#This Row],[Where do you work]],tblCountries[[Actual]:[Mapping]],2,FALSE)</f>
        <v>USA</v>
      </c>
      <c r="L482" t="s">
        <v>9</v>
      </c>
      <c r="N482" s="8" t="str">
        <f>VLOOKUP(K482,tblCountries[],3,0)</f>
        <v>North Amer.</v>
      </c>
      <c r="O482" s="8">
        <f>VLOOKUP(tblSalaries[[#This Row],[How many hours of a day you work on Excel]],tblHours,2,0)</f>
        <v>4</v>
      </c>
      <c r="P482" s="8">
        <f>VLOOKUP(tblSalaries[[#This Row],[clean Country]],tblCountries[],5,0)</f>
        <v>1</v>
      </c>
      <c r="Q482" s="8">
        <f>IF($Q$1,tblSalaries[[#This Row],[PPP Factor]]*tblSalaries[[#This Row],[Salary in USD]],tblSalaries[[#This Row],[Salary in USD]])</f>
        <v>50000</v>
      </c>
    </row>
    <row r="483" spans="2:17" ht="15" customHeight="1" x14ac:dyDescent="0.25">
      <c r="B483" t="s">
        <v>2486</v>
      </c>
      <c r="C483" s="1">
        <v>41055.147372685184</v>
      </c>
      <c r="D483" s="4">
        <v>65000</v>
      </c>
      <c r="E483">
        <v>65000</v>
      </c>
      <c r="F483" t="s">
        <v>6</v>
      </c>
      <c r="G483">
        <f>tblSalaries[[#This Row],[clean Salary (in local currency)]]*VLOOKUP(tblSalaries[[#This Row],[Currency]],tblXrate[],2,FALSE)</f>
        <v>65000</v>
      </c>
      <c r="H483" t="s">
        <v>117</v>
      </c>
      <c r="I483" t="s">
        <v>20</v>
      </c>
      <c r="J483" t="s">
        <v>15</v>
      </c>
      <c r="K483" t="str">
        <f>VLOOKUP(tblSalaries[[#This Row],[Where do you work]],tblCountries[[Actual]:[Mapping]],2,FALSE)</f>
        <v>USA</v>
      </c>
      <c r="L483" t="s">
        <v>18</v>
      </c>
      <c r="N483" s="8" t="str">
        <f>VLOOKUP(K483,tblCountries[],3,0)</f>
        <v>North Amer.</v>
      </c>
      <c r="O483" s="8">
        <f>VLOOKUP(tblSalaries[[#This Row],[How many hours of a day you work on Excel]],tblHours,2,0)</f>
        <v>3</v>
      </c>
      <c r="P483" s="8">
        <f>VLOOKUP(tblSalaries[[#This Row],[clean Country]],tblCountries[],5,0)</f>
        <v>1</v>
      </c>
      <c r="Q483" s="8">
        <f>IF($Q$1,tblSalaries[[#This Row],[PPP Factor]]*tblSalaries[[#This Row],[Salary in USD]],tblSalaries[[#This Row],[Salary in USD]])</f>
        <v>65000</v>
      </c>
    </row>
    <row r="484" spans="2:17" ht="15" customHeight="1" x14ac:dyDescent="0.25">
      <c r="B484" t="s">
        <v>2487</v>
      </c>
      <c r="C484" s="1">
        <v>41055.147835648146</v>
      </c>
      <c r="D484" s="4">
        <v>46000</v>
      </c>
      <c r="E484">
        <v>46000</v>
      </c>
      <c r="F484" t="s">
        <v>86</v>
      </c>
      <c r="G484">
        <f>tblSalaries[[#This Row],[clean Salary (in local currency)]]*VLOOKUP(tblSalaries[[#This Row],[Currency]],tblXrate[],2,FALSE)</f>
        <v>45234.630059395036</v>
      </c>
      <c r="H484" t="s">
        <v>591</v>
      </c>
      <c r="I484" t="s">
        <v>20</v>
      </c>
      <c r="J484" t="s">
        <v>88</v>
      </c>
      <c r="K484" t="str">
        <f>VLOOKUP(tblSalaries[[#This Row],[Where do you work]],tblCountries[[Actual]:[Mapping]],2,FALSE)</f>
        <v>Canada</v>
      </c>
      <c r="L484" t="s">
        <v>13</v>
      </c>
      <c r="N484" s="8" t="str">
        <f>VLOOKUP(K484,tblCountries[],3,0)</f>
        <v>North Amer.</v>
      </c>
      <c r="O484" s="8">
        <f>VLOOKUP(tblSalaries[[#This Row],[How many hours of a day you work on Excel]],tblHours,2,0)</f>
        <v>5</v>
      </c>
      <c r="P484" s="8">
        <f>VLOOKUP(tblSalaries[[#This Row],[clean Country]],tblCountries[],5,0)</f>
        <v>1.1935324732986359</v>
      </c>
      <c r="Q484" s="8">
        <f>IF($Q$1,tblSalaries[[#This Row],[PPP Factor]]*tblSalaries[[#This Row],[Salary in USD]],tblSalaries[[#This Row],[Salary in USD]])</f>
        <v>45234.630059395036</v>
      </c>
    </row>
    <row r="485" spans="2:17" ht="15" customHeight="1" x14ac:dyDescent="0.25">
      <c r="B485" t="s">
        <v>2488</v>
      </c>
      <c r="C485" s="1">
        <v>41055.148287037038</v>
      </c>
      <c r="D485" s="4">
        <v>55000</v>
      </c>
      <c r="E485">
        <v>55000</v>
      </c>
      <c r="F485" t="s">
        <v>6</v>
      </c>
      <c r="G485">
        <f>tblSalaries[[#This Row],[clean Salary (in local currency)]]*VLOOKUP(tblSalaries[[#This Row],[Currency]],tblXrate[],2,FALSE)</f>
        <v>55000</v>
      </c>
      <c r="H485" t="s">
        <v>20</v>
      </c>
      <c r="I485" t="s">
        <v>20</v>
      </c>
      <c r="J485" t="s">
        <v>15</v>
      </c>
      <c r="K485" t="str">
        <f>VLOOKUP(tblSalaries[[#This Row],[Where do you work]],tblCountries[[Actual]:[Mapping]],2,FALSE)</f>
        <v>USA</v>
      </c>
      <c r="L485" t="s">
        <v>18</v>
      </c>
      <c r="N485" s="8" t="str">
        <f>VLOOKUP(K485,tblCountries[],3,0)</f>
        <v>North Amer.</v>
      </c>
      <c r="O485" s="8">
        <f>VLOOKUP(tblSalaries[[#This Row],[How many hours of a day you work on Excel]],tblHours,2,0)</f>
        <v>3</v>
      </c>
      <c r="P485" s="8">
        <f>VLOOKUP(tblSalaries[[#This Row],[clean Country]],tblCountries[],5,0)</f>
        <v>1</v>
      </c>
      <c r="Q485" s="8">
        <f>IF($Q$1,tblSalaries[[#This Row],[PPP Factor]]*tblSalaries[[#This Row],[Salary in USD]],tblSalaries[[#This Row],[Salary in USD]])</f>
        <v>55000</v>
      </c>
    </row>
    <row r="486" spans="2:17" ht="15" customHeight="1" x14ac:dyDescent="0.25">
      <c r="B486" t="s">
        <v>2489</v>
      </c>
      <c r="C486" s="1">
        <v>41055.148657407408</v>
      </c>
      <c r="D486" s="4" t="s">
        <v>592</v>
      </c>
      <c r="E486">
        <v>20000</v>
      </c>
      <c r="F486" t="s">
        <v>6</v>
      </c>
      <c r="G486">
        <f>tblSalaries[[#This Row],[clean Salary (in local currency)]]*VLOOKUP(tblSalaries[[#This Row],[Currency]],tblXrate[],2,FALSE)</f>
        <v>20000</v>
      </c>
      <c r="H486" t="s">
        <v>356</v>
      </c>
      <c r="I486" t="s">
        <v>356</v>
      </c>
      <c r="J486" t="s">
        <v>8</v>
      </c>
      <c r="K486" t="str">
        <f>VLOOKUP(tblSalaries[[#This Row],[Where do you work]],tblCountries[[Actual]:[Mapping]],2,FALSE)</f>
        <v>India</v>
      </c>
      <c r="L486" t="s">
        <v>18</v>
      </c>
      <c r="N486" s="8" t="str">
        <f>VLOOKUP(K486,tblCountries[],3,0)</f>
        <v>Asia</v>
      </c>
      <c r="O486" s="8">
        <f>VLOOKUP(tblSalaries[[#This Row],[How many hours of a day you work on Excel]],tblHours,2,0)</f>
        <v>3</v>
      </c>
      <c r="P486" s="8">
        <f>VLOOKUP(tblSalaries[[#This Row],[clean Country]],tblCountries[],5,0)</f>
        <v>13.098808879263672</v>
      </c>
      <c r="Q486" s="8">
        <f>IF($Q$1,tblSalaries[[#This Row],[PPP Factor]]*tblSalaries[[#This Row],[Salary in USD]],tblSalaries[[#This Row],[Salary in USD]])</f>
        <v>20000</v>
      </c>
    </row>
    <row r="487" spans="2:17" ht="15" customHeight="1" x14ac:dyDescent="0.25">
      <c r="B487" t="s">
        <v>2490</v>
      </c>
      <c r="C487" s="1">
        <v>41055.148784722223</v>
      </c>
      <c r="D487" s="4">
        <v>6000</v>
      </c>
      <c r="E487">
        <v>6000</v>
      </c>
      <c r="F487" t="s">
        <v>6</v>
      </c>
      <c r="G487">
        <f>tblSalaries[[#This Row],[clean Salary (in local currency)]]*VLOOKUP(tblSalaries[[#This Row],[Currency]],tblXrate[],2,FALSE)</f>
        <v>6000</v>
      </c>
      <c r="H487" t="s">
        <v>360</v>
      </c>
      <c r="I487" t="s">
        <v>3999</v>
      </c>
      <c r="J487" t="s">
        <v>8</v>
      </c>
      <c r="K487" t="str">
        <f>VLOOKUP(tblSalaries[[#This Row],[Where do you work]],tblCountries[[Actual]:[Mapping]],2,FALSE)</f>
        <v>India</v>
      </c>
      <c r="L487" t="s">
        <v>13</v>
      </c>
      <c r="N487" s="8" t="str">
        <f>VLOOKUP(K487,tblCountries[],3,0)</f>
        <v>Asia</v>
      </c>
      <c r="O487" s="8">
        <f>VLOOKUP(tblSalaries[[#This Row],[How many hours of a day you work on Excel]],tblHours,2,0)</f>
        <v>5</v>
      </c>
      <c r="P487" s="8">
        <f>VLOOKUP(tblSalaries[[#This Row],[clean Country]],tblCountries[],5,0)</f>
        <v>13.098808879263672</v>
      </c>
      <c r="Q487" s="8">
        <f>IF($Q$1,tblSalaries[[#This Row],[PPP Factor]]*tblSalaries[[#This Row],[Salary in USD]],tblSalaries[[#This Row],[Salary in USD]])</f>
        <v>6000</v>
      </c>
    </row>
    <row r="488" spans="2:17" ht="15" customHeight="1" x14ac:dyDescent="0.25">
      <c r="B488" t="s">
        <v>2491</v>
      </c>
      <c r="C488" s="1">
        <v>41055.151076388887</v>
      </c>
      <c r="D488" s="4">
        <v>190000</v>
      </c>
      <c r="E488">
        <v>190000</v>
      </c>
      <c r="F488" t="s">
        <v>69</v>
      </c>
      <c r="G488">
        <f>tblSalaries[[#This Row],[clean Salary (in local currency)]]*VLOOKUP(tblSalaries[[#This Row],[Currency]],tblXrate[],2,FALSE)</f>
        <v>299473.87169278396</v>
      </c>
      <c r="H488" t="s">
        <v>593</v>
      </c>
      <c r="I488" t="s">
        <v>4001</v>
      </c>
      <c r="J488" t="s">
        <v>71</v>
      </c>
      <c r="K488" t="str">
        <f>VLOOKUP(tblSalaries[[#This Row],[Where do you work]],tblCountries[[Actual]:[Mapping]],2,FALSE)</f>
        <v>UK</v>
      </c>
      <c r="L488" t="s">
        <v>9</v>
      </c>
      <c r="N488" s="8" t="str">
        <f>VLOOKUP(K488,tblCountries[],3,0)</f>
        <v>Europe</v>
      </c>
      <c r="O488" s="8">
        <f>VLOOKUP(tblSalaries[[#This Row],[How many hours of a day you work on Excel]],tblHours,2,0)</f>
        <v>4</v>
      </c>
      <c r="P488" s="8">
        <f>VLOOKUP(tblSalaries[[#This Row],[clean Country]],tblCountries[],5,0)</f>
        <v>1.3407315045719035</v>
      </c>
      <c r="Q488" s="8">
        <f>IF($Q$1,tblSalaries[[#This Row],[PPP Factor]]*tblSalaries[[#This Row],[Salary in USD]],tblSalaries[[#This Row],[Salary in USD]])</f>
        <v>299473.87169278396</v>
      </c>
    </row>
    <row r="489" spans="2:17" ht="15" customHeight="1" x14ac:dyDescent="0.25">
      <c r="B489" t="s">
        <v>2492</v>
      </c>
      <c r="C489" s="1">
        <v>41055.151226851849</v>
      </c>
      <c r="D489" s="4">
        <v>28164</v>
      </c>
      <c r="E489">
        <v>28164</v>
      </c>
      <c r="F489" t="s">
        <v>69</v>
      </c>
      <c r="G489">
        <f>tblSalaries[[#This Row],[clean Salary (in local currency)]]*VLOOKUP(tblSalaries[[#This Row],[Currency]],tblXrate[],2,FALSE)</f>
        <v>44391.484854502989</v>
      </c>
      <c r="H489" t="s">
        <v>594</v>
      </c>
      <c r="I489" t="s">
        <v>52</v>
      </c>
      <c r="J489" t="s">
        <v>71</v>
      </c>
      <c r="K489" t="str">
        <f>VLOOKUP(tblSalaries[[#This Row],[Where do you work]],tblCountries[[Actual]:[Mapping]],2,FALSE)</f>
        <v>UK</v>
      </c>
      <c r="L489" t="s">
        <v>9</v>
      </c>
      <c r="N489" s="8" t="str">
        <f>VLOOKUP(K489,tblCountries[],3,0)</f>
        <v>Europe</v>
      </c>
      <c r="O489" s="8">
        <f>VLOOKUP(tblSalaries[[#This Row],[How many hours of a day you work on Excel]],tblHours,2,0)</f>
        <v>4</v>
      </c>
      <c r="P489" s="8">
        <f>VLOOKUP(tblSalaries[[#This Row],[clean Country]],tblCountries[],5,0)</f>
        <v>1.3407315045719035</v>
      </c>
      <c r="Q489" s="8">
        <f>IF($Q$1,tblSalaries[[#This Row],[PPP Factor]]*tblSalaries[[#This Row],[Salary in USD]],tblSalaries[[#This Row],[Salary in USD]])</f>
        <v>44391.484854502989</v>
      </c>
    </row>
    <row r="490" spans="2:17" ht="15" customHeight="1" x14ac:dyDescent="0.25">
      <c r="B490" t="s">
        <v>2493</v>
      </c>
      <c r="C490" s="1">
        <v>41055.153078703705</v>
      </c>
      <c r="D490" s="4">
        <v>40000</v>
      </c>
      <c r="E490">
        <v>40000</v>
      </c>
      <c r="F490" t="s">
        <v>6</v>
      </c>
      <c r="G490">
        <f>tblSalaries[[#This Row],[clean Salary (in local currency)]]*VLOOKUP(tblSalaries[[#This Row],[Currency]],tblXrate[],2,FALSE)</f>
        <v>40000</v>
      </c>
      <c r="H490" t="s">
        <v>595</v>
      </c>
      <c r="I490" t="s">
        <v>20</v>
      </c>
      <c r="J490" t="s">
        <v>15</v>
      </c>
      <c r="K490" t="str">
        <f>VLOOKUP(tblSalaries[[#This Row],[Where do you work]],tblCountries[[Actual]:[Mapping]],2,FALSE)</f>
        <v>USA</v>
      </c>
      <c r="L490" t="s">
        <v>18</v>
      </c>
      <c r="N490" s="8" t="str">
        <f>VLOOKUP(K490,tblCountries[],3,0)</f>
        <v>North Amer.</v>
      </c>
      <c r="O490" s="8">
        <f>VLOOKUP(tblSalaries[[#This Row],[How many hours of a day you work on Excel]],tblHours,2,0)</f>
        <v>3</v>
      </c>
      <c r="P490" s="8">
        <f>VLOOKUP(tblSalaries[[#This Row],[clean Country]],tblCountries[],5,0)</f>
        <v>1</v>
      </c>
      <c r="Q490" s="8">
        <f>IF($Q$1,tblSalaries[[#This Row],[PPP Factor]]*tblSalaries[[#This Row],[Salary in USD]],tblSalaries[[#This Row],[Salary in USD]])</f>
        <v>40000</v>
      </c>
    </row>
    <row r="491" spans="2:17" ht="15" customHeight="1" x14ac:dyDescent="0.25">
      <c r="B491" t="s">
        <v>2494</v>
      </c>
      <c r="C491" s="1">
        <v>41055.158819444441</v>
      </c>
      <c r="D491" s="4" t="s">
        <v>596</v>
      </c>
      <c r="E491">
        <v>108000</v>
      </c>
      <c r="F491" t="s">
        <v>6</v>
      </c>
      <c r="G491">
        <f>tblSalaries[[#This Row],[clean Salary (in local currency)]]*VLOOKUP(tblSalaries[[#This Row],[Currency]],tblXrate[],2,FALSE)</f>
        <v>108000</v>
      </c>
      <c r="H491" t="s">
        <v>52</v>
      </c>
      <c r="I491" t="s">
        <v>52</v>
      </c>
      <c r="J491" t="s">
        <v>583</v>
      </c>
      <c r="K491" t="str">
        <f>VLOOKUP(tblSalaries[[#This Row],[Where do you work]],tblCountries[[Actual]:[Mapping]],2,FALSE)</f>
        <v>Norway</v>
      </c>
      <c r="L491" t="s">
        <v>9</v>
      </c>
      <c r="N491" s="8" t="str">
        <f>VLOOKUP(K491,tblCountries[],3,0)</f>
        <v>Europe</v>
      </c>
      <c r="O491" s="8">
        <f>VLOOKUP(tblSalaries[[#This Row],[How many hours of a day you work on Excel]],tblHours,2,0)</f>
        <v>4</v>
      </c>
      <c r="P491" s="8">
        <f>VLOOKUP(tblSalaries[[#This Row],[clean Country]],tblCountries[],5,0)</f>
        <v>0.90492042415514951</v>
      </c>
      <c r="Q491" s="8">
        <f>IF($Q$1,tblSalaries[[#This Row],[PPP Factor]]*tblSalaries[[#This Row],[Salary in USD]],tblSalaries[[#This Row],[Salary in USD]])</f>
        <v>108000</v>
      </c>
    </row>
    <row r="492" spans="2:17" ht="15" customHeight="1" x14ac:dyDescent="0.25">
      <c r="B492" t="s">
        <v>2495</v>
      </c>
      <c r="C492" s="1">
        <v>41055.159270833334</v>
      </c>
      <c r="D492" s="4" t="s">
        <v>597</v>
      </c>
      <c r="E492">
        <v>200000</v>
      </c>
      <c r="F492" t="s">
        <v>40</v>
      </c>
      <c r="G492">
        <f>tblSalaries[[#This Row],[clean Salary (in local currency)]]*VLOOKUP(tblSalaries[[#This Row],[Currency]],tblXrate[],2,FALSE)</f>
        <v>3561.5833374885137</v>
      </c>
      <c r="H492" t="s">
        <v>598</v>
      </c>
      <c r="I492" t="s">
        <v>20</v>
      </c>
      <c r="J492" t="s">
        <v>8</v>
      </c>
      <c r="K492" t="str">
        <f>VLOOKUP(tblSalaries[[#This Row],[Where do you work]],tblCountries[[Actual]:[Mapping]],2,FALSE)</f>
        <v>India</v>
      </c>
      <c r="L492" t="s">
        <v>18</v>
      </c>
      <c r="N492" s="8" t="str">
        <f>VLOOKUP(K492,tblCountries[],3,0)</f>
        <v>Asia</v>
      </c>
      <c r="O492" s="8">
        <f>VLOOKUP(tblSalaries[[#This Row],[How many hours of a day you work on Excel]],tblHours,2,0)</f>
        <v>3</v>
      </c>
      <c r="P492" s="8">
        <f>VLOOKUP(tblSalaries[[#This Row],[clean Country]],tblCountries[],5,0)</f>
        <v>13.098808879263672</v>
      </c>
      <c r="Q492" s="8">
        <f>IF($Q$1,tblSalaries[[#This Row],[PPP Factor]]*tblSalaries[[#This Row],[Salary in USD]],tblSalaries[[#This Row],[Salary in USD]])</f>
        <v>3561.5833374885137</v>
      </c>
    </row>
    <row r="493" spans="2:17" ht="15" customHeight="1" x14ac:dyDescent="0.25">
      <c r="B493" t="s">
        <v>2496</v>
      </c>
      <c r="C493" s="1">
        <v>41055.160000000003</v>
      </c>
      <c r="D493" s="4">
        <v>84000</v>
      </c>
      <c r="E493">
        <v>84000</v>
      </c>
      <c r="F493" t="s">
        <v>6</v>
      </c>
      <c r="G493">
        <f>tblSalaries[[#This Row],[clean Salary (in local currency)]]*VLOOKUP(tblSalaries[[#This Row],[Currency]],tblXrate[],2,FALSE)</f>
        <v>84000</v>
      </c>
      <c r="H493" t="s">
        <v>72</v>
      </c>
      <c r="I493" t="s">
        <v>20</v>
      </c>
      <c r="J493" t="s">
        <v>15</v>
      </c>
      <c r="K493" t="str">
        <f>VLOOKUP(tblSalaries[[#This Row],[Where do you work]],tblCountries[[Actual]:[Mapping]],2,FALSE)</f>
        <v>USA</v>
      </c>
      <c r="L493" t="s">
        <v>13</v>
      </c>
      <c r="N493" s="8" t="str">
        <f>VLOOKUP(K493,tblCountries[],3,0)</f>
        <v>North Amer.</v>
      </c>
      <c r="O493" s="8">
        <f>VLOOKUP(tblSalaries[[#This Row],[How many hours of a day you work on Excel]],tblHours,2,0)</f>
        <v>5</v>
      </c>
      <c r="P493" s="8">
        <f>VLOOKUP(tblSalaries[[#This Row],[clean Country]],tblCountries[],5,0)</f>
        <v>1</v>
      </c>
      <c r="Q493" s="8">
        <f>IF($Q$1,tblSalaries[[#This Row],[PPP Factor]]*tblSalaries[[#This Row],[Salary in USD]],tblSalaries[[#This Row],[Salary in USD]])</f>
        <v>84000</v>
      </c>
    </row>
    <row r="494" spans="2:17" ht="15" customHeight="1" x14ac:dyDescent="0.25">
      <c r="B494" t="s">
        <v>2497</v>
      </c>
      <c r="C494" s="1">
        <v>41055.16138888889</v>
      </c>
      <c r="D494" s="4">
        <v>33000</v>
      </c>
      <c r="E494">
        <v>33000</v>
      </c>
      <c r="F494" t="s">
        <v>69</v>
      </c>
      <c r="G494">
        <f>tblSalaries[[#This Row],[clean Salary (in local currency)]]*VLOOKUP(tblSalaries[[#This Row],[Currency]],tblXrate[],2,FALSE)</f>
        <v>52013.882978220376</v>
      </c>
      <c r="H494" t="s">
        <v>599</v>
      </c>
      <c r="I494" t="s">
        <v>52</v>
      </c>
      <c r="J494" t="s">
        <v>71</v>
      </c>
      <c r="K494" t="str">
        <f>VLOOKUP(tblSalaries[[#This Row],[Where do you work]],tblCountries[[Actual]:[Mapping]],2,FALSE)</f>
        <v>UK</v>
      </c>
      <c r="L494" t="s">
        <v>9</v>
      </c>
      <c r="N494" s="8" t="str">
        <f>VLOOKUP(K494,tblCountries[],3,0)</f>
        <v>Europe</v>
      </c>
      <c r="O494" s="8">
        <f>VLOOKUP(tblSalaries[[#This Row],[How many hours of a day you work on Excel]],tblHours,2,0)</f>
        <v>4</v>
      </c>
      <c r="P494" s="8">
        <f>VLOOKUP(tblSalaries[[#This Row],[clean Country]],tblCountries[],5,0)</f>
        <v>1.3407315045719035</v>
      </c>
      <c r="Q494" s="8">
        <f>IF($Q$1,tblSalaries[[#This Row],[PPP Factor]]*tblSalaries[[#This Row],[Salary in USD]],tblSalaries[[#This Row],[Salary in USD]])</f>
        <v>52013.882978220376</v>
      </c>
    </row>
    <row r="495" spans="2:17" ht="15" customHeight="1" x14ac:dyDescent="0.25">
      <c r="B495" t="s">
        <v>2498</v>
      </c>
      <c r="C495" s="1">
        <v>41055.162141203706</v>
      </c>
      <c r="D495" s="4" t="s">
        <v>600</v>
      </c>
      <c r="E495">
        <v>720000</v>
      </c>
      <c r="F495" t="s">
        <v>40</v>
      </c>
      <c r="G495">
        <f>tblSalaries[[#This Row],[clean Salary (in local currency)]]*VLOOKUP(tblSalaries[[#This Row],[Currency]],tblXrate[],2,FALSE)</f>
        <v>12821.700014958649</v>
      </c>
      <c r="H495" t="s">
        <v>601</v>
      </c>
      <c r="I495" t="s">
        <v>52</v>
      </c>
      <c r="J495" t="s">
        <v>8</v>
      </c>
      <c r="K495" t="str">
        <f>VLOOKUP(tblSalaries[[#This Row],[Where do you work]],tblCountries[[Actual]:[Mapping]],2,FALSE)</f>
        <v>India</v>
      </c>
      <c r="L495" t="s">
        <v>18</v>
      </c>
      <c r="N495" s="8" t="str">
        <f>VLOOKUP(K495,tblCountries[],3,0)</f>
        <v>Asia</v>
      </c>
      <c r="O495" s="8">
        <f>VLOOKUP(tblSalaries[[#This Row],[How many hours of a day you work on Excel]],tblHours,2,0)</f>
        <v>3</v>
      </c>
      <c r="P495" s="8">
        <f>VLOOKUP(tblSalaries[[#This Row],[clean Country]],tblCountries[],5,0)</f>
        <v>13.098808879263672</v>
      </c>
      <c r="Q495" s="8">
        <f>IF($Q$1,tblSalaries[[#This Row],[PPP Factor]]*tblSalaries[[#This Row],[Salary in USD]],tblSalaries[[#This Row],[Salary in USD]])</f>
        <v>12821.700014958649</v>
      </c>
    </row>
    <row r="496" spans="2:17" ht="15" customHeight="1" x14ac:dyDescent="0.25">
      <c r="B496" t="s">
        <v>2499</v>
      </c>
      <c r="C496" s="1">
        <v>41055.166909722226</v>
      </c>
      <c r="D496" s="4">
        <v>68500</v>
      </c>
      <c r="E496">
        <v>68500</v>
      </c>
      <c r="F496" t="s">
        <v>86</v>
      </c>
      <c r="G496">
        <f>tblSalaries[[#This Row],[clean Salary (in local currency)]]*VLOOKUP(tblSalaries[[#This Row],[Currency]],tblXrate[],2,FALSE)</f>
        <v>67360.264327577388</v>
      </c>
      <c r="H496" t="s">
        <v>14</v>
      </c>
      <c r="I496" t="s">
        <v>20</v>
      </c>
      <c r="J496" t="s">
        <v>88</v>
      </c>
      <c r="K496" t="str">
        <f>VLOOKUP(tblSalaries[[#This Row],[Where do you work]],tblCountries[[Actual]:[Mapping]],2,FALSE)</f>
        <v>Canada</v>
      </c>
      <c r="L496" t="s">
        <v>9</v>
      </c>
      <c r="N496" s="8" t="str">
        <f>VLOOKUP(K496,tblCountries[],3,0)</f>
        <v>North Amer.</v>
      </c>
      <c r="O496" s="8">
        <f>VLOOKUP(tblSalaries[[#This Row],[How many hours of a day you work on Excel]],tblHours,2,0)</f>
        <v>4</v>
      </c>
      <c r="P496" s="8">
        <f>VLOOKUP(tblSalaries[[#This Row],[clean Country]],tblCountries[],5,0)</f>
        <v>1.1935324732986359</v>
      </c>
      <c r="Q496" s="8">
        <f>IF($Q$1,tblSalaries[[#This Row],[PPP Factor]]*tblSalaries[[#This Row],[Salary in USD]],tblSalaries[[#This Row],[Salary in USD]])</f>
        <v>67360.264327577388</v>
      </c>
    </row>
    <row r="497" spans="2:17" ht="15" customHeight="1" x14ac:dyDescent="0.25">
      <c r="B497" t="s">
        <v>2500</v>
      </c>
      <c r="C497" s="1">
        <v>41055.167881944442</v>
      </c>
      <c r="D497" s="4" t="s">
        <v>602</v>
      </c>
      <c r="E497">
        <v>23000</v>
      </c>
      <c r="F497" t="s">
        <v>6</v>
      </c>
      <c r="G497">
        <f>tblSalaries[[#This Row],[clean Salary (in local currency)]]*VLOOKUP(tblSalaries[[#This Row],[Currency]],tblXrate[],2,FALSE)</f>
        <v>23000</v>
      </c>
      <c r="H497" t="s">
        <v>603</v>
      </c>
      <c r="I497" t="s">
        <v>52</v>
      </c>
      <c r="J497" t="s">
        <v>38</v>
      </c>
      <c r="K497" t="str">
        <f>VLOOKUP(tblSalaries[[#This Row],[Where do you work]],tblCountries[[Actual]:[Mapping]],2,FALSE)</f>
        <v>Hungary</v>
      </c>
      <c r="L497" t="s">
        <v>9</v>
      </c>
      <c r="N497" s="8" t="str">
        <f>VLOOKUP(K497,tblCountries[],3,0)</f>
        <v>Europe</v>
      </c>
      <c r="O497" s="8">
        <f>VLOOKUP(tblSalaries[[#This Row],[How many hours of a day you work on Excel]],tblHours,2,0)</f>
        <v>4</v>
      </c>
      <c r="P497" s="8">
        <f>VLOOKUP(tblSalaries[[#This Row],[clean Country]],tblCountries[],5,0)</f>
        <v>2.4698586085447398</v>
      </c>
      <c r="Q497" s="8">
        <f>IF($Q$1,tblSalaries[[#This Row],[PPP Factor]]*tblSalaries[[#This Row],[Salary in USD]],tblSalaries[[#This Row],[Salary in USD]])</f>
        <v>23000</v>
      </c>
    </row>
    <row r="498" spans="2:17" ht="15" customHeight="1" x14ac:dyDescent="0.25">
      <c r="B498" t="s">
        <v>2501</v>
      </c>
      <c r="C498" s="1">
        <v>41055.168043981481</v>
      </c>
      <c r="D498" s="4">
        <v>58000</v>
      </c>
      <c r="E498">
        <v>58000</v>
      </c>
      <c r="F498" t="s">
        <v>69</v>
      </c>
      <c r="G498">
        <f>tblSalaries[[#This Row],[clean Salary (in local currency)]]*VLOOKUP(tblSalaries[[#This Row],[Currency]],tblXrate[],2,FALSE)</f>
        <v>91418.339779902482</v>
      </c>
      <c r="H498" t="s">
        <v>604</v>
      </c>
      <c r="I498" t="s">
        <v>52</v>
      </c>
      <c r="J498" t="s">
        <v>71</v>
      </c>
      <c r="K498" t="str">
        <f>VLOOKUP(tblSalaries[[#This Row],[Where do you work]],tblCountries[[Actual]:[Mapping]],2,FALSE)</f>
        <v>UK</v>
      </c>
      <c r="L498" t="s">
        <v>13</v>
      </c>
      <c r="N498" s="8" t="str">
        <f>VLOOKUP(K498,tblCountries[],3,0)</f>
        <v>Europe</v>
      </c>
      <c r="O498" s="8">
        <f>VLOOKUP(tblSalaries[[#This Row],[How many hours of a day you work on Excel]],tblHours,2,0)</f>
        <v>5</v>
      </c>
      <c r="P498" s="8">
        <f>VLOOKUP(tblSalaries[[#This Row],[clean Country]],tblCountries[],5,0)</f>
        <v>1.3407315045719035</v>
      </c>
      <c r="Q498" s="8">
        <f>IF($Q$1,tblSalaries[[#This Row],[PPP Factor]]*tblSalaries[[#This Row],[Salary in USD]],tblSalaries[[#This Row],[Salary in USD]])</f>
        <v>91418.339779902482</v>
      </c>
    </row>
    <row r="499" spans="2:17" ht="15" customHeight="1" x14ac:dyDescent="0.25">
      <c r="B499" t="s">
        <v>2502</v>
      </c>
      <c r="C499" s="1">
        <v>41055.169131944444</v>
      </c>
      <c r="D499" s="4">
        <v>77000</v>
      </c>
      <c r="E499">
        <v>77000</v>
      </c>
      <c r="F499" t="s">
        <v>6</v>
      </c>
      <c r="G499">
        <f>tblSalaries[[#This Row],[clean Salary (in local currency)]]*VLOOKUP(tblSalaries[[#This Row],[Currency]],tblXrate[],2,FALSE)</f>
        <v>77000</v>
      </c>
      <c r="H499" t="s">
        <v>424</v>
      </c>
      <c r="I499" t="s">
        <v>20</v>
      </c>
      <c r="J499" t="s">
        <v>15</v>
      </c>
      <c r="K499" t="str">
        <f>VLOOKUP(tblSalaries[[#This Row],[Where do you work]],tblCountries[[Actual]:[Mapping]],2,FALSE)</f>
        <v>USA</v>
      </c>
      <c r="L499" t="s">
        <v>13</v>
      </c>
      <c r="N499" s="8" t="str">
        <f>VLOOKUP(K499,tblCountries[],3,0)</f>
        <v>North Amer.</v>
      </c>
      <c r="O499" s="8">
        <f>VLOOKUP(tblSalaries[[#This Row],[How many hours of a day you work on Excel]],tblHours,2,0)</f>
        <v>5</v>
      </c>
      <c r="P499" s="8">
        <f>VLOOKUP(tblSalaries[[#This Row],[clean Country]],tblCountries[],5,0)</f>
        <v>1</v>
      </c>
      <c r="Q499" s="8">
        <f>IF($Q$1,tblSalaries[[#This Row],[PPP Factor]]*tblSalaries[[#This Row],[Salary in USD]],tblSalaries[[#This Row],[Salary in USD]])</f>
        <v>77000</v>
      </c>
    </row>
    <row r="500" spans="2:17" ht="15" customHeight="1" x14ac:dyDescent="0.25">
      <c r="B500" t="s">
        <v>2503</v>
      </c>
      <c r="C500" s="1">
        <v>41055.170231481483</v>
      </c>
      <c r="D500" s="4">
        <v>100000</v>
      </c>
      <c r="E500">
        <v>100000</v>
      </c>
      <c r="F500" t="s">
        <v>6</v>
      </c>
      <c r="G500">
        <f>tblSalaries[[#This Row],[clean Salary (in local currency)]]*VLOOKUP(tblSalaries[[#This Row],[Currency]],tblXrate[],2,FALSE)</f>
        <v>100000</v>
      </c>
      <c r="H500" t="s">
        <v>20</v>
      </c>
      <c r="I500" t="s">
        <v>20</v>
      </c>
      <c r="J500" t="s">
        <v>15</v>
      </c>
      <c r="K500" t="str">
        <f>VLOOKUP(tblSalaries[[#This Row],[Where do you work]],tblCountries[[Actual]:[Mapping]],2,FALSE)</f>
        <v>USA</v>
      </c>
      <c r="L500" t="s">
        <v>9</v>
      </c>
      <c r="N500" s="8" t="str">
        <f>VLOOKUP(K500,tblCountries[],3,0)</f>
        <v>North Amer.</v>
      </c>
      <c r="O500" s="8">
        <f>VLOOKUP(tblSalaries[[#This Row],[How many hours of a day you work on Excel]],tblHours,2,0)</f>
        <v>4</v>
      </c>
      <c r="P500" s="8">
        <f>VLOOKUP(tblSalaries[[#This Row],[clean Country]],tblCountries[],5,0)</f>
        <v>1</v>
      </c>
      <c r="Q500" s="8">
        <f>IF($Q$1,tblSalaries[[#This Row],[PPP Factor]]*tblSalaries[[#This Row],[Salary in USD]],tblSalaries[[#This Row],[Salary in USD]])</f>
        <v>100000</v>
      </c>
    </row>
    <row r="501" spans="2:17" ht="15" customHeight="1" x14ac:dyDescent="0.25">
      <c r="B501" t="s">
        <v>2504</v>
      </c>
      <c r="C501" s="1">
        <v>41055.174224537041</v>
      </c>
      <c r="D501" s="4">
        <v>55500</v>
      </c>
      <c r="E501">
        <v>55500</v>
      </c>
      <c r="F501" t="s">
        <v>6</v>
      </c>
      <c r="G501">
        <f>tblSalaries[[#This Row],[clean Salary (in local currency)]]*VLOOKUP(tblSalaries[[#This Row],[Currency]],tblXrate[],2,FALSE)</f>
        <v>55500</v>
      </c>
      <c r="H501" t="s">
        <v>605</v>
      </c>
      <c r="I501" t="s">
        <v>488</v>
      </c>
      <c r="J501" t="s">
        <v>179</v>
      </c>
      <c r="K501" t="str">
        <f>VLOOKUP(tblSalaries[[#This Row],[Where do you work]],tblCountries[[Actual]:[Mapping]],2,FALSE)</f>
        <v>UAE</v>
      </c>
      <c r="L501" t="s">
        <v>9</v>
      </c>
      <c r="N501" s="8" t="str">
        <f>VLOOKUP(K501,tblCountries[],3,0)</f>
        <v>Asia</v>
      </c>
      <c r="O501" s="8">
        <f>VLOOKUP(tblSalaries[[#This Row],[How many hours of a day you work on Excel]],tblHours,2,0)</f>
        <v>4</v>
      </c>
      <c r="P501" s="8">
        <f>VLOOKUP(tblSalaries[[#This Row],[clean Country]],tblCountries[],5,0)</f>
        <v>1.0047551808629926</v>
      </c>
      <c r="Q501" s="8">
        <f>IF($Q$1,tblSalaries[[#This Row],[PPP Factor]]*tblSalaries[[#This Row],[Salary in USD]],tblSalaries[[#This Row],[Salary in USD]])</f>
        <v>55500</v>
      </c>
    </row>
    <row r="502" spans="2:17" ht="15" customHeight="1" x14ac:dyDescent="0.25">
      <c r="B502" t="s">
        <v>2505</v>
      </c>
      <c r="C502" s="1">
        <v>41055.175185185188</v>
      </c>
      <c r="D502" s="4" t="s">
        <v>606</v>
      </c>
      <c r="E502">
        <v>15000</v>
      </c>
      <c r="F502" t="s">
        <v>22</v>
      </c>
      <c r="G502">
        <f>tblSalaries[[#This Row],[clean Salary (in local currency)]]*VLOOKUP(tblSalaries[[#This Row],[Currency]],tblXrate[],2,FALSE)</f>
        <v>19055.991584874118</v>
      </c>
      <c r="H502" t="s">
        <v>607</v>
      </c>
      <c r="I502" t="s">
        <v>20</v>
      </c>
      <c r="J502" t="s">
        <v>608</v>
      </c>
      <c r="K502" t="str">
        <f>VLOOKUP(tblSalaries[[#This Row],[Where do you work]],tblCountries[[Actual]:[Mapping]],2,FALSE)</f>
        <v>Spain</v>
      </c>
      <c r="L502" t="s">
        <v>13</v>
      </c>
      <c r="N502" s="8" t="str">
        <f>VLOOKUP(K502,tblCountries[],3,0)</f>
        <v>Europe</v>
      </c>
      <c r="O502" s="8">
        <f>VLOOKUP(tblSalaries[[#This Row],[How many hours of a day you work on Excel]],tblHours,2,0)</f>
        <v>5</v>
      </c>
      <c r="P502" s="8">
        <f>VLOOKUP(tblSalaries[[#This Row],[clean Country]],tblCountries[],5,0)</f>
        <v>1.5799320838503232</v>
      </c>
      <c r="Q502" s="8">
        <f>IF($Q$1,tblSalaries[[#This Row],[PPP Factor]]*tblSalaries[[#This Row],[Salary in USD]],tblSalaries[[#This Row],[Salary in USD]])</f>
        <v>19055.991584874118</v>
      </c>
    </row>
    <row r="503" spans="2:17" ht="15" customHeight="1" x14ac:dyDescent="0.25">
      <c r="B503" t="s">
        <v>2506</v>
      </c>
      <c r="C503" s="1">
        <v>41055.176319444443</v>
      </c>
      <c r="D503" s="4" t="s">
        <v>609</v>
      </c>
      <c r="E503">
        <v>600000</v>
      </c>
      <c r="F503" t="s">
        <v>40</v>
      </c>
      <c r="G503">
        <f>tblSalaries[[#This Row],[clean Salary (in local currency)]]*VLOOKUP(tblSalaries[[#This Row],[Currency]],tblXrate[],2,FALSE)</f>
        <v>10684.750012465542</v>
      </c>
      <c r="H503" t="s">
        <v>610</v>
      </c>
      <c r="I503" t="s">
        <v>52</v>
      </c>
      <c r="J503" t="s">
        <v>8</v>
      </c>
      <c r="K503" t="str">
        <f>VLOOKUP(tblSalaries[[#This Row],[Where do you work]],tblCountries[[Actual]:[Mapping]],2,FALSE)</f>
        <v>India</v>
      </c>
      <c r="L503" t="s">
        <v>9</v>
      </c>
      <c r="N503" s="8" t="str">
        <f>VLOOKUP(K503,tblCountries[],3,0)</f>
        <v>Asia</v>
      </c>
      <c r="O503" s="8">
        <f>VLOOKUP(tblSalaries[[#This Row],[How many hours of a day you work on Excel]],tblHours,2,0)</f>
        <v>4</v>
      </c>
      <c r="P503" s="8">
        <f>VLOOKUP(tblSalaries[[#This Row],[clean Country]],tblCountries[],5,0)</f>
        <v>13.098808879263672</v>
      </c>
      <c r="Q503" s="8">
        <f>IF($Q$1,tblSalaries[[#This Row],[PPP Factor]]*tblSalaries[[#This Row],[Salary in USD]],tblSalaries[[#This Row],[Salary in USD]])</f>
        <v>10684.750012465542</v>
      </c>
    </row>
    <row r="504" spans="2:17" ht="15" customHeight="1" x14ac:dyDescent="0.25">
      <c r="B504" t="s">
        <v>2507</v>
      </c>
      <c r="C504" s="1">
        <v>41055.176701388889</v>
      </c>
      <c r="D504" s="4">
        <v>8400</v>
      </c>
      <c r="E504">
        <v>8400</v>
      </c>
      <c r="F504" t="s">
        <v>6</v>
      </c>
      <c r="G504">
        <f>tblSalaries[[#This Row],[clean Salary (in local currency)]]*VLOOKUP(tblSalaries[[#This Row],[Currency]],tblXrate[],2,FALSE)</f>
        <v>8400</v>
      </c>
      <c r="H504" t="s">
        <v>52</v>
      </c>
      <c r="I504" t="s">
        <v>52</v>
      </c>
      <c r="J504" t="s">
        <v>8</v>
      </c>
      <c r="K504" t="str">
        <f>VLOOKUP(tblSalaries[[#This Row],[Where do you work]],tblCountries[[Actual]:[Mapping]],2,FALSE)</f>
        <v>India</v>
      </c>
      <c r="L504" t="s">
        <v>9</v>
      </c>
      <c r="N504" s="8" t="str">
        <f>VLOOKUP(K504,tblCountries[],3,0)</f>
        <v>Asia</v>
      </c>
      <c r="O504" s="8">
        <f>VLOOKUP(tblSalaries[[#This Row],[How many hours of a day you work on Excel]],tblHours,2,0)</f>
        <v>4</v>
      </c>
      <c r="P504" s="8">
        <f>VLOOKUP(tblSalaries[[#This Row],[clean Country]],tblCountries[],5,0)</f>
        <v>13.098808879263672</v>
      </c>
      <c r="Q504" s="8">
        <f>IF($Q$1,tblSalaries[[#This Row],[PPP Factor]]*tblSalaries[[#This Row],[Salary in USD]],tblSalaries[[#This Row],[Salary in USD]])</f>
        <v>8400</v>
      </c>
    </row>
    <row r="505" spans="2:17" ht="15" customHeight="1" x14ac:dyDescent="0.25">
      <c r="B505" t="s">
        <v>2508</v>
      </c>
      <c r="C505" s="1">
        <v>41055.17796296296</v>
      </c>
      <c r="D505" s="4" t="s">
        <v>611</v>
      </c>
      <c r="E505">
        <v>500000</v>
      </c>
      <c r="F505" t="s">
        <v>40</v>
      </c>
      <c r="G505">
        <f>tblSalaries[[#This Row],[clean Salary (in local currency)]]*VLOOKUP(tblSalaries[[#This Row],[Currency]],tblXrate[],2,FALSE)</f>
        <v>8903.9583437212841</v>
      </c>
      <c r="H505" t="s">
        <v>612</v>
      </c>
      <c r="I505" t="s">
        <v>52</v>
      </c>
      <c r="J505" t="s">
        <v>8</v>
      </c>
      <c r="K505" t="str">
        <f>VLOOKUP(tblSalaries[[#This Row],[Where do you work]],tblCountries[[Actual]:[Mapping]],2,FALSE)</f>
        <v>India</v>
      </c>
      <c r="L505" t="s">
        <v>18</v>
      </c>
      <c r="N505" s="8" t="str">
        <f>VLOOKUP(K505,tblCountries[],3,0)</f>
        <v>Asia</v>
      </c>
      <c r="O505" s="8">
        <f>VLOOKUP(tblSalaries[[#This Row],[How many hours of a day you work on Excel]],tblHours,2,0)</f>
        <v>3</v>
      </c>
      <c r="P505" s="8">
        <f>VLOOKUP(tblSalaries[[#This Row],[clean Country]],tblCountries[],5,0)</f>
        <v>13.098808879263672</v>
      </c>
      <c r="Q505" s="8">
        <f>IF($Q$1,tblSalaries[[#This Row],[PPP Factor]]*tblSalaries[[#This Row],[Salary in USD]],tblSalaries[[#This Row],[Salary in USD]])</f>
        <v>8903.9583437212841</v>
      </c>
    </row>
    <row r="506" spans="2:17" ht="15" customHeight="1" x14ac:dyDescent="0.25">
      <c r="B506" t="s">
        <v>2509</v>
      </c>
      <c r="C506" s="1">
        <v>41055.178703703707</v>
      </c>
      <c r="D506" s="4">
        <v>12000</v>
      </c>
      <c r="E506">
        <v>12000</v>
      </c>
      <c r="F506" t="s">
        <v>6</v>
      </c>
      <c r="G506">
        <f>tblSalaries[[#This Row],[clean Salary (in local currency)]]*VLOOKUP(tblSalaries[[#This Row],[Currency]],tblXrate[],2,FALSE)</f>
        <v>12000</v>
      </c>
      <c r="H506" t="s">
        <v>607</v>
      </c>
      <c r="I506" t="s">
        <v>20</v>
      </c>
      <c r="J506" t="s">
        <v>143</v>
      </c>
      <c r="K506" t="str">
        <f>VLOOKUP(tblSalaries[[#This Row],[Where do you work]],tblCountries[[Actual]:[Mapping]],2,FALSE)</f>
        <v>Brazil</v>
      </c>
      <c r="L506" t="s">
        <v>13</v>
      </c>
      <c r="N506" s="8" t="str">
        <f>VLOOKUP(K506,tblCountries[],3,0)</f>
        <v>South Amer.</v>
      </c>
      <c r="O506" s="8">
        <f>VLOOKUP(tblSalaries[[#This Row],[How many hours of a day you work on Excel]],tblHours,2,0)</f>
        <v>5</v>
      </c>
      <c r="P506" s="8">
        <f>VLOOKUP(tblSalaries[[#This Row],[clean Country]],tblCountries[],5,0)</f>
        <v>4.1113943410655107</v>
      </c>
      <c r="Q506" s="8">
        <f>IF($Q$1,tblSalaries[[#This Row],[PPP Factor]]*tblSalaries[[#This Row],[Salary in USD]],tblSalaries[[#This Row],[Salary in USD]])</f>
        <v>12000</v>
      </c>
    </row>
    <row r="507" spans="2:17" ht="15" customHeight="1" x14ac:dyDescent="0.25">
      <c r="B507" t="s">
        <v>2510</v>
      </c>
      <c r="C507" s="1">
        <v>41055.179340277777</v>
      </c>
      <c r="D507" s="4">
        <v>65000</v>
      </c>
      <c r="E507">
        <v>65000</v>
      </c>
      <c r="F507" t="s">
        <v>6</v>
      </c>
      <c r="G507">
        <f>tblSalaries[[#This Row],[clean Salary (in local currency)]]*VLOOKUP(tblSalaries[[#This Row],[Currency]],tblXrate[],2,FALSE)</f>
        <v>65000</v>
      </c>
      <c r="H507" t="s">
        <v>613</v>
      </c>
      <c r="I507" t="s">
        <v>52</v>
      </c>
      <c r="J507" t="s">
        <v>15</v>
      </c>
      <c r="K507" t="str">
        <f>VLOOKUP(tblSalaries[[#This Row],[Where do you work]],tblCountries[[Actual]:[Mapping]],2,FALSE)</f>
        <v>USA</v>
      </c>
      <c r="L507" t="s">
        <v>13</v>
      </c>
      <c r="N507" s="8" t="str">
        <f>VLOOKUP(K507,tblCountries[],3,0)</f>
        <v>North Amer.</v>
      </c>
      <c r="O507" s="8">
        <f>VLOOKUP(tblSalaries[[#This Row],[How many hours of a day you work on Excel]],tblHours,2,0)</f>
        <v>5</v>
      </c>
      <c r="P507" s="8">
        <f>VLOOKUP(tblSalaries[[#This Row],[clean Country]],tblCountries[],5,0)</f>
        <v>1</v>
      </c>
      <c r="Q507" s="8">
        <f>IF($Q$1,tblSalaries[[#This Row],[PPP Factor]]*tblSalaries[[#This Row],[Salary in USD]],tblSalaries[[#This Row],[Salary in USD]])</f>
        <v>65000</v>
      </c>
    </row>
    <row r="508" spans="2:17" ht="15" customHeight="1" x14ac:dyDescent="0.25">
      <c r="B508" t="s">
        <v>2511</v>
      </c>
      <c r="C508" s="1">
        <v>41055.179918981485</v>
      </c>
      <c r="D508" s="4" t="s">
        <v>614</v>
      </c>
      <c r="E508">
        <v>16400</v>
      </c>
      <c r="F508" t="s">
        <v>69</v>
      </c>
      <c r="G508">
        <f>tblSalaries[[#This Row],[clean Salary (in local currency)]]*VLOOKUP(tblSalaries[[#This Row],[Currency]],tblXrate[],2,FALSE)</f>
        <v>25849.323661903458</v>
      </c>
      <c r="H508" t="s">
        <v>615</v>
      </c>
      <c r="I508" t="s">
        <v>20</v>
      </c>
      <c r="J508" t="s">
        <v>71</v>
      </c>
      <c r="K508" t="str">
        <f>VLOOKUP(tblSalaries[[#This Row],[Where do you work]],tblCountries[[Actual]:[Mapping]],2,FALSE)</f>
        <v>UK</v>
      </c>
      <c r="L508" t="s">
        <v>9</v>
      </c>
      <c r="N508" s="8" t="str">
        <f>VLOOKUP(K508,tblCountries[],3,0)</f>
        <v>Europe</v>
      </c>
      <c r="O508" s="8">
        <f>VLOOKUP(tblSalaries[[#This Row],[How many hours of a day you work on Excel]],tblHours,2,0)</f>
        <v>4</v>
      </c>
      <c r="P508" s="8">
        <f>VLOOKUP(tblSalaries[[#This Row],[clean Country]],tblCountries[],5,0)</f>
        <v>1.3407315045719035</v>
      </c>
      <c r="Q508" s="8">
        <f>IF($Q$1,tblSalaries[[#This Row],[PPP Factor]]*tblSalaries[[#This Row],[Salary in USD]],tblSalaries[[#This Row],[Salary in USD]])</f>
        <v>25849.323661903458</v>
      </c>
    </row>
    <row r="509" spans="2:17" ht="15" customHeight="1" x14ac:dyDescent="0.25">
      <c r="B509" t="s">
        <v>2512</v>
      </c>
      <c r="C509" s="1">
        <v>41055.180752314816</v>
      </c>
      <c r="D509" s="4">
        <v>78000</v>
      </c>
      <c r="E509">
        <v>78000</v>
      </c>
      <c r="F509" t="s">
        <v>69</v>
      </c>
      <c r="G509">
        <f>tblSalaries[[#This Row],[clean Salary (in local currency)]]*VLOOKUP(tblSalaries[[#This Row],[Currency]],tblXrate[],2,FALSE)</f>
        <v>122941.90522124816</v>
      </c>
      <c r="H509" t="s">
        <v>616</v>
      </c>
      <c r="I509" t="s">
        <v>20</v>
      </c>
      <c r="J509" t="s">
        <v>71</v>
      </c>
      <c r="K509" t="str">
        <f>VLOOKUP(tblSalaries[[#This Row],[Where do you work]],tblCountries[[Actual]:[Mapping]],2,FALSE)</f>
        <v>UK</v>
      </c>
      <c r="L509" t="s">
        <v>25</v>
      </c>
      <c r="N509" s="8" t="str">
        <f>VLOOKUP(K509,tblCountries[],3,0)</f>
        <v>Europe</v>
      </c>
      <c r="O509" s="8">
        <f>VLOOKUP(tblSalaries[[#This Row],[How many hours of a day you work on Excel]],tblHours,2,0)</f>
        <v>2</v>
      </c>
      <c r="P509" s="8">
        <f>VLOOKUP(tblSalaries[[#This Row],[clean Country]],tblCountries[],5,0)</f>
        <v>1.3407315045719035</v>
      </c>
      <c r="Q509" s="8">
        <f>IF($Q$1,tblSalaries[[#This Row],[PPP Factor]]*tblSalaries[[#This Row],[Salary in USD]],tblSalaries[[#This Row],[Salary in USD]])</f>
        <v>122941.90522124816</v>
      </c>
    </row>
    <row r="510" spans="2:17" ht="15" customHeight="1" x14ac:dyDescent="0.25">
      <c r="B510" t="s">
        <v>2513</v>
      </c>
      <c r="C510" s="1">
        <v>41055.184305555558</v>
      </c>
      <c r="D510" s="4">
        <v>76000</v>
      </c>
      <c r="E510">
        <v>76000</v>
      </c>
      <c r="F510" t="s">
        <v>6</v>
      </c>
      <c r="G510">
        <f>tblSalaries[[#This Row],[clean Salary (in local currency)]]*VLOOKUP(tblSalaries[[#This Row],[Currency]],tblXrate[],2,FALSE)</f>
        <v>76000</v>
      </c>
      <c r="H510" t="s">
        <v>487</v>
      </c>
      <c r="I510" t="s">
        <v>52</v>
      </c>
      <c r="J510" t="s">
        <v>15</v>
      </c>
      <c r="K510" t="str">
        <f>VLOOKUP(tblSalaries[[#This Row],[Where do you work]],tblCountries[[Actual]:[Mapping]],2,FALSE)</f>
        <v>USA</v>
      </c>
      <c r="L510" t="s">
        <v>18</v>
      </c>
      <c r="N510" s="8" t="str">
        <f>VLOOKUP(K510,tblCountries[],3,0)</f>
        <v>North Amer.</v>
      </c>
      <c r="O510" s="8">
        <f>VLOOKUP(tblSalaries[[#This Row],[How many hours of a day you work on Excel]],tblHours,2,0)</f>
        <v>3</v>
      </c>
      <c r="P510" s="8">
        <f>VLOOKUP(tblSalaries[[#This Row],[clean Country]],tblCountries[],5,0)</f>
        <v>1</v>
      </c>
      <c r="Q510" s="8">
        <f>IF($Q$1,tblSalaries[[#This Row],[PPP Factor]]*tblSalaries[[#This Row],[Salary in USD]],tblSalaries[[#This Row],[Salary in USD]])</f>
        <v>76000</v>
      </c>
    </row>
    <row r="511" spans="2:17" ht="15" customHeight="1" x14ac:dyDescent="0.25">
      <c r="B511" t="s">
        <v>2514</v>
      </c>
      <c r="C511" s="1">
        <v>41055.184837962966</v>
      </c>
      <c r="D511" s="4" t="s">
        <v>617</v>
      </c>
      <c r="E511">
        <v>150000</v>
      </c>
      <c r="F511" t="s">
        <v>6</v>
      </c>
      <c r="G511">
        <f>tblSalaries[[#This Row],[clean Salary (in local currency)]]*VLOOKUP(tblSalaries[[#This Row],[Currency]],tblXrate[],2,FALSE)</f>
        <v>150000</v>
      </c>
      <c r="H511" t="s">
        <v>356</v>
      </c>
      <c r="I511" t="s">
        <v>356</v>
      </c>
      <c r="J511" t="s">
        <v>15</v>
      </c>
      <c r="K511" t="str">
        <f>VLOOKUP(tblSalaries[[#This Row],[Where do you work]],tblCountries[[Actual]:[Mapping]],2,FALSE)</f>
        <v>USA</v>
      </c>
      <c r="L511" t="s">
        <v>13</v>
      </c>
      <c r="N511" s="8" t="str">
        <f>VLOOKUP(K511,tblCountries[],3,0)</f>
        <v>North Amer.</v>
      </c>
      <c r="O511" s="8">
        <f>VLOOKUP(tblSalaries[[#This Row],[How many hours of a day you work on Excel]],tblHours,2,0)</f>
        <v>5</v>
      </c>
      <c r="P511" s="8">
        <f>VLOOKUP(tblSalaries[[#This Row],[clean Country]],tblCountries[],5,0)</f>
        <v>1</v>
      </c>
      <c r="Q511" s="8">
        <f>IF($Q$1,tblSalaries[[#This Row],[PPP Factor]]*tblSalaries[[#This Row],[Salary in USD]],tblSalaries[[#This Row],[Salary in USD]])</f>
        <v>150000</v>
      </c>
    </row>
    <row r="512" spans="2:17" ht="15" customHeight="1" x14ac:dyDescent="0.25">
      <c r="B512" t="s">
        <v>2515</v>
      </c>
      <c r="C512" s="1">
        <v>41055.185555555552</v>
      </c>
      <c r="D512" s="4">
        <v>54000</v>
      </c>
      <c r="E512">
        <v>54000</v>
      </c>
      <c r="F512" t="s">
        <v>6</v>
      </c>
      <c r="G512">
        <f>tblSalaries[[#This Row],[clean Salary (in local currency)]]*VLOOKUP(tblSalaries[[#This Row],[Currency]],tblXrate[],2,FALSE)</f>
        <v>54000</v>
      </c>
      <c r="H512" t="s">
        <v>207</v>
      </c>
      <c r="I512" t="s">
        <v>20</v>
      </c>
      <c r="J512" t="s">
        <v>15</v>
      </c>
      <c r="K512" t="str">
        <f>VLOOKUP(tblSalaries[[#This Row],[Where do you work]],tblCountries[[Actual]:[Mapping]],2,FALSE)</f>
        <v>USA</v>
      </c>
      <c r="L512" t="s">
        <v>9</v>
      </c>
      <c r="N512" s="8" t="str">
        <f>VLOOKUP(K512,tblCountries[],3,0)</f>
        <v>North Amer.</v>
      </c>
      <c r="O512" s="8">
        <f>VLOOKUP(tblSalaries[[#This Row],[How many hours of a day you work on Excel]],tblHours,2,0)</f>
        <v>4</v>
      </c>
      <c r="P512" s="8">
        <f>VLOOKUP(tblSalaries[[#This Row],[clean Country]],tblCountries[],5,0)</f>
        <v>1</v>
      </c>
      <c r="Q512" s="8">
        <f>IF($Q$1,tblSalaries[[#This Row],[PPP Factor]]*tblSalaries[[#This Row],[Salary in USD]],tblSalaries[[#This Row],[Salary in USD]])</f>
        <v>54000</v>
      </c>
    </row>
    <row r="513" spans="2:17" ht="15" customHeight="1" x14ac:dyDescent="0.25">
      <c r="B513" t="s">
        <v>2516</v>
      </c>
      <c r="C513" s="1">
        <v>41055.189618055556</v>
      </c>
      <c r="D513" s="4" t="s">
        <v>618</v>
      </c>
      <c r="E513">
        <v>57000</v>
      </c>
      <c r="F513" t="s">
        <v>6</v>
      </c>
      <c r="G513">
        <f>tblSalaries[[#This Row],[clean Salary (in local currency)]]*VLOOKUP(tblSalaries[[#This Row],[Currency]],tblXrate[],2,FALSE)</f>
        <v>57000</v>
      </c>
      <c r="H513" t="s">
        <v>619</v>
      </c>
      <c r="I513" t="s">
        <v>52</v>
      </c>
      <c r="J513" t="s">
        <v>620</v>
      </c>
      <c r="K513" t="str">
        <f>VLOOKUP(tblSalaries[[#This Row],[Where do you work]],tblCountries[[Actual]:[Mapping]],2,FALSE)</f>
        <v>Israel</v>
      </c>
      <c r="L513" t="s">
        <v>9</v>
      </c>
      <c r="N513" s="8" t="str">
        <f>VLOOKUP(K513,tblCountries[],3,0)</f>
        <v>Asia</v>
      </c>
      <c r="O513" s="8">
        <f>VLOOKUP(tblSalaries[[#This Row],[How many hours of a day you work on Excel]],tblHours,2,0)</f>
        <v>4</v>
      </c>
      <c r="P513" s="8">
        <f>VLOOKUP(tblSalaries[[#This Row],[clean Country]],tblCountries[],5,0)</f>
        <v>1.5621307506053268</v>
      </c>
      <c r="Q513" s="8">
        <f>IF($Q$1,tblSalaries[[#This Row],[PPP Factor]]*tblSalaries[[#This Row],[Salary in USD]],tblSalaries[[#This Row],[Salary in USD]])</f>
        <v>57000</v>
      </c>
    </row>
    <row r="514" spans="2:17" ht="15" customHeight="1" x14ac:dyDescent="0.25">
      <c r="B514" t="s">
        <v>2517</v>
      </c>
      <c r="C514" s="1">
        <v>41055.189895833333</v>
      </c>
      <c r="D514" s="4">
        <v>61000</v>
      </c>
      <c r="E514">
        <v>61000</v>
      </c>
      <c r="F514" t="s">
        <v>6</v>
      </c>
      <c r="G514">
        <f>tblSalaries[[#This Row],[clean Salary (in local currency)]]*VLOOKUP(tblSalaries[[#This Row],[Currency]],tblXrate[],2,FALSE)</f>
        <v>61000</v>
      </c>
      <c r="H514" t="s">
        <v>89</v>
      </c>
      <c r="I514" t="s">
        <v>310</v>
      </c>
      <c r="J514" t="s">
        <v>15</v>
      </c>
      <c r="K514" t="str">
        <f>VLOOKUP(tblSalaries[[#This Row],[Where do you work]],tblCountries[[Actual]:[Mapping]],2,FALSE)</f>
        <v>USA</v>
      </c>
      <c r="L514" t="s">
        <v>9</v>
      </c>
      <c r="N514" s="8" t="str">
        <f>VLOOKUP(K514,tblCountries[],3,0)</f>
        <v>North Amer.</v>
      </c>
      <c r="O514" s="8">
        <f>VLOOKUP(tblSalaries[[#This Row],[How many hours of a day you work on Excel]],tblHours,2,0)</f>
        <v>4</v>
      </c>
      <c r="P514" s="8">
        <f>VLOOKUP(tblSalaries[[#This Row],[clean Country]],tblCountries[],5,0)</f>
        <v>1</v>
      </c>
      <c r="Q514" s="8">
        <f>IF($Q$1,tblSalaries[[#This Row],[PPP Factor]]*tblSalaries[[#This Row],[Salary in USD]],tblSalaries[[#This Row],[Salary in USD]])</f>
        <v>61000</v>
      </c>
    </row>
    <row r="515" spans="2:17" ht="15" customHeight="1" x14ac:dyDescent="0.25">
      <c r="B515" t="s">
        <v>2518</v>
      </c>
      <c r="C515" s="1">
        <v>41055.190752314818</v>
      </c>
      <c r="D515" s="4">
        <v>70000</v>
      </c>
      <c r="E515">
        <v>70000</v>
      </c>
      <c r="F515" t="s">
        <v>6</v>
      </c>
      <c r="G515">
        <f>tblSalaries[[#This Row],[clean Salary (in local currency)]]*VLOOKUP(tblSalaries[[#This Row],[Currency]],tblXrate[],2,FALSE)</f>
        <v>70000</v>
      </c>
      <c r="H515" t="s">
        <v>621</v>
      </c>
      <c r="I515" t="s">
        <v>20</v>
      </c>
      <c r="J515" t="s">
        <v>15</v>
      </c>
      <c r="K515" t="str">
        <f>VLOOKUP(tblSalaries[[#This Row],[Where do you work]],tblCountries[[Actual]:[Mapping]],2,FALSE)</f>
        <v>USA</v>
      </c>
      <c r="L515" t="s">
        <v>13</v>
      </c>
      <c r="N515" s="8" t="str">
        <f>VLOOKUP(K515,tblCountries[],3,0)</f>
        <v>North Amer.</v>
      </c>
      <c r="O515" s="8">
        <f>VLOOKUP(tblSalaries[[#This Row],[How many hours of a day you work on Excel]],tblHours,2,0)</f>
        <v>5</v>
      </c>
      <c r="P515" s="8">
        <f>VLOOKUP(tblSalaries[[#This Row],[clean Country]],tblCountries[],5,0)</f>
        <v>1</v>
      </c>
      <c r="Q515" s="8">
        <f>IF($Q$1,tblSalaries[[#This Row],[PPP Factor]]*tblSalaries[[#This Row],[Salary in USD]],tblSalaries[[#This Row],[Salary in USD]])</f>
        <v>70000</v>
      </c>
    </row>
    <row r="516" spans="2:17" ht="15" customHeight="1" x14ac:dyDescent="0.25">
      <c r="B516" t="s">
        <v>2519</v>
      </c>
      <c r="C516" s="1">
        <v>41055.192164351851</v>
      </c>
      <c r="D516" s="4">
        <v>15000</v>
      </c>
      <c r="E516">
        <v>15000</v>
      </c>
      <c r="F516" t="s">
        <v>6</v>
      </c>
      <c r="G516">
        <f>tblSalaries[[#This Row],[clean Salary (in local currency)]]*VLOOKUP(tblSalaries[[#This Row],[Currency]],tblXrate[],2,FALSE)</f>
        <v>15000</v>
      </c>
      <c r="H516" t="s">
        <v>622</v>
      </c>
      <c r="I516" t="s">
        <v>52</v>
      </c>
      <c r="J516" t="s">
        <v>8</v>
      </c>
      <c r="K516" t="str">
        <f>VLOOKUP(tblSalaries[[#This Row],[Where do you work]],tblCountries[[Actual]:[Mapping]],2,FALSE)</f>
        <v>India</v>
      </c>
      <c r="L516" t="s">
        <v>9</v>
      </c>
      <c r="N516" s="8" t="str">
        <f>VLOOKUP(K516,tblCountries[],3,0)</f>
        <v>Asia</v>
      </c>
      <c r="O516" s="8">
        <f>VLOOKUP(tblSalaries[[#This Row],[How many hours of a day you work on Excel]],tblHours,2,0)</f>
        <v>4</v>
      </c>
      <c r="P516" s="8">
        <f>VLOOKUP(tblSalaries[[#This Row],[clean Country]],tblCountries[],5,0)</f>
        <v>13.098808879263672</v>
      </c>
      <c r="Q516" s="8">
        <f>IF($Q$1,tblSalaries[[#This Row],[PPP Factor]]*tblSalaries[[#This Row],[Salary in USD]],tblSalaries[[#This Row],[Salary in USD]])</f>
        <v>15000</v>
      </c>
    </row>
    <row r="517" spans="2:17" ht="15" customHeight="1" x14ac:dyDescent="0.25">
      <c r="B517" t="s">
        <v>2520</v>
      </c>
      <c r="C517" s="1">
        <v>41055.193877314814</v>
      </c>
      <c r="D517" s="4">
        <v>87550</v>
      </c>
      <c r="E517">
        <v>87550</v>
      </c>
      <c r="F517" t="s">
        <v>86</v>
      </c>
      <c r="G517">
        <f>tblSalaries[[#This Row],[clean Salary (in local currency)]]*VLOOKUP(tblSalaries[[#This Row],[Currency]],tblXrate[],2,FALSE)</f>
        <v>86093.301341305123</v>
      </c>
      <c r="H517" t="s">
        <v>52</v>
      </c>
      <c r="I517" t="s">
        <v>52</v>
      </c>
      <c r="J517" t="s">
        <v>88</v>
      </c>
      <c r="K517" t="str">
        <f>VLOOKUP(tblSalaries[[#This Row],[Where do you work]],tblCountries[[Actual]:[Mapping]],2,FALSE)</f>
        <v>Canada</v>
      </c>
      <c r="L517" t="s">
        <v>9</v>
      </c>
      <c r="N517" s="8" t="str">
        <f>VLOOKUP(K517,tblCountries[],3,0)</f>
        <v>North Amer.</v>
      </c>
      <c r="O517" s="8">
        <f>VLOOKUP(tblSalaries[[#This Row],[How many hours of a day you work on Excel]],tblHours,2,0)</f>
        <v>4</v>
      </c>
      <c r="P517" s="8">
        <f>VLOOKUP(tblSalaries[[#This Row],[clean Country]],tblCountries[],5,0)</f>
        <v>1.1935324732986359</v>
      </c>
      <c r="Q517" s="8">
        <f>IF($Q$1,tblSalaries[[#This Row],[PPP Factor]]*tblSalaries[[#This Row],[Salary in USD]],tblSalaries[[#This Row],[Salary in USD]])</f>
        <v>86093.301341305123</v>
      </c>
    </row>
    <row r="518" spans="2:17" ht="15" customHeight="1" x14ac:dyDescent="0.25">
      <c r="B518" t="s">
        <v>2521</v>
      </c>
      <c r="C518" s="1">
        <v>41055.194861111115</v>
      </c>
      <c r="D518" s="4">
        <v>72600</v>
      </c>
      <c r="E518">
        <v>72600</v>
      </c>
      <c r="F518" t="s">
        <v>6</v>
      </c>
      <c r="G518">
        <f>tblSalaries[[#This Row],[clean Salary (in local currency)]]*VLOOKUP(tblSalaries[[#This Row],[Currency]],tblXrate[],2,FALSE)</f>
        <v>72600</v>
      </c>
      <c r="H518" t="s">
        <v>623</v>
      </c>
      <c r="I518" t="s">
        <v>52</v>
      </c>
      <c r="J518" t="s">
        <v>15</v>
      </c>
      <c r="K518" t="str">
        <f>VLOOKUP(tblSalaries[[#This Row],[Where do you work]],tblCountries[[Actual]:[Mapping]],2,FALSE)</f>
        <v>USA</v>
      </c>
      <c r="L518" t="s">
        <v>18</v>
      </c>
      <c r="N518" s="8" t="str">
        <f>VLOOKUP(K518,tblCountries[],3,0)</f>
        <v>North Amer.</v>
      </c>
      <c r="O518" s="8">
        <f>VLOOKUP(tblSalaries[[#This Row],[How many hours of a day you work on Excel]],tblHours,2,0)</f>
        <v>3</v>
      </c>
      <c r="P518" s="8">
        <f>VLOOKUP(tblSalaries[[#This Row],[clean Country]],tblCountries[],5,0)</f>
        <v>1</v>
      </c>
      <c r="Q518" s="8">
        <f>IF($Q$1,tblSalaries[[#This Row],[PPP Factor]]*tblSalaries[[#This Row],[Salary in USD]],tblSalaries[[#This Row],[Salary in USD]])</f>
        <v>72600</v>
      </c>
    </row>
    <row r="519" spans="2:17" ht="15" customHeight="1" x14ac:dyDescent="0.25">
      <c r="B519" t="s">
        <v>2522</v>
      </c>
      <c r="C519" s="1">
        <v>41055.195370370369</v>
      </c>
      <c r="D519" s="4">
        <v>100000</v>
      </c>
      <c r="E519">
        <v>100000</v>
      </c>
      <c r="F519" t="s">
        <v>6</v>
      </c>
      <c r="G519">
        <f>tblSalaries[[#This Row],[clean Salary (in local currency)]]*VLOOKUP(tblSalaries[[#This Row],[Currency]],tblXrate[],2,FALSE)</f>
        <v>100000</v>
      </c>
      <c r="H519" t="s">
        <v>139</v>
      </c>
      <c r="I519" t="s">
        <v>4001</v>
      </c>
      <c r="J519" t="s">
        <v>15</v>
      </c>
      <c r="K519" t="str">
        <f>VLOOKUP(tblSalaries[[#This Row],[Where do you work]],tblCountries[[Actual]:[Mapping]],2,FALSE)</f>
        <v>USA</v>
      </c>
      <c r="L519" t="s">
        <v>18</v>
      </c>
      <c r="N519" s="8" t="str">
        <f>VLOOKUP(K519,tblCountries[],3,0)</f>
        <v>North Amer.</v>
      </c>
      <c r="O519" s="8">
        <f>VLOOKUP(tblSalaries[[#This Row],[How many hours of a day you work on Excel]],tblHours,2,0)</f>
        <v>3</v>
      </c>
      <c r="P519" s="8">
        <f>VLOOKUP(tblSalaries[[#This Row],[clean Country]],tblCountries[],5,0)</f>
        <v>1</v>
      </c>
      <c r="Q519" s="8">
        <f>IF($Q$1,tblSalaries[[#This Row],[PPP Factor]]*tblSalaries[[#This Row],[Salary in USD]],tblSalaries[[#This Row],[Salary in USD]])</f>
        <v>100000</v>
      </c>
    </row>
    <row r="520" spans="2:17" ht="15" customHeight="1" x14ac:dyDescent="0.25">
      <c r="B520" t="s">
        <v>2523</v>
      </c>
      <c r="C520" s="1">
        <v>41055.197523148148</v>
      </c>
      <c r="D520" s="4">
        <v>104000</v>
      </c>
      <c r="E520">
        <v>104000</v>
      </c>
      <c r="F520" t="s">
        <v>6</v>
      </c>
      <c r="G520">
        <f>tblSalaries[[#This Row],[clean Salary (in local currency)]]*VLOOKUP(tblSalaries[[#This Row],[Currency]],tblXrate[],2,FALSE)</f>
        <v>104000</v>
      </c>
      <c r="H520" t="s">
        <v>624</v>
      </c>
      <c r="I520" t="s">
        <v>20</v>
      </c>
      <c r="J520" t="s">
        <v>15</v>
      </c>
      <c r="K520" t="str">
        <f>VLOOKUP(tblSalaries[[#This Row],[Where do you work]],tblCountries[[Actual]:[Mapping]],2,FALSE)</f>
        <v>USA</v>
      </c>
      <c r="L520" t="s">
        <v>9</v>
      </c>
      <c r="N520" s="8" t="str">
        <f>VLOOKUP(K520,tblCountries[],3,0)</f>
        <v>North Amer.</v>
      </c>
      <c r="O520" s="8">
        <f>VLOOKUP(tblSalaries[[#This Row],[How many hours of a day you work on Excel]],tblHours,2,0)</f>
        <v>4</v>
      </c>
      <c r="P520" s="8">
        <f>VLOOKUP(tblSalaries[[#This Row],[clean Country]],tblCountries[],5,0)</f>
        <v>1</v>
      </c>
      <c r="Q520" s="8">
        <f>IF($Q$1,tblSalaries[[#This Row],[PPP Factor]]*tblSalaries[[#This Row],[Salary in USD]],tblSalaries[[#This Row],[Salary in USD]])</f>
        <v>104000</v>
      </c>
    </row>
    <row r="521" spans="2:17" ht="15" customHeight="1" x14ac:dyDescent="0.25">
      <c r="B521" t="s">
        <v>2524</v>
      </c>
      <c r="C521" s="1">
        <v>41055.20040509259</v>
      </c>
      <c r="D521" s="4">
        <v>600000</v>
      </c>
      <c r="E521">
        <v>600000</v>
      </c>
      <c r="F521" t="s">
        <v>40</v>
      </c>
      <c r="G521">
        <f>tblSalaries[[#This Row],[clean Salary (in local currency)]]*VLOOKUP(tblSalaries[[#This Row],[Currency]],tblXrate[],2,FALSE)</f>
        <v>10684.750012465542</v>
      </c>
      <c r="H521" t="s">
        <v>201</v>
      </c>
      <c r="I521" t="s">
        <v>52</v>
      </c>
      <c r="J521" t="s">
        <v>8</v>
      </c>
      <c r="K521" t="str">
        <f>VLOOKUP(tblSalaries[[#This Row],[Where do you work]],tblCountries[[Actual]:[Mapping]],2,FALSE)</f>
        <v>India</v>
      </c>
      <c r="L521" t="s">
        <v>9</v>
      </c>
      <c r="N521" s="8" t="str">
        <f>VLOOKUP(K521,tblCountries[],3,0)</f>
        <v>Asia</v>
      </c>
      <c r="O521" s="8">
        <f>VLOOKUP(tblSalaries[[#This Row],[How many hours of a day you work on Excel]],tblHours,2,0)</f>
        <v>4</v>
      </c>
      <c r="P521" s="8">
        <f>VLOOKUP(tblSalaries[[#This Row],[clean Country]],tblCountries[],5,0)</f>
        <v>13.098808879263672</v>
      </c>
      <c r="Q521" s="8">
        <f>IF($Q$1,tblSalaries[[#This Row],[PPP Factor]]*tblSalaries[[#This Row],[Salary in USD]],tblSalaries[[#This Row],[Salary in USD]])</f>
        <v>10684.750012465542</v>
      </c>
    </row>
    <row r="522" spans="2:17" ht="15" customHeight="1" x14ac:dyDescent="0.25">
      <c r="B522" t="s">
        <v>2525</v>
      </c>
      <c r="C522" s="1">
        <v>41055.200624999998</v>
      </c>
      <c r="D522" s="4">
        <v>200000</v>
      </c>
      <c r="E522">
        <v>200000</v>
      </c>
      <c r="F522" t="s">
        <v>6</v>
      </c>
      <c r="G522">
        <f>tblSalaries[[#This Row],[clean Salary (in local currency)]]*VLOOKUP(tblSalaries[[#This Row],[Currency]],tblXrate[],2,FALSE)</f>
        <v>200000</v>
      </c>
      <c r="H522" t="s">
        <v>625</v>
      </c>
      <c r="I522" t="s">
        <v>4001</v>
      </c>
      <c r="J522" t="s">
        <v>15</v>
      </c>
      <c r="K522" t="str">
        <f>VLOOKUP(tblSalaries[[#This Row],[Where do you work]],tblCountries[[Actual]:[Mapping]],2,FALSE)</f>
        <v>USA</v>
      </c>
      <c r="L522" t="s">
        <v>18</v>
      </c>
      <c r="N522" s="8" t="str">
        <f>VLOOKUP(K522,tblCountries[],3,0)</f>
        <v>North Amer.</v>
      </c>
      <c r="O522" s="8">
        <f>VLOOKUP(tblSalaries[[#This Row],[How many hours of a day you work on Excel]],tblHours,2,0)</f>
        <v>3</v>
      </c>
      <c r="P522" s="8">
        <f>VLOOKUP(tblSalaries[[#This Row],[clean Country]],tblCountries[],5,0)</f>
        <v>1</v>
      </c>
      <c r="Q522" s="8">
        <f>IF($Q$1,tblSalaries[[#This Row],[PPP Factor]]*tblSalaries[[#This Row],[Salary in USD]],tblSalaries[[#This Row],[Salary in USD]])</f>
        <v>200000</v>
      </c>
    </row>
    <row r="523" spans="2:17" ht="15" customHeight="1" x14ac:dyDescent="0.25">
      <c r="B523" t="s">
        <v>2526</v>
      </c>
      <c r="C523" s="1">
        <v>41055.201631944445</v>
      </c>
      <c r="D523" s="4" t="s">
        <v>626</v>
      </c>
      <c r="E523">
        <v>49248</v>
      </c>
      <c r="F523" t="s">
        <v>22</v>
      </c>
      <c r="G523">
        <f>tblSalaries[[#This Row],[clean Salary (in local currency)]]*VLOOKUP(tblSalaries[[#This Row],[Currency]],tblXrate[],2,FALSE)</f>
        <v>62564.631571458704</v>
      </c>
      <c r="H523" t="s">
        <v>627</v>
      </c>
      <c r="I523" t="s">
        <v>310</v>
      </c>
      <c r="J523" t="s">
        <v>628</v>
      </c>
      <c r="K523" t="str">
        <f>VLOOKUP(tblSalaries[[#This Row],[Where do you work]],tblCountries[[Actual]:[Mapping]],2,FALSE)</f>
        <v>Netherlands</v>
      </c>
      <c r="L523" t="s">
        <v>13</v>
      </c>
      <c r="N523" s="8" t="str">
        <f>VLOOKUP(K523,tblCountries[],3,0)</f>
        <v>Europe</v>
      </c>
      <c r="O523" s="8">
        <f>VLOOKUP(tblSalaries[[#This Row],[How many hours of a day you work on Excel]],tblHours,2,0)</f>
        <v>5</v>
      </c>
      <c r="P523" s="8">
        <f>VLOOKUP(tblSalaries[[#This Row],[clean Country]],tblCountries[],5,0)</f>
        <v>1.1470734656141099</v>
      </c>
      <c r="Q523" s="8">
        <f>IF($Q$1,tblSalaries[[#This Row],[PPP Factor]]*tblSalaries[[#This Row],[Salary in USD]],tblSalaries[[#This Row],[Salary in USD]])</f>
        <v>62564.631571458704</v>
      </c>
    </row>
    <row r="524" spans="2:17" ht="15" customHeight="1" x14ac:dyDescent="0.25">
      <c r="B524" t="s">
        <v>2527</v>
      </c>
      <c r="C524" s="1">
        <v>41055.201932870368</v>
      </c>
      <c r="D524" s="4">
        <v>36500</v>
      </c>
      <c r="E524">
        <v>36500</v>
      </c>
      <c r="F524" t="s">
        <v>69</v>
      </c>
      <c r="G524">
        <f>tblSalaries[[#This Row],[clean Salary (in local currency)]]*VLOOKUP(tblSalaries[[#This Row],[Currency]],tblXrate[],2,FALSE)</f>
        <v>57530.506930455871</v>
      </c>
      <c r="H524" t="s">
        <v>629</v>
      </c>
      <c r="I524" t="s">
        <v>52</v>
      </c>
      <c r="J524" t="s">
        <v>71</v>
      </c>
      <c r="K524" t="str">
        <f>VLOOKUP(tblSalaries[[#This Row],[Where do you work]],tblCountries[[Actual]:[Mapping]],2,FALSE)</f>
        <v>UK</v>
      </c>
      <c r="L524" t="s">
        <v>18</v>
      </c>
      <c r="N524" s="8" t="str">
        <f>VLOOKUP(K524,tblCountries[],3,0)</f>
        <v>Europe</v>
      </c>
      <c r="O524" s="8">
        <f>VLOOKUP(tblSalaries[[#This Row],[How many hours of a day you work on Excel]],tblHours,2,0)</f>
        <v>3</v>
      </c>
      <c r="P524" s="8">
        <f>VLOOKUP(tblSalaries[[#This Row],[clean Country]],tblCountries[],5,0)</f>
        <v>1.3407315045719035</v>
      </c>
      <c r="Q524" s="8">
        <f>IF($Q$1,tblSalaries[[#This Row],[PPP Factor]]*tblSalaries[[#This Row],[Salary in USD]],tblSalaries[[#This Row],[Salary in USD]])</f>
        <v>57530.506930455871</v>
      </c>
    </row>
    <row r="525" spans="2:17" ht="15" customHeight="1" x14ac:dyDescent="0.25">
      <c r="B525" t="s">
        <v>2528</v>
      </c>
      <c r="C525" s="1">
        <v>41055.20857638889</v>
      </c>
      <c r="D525" s="4">
        <v>82300</v>
      </c>
      <c r="E525">
        <v>82300</v>
      </c>
      <c r="F525" t="s">
        <v>6</v>
      </c>
      <c r="G525">
        <f>tblSalaries[[#This Row],[clean Salary (in local currency)]]*VLOOKUP(tblSalaries[[#This Row],[Currency]],tblXrate[],2,FALSE)</f>
        <v>82300</v>
      </c>
      <c r="H525" t="s">
        <v>630</v>
      </c>
      <c r="I525" t="s">
        <v>52</v>
      </c>
      <c r="J525" t="s">
        <v>15</v>
      </c>
      <c r="K525" t="str">
        <f>VLOOKUP(tblSalaries[[#This Row],[Where do you work]],tblCountries[[Actual]:[Mapping]],2,FALSE)</f>
        <v>USA</v>
      </c>
      <c r="L525" t="s">
        <v>18</v>
      </c>
      <c r="N525" s="8" t="str">
        <f>VLOOKUP(K525,tblCountries[],3,0)</f>
        <v>North Amer.</v>
      </c>
      <c r="O525" s="8">
        <f>VLOOKUP(tblSalaries[[#This Row],[How many hours of a day you work on Excel]],tblHours,2,0)</f>
        <v>3</v>
      </c>
      <c r="P525" s="8">
        <f>VLOOKUP(tblSalaries[[#This Row],[clean Country]],tblCountries[],5,0)</f>
        <v>1</v>
      </c>
      <c r="Q525" s="8">
        <f>IF($Q$1,tblSalaries[[#This Row],[PPP Factor]]*tblSalaries[[#This Row],[Salary in USD]],tblSalaries[[#This Row],[Salary in USD]])</f>
        <v>82300</v>
      </c>
    </row>
    <row r="526" spans="2:17" ht="15" customHeight="1" x14ac:dyDescent="0.25">
      <c r="B526" t="s">
        <v>2529</v>
      </c>
      <c r="C526" s="1">
        <v>41055.211678240739</v>
      </c>
      <c r="D526" s="4">
        <v>95000</v>
      </c>
      <c r="E526">
        <v>95000</v>
      </c>
      <c r="F526" t="s">
        <v>6</v>
      </c>
      <c r="G526">
        <f>tblSalaries[[#This Row],[clean Salary (in local currency)]]*VLOOKUP(tblSalaries[[#This Row],[Currency]],tblXrate[],2,FALSE)</f>
        <v>95000</v>
      </c>
      <c r="H526" t="s">
        <v>631</v>
      </c>
      <c r="I526" t="s">
        <v>356</v>
      </c>
      <c r="J526" t="s">
        <v>15</v>
      </c>
      <c r="K526" t="str">
        <f>VLOOKUP(tblSalaries[[#This Row],[Where do you work]],tblCountries[[Actual]:[Mapping]],2,FALSE)</f>
        <v>USA</v>
      </c>
      <c r="L526" t="s">
        <v>9</v>
      </c>
      <c r="N526" s="8" t="str">
        <f>VLOOKUP(K526,tblCountries[],3,0)</f>
        <v>North Amer.</v>
      </c>
      <c r="O526" s="8">
        <f>VLOOKUP(tblSalaries[[#This Row],[How many hours of a day you work on Excel]],tblHours,2,0)</f>
        <v>4</v>
      </c>
      <c r="P526" s="8">
        <f>VLOOKUP(tblSalaries[[#This Row],[clean Country]],tblCountries[],5,0)</f>
        <v>1</v>
      </c>
      <c r="Q526" s="8">
        <f>IF($Q$1,tblSalaries[[#This Row],[PPP Factor]]*tblSalaries[[#This Row],[Salary in USD]],tblSalaries[[#This Row],[Salary in USD]])</f>
        <v>95000</v>
      </c>
    </row>
    <row r="527" spans="2:17" ht="15" customHeight="1" x14ac:dyDescent="0.25">
      <c r="B527" t="s">
        <v>2530</v>
      </c>
      <c r="C527" s="1">
        <v>41055.213541666664</v>
      </c>
      <c r="D527" s="4">
        <v>140000</v>
      </c>
      <c r="E527">
        <v>140000</v>
      </c>
      <c r="F527" t="s">
        <v>69</v>
      </c>
      <c r="G527">
        <f>tblSalaries[[#This Row],[clean Salary (in local currency)]]*VLOOKUP(tblSalaries[[#This Row],[Currency]],tblXrate[],2,FALSE)</f>
        <v>220664.95808941979</v>
      </c>
      <c r="H527" t="s">
        <v>632</v>
      </c>
      <c r="I527" t="s">
        <v>67</v>
      </c>
      <c r="J527" t="s">
        <v>71</v>
      </c>
      <c r="K527" t="str">
        <f>VLOOKUP(tblSalaries[[#This Row],[Where do you work]],tblCountries[[Actual]:[Mapping]],2,FALSE)</f>
        <v>UK</v>
      </c>
      <c r="L527" t="s">
        <v>13</v>
      </c>
      <c r="N527" s="8" t="str">
        <f>VLOOKUP(K527,tblCountries[],3,0)</f>
        <v>Europe</v>
      </c>
      <c r="O527" s="8">
        <f>VLOOKUP(tblSalaries[[#This Row],[How many hours of a day you work on Excel]],tblHours,2,0)</f>
        <v>5</v>
      </c>
      <c r="P527" s="8">
        <f>VLOOKUP(tblSalaries[[#This Row],[clean Country]],tblCountries[],5,0)</f>
        <v>1.3407315045719035</v>
      </c>
      <c r="Q527" s="8">
        <f>IF($Q$1,tblSalaries[[#This Row],[PPP Factor]]*tblSalaries[[#This Row],[Salary in USD]],tblSalaries[[#This Row],[Salary in USD]])</f>
        <v>220664.95808941979</v>
      </c>
    </row>
    <row r="528" spans="2:17" ht="15" customHeight="1" x14ac:dyDescent="0.25">
      <c r="B528" t="s">
        <v>2531</v>
      </c>
      <c r="C528" s="1">
        <v>41055.217395833337</v>
      </c>
      <c r="D528" s="4">
        <v>72000</v>
      </c>
      <c r="E528">
        <v>72000</v>
      </c>
      <c r="F528" t="s">
        <v>6</v>
      </c>
      <c r="G528">
        <f>tblSalaries[[#This Row],[clean Salary (in local currency)]]*VLOOKUP(tblSalaries[[#This Row],[Currency]],tblXrate[],2,FALSE)</f>
        <v>72000</v>
      </c>
      <c r="H528" t="s">
        <v>633</v>
      </c>
      <c r="I528" t="s">
        <v>20</v>
      </c>
      <c r="J528" t="s">
        <v>65</v>
      </c>
      <c r="K528" t="str">
        <f>VLOOKUP(tblSalaries[[#This Row],[Where do you work]],tblCountries[[Actual]:[Mapping]],2,FALSE)</f>
        <v>Russia</v>
      </c>
      <c r="L528" t="s">
        <v>18</v>
      </c>
      <c r="N528" s="8" t="str">
        <f>VLOOKUP(K528,tblCountries[],3,0)</f>
        <v>Asia</v>
      </c>
      <c r="O528" s="8">
        <f>VLOOKUP(tblSalaries[[#This Row],[How many hours of a day you work on Excel]],tblHours,2,0)</f>
        <v>3</v>
      </c>
      <c r="P528" s="8">
        <f>VLOOKUP(tblSalaries[[#This Row],[clean Country]],tblCountries[],5,0)</f>
        <v>2.8911926386233269</v>
      </c>
      <c r="Q528" s="8">
        <f>IF($Q$1,tblSalaries[[#This Row],[PPP Factor]]*tblSalaries[[#This Row],[Salary in USD]],tblSalaries[[#This Row],[Salary in USD]])</f>
        <v>72000</v>
      </c>
    </row>
    <row r="529" spans="2:17" ht="15" customHeight="1" x14ac:dyDescent="0.25">
      <c r="B529" t="s">
        <v>2532</v>
      </c>
      <c r="C529" s="1">
        <v>41055.219375000001</v>
      </c>
      <c r="D529" s="4">
        <v>60000</v>
      </c>
      <c r="E529">
        <v>60000</v>
      </c>
      <c r="F529" t="s">
        <v>82</v>
      </c>
      <c r="G529">
        <f>tblSalaries[[#This Row],[clean Salary (in local currency)]]*VLOOKUP(tblSalaries[[#This Row],[Currency]],tblXrate[],2,FALSE)</f>
        <v>61194.579384158147</v>
      </c>
      <c r="H529" t="s">
        <v>20</v>
      </c>
      <c r="I529" t="s">
        <v>20</v>
      </c>
      <c r="J529" t="s">
        <v>84</v>
      </c>
      <c r="K529" t="str">
        <f>VLOOKUP(tblSalaries[[#This Row],[Where do you work]],tblCountries[[Actual]:[Mapping]],2,FALSE)</f>
        <v>Australia</v>
      </c>
      <c r="L529" t="s">
        <v>18</v>
      </c>
      <c r="N529" s="8" t="str">
        <f>VLOOKUP(K529,tblCountries[],3,0)</f>
        <v>Oceania</v>
      </c>
      <c r="O529" s="8">
        <f>VLOOKUP(tblSalaries[[#This Row],[How many hours of a day you work on Excel]],tblHours,2,0)</f>
        <v>3</v>
      </c>
      <c r="P529" s="8">
        <f>VLOOKUP(tblSalaries[[#This Row],[clean Country]],tblCountries[],5,0)</f>
        <v>1.2026395585822935</v>
      </c>
      <c r="Q529" s="8">
        <f>IF($Q$1,tblSalaries[[#This Row],[PPP Factor]]*tblSalaries[[#This Row],[Salary in USD]],tblSalaries[[#This Row],[Salary in USD]])</f>
        <v>61194.579384158147</v>
      </c>
    </row>
    <row r="530" spans="2:17" ht="15" customHeight="1" x14ac:dyDescent="0.25">
      <c r="B530" t="s">
        <v>2533</v>
      </c>
      <c r="C530" s="1">
        <v>41055.220972222225</v>
      </c>
      <c r="D530" s="4" t="s">
        <v>634</v>
      </c>
      <c r="E530">
        <v>120000</v>
      </c>
      <c r="F530" t="s">
        <v>6</v>
      </c>
      <c r="G530">
        <f>tblSalaries[[#This Row],[clean Salary (in local currency)]]*VLOOKUP(tblSalaries[[#This Row],[Currency]],tblXrate[],2,FALSE)</f>
        <v>120000</v>
      </c>
      <c r="H530" t="s">
        <v>635</v>
      </c>
      <c r="I530" t="s">
        <v>52</v>
      </c>
      <c r="J530" t="s">
        <v>636</v>
      </c>
      <c r="K530" t="str">
        <f>VLOOKUP(tblSalaries[[#This Row],[Where do you work]],tblCountries[[Actual]:[Mapping]],2,FALSE)</f>
        <v>New Zealand</v>
      </c>
      <c r="L530" t="s">
        <v>18</v>
      </c>
      <c r="N530" s="8" t="str">
        <f>VLOOKUP(K530,tblCountries[],3,0)</f>
        <v>Oceania</v>
      </c>
      <c r="O530" s="8">
        <f>VLOOKUP(tblSalaries[[#This Row],[How many hours of a day you work on Excel]],tblHours,2,0)</f>
        <v>3</v>
      </c>
      <c r="P530" s="8">
        <f>VLOOKUP(tblSalaries[[#This Row],[clean Country]],tblCountries[],5,0)</f>
        <v>1.7488434292323261</v>
      </c>
      <c r="Q530" s="8">
        <f>IF($Q$1,tblSalaries[[#This Row],[PPP Factor]]*tblSalaries[[#This Row],[Salary in USD]],tblSalaries[[#This Row],[Salary in USD]])</f>
        <v>120000</v>
      </c>
    </row>
    <row r="531" spans="2:17" ht="15" customHeight="1" x14ac:dyDescent="0.25">
      <c r="B531" t="s">
        <v>2534</v>
      </c>
      <c r="C531" s="1">
        <v>41055.221145833333</v>
      </c>
      <c r="D531" s="4" t="s">
        <v>637</v>
      </c>
      <c r="E531">
        <v>95000</v>
      </c>
      <c r="F531" t="s">
        <v>6</v>
      </c>
      <c r="G531">
        <f>tblSalaries[[#This Row],[clean Salary (in local currency)]]*VLOOKUP(tblSalaries[[#This Row],[Currency]],tblXrate[],2,FALSE)</f>
        <v>95000</v>
      </c>
      <c r="H531" t="s">
        <v>638</v>
      </c>
      <c r="I531" t="s">
        <v>4001</v>
      </c>
      <c r="J531" t="s">
        <v>639</v>
      </c>
      <c r="K531" t="str">
        <f>VLOOKUP(tblSalaries[[#This Row],[Where do you work]],tblCountries[[Actual]:[Mapping]],2,FALSE)</f>
        <v>Central America</v>
      </c>
      <c r="L531" t="s">
        <v>18</v>
      </c>
      <c r="N531" s="8" t="str">
        <f>VLOOKUP(K531,tblCountries[],3,0)</f>
        <v>South Amer.</v>
      </c>
      <c r="O531" s="8">
        <f>VLOOKUP(tblSalaries[[#This Row],[How many hours of a day you work on Excel]],tblHours,2,0)</f>
        <v>3</v>
      </c>
      <c r="P531" s="8">
        <f>VLOOKUP(tblSalaries[[#This Row],[clean Country]],tblCountries[],5,0)</f>
        <v>1</v>
      </c>
      <c r="Q531" s="8">
        <f>IF($Q$1,tblSalaries[[#This Row],[PPP Factor]]*tblSalaries[[#This Row],[Salary in USD]],tblSalaries[[#This Row],[Salary in USD]])</f>
        <v>95000</v>
      </c>
    </row>
    <row r="532" spans="2:17" ht="15" customHeight="1" x14ac:dyDescent="0.25">
      <c r="B532" t="s">
        <v>2535</v>
      </c>
      <c r="C532" s="1">
        <v>41055.222719907404</v>
      </c>
      <c r="D532" s="4">
        <v>50000</v>
      </c>
      <c r="E532">
        <v>50000</v>
      </c>
      <c r="F532" t="s">
        <v>6</v>
      </c>
      <c r="G532">
        <f>tblSalaries[[#This Row],[clean Salary (in local currency)]]*VLOOKUP(tblSalaries[[#This Row],[Currency]],tblXrate[],2,FALSE)</f>
        <v>50000</v>
      </c>
      <c r="H532" t="s">
        <v>640</v>
      </c>
      <c r="I532" t="s">
        <v>20</v>
      </c>
      <c r="J532" t="s">
        <v>15</v>
      </c>
      <c r="K532" t="str">
        <f>VLOOKUP(tblSalaries[[#This Row],[Where do you work]],tblCountries[[Actual]:[Mapping]],2,FALSE)</f>
        <v>USA</v>
      </c>
      <c r="L532" t="s">
        <v>18</v>
      </c>
      <c r="N532" s="8" t="str">
        <f>VLOOKUP(K532,tblCountries[],3,0)</f>
        <v>North Amer.</v>
      </c>
      <c r="O532" s="8">
        <f>VLOOKUP(tblSalaries[[#This Row],[How many hours of a day you work on Excel]],tblHours,2,0)</f>
        <v>3</v>
      </c>
      <c r="P532" s="8">
        <f>VLOOKUP(tblSalaries[[#This Row],[clean Country]],tblCountries[],5,0)</f>
        <v>1</v>
      </c>
      <c r="Q532" s="8">
        <f>IF($Q$1,tblSalaries[[#This Row],[PPP Factor]]*tblSalaries[[#This Row],[Salary in USD]],tblSalaries[[#This Row],[Salary in USD]])</f>
        <v>50000</v>
      </c>
    </row>
    <row r="533" spans="2:17" ht="15" customHeight="1" x14ac:dyDescent="0.25">
      <c r="B533" t="s">
        <v>2536</v>
      </c>
      <c r="C533" s="1">
        <v>41055.224537037036</v>
      </c>
      <c r="D533" s="4" t="s">
        <v>641</v>
      </c>
      <c r="E533">
        <v>73000</v>
      </c>
      <c r="F533" t="s">
        <v>69</v>
      </c>
      <c r="G533">
        <f>tblSalaries[[#This Row],[clean Salary (in local currency)]]*VLOOKUP(tblSalaries[[#This Row],[Currency]],tblXrate[],2,FALSE)</f>
        <v>115061.01386091174</v>
      </c>
      <c r="H533" t="s">
        <v>642</v>
      </c>
      <c r="I533" t="s">
        <v>52</v>
      </c>
      <c r="J533" t="s">
        <v>71</v>
      </c>
      <c r="K533" t="str">
        <f>VLOOKUP(tblSalaries[[#This Row],[Where do you work]],tblCountries[[Actual]:[Mapping]],2,FALSE)</f>
        <v>UK</v>
      </c>
      <c r="L533" t="s">
        <v>9</v>
      </c>
      <c r="N533" s="8" t="str">
        <f>VLOOKUP(K533,tblCountries[],3,0)</f>
        <v>Europe</v>
      </c>
      <c r="O533" s="8">
        <f>VLOOKUP(tblSalaries[[#This Row],[How many hours of a day you work on Excel]],tblHours,2,0)</f>
        <v>4</v>
      </c>
      <c r="P533" s="8">
        <f>VLOOKUP(tblSalaries[[#This Row],[clean Country]],tblCountries[],5,0)</f>
        <v>1.3407315045719035</v>
      </c>
      <c r="Q533" s="8">
        <f>IF($Q$1,tblSalaries[[#This Row],[PPP Factor]]*tblSalaries[[#This Row],[Salary in USD]],tblSalaries[[#This Row],[Salary in USD]])</f>
        <v>115061.01386091174</v>
      </c>
    </row>
    <row r="534" spans="2:17" ht="15" customHeight="1" x14ac:dyDescent="0.25">
      <c r="B534" t="s">
        <v>2537</v>
      </c>
      <c r="C534" s="1">
        <v>41055.225185185183</v>
      </c>
      <c r="D534" s="4">
        <v>50000</v>
      </c>
      <c r="E534">
        <v>50000</v>
      </c>
      <c r="F534" t="s">
        <v>6</v>
      </c>
      <c r="G534">
        <f>tblSalaries[[#This Row],[clean Salary (in local currency)]]*VLOOKUP(tblSalaries[[#This Row],[Currency]],tblXrate[],2,FALSE)</f>
        <v>50000</v>
      </c>
      <c r="H534" t="s">
        <v>643</v>
      </c>
      <c r="I534" t="s">
        <v>20</v>
      </c>
      <c r="J534" t="s">
        <v>644</v>
      </c>
      <c r="K534" t="str">
        <f>VLOOKUP(tblSalaries[[#This Row],[Where do you work]],tblCountries[[Actual]:[Mapping]],2,FALSE)</f>
        <v>self-employed</v>
      </c>
      <c r="L534" t="s">
        <v>9</v>
      </c>
      <c r="N534" s="8">
        <f>VLOOKUP(K534,tblCountries[],3,0)</f>
        <v>0</v>
      </c>
      <c r="O534" s="8">
        <f>VLOOKUP(tblSalaries[[#This Row],[How many hours of a day you work on Excel]],tblHours,2,0)</f>
        <v>4</v>
      </c>
      <c r="P534" s="8">
        <f>VLOOKUP(tblSalaries[[#This Row],[clean Country]],tblCountries[],5,0)</f>
        <v>1</v>
      </c>
      <c r="Q534" s="8">
        <f>IF($Q$1,tblSalaries[[#This Row],[PPP Factor]]*tblSalaries[[#This Row],[Salary in USD]],tblSalaries[[#This Row],[Salary in USD]])</f>
        <v>50000</v>
      </c>
    </row>
    <row r="535" spans="2:17" ht="15" customHeight="1" x14ac:dyDescent="0.25">
      <c r="B535" t="s">
        <v>2538</v>
      </c>
      <c r="C535" s="1">
        <v>41055.22724537037</v>
      </c>
      <c r="D535" s="4">
        <v>46000</v>
      </c>
      <c r="E535">
        <v>46000</v>
      </c>
      <c r="F535" t="s">
        <v>6</v>
      </c>
      <c r="G535">
        <f>tblSalaries[[#This Row],[clean Salary (in local currency)]]*VLOOKUP(tblSalaries[[#This Row],[Currency]],tblXrate[],2,FALSE)</f>
        <v>46000</v>
      </c>
      <c r="H535" t="s">
        <v>200</v>
      </c>
      <c r="I535" t="s">
        <v>20</v>
      </c>
      <c r="J535" t="s">
        <v>15</v>
      </c>
      <c r="K535" t="str">
        <f>VLOOKUP(tblSalaries[[#This Row],[Where do you work]],tblCountries[[Actual]:[Mapping]],2,FALSE)</f>
        <v>USA</v>
      </c>
      <c r="L535" t="s">
        <v>18</v>
      </c>
      <c r="N535" s="8" t="str">
        <f>VLOOKUP(K535,tblCountries[],3,0)</f>
        <v>North Amer.</v>
      </c>
      <c r="O535" s="8">
        <f>VLOOKUP(tblSalaries[[#This Row],[How many hours of a day you work on Excel]],tblHours,2,0)</f>
        <v>3</v>
      </c>
      <c r="P535" s="8">
        <f>VLOOKUP(tblSalaries[[#This Row],[clean Country]],tblCountries[],5,0)</f>
        <v>1</v>
      </c>
      <c r="Q535" s="8">
        <f>IF($Q$1,tblSalaries[[#This Row],[PPP Factor]]*tblSalaries[[#This Row],[Salary in USD]],tblSalaries[[#This Row],[Salary in USD]])</f>
        <v>46000</v>
      </c>
    </row>
    <row r="536" spans="2:17" ht="15" customHeight="1" x14ac:dyDescent="0.25">
      <c r="B536" t="s">
        <v>2539</v>
      </c>
      <c r="C536" s="1">
        <v>41055.227511574078</v>
      </c>
      <c r="D536" s="4" t="s">
        <v>645</v>
      </c>
      <c r="E536">
        <v>600000</v>
      </c>
      <c r="F536" t="s">
        <v>32</v>
      </c>
      <c r="G536">
        <f>tblSalaries[[#This Row],[clean Salary (in local currency)]]*VLOOKUP(tblSalaries[[#This Row],[Currency]],tblXrate[],2,FALSE)</f>
        <v>6368.453230079479</v>
      </c>
      <c r="H536" t="s">
        <v>646</v>
      </c>
      <c r="I536" t="s">
        <v>356</v>
      </c>
      <c r="J536" t="s">
        <v>17</v>
      </c>
      <c r="K536" t="str">
        <f>VLOOKUP(tblSalaries[[#This Row],[Where do you work]],tblCountries[[Actual]:[Mapping]],2,FALSE)</f>
        <v>Pakistan</v>
      </c>
      <c r="L536" t="s">
        <v>9</v>
      </c>
      <c r="N536" s="8" t="str">
        <f>VLOOKUP(K536,tblCountries[],3,0)</f>
        <v>Asia</v>
      </c>
      <c r="O536" s="8">
        <f>VLOOKUP(tblSalaries[[#This Row],[How many hours of a day you work on Excel]],tblHours,2,0)</f>
        <v>4</v>
      </c>
      <c r="P536" s="8">
        <f>VLOOKUP(tblSalaries[[#This Row],[clean Country]],tblCountries[],5,0)</f>
        <v>17.361679224973088</v>
      </c>
      <c r="Q536" s="8">
        <f>IF($Q$1,tblSalaries[[#This Row],[PPP Factor]]*tblSalaries[[#This Row],[Salary in USD]],tblSalaries[[#This Row],[Salary in USD]])</f>
        <v>6368.453230079479</v>
      </c>
    </row>
    <row r="537" spans="2:17" ht="15" customHeight="1" x14ac:dyDescent="0.25">
      <c r="B537" t="s">
        <v>2540</v>
      </c>
      <c r="C537" s="1">
        <v>41055.228310185186</v>
      </c>
      <c r="D537" s="4">
        <v>85000</v>
      </c>
      <c r="E537">
        <v>85000</v>
      </c>
      <c r="F537" t="s">
        <v>82</v>
      </c>
      <c r="G537">
        <f>tblSalaries[[#This Row],[clean Salary (in local currency)]]*VLOOKUP(tblSalaries[[#This Row],[Currency]],tblXrate[],2,FALSE)</f>
        <v>86692.320794224041</v>
      </c>
      <c r="H537" t="s">
        <v>647</v>
      </c>
      <c r="I537" t="s">
        <v>20</v>
      </c>
      <c r="J537" t="s">
        <v>84</v>
      </c>
      <c r="K537" t="str">
        <f>VLOOKUP(tblSalaries[[#This Row],[Where do you work]],tblCountries[[Actual]:[Mapping]],2,FALSE)</f>
        <v>Australia</v>
      </c>
      <c r="L537" t="s">
        <v>9</v>
      </c>
      <c r="N537" s="8" t="str">
        <f>VLOOKUP(K537,tblCountries[],3,0)</f>
        <v>Oceania</v>
      </c>
      <c r="O537" s="8">
        <f>VLOOKUP(tblSalaries[[#This Row],[How many hours of a day you work on Excel]],tblHours,2,0)</f>
        <v>4</v>
      </c>
      <c r="P537" s="8">
        <f>VLOOKUP(tblSalaries[[#This Row],[clean Country]],tblCountries[],5,0)</f>
        <v>1.2026395585822935</v>
      </c>
      <c r="Q537" s="8">
        <f>IF($Q$1,tblSalaries[[#This Row],[PPP Factor]]*tblSalaries[[#This Row],[Salary in USD]],tblSalaries[[#This Row],[Salary in USD]])</f>
        <v>86692.320794224041</v>
      </c>
    </row>
    <row r="538" spans="2:17" ht="15" customHeight="1" x14ac:dyDescent="0.25">
      <c r="B538" t="s">
        <v>2541</v>
      </c>
      <c r="C538" s="1">
        <v>41055.229108796295</v>
      </c>
      <c r="D538" s="4">
        <v>450000</v>
      </c>
      <c r="E538">
        <v>450000</v>
      </c>
      <c r="F538" t="s">
        <v>40</v>
      </c>
      <c r="G538">
        <f>tblSalaries[[#This Row],[clean Salary (in local currency)]]*VLOOKUP(tblSalaries[[#This Row],[Currency]],tblXrate[],2,FALSE)</f>
        <v>8013.5625093491553</v>
      </c>
      <c r="H538" t="s">
        <v>648</v>
      </c>
      <c r="I538" t="s">
        <v>52</v>
      </c>
      <c r="J538" t="s">
        <v>8</v>
      </c>
      <c r="K538" t="str">
        <f>VLOOKUP(tblSalaries[[#This Row],[Where do you work]],tblCountries[[Actual]:[Mapping]],2,FALSE)</f>
        <v>India</v>
      </c>
      <c r="L538" t="s">
        <v>13</v>
      </c>
      <c r="N538" s="8" t="str">
        <f>VLOOKUP(K538,tblCountries[],3,0)</f>
        <v>Asia</v>
      </c>
      <c r="O538" s="8">
        <f>VLOOKUP(tblSalaries[[#This Row],[How many hours of a day you work on Excel]],tblHours,2,0)</f>
        <v>5</v>
      </c>
      <c r="P538" s="8">
        <f>VLOOKUP(tblSalaries[[#This Row],[clean Country]],tblCountries[],5,0)</f>
        <v>13.098808879263672</v>
      </c>
      <c r="Q538" s="8">
        <f>IF($Q$1,tblSalaries[[#This Row],[PPP Factor]]*tblSalaries[[#This Row],[Salary in USD]],tblSalaries[[#This Row],[Salary in USD]])</f>
        <v>8013.5625093491553</v>
      </c>
    </row>
    <row r="539" spans="2:17" ht="15" customHeight="1" x14ac:dyDescent="0.25">
      <c r="B539" t="s">
        <v>2542</v>
      </c>
      <c r="C539" s="1">
        <v>41055.229143518518</v>
      </c>
      <c r="D539" s="4">
        <v>43000</v>
      </c>
      <c r="E539">
        <v>43000</v>
      </c>
      <c r="F539" t="s">
        <v>6</v>
      </c>
      <c r="G539">
        <f>tblSalaries[[#This Row],[clean Salary (in local currency)]]*VLOOKUP(tblSalaries[[#This Row],[Currency]],tblXrate[],2,FALSE)</f>
        <v>43000</v>
      </c>
      <c r="H539" t="s">
        <v>310</v>
      </c>
      <c r="I539" t="s">
        <v>310</v>
      </c>
      <c r="J539" t="s">
        <v>15</v>
      </c>
      <c r="K539" t="str">
        <f>VLOOKUP(tblSalaries[[#This Row],[Where do you work]],tblCountries[[Actual]:[Mapping]],2,FALSE)</f>
        <v>USA</v>
      </c>
      <c r="L539" t="s">
        <v>13</v>
      </c>
      <c r="N539" s="8" t="str">
        <f>VLOOKUP(K539,tblCountries[],3,0)</f>
        <v>North Amer.</v>
      </c>
      <c r="O539" s="8">
        <f>VLOOKUP(tblSalaries[[#This Row],[How many hours of a day you work on Excel]],tblHours,2,0)</f>
        <v>5</v>
      </c>
      <c r="P539" s="8">
        <f>VLOOKUP(tblSalaries[[#This Row],[clean Country]],tblCountries[],5,0)</f>
        <v>1</v>
      </c>
      <c r="Q539" s="8">
        <f>IF($Q$1,tblSalaries[[#This Row],[PPP Factor]]*tblSalaries[[#This Row],[Salary in USD]],tblSalaries[[#This Row],[Salary in USD]])</f>
        <v>43000</v>
      </c>
    </row>
    <row r="540" spans="2:17" ht="15" customHeight="1" x14ac:dyDescent="0.25">
      <c r="B540" t="s">
        <v>2543</v>
      </c>
      <c r="C540" s="1">
        <v>41055.229305555556</v>
      </c>
      <c r="D540" s="4">
        <v>1500</v>
      </c>
      <c r="E540">
        <v>18000</v>
      </c>
      <c r="F540" t="s">
        <v>6</v>
      </c>
      <c r="G540">
        <f>tblSalaries[[#This Row],[clean Salary (in local currency)]]*VLOOKUP(tblSalaries[[#This Row],[Currency]],tblXrate[],2,FALSE)</f>
        <v>18000</v>
      </c>
      <c r="H540" t="s">
        <v>279</v>
      </c>
      <c r="I540" t="s">
        <v>279</v>
      </c>
      <c r="J540" t="s">
        <v>143</v>
      </c>
      <c r="K540" t="str">
        <f>VLOOKUP(tblSalaries[[#This Row],[Where do you work]],tblCountries[[Actual]:[Mapping]],2,FALSE)</f>
        <v>Brazil</v>
      </c>
      <c r="L540" t="s">
        <v>9</v>
      </c>
      <c r="N540" s="8" t="str">
        <f>VLOOKUP(K540,tblCountries[],3,0)</f>
        <v>South Amer.</v>
      </c>
      <c r="O540" s="8">
        <f>VLOOKUP(tblSalaries[[#This Row],[How many hours of a day you work on Excel]],tblHours,2,0)</f>
        <v>4</v>
      </c>
      <c r="P540" s="8">
        <f>VLOOKUP(tblSalaries[[#This Row],[clean Country]],tblCountries[],5,0)</f>
        <v>4.1113943410655107</v>
      </c>
      <c r="Q540" s="8">
        <f>IF($Q$1,tblSalaries[[#This Row],[PPP Factor]]*tblSalaries[[#This Row],[Salary in USD]],tblSalaries[[#This Row],[Salary in USD]])</f>
        <v>18000</v>
      </c>
    </row>
    <row r="541" spans="2:17" ht="15" customHeight="1" x14ac:dyDescent="0.25">
      <c r="B541" t="s">
        <v>2544</v>
      </c>
      <c r="C541" s="1">
        <v>41055.229930555557</v>
      </c>
      <c r="D541" s="4">
        <v>55000</v>
      </c>
      <c r="E541">
        <v>55000</v>
      </c>
      <c r="F541" t="s">
        <v>6</v>
      </c>
      <c r="G541">
        <f>tblSalaries[[#This Row],[clean Salary (in local currency)]]*VLOOKUP(tblSalaries[[#This Row],[Currency]],tblXrate[],2,FALSE)</f>
        <v>55000</v>
      </c>
      <c r="H541" t="s">
        <v>387</v>
      </c>
      <c r="I541" t="s">
        <v>20</v>
      </c>
      <c r="J541" t="s">
        <v>15</v>
      </c>
      <c r="K541" t="str">
        <f>VLOOKUP(tblSalaries[[#This Row],[Where do you work]],tblCountries[[Actual]:[Mapping]],2,FALSE)</f>
        <v>USA</v>
      </c>
      <c r="L541" t="s">
        <v>18</v>
      </c>
      <c r="N541" s="8" t="str">
        <f>VLOOKUP(K541,tblCountries[],3,0)</f>
        <v>North Amer.</v>
      </c>
      <c r="O541" s="8">
        <f>VLOOKUP(tblSalaries[[#This Row],[How many hours of a day you work on Excel]],tblHours,2,0)</f>
        <v>3</v>
      </c>
      <c r="P541" s="8">
        <f>VLOOKUP(tblSalaries[[#This Row],[clean Country]],tblCountries[],5,0)</f>
        <v>1</v>
      </c>
      <c r="Q541" s="8">
        <f>IF($Q$1,tblSalaries[[#This Row],[PPP Factor]]*tblSalaries[[#This Row],[Salary in USD]],tblSalaries[[#This Row],[Salary in USD]])</f>
        <v>55000</v>
      </c>
    </row>
    <row r="542" spans="2:17" ht="15" customHeight="1" x14ac:dyDescent="0.25">
      <c r="B542" t="s">
        <v>2545</v>
      </c>
      <c r="C542" s="1">
        <v>41055.230150462965</v>
      </c>
      <c r="D542" s="4" t="s">
        <v>457</v>
      </c>
      <c r="E542">
        <v>500000</v>
      </c>
      <c r="F542" t="s">
        <v>40</v>
      </c>
      <c r="G542">
        <f>tblSalaries[[#This Row],[clean Salary (in local currency)]]*VLOOKUP(tblSalaries[[#This Row],[Currency]],tblXrate[],2,FALSE)</f>
        <v>8903.9583437212841</v>
      </c>
      <c r="H542" t="s">
        <v>649</v>
      </c>
      <c r="I542" t="s">
        <v>20</v>
      </c>
      <c r="J542" t="s">
        <v>8</v>
      </c>
      <c r="K542" t="str">
        <f>VLOOKUP(tblSalaries[[#This Row],[Where do you work]],tblCountries[[Actual]:[Mapping]],2,FALSE)</f>
        <v>India</v>
      </c>
      <c r="L542" t="s">
        <v>13</v>
      </c>
      <c r="N542" s="8" t="str">
        <f>VLOOKUP(K542,tblCountries[],3,0)</f>
        <v>Asia</v>
      </c>
      <c r="O542" s="8">
        <f>VLOOKUP(tblSalaries[[#This Row],[How many hours of a day you work on Excel]],tblHours,2,0)</f>
        <v>5</v>
      </c>
      <c r="P542" s="8">
        <f>VLOOKUP(tblSalaries[[#This Row],[clean Country]],tblCountries[],5,0)</f>
        <v>13.098808879263672</v>
      </c>
      <c r="Q542" s="8">
        <f>IF($Q$1,tblSalaries[[#This Row],[PPP Factor]]*tblSalaries[[#This Row],[Salary in USD]],tblSalaries[[#This Row],[Salary in USD]])</f>
        <v>8903.9583437212841</v>
      </c>
    </row>
    <row r="543" spans="2:17" ht="15" customHeight="1" x14ac:dyDescent="0.25">
      <c r="B543" t="s">
        <v>2546</v>
      </c>
      <c r="C543" s="1">
        <v>41055.231747685182</v>
      </c>
      <c r="D543" s="4">
        <v>45000</v>
      </c>
      <c r="E543">
        <v>45000</v>
      </c>
      <c r="F543" t="s">
        <v>6</v>
      </c>
      <c r="G543">
        <f>tblSalaries[[#This Row],[clean Salary (in local currency)]]*VLOOKUP(tblSalaries[[#This Row],[Currency]],tblXrate[],2,FALSE)</f>
        <v>45000</v>
      </c>
      <c r="H543" t="s">
        <v>650</v>
      </c>
      <c r="I543" t="s">
        <v>3999</v>
      </c>
      <c r="J543" t="s">
        <v>15</v>
      </c>
      <c r="K543" t="str">
        <f>VLOOKUP(tblSalaries[[#This Row],[Where do you work]],tblCountries[[Actual]:[Mapping]],2,FALSE)</f>
        <v>USA</v>
      </c>
      <c r="L543" t="s">
        <v>13</v>
      </c>
      <c r="N543" s="8" t="str">
        <f>VLOOKUP(K543,tblCountries[],3,0)</f>
        <v>North Amer.</v>
      </c>
      <c r="O543" s="8">
        <f>VLOOKUP(tblSalaries[[#This Row],[How many hours of a day you work on Excel]],tblHours,2,0)</f>
        <v>5</v>
      </c>
      <c r="P543" s="8">
        <f>VLOOKUP(tblSalaries[[#This Row],[clean Country]],tblCountries[],5,0)</f>
        <v>1</v>
      </c>
      <c r="Q543" s="8">
        <f>IF($Q$1,tblSalaries[[#This Row],[PPP Factor]]*tblSalaries[[#This Row],[Salary in USD]],tblSalaries[[#This Row],[Salary in USD]])</f>
        <v>45000</v>
      </c>
    </row>
    <row r="544" spans="2:17" ht="15" customHeight="1" x14ac:dyDescent="0.25">
      <c r="B544" t="s">
        <v>2547</v>
      </c>
      <c r="C544" s="1">
        <v>41055.232638888891</v>
      </c>
      <c r="D544" s="4">
        <v>50000</v>
      </c>
      <c r="E544">
        <v>50000</v>
      </c>
      <c r="F544" t="s">
        <v>6</v>
      </c>
      <c r="G544">
        <f>tblSalaries[[#This Row],[clean Salary (in local currency)]]*VLOOKUP(tblSalaries[[#This Row],[Currency]],tblXrate[],2,FALSE)</f>
        <v>50000</v>
      </c>
      <c r="H544" t="s">
        <v>651</v>
      </c>
      <c r="I544" t="s">
        <v>52</v>
      </c>
      <c r="J544" t="s">
        <v>15</v>
      </c>
      <c r="K544" t="str">
        <f>VLOOKUP(tblSalaries[[#This Row],[Where do you work]],tblCountries[[Actual]:[Mapping]],2,FALSE)</f>
        <v>USA</v>
      </c>
      <c r="L544" t="s">
        <v>9</v>
      </c>
      <c r="N544" s="8" t="str">
        <f>VLOOKUP(K544,tblCountries[],3,0)</f>
        <v>North Amer.</v>
      </c>
      <c r="O544" s="8">
        <f>VLOOKUP(tblSalaries[[#This Row],[How many hours of a day you work on Excel]],tblHours,2,0)</f>
        <v>4</v>
      </c>
      <c r="P544" s="8">
        <f>VLOOKUP(tblSalaries[[#This Row],[clean Country]],tblCountries[],5,0)</f>
        <v>1</v>
      </c>
      <c r="Q544" s="8">
        <f>IF($Q$1,tblSalaries[[#This Row],[PPP Factor]]*tblSalaries[[#This Row],[Salary in USD]],tblSalaries[[#This Row],[Salary in USD]])</f>
        <v>50000</v>
      </c>
    </row>
    <row r="545" spans="2:17" ht="15" customHeight="1" x14ac:dyDescent="0.25">
      <c r="B545" t="s">
        <v>2548</v>
      </c>
      <c r="C545" s="1">
        <v>41055.239374999997</v>
      </c>
      <c r="D545" s="4" t="s">
        <v>652</v>
      </c>
      <c r="E545">
        <v>80000</v>
      </c>
      <c r="F545" t="s">
        <v>6</v>
      </c>
      <c r="G545">
        <f>tblSalaries[[#This Row],[clean Salary (in local currency)]]*VLOOKUP(tblSalaries[[#This Row],[Currency]],tblXrate[],2,FALSE)</f>
        <v>80000</v>
      </c>
      <c r="H545" t="s">
        <v>653</v>
      </c>
      <c r="I545" t="s">
        <v>20</v>
      </c>
      <c r="J545" t="s">
        <v>15</v>
      </c>
      <c r="K545" t="str">
        <f>VLOOKUP(tblSalaries[[#This Row],[Where do you work]],tblCountries[[Actual]:[Mapping]],2,FALSE)</f>
        <v>USA</v>
      </c>
      <c r="L545" t="s">
        <v>13</v>
      </c>
      <c r="N545" s="8" t="str">
        <f>VLOOKUP(K545,tblCountries[],3,0)</f>
        <v>North Amer.</v>
      </c>
      <c r="O545" s="8">
        <f>VLOOKUP(tblSalaries[[#This Row],[How many hours of a day you work on Excel]],tblHours,2,0)</f>
        <v>5</v>
      </c>
      <c r="P545" s="8">
        <f>VLOOKUP(tblSalaries[[#This Row],[clean Country]],tblCountries[],5,0)</f>
        <v>1</v>
      </c>
      <c r="Q545" s="8">
        <f>IF($Q$1,tblSalaries[[#This Row],[PPP Factor]]*tblSalaries[[#This Row],[Salary in USD]],tblSalaries[[#This Row],[Salary in USD]])</f>
        <v>80000</v>
      </c>
    </row>
    <row r="546" spans="2:17" ht="15" customHeight="1" x14ac:dyDescent="0.25">
      <c r="B546" t="s">
        <v>2549</v>
      </c>
      <c r="C546" s="1">
        <v>41055.240300925929</v>
      </c>
      <c r="D546" s="4">
        <v>67000</v>
      </c>
      <c r="E546">
        <v>67000</v>
      </c>
      <c r="F546" t="s">
        <v>6</v>
      </c>
      <c r="G546">
        <f>tblSalaries[[#This Row],[clean Salary (in local currency)]]*VLOOKUP(tblSalaries[[#This Row],[Currency]],tblXrate[],2,FALSE)</f>
        <v>67000</v>
      </c>
      <c r="H546" t="s">
        <v>394</v>
      </c>
      <c r="I546" t="s">
        <v>20</v>
      </c>
      <c r="J546" t="s">
        <v>15</v>
      </c>
      <c r="K546" t="str">
        <f>VLOOKUP(tblSalaries[[#This Row],[Where do you work]],tblCountries[[Actual]:[Mapping]],2,FALSE)</f>
        <v>USA</v>
      </c>
      <c r="L546" t="s">
        <v>9</v>
      </c>
      <c r="N546" s="8" t="str">
        <f>VLOOKUP(K546,tblCountries[],3,0)</f>
        <v>North Amer.</v>
      </c>
      <c r="O546" s="8">
        <f>VLOOKUP(tblSalaries[[#This Row],[How many hours of a day you work on Excel]],tblHours,2,0)</f>
        <v>4</v>
      </c>
      <c r="P546" s="8">
        <f>VLOOKUP(tblSalaries[[#This Row],[clean Country]],tblCountries[],5,0)</f>
        <v>1</v>
      </c>
      <c r="Q546" s="8">
        <f>IF($Q$1,tblSalaries[[#This Row],[PPP Factor]]*tblSalaries[[#This Row],[Salary in USD]],tblSalaries[[#This Row],[Salary in USD]])</f>
        <v>67000</v>
      </c>
    </row>
    <row r="547" spans="2:17" ht="15" customHeight="1" x14ac:dyDescent="0.25">
      <c r="B547" t="s">
        <v>2550</v>
      </c>
      <c r="C547" s="1">
        <v>41055.240763888891</v>
      </c>
      <c r="D547" s="4">
        <v>111000</v>
      </c>
      <c r="E547">
        <v>111000</v>
      </c>
      <c r="F547" t="s">
        <v>6</v>
      </c>
      <c r="G547">
        <f>tblSalaries[[#This Row],[clean Salary (in local currency)]]*VLOOKUP(tblSalaries[[#This Row],[Currency]],tblXrate[],2,FALSE)</f>
        <v>111000</v>
      </c>
      <c r="H547" t="s">
        <v>424</v>
      </c>
      <c r="I547" t="s">
        <v>20</v>
      </c>
      <c r="J547" t="s">
        <v>654</v>
      </c>
      <c r="K547" t="str">
        <f>VLOOKUP(tblSalaries[[#This Row],[Where do you work]],tblCountries[[Actual]:[Mapping]],2,FALSE)</f>
        <v>Japan</v>
      </c>
      <c r="L547" t="s">
        <v>13</v>
      </c>
      <c r="N547" s="8" t="str">
        <f>VLOOKUP(K547,tblCountries[],3,0)</f>
        <v>Asia</v>
      </c>
      <c r="O547" s="8">
        <f>VLOOKUP(tblSalaries[[#This Row],[How many hours of a day you work on Excel]],tblHours,2,0)</f>
        <v>5</v>
      </c>
      <c r="P547" s="8">
        <f>VLOOKUP(tblSalaries[[#This Row],[clean Country]],tblCountries[],5,0)</f>
        <v>1.392832469775475</v>
      </c>
      <c r="Q547" s="8">
        <f>IF($Q$1,tblSalaries[[#This Row],[PPP Factor]]*tblSalaries[[#This Row],[Salary in USD]],tblSalaries[[#This Row],[Salary in USD]])</f>
        <v>111000</v>
      </c>
    </row>
    <row r="548" spans="2:17" ht="15" customHeight="1" x14ac:dyDescent="0.25">
      <c r="B548" t="s">
        <v>2551</v>
      </c>
      <c r="C548" s="1">
        <v>41055.241782407407</v>
      </c>
      <c r="D548" s="4">
        <v>120000</v>
      </c>
      <c r="E548">
        <v>120000</v>
      </c>
      <c r="F548" t="s">
        <v>6</v>
      </c>
      <c r="G548">
        <f>tblSalaries[[#This Row],[clean Salary (in local currency)]]*VLOOKUP(tblSalaries[[#This Row],[Currency]],tblXrate[],2,FALSE)</f>
        <v>120000</v>
      </c>
      <c r="H548" t="s">
        <v>139</v>
      </c>
      <c r="I548" t="s">
        <v>4001</v>
      </c>
      <c r="J548" t="s">
        <v>15</v>
      </c>
      <c r="K548" t="str">
        <f>VLOOKUP(tblSalaries[[#This Row],[Where do you work]],tblCountries[[Actual]:[Mapping]],2,FALSE)</f>
        <v>USA</v>
      </c>
      <c r="L548" t="s">
        <v>9</v>
      </c>
      <c r="N548" s="8" t="str">
        <f>VLOOKUP(K548,tblCountries[],3,0)</f>
        <v>North Amer.</v>
      </c>
      <c r="O548" s="8">
        <f>VLOOKUP(tblSalaries[[#This Row],[How many hours of a day you work on Excel]],tblHours,2,0)</f>
        <v>4</v>
      </c>
      <c r="P548" s="8">
        <f>VLOOKUP(tblSalaries[[#This Row],[clean Country]],tblCountries[],5,0)</f>
        <v>1</v>
      </c>
      <c r="Q548" s="8">
        <f>IF($Q$1,tblSalaries[[#This Row],[PPP Factor]]*tblSalaries[[#This Row],[Salary in USD]],tblSalaries[[#This Row],[Salary in USD]])</f>
        <v>120000</v>
      </c>
    </row>
    <row r="549" spans="2:17" ht="15" customHeight="1" x14ac:dyDescent="0.25">
      <c r="B549" t="s">
        <v>2552</v>
      </c>
      <c r="C549" s="1">
        <v>41055.241805555554</v>
      </c>
      <c r="D549" s="4" t="s">
        <v>655</v>
      </c>
      <c r="E549">
        <v>20000</v>
      </c>
      <c r="F549" t="s">
        <v>69</v>
      </c>
      <c r="G549">
        <f>tblSalaries[[#This Row],[clean Salary (in local currency)]]*VLOOKUP(tblSalaries[[#This Row],[Currency]],tblXrate[],2,FALSE)</f>
        <v>31523.565441345683</v>
      </c>
      <c r="H549" t="s">
        <v>656</v>
      </c>
      <c r="I549" t="s">
        <v>356</v>
      </c>
      <c r="J549" t="s">
        <v>71</v>
      </c>
      <c r="K549" t="str">
        <f>VLOOKUP(tblSalaries[[#This Row],[Where do you work]],tblCountries[[Actual]:[Mapping]],2,FALSE)</f>
        <v>UK</v>
      </c>
      <c r="L549" t="s">
        <v>9</v>
      </c>
      <c r="N549" s="8" t="str">
        <f>VLOOKUP(K549,tblCountries[],3,0)</f>
        <v>Europe</v>
      </c>
      <c r="O549" s="8">
        <f>VLOOKUP(tblSalaries[[#This Row],[How many hours of a day you work on Excel]],tblHours,2,0)</f>
        <v>4</v>
      </c>
      <c r="P549" s="8">
        <f>VLOOKUP(tblSalaries[[#This Row],[clean Country]],tblCountries[],5,0)</f>
        <v>1.3407315045719035</v>
      </c>
      <c r="Q549" s="8">
        <f>IF($Q$1,tblSalaries[[#This Row],[PPP Factor]]*tblSalaries[[#This Row],[Salary in USD]],tblSalaries[[#This Row],[Salary in USD]])</f>
        <v>31523.565441345683</v>
      </c>
    </row>
    <row r="550" spans="2:17" ht="15" customHeight="1" x14ac:dyDescent="0.25">
      <c r="B550" t="s">
        <v>2553</v>
      </c>
      <c r="C550" s="1">
        <v>41055.243298611109</v>
      </c>
      <c r="D550" s="4">
        <v>77000</v>
      </c>
      <c r="E550">
        <v>77000</v>
      </c>
      <c r="F550" t="s">
        <v>82</v>
      </c>
      <c r="G550">
        <f>tblSalaries[[#This Row],[clean Salary (in local currency)]]*VLOOKUP(tblSalaries[[#This Row],[Currency]],tblXrate[],2,FALSE)</f>
        <v>78533.043543002947</v>
      </c>
      <c r="H550" t="s">
        <v>657</v>
      </c>
      <c r="I550" t="s">
        <v>20</v>
      </c>
      <c r="J550" t="s">
        <v>84</v>
      </c>
      <c r="K550" t="str">
        <f>VLOOKUP(tblSalaries[[#This Row],[Where do you work]],tblCountries[[Actual]:[Mapping]],2,FALSE)</f>
        <v>Australia</v>
      </c>
      <c r="L550" t="s">
        <v>18</v>
      </c>
      <c r="N550" s="8" t="str">
        <f>VLOOKUP(K550,tblCountries[],3,0)</f>
        <v>Oceania</v>
      </c>
      <c r="O550" s="8">
        <f>VLOOKUP(tblSalaries[[#This Row],[How many hours of a day you work on Excel]],tblHours,2,0)</f>
        <v>3</v>
      </c>
      <c r="P550" s="8">
        <f>VLOOKUP(tblSalaries[[#This Row],[clean Country]],tblCountries[],5,0)</f>
        <v>1.2026395585822935</v>
      </c>
      <c r="Q550" s="8">
        <f>IF($Q$1,tblSalaries[[#This Row],[PPP Factor]]*tblSalaries[[#This Row],[Salary in USD]],tblSalaries[[#This Row],[Salary in USD]])</f>
        <v>78533.043543002947</v>
      </c>
    </row>
    <row r="551" spans="2:17" ht="15" customHeight="1" x14ac:dyDescent="0.25">
      <c r="B551" t="s">
        <v>2554</v>
      </c>
      <c r="C551" s="1">
        <v>41055.243321759262</v>
      </c>
      <c r="D551" s="4">
        <v>60000</v>
      </c>
      <c r="E551">
        <v>60000</v>
      </c>
      <c r="F551" t="s">
        <v>6</v>
      </c>
      <c r="G551">
        <f>tblSalaries[[#This Row],[clean Salary (in local currency)]]*VLOOKUP(tblSalaries[[#This Row],[Currency]],tblXrate[],2,FALSE)</f>
        <v>60000</v>
      </c>
      <c r="H551" t="s">
        <v>658</v>
      </c>
      <c r="I551" t="s">
        <v>67</v>
      </c>
      <c r="J551" t="s">
        <v>15</v>
      </c>
      <c r="K551" t="str">
        <f>VLOOKUP(tblSalaries[[#This Row],[Where do you work]],tblCountries[[Actual]:[Mapping]],2,FALSE)</f>
        <v>USA</v>
      </c>
      <c r="L551" t="s">
        <v>25</v>
      </c>
      <c r="N551" s="8" t="str">
        <f>VLOOKUP(K551,tblCountries[],3,0)</f>
        <v>North Amer.</v>
      </c>
      <c r="O551" s="8">
        <f>VLOOKUP(tblSalaries[[#This Row],[How many hours of a day you work on Excel]],tblHours,2,0)</f>
        <v>2</v>
      </c>
      <c r="P551" s="8">
        <f>VLOOKUP(tblSalaries[[#This Row],[clean Country]],tblCountries[],5,0)</f>
        <v>1</v>
      </c>
      <c r="Q551" s="8">
        <f>IF($Q$1,tblSalaries[[#This Row],[PPP Factor]]*tblSalaries[[#This Row],[Salary in USD]],tblSalaries[[#This Row],[Salary in USD]])</f>
        <v>60000</v>
      </c>
    </row>
    <row r="552" spans="2:17" ht="15" customHeight="1" x14ac:dyDescent="0.25">
      <c r="B552" t="s">
        <v>2555</v>
      </c>
      <c r="C552" s="1">
        <v>41055.243356481478</v>
      </c>
      <c r="D552" s="4">
        <v>35000</v>
      </c>
      <c r="E552">
        <v>35000</v>
      </c>
      <c r="F552" t="s">
        <v>6</v>
      </c>
      <c r="G552">
        <f>tblSalaries[[#This Row],[clean Salary (in local currency)]]*VLOOKUP(tblSalaries[[#This Row],[Currency]],tblXrate[],2,FALSE)</f>
        <v>35000</v>
      </c>
      <c r="H552" t="s">
        <v>20</v>
      </c>
      <c r="I552" t="s">
        <v>20</v>
      </c>
      <c r="J552" t="s">
        <v>15</v>
      </c>
      <c r="K552" t="str">
        <f>VLOOKUP(tblSalaries[[#This Row],[Where do you work]],tblCountries[[Actual]:[Mapping]],2,FALSE)</f>
        <v>USA</v>
      </c>
      <c r="L552" t="s">
        <v>18</v>
      </c>
      <c r="N552" s="8" t="str">
        <f>VLOOKUP(K552,tblCountries[],3,0)</f>
        <v>North Amer.</v>
      </c>
      <c r="O552" s="8">
        <f>VLOOKUP(tblSalaries[[#This Row],[How many hours of a day you work on Excel]],tblHours,2,0)</f>
        <v>3</v>
      </c>
      <c r="P552" s="8">
        <f>VLOOKUP(tblSalaries[[#This Row],[clean Country]],tblCountries[],5,0)</f>
        <v>1</v>
      </c>
      <c r="Q552" s="8">
        <f>IF($Q$1,tblSalaries[[#This Row],[PPP Factor]]*tblSalaries[[#This Row],[Salary in USD]],tblSalaries[[#This Row],[Salary in USD]])</f>
        <v>35000</v>
      </c>
    </row>
    <row r="553" spans="2:17" ht="15" customHeight="1" x14ac:dyDescent="0.25">
      <c r="B553" t="s">
        <v>2556</v>
      </c>
      <c r="C553" s="1">
        <v>41055.244988425926</v>
      </c>
      <c r="D553" s="4">
        <v>50000</v>
      </c>
      <c r="E553">
        <v>50000</v>
      </c>
      <c r="F553" t="s">
        <v>22</v>
      </c>
      <c r="G553">
        <f>tblSalaries[[#This Row],[clean Salary (in local currency)]]*VLOOKUP(tblSalaries[[#This Row],[Currency]],tblXrate[],2,FALSE)</f>
        <v>63519.971949580387</v>
      </c>
      <c r="H553" t="s">
        <v>659</v>
      </c>
      <c r="I553" t="s">
        <v>52</v>
      </c>
      <c r="J553" t="s">
        <v>136</v>
      </c>
      <c r="K553" t="str">
        <f>VLOOKUP(tblSalaries[[#This Row],[Where do you work]],tblCountries[[Actual]:[Mapping]],2,FALSE)</f>
        <v>Panama</v>
      </c>
      <c r="L553" t="s">
        <v>18</v>
      </c>
      <c r="N553" s="8" t="str">
        <f>VLOOKUP(K553,tblCountries[],3,0)</f>
        <v>North Amer.</v>
      </c>
      <c r="O553" s="8">
        <f>VLOOKUP(tblSalaries[[#This Row],[How many hours of a day you work on Excel]],tblHours,2,0)</f>
        <v>3</v>
      </c>
      <c r="P553" s="8">
        <f>VLOOKUP(tblSalaries[[#This Row],[clean Country]],tblCountries[],5,0)</f>
        <v>3.4324324324324325</v>
      </c>
      <c r="Q553" s="8">
        <f>IF($Q$1,tblSalaries[[#This Row],[PPP Factor]]*tblSalaries[[#This Row],[Salary in USD]],tblSalaries[[#This Row],[Salary in USD]])</f>
        <v>63519.971949580387</v>
      </c>
    </row>
    <row r="554" spans="2:17" ht="15" customHeight="1" x14ac:dyDescent="0.25">
      <c r="B554" t="s">
        <v>2557</v>
      </c>
      <c r="C554" s="1">
        <v>41055.246782407405</v>
      </c>
      <c r="D554" s="4">
        <v>54000</v>
      </c>
      <c r="E554">
        <v>54000</v>
      </c>
      <c r="F554" t="s">
        <v>6</v>
      </c>
      <c r="G554">
        <f>tblSalaries[[#This Row],[clean Salary (in local currency)]]*VLOOKUP(tblSalaries[[#This Row],[Currency]],tblXrate[],2,FALSE)</f>
        <v>54000</v>
      </c>
      <c r="H554" t="s">
        <v>660</v>
      </c>
      <c r="I554" t="s">
        <v>67</v>
      </c>
      <c r="J554" t="s">
        <v>15</v>
      </c>
      <c r="K554" t="str">
        <f>VLOOKUP(tblSalaries[[#This Row],[Where do you work]],tblCountries[[Actual]:[Mapping]],2,FALSE)</f>
        <v>USA</v>
      </c>
      <c r="L554" t="s">
        <v>13</v>
      </c>
      <c r="M554">
        <v>5</v>
      </c>
      <c r="N554" s="8" t="str">
        <f>VLOOKUP(K554,tblCountries[],3,0)</f>
        <v>North Amer.</v>
      </c>
      <c r="O554" s="8">
        <f>VLOOKUP(tblSalaries[[#This Row],[How many hours of a day you work on Excel]],tblHours,2,0)</f>
        <v>5</v>
      </c>
      <c r="P554" s="8">
        <f>VLOOKUP(tblSalaries[[#This Row],[clean Country]],tblCountries[],5,0)</f>
        <v>1</v>
      </c>
      <c r="Q554" s="8">
        <f>IF($Q$1,tblSalaries[[#This Row],[PPP Factor]]*tblSalaries[[#This Row],[Salary in USD]],tblSalaries[[#This Row],[Salary in USD]])</f>
        <v>54000</v>
      </c>
    </row>
    <row r="555" spans="2:17" ht="15" customHeight="1" x14ac:dyDescent="0.25">
      <c r="B555" t="s">
        <v>2558</v>
      </c>
      <c r="C555" s="1">
        <v>41055.251354166663</v>
      </c>
      <c r="D555" s="4">
        <v>1300</v>
      </c>
      <c r="E555">
        <v>15600</v>
      </c>
      <c r="F555" t="s">
        <v>6</v>
      </c>
      <c r="G555">
        <f>tblSalaries[[#This Row],[clean Salary (in local currency)]]*VLOOKUP(tblSalaries[[#This Row],[Currency]],tblXrate[],2,FALSE)</f>
        <v>15600</v>
      </c>
      <c r="H555" t="s">
        <v>661</v>
      </c>
      <c r="I555" t="s">
        <v>488</v>
      </c>
      <c r="J555" t="s">
        <v>662</v>
      </c>
      <c r="K555" t="str">
        <f>VLOOKUP(tblSalaries[[#This Row],[Where do you work]],tblCountries[[Actual]:[Mapping]],2,FALSE)</f>
        <v>Brazil</v>
      </c>
      <c r="L555" t="s">
        <v>9</v>
      </c>
      <c r="M555">
        <v>20</v>
      </c>
      <c r="N555" s="8" t="str">
        <f>VLOOKUP(K555,tblCountries[],3,0)</f>
        <v>South Amer.</v>
      </c>
      <c r="O555" s="8">
        <f>VLOOKUP(tblSalaries[[#This Row],[How many hours of a day you work on Excel]],tblHours,2,0)</f>
        <v>4</v>
      </c>
      <c r="P555" s="8">
        <f>VLOOKUP(tblSalaries[[#This Row],[clean Country]],tblCountries[],5,0)</f>
        <v>4.1113943410655107</v>
      </c>
      <c r="Q555" s="8">
        <f>IF($Q$1,tblSalaries[[#This Row],[PPP Factor]]*tblSalaries[[#This Row],[Salary in USD]],tblSalaries[[#This Row],[Salary in USD]])</f>
        <v>15600</v>
      </c>
    </row>
    <row r="556" spans="2:17" ht="15" customHeight="1" x14ac:dyDescent="0.25">
      <c r="B556" t="s">
        <v>2559</v>
      </c>
      <c r="C556" s="1">
        <v>41055.25582175926</v>
      </c>
      <c r="D556" s="4">
        <v>35000</v>
      </c>
      <c r="E556">
        <v>35000</v>
      </c>
      <c r="F556" t="s">
        <v>6</v>
      </c>
      <c r="G556">
        <f>tblSalaries[[#This Row],[clean Salary (in local currency)]]*VLOOKUP(tblSalaries[[#This Row],[Currency]],tblXrate[],2,FALSE)</f>
        <v>35000</v>
      </c>
      <c r="H556" t="s">
        <v>663</v>
      </c>
      <c r="I556" t="s">
        <v>20</v>
      </c>
      <c r="J556" t="s">
        <v>15</v>
      </c>
      <c r="K556" t="str">
        <f>VLOOKUP(tblSalaries[[#This Row],[Where do you work]],tblCountries[[Actual]:[Mapping]],2,FALSE)</f>
        <v>USA</v>
      </c>
      <c r="L556" t="s">
        <v>25</v>
      </c>
      <c r="M556">
        <v>7</v>
      </c>
      <c r="N556" s="8" t="str">
        <f>VLOOKUP(K556,tblCountries[],3,0)</f>
        <v>North Amer.</v>
      </c>
      <c r="O556" s="8">
        <f>VLOOKUP(tblSalaries[[#This Row],[How many hours of a day you work on Excel]],tblHours,2,0)</f>
        <v>2</v>
      </c>
      <c r="P556" s="8">
        <f>VLOOKUP(tblSalaries[[#This Row],[clean Country]],tblCountries[],5,0)</f>
        <v>1</v>
      </c>
      <c r="Q556" s="8">
        <f>IF($Q$1,tblSalaries[[#This Row],[PPP Factor]]*tblSalaries[[#This Row],[Salary in USD]],tblSalaries[[#This Row],[Salary in USD]])</f>
        <v>35000</v>
      </c>
    </row>
    <row r="557" spans="2:17" ht="15" customHeight="1" x14ac:dyDescent="0.25">
      <c r="B557" t="s">
        <v>2560</v>
      </c>
      <c r="C557" s="1">
        <v>41055.257037037038</v>
      </c>
      <c r="D557" s="4">
        <v>188000</v>
      </c>
      <c r="E557">
        <v>188000</v>
      </c>
      <c r="F557" t="s">
        <v>6</v>
      </c>
      <c r="G557">
        <f>tblSalaries[[#This Row],[clean Salary (in local currency)]]*VLOOKUP(tblSalaries[[#This Row],[Currency]],tblXrate[],2,FALSE)</f>
        <v>188000</v>
      </c>
      <c r="H557" t="s">
        <v>664</v>
      </c>
      <c r="I557" t="s">
        <v>4001</v>
      </c>
      <c r="J557" t="s">
        <v>15</v>
      </c>
      <c r="K557" t="str">
        <f>VLOOKUP(tblSalaries[[#This Row],[Where do you work]],tblCountries[[Actual]:[Mapping]],2,FALSE)</f>
        <v>USA</v>
      </c>
      <c r="L557" t="s">
        <v>25</v>
      </c>
      <c r="M557">
        <v>20</v>
      </c>
      <c r="N557" s="8" t="str">
        <f>VLOOKUP(K557,tblCountries[],3,0)</f>
        <v>North Amer.</v>
      </c>
      <c r="O557" s="8">
        <f>VLOOKUP(tblSalaries[[#This Row],[How many hours of a day you work on Excel]],tblHours,2,0)</f>
        <v>2</v>
      </c>
      <c r="P557" s="8">
        <f>VLOOKUP(tblSalaries[[#This Row],[clean Country]],tblCountries[],5,0)</f>
        <v>1</v>
      </c>
      <c r="Q557" s="8">
        <f>IF($Q$1,tblSalaries[[#This Row],[PPP Factor]]*tblSalaries[[#This Row],[Salary in USD]],tblSalaries[[#This Row],[Salary in USD]])</f>
        <v>188000</v>
      </c>
    </row>
    <row r="558" spans="2:17" ht="15" customHeight="1" x14ac:dyDescent="0.25">
      <c r="B558" t="s">
        <v>2561</v>
      </c>
      <c r="C558" s="1">
        <v>41055.259872685187</v>
      </c>
      <c r="D558" s="4">
        <v>27500</v>
      </c>
      <c r="E558">
        <v>27500</v>
      </c>
      <c r="F558" t="s">
        <v>6</v>
      </c>
      <c r="G558">
        <f>tblSalaries[[#This Row],[clean Salary (in local currency)]]*VLOOKUP(tblSalaries[[#This Row],[Currency]],tblXrate[],2,FALSE)</f>
        <v>27500</v>
      </c>
      <c r="H558" t="s">
        <v>616</v>
      </c>
      <c r="I558" t="s">
        <v>20</v>
      </c>
      <c r="J558" t="s">
        <v>15</v>
      </c>
      <c r="K558" t="str">
        <f>VLOOKUP(tblSalaries[[#This Row],[Where do you work]],tblCountries[[Actual]:[Mapping]],2,FALSE)</f>
        <v>USA</v>
      </c>
      <c r="L558" t="s">
        <v>13</v>
      </c>
      <c r="M558">
        <v>1</v>
      </c>
      <c r="N558" s="8" t="str">
        <f>VLOOKUP(K558,tblCountries[],3,0)</f>
        <v>North Amer.</v>
      </c>
      <c r="O558" s="8">
        <f>VLOOKUP(tblSalaries[[#This Row],[How many hours of a day you work on Excel]],tblHours,2,0)</f>
        <v>5</v>
      </c>
      <c r="P558" s="8">
        <f>VLOOKUP(tblSalaries[[#This Row],[clean Country]],tblCountries[],5,0)</f>
        <v>1</v>
      </c>
      <c r="Q558" s="8">
        <f>IF($Q$1,tblSalaries[[#This Row],[PPP Factor]]*tblSalaries[[#This Row],[Salary in USD]],tblSalaries[[#This Row],[Salary in USD]])</f>
        <v>27500</v>
      </c>
    </row>
    <row r="559" spans="2:17" ht="15" customHeight="1" x14ac:dyDescent="0.25">
      <c r="B559" t="s">
        <v>2562</v>
      </c>
      <c r="C559" s="1">
        <v>41055.264328703706</v>
      </c>
      <c r="D559" s="4">
        <v>140000</v>
      </c>
      <c r="E559">
        <v>140000</v>
      </c>
      <c r="F559" t="s">
        <v>6</v>
      </c>
      <c r="G559">
        <f>tblSalaries[[#This Row],[clean Salary (in local currency)]]*VLOOKUP(tblSalaries[[#This Row],[Currency]],tblXrate[],2,FALSE)</f>
        <v>140000</v>
      </c>
      <c r="H559" t="s">
        <v>270</v>
      </c>
      <c r="I559" t="s">
        <v>488</v>
      </c>
      <c r="J559" t="s">
        <v>15</v>
      </c>
      <c r="K559" t="str">
        <f>VLOOKUP(tblSalaries[[#This Row],[Where do you work]],tblCountries[[Actual]:[Mapping]],2,FALSE)</f>
        <v>USA</v>
      </c>
      <c r="L559" t="s">
        <v>18</v>
      </c>
      <c r="M559">
        <v>10</v>
      </c>
      <c r="N559" s="8" t="str">
        <f>VLOOKUP(K559,tblCountries[],3,0)</f>
        <v>North Amer.</v>
      </c>
      <c r="O559" s="8">
        <f>VLOOKUP(tblSalaries[[#This Row],[How many hours of a day you work on Excel]],tblHours,2,0)</f>
        <v>3</v>
      </c>
      <c r="P559" s="8">
        <f>VLOOKUP(tblSalaries[[#This Row],[clean Country]],tblCountries[],5,0)</f>
        <v>1</v>
      </c>
      <c r="Q559" s="8">
        <f>IF($Q$1,tblSalaries[[#This Row],[PPP Factor]]*tblSalaries[[#This Row],[Salary in USD]],tblSalaries[[#This Row],[Salary in USD]])</f>
        <v>140000</v>
      </c>
    </row>
    <row r="560" spans="2:17" ht="15" customHeight="1" x14ac:dyDescent="0.25">
      <c r="B560" t="s">
        <v>2563</v>
      </c>
      <c r="C560" s="1">
        <v>41055.266701388886</v>
      </c>
      <c r="D560" s="4">
        <v>55000</v>
      </c>
      <c r="E560">
        <v>55000</v>
      </c>
      <c r="F560" t="s">
        <v>22</v>
      </c>
      <c r="G560">
        <f>tblSalaries[[#This Row],[clean Salary (in local currency)]]*VLOOKUP(tblSalaries[[#This Row],[Currency]],tblXrate[],2,FALSE)</f>
        <v>69871.969144538423</v>
      </c>
      <c r="H560" t="s">
        <v>647</v>
      </c>
      <c r="I560" t="s">
        <v>20</v>
      </c>
      <c r="J560" t="s">
        <v>628</v>
      </c>
      <c r="K560" t="str">
        <f>VLOOKUP(tblSalaries[[#This Row],[Where do you work]],tblCountries[[Actual]:[Mapping]],2,FALSE)</f>
        <v>Netherlands</v>
      </c>
      <c r="L560" t="s">
        <v>13</v>
      </c>
      <c r="M560">
        <v>6</v>
      </c>
      <c r="N560" s="8" t="str">
        <f>VLOOKUP(K560,tblCountries[],3,0)</f>
        <v>Europe</v>
      </c>
      <c r="O560" s="8">
        <f>VLOOKUP(tblSalaries[[#This Row],[How many hours of a day you work on Excel]],tblHours,2,0)</f>
        <v>5</v>
      </c>
      <c r="P560" s="8">
        <f>VLOOKUP(tblSalaries[[#This Row],[clean Country]],tblCountries[],5,0)</f>
        <v>1.1470734656141099</v>
      </c>
      <c r="Q560" s="8">
        <f>IF($Q$1,tblSalaries[[#This Row],[PPP Factor]]*tblSalaries[[#This Row],[Salary in USD]],tblSalaries[[#This Row],[Salary in USD]])</f>
        <v>69871.969144538423</v>
      </c>
    </row>
    <row r="561" spans="2:17" ht="15" customHeight="1" x14ac:dyDescent="0.25">
      <c r="B561" t="s">
        <v>2564</v>
      </c>
      <c r="C561" s="1">
        <v>41055.278460648151</v>
      </c>
      <c r="D561" s="4">
        <v>45000</v>
      </c>
      <c r="E561">
        <v>45000</v>
      </c>
      <c r="F561" t="s">
        <v>6</v>
      </c>
      <c r="G561">
        <f>tblSalaries[[#This Row],[clean Salary (in local currency)]]*VLOOKUP(tblSalaries[[#This Row],[Currency]],tblXrate[],2,FALSE)</f>
        <v>45000</v>
      </c>
      <c r="H561" t="s">
        <v>665</v>
      </c>
      <c r="I561" t="s">
        <v>20</v>
      </c>
      <c r="J561" t="s">
        <v>15</v>
      </c>
      <c r="K561" t="str">
        <f>VLOOKUP(tblSalaries[[#This Row],[Where do you work]],tblCountries[[Actual]:[Mapping]],2,FALSE)</f>
        <v>USA</v>
      </c>
      <c r="L561" t="s">
        <v>9</v>
      </c>
      <c r="M561">
        <v>2</v>
      </c>
      <c r="N561" s="8" t="str">
        <f>VLOOKUP(K561,tblCountries[],3,0)</f>
        <v>North Amer.</v>
      </c>
      <c r="O561" s="8">
        <f>VLOOKUP(tblSalaries[[#This Row],[How many hours of a day you work on Excel]],tblHours,2,0)</f>
        <v>4</v>
      </c>
      <c r="P561" s="8">
        <f>VLOOKUP(tblSalaries[[#This Row],[clean Country]],tblCountries[],5,0)</f>
        <v>1</v>
      </c>
      <c r="Q561" s="8">
        <f>IF($Q$1,tblSalaries[[#This Row],[PPP Factor]]*tblSalaries[[#This Row],[Salary in USD]],tblSalaries[[#This Row],[Salary in USD]])</f>
        <v>45000</v>
      </c>
    </row>
    <row r="562" spans="2:17" ht="15" customHeight="1" x14ac:dyDescent="0.25">
      <c r="B562" t="s">
        <v>2565</v>
      </c>
      <c r="C562" s="1">
        <v>41055.28197916667</v>
      </c>
      <c r="D562" s="4" t="s">
        <v>666</v>
      </c>
      <c r="E562">
        <v>95000</v>
      </c>
      <c r="F562" t="s">
        <v>6</v>
      </c>
      <c r="G562">
        <f>tblSalaries[[#This Row],[clean Salary (in local currency)]]*VLOOKUP(tblSalaries[[#This Row],[Currency]],tblXrate[],2,FALSE)</f>
        <v>95000</v>
      </c>
      <c r="H562" t="s">
        <v>207</v>
      </c>
      <c r="I562" t="s">
        <v>20</v>
      </c>
      <c r="J562" t="s">
        <v>84</v>
      </c>
      <c r="K562" t="str">
        <f>VLOOKUP(tblSalaries[[#This Row],[Where do you work]],tblCountries[[Actual]:[Mapping]],2,FALSE)</f>
        <v>Australia</v>
      </c>
      <c r="L562" t="s">
        <v>18</v>
      </c>
      <c r="M562">
        <v>11</v>
      </c>
      <c r="N562" s="8" t="str">
        <f>VLOOKUP(K562,tblCountries[],3,0)</f>
        <v>Oceania</v>
      </c>
      <c r="O562" s="8">
        <f>VLOOKUP(tblSalaries[[#This Row],[How many hours of a day you work on Excel]],tblHours,2,0)</f>
        <v>3</v>
      </c>
      <c r="P562" s="8">
        <f>VLOOKUP(tblSalaries[[#This Row],[clean Country]],tblCountries[],5,0)</f>
        <v>1.2026395585822935</v>
      </c>
      <c r="Q562" s="8">
        <f>IF($Q$1,tblSalaries[[#This Row],[PPP Factor]]*tblSalaries[[#This Row],[Salary in USD]],tblSalaries[[#This Row],[Salary in USD]])</f>
        <v>95000</v>
      </c>
    </row>
    <row r="563" spans="2:17" ht="15" customHeight="1" x14ac:dyDescent="0.25">
      <c r="B563" t="s">
        <v>2566</v>
      </c>
      <c r="C563" s="1">
        <v>41055.282638888886</v>
      </c>
      <c r="D563" s="4" t="s">
        <v>667</v>
      </c>
      <c r="E563">
        <v>155000</v>
      </c>
      <c r="F563" t="s">
        <v>82</v>
      </c>
      <c r="G563">
        <f>tblSalaries[[#This Row],[clean Salary (in local currency)]]*VLOOKUP(tblSalaries[[#This Row],[Currency]],tblXrate[],2,FALSE)</f>
        <v>158085.99674240855</v>
      </c>
      <c r="H563" t="s">
        <v>668</v>
      </c>
      <c r="I563" t="s">
        <v>52</v>
      </c>
      <c r="J563" t="s">
        <v>84</v>
      </c>
      <c r="K563" t="str">
        <f>VLOOKUP(tblSalaries[[#This Row],[Where do you work]],tblCountries[[Actual]:[Mapping]],2,FALSE)</f>
        <v>Australia</v>
      </c>
      <c r="L563" t="s">
        <v>9</v>
      </c>
      <c r="M563">
        <v>20</v>
      </c>
      <c r="N563" s="8" t="str">
        <f>VLOOKUP(K563,tblCountries[],3,0)</f>
        <v>Oceania</v>
      </c>
      <c r="O563" s="8">
        <f>VLOOKUP(tblSalaries[[#This Row],[How many hours of a day you work on Excel]],tblHours,2,0)</f>
        <v>4</v>
      </c>
      <c r="P563" s="8">
        <f>VLOOKUP(tblSalaries[[#This Row],[clean Country]],tblCountries[],5,0)</f>
        <v>1.2026395585822935</v>
      </c>
      <c r="Q563" s="8">
        <f>IF($Q$1,tblSalaries[[#This Row],[PPP Factor]]*tblSalaries[[#This Row],[Salary in USD]],tblSalaries[[#This Row],[Salary in USD]])</f>
        <v>158085.99674240855</v>
      </c>
    </row>
    <row r="564" spans="2:17" ht="15" customHeight="1" x14ac:dyDescent="0.25">
      <c r="B564" t="s">
        <v>2567</v>
      </c>
      <c r="C564" s="1">
        <v>41055.283321759256</v>
      </c>
      <c r="D564" s="4" t="s">
        <v>669</v>
      </c>
      <c r="E564">
        <v>80000</v>
      </c>
      <c r="F564" t="s">
        <v>670</v>
      </c>
      <c r="G564">
        <f>tblSalaries[[#This Row],[clean Salary (in local currency)]]*VLOOKUP(tblSalaries[[#This Row],[Currency]],tblXrate[],2,FALSE)</f>
        <v>63807.047488395103</v>
      </c>
      <c r="H564" t="s">
        <v>671</v>
      </c>
      <c r="I564" t="s">
        <v>20</v>
      </c>
      <c r="J564" t="s">
        <v>672</v>
      </c>
      <c r="K564" t="str">
        <f>VLOOKUP(tblSalaries[[#This Row],[Where do you work]],tblCountries[[Actual]:[Mapping]],2,FALSE)</f>
        <v>New Zealand</v>
      </c>
      <c r="L564" t="s">
        <v>9</v>
      </c>
      <c r="M564">
        <v>23</v>
      </c>
      <c r="N564" s="8" t="str">
        <f>VLOOKUP(K564,tblCountries[],3,0)</f>
        <v>Oceania</v>
      </c>
      <c r="O564" s="8">
        <f>VLOOKUP(tblSalaries[[#This Row],[How many hours of a day you work on Excel]],tblHours,2,0)</f>
        <v>4</v>
      </c>
      <c r="P564" s="8">
        <f>VLOOKUP(tblSalaries[[#This Row],[clean Country]],tblCountries[],5,0)</f>
        <v>1.7488434292323261</v>
      </c>
      <c r="Q564" s="8">
        <f>IF($Q$1,tblSalaries[[#This Row],[PPP Factor]]*tblSalaries[[#This Row],[Salary in USD]],tblSalaries[[#This Row],[Salary in USD]])</f>
        <v>63807.047488395103</v>
      </c>
    </row>
    <row r="565" spans="2:17" ht="15" customHeight="1" x14ac:dyDescent="0.25">
      <c r="B565" t="s">
        <v>2568</v>
      </c>
      <c r="C565" s="1">
        <v>41055.284988425927</v>
      </c>
      <c r="D565" s="4">
        <v>38000</v>
      </c>
      <c r="E565">
        <v>38000</v>
      </c>
      <c r="F565" t="s">
        <v>6</v>
      </c>
      <c r="G565">
        <f>tblSalaries[[#This Row],[clean Salary (in local currency)]]*VLOOKUP(tblSalaries[[#This Row],[Currency]],tblXrate[],2,FALSE)</f>
        <v>38000</v>
      </c>
      <c r="H565" t="s">
        <v>673</v>
      </c>
      <c r="I565" t="s">
        <v>20</v>
      </c>
      <c r="J565" t="s">
        <v>15</v>
      </c>
      <c r="K565" t="str">
        <f>VLOOKUP(tblSalaries[[#This Row],[Where do you work]],tblCountries[[Actual]:[Mapping]],2,FALSE)</f>
        <v>USA</v>
      </c>
      <c r="L565" t="s">
        <v>13</v>
      </c>
      <c r="M565">
        <v>11</v>
      </c>
      <c r="N565" s="8" t="str">
        <f>VLOOKUP(K565,tblCountries[],3,0)</f>
        <v>North Amer.</v>
      </c>
      <c r="O565" s="8">
        <f>VLOOKUP(tblSalaries[[#This Row],[How many hours of a day you work on Excel]],tblHours,2,0)</f>
        <v>5</v>
      </c>
      <c r="P565" s="8">
        <f>VLOOKUP(tblSalaries[[#This Row],[clean Country]],tblCountries[],5,0)</f>
        <v>1</v>
      </c>
      <c r="Q565" s="8">
        <f>IF($Q$1,tblSalaries[[#This Row],[PPP Factor]]*tblSalaries[[#This Row],[Salary in USD]],tblSalaries[[#This Row],[Salary in USD]])</f>
        <v>38000</v>
      </c>
    </row>
    <row r="566" spans="2:17" ht="15" customHeight="1" x14ac:dyDescent="0.25">
      <c r="B566" t="s">
        <v>2569</v>
      </c>
      <c r="C566" s="1">
        <v>41055.287962962961</v>
      </c>
      <c r="D566" s="4">
        <v>90000</v>
      </c>
      <c r="E566">
        <v>90000</v>
      </c>
      <c r="F566" t="s">
        <v>6</v>
      </c>
      <c r="G566">
        <f>tblSalaries[[#This Row],[clean Salary (in local currency)]]*VLOOKUP(tblSalaries[[#This Row],[Currency]],tblXrate[],2,FALSE)</f>
        <v>90000</v>
      </c>
      <c r="H566" t="s">
        <v>674</v>
      </c>
      <c r="I566" t="s">
        <v>52</v>
      </c>
      <c r="J566" t="s">
        <v>15</v>
      </c>
      <c r="K566" t="str">
        <f>VLOOKUP(tblSalaries[[#This Row],[Where do you work]],tblCountries[[Actual]:[Mapping]],2,FALSE)</f>
        <v>USA</v>
      </c>
      <c r="L566" t="s">
        <v>9</v>
      </c>
      <c r="M566">
        <v>6</v>
      </c>
      <c r="N566" s="8" t="str">
        <f>VLOOKUP(K566,tblCountries[],3,0)</f>
        <v>North Amer.</v>
      </c>
      <c r="O566" s="8">
        <f>VLOOKUP(tblSalaries[[#This Row],[How many hours of a day you work on Excel]],tblHours,2,0)</f>
        <v>4</v>
      </c>
      <c r="P566" s="8">
        <f>VLOOKUP(tblSalaries[[#This Row],[clean Country]],tblCountries[],5,0)</f>
        <v>1</v>
      </c>
      <c r="Q566" s="8">
        <f>IF($Q$1,tblSalaries[[#This Row],[PPP Factor]]*tblSalaries[[#This Row],[Salary in USD]],tblSalaries[[#This Row],[Salary in USD]])</f>
        <v>90000</v>
      </c>
    </row>
    <row r="567" spans="2:17" ht="15" customHeight="1" x14ac:dyDescent="0.25">
      <c r="B567" t="s">
        <v>2570</v>
      </c>
      <c r="C567" s="1">
        <v>41055.289687500001</v>
      </c>
      <c r="D567" s="4" t="s">
        <v>675</v>
      </c>
      <c r="E567">
        <v>28800</v>
      </c>
      <c r="F567" t="s">
        <v>69</v>
      </c>
      <c r="G567">
        <f>tblSalaries[[#This Row],[clean Salary (in local currency)]]*VLOOKUP(tblSalaries[[#This Row],[Currency]],tblXrate[],2,FALSE)</f>
        <v>45393.934235537781</v>
      </c>
      <c r="H567" t="s">
        <v>642</v>
      </c>
      <c r="I567" t="s">
        <v>52</v>
      </c>
      <c r="J567" t="s">
        <v>71</v>
      </c>
      <c r="K567" t="str">
        <f>VLOOKUP(tblSalaries[[#This Row],[Where do you work]],tblCountries[[Actual]:[Mapping]],2,FALSE)</f>
        <v>UK</v>
      </c>
      <c r="L567" t="s">
        <v>9</v>
      </c>
      <c r="M567">
        <v>27</v>
      </c>
      <c r="N567" s="8" t="str">
        <f>VLOOKUP(K567,tblCountries[],3,0)</f>
        <v>Europe</v>
      </c>
      <c r="O567" s="8">
        <f>VLOOKUP(tblSalaries[[#This Row],[How many hours of a day you work on Excel]],tblHours,2,0)</f>
        <v>4</v>
      </c>
      <c r="P567" s="8">
        <f>VLOOKUP(tblSalaries[[#This Row],[clean Country]],tblCountries[],5,0)</f>
        <v>1.3407315045719035</v>
      </c>
      <c r="Q567" s="8">
        <f>IF($Q$1,tblSalaries[[#This Row],[PPP Factor]]*tblSalaries[[#This Row],[Salary in USD]],tblSalaries[[#This Row],[Salary in USD]])</f>
        <v>45393.934235537781</v>
      </c>
    </row>
    <row r="568" spans="2:17" ht="15" customHeight="1" x14ac:dyDescent="0.25">
      <c r="B568" t="s">
        <v>2571</v>
      </c>
      <c r="C568" s="1">
        <v>41055.29247685185</v>
      </c>
      <c r="D568" s="4" t="s">
        <v>676</v>
      </c>
      <c r="E568">
        <v>21000</v>
      </c>
      <c r="F568" t="s">
        <v>69</v>
      </c>
      <c r="G568">
        <f>tblSalaries[[#This Row],[clean Salary (in local currency)]]*VLOOKUP(tblSalaries[[#This Row],[Currency]],tblXrate[],2,FALSE)</f>
        <v>33099.743713412965</v>
      </c>
      <c r="H568" t="s">
        <v>108</v>
      </c>
      <c r="I568" t="s">
        <v>20</v>
      </c>
      <c r="J568" t="s">
        <v>71</v>
      </c>
      <c r="K568" t="str">
        <f>VLOOKUP(tblSalaries[[#This Row],[Where do you work]],tblCountries[[Actual]:[Mapping]],2,FALSE)</f>
        <v>UK</v>
      </c>
      <c r="L568" t="s">
        <v>13</v>
      </c>
      <c r="M568">
        <v>10</v>
      </c>
      <c r="N568" s="8" t="str">
        <f>VLOOKUP(K568,tblCountries[],3,0)</f>
        <v>Europe</v>
      </c>
      <c r="O568" s="8">
        <f>VLOOKUP(tblSalaries[[#This Row],[How many hours of a day you work on Excel]],tblHours,2,0)</f>
        <v>5</v>
      </c>
      <c r="P568" s="8">
        <f>VLOOKUP(tblSalaries[[#This Row],[clean Country]],tblCountries[],5,0)</f>
        <v>1.3407315045719035</v>
      </c>
      <c r="Q568" s="8">
        <f>IF($Q$1,tblSalaries[[#This Row],[PPP Factor]]*tblSalaries[[#This Row],[Salary in USD]],tblSalaries[[#This Row],[Salary in USD]])</f>
        <v>33099.743713412965</v>
      </c>
    </row>
    <row r="569" spans="2:17" ht="15" customHeight="1" x14ac:dyDescent="0.25">
      <c r="B569" t="s">
        <v>2572</v>
      </c>
      <c r="C569" s="1">
        <v>41055.296412037038</v>
      </c>
      <c r="D569" s="4" t="s">
        <v>677</v>
      </c>
      <c r="E569">
        <v>4285</v>
      </c>
      <c r="F569" t="s">
        <v>6</v>
      </c>
      <c r="G569">
        <f>tblSalaries[[#This Row],[clean Salary (in local currency)]]*VLOOKUP(tblSalaries[[#This Row],[Currency]],tblXrate[],2,FALSE)</f>
        <v>4285</v>
      </c>
      <c r="H569" t="s">
        <v>678</v>
      </c>
      <c r="I569" t="s">
        <v>20</v>
      </c>
      <c r="J569" t="s">
        <v>8</v>
      </c>
      <c r="K569" t="str">
        <f>VLOOKUP(tblSalaries[[#This Row],[Where do you work]],tblCountries[[Actual]:[Mapping]],2,FALSE)</f>
        <v>India</v>
      </c>
      <c r="L569" t="s">
        <v>13</v>
      </c>
      <c r="M569">
        <v>6</v>
      </c>
      <c r="N569" s="8" t="str">
        <f>VLOOKUP(K569,tblCountries[],3,0)</f>
        <v>Asia</v>
      </c>
      <c r="O569" s="8">
        <f>VLOOKUP(tblSalaries[[#This Row],[How many hours of a day you work on Excel]],tblHours,2,0)</f>
        <v>5</v>
      </c>
      <c r="P569" s="8">
        <f>VLOOKUP(tblSalaries[[#This Row],[clean Country]],tblCountries[],5,0)</f>
        <v>13.098808879263672</v>
      </c>
      <c r="Q569" s="8">
        <f>IF($Q$1,tblSalaries[[#This Row],[PPP Factor]]*tblSalaries[[#This Row],[Salary in USD]],tblSalaries[[#This Row],[Salary in USD]])</f>
        <v>4285</v>
      </c>
    </row>
    <row r="570" spans="2:17" ht="15" customHeight="1" x14ac:dyDescent="0.25">
      <c r="B570" t="s">
        <v>2573</v>
      </c>
      <c r="C570" s="1">
        <v>41055.301412037035</v>
      </c>
      <c r="D570" s="4">
        <v>6000</v>
      </c>
      <c r="E570">
        <v>6000</v>
      </c>
      <c r="F570" t="s">
        <v>6</v>
      </c>
      <c r="G570">
        <f>tblSalaries[[#This Row],[clean Salary (in local currency)]]*VLOOKUP(tblSalaries[[#This Row],[Currency]],tblXrate[],2,FALSE)</f>
        <v>6000</v>
      </c>
      <c r="H570" t="s">
        <v>679</v>
      </c>
      <c r="I570" t="s">
        <v>52</v>
      </c>
      <c r="J570" t="s">
        <v>680</v>
      </c>
      <c r="K570" t="str">
        <f>VLOOKUP(tblSalaries[[#This Row],[Where do you work]],tblCountries[[Actual]:[Mapping]],2,FALSE)</f>
        <v>Guyana</v>
      </c>
      <c r="L570" t="s">
        <v>25</v>
      </c>
      <c r="M570">
        <v>20</v>
      </c>
      <c r="N570" s="8" t="str">
        <f>VLOOKUP(K570,tblCountries[],3,0)</f>
        <v>South Amer.</v>
      </c>
      <c r="O570" s="8">
        <f>VLOOKUP(tblSalaries[[#This Row],[How many hours of a day you work on Excel]],tblHours,2,0)</f>
        <v>2</v>
      </c>
      <c r="P570" s="8">
        <f>VLOOKUP(tblSalaries[[#This Row],[clean Country]],tblCountries[],5,0)</f>
        <v>6.4809804446825607</v>
      </c>
      <c r="Q570" s="8">
        <f>IF($Q$1,tblSalaries[[#This Row],[PPP Factor]]*tblSalaries[[#This Row],[Salary in USD]],tblSalaries[[#This Row],[Salary in USD]])</f>
        <v>6000</v>
      </c>
    </row>
    <row r="571" spans="2:17" ht="15" customHeight="1" x14ac:dyDescent="0.25">
      <c r="B571" t="s">
        <v>2574</v>
      </c>
      <c r="C571" s="1">
        <v>41055.30263888889</v>
      </c>
      <c r="D571" s="4" t="s">
        <v>681</v>
      </c>
      <c r="E571">
        <v>22000</v>
      </c>
      <c r="F571" t="s">
        <v>82</v>
      </c>
      <c r="G571">
        <f>tblSalaries[[#This Row],[clean Salary (in local currency)]]*VLOOKUP(tblSalaries[[#This Row],[Currency]],tblXrate[],2,FALSE)</f>
        <v>22438.012440857987</v>
      </c>
      <c r="H571" t="s">
        <v>108</v>
      </c>
      <c r="I571" t="s">
        <v>20</v>
      </c>
      <c r="J571" t="s">
        <v>84</v>
      </c>
      <c r="K571" t="str">
        <f>VLOOKUP(tblSalaries[[#This Row],[Where do you work]],tblCountries[[Actual]:[Mapping]],2,FALSE)</f>
        <v>Australia</v>
      </c>
      <c r="L571" t="s">
        <v>9</v>
      </c>
      <c r="M571">
        <v>8</v>
      </c>
      <c r="N571" s="8" t="str">
        <f>VLOOKUP(K571,tblCountries[],3,0)</f>
        <v>Oceania</v>
      </c>
      <c r="O571" s="8">
        <f>VLOOKUP(tblSalaries[[#This Row],[How many hours of a day you work on Excel]],tblHours,2,0)</f>
        <v>4</v>
      </c>
      <c r="P571" s="8">
        <f>VLOOKUP(tblSalaries[[#This Row],[clean Country]],tblCountries[],5,0)</f>
        <v>1.2026395585822935</v>
      </c>
      <c r="Q571" s="8">
        <f>IF($Q$1,tblSalaries[[#This Row],[PPP Factor]]*tblSalaries[[#This Row],[Salary in USD]],tblSalaries[[#This Row],[Salary in USD]])</f>
        <v>22438.012440857987</v>
      </c>
    </row>
    <row r="572" spans="2:17" ht="15" customHeight="1" x14ac:dyDescent="0.25">
      <c r="B572" t="s">
        <v>2575</v>
      </c>
      <c r="C572" s="1">
        <v>41055.304826388892</v>
      </c>
      <c r="D572" s="4">
        <v>90000</v>
      </c>
      <c r="E572">
        <v>90000</v>
      </c>
      <c r="F572" t="s">
        <v>6</v>
      </c>
      <c r="G572">
        <f>tblSalaries[[#This Row],[clean Salary (in local currency)]]*VLOOKUP(tblSalaries[[#This Row],[Currency]],tblXrate[],2,FALSE)</f>
        <v>90000</v>
      </c>
      <c r="H572" t="s">
        <v>52</v>
      </c>
      <c r="I572" t="s">
        <v>52</v>
      </c>
      <c r="J572" t="s">
        <v>15</v>
      </c>
      <c r="K572" t="str">
        <f>VLOOKUP(tblSalaries[[#This Row],[Where do you work]],tblCountries[[Actual]:[Mapping]],2,FALSE)</f>
        <v>USA</v>
      </c>
      <c r="L572" t="s">
        <v>18</v>
      </c>
      <c r="M572">
        <v>15</v>
      </c>
      <c r="N572" s="8" t="str">
        <f>VLOOKUP(K572,tblCountries[],3,0)</f>
        <v>North Amer.</v>
      </c>
      <c r="O572" s="8">
        <f>VLOOKUP(tblSalaries[[#This Row],[How many hours of a day you work on Excel]],tblHours,2,0)</f>
        <v>3</v>
      </c>
      <c r="P572" s="8">
        <f>VLOOKUP(tblSalaries[[#This Row],[clean Country]],tblCountries[],5,0)</f>
        <v>1</v>
      </c>
      <c r="Q572" s="8">
        <f>IF($Q$1,tblSalaries[[#This Row],[PPP Factor]]*tblSalaries[[#This Row],[Salary in USD]],tblSalaries[[#This Row],[Salary in USD]])</f>
        <v>90000</v>
      </c>
    </row>
    <row r="573" spans="2:17" ht="15" customHeight="1" x14ac:dyDescent="0.25">
      <c r="B573" t="s">
        <v>2576</v>
      </c>
      <c r="C573" s="1">
        <v>41055.307766203703</v>
      </c>
      <c r="D573" s="4">
        <v>150000</v>
      </c>
      <c r="E573">
        <v>150000</v>
      </c>
      <c r="F573" t="s">
        <v>6</v>
      </c>
      <c r="G573">
        <f>tblSalaries[[#This Row],[clean Salary (in local currency)]]*VLOOKUP(tblSalaries[[#This Row],[Currency]],tblXrate[],2,FALSE)</f>
        <v>150000</v>
      </c>
      <c r="H573" t="s">
        <v>29</v>
      </c>
      <c r="I573" t="s">
        <v>4001</v>
      </c>
      <c r="J573" t="s">
        <v>15</v>
      </c>
      <c r="K573" t="str">
        <f>VLOOKUP(tblSalaries[[#This Row],[Where do you work]],tblCountries[[Actual]:[Mapping]],2,FALSE)</f>
        <v>USA</v>
      </c>
      <c r="L573" t="s">
        <v>9</v>
      </c>
      <c r="M573">
        <v>22</v>
      </c>
      <c r="N573" s="8" t="str">
        <f>VLOOKUP(K573,tblCountries[],3,0)</f>
        <v>North Amer.</v>
      </c>
      <c r="O573" s="8">
        <f>VLOOKUP(tblSalaries[[#This Row],[How many hours of a day you work on Excel]],tblHours,2,0)</f>
        <v>4</v>
      </c>
      <c r="P573" s="8">
        <f>VLOOKUP(tblSalaries[[#This Row],[clean Country]],tblCountries[],5,0)</f>
        <v>1</v>
      </c>
      <c r="Q573" s="8">
        <f>IF($Q$1,tblSalaries[[#This Row],[PPP Factor]]*tblSalaries[[#This Row],[Salary in USD]],tblSalaries[[#This Row],[Salary in USD]])</f>
        <v>150000</v>
      </c>
    </row>
    <row r="574" spans="2:17" ht="15" customHeight="1" x14ac:dyDescent="0.25">
      <c r="B574" t="s">
        <v>2577</v>
      </c>
      <c r="C574" s="1">
        <v>41055.314108796294</v>
      </c>
      <c r="D574" s="4">
        <v>130000</v>
      </c>
      <c r="E574">
        <v>130000</v>
      </c>
      <c r="F574" t="s">
        <v>82</v>
      </c>
      <c r="G574">
        <f>tblSalaries[[#This Row],[clean Salary (in local currency)]]*VLOOKUP(tblSalaries[[#This Row],[Currency]],tblXrate[],2,FALSE)</f>
        <v>132588.25533234264</v>
      </c>
      <c r="H574" t="s">
        <v>310</v>
      </c>
      <c r="I574" t="s">
        <v>310</v>
      </c>
      <c r="J574" t="s">
        <v>84</v>
      </c>
      <c r="K574" t="str">
        <f>VLOOKUP(tblSalaries[[#This Row],[Where do you work]],tblCountries[[Actual]:[Mapping]],2,FALSE)</f>
        <v>Australia</v>
      </c>
      <c r="L574" t="s">
        <v>18</v>
      </c>
      <c r="M574">
        <v>27</v>
      </c>
      <c r="N574" s="8" t="str">
        <f>VLOOKUP(K574,tblCountries[],3,0)</f>
        <v>Oceania</v>
      </c>
      <c r="O574" s="8">
        <f>VLOOKUP(tblSalaries[[#This Row],[How many hours of a day you work on Excel]],tblHours,2,0)</f>
        <v>3</v>
      </c>
      <c r="P574" s="8">
        <f>VLOOKUP(tblSalaries[[#This Row],[clean Country]],tblCountries[],5,0)</f>
        <v>1.2026395585822935</v>
      </c>
      <c r="Q574" s="8">
        <f>IF($Q$1,tblSalaries[[#This Row],[PPP Factor]]*tblSalaries[[#This Row],[Salary in USD]],tblSalaries[[#This Row],[Salary in USD]])</f>
        <v>132588.25533234264</v>
      </c>
    </row>
    <row r="575" spans="2:17" ht="15" customHeight="1" x14ac:dyDescent="0.25">
      <c r="B575" t="s">
        <v>2578</v>
      </c>
      <c r="C575" s="1">
        <v>41055.316932870373</v>
      </c>
      <c r="D575" s="4">
        <v>45000</v>
      </c>
      <c r="E575">
        <v>45000</v>
      </c>
      <c r="F575" t="s">
        <v>6</v>
      </c>
      <c r="G575">
        <f>tblSalaries[[#This Row],[clean Salary (in local currency)]]*VLOOKUP(tblSalaries[[#This Row],[Currency]],tblXrate[],2,FALSE)</f>
        <v>45000</v>
      </c>
      <c r="H575" t="s">
        <v>42</v>
      </c>
      <c r="I575" t="s">
        <v>20</v>
      </c>
      <c r="J575" t="s">
        <v>15</v>
      </c>
      <c r="K575" t="str">
        <f>VLOOKUP(tblSalaries[[#This Row],[Where do you work]],tblCountries[[Actual]:[Mapping]],2,FALSE)</f>
        <v>USA</v>
      </c>
      <c r="L575" t="s">
        <v>9</v>
      </c>
      <c r="M575">
        <v>3</v>
      </c>
      <c r="N575" s="8" t="str">
        <f>VLOOKUP(K575,tblCountries[],3,0)</f>
        <v>North Amer.</v>
      </c>
      <c r="O575" s="8">
        <f>VLOOKUP(tblSalaries[[#This Row],[How many hours of a day you work on Excel]],tblHours,2,0)</f>
        <v>4</v>
      </c>
      <c r="P575" s="8">
        <f>VLOOKUP(tblSalaries[[#This Row],[clean Country]],tblCountries[],5,0)</f>
        <v>1</v>
      </c>
      <c r="Q575" s="8">
        <f>IF($Q$1,tblSalaries[[#This Row],[PPP Factor]]*tblSalaries[[#This Row],[Salary in USD]],tblSalaries[[#This Row],[Salary in USD]])</f>
        <v>45000</v>
      </c>
    </row>
    <row r="576" spans="2:17" ht="15" customHeight="1" x14ac:dyDescent="0.25">
      <c r="B576" t="s">
        <v>2579</v>
      </c>
      <c r="C576" s="1">
        <v>41055.317974537036</v>
      </c>
      <c r="D576" s="4">
        <v>50000</v>
      </c>
      <c r="E576">
        <v>50000</v>
      </c>
      <c r="F576" t="s">
        <v>6</v>
      </c>
      <c r="G576">
        <f>tblSalaries[[#This Row],[clean Salary (in local currency)]]*VLOOKUP(tblSalaries[[#This Row],[Currency]],tblXrate[],2,FALSE)</f>
        <v>50000</v>
      </c>
      <c r="H576" t="s">
        <v>660</v>
      </c>
      <c r="I576" t="s">
        <v>67</v>
      </c>
      <c r="J576" t="s">
        <v>15</v>
      </c>
      <c r="K576" t="str">
        <f>VLOOKUP(tblSalaries[[#This Row],[Where do you work]],tblCountries[[Actual]:[Mapping]],2,FALSE)</f>
        <v>USA</v>
      </c>
      <c r="L576" t="s">
        <v>18</v>
      </c>
      <c r="M576">
        <v>10</v>
      </c>
      <c r="N576" s="8" t="str">
        <f>VLOOKUP(K576,tblCountries[],3,0)</f>
        <v>North Amer.</v>
      </c>
      <c r="O576" s="8">
        <f>VLOOKUP(tblSalaries[[#This Row],[How many hours of a day you work on Excel]],tblHours,2,0)</f>
        <v>3</v>
      </c>
      <c r="P576" s="8">
        <f>VLOOKUP(tblSalaries[[#This Row],[clean Country]],tblCountries[],5,0)</f>
        <v>1</v>
      </c>
      <c r="Q576" s="8">
        <f>IF($Q$1,tblSalaries[[#This Row],[PPP Factor]]*tblSalaries[[#This Row],[Salary in USD]],tblSalaries[[#This Row],[Salary in USD]])</f>
        <v>50000</v>
      </c>
    </row>
    <row r="577" spans="2:17" ht="15" customHeight="1" x14ac:dyDescent="0.25">
      <c r="B577" t="s">
        <v>2580</v>
      </c>
      <c r="C577" s="1">
        <v>41055.322268518517</v>
      </c>
      <c r="D577" s="4">
        <v>300000</v>
      </c>
      <c r="E577">
        <v>300000</v>
      </c>
      <c r="F577" t="s">
        <v>6</v>
      </c>
      <c r="G577">
        <f>tblSalaries[[#This Row],[clean Salary (in local currency)]]*VLOOKUP(tblSalaries[[#This Row],[Currency]],tblXrate[],2,FALSE)</f>
        <v>300000</v>
      </c>
      <c r="H577" t="s">
        <v>682</v>
      </c>
      <c r="I577" t="s">
        <v>4001</v>
      </c>
      <c r="J577" t="s">
        <v>15</v>
      </c>
      <c r="K577" t="str">
        <f>VLOOKUP(tblSalaries[[#This Row],[Where do you work]],tblCountries[[Actual]:[Mapping]],2,FALSE)</f>
        <v>USA</v>
      </c>
      <c r="L577" t="s">
        <v>18</v>
      </c>
      <c r="M577">
        <v>30</v>
      </c>
      <c r="N577" s="8" t="str">
        <f>VLOOKUP(K577,tblCountries[],3,0)</f>
        <v>North Amer.</v>
      </c>
      <c r="O577" s="8">
        <f>VLOOKUP(tblSalaries[[#This Row],[How many hours of a day you work on Excel]],tblHours,2,0)</f>
        <v>3</v>
      </c>
      <c r="P577" s="8">
        <f>VLOOKUP(tblSalaries[[#This Row],[clean Country]],tblCountries[],5,0)</f>
        <v>1</v>
      </c>
      <c r="Q577" s="8">
        <f>IF($Q$1,tblSalaries[[#This Row],[PPP Factor]]*tblSalaries[[#This Row],[Salary in USD]],tblSalaries[[#This Row],[Salary in USD]])</f>
        <v>300000</v>
      </c>
    </row>
    <row r="578" spans="2:17" ht="15" customHeight="1" x14ac:dyDescent="0.25">
      <c r="B578" t="s">
        <v>2581</v>
      </c>
      <c r="C578" s="1">
        <v>41055.325335648151</v>
      </c>
      <c r="D578" s="4">
        <v>102000</v>
      </c>
      <c r="E578">
        <v>102000</v>
      </c>
      <c r="F578" t="s">
        <v>82</v>
      </c>
      <c r="G578">
        <f>tblSalaries[[#This Row],[clean Salary (in local currency)]]*VLOOKUP(tblSalaries[[#This Row],[Currency]],tblXrate[],2,FALSE)</f>
        <v>104030.78495306884</v>
      </c>
      <c r="H578" t="s">
        <v>683</v>
      </c>
      <c r="I578" t="s">
        <v>52</v>
      </c>
      <c r="J578" t="s">
        <v>84</v>
      </c>
      <c r="K578" t="str">
        <f>VLOOKUP(tblSalaries[[#This Row],[Where do you work]],tblCountries[[Actual]:[Mapping]],2,FALSE)</f>
        <v>Australia</v>
      </c>
      <c r="L578" t="s">
        <v>25</v>
      </c>
      <c r="M578">
        <v>10</v>
      </c>
      <c r="N578" s="8" t="str">
        <f>VLOOKUP(K578,tblCountries[],3,0)</f>
        <v>Oceania</v>
      </c>
      <c r="O578" s="8">
        <f>VLOOKUP(tblSalaries[[#This Row],[How many hours of a day you work on Excel]],tblHours,2,0)</f>
        <v>2</v>
      </c>
      <c r="P578" s="8">
        <f>VLOOKUP(tblSalaries[[#This Row],[clean Country]],tblCountries[],5,0)</f>
        <v>1.2026395585822935</v>
      </c>
      <c r="Q578" s="8">
        <f>IF($Q$1,tblSalaries[[#This Row],[PPP Factor]]*tblSalaries[[#This Row],[Salary in USD]],tblSalaries[[#This Row],[Salary in USD]])</f>
        <v>104030.78495306884</v>
      </c>
    </row>
    <row r="579" spans="2:17" ht="15" customHeight="1" x14ac:dyDescent="0.25">
      <c r="B579" t="s">
        <v>2582</v>
      </c>
      <c r="C579" s="1">
        <v>41055.326967592591</v>
      </c>
      <c r="D579" s="4">
        <v>115000</v>
      </c>
      <c r="E579">
        <v>115000</v>
      </c>
      <c r="F579" t="s">
        <v>6</v>
      </c>
      <c r="G579">
        <f>tblSalaries[[#This Row],[clean Salary (in local currency)]]*VLOOKUP(tblSalaries[[#This Row],[Currency]],tblXrate[],2,FALSE)</f>
        <v>115000</v>
      </c>
      <c r="H579" t="s">
        <v>684</v>
      </c>
      <c r="I579" t="s">
        <v>52</v>
      </c>
      <c r="J579" t="s">
        <v>15</v>
      </c>
      <c r="K579" t="str">
        <f>VLOOKUP(tblSalaries[[#This Row],[Where do you work]],tblCountries[[Actual]:[Mapping]],2,FALSE)</f>
        <v>USA</v>
      </c>
      <c r="L579" t="s">
        <v>9</v>
      </c>
      <c r="M579">
        <v>15</v>
      </c>
      <c r="N579" s="8" t="str">
        <f>VLOOKUP(K579,tblCountries[],3,0)</f>
        <v>North Amer.</v>
      </c>
      <c r="O579" s="8">
        <f>VLOOKUP(tblSalaries[[#This Row],[How many hours of a day you work on Excel]],tblHours,2,0)</f>
        <v>4</v>
      </c>
      <c r="P579" s="8">
        <f>VLOOKUP(tblSalaries[[#This Row],[clean Country]],tblCountries[],5,0)</f>
        <v>1</v>
      </c>
      <c r="Q579" s="8">
        <f>IF($Q$1,tblSalaries[[#This Row],[PPP Factor]]*tblSalaries[[#This Row],[Salary in USD]],tblSalaries[[#This Row],[Salary in USD]])</f>
        <v>115000</v>
      </c>
    </row>
    <row r="580" spans="2:17" ht="15" customHeight="1" x14ac:dyDescent="0.25">
      <c r="B580" t="s">
        <v>2583</v>
      </c>
      <c r="C580" s="1">
        <v>41055.328622685185</v>
      </c>
      <c r="D580" s="4">
        <v>70000</v>
      </c>
      <c r="E580">
        <v>70000</v>
      </c>
      <c r="F580" t="s">
        <v>6</v>
      </c>
      <c r="G580">
        <f>tblSalaries[[#This Row],[clean Salary (in local currency)]]*VLOOKUP(tblSalaries[[#This Row],[Currency]],tblXrate[],2,FALSE)</f>
        <v>70000</v>
      </c>
      <c r="H580" t="s">
        <v>14</v>
      </c>
      <c r="I580" t="s">
        <v>20</v>
      </c>
      <c r="J580" t="s">
        <v>15</v>
      </c>
      <c r="K580" t="str">
        <f>VLOOKUP(tblSalaries[[#This Row],[Where do you work]],tblCountries[[Actual]:[Mapping]],2,FALSE)</f>
        <v>USA</v>
      </c>
      <c r="L580" t="s">
        <v>9</v>
      </c>
      <c r="M580">
        <v>3</v>
      </c>
      <c r="N580" s="8" t="str">
        <f>VLOOKUP(K580,tblCountries[],3,0)</f>
        <v>North Amer.</v>
      </c>
      <c r="O580" s="8">
        <f>VLOOKUP(tblSalaries[[#This Row],[How many hours of a day you work on Excel]],tblHours,2,0)</f>
        <v>4</v>
      </c>
      <c r="P580" s="8">
        <f>VLOOKUP(tblSalaries[[#This Row],[clean Country]],tblCountries[],5,0)</f>
        <v>1</v>
      </c>
      <c r="Q580" s="8">
        <f>IF($Q$1,tblSalaries[[#This Row],[PPP Factor]]*tblSalaries[[#This Row],[Salary in USD]],tblSalaries[[#This Row],[Salary in USD]])</f>
        <v>70000</v>
      </c>
    </row>
    <row r="581" spans="2:17" ht="15" customHeight="1" x14ac:dyDescent="0.25">
      <c r="B581" t="s">
        <v>2584</v>
      </c>
      <c r="C581" s="1">
        <v>41055.331296296295</v>
      </c>
      <c r="D581" s="4">
        <v>106000</v>
      </c>
      <c r="E581">
        <v>106000</v>
      </c>
      <c r="F581" t="s">
        <v>82</v>
      </c>
      <c r="G581">
        <f>tblSalaries[[#This Row],[clean Salary (in local currency)]]*VLOOKUP(tblSalaries[[#This Row],[Currency]],tblXrate[],2,FALSE)</f>
        <v>108110.42357867939</v>
      </c>
      <c r="H581" t="s">
        <v>685</v>
      </c>
      <c r="I581" t="s">
        <v>67</v>
      </c>
      <c r="J581" t="s">
        <v>84</v>
      </c>
      <c r="K581" t="str">
        <f>VLOOKUP(tblSalaries[[#This Row],[Where do you work]],tblCountries[[Actual]:[Mapping]],2,FALSE)</f>
        <v>Australia</v>
      </c>
      <c r="L581" t="s">
        <v>9</v>
      </c>
      <c r="M581">
        <v>16</v>
      </c>
      <c r="N581" s="8" t="str">
        <f>VLOOKUP(K581,tblCountries[],3,0)</f>
        <v>Oceania</v>
      </c>
      <c r="O581" s="8">
        <f>VLOOKUP(tblSalaries[[#This Row],[How many hours of a day you work on Excel]],tblHours,2,0)</f>
        <v>4</v>
      </c>
      <c r="P581" s="8">
        <f>VLOOKUP(tblSalaries[[#This Row],[clean Country]],tblCountries[],5,0)</f>
        <v>1.2026395585822935</v>
      </c>
      <c r="Q581" s="8">
        <f>IF($Q$1,tblSalaries[[#This Row],[PPP Factor]]*tblSalaries[[#This Row],[Salary in USD]],tblSalaries[[#This Row],[Salary in USD]])</f>
        <v>108110.42357867939</v>
      </c>
    </row>
    <row r="582" spans="2:17" ht="15" customHeight="1" x14ac:dyDescent="0.25">
      <c r="B582" t="s">
        <v>2585</v>
      </c>
      <c r="C582" s="1">
        <v>41055.334537037037</v>
      </c>
      <c r="D582" s="4">
        <v>75000</v>
      </c>
      <c r="E582">
        <v>75000</v>
      </c>
      <c r="F582" t="s">
        <v>6</v>
      </c>
      <c r="G582">
        <f>tblSalaries[[#This Row],[clean Salary (in local currency)]]*VLOOKUP(tblSalaries[[#This Row],[Currency]],tblXrate[],2,FALSE)</f>
        <v>75000</v>
      </c>
      <c r="H582" t="s">
        <v>686</v>
      </c>
      <c r="I582" t="s">
        <v>20</v>
      </c>
      <c r="J582" t="s">
        <v>15</v>
      </c>
      <c r="K582" t="str">
        <f>VLOOKUP(tblSalaries[[#This Row],[Where do you work]],tblCountries[[Actual]:[Mapping]],2,FALSE)</f>
        <v>USA</v>
      </c>
      <c r="L582" t="s">
        <v>18</v>
      </c>
      <c r="M582">
        <v>25</v>
      </c>
      <c r="N582" s="8" t="str">
        <f>VLOOKUP(K582,tblCountries[],3,0)</f>
        <v>North Amer.</v>
      </c>
      <c r="O582" s="8">
        <f>VLOOKUP(tblSalaries[[#This Row],[How many hours of a day you work on Excel]],tblHours,2,0)</f>
        <v>3</v>
      </c>
      <c r="P582" s="8">
        <f>VLOOKUP(tblSalaries[[#This Row],[clean Country]],tblCountries[],5,0)</f>
        <v>1</v>
      </c>
      <c r="Q582" s="8">
        <f>IF($Q$1,tblSalaries[[#This Row],[PPP Factor]]*tblSalaries[[#This Row],[Salary in USD]],tblSalaries[[#This Row],[Salary in USD]])</f>
        <v>75000</v>
      </c>
    </row>
    <row r="583" spans="2:17" ht="15" customHeight="1" x14ac:dyDescent="0.25">
      <c r="B583" t="s">
        <v>2586</v>
      </c>
      <c r="C583" s="1">
        <v>41055.337071759262</v>
      </c>
      <c r="D583" s="4">
        <v>40414</v>
      </c>
      <c r="E583">
        <v>40414</v>
      </c>
      <c r="F583" t="s">
        <v>6</v>
      </c>
      <c r="G583">
        <f>tblSalaries[[#This Row],[clean Salary (in local currency)]]*VLOOKUP(tblSalaries[[#This Row],[Currency]],tblXrate[],2,FALSE)</f>
        <v>40414</v>
      </c>
      <c r="H583" t="s">
        <v>687</v>
      </c>
      <c r="I583" t="s">
        <v>20</v>
      </c>
      <c r="J583" t="s">
        <v>15</v>
      </c>
      <c r="K583" t="str">
        <f>VLOOKUP(tblSalaries[[#This Row],[Where do you work]],tblCountries[[Actual]:[Mapping]],2,FALSE)</f>
        <v>USA</v>
      </c>
      <c r="L583" t="s">
        <v>9</v>
      </c>
      <c r="M583">
        <v>8</v>
      </c>
      <c r="N583" s="8" t="str">
        <f>VLOOKUP(K583,tblCountries[],3,0)</f>
        <v>North Amer.</v>
      </c>
      <c r="O583" s="8">
        <f>VLOOKUP(tblSalaries[[#This Row],[How many hours of a day you work on Excel]],tblHours,2,0)</f>
        <v>4</v>
      </c>
      <c r="P583" s="8">
        <f>VLOOKUP(tblSalaries[[#This Row],[clean Country]],tblCountries[],5,0)</f>
        <v>1</v>
      </c>
      <c r="Q583" s="8">
        <f>IF($Q$1,tblSalaries[[#This Row],[PPP Factor]]*tblSalaries[[#This Row],[Salary in USD]],tblSalaries[[#This Row],[Salary in USD]])</f>
        <v>40414</v>
      </c>
    </row>
    <row r="584" spans="2:17" ht="15" customHeight="1" x14ac:dyDescent="0.25">
      <c r="B584" t="s">
        <v>2587</v>
      </c>
      <c r="C584" s="1">
        <v>41055.337256944447</v>
      </c>
      <c r="D584" s="4">
        <v>65000</v>
      </c>
      <c r="E584">
        <v>65000</v>
      </c>
      <c r="F584" t="s">
        <v>6</v>
      </c>
      <c r="G584">
        <f>tblSalaries[[#This Row],[clean Salary (in local currency)]]*VLOOKUP(tblSalaries[[#This Row],[Currency]],tblXrate[],2,FALSE)</f>
        <v>65000</v>
      </c>
      <c r="H584" t="s">
        <v>153</v>
      </c>
      <c r="I584" t="s">
        <v>20</v>
      </c>
      <c r="J584" t="s">
        <v>15</v>
      </c>
      <c r="K584" t="str">
        <f>VLOOKUP(tblSalaries[[#This Row],[Where do you work]],tblCountries[[Actual]:[Mapping]],2,FALSE)</f>
        <v>USA</v>
      </c>
      <c r="L584" t="s">
        <v>9</v>
      </c>
      <c r="M584">
        <v>3</v>
      </c>
      <c r="N584" s="8" t="str">
        <f>VLOOKUP(K584,tblCountries[],3,0)</f>
        <v>North Amer.</v>
      </c>
      <c r="O584" s="8">
        <f>VLOOKUP(tblSalaries[[#This Row],[How many hours of a day you work on Excel]],tblHours,2,0)</f>
        <v>4</v>
      </c>
      <c r="P584" s="8">
        <f>VLOOKUP(tblSalaries[[#This Row],[clean Country]],tblCountries[],5,0)</f>
        <v>1</v>
      </c>
      <c r="Q584" s="8">
        <f>IF($Q$1,tblSalaries[[#This Row],[PPP Factor]]*tblSalaries[[#This Row],[Salary in USD]],tblSalaries[[#This Row],[Salary in USD]])</f>
        <v>65000</v>
      </c>
    </row>
    <row r="585" spans="2:17" ht="15" customHeight="1" x14ac:dyDescent="0.25">
      <c r="B585" t="s">
        <v>2588</v>
      </c>
      <c r="C585" s="1">
        <v>41055.339386574073</v>
      </c>
      <c r="D585" s="4">
        <v>120000</v>
      </c>
      <c r="E585">
        <v>120000</v>
      </c>
      <c r="F585" t="s">
        <v>6</v>
      </c>
      <c r="G585">
        <f>tblSalaries[[#This Row],[clean Salary (in local currency)]]*VLOOKUP(tblSalaries[[#This Row],[Currency]],tblXrate[],2,FALSE)</f>
        <v>120000</v>
      </c>
      <c r="H585" t="s">
        <v>688</v>
      </c>
      <c r="I585" t="s">
        <v>20</v>
      </c>
      <c r="J585" t="s">
        <v>15</v>
      </c>
      <c r="K585" t="str">
        <f>VLOOKUP(tblSalaries[[#This Row],[Where do you work]],tblCountries[[Actual]:[Mapping]],2,FALSE)</f>
        <v>USA</v>
      </c>
      <c r="L585" t="s">
        <v>13</v>
      </c>
      <c r="M585">
        <v>7</v>
      </c>
      <c r="N585" s="8" t="str">
        <f>VLOOKUP(K585,tblCountries[],3,0)</f>
        <v>North Amer.</v>
      </c>
      <c r="O585" s="8">
        <f>VLOOKUP(tblSalaries[[#This Row],[How many hours of a day you work on Excel]],tblHours,2,0)</f>
        <v>5</v>
      </c>
      <c r="P585" s="8">
        <f>VLOOKUP(tblSalaries[[#This Row],[clean Country]],tblCountries[],5,0)</f>
        <v>1</v>
      </c>
      <c r="Q585" s="8">
        <f>IF($Q$1,tblSalaries[[#This Row],[PPP Factor]]*tblSalaries[[#This Row],[Salary in USD]],tblSalaries[[#This Row],[Salary in USD]])</f>
        <v>120000</v>
      </c>
    </row>
    <row r="586" spans="2:17" ht="15" customHeight="1" x14ac:dyDescent="0.25">
      <c r="B586" t="s">
        <v>2589</v>
      </c>
      <c r="C586" s="1">
        <v>41055.340775462966</v>
      </c>
      <c r="D586" s="4">
        <v>8000</v>
      </c>
      <c r="E586">
        <v>96000</v>
      </c>
      <c r="F586" t="s">
        <v>3910</v>
      </c>
      <c r="G586">
        <f>tblSalaries[[#This Row],[clean Salary (in local currency)]]*VLOOKUP(tblSalaries[[#This Row],[Currency]],tblXrate[],2,FALSE)</f>
        <v>15092.18020692008</v>
      </c>
      <c r="H586" t="s">
        <v>689</v>
      </c>
      <c r="I586" t="s">
        <v>310</v>
      </c>
      <c r="J586" t="s">
        <v>690</v>
      </c>
      <c r="K586" t="str">
        <f>VLOOKUP(tblSalaries[[#This Row],[Where do you work]],tblCountries[[Actual]:[Mapping]],2,FALSE)</f>
        <v>china</v>
      </c>
      <c r="L586" t="s">
        <v>9</v>
      </c>
      <c r="M586">
        <v>10</v>
      </c>
      <c r="N586" s="8" t="str">
        <f>VLOOKUP(K586,tblCountries[],3,0)</f>
        <v>Asia</v>
      </c>
      <c r="O586" s="8">
        <f>VLOOKUP(tblSalaries[[#This Row],[How many hours of a day you work on Excel]],tblHours,2,0)</f>
        <v>4</v>
      </c>
      <c r="P586" s="8">
        <f>VLOOKUP(tblSalaries[[#This Row],[clean Country]],tblCountries[],5,0)</f>
        <v>5.7727272727272725</v>
      </c>
      <c r="Q586" s="8">
        <f>IF($Q$1,tblSalaries[[#This Row],[PPP Factor]]*tblSalaries[[#This Row],[Salary in USD]],tblSalaries[[#This Row],[Salary in USD]])</f>
        <v>15092.18020692008</v>
      </c>
    </row>
    <row r="587" spans="2:17" ht="15" customHeight="1" x14ac:dyDescent="0.25">
      <c r="B587" t="s">
        <v>2590</v>
      </c>
      <c r="C587" s="1">
        <v>41055.345752314817</v>
      </c>
      <c r="D587" s="4" t="s">
        <v>691</v>
      </c>
      <c r="E587">
        <v>36000</v>
      </c>
      <c r="F587" t="s">
        <v>6</v>
      </c>
      <c r="G587">
        <f>tblSalaries[[#This Row],[clean Salary (in local currency)]]*VLOOKUP(tblSalaries[[#This Row],[Currency]],tblXrate[],2,FALSE)</f>
        <v>36000</v>
      </c>
      <c r="H587" t="s">
        <v>692</v>
      </c>
      <c r="I587" t="s">
        <v>356</v>
      </c>
      <c r="J587" t="s">
        <v>65</v>
      </c>
      <c r="K587" t="str">
        <f>VLOOKUP(tblSalaries[[#This Row],[Where do you work]],tblCountries[[Actual]:[Mapping]],2,FALSE)</f>
        <v>Russia</v>
      </c>
      <c r="L587" t="s">
        <v>13</v>
      </c>
      <c r="M587">
        <v>10</v>
      </c>
      <c r="N587" s="8" t="str">
        <f>VLOOKUP(K587,tblCountries[],3,0)</f>
        <v>Asia</v>
      </c>
      <c r="O587" s="8">
        <f>VLOOKUP(tblSalaries[[#This Row],[How many hours of a day you work on Excel]],tblHours,2,0)</f>
        <v>5</v>
      </c>
      <c r="P587" s="8">
        <f>VLOOKUP(tblSalaries[[#This Row],[clean Country]],tblCountries[],5,0)</f>
        <v>2.8911926386233269</v>
      </c>
      <c r="Q587" s="8">
        <f>IF($Q$1,tblSalaries[[#This Row],[PPP Factor]]*tblSalaries[[#This Row],[Salary in USD]],tblSalaries[[#This Row],[Salary in USD]])</f>
        <v>36000</v>
      </c>
    </row>
    <row r="588" spans="2:17" ht="15" customHeight="1" x14ac:dyDescent="0.25">
      <c r="B588" t="s">
        <v>2591</v>
      </c>
      <c r="C588" s="1">
        <v>41055.354166666664</v>
      </c>
      <c r="D588" s="4" t="s">
        <v>281</v>
      </c>
      <c r="E588">
        <v>50000</v>
      </c>
      <c r="F588" t="s">
        <v>22</v>
      </c>
      <c r="G588">
        <f>tblSalaries[[#This Row],[clean Salary (in local currency)]]*VLOOKUP(tblSalaries[[#This Row],[Currency]],tblXrate[],2,FALSE)</f>
        <v>63519.971949580387</v>
      </c>
      <c r="H588" t="s">
        <v>20</v>
      </c>
      <c r="I588" t="s">
        <v>20</v>
      </c>
      <c r="J588" t="s">
        <v>24</v>
      </c>
      <c r="K588" t="str">
        <f>VLOOKUP(tblSalaries[[#This Row],[Where do you work]],tblCountries[[Actual]:[Mapping]],2,FALSE)</f>
        <v>Germany</v>
      </c>
      <c r="L588" t="s">
        <v>18</v>
      </c>
      <c r="M588">
        <v>4</v>
      </c>
      <c r="N588" s="8" t="str">
        <f>VLOOKUP(K588,tblCountries[],3,0)</f>
        <v>Europe</v>
      </c>
      <c r="O588" s="8">
        <f>VLOOKUP(tblSalaries[[#This Row],[How many hours of a day you work on Excel]],tblHours,2,0)</f>
        <v>3</v>
      </c>
      <c r="P588" s="8">
        <f>VLOOKUP(tblSalaries[[#This Row],[clean Country]],tblCountries[],5,0)</f>
        <v>1.276802913159353</v>
      </c>
      <c r="Q588" s="8">
        <f>IF($Q$1,tblSalaries[[#This Row],[PPP Factor]]*tblSalaries[[#This Row],[Salary in USD]],tblSalaries[[#This Row],[Salary in USD]])</f>
        <v>63519.971949580387</v>
      </c>
    </row>
    <row r="589" spans="2:17" ht="15" customHeight="1" x14ac:dyDescent="0.25">
      <c r="B589" t="s">
        <v>2592</v>
      </c>
      <c r="C589" s="1">
        <v>41055.363275462965</v>
      </c>
      <c r="D589" s="4">
        <v>108000</v>
      </c>
      <c r="E589">
        <v>108000</v>
      </c>
      <c r="F589" t="s">
        <v>6</v>
      </c>
      <c r="G589">
        <f>tblSalaries[[#This Row],[clean Salary (in local currency)]]*VLOOKUP(tblSalaries[[#This Row],[Currency]],tblXrate[],2,FALSE)</f>
        <v>108000</v>
      </c>
      <c r="H589" t="s">
        <v>693</v>
      </c>
      <c r="I589" t="s">
        <v>356</v>
      </c>
      <c r="J589" t="s">
        <v>15</v>
      </c>
      <c r="K589" t="str">
        <f>VLOOKUP(tblSalaries[[#This Row],[Where do you work]],tblCountries[[Actual]:[Mapping]],2,FALSE)</f>
        <v>USA</v>
      </c>
      <c r="L589" t="s">
        <v>18</v>
      </c>
      <c r="M589">
        <v>7</v>
      </c>
      <c r="N589" s="8" t="str">
        <f>VLOOKUP(K589,tblCountries[],3,0)</f>
        <v>North Amer.</v>
      </c>
      <c r="O589" s="8">
        <f>VLOOKUP(tblSalaries[[#This Row],[How many hours of a day you work on Excel]],tblHours,2,0)</f>
        <v>3</v>
      </c>
      <c r="P589" s="8">
        <f>VLOOKUP(tblSalaries[[#This Row],[clean Country]],tblCountries[],5,0)</f>
        <v>1</v>
      </c>
      <c r="Q589" s="8">
        <f>IF($Q$1,tblSalaries[[#This Row],[PPP Factor]]*tblSalaries[[#This Row],[Salary in USD]],tblSalaries[[#This Row],[Salary in USD]])</f>
        <v>108000</v>
      </c>
    </row>
    <row r="590" spans="2:17" ht="15" customHeight="1" x14ac:dyDescent="0.25">
      <c r="B590" t="s">
        <v>2593</v>
      </c>
      <c r="C590" s="1">
        <v>41055.364976851852</v>
      </c>
      <c r="D590" s="4">
        <v>75000</v>
      </c>
      <c r="E590">
        <v>75000</v>
      </c>
      <c r="F590" t="s">
        <v>6</v>
      </c>
      <c r="G590">
        <f>tblSalaries[[#This Row],[clean Salary (in local currency)]]*VLOOKUP(tblSalaries[[#This Row],[Currency]],tblXrate[],2,FALSE)</f>
        <v>75000</v>
      </c>
      <c r="H590" t="s">
        <v>14</v>
      </c>
      <c r="I590" t="s">
        <v>20</v>
      </c>
      <c r="J590" t="s">
        <v>15</v>
      </c>
      <c r="K590" t="str">
        <f>VLOOKUP(tblSalaries[[#This Row],[Where do you work]],tblCountries[[Actual]:[Mapping]],2,FALSE)</f>
        <v>USA</v>
      </c>
      <c r="L590" t="s">
        <v>9</v>
      </c>
      <c r="M590">
        <v>5</v>
      </c>
      <c r="N590" s="8" t="str">
        <f>VLOOKUP(K590,tblCountries[],3,0)</f>
        <v>North Amer.</v>
      </c>
      <c r="O590" s="8">
        <f>VLOOKUP(tblSalaries[[#This Row],[How many hours of a day you work on Excel]],tblHours,2,0)</f>
        <v>4</v>
      </c>
      <c r="P590" s="8">
        <f>VLOOKUP(tblSalaries[[#This Row],[clean Country]],tblCountries[],5,0)</f>
        <v>1</v>
      </c>
      <c r="Q590" s="8">
        <f>IF($Q$1,tblSalaries[[#This Row],[PPP Factor]]*tblSalaries[[#This Row],[Salary in USD]],tblSalaries[[#This Row],[Salary in USD]])</f>
        <v>75000</v>
      </c>
    </row>
    <row r="591" spans="2:17" ht="15" customHeight="1" x14ac:dyDescent="0.25">
      <c r="B591" t="s">
        <v>2594</v>
      </c>
      <c r="C591" s="1">
        <v>41055.368796296294</v>
      </c>
      <c r="D591" s="4" t="s">
        <v>694</v>
      </c>
      <c r="E591">
        <v>400000</v>
      </c>
      <c r="F591" t="s">
        <v>40</v>
      </c>
      <c r="G591">
        <f>tblSalaries[[#This Row],[clean Salary (in local currency)]]*VLOOKUP(tblSalaries[[#This Row],[Currency]],tblXrate[],2,FALSE)</f>
        <v>7123.1666749770275</v>
      </c>
      <c r="H591" t="s">
        <v>695</v>
      </c>
      <c r="I591" t="s">
        <v>52</v>
      </c>
      <c r="J591" t="s">
        <v>8</v>
      </c>
      <c r="K591" t="str">
        <f>VLOOKUP(tblSalaries[[#This Row],[Where do you work]],tblCountries[[Actual]:[Mapping]],2,FALSE)</f>
        <v>India</v>
      </c>
      <c r="L591" t="s">
        <v>25</v>
      </c>
      <c r="M591">
        <v>3</v>
      </c>
      <c r="N591" s="8" t="str">
        <f>VLOOKUP(K591,tblCountries[],3,0)</f>
        <v>Asia</v>
      </c>
      <c r="O591" s="8">
        <f>VLOOKUP(tblSalaries[[#This Row],[How many hours of a day you work on Excel]],tblHours,2,0)</f>
        <v>2</v>
      </c>
      <c r="P591" s="8">
        <f>VLOOKUP(tblSalaries[[#This Row],[clean Country]],tblCountries[],5,0)</f>
        <v>13.098808879263672</v>
      </c>
      <c r="Q591" s="8">
        <f>IF($Q$1,tblSalaries[[#This Row],[PPP Factor]]*tblSalaries[[#This Row],[Salary in USD]],tblSalaries[[#This Row],[Salary in USD]])</f>
        <v>7123.1666749770275</v>
      </c>
    </row>
    <row r="592" spans="2:17" ht="15" customHeight="1" x14ac:dyDescent="0.25">
      <c r="B592" t="s">
        <v>2595</v>
      </c>
      <c r="C592" s="1">
        <v>41055.369444444441</v>
      </c>
      <c r="D592" s="4">
        <v>50000</v>
      </c>
      <c r="E592">
        <v>50000</v>
      </c>
      <c r="F592" t="s">
        <v>6</v>
      </c>
      <c r="G592">
        <f>tblSalaries[[#This Row],[clean Salary (in local currency)]]*VLOOKUP(tblSalaries[[#This Row],[Currency]],tblXrate[],2,FALSE)</f>
        <v>50000</v>
      </c>
      <c r="H592" t="s">
        <v>696</v>
      </c>
      <c r="I592" t="s">
        <v>52</v>
      </c>
      <c r="J592" t="s">
        <v>8</v>
      </c>
      <c r="K592" t="str">
        <f>VLOOKUP(tblSalaries[[#This Row],[Where do you work]],tblCountries[[Actual]:[Mapping]],2,FALSE)</f>
        <v>India</v>
      </c>
      <c r="L592" t="s">
        <v>25</v>
      </c>
      <c r="M592">
        <v>25</v>
      </c>
      <c r="N592" s="8" t="str">
        <f>VLOOKUP(K592,tblCountries[],3,0)</f>
        <v>Asia</v>
      </c>
      <c r="O592" s="8">
        <f>VLOOKUP(tblSalaries[[#This Row],[How many hours of a day you work on Excel]],tblHours,2,0)</f>
        <v>2</v>
      </c>
      <c r="P592" s="8">
        <f>VLOOKUP(tblSalaries[[#This Row],[clean Country]],tblCountries[],5,0)</f>
        <v>13.098808879263672</v>
      </c>
      <c r="Q592" s="8">
        <f>IF($Q$1,tblSalaries[[#This Row],[PPP Factor]]*tblSalaries[[#This Row],[Salary in USD]],tblSalaries[[#This Row],[Salary in USD]])</f>
        <v>50000</v>
      </c>
    </row>
    <row r="593" spans="2:17" ht="15" customHeight="1" x14ac:dyDescent="0.25">
      <c r="B593" t="s">
        <v>2596</v>
      </c>
      <c r="C593" s="1">
        <v>41055.371666666666</v>
      </c>
      <c r="D593" s="4">
        <v>45000</v>
      </c>
      <c r="E593">
        <v>45000</v>
      </c>
      <c r="F593" t="s">
        <v>6</v>
      </c>
      <c r="G593">
        <f>tblSalaries[[#This Row],[clean Salary (in local currency)]]*VLOOKUP(tblSalaries[[#This Row],[Currency]],tblXrate[],2,FALSE)</f>
        <v>45000</v>
      </c>
      <c r="H593" t="s">
        <v>697</v>
      </c>
      <c r="I593" t="s">
        <v>20</v>
      </c>
      <c r="J593" t="s">
        <v>15</v>
      </c>
      <c r="K593" t="str">
        <f>VLOOKUP(tblSalaries[[#This Row],[Where do you work]],tblCountries[[Actual]:[Mapping]],2,FALSE)</f>
        <v>USA</v>
      </c>
      <c r="L593" t="s">
        <v>9</v>
      </c>
      <c r="M593">
        <v>15</v>
      </c>
      <c r="N593" s="8" t="str">
        <f>VLOOKUP(K593,tblCountries[],3,0)</f>
        <v>North Amer.</v>
      </c>
      <c r="O593" s="8">
        <f>VLOOKUP(tblSalaries[[#This Row],[How many hours of a day you work on Excel]],tblHours,2,0)</f>
        <v>4</v>
      </c>
      <c r="P593" s="8">
        <f>VLOOKUP(tblSalaries[[#This Row],[clean Country]],tblCountries[],5,0)</f>
        <v>1</v>
      </c>
      <c r="Q593" s="8">
        <f>IF($Q$1,tblSalaries[[#This Row],[PPP Factor]]*tblSalaries[[#This Row],[Salary in USD]],tblSalaries[[#This Row],[Salary in USD]])</f>
        <v>45000</v>
      </c>
    </row>
    <row r="594" spans="2:17" ht="15" customHeight="1" x14ac:dyDescent="0.25">
      <c r="B594" t="s">
        <v>2597</v>
      </c>
      <c r="C594" s="1">
        <v>41055.371724537035</v>
      </c>
      <c r="D594" s="4">
        <v>45000</v>
      </c>
      <c r="E594">
        <v>45000</v>
      </c>
      <c r="F594" t="s">
        <v>6</v>
      </c>
      <c r="G594">
        <f>tblSalaries[[#This Row],[clean Salary (in local currency)]]*VLOOKUP(tblSalaries[[#This Row],[Currency]],tblXrate[],2,FALSE)</f>
        <v>45000</v>
      </c>
      <c r="H594" t="s">
        <v>698</v>
      </c>
      <c r="I594" t="s">
        <v>310</v>
      </c>
      <c r="J594" t="s">
        <v>15</v>
      </c>
      <c r="K594" t="str">
        <f>VLOOKUP(tblSalaries[[#This Row],[Where do you work]],tblCountries[[Actual]:[Mapping]],2,FALSE)</f>
        <v>USA</v>
      </c>
      <c r="L594" t="s">
        <v>9</v>
      </c>
      <c r="M594">
        <v>7</v>
      </c>
      <c r="N594" s="8" t="str">
        <f>VLOOKUP(K594,tblCountries[],3,0)</f>
        <v>North Amer.</v>
      </c>
      <c r="O594" s="8">
        <f>VLOOKUP(tblSalaries[[#This Row],[How many hours of a day you work on Excel]],tblHours,2,0)</f>
        <v>4</v>
      </c>
      <c r="P594" s="8">
        <f>VLOOKUP(tblSalaries[[#This Row],[clean Country]],tblCountries[],5,0)</f>
        <v>1</v>
      </c>
      <c r="Q594" s="8">
        <f>IF($Q$1,tblSalaries[[#This Row],[PPP Factor]]*tblSalaries[[#This Row],[Salary in USD]],tblSalaries[[#This Row],[Salary in USD]])</f>
        <v>45000</v>
      </c>
    </row>
    <row r="595" spans="2:17" ht="15" customHeight="1" x14ac:dyDescent="0.25">
      <c r="B595" t="s">
        <v>2598</v>
      </c>
      <c r="C595" s="1">
        <v>41055.372372685182</v>
      </c>
      <c r="D595" s="4" t="s">
        <v>699</v>
      </c>
      <c r="E595">
        <v>90000</v>
      </c>
      <c r="F595" t="s">
        <v>6</v>
      </c>
      <c r="G595">
        <f>tblSalaries[[#This Row],[clean Salary (in local currency)]]*VLOOKUP(tblSalaries[[#This Row],[Currency]],tblXrate[],2,FALSE)</f>
        <v>90000</v>
      </c>
      <c r="H595" t="s">
        <v>700</v>
      </c>
      <c r="I595" t="s">
        <v>52</v>
      </c>
      <c r="J595" t="s">
        <v>15</v>
      </c>
      <c r="K595" t="str">
        <f>VLOOKUP(tblSalaries[[#This Row],[Where do you work]],tblCountries[[Actual]:[Mapping]],2,FALSE)</f>
        <v>USA</v>
      </c>
      <c r="L595" t="s">
        <v>18</v>
      </c>
      <c r="M595">
        <v>20</v>
      </c>
      <c r="N595" s="8" t="str">
        <f>VLOOKUP(K595,tblCountries[],3,0)</f>
        <v>North Amer.</v>
      </c>
      <c r="O595" s="8">
        <f>VLOOKUP(tblSalaries[[#This Row],[How many hours of a day you work on Excel]],tblHours,2,0)</f>
        <v>3</v>
      </c>
      <c r="P595" s="8">
        <f>VLOOKUP(tblSalaries[[#This Row],[clean Country]],tblCountries[],5,0)</f>
        <v>1</v>
      </c>
      <c r="Q595" s="8">
        <f>IF($Q$1,tblSalaries[[#This Row],[PPP Factor]]*tblSalaries[[#This Row],[Salary in USD]],tblSalaries[[#This Row],[Salary in USD]])</f>
        <v>90000</v>
      </c>
    </row>
    <row r="596" spans="2:17" ht="15" customHeight="1" x14ac:dyDescent="0.25">
      <c r="B596" t="s">
        <v>2599</v>
      </c>
      <c r="C596" s="1">
        <v>41055.374247685184</v>
      </c>
      <c r="D596" s="4" t="s">
        <v>701</v>
      </c>
      <c r="E596">
        <v>240000</v>
      </c>
      <c r="F596" t="s">
        <v>40</v>
      </c>
      <c r="G596">
        <f>tblSalaries[[#This Row],[clean Salary (in local currency)]]*VLOOKUP(tblSalaries[[#This Row],[Currency]],tblXrate[],2,FALSE)</f>
        <v>4273.9000049862161</v>
      </c>
      <c r="H596" t="s">
        <v>702</v>
      </c>
      <c r="I596" t="s">
        <v>20</v>
      </c>
      <c r="J596" t="s">
        <v>8</v>
      </c>
      <c r="K596" t="str">
        <f>VLOOKUP(tblSalaries[[#This Row],[Where do you work]],tblCountries[[Actual]:[Mapping]],2,FALSE)</f>
        <v>India</v>
      </c>
      <c r="L596" t="s">
        <v>18</v>
      </c>
      <c r="M596">
        <v>5</v>
      </c>
      <c r="N596" s="8" t="str">
        <f>VLOOKUP(K596,tblCountries[],3,0)</f>
        <v>Asia</v>
      </c>
      <c r="O596" s="8">
        <f>VLOOKUP(tblSalaries[[#This Row],[How many hours of a day you work on Excel]],tblHours,2,0)</f>
        <v>3</v>
      </c>
      <c r="P596" s="8">
        <f>VLOOKUP(tblSalaries[[#This Row],[clean Country]],tblCountries[],5,0)</f>
        <v>13.098808879263672</v>
      </c>
      <c r="Q596" s="8">
        <f>IF($Q$1,tblSalaries[[#This Row],[PPP Factor]]*tblSalaries[[#This Row],[Salary in USD]],tblSalaries[[#This Row],[Salary in USD]])</f>
        <v>4273.9000049862161</v>
      </c>
    </row>
    <row r="597" spans="2:17" ht="15" customHeight="1" x14ac:dyDescent="0.25">
      <c r="B597" t="s">
        <v>2600</v>
      </c>
      <c r="C597" s="1">
        <v>41055.394814814812</v>
      </c>
      <c r="D597" s="4">
        <v>50000</v>
      </c>
      <c r="E597">
        <v>50000</v>
      </c>
      <c r="F597" t="s">
        <v>6</v>
      </c>
      <c r="G597">
        <f>tblSalaries[[#This Row],[clean Salary (in local currency)]]*VLOOKUP(tblSalaries[[#This Row],[Currency]],tblXrate[],2,FALSE)</f>
        <v>50000</v>
      </c>
      <c r="H597" t="s">
        <v>703</v>
      </c>
      <c r="I597" t="s">
        <v>52</v>
      </c>
      <c r="J597" t="s">
        <v>8</v>
      </c>
      <c r="K597" t="str">
        <f>VLOOKUP(tblSalaries[[#This Row],[Where do you work]],tblCountries[[Actual]:[Mapping]],2,FALSE)</f>
        <v>India</v>
      </c>
      <c r="L597" t="s">
        <v>25</v>
      </c>
      <c r="M597">
        <v>10</v>
      </c>
      <c r="N597" s="8" t="str">
        <f>VLOOKUP(K597,tblCountries[],3,0)</f>
        <v>Asia</v>
      </c>
      <c r="O597" s="8">
        <f>VLOOKUP(tblSalaries[[#This Row],[How many hours of a day you work on Excel]],tblHours,2,0)</f>
        <v>2</v>
      </c>
      <c r="P597" s="8">
        <f>VLOOKUP(tblSalaries[[#This Row],[clean Country]],tblCountries[],5,0)</f>
        <v>13.098808879263672</v>
      </c>
      <c r="Q597" s="8">
        <f>IF($Q$1,tblSalaries[[#This Row],[PPP Factor]]*tblSalaries[[#This Row],[Salary in USD]],tblSalaries[[#This Row],[Salary in USD]])</f>
        <v>50000</v>
      </c>
    </row>
    <row r="598" spans="2:17" ht="15" customHeight="1" x14ac:dyDescent="0.25">
      <c r="B598" t="s">
        <v>2601</v>
      </c>
      <c r="C598" s="1">
        <v>41055.39502314815</v>
      </c>
      <c r="D598" s="4">
        <v>65000</v>
      </c>
      <c r="E598">
        <v>65000</v>
      </c>
      <c r="F598" t="s">
        <v>6</v>
      </c>
      <c r="G598">
        <f>tblSalaries[[#This Row],[clean Salary (in local currency)]]*VLOOKUP(tblSalaries[[#This Row],[Currency]],tblXrate[],2,FALSE)</f>
        <v>65000</v>
      </c>
      <c r="H598" t="s">
        <v>704</v>
      </c>
      <c r="I598" t="s">
        <v>20</v>
      </c>
      <c r="J598" t="s">
        <v>15</v>
      </c>
      <c r="K598" t="str">
        <f>VLOOKUP(tblSalaries[[#This Row],[Where do you work]],tblCountries[[Actual]:[Mapping]],2,FALSE)</f>
        <v>USA</v>
      </c>
      <c r="L598" t="s">
        <v>18</v>
      </c>
      <c r="M598">
        <v>17</v>
      </c>
      <c r="N598" s="8" t="str">
        <f>VLOOKUP(K598,tblCountries[],3,0)</f>
        <v>North Amer.</v>
      </c>
      <c r="O598" s="8">
        <f>VLOOKUP(tblSalaries[[#This Row],[How many hours of a day you work on Excel]],tblHours,2,0)</f>
        <v>3</v>
      </c>
      <c r="P598" s="8">
        <f>VLOOKUP(tblSalaries[[#This Row],[clean Country]],tblCountries[],5,0)</f>
        <v>1</v>
      </c>
      <c r="Q598" s="8">
        <f>IF($Q$1,tblSalaries[[#This Row],[PPP Factor]]*tblSalaries[[#This Row],[Salary in USD]],tblSalaries[[#This Row],[Salary in USD]])</f>
        <v>65000</v>
      </c>
    </row>
    <row r="599" spans="2:17" ht="15" customHeight="1" x14ac:dyDescent="0.25">
      <c r="B599" t="s">
        <v>2602</v>
      </c>
      <c r="C599" s="1">
        <v>41055.400324074071</v>
      </c>
      <c r="D599" s="4">
        <v>70000</v>
      </c>
      <c r="E599">
        <v>70000</v>
      </c>
      <c r="F599" t="s">
        <v>6</v>
      </c>
      <c r="G599">
        <f>tblSalaries[[#This Row],[clean Salary (in local currency)]]*VLOOKUP(tblSalaries[[#This Row],[Currency]],tblXrate[],2,FALSE)</f>
        <v>70000</v>
      </c>
      <c r="H599" t="s">
        <v>705</v>
      </c>
      <c r="I599" t="s">
        <v>20</v>
      </c>
      <c r="J599" t="s">
        <v>15</v>
      </c>
      <c r="K599" t="str">
        <f>VLOOKUP(tblSalaries[[#This Row],[Where do you work]],tblCountries[[Actual]:[Mapping]],2,FALSE)</f>
        <v>USA</v>
      </c>
      <c r="L599" t="s">
        <v>18</v>
      </c>
      <c r="M599">
        <v>18</v>
      </c>
      <c r="N599" s="8" t="str">
        <f>VLOOKUP(K599,tblCountries[],3,0)</f>
        <v>North Amer.</v>
      </c>
      <c r="O599" s="8">
        <f>VLOOKUP(tblSalaries[[#This Row],[How many hours of a day you work on Excel]],tblHours,2,0)</f>
        <v>3</v>
      </c>
      <c r="P599" s="8">
        <f>VLOOKUP(tblSalaries[[#This Row],[clean Country]],tblCountries[],5,0)</f>
        <v>1</v>
      </c>
      <c r="Q599" s="8">
        <f>IF($Q$1,tblSalaries[[#This Row],[PPP Factor]]*tblSalaries[[#This Row],[Salary in USD]],tblSalaries[[#This Row],[Salary in USD]])</f>
        <v>70000</v>
      </c>
    </row>
    <row r="600" spans="2:17" ht="15" customHeight="1" x14ac:dyDescent="0.25">
      <c r="B600" t="s">
        <v>2603</v>
      </c>
      <c r="C600" s="1">
        <v>41055.410960648151</v>
      </c>
      <c r="D600" s="4">
        <v>160000</v>
      </c>
      <c r="E600">
        <v>160000</v>
      </c>
      <c r="F600" t="s">
        <v>6</v>
      </c>
      <c r="G600">
        <f>tblSalaries[[#This Row],[clean Salary (in local currency)]]*VLOOKUP(tblSalaries[[#This Row],[Currency]],tblXrate[],2,FALSE)</f>
        <v>160000</v>
      </c>
      <c r="H600" t="s">
        <v>706</v>
      </c>
      <c r="I600" t="s">
        <v>20</v>
      </c>
      <c r="J600" t="s">
        <v>15</v>
      </c>
      <c r="K600" t="str">
        <f>VLOOKUP(tblSalaries[[#This Row],[Where do you work]],tblCountries[[Actual]:[Mapping]],2,FALSE)</f>
        <v>USA</v>
      </c>
      <c r="L600" t="s">
        <v>9</v>
      </c>
      <c r="M600">
        <v>5</v>
      </c>
      <c r="N600" s="8" t="str">
        <f>VLOOKUP(K600,tblCountries[],3,0)</f>
        <v>North Amer.</v>
      </c>
      <c r="O600" s="8">
        <f>VLOOKUP(tblSalaries[[#This Row],[How many hours of a day you work on Excel]],tblHours,2,0)</f>
        <v>4</v>
      </c>
      <c r="P600" s="8">
        <f>VLOOKUP(tblSalaries[[#This Row],[clean Country]],tblCountries[],5,0)</f>
        <v>1</v>
      </c>
      <c r="Q600" s="8">
        <f>IF($Q$1,tblSalaries[[#This Row],[PPP Factor]]*tblSalaries[[#This Row],[Salary in USD]],tblSalaries[[#This Row],[Salary in USD]])</f>
        <v>160000</v>
      </c>
    </row>
    <row r="601" spans="2:17" ht="15" customHeight="1" x14ac:dyDescent="0.25">
      <c r="B601" t="s">
        <v>2604</v>
      </c>
      <c r="C601" s="1">
        <v>41055.411365740743</v>
      </c>
      <c r="D601" s="4">
        <v>100000</v>
      </c>
      <c r="E601">
        <v>100000</v>
      </c>
      <c r="F601" t="s">
        <v>82</v>
      </c>
      <c r="G601">
        <f>tblSalaries[[#This Row],[clean Salary (in local currency)]]*VLOOKUP(tblSalaries[[#This Row],[Currency]],tblXrate[],2,FALSE)</f>
        <v>101990.96564026357</v>
      </c>
      <c r="H601" t="s">
        <v>707</v>
      </c>
      <c r="I601" t="s">
        <v>52</v>
      </c>
      <c r="J601" t="s">
        <v>84</v>
      </c>
      <c r="K601" t="str">
        <f>VLOOKUP(tblSalaries[[#This Row],[Where do you work]],tblCountries[[Actual]:[Mapping]],2,FALSE)</f>
        <v>Australia</v>
      </c>
      <c r="L601" t="s">
        <v>18</v>
      </c>
      <c r="M601">
        <v>20</v>
      </c>
      <c r="N601" s="8" t="str">
        <f>VLOOKUP(K601,tblCountries[],3,0)</f>
        <v>Oceania</v>
      </c>
      <c r="O601" s="8">
        <f>VLOOKUP(tblSalaries[[#This Row],[How many hours of a day you work on Excel]],tblHours,2,0)</f>
        <v>3</v>
      </c>
      <c r="P601" s="8">
        <f>VLOOKUP(tblSalaries[[#This Row],[clean Country]],tblCountries[],5,0)</f>
        <v>1.2026395585822935</v>
      </c>
      <c r="Q601" s="8">
        <f>IF($Q$1,tblSalaries[[#This Row],[PPP Factor]]*tblSalaries[[#This Row],[Salary in USD]],tblSalaries[[#This Row],[Salary in USD]])</f>
        <v>101990.96564026357</v>
      </c>
    </row>
    <row r="602" spans="2:17" ht="15" customHeight="1" x14ac:dyDescent="0.25">
      <c r="B602" t="s">
        <v>2605</v>
      </c>
      <c r="C602" s="1">
        <v>41055.417685185188</v>
      </c>
      <c r="D602" s="4">
        <v>380000</v>
      </c>
      <c r="E602">
        <v>380000</v>
      </c>
      <c r="F602" t="s">
        <v>40</v>
      </c>
      <c r="G602">
        <f>tblSalaries[[#This Row],[clean Salary (in local currency)]]*VLOOKUP(tblSalaries[[#This Row],[Currency]],tblXrate[],2,FALSE)</f>
        <v>6767.0083412281756</v>
      </c>
      <c r="H602" t="s">
        <v>709</v>
      </c>
      <c r="I602" t="s">
        <v>52</v>
      </c>
      <c r="J602" t="s">
        <v>8</v>
      </c>
      <c r="K602" t="str">
        <f>VLOOKUP(tblSalaries[[#This Row],[Where do you work]],tblCountries[[Actual]:[Mapping]],2,FALSE)</f>
        <v>India</v>
      </c>
      <c r="L602" t="s">
        <v>9</v>
      </c>
      <c r="M602">
        <v>10</v>
      </c>
      <c r="N602" s="8" t="str">
        <f>VLOOKUP(K602,tblCountries[],3,0)</f>
        <v>Asia</v>
      </c>
      <c r="O602" s="8">
        <f>VLOOKUP(tblSalaries[[#This Row],[How many hours of a day you work on Excel]],tblHours,2,0)</f>
        <v>4</v>
      </c>
      <c r="P602" s="8">
        <f>VLOOKUP(tblSalaries[[#This Row],[clean Country]],tblCountries[],5,0)</f>
        <v>13.098808879263672</v>
      </c>
      <c r="Q602" s="8">
        <f>IF($Q$1,tblSalaries[[#This Row],[PPP Factor]]*tblSalaries[[#This Row],[Salary in USD]],tblSalaries[[#This Row],[Salary in USD]])</f>
        <v>6767.0083412281756</v>
      </c>
    </row>
    <row r="603" spans="2:17" ht="15" customHeight="1" x14ac:dyDescent="0.25">
      <c r="B603" t="s">
        <v>2606</v>
      </c>
      <c r="C603" s="1">
        <v>41055.430960648147</v>
      </c>
      <c r="D603" s="4">
        <v>30000</v>
      </c>
      <c r="E603">
        <v>30000</v>
      </c>
      <c r="F603" t="s">
        <v>6</v>
      </c>
      <c r="G603">
        <f>tblSalaries[[#This Row],[clean Salary (in local currency)]]*VLOOKUP(tblSalaries[[#This Row],[Currency]],tblXrate[],2,FALSE)</f>
        <v>30000</v>
      </c>
      <c r="H603" t="s">
        <v>710</v>
      </c>
      <c r="I603" t="s">
        <v>20</v>
      </c>
      <c r="J603" t="s">
        <v>15</v>
      </c>
      <c r="K603" t="str">
        <f>VLOOKUP(tblSalaries[[#This Row],[Where do you work]],tblCountries[[Actual]:[Mapping]],2,FALSE)</f>
        <v>USA</v>
      </c>
      <c r="L603" t="s">
        <v>18</v>
      </c>
      <c r="M603">
        <v>8</v>
      </c>
      <c r="N603" s="8" t="str">
        <f>VLOOKUP(K603,tblCountries[],3,0)</f>
        <v>North Amer.</v>
      </c>
      <c r="O603" s="8">
        <f>VLOOKUP(tblSalaries[[#This Row],[How many hours of a day you work on Excel]],tblHours,2,0)</f>
        <v>3</v>
      </c>
      <c r="P603" s="8">
        <f>VLOOKUP(tblSalaries[[#This Row],[clean Country]],tblCountries[],5,0)</f>
        <v>1</v>
      </c>
      <c r="Q603" s="8">
        <f>IF($Q$1,tblSalaries[[#This Row],[PPP Factor]]*tblSalaries[[#This Row],[Salary in USD]],tblSalaries[[#This Row],[Salary in USD]])</f>
        <v>30000</v>
      </c>
    </row>
    <row r="604" spans="2:17" ht="15" customHeight="1" x14ac:dyDescent="0.25">
      <c r="B604" t="s">
        <v>2607</v>
      </c>
      <c r="C604" s="1">
        <v>41055.43246527778</v>
      </c>
      <c r="D604" s="4" t="s">
        <v>711</v>
      </c>
      <c r="E604">
        <v>420000</v>
      </c>
      <c r="F604" t="s">
        <v>40</v>
      </c>
      <c r="G604">
        <f>tblSalaries[[#This Row],[clean Salary (in local currency)]]*VLOOKUP(tblSalaries[[#This Row],[Currency]],tblXrate[],2,FALSE)</f>
        <v>7479.3250087258784</v>
      </c>
      <c r="H604" t="s">
        <v>712</v>
      </c>
      <c r="I604" t="s">
        <v>20</v>
      </c>
      <c r="J604" t="s">
        <v>8</v>
      </c>
      <c r="K604" t="str">
        <f>VLOOKUP(tblSalaries[[#This Row],[Where do you work]],tblCountries[[Actual]:[Mapping]],2,FALSE)</f>
        <v>India</v>
      </c>
      <c r="L604" t="s">
        <v>9</v>
      </c>
      <c r="M604">
        <v>3</v>
      </c>
      <c r="N604" s="8" t="str">
        <f>VLOOKUP(K604,tblCountries[],3,0)</f>
        <v>Asia</v>
      </c>
      <c r="O604" s="8">
        <f>VLOOKUP(tblSalaries[[#This Row],[How many hours of a day you work on Excel]],tblHours,2,0)</f>
        <v>4</v>
      </c>
      <c r="P604" s="8">
        <f>VLOOKUP(tblSalaries[[#This Row],[clean Country]],tblCountries[],5,0)</f>
        <v>13.098808879263672</v>
      </c>
      <c r="Q604" s="8">
        <f>IF($Q$1,tblSalaries[[#This Row],[PPP Factor]]*tblSalaries[[#This Row],[Salary in USD]],tblSalaries[[#This Row],[Salary in USD]])</f>
        <v>7479.3250087258784</v>
      </c>
    </row>
    <row r="605" spans="2:17" ht="15" customHeight="1" x14ac:dyDescent="0.25">
      <c r="B605" t="s">
        <v>2608</v>
      </c>
      <c r="C605" s="1">
        <v>41055.438680555555</v>
      </c>
      <c r="D605" s="4">
        <v>61000</v>
      </c>
      <c r="E605">
        <v>61000</v>
      </c>
      <c r="F605" t="s">
        <v>6</v>
      </c>
      <c r="G605">
        <f>tblSalaries[[#This Row],[clean Salary (in local currency)]]*VLOOKUP(tblSalaries[[#This Row],[Currency]],tblXrate[],2,FALSE)</f>
        <v>61000</v>
      </c>
      <c r="H605" t="s">
        <v>713</v>
      </c>
      <c r="I605" t="s">
        <v>52</v>
      </c>
      <c r="J605" t="s">
        <v>15</v>
      </c>
      <c r="K605" t="str">
        <f>VLOOKUP(tblSalaries[[#This Row],[Where do you work]],tblCountries[[Actual]:[Mapping]],2,FALSE)</f>
        <v>USA</v>
      </c>
      <c r="L605" t="s">
        <v>9</v>
      </c>
      <c r="M605">
        <v>5</v>
      </c>
      <c r="N605" s="8" t="str">
        <f>VLOOKUP(K605,tblCountries[],3,0)</f>
        <v>North Amer.</v>
      </c>
      <c r="O605" s="8">
        <f>VLOOKUP(tblSalaries[[#This Row],[How many hours of a day you work on Excel]],tblHours,2,0)</f>
        <v>4</v>
      </c>
      <c r="P605" s="8">
        <f>VLOOKUP(tblSalaries[[#This Row],[clean Country]],tblCountries[],5,0)</f>
        <v>1</v>
      </c>
      <c r="Q605" s="8">
        <f>IF($Q$1,tblSalaries[[#This Row],[PPP Factor]]*tblSalaries[[#This Row],[Salary in USD]],tblSalaries[[#This Row],[Salary in USD]])</f>
        <v>61000</v>
      </c>
    </row>
    <row r="606" spans="2:17" ht="15" customHeight="1" x14ac:dyDescent="0.25">
      <c r="B606" t="s">
        <v>2609</v>
      </c>
      <c r="C606" s="1">
        <v>41055.438969907409</v>
      </c>
      <c r="D606" s="4" t="s">
        <v>714</v>
      </c>
      <c r="E606">
        <v>13800</v>
      </c>
      <c r="F606" t="s">
        <v>6</v>
      </c>
      <c r="G606">
        <f>tblSalaries[[#This Row],[clean Salary (in local currency)]]*VLOOKUP(tblSalaries[[#This Row],[Currency]],tblXrate[],2,FALSE)</f>
        <v>13800</v>
      </c>
      <c r="H606" t="s">
        <v>715</v>
      </c>
      <c r="I606" t="s">
        <v>488</v>
      </c>
      <c r="J606" t="s">
        <v>716</v>
      </c>
      <c r="K606" t="str">
        <f>VLOOKUP(tblSalaries[[#This Row],[Where do you work]],tblCountries[[Actual]:[Mapping]],2,FALSE)</f>
        <v>Sri Lanka</v>
      </c>
      <c r="L606" t="s">
        <v>9</v>
      </c>
      <c r="M606">
        <v>20</v>
      </c>
      <c r="N606" s="8" t="str">
        <f>VLOOKUP(K606,tblCountries[],3,0)</f>
        <v>Asia</v>
      </c>
      <c r="O606" s="8">
        <f>VLOOKUP(tblSalaries[[#This Row],[How many hours of a day you work on Excel]],tblHours,2,0)</f>
        <v>4</v>
      </c>
      <c r="P606" s="8">
        <f>VLOOKUP(tblSalaries[[#This Row],[clean Country]],tblCountries[],5,0)</f>
        <v>8.5278463165315479</v>
      </c>
      <c r="Q606" s="8">
        <f>IF($Q$1,tblSalaries[[#This Row],[PPP Factor]]*tblSalaries[[#This Row],[Salary in USD]],tblSalaries[[#This Row],[Salary in USD]])</f>
        <v>13800</v>
      </c>
    </row>
    <row r="607" spans="2:17" ht="15" customHeight="1" x14ac:dyDescent="0.25">
      <c r="B607" t="s">
        <v>2610</v>
      </c>
      <c r="C607" s="1">
        <v>41055.4452662037</v>
      </c>
      <c r="D607" s="4" t="s">
        <v>717</v>
      </c>
      <c r="E607">
        <v>850000</v>
      </c>
      <c r="F607" t="s">
        <v>40</v>
      </c>
      <c r="G607">
        <f>tblSalaries[[#This Row],[clean Salary (in local currency)]]*VLOOKUP(tblSalaries[[#This Row],[Currency]],tblXrate[],2,FALSE)</f>
        <v>15136.729184326183</v>
      </c>
      <c r="H607" t="s">
        <v>108</v>
      </c>
      <c r="I607" t="s">
        <v>20</v>
      </c>
      <c r="J607" t="s">
        <v>8</v>
      </c>
      <c r="K607" t="str">
        <f>VLOOKUP(tblSalaries[[#This Row],[Where do you work]],tblCountries[[Actual]:[Mapping]],2,FALSE)</f>
        <v>India</v>
      </c>
      <c r="L607" t="s">
        <v>9</v>
      </c>
      <c r="M607">
        <v>6</v>
      </c>
      <c r="N607" s="8" t="str">
        <f>VLOOKUP(K607,tblCountries[],3,0)</f>
        <v>Asia</v>
      </c>
      <c r="O607" s="8">
        <f>VLOOKUP(tblSalaries[[#This Row],[How many hours of a day you work on Excel]],tblHours,2,0)</f>
        <v>4</v>
      </c>
      <c r="P607" s="8">
        <f>VLOOKUP(tblSalaries[[#This Row],[clean Country]],tblCountries[],5,0)</f>
        <v>13.098808879263672</v>
      </c>
      <c r="Q607" s="8">
        <f>IF($Q$1,tblSalaries[[#This Row],[PPP Factor]]*tblSalaries[[#This Row],[Salary in USD]],tblSalaries[[#This Row],[Salary in USD]])</f>
        <v>15136.729184326183</v>
      </c>
    </row>
    <row r="608" spans="2:17" ht="15" customHeight="1" x14ac:dyDescent="0.25">
      <c r="B608" t="s">
        <v>2611</v>
      </c>
      <c r="C608" s="1">
        <v>41055.447141203702</v>
      </c>
      <c r="D608" s="4">
        <v>1800000</v>
      </c>
      <c r="E608">
        <v>1800000</v>
      </c>
      <c r="F608" t="s">
        <v>40</v>
      </c>
      <c r="G608">
        <f>tblSalaries[[#This Row],[clean Salary (in local currency)]]*VLOOKUP(tblSalaries[[#This Row],[Currency]],tblXrate[],2,FALSE)</f>
        <v>32054.250037396621</v>
      </c>
      <c r="H608" t="s">
        <v>718</v>
      </c>
      <c r="I608" t="s">
        <v>52</v>
      </c>
      <c r="J608" t="s">
        <v>8</v>
      </c>
      <c r="K608" t="str">
        <f>VLOOKUP(tblSalaries[[#This Row],[Where do you work]],tblCountries[[Actual]:[Mapping]],2,FALSE)</f>
        <v>India</v>
      </c>
      <c r="L608" t="s">
        <v>18</v>
      </c>
      <c r="M608">
        <v>10</v>
      </c>
      <c r="N608" s="8" t="str">
        <f>VLOOKUP(K608,tblCountries[],3,0)</f>
        <v>Asia</v>
      </c>
      <c r="O608" s="8">
        <f>VLOOKUP(tblSalaries[[#This Row],[How many hours of a day you work on Excel]],tblHours,2,0)</f>
        <v>3</v>
      </c>
      <c r="P608" s="8">
        <f>VLOOKUP(tblSalaries[[#This Row],[clean Country]],tblCountries[],5,0)</f>
        <v>13.098808879263672</v>
      </c>
      <c r="Q608" s="8">
        <f>IF($Q$1,tblSalaries[[#This Row],[PPP Factor]]*tblSalaries[[#This Row],[Salary in USD]],tblSalaries[[#This Row],[Salary in USD]])</f>
        <v>32054.250037396621</v>
      </c>
    </row>
    <row r="609" spans="2:17" ht="15" customHeight="1" x14ac:dyDescent="0.25">
      <c r="B609" t="s">
        <v>2612</v>
      </c>
      <c r="C609" s="1">
        <v>41055.452141203707</v>
      </c>
      <c r="D609" s="4">
        <v>80000</v>
      </c>
      <c r="E609">
        <v>80000</v>
      </c>
      <c r="F609" t="s">
        <v>6</v>
      </c>
      <c r="G609">
        <f>tblSalaries[[#This Row],[clean Salary (in local currency)]]*VLOOKUP(tblSalaries[[#This Row],[Currency]],tblXrate[],2,FALSE)</f>
        <v>80000</v>
      </c>
      <c r="H609" t="s">
        <v>719</v>
      </c>
      <c r="I609" t="s">
        <v>488</v>
      </c>
      <c r="J609" t="s">
        <v>15</v>
      </c>
      <c r="K609" t="str">
        <f>VLOOKUP(tblSalaries[[#This Row],[Where do you work]],tblCountries[[Actual]:[Mapping]],2,FALSE)</f>
        <v>USA</v>
      </c>
      <c r="L609" t="s">
        <v>9</v>
      </c>
      <c r="M609">
        <v>15</v>
      </c>
      <c r="N609" s="8" t="str">
        <f>VLOOKUP(K609,tblCountries[],3,0)</f>
        <v>North Amer.</v>
      </c>
      <c r="O609" s="8">
        <f>VLOOKUP(tblSalaries[[#This Row],[How many hours of a day you work on Excel]],tblHours,2,0)</f>
        <v>4</v>
      </c>
      <c r="P609" s="8">
        <f>VLOOKUP(tblSalaries[[#This Row],[clean Country]],tblCountries[],5,0)</f>
        <v>1</v>
      </c>
      <c r="Q609" s="8">
        <f>IF($Q$1,tblSalaries[[#This Row],[PPP Factor]]*tblSalaries[[#This Row],[Salary in USD]],tblSalaries[[#This Row],[Salary in USD]])</f>
        <v>80000</v>
      </c>
    </row>
    <row r="610" spans="2:17" ht="15" customHeight="1" x14ac:dyDescent="0.25">
      <c r="B610" t="s">
        <v>2613</v>
      </c>
      <c r="C610" s="1">
        <v>41055.454421296294</v>
      </c>
      <c r="D610" s="4">
        <v>21000</v>
      </c>
      <c r="E610">
        <v>21000</v>
      </c>
      <c r="F610" t="s">
        <v>6</v>
      </c>
      <c r="G610">
        <f>tblSalaries[[#This Row],[clean Salary (in local currency)]]*VLOOKUP(tblSalaries[[#This Row],[Currency]],tblXrate[],2,FALSE)</f>
        <v>21000</v>
      </c>
      <c r="H610" t="s">
        <v>52</v>
      </c>
      <c r="I610" t="s">
        <v>52</v>
      </c>
      <c r="J610" t="s">
        <v>8</v>
      </c>
      <c r="K610" t="str">
        <f>VLOOKUP(tblSalaries[[#This Row],[Where do you work]],tblCountries[[Actual]:[Mapping]],2,FALSE)</f>
        <v>India</v>
      </c>
      <c r="L610" t="s">
        <v>13</v>
      </c>
      <c r="M610">
        <v>23</v>
      </c>
      <c r="N610" s="8" t="str">
        <f>VLOOKUP(K610,tblCountries[],3,0)</f>
        <v>Asia</v>
      </c>
      <c r="O610" s="8">
        <f>VLOOKUP(tblSalaries[[#This Row],[How many hours of a day you work on Excel]],tblHours,2,0)</f>
        <v>5</v>
      </c>
      <c r="P610" s="8">
        <f>VLOOKUP(tblSalaries[[#This Row],[clean Country]],tblCountries[],5,0)</f>
        <v>13.098808879263672</v>
      </c>
      <c r="Q610" s="8">
        <f>IF($Q$1,tblSalaries[[#This Row],[PPP Factor]]*tblSalaries[[#This Row],[Salary in USD]],tblSalaries[[#This Row],[Salary in USD]])</f>
        <v>21000</v>
      </c>
    </row>
    <row r="611" spans="2:17" ht="15" customHeight="1" x14ac:dyDescent="0.25">
      <c r="B611" t="s">
        <v>2614</v>
      </c>
      <c r="C611" s="1">
        <v>41055.457754629628</v>
      </c>
      <c r="D611" s="4">
        <v>250000</v>
      </c>
      <c r="E611">
        <v>250000</v>
      </c>
      <c r="F611" t="s">
        <v>86</v>
      </c>
      <c r="G611">
        <f>tblSalaries[[#This Row],[clean Salary (in local currency)]]*VLOOKUP(tblSalaries[[#This Row],[Currency]],tblXrate[],2,FALSE)</f>
        <v>245840.3807575817</v>
      </c>
      <c r="H611" t="s">
        <v>207</v>
      </c>
      <c r="I611" t="s">
        <v>20</v>
      </c>
      <c r="J611" t="s">
        <v>88</v>
      </c>
      <c r="K611" t="str">
        <f>VLOOKUP(tblSalaries[[#This Row],[Where do you work]],tblCountries[[Actual]:[Mapping]],2,FALSE)</f>
        <v>Canada</v>
      </c>
      <c r="L611" t="s">
        <v>9</v>
      </c>
      <c r="M611">
        <v>32</v>
      </c>
      <c r="N611" s="8" t="str">
        <f>VLOOKUP(K611,tblCountries[],3,0)</f>
        <v>North Amer.</v>
      </c>
      <c r="O611" s="8">
        <f>VLOOKUP(tblSalaries[[#This Row],[How many hours of a day you work on Excel]],tblHours,2,0)</f>
        <v>4</v>
      </c>
      <c r="P611" s="8">
        <f>VLOOKUP(tblSalaries[[#This Row],[clean Country]],tblCountries[],5,0)</f>
        <v>1.1935324732986359</v>
      </c>
      <c r="Q611" s="8">
        <f>IF($Q$1,tblSalaries[[#This Row],[PPP Factor]]*tblSalaries[[#This Row],[Salary in USD]],tblSalaries[[#This Row],[Salary in USD]])</f>
        <v>245840.3807575817</v>
      </c>
    </row>
    <row r="612" spans="2:17" ht="15" customHeight="1" x14ac:dyDescent="0.25">
      <c r="B612" t="s">
        <v>2615</v>
      </c>
      <c r="C612" s="1">
        <v>41055.458090277774</v>
      </c>
      <c r="D612" s="4" t="s">
        <v>720</v>
      </c>
      <c r="E612">
        <v>160000</v>
      </c>
      <c r="F612" t="s">
        <v>40</v>
      </c>
      <c r="G612">
        <f>tblSalaries[[#This Row],[clean Salary (in local currency)]]*VLOOKUP(tblSalaries[[#This Row],[Currency]],tblXrate[],2,FALSE)</f>
        <v>2849.2666699908109</v>
      </c>
      <c r="H612" t="s">
        <v>721</v>
      </c>
      <c r="I612" t="s">
        <v>3999</v>
      </c>
      <c r="J612" t="s">
        <v>8</v>
      </c>
      <c r="K612" t="str">
        <f>VLOOKUP(tblSalaries[[#This Row],[Where do you work]],tblCountries[[Actual]:[Mapping]],2,FALSE)</f>
        <v>India</v>
      </c>
      <c r="L612" t="s">
        <v>13</v>
      </c>
      <c r="M612">
        <v>3</v>
      </c>
      <c r="N612" s="8" t="str">
        <f>VLOOKUP(K612,tblCountries[],3,0)</f>
        <v>Asia</v>
      </c>
      <c r="O612" s="8">
        <f>VLOOKUP(tblSalaries[[#This Row],[How many hours of a day you work on Excel]],tblHours,2,0)</f>
        <v>5</v>
      </c>
      <c r="P612" s="8">
        <f>VLOOKUP(tblSalaries[[#This Row],[clean Country]],tblCountries[],5,0)</f>
        <v>13.098808879263672</v>
      </c>
      <c r="Q612" s="8">
        <f>IF($Q$1,tblSalaries[[#This Row],[PPP Factor]]*tblSalaries[[#This Row],[Salary in USD]],tblSalaries[[#This Row],[Salary in USD]])</f>
        <v>2849.2666699908109</v>
      </c>
    </row>
    <row r="613" spans="2:17" ht="15" customHeight="1" x14ac:dyDescent="0.25">
      <c r="B613" t="s">
        <v>2616</v>
      </c>
      <c r="C613" s="1">
        <v>41055.459675925929</v>
      </c>
      <c r="D613" s="4">
        <v>700</v>
      </c>
      <c r="E613">
        <v>8400</v>
      </c>
      <c r="F613" t="s">
        <v>6</v>
      </c>
      <c r="G613">
        <f>tblSalaries[[#This Row],[clean Salary (in local currency)]]*VLOOKUP(tblSalaries[[#This Row],[Currency]],tblXrate[],2,FALSE)</f>
        <v>8400</v>
      </c>
      <c r="H613" t="s">
        <v>722</v>
      </c>
      <c r="I613" t="s">
        <v>52</v>
      </c>
      <c r="J613" t="s">
        <v>8</v>
      </c>
      <c r="K613" t="str">
        <f>VLOOKUP(tblSalaries[[#This Row],[Where do you work]],tblCountries[[Actual]:[Mapping]],2,FALSE)</f>
        <v>India</v>
      </c>
      <c r="L613" t="s">
        <v>13</v>
      </c>
      <c r="M613">
        <v>26</v>
      </c>
      <c r="N613" s="8" t="str">
        <f>VLOOKUP(K613,tblCountries[],3,0)</f>
        <v>Asia</v>
      </c>
      <c r="O613" s="8">
        <f>VLOOKUP(tblSalaries[[#This Row],[How many hours of a day you work on Excel]],tblHours,2,0)</f>
        <v>5</v>
      </c>
      <c r="P613" s="8">
        <f>VLOOKUP(tblSalaries[[#This Row],[clean Country]],tblCountries[],5,0)</f>
        <v>13.098808879263672</v>
      </c>
      <c r="Q613" s="8">
        <f>IF($Q$1,tblSalaries[[#This Row],[PPP Factor]]*tblSalaries[[#This Row],[Salary in USD]],tblSalaries[[#This Row],[Salary in USD]])</f>
        <v>8400</v>
      </c>
    </row>
    <row r="614" spans="2:17" ht="15" customHeight="1" x14ac:dyDescent="0.25">
      <c r="B614" t="s">
        <v>2617</v>
      </c>
      <c r="C614" s="1">
        <v>41055.460439814815</v>
      </c>
      <c r="D614" s="4" t="s">
        <v>723</v>
      </c>
      <c r="E614">
        <v>85000</v>
      </c>
      <c r="F614" t="s">
        <v>82</v>
      </c>
      <c r="G614">
        <f>tblSalaries[[#This Row],[clean Salary (in local currency)]]*VLOOKUP(tblSalaries[[#This Row],[Currency]],tblXrate[],2,FALSE)</f>
        <v>86692.320794224041</v>
      </c>
      <c r="H614" t="s">
        <v>646</v>
      </c>
      <c r="I614" t="s">
        <v>356</v>
      </c>
      <c r="J614" t="s">
        <v>84</v>
      </c>
      <c r="K614" t="str">
        <f>VLOOKUP(tblSalaries[[#This Row],[Where do you work]],tblCountries[[Actual]:[Mapping]],2,FALSE)</f>
        <v>Australia</v>
      </c>
      <c r="L614" t="s">
        <v>25</v>
      </c>
      <c r="M614">
        <v>20</v>
      </c>
      <c r="N614" s="8" t="str">
        <f>VLOOKUP(K614,tblCountries[],3,0)</f>
        <v>Oceania</v>
      </c>
      <c r="O614" s="8">
        <f>VLOOKUP(tblSalaries[[#This Row],[How many hours of a day you work on Excel]],tblHours,2,0)</f>
        <v>2</v>
      </c>
      <c r="P614" s="8">
        <f>VLOOKUP(tblSalaries[[#This Row],[clean Country]],tblCountries[],5,0)</f>
        <v>1.2026395585822935</v>
      </c>
      <c r="Q614" s="8">
        <f>IF($Q$1,tblSalaries[[#This Row],[PPP Factor]]*tblSalaries[[#This Row],[Salary in USD]],tblSalaries[[#This Row],[Salary in USD]])</f>
        <v>86692.320794224041</v>
      </c>
    </row>
    <row r="615" spans="2:17" ht="15" customHeight="1" x14ac:dyDescent="0.25">
      <c r="B615" t="s">
        <v>2618</v>
      </c>
      <c r="C615" s="1">
        <v>41055.460486111115</v>
      </c>
      <c r="D615" s="4">
        <v>50000</v>
      </c>
      <c r="E615">
        <v>50000</v>
      </c>
      <c r="F615" t="s">
        <v>6</v>
      </c>
      <c r="G615">
        <f>tblSalaries[[#This Row],[clean Salary (in local currency)]]*VLOOKUP(tblSalaries[[#This Row],[Currency]],tblXrate[],2,FALSE)</f>
        <v>50000</v>
      </c>
      <c r="H615" t="s">
        <v>724</v>
      </c>
      <c r="I615" t="s">
        <v>52</v>
      </c>
      <c r="J615" t="s">
        <v>15</v>
      </c>
      <c r="K615" t="str">
        <f>VLOOKUP(tblSalaries[[#This Row],[Where do you work]],tblCountries[[Actual]:[Mapping]],2,FALSE)</f>
        <v>USA</v>
      </c>
      <c r="L615" t="s">
        <v>9</v>
      </c>
      <c r="M615">
        <v>20</v>
      </c>
      <c r="N615" s="8" t="str">
        <f>VLOOKUP(K615,tblCountries[],3,0)</f>
        <v>North Amer.</v>
      </c>
      <c r="O615" s="8">
        <f>VLOOKUP(tblSalaries[[#This Row],[How many hours of a day you work on Excel]],tblHours,2,0)</f>
        <v>4</v>
      </c>
      <c r="P615" s="8">
        <f>VLOOKUP(tblSalaries[[#This Row],[clean Country]],tblCountries[],5,0)</f>
        <v>1</v>
      </c>
      <c r="Q615" s="8">
        <f>IF($Q$1,tblSalaries[[#This Row],[PPP Factor]]*tblSalaries[[#This Row],[Salary in USD]],tblSalaries[[#This Row],[Salary in USD]])</f>
        <v>50000</v>
      </c>
    </row>
    <row r="616" spans="2:17" ht="15" customHeight="1" x14ac:dyDescent="0.25">
      <c r="B616" t="s">
        <v>2619</v>
      </c>
      <c r="C616" s="1">
        <v>41055.460972222223</v>
      </c>
      <c r="D616" s="4">
        <v>4000</v>
      </c>
      <c r="E616">
        <v>4000</v>
      </c>
      <c r="F616" t="s">
        <v>6</v>
      </c>
      <c r="G616">
        <f>tblSalaries[[#This Row],[clean Salary (in local currency)]]*VLOOKUP(tblSalaries[[#This Row],[Currency]],tblXrate[],2,FALSE)</f>
        <v>4000</v>
      </c>
      <c r="H616" t="s">
        <v>721</v>
      </c>
      <c r="I616" t="s">
        <v>3999</v>
      </c>
      <c r="J616" t="s">
        <v>8</v>
      </c>
      <c r="K616" t="str">
        <f>VLOOKUP(tblSalaries[[#This Row],[Where do you work]],tblCountries[[Actual]:[Mapping]],2,FALSE)</f>
        <v>India</v>
      </c>
      <c r="L616" t="s">
        <v>13</v>
      </c>
      <c r="M616">
        <v>6</v>
      </c>
      <c r="N616" s="8" t="str">
        <f>VLOOKUP(K616,tblCountries[],3,0)</f>
        <v>Asia</v>
      </c>
      <c r="O616" s="8">
        <f>VLOOKUP(tblSalaries[[#This Row],[How many hours of a day you work on Excel]],tblHours,2,0)</f>
        <v>5</v>
      </c>
      <c r="P616" s="8">
        <f>VLOOKUP(tblSalaries[[#This Row],[clean Country]],tblCountries[],5,0)</f>
        <v>13.098808879263672</v>
      </c>
      <c r="Q616" s="8">
        <f>IF($Q$1,tblSalaries[[#This Row],[PPP Factor]]*tblSalaries[[#This Row],[Salary in USD]],tblSalaries[[#This Row],[Salary in USD]])</f>
        <v>4000</v>
      </c>
    </row>
    <row r="617" spans="2:17" ht="15" customHeight="1" x14ac:dyDescent="0.25">
      <c r="B617" t="s">
        <v>2620</v>
      </c>
      <c r="C617" s="1">
        <v>41055.462326388886</v>
      </c>
      <c r="D617" s="4">
        <v>100000</v>
      </c>
      <c r="E617">
        <v>100000</v>
      </c>
      <c r="F617" t="s">
        <v>82</v>
      </c>
      <c r="G617">
        <f>tblSalaries[[#This Row],[clean Salary (in local currency)]]*VLOOKUP(tblSalaries[[#This Row],[Currency]],tblXrate[],2,FALSE)</f>
        <v>101990.96564026357</v>
      </c>
      <c r="H617" t="s">
        <v>207</v>
      </c>
      <c r="I617" t="s">
        <v>20</v>
      </c>
      <c r="J617" t="s">
        <v>84</v>
      </c>
      <c r="K617" t="str">
        <f>VLOOKUP(tblSalaries[[#This Row],[Where do you work]],tblCountries[[Actual]:[Mapping]],2,FALSE)</f>
        <v>Australia</v>
      </c>
      <c r="L617" t="s">
        <v>13</v>
      </c>
      <c r="M617">
        <v>1</v>
      </c>
      <c r="N617" s="8" t="str">
        <f>VLOOKUP(K617,tblCountries[],3,0)</f>
        <v>Oceania</v>
      </c>
      <c r="O617" s="8">
        <f>VLOOKUP(tblSalaries[[#This Row],[How many hours of a day you work on Excel]],tblHours,2,0)</f>
        <v>5</v>
      </c>
      <c r="P617" s="8">
        <f>VLOOKUP(tblSalaries[[#This Row],[clean Country]],tblCountries[],5,0)</f>
        <v>1.2026395585822935</v>
      </c>
      <c r="Q617" s="8">
        <f>IF($Q$1,tblSalaries[[#This Row],[PPP Factor]]*tblSalaries[[#This Row],[Salary in USD]],tblSalaries[[#This Row],[Salary in USD]])</f>
        <v>101990.96564026357</v>
      </c>
    </row>
    <row r="618" spans="2:17" ht="15" customHeight="1" x14ac:dyDescent="0.25">
      <c r="B618" t="s">
        <v>2621</v>
      </c>
      <c r="C618" s="1">
        <v>41055.462476851855</v>
      </c>
      <c r="D618" s="4">
        <v>95000</v>
      </c>
      <c r="E618">
        <v>95000</v>
      </c>
      <c r="F618" t="s">
        <v>6</v>
      </c>
      <c r="G618">
        <f>tblSalaries[[#This Row],[clean Salary (in local currency)]]*VLOOKUP(tblSalaries[[#This Row],[Currency]],tblXrate[],2,FALSE)</f>
        <v>95000</v>
      </c>
      <c r="H618" t="s">
        <v>564</v>
      </c>
      <c r="I618" t="s">
        <v>52</v>
      </c>
      <c r="J618" t="s">
        <v>15</v>
      </c>
      <c r="K618" t="str">
        <f>VLOOKUP(tblSalaries[[#This Row],[Where do you work]],tblCountries[[Actual]:[Mapping]],2,FALSE)</f>
        <v>USA</v>
      </c>
      <c r="L618" t="s">
        <v>25</v>
      </c>
      <c r="M618">
        <v>10</v>
      </c>
      <c r="N618" s="8" t="str">
        <f>VLOOKUP(K618,tblCountries[],3,0)</f>
        <v>North Amer.</v>
      </c>
      <c r="O618" s="8">
        <f>VLOOKUP(tblSalaries[[#This Row],[How many hours of a day you work on Excel]],tblHours,2,0)</f>
        <v>2</v>
      </c>
      <c r="P618" s="8">
        <f>VLOOKUP(tblSalaries[[#This Row],[clean Country]],tblCountries[],5,0)</f>
        <v>1</v>
      </c>
      <c r="Q618" s="8">
        <f>IF($Q$1,tblSalaries[[#This Row],[PPP Factor]]*tblSalaries[[#This Row],[Salary in USD]],tblSalaries[[#This Row],[Salary in USD]])</f>
        <v>95000</v>
      </c>
    </row>
    <row r="619" spans="2:17" ht="15" customHeight="1" x14ac:dyDescent="0.25">
      <c r="B619" t="s">
        <v>2622</v>
      </c>
      <c r="C619" s="1">
        <v>41055.463206018518</v>
      </c>
      <c r="D619" s="4">
        <v>10000</v>
      </c>
      <c r="E619">
        <v>10000</v>
      </c>
      <c r="F619" t="s">
        <v>6</v>
      </c>
      <c r="G619">
        <f>tblSalaries[[#This Row],[clean Salary (in local currency)]]*VLOOKUP(tblSalaries[[#This Row],[Currency]],tblXrate[],2,FALSE)</f>
        <v>10000</v>
      </c>
      <c r="H619" t="s">
        <v>725</v>
      </c>
      <c r="I619" t="s">
        <v>52</v>
      </c>
      <c r="J619" t="s">
        <v>726</v>
      </c>
      <c r="K619" t="str">
        <f>VLOOKUP(tblSalaries[[#This Row],[Where do you work]],tblCountries[[Actual]:[Mapping]],2,FALSE)</f>
        <v>Indonesia</v>
      </c>
      <c r="L619" t="s">
        <v>18</v>
      </c>
      <c r="M619">
        <v>5</v>
      </c>
      <c r="N619" s="8" t="str">
        <f>VLOOKUP(K619,tblCountries[],3,0)</f>
        <v>Asia</v>
      </c>
      <c r="O619" s="8">
        <f>VLOOKUP(tblSalaries[[#This Row],[How many hours of a day you work on Excel]],tblHours,2,0)</f>
        <v>3</v>
      </c>
      <c r="P619" s="8">
        <f>VLOOKUP(tblSalaries[[#This Row],[clean Country]],tblCountries[],5,0)</f>
        <v>10.370124303471924</v>
      </c>
      <c r="Q619" s="8">
        <f>IF($Q$1,tblSalaries[[#This Row],[PPP Factor]]*tblSalaries[[#This Row],[Salary in USD]],tblSalaries[[#This Row],[Salary in USD]])</f>
        <v>10000</v>
      </c>
    </row>
    <row r="620" spans="2:17" ht="15" customHeight="1" x14ac:dyDescent="0.25">
      <c r="B620" t="s">
        <v>2623</v>
      </c>
      <c r="C620" s="1">
        <v>41055.464895833335</v>
      </c>
      <c r="D620" s="4">
        <v>4200</v>
      </c>
      <c r="E620">
        <v>4200</v>
      </c>
      <c r="F620" t="s">
        <v>6</v>
      </c>
      <c r="G620">
        <f>tblSalaries[[#This Row],[clean Salary (in local currency)]]*VLOOKUP(tblSalaries[[#This Row],[Currency]],tblXrate[],2,FALSE)</f>
        <v>4200</v>
      </c>
      <c r="H620" t="s">
        <v>721</v>
      </c>
      <c r="I620" t="s">
        <v>3999</v>
      </c>
      <c r="J620" t="s">
        <v>8</v>
      </c>
      <c r="K620" t="str">
        <f>VLOOKUP(tblSalaries[[#This Row],[Where do you work]],tblCountries[[Actual]:[Mapping]],2,FALSE)</f>
        <v>India</v>
      </c>
      <c r="L620" t="s">
        <v>13</v>
      </c>
      <c r="M620">
        <v>4</v>
      </c>
      <c r="N620" s="8" t="str">
        <f>VLOOKUP(K620,tblCountries[],3,0)</f>
        <v>Asia</v>
      </c>
      <c r="O620" s="8">
        <f>VLOOKUP(tblSalaries[[#This Row],[How many hours of a day you work on Excel]],tblHours,2,0)</f>
        <v>5</v>
      </c>
      <c r="P620" s="8">
        <f>VLOOKUP(tblSalaries[[#This Row],[clean Country]],tblCountries[],5,0)</f>
        <v>13.098808879263672</v>
      </c>
      <c r="Q620" s="8">
        <f>IF($Q$1,tblSalaries[[#This Row],[PPP Factor]]*tblSalaries[[#This Row],[Salary in USD]],tblSalaries[[#This Row],[Salary in USD]])</f>
        <v>4200</v>
      </c>
    </row>
    <row r="621" spans="2:17" ht="15" customHeight="1" x14ac:dyDescent="0.25">
      <c r="B621" t="s">
        <v>2624</v>
      </c>
      <c r="C621" s="1">
        <v>41055.465543981481</v>
      </c>
      <c r="D621" s="4" t="s">
        <v>727</v>
      </c>
      <c r="E621">
        <v>720000</v>
      </c>
      <c r="F621" t="s">
        <v>40</v>
      </c>
      <c r="G621">
        <f>tblSalaries[[#This Row],[clean Salary (in local currency)]]*VLOOKUP(tblSalaries[[#This Row],[Currency]],tblXrate[],2,FALSE)</f>
        <v>12821.700014958649</v>
      </c>
      <c r="H621" t="s">
        <v>728</v>
      </c>
      <c r="I621" t="s">
        <v>52</v>
      </c>
      <c r="J621" t="s">
        <v>8</v>
      </c>
      <c r="K621" t="str">
        <f>VLOOKUP(tblSalaries[[#This Row],[Where do you work]],tblCountries[[Actual]:[Mapping]],2,FALSE)</f>
        <v>India</v>
      </c>
      <c r="L621" t="s">
        <v>9</v>
      </c>
      <c r="M621">
        <v>12</v>
      </c>
      <c r="N621" s="8" t="str">
        <f>VLOOKUP(K621,tblCountries[],3,0)</f>
        <v>Asia</v>
      </c>
      <c r="O621" s="8">
        <f>VLOOKUP(tblSalaries[[#This Row],[How many hours of a day you work on Excel]],tblHours,2,0)</f>
        <v>4</v>
      </c>
      <c r="P621" s="8">
        <f>VLOOKUP(tblSalaries[[#This Row],[clean Country]],tblCountries[],5,0)</f>
        <v>13.098808879263672</v>
      </c>
      <c r="Q621" s="8">
        <f>IF($Q$1,tblSalaries[[#This Row],[PPP Factor]]*tblSalaries[[#This Row],[Salary in USD]],tblSalaries[[#This Row],[Salary in USD]])</f>
        <v>12821.700014958649</v>
      </c>
    </row>
    <row r="622" spans="2:17" ht="15" customHeight="1" x14ac:dyDescent="0.25">
      <c r="B622" t="s">
        <v>2625</v>
      </c>
      <c r="C622" s="1">
        <v>41055.47078703704</v>
      </c>
      <c r="D622" s="4">
        <v>39000</v>
      </c>
      <c r="E622">
        <v>39000</v>
      </c>
      <c r="F622" t="s">
        <v>6</v>
      </c>
      <c r="G622">
        <f>tblSalaries[[#This Row],[clean Salary (in local currency)]]*VLOOKUP(tblSalaries[[#This Row],[Currency]],tblXrate[],2,FALSE)</f>
        <v>39000</v>
      </c>
      <c r="H622" t="s">
        <v>729</v>
      </c>
      <c r="I622" t="s">
        <v>20</v>
      </c>
      <c r="J622" t="s">
        <v>15</v>
      </c>
      <c r="K622" t="str">
        <f>VLOOKUP(tblSalaries[[#This Row],[Where do you work]],tblCountries[[Actual]:[Mapping]],2,FALSE)</f>
        <v>USA</v>
      </c>
      <c r="L622" t="s">
        <v>13</v>
      </c>
      <c r="M622">
        <v>3</v>
      </c>
      <c r="N622" s="8" t="str">
        <f>VLOOKUP(K622,tblCountries[],3,0)</f>
        <v>North Amer.</v>
      </c>
      <c r="O622" s="8">
        <f>VLOOKUP(tblSalaries[[#This Row],[How many hours of a day you work on Excel]],tblHours,2,0)</f>
        <v>5</v>
      </c>
      <c r="P622" s="8">
        <f>VLOOKUP(tblSalaries[[#This Row],[clean Country]],tblCountries[],5,0)</f>
        <v>1</v>
      </c>
      <c r="Q622" s="8">
        <f>IF($Q$1,tblSalaries[[#This Row],[PPP Factor]]*tblSalaries[[#This Row],[Salary in USD]],tblSalaries[[#This Row],[Salary in USD]])</f>
        <v>39000</v>
      </c>
    </row>
    <row r="623" spans="2:17" ht="15" customHeight="1" x14ac:dyDescent="0.25">
      <c r="B623" t="s">
        <v>2626</v>
      </c>
      <c r="C623" s="1">
        <v>41055.476921296293</v>
      </c>
      <c r="D623" s="4">
        <v>60000</v>
      </c>
      <c r="E623">
        <v>60000</v>
      </c>
      <c r="F623" t="s">
        <v>6</v>
      </c>
      <c r="G623">
        <f>tblSalaries[[#This Row],[clean Salary (in local currency)]]*VLOOKUP(tblSalaries[[#This Row],[Currency]],tblXrate[],2,FALSE)</f>
        <v>60000</v>
      </c>
      <c r="H623" t="s">
        <v>42</v>
      </c>
      <c r="I623" t="s">
        <v>20</v>
      </c>
      <c r="J623" t="s">
        <v>15</v>
      </c>
      <c r="K623" t="str">
        <f>VLOOKUP(tblSalaries[[#This Row],[Where do you work]],tblCountries[[Actual]:[Mapping]],2,FALSE)</f>
        <v>USA</v>
      </c>
      <c r="L623" t="s">
        <v>9</v>
      </c>
      <c r="M623">
        <v>12</v>
      </c>
      <c r="N623" s="8" t="str">
        <f>VLOOKUP(K623,tblCountries[],3,0)</f>
        <v>North Amer.</v>
      </c>
      <c r="O623" s="8">
        <f>VLOOKUP(tblSalaries[[#This Row],[How many hours of a day you work on Excel]],tblHours,2,0)</f>
        <v>4</v>
      </c>
      <c r="P623" s="8">
        <f>VLOOKUP(tblSalaries[[#This Row],[clean Country]],tblCountries[],5,0)</f>
        <v>1</v>
      </c>
      <c r="Q623" s="8">
        <f>IF($Q$1,tblSalaries[[#This Row],[PPP Factor]]*tblSalaries[[#This Row],[Salary in USD]],tblSalaries[[#This Row],[Salary in USD]])</f>
        <v>60000</v>
      </c>
    </row>
    <row r="624" spans="2:17" ht="15" customHeight="1" x14ac:dyDescent="0.25">
      <c r="B624" t="s">
        <v>2627</v>
      </c>
      <c r="C624" s="1">
        <v>41055.479618055557</v>
      </c>
      <c r="D624" s="4" t="s">
        <v>730</v>
      </c>
      <c r="E624">
        <v>170000</v>
      </c>
      <c r="F624" t="s">
        <v>82</v>
      </c>
      <c r="G624">
        <f>tblSalaries[[#This Row],[clean Salary (in local currency)]]*VLOOKUP(tblSalaries[[#This Row],[Currency]],tblXrate[],2,FALSE)</f>
        <v>173384.64158844808</v>
      </c>
      <c r="H624" t="s">
        <v>731</v>
      </c>
      <c r="I624" t="s">
        <v>20</v>
      </c>
      <c r="J624" t="s">
        <v>84</v>
      </c>
      <c r="K624" t="str">
        <f>VLOOKUP(tblSalaries[[#This Row],[Where do you work]],tblCountries[[Actual]:[Mapping]],2,FALSE)</f>
        <v>Australia</v>
      </c>
      <c r="L624" t="s">
        <v>13</v>
      </c>
      <c r="M624">
        <v>10</v>
      </c>
      <c r="N624" s="8" t="str">
        <f>VLOOKUP(K624,tblCountries[],3,0)</f>
        <v>Oceania</v>
      </c>
      <c r="O624" s="8">
        <f>VLOOKUP(tblSalaries[[#This Row],[How many hours of a day you work on Excel]],tblHours,2,0)</f>
        <v>5</v>
      </c>
      <c r="P624" s="8">
        <f>VLOOKUP(tblSalaries[[#This Row],[clean Country]],tblCountries[],5,0)</f>
        <v>1.2026395585822935</v>
      </c>
      <c r="Q624" s="8">
        <f>IF($Q$1,tblSalaries[[#This Row],[PPP Factor]]*tblSalaries[[#This Row],[Salary in USD]],tblSalaries[[#This Row],[Salary in USD]])</f>
        <v>173384.64158844808</v>
      </c>
    </row>
    <row r="625" spans="2:17" ht="15" customHeight="1" x14ac:dyDescent="0.25">
      <c r="B625" t="s">
        <v>2628</v>
      </c>
      <c r="C625" s="1">
        <v>41055.479953703703</v>
      </c>
      <c r="D625" s="4">
        <v>125000</v>
      </c>
      <c r="E625">
        <v>125000</v>
      </c>
      <c r="F625" t="s">
        <v>6</v>
      </c>
      <c r="G625">
        <f>tblSalaries[[#This Row],[clean Salary (in local currency)]]*VLOOKUP(tblSalaries[[#This Row],[Currency]],tblXrate[],2,FALSE)</f>
        <v>125000</v>
      </c>
      <c r="H625" t="s">
        <v>20</v>
      </c>
      <c r="I625" t="s">
        <v>20</v>
      </c>
      <c r="J625" t="s">
        <v>15</v>
      </c>
      <c r="K625" t="str">
        <f>VLOOKUP(tblSalaries[[#This Row],[Where do you work]],tblCountries[[Actual]:[Mapping]],2,FALSE)</f>
        <v>USA</v>
      </c>
      <c r="L625" t="s">
        <v>18</v>
      </c>
      <c r="M625">
        <v>20</v>
      </c>
      <c r="N625" s="8" t="str">
        <f>VLOOKUP(K625,tblCountries[],3,0)</f>
        <v>North Amer.</v>
      </c>
      <c r="O625" s="8">
        <f>VLOOKUP(tblSalaries[[#This Row],[How many hours of a day you work on Excel]],tblHours,2,0)</f>
        <v>3</v>
      </c>
      <c r="P625" s="8">
        <f>VLOOKUP(tblSalaries[[#This Row],[clean Country]],tblCountries[],5,0)</f>
        <v>1</v>
      </c>
      <c r="Q625" s="8">
        <f>IF($Q$1,tblSalaries[[#This Row],[PPP Factor]]*tblSalaries[[#This Row],[Salary in USD]],tblSalaries[[#This Row],[Salary in USD]])</f>
        <v>125000</v>
      </c>
    </row>
    <row r="626" spans="2:17" ht="15" customHeight="1" x14ac:dyDescent="0.25">
      <c r="B626" t="s">
        <v>2629</v>
      </c>
      <c r="C626" s="1">
        <v>41055.480462962965</v>
      </c>
      <c r="D626" s="4">
        <v>78000</v>
      </c>
      <c r="E626">
        <v>78000</v>
      </c>
      <c r="F626" t="s">
        <v>82</v>
      </c>
      <c r="G626">
        <f>tblSalaries[[#This Row],[clean Salary (in local currency)]]*VLOOKUP(tblSalaries[[#This Row],[Currency]],tblXrate[],2,FALSE)</f>
        <v>79552.953199405587</v>
      </c>
      <c r="H626" t="s">
        <v>732</v>
      </c>
      <c r="I626" t="s">
        <v>310</v>
      </c>
      <c r="J626" t="s">
        <v>84</v>
      </c>
      <c r="K626" t="str">
        <f>VLOOKUP(tblSalaries[[#This Row],[Where do you work]],tblCountries[[Actual]:[Mapping]],2,FALSE)</f>
        <v>Australia</v>
      </c>
      <c r="L626" t="s">
        <v>13</v>
      </c>
      <c r="M626">
        <v>4</v>
      </c>
      <c r="N626" s="8" t="str">
        <f>VLOOKUP(K626,tblCountries[],3,0)</f>
        <v>Oceania</v>
      </c>
      <c r="O626" s="8">
        <f>VLOOKUP(tblSalaries[[#This Row],[How many hours of a day you work on Excel]],tblHours,2,0)</f>
        <v>5</v>
      </c>
      <c r="P626" s="8">
        <f>VLOOKUP(tblSalaries[[#This Row],[clean Country]],tblCountries[],5,0)</f>
        <v>1.2026395585822935</v>
      </c>
      <c r="Q626" s="8">
        <f>IF($Q$1,tblSalaries[[#This Row],[PPP Factor]]*tblSalaries[[#This Row],[Salary in USD]],tblSalaries[[#This Row],[Salary in USD]])</f>
        <v>79552.953199405587</v>
      </c>
    </row>
    <row r="627" spans="2:17" ht="15" customHeight="1" x14ac:dyDescent="0.25">
      <c r="B627" t="s">
        <v>2630</v>
      </c>
      <c r="C627" s="1">
        <v>41055.48337962963</v>
      </c>
      <c r="D627" s="4" t="s">
        <v>733</v>
      </c>
      <c r="E627">
        <v>200000</v>
      </c>
      <c r="F627" t="s">
        <v>40</v>
      </c>
      <c r="G627">
        <f>tblSalaries[[#This Row],[clean Salary (in local currency)]]*VLOOKUP(tblSalaries[[#This Row],[Currency]],tblXrate[],2,FALSE)</f>
        <v>3561.5833374885137</v>
      </c>
      <c r="H627" t="s">
        <v>734</v>
      </c>
      <c r="I627" t="s">
        <v>310</v>
      </c>
      <c r="J627" t="s">
        <v>8</v>
      </c>
      <c r="K627" t="str">
        <f>VLOOKUP(tblSalaries[[#This Row],[Where do you work]],tblCountries[[Actual]:[Mapping]],2,FALSE)</f>
        <v>India</v>
      </c>
      <c r="L627" t="s">
        <v>9</v>
      </c>
      <c r="M627">
        <v>3</v>
      </c>
      <c r="N627" s="8" t="str">
        <f>VLOOKUP(K627,tblCountries[],3,0)</f>
        <v>Asia</v>
      </c>
      <c r="O627" s="8">
        <f>VLOOKUP(tblSalaries[[#This Row],[How many hours of a day you work on Excel]],tblHours,2,0)</f>
        <v>4</v>
      </c>
      <c r="P627" s="8">
        <f>VLOOKUP(tblSalaries[[#This Row],[clean Country]],tblCountries[],5,0)</f>
        <v>13.098808879263672</v>
      </c>
      <c r="Q627" s="8">
        <f>IF($Q$1,tblSalaries[[#This Row],[PPP Factor]]*tblSalaries[[#This Row],[Salary in USD]],tblSalaries[[#This Row],[Salary in USD]])</f>
        <v>3561.5833374885137</v>
      </c>
    </row>
    <row r="628" spans="2:17" ht="15" customHeight="1" x14ac:dyDescent="0.25">
      <c r="B628" t="s">
        <v>2631</v>
      </c>
      <c r="C628" s="1">
        <v>41055.4843287037</v>
      </c>
      <c r="D628" s="4">
        <v>80000</v>
      </c>
      <c r="E628">
        <v>80000</v>
      </c>
      <c r="F628" t="s">
        <v>6</v>
      </c>
      <c r="G628">
        <f>tblSalaries[[#This Row],[clean Salary (in local currency)]]*VLOOKUP(tblSalaries[[#This Row],[Currency]],tblXrate[],2,FALSE)</f>
        <v>80000</v>
      </c>
      <c r="H628" t="s">
        <v>735</v>
      </c>
      <c r="I628" t="s">
        <v>52</v>
      </c>
      <c r="J628" t="s">
        <v>15</v>
      </c>
      <c r="K628" t="str">
        <f>VLOOKUP(tblSalaries[[#This Row],[Where do you work]],tblCountries[[Actual]:[Mapping]],2,FALSE)</f>
        <v>USA</v>
      </c>
      <c r="L628" t="s">
        <v>9</v>
      </c>
      <c r="M628">
        <v>8</v>
      </c>
      <c r="N628" s="8" t="str">
        <f>VLOOKUP(K628,tblCountries[],3,0)</f>
        <v>North Amer.</v>
      </c>
      <c r="O628" s="8">
        <f>VLOOKUP(tblSalaries[[#This Row],[How many hours of a day you work on Excel]],tblHours,2,0)</f>
        <v>4</v>
      </c>
      <c r="P628" s="8">
        <f>VLOOKUP(tblSalaries[[#This Row],[clean Country]],tblCountries[],5,0)</f>
        <v>1</v>
      </c>
      <c r="Q628" s="8">
        <f>IF($Q$1,tblSalaries[[#This Row],[PPP Factor]]*tblSalaries[[#This Row],[Salary in USD]],tblSalaries[[#This Row],[Salary in USD]])</f>
        <v>80000</v>
      </c>
    </row>
    <row r="629" spans="2:17" ht="15" customHeight="1" x14ac:dyDescent="0.25">
      <c r="B629" t="s">
        <v>2632</v>
      </c>
      <c r="C629" s="1">
        <v>41055.4846412037</v>
      </c>
      <c r="D629" s="4">
        <v>600000</v>
      </c>
      <c r="E629">
        <v>600000</v>
      </c>
      <c r="F629" t="s">
        <v>40</v>
      </c>
      <c r="G629">
        <f>tblSalaries[[#This Row],[clean Salary (in local currency)]]*VLOOKUP(tblSalaries[[#This Row],[Currency]],tblXrate[],2,FALSE)</f>
        <v>10684.750012465542</v>
      </c>
      <c r="H629" t="s">
        <v>14</v>
      </c>
      <c r="I629" t="s">
        <v>20</v>
      </c>
      <c r="J629" t="s">
        <v>8</v>
      </c>
      <c r="K629" t="str">
        <f>VLOOKUP(tblSalaries[[#This Row],[Where do you work]],tblCountries[[Actual]:[Mapping]],2,FALSE)</f>
        <v>India</v>
      </c>
      <c r="L629" t="s">
        <v>18</v>
      </c>
      <c r="M629">
        <v>3</v>
      </c>
      <c r="N629" s="8" t="str">
        <f>VLOOKUP(K629,tblCountries[],3,0)</f>
        <v>Asia</v>
      </c>
      <c r="O629" s="8">
        <f>VLOOKUP(tblSalaries[[#This Row],[How many hours of a day you work on Excel]],tblHours,2,0)</f>
        <v>3</v>
      </c>
      <c r="P629" s="8">
        <f>VLOOKUP(tblSalaries[[#This Row],[clean Country]],tblCountries[],5,0)</f>
        <v>13.098808879263672</v>
      </c>
      <c r="Q629" s="8">
        <f>IF($Q$1,tblSalaries[[#This Row],[PPP Factor]]*tblSalaries[[#This Row],[Salary in USD]],tblSalaries[[#This Row],[Salary in USD]])</f>
        <v>10684.750012465542</v>
      </c>
    </row>
    <row r="630" spans="2:17" ht="15" customHeight="1" x14ac:dyDescent="0.25">
      <c r="B630" t="s">
        <v>2633</v>
      </c>
      <c r="C630" s="1">
        <v>41055.485972222225</v>
      </c>
      <c r="D630" s="4" t="s">
        <v>736</v>
      </c>
      <c r="E630">
        <v>300000</v>
      </c>
      <c r="F630" t="s">
        <v>40</v>
      </c>
      <c r="G630">
        <f>tblSalaries[[#This Row],[clean Salary (in local currency)]]*VLOOKUP(tblSalaries[[#This Row],[Currency]],tblXrate[],2,FALSE)</f>
        <v>5342.3750062327708</v>
      </c>
      <c r="H630" t="s">
        <v>737</v>
      </c>
      <c r="I630" t="s">
        <v>279</v>
      </c>
      <c r="J630" t="s">
        <v>8</v>
      </c>
      <c r="K630" t="str">
        <f>VLOOKUP(tblSalaries[[#This Row],[Where do you work]],tblCountries[[Actual]:[Mapping]],2,FALSE)</f>
        <v>India</v>
      </c>
      <c r="L630" t="s">
        <v>13</v>
      </c>
      <c r="M630">
        <v>2</v>
      </c>
      <c r="N630" s="8" t="str">
        <f>VLOOKUP(K630,tblCountries[],3,0)</f>
        <v>Asia</v>
      </c>
      <c r="O630" s="8">
        <f>VLOOKUP(tblSalaries[[#This Row],[How many hours of a day you work on Excel]],tblHours,2,0)</f>
        <v>5</v>
      </c>
      <c r="P630" s="8">
        <f>VLOOKUP(tblSalaries[[#This Row],[clean Country]],tblCountries[],5,0)</f>
        <v>13.098808879263672</v>
      </c>
      <c r="Q630" s="8">
        <f>IF($Q$1,tblSalaries[[#This Row],[PPP Factor]]*tblSalaries[[#This Row],[Salary in USD]],tblSalaries[[#This Row],[Salary in USD]])</f>
        <v>5342.3750062327708</v>
      </c>
    </row>
    <row r="631" spans="2:17" ht="15" customHeight="1" x14ac:dyDescent="0.25">
      <c r="B631" t="s">
        <v>2634</v>
      </c>
      <c r="C631" s="1">
        <v>41055.486504629633</v>
      </c>
      <c r="D631" s="4" t="s">
        <v>738</v>
      </c>
      <c r="E631">
        <v>4000000</v>
      </c>
      <c r="F631" t="s">
        <v>40</v>
      </c>
      <c r="G631">
        <f>tblSalaries[[#This Row],[clean Salary (in local currency)]]*VLOOKUP(tblSalaries[[#This Row],[Currency]],tblXrate[],2,FALSE)</f>
        <v>71231.666749770273</v>
      </c>
      <c r="H631" t="s">
        <v>739</v>
      </c>
      <c r="I631" t="s">
        <v>52</v>
      </c>
      <c r="J631" t="s">
        <v>8</v>
      </c>
      <c r="K631" t="str">
        <f>VLOOKUP(tblSalaries[[#This Row],[Where do you work]],tblCountries[[Actual]:[Mapping]],2,FALSE)</f>
        <v>India</v>
      </c>
      <c r="L631" t="s">
        <v>9</v>
      </c>
      <c r="M631">
        <v>1.5</v>
      </c>
      <c r="N631" s="8" t="str">
        <f>VLOOKUP(K631,tblCountries[],3,0)</f>
        <v>Asia</v>
      </c>
      <c r="O631" s="8">
        <f>VLOOKUP(tblSalaries[[#This Row],[How many hours of a day you work on Excel]],tblHours,2,0)</f>
        <v>4</v>
      </c>
      <c r="P631" s="8">
        <f>VLOOKUP(tblSalaries[[#This Row],[clean Country]],tblCountries[],5,0)</f>
        <v>13.098808879263672</v>
      </c>
      <c r="Q631" s="8">
        <f>IF($Q$1,tblSalaries[[#This Row],[PPP Factor]]*tblSalaries[[#This Row],[Salary in USD]],tblSalaries[[#This Row],[Salary in USD]])</f>
        <v>71231.666749770273</v>
      </c>
    </row>
    <row r="632" spans="2:17" ht="15" customHeight="1" x14ac:dyDescent="0.25">
      <c r="B632" t="s">
        <v>2635</v>
      </c>
      <c r="C632" s="1">
        <v>41055.490011574075</v>
      </c>
      <c r="D632" s="4" t="s">
        <v>740</v>
      </c>
      <c r="E632">
        <v>4500000</v>
      </c>
      <c r="F632" t="s">
        <v>40</v>
      </c>
      <c r="G632">
        <f>tblSalaries[[#This Row],[clean Salary (in local currency)]]*VLOOKUP(tblSalaries[[#This Row],[Currency]],tblXrate[],2,FALSE)</f>
        <v>80135.625093491559</v>
      </c>
      <c r="H632" t="s">
        <v>741</v>
      </c>
      <c r="I632" t="s">
        <v>4001</v>
      </c>
      <c r="J632" t="s">
        <v>8</v>
      </c>
      <c r="K632" t="str">
        <f>VLOOKUP(tblSalaries[[#This Row],[Where do you work]],tblCountries[[Actual]:[Mapping]],2,FALSE)</f>
        <v>India</v>
      </c>
      <c r="L632" t="s">
        <v>25</v>
      </c>
      <c r="M632">
        <v>6</v>
      </c>
      <c r="N632" s="8" t="str">
        <f>VLOOKUP(K632,tblCountries[],3,0)</f>
        <v>Asia</v>
      </c>
      <c r="O632" s="8">
        <f>VLOOKUP(tblSalaries[[#This Row],[How many hours of a day you work on Excel]],tblHours,2,0)</f>
        <v>2</v>
      </c>
      <c r="P632" s="8">
        <f>VLOOKUP(tblSalaries[[#This Row],[clean Country]],tblCountries[],5,0)</f>
        <v>13.098808879263672</v>
      </c>
      <c r="Q632" s="8">
        <f>IF($Q$1,tblSalaries[[#This Row],[PPP Factor]]*tblSalaries[[#This Row],[Salary in USD]],tblSalaries[[#This Row],[Salary in USD]])</f>
        <v>80135.625093491559</v>
      </c>
    </row>
    <row r="633" spans="2:17" ht="15" customHeight="1" x14ac:dyDescent="0.25">
      <c r="B633" t="s">
        <v>2636</v>
      </c>
      <c r="C633" s="1">
        <v>41055.49050925926</v>
      </c>
      <c r="D633" s="4">
        <v>55000</v>
      </c>
      <c r="E633">
        <v>55000</v>
      </c>
      <c r="F633" t="s">
        <v>86</v>
      </c>
      <c r="G633">
        <f>tblSalaries[[#This Row],[clean Salary (in local currency)]]*VLOOKUP(tblSalaries[[#This Row],[Currency]],tblXrate[],2,FALSE)</f>
        <v>54084.883766667976</v>
      </c>
      <c r="H633" t="s">
        <v>724</v>
      </c>
      <c r="I633" t="s">
        <v>52</v>
      </c>
      <c r="J633" t="s">
        <v>88</v>
      </c>
      <c r="K633" t="str">
        <f>VLOOKUP(tblSalaries[[#This Row],[Where do you work]],tblCountries[[Actual]:[Mapping]],2,FALSE)</f>
        <v>Canada</v>
      </c>
      <c r="L633" t="s">
        <v>9</v>
      </c>
      <c r="M633">
        <v>5</v>
      </c>
      <c r="N633" s="8" t="str">
        <f>VLOOKUP(K633,tblCountries[],3,0)</f>
        <v>North Amer.</v>
      </c>
      <c r="O633" s="8">
        <f>VLOOKUP(tblSalaries[[#This Row],[How many hours of a day you work on Excel]],tblHours,2,0)</f>
        <v>4</v>
      </c>
      <c r="P633" s="8">
        <f>VLOOKUP(tblSalaries[[#This Row],[clean Country]],tblCountries[],5,0)</f>
        <v>1.1935324732986359</v>
      </c>
      <c r="Q633" s="8">
        <f>IF($Q$1,tblSalaries[[#This Row],[PPP Factor]]*tblSalaries[[#This Row],[Salary in USD]],tblSalaries[[#This Row],[Salary in USD]])</f>
        <v>54084.883766667976</v>
      </c>
    </row>
    <row r="634" spans="2:17" ht="15" customHeight="1" x14ac:dyDescent="0.25">
      <c r="B634" t="s">
        <v>2637</v>
      </c>
      <c r="C634" s="1">
        <v>41055.491180555553</v>
      </c>
      <c r="D634" s="4">
        <v>53000</v>
      </c>
      <c r="E634">
        <v>53000</v>
      </c>
      <c r="F634" t="s">
        <v>6</v>
      </c>
      <c r="G634">
        <f>tblSalaries[[#This Row],[clean Salary (in local currency)]]*VLOOKUP(tblSalaries[[#This Row],[Currency]],tblXrate[],2,FALSE)</f>
        <v>53000</v>
      </c>
      <c r="H634" t="s">
        <v>14</v>
      </c>
      <c r="I634" t="s">
        <v>20</v>
      </c>
      <c r="J634" t="s">
        <v>15</v>
      </c>
      <c r="K634" t="str">
        <f>VLOOKUP(tblSalaries[[#This Row],[Where do you work]],tblCountries[[Actual]:[Mapping]],2,FALSE)</f>
        <v>USA</v>
      </c>
      <c r="L634" t="s">
        <v>9</v>
      </c>
      <c r="M634">
        <v>30</v>
      </c>
      <c r="N634" s="8" t="str">
        <f>VLOOKUP(K634,tblCountries[],3,0)</f>
        <v>North Amer.</v>
      </c>
      <c r="O634" s="8">
        <f>VLOOKUP(tblSalaries[[#This Row],[How many hours of a day you work on Excel]],tblHours,2,0)</f>
        <v>4</v>
      </c>
      <c r="P634" s="8">
        <f>VLOOKUP(tblSalaries[[#This Row],[clean Country]],tblCountries[],5,0)</f>
        <v>1</v>
      </c>
      <c r="Q634" s="8">
        <f>IF($Q$1,tblSalaries[[#This Row],[PPP Factor]]*tblSalaries[[#This Row],[Salary in USD]],tblSalaries[[#This Row],[Salary in USD]])</f>
        <v>53000</v>
      </c>
    </row>
    <row r="635" spans="2:17" ht="15" customHeight="1" x14ac:dyDescent="0.25">
      <c r="B635" t="s">
        <v>2638</v>
      </c>
      <c r="C635" s="1">
        <v>41055.491412037038</v>
      </c>
      <c r="D635" s="4" t="s">
        <v>742</v>
      </c>
      <c r="E635">
        <v>300000</v>
      </c>
      <c r="F635" t="s">
        <v>40</v>
      </c>
      <c r="G635">
        <f>tblSalaries[[#This Row],[clean Salary (in local currency)]]*VLOOKUP(tblSalaries[[#This Row],[Currency]],tblXrate[],2,FALSE)</f>
        <v>5342.3750062327708</v>
      </c>
      <c r="H635" t="s">
        <v>360</v>
      </c>
      <c r="I635" t="s">
        <v>3999</v>
      </c>
      <c r="J635" t="s">
        <v>8</v>
      </c>
      <c r="K635" t="str">
        <f>VLOOKUP(tblSalaries[[#This Row],[Where do you work]],tblCountries[[Actual]:[Mapping]],2,FALSE)</f>
        <v>India</v>
      </c>
      <c r="L635" t="s">
        <v>9</v>
      </c>
      <c r="M635">
        <v>1</v>
      </c>
      <c r="N635" s="8" t="str">
        <f>VLOOKUP(K635,tblCountries[],3,0)</f>
        <v>Asia</v>
      </c>
      <c r="O635" s="8">
        <f>VLOOKUP(tblSalaries[[#This Row],[How many hours of a day you work on Excel]],tblHours,2,0)</f>
        <v>4</v>
      </c>
      <c r="P635" s="8">
        <f>VLOOKUP(tblSalaries[[#This Row],[clean Country]],tblCountries[],5,0)</f>
        <v>13.098808879263672</v>
      </c>
      <c r="Q635" s="8">
        <f>IF($Q$1,tblSalaries[[#This Row],[PPP Factor]]*tblSalaries[[#This Row],[Salary in USD]],tblSalaries[[#This Row],[Salary in USD]])</f>
        <v>5342.3750062327708</v>
      </c>
    </row>
    <row r="636" spans="2:17" ht="15" customHeight="1" x14ac:dyDescent="0.25">
      <c r="B636" t="s">
        <v>2639</v>
      </c>
      <c r="C636" s="1">
        <v>41055.493090277778</v>
      </c>
      <c r="D636" s="4" t="s">
        <v>743</v>
      </c>
      <c r="E636">
        <v>400000</v>
      </c>
      <c r="F636" t="s">
        <v>40</v>
      </c>
      <c r="G636">
        <f>tblSalaries[[#This Row],[clean Salary (in local currency)]]*VLOOKUP(tblSalaries[[#This Row],[Currency]],tblXrate[],2,FALSE)</f>
        <v>7123.1666749770275</v>
      </c>
      <c r="H636" t="s">
        <v>744</v>
      </c>
      <c r="I636" t="s">
        <v>52</v>
      </c>
      <c r="J636" t="s">
        <v>8</v>
      </c>
      <c r="K636" t="str">
        <f>VLOOKUP(tblSalaries[[#This Row],[Where do you work]],tblCountries[[Actual]:[Mapping]],2,FALSE)</f>
        <v>India</v>
      </c>
      <c r="L636" t="s">
        <v>25</v>
      </c>
      <c r="M636">
        <v>5</v>
      </c>
      <c r="N636" s="8" t="str">
        <f>VLOOKUP(K636,tblCountries[],3,0)</f>
        <v>Asia</v>
      </c>
      <c r="O636" s="8">
        <f>VLOOKUP(tblSalaries[[#This Row],[How many hours of a day you work on Excel]],tblHours,2,0)</f>
        <v>2</v>
      </c>
      <c r="P636" s="8">
        <f>VLOOKUP(tblSalaries[[#This Row],[clean Country]],tblCountries[],5,0)</f>
        <v>13.098808879263672</v>
      </c>
      <c r="Q636" s="8">
        <f>IF($Q$1,tblSalaries[[#This Row],[PPP Factor]]*tblSalaries[[#This Row],[Salary in USD]],tblSalaries[[#This Row],[Salary in USD]])</f>
        <v>7123.1666749770275</v>
      </c>
    </row>
    <row r="637" spans="2:17" ht="15" customHeight="1" x14ac:dyDescent="0.25">
      <c r="B637" t="s">
        <v>2640</v>
      </c>
      <c r="C637" s="1">
        <v>41055.493449074071</v>
      </c>
      <c r="D637" s="4" t="s">
        <v>745</v>
      </c>
      <c r="E637">
        <v>600000</v>
      </c>
      <c r="F637" t="s">
        <v>40</v>
      </c>
      <c r="G637">
        <f>tblSalaries[[#This Row],[clean Salary (in local currency)]]*VLOOKUP(tblSalaries[[#This Row],[Currency]],tblXrate[],2,FALSE)</f>
        <v>10684.750012465542</v>
      </c>
      <c r="H637" t="s">
        <v>746</v>
      </c>
      <c r="I637" t="s">
        <v>52</v>
      </c>
      <c r="J637" t="s">
        <v>8</v>
      </c>
      <c r="K637" t="str">
        <f>VLOOKUP(tblSalaries[[#This Row],[Where do you work]],tblCountries[[Actual]:[Mapping]],2,FALSE)</f>
        <v>India</v>
      </c>
      <c r="L637" t="s">
        <v>9</v>
      </c>
      <c r="M637">
        <v>11</v>
      </c>
      <c r="N637" s="8" t="str">
        <f>VLOOKUP(K637,tblCountries[],3,0)</f>
        <v>Asia</v>
      </c>
      <c r="O637" s="8">
        <f>VLOOKUP(tblSalaries[[#This Row],[How many hours of a day you work on Excel]],tblHours,2,0)</f>
        <v>4</v>
      </c>
      <c r="P637" s="8">
        <f>VLOOKUP(tblSalaries[[#This Row],[clean Country]],tblCountries[],5,0)</f>
        <v>13.098808879263672</v>
      </c>
      <c r="Q637" s="8">
        <f>IF($Q$1,tblSalaries[[#This Row],[PPP Factor]]*tblSalaries[[#This Row],[Salary in USD]],tblSalaries[[#This Row],[Salary in USD]])</f>
        <v>10684.750012465542</v>
      </c>
    </row>
    <row r="638" spans="2:17" ht="15" customHeight="1" x14ac:dyDescent="0.25">
      <c r="B638" t="s">
        <v>2641</v>
      </c>
      <c r="C638" s="1">
        <v>41055.496724537035</v>
      </c>
      <c r="D638" s="4">
        <v>4000</v>
      </c>
      <c r="E638">
        <v>4000</v>
      </c>
      <c r="F638" t="s">
        <v>6</v>
      </c>
      <c r="G638">
        <f>tblSalaries[[#This Row],[clean Salary (in local currency)]]*VLOOKUP(tblSalaries[[#This Row],[Currency]],tblXrate[],2,FALSE)</f>
        <v>4000</v>
      </c>
      <c r="H638" t="s">
        <v>721</v>
      </c>
      <c r="I638" t="s">
        <v>3999</v>
      </c>
      <c r="J638" t="s">
        <v>8</v>
      </c>
      <c r="K638" t="str">
        <f>VLOOKUP(tblSalaries[[#This Row],[Where do you work]],tblCountries[[Actual]:[Mapping]],2,FALSE)</f>
        <v>India</v>
      </c>
      <c r="L638" t="s">
        <v>13</v>
      </c>
      <c r="M638">
        <v>4</v>
      </c>
      <c r="N638" s="8" t="str">
        <f>VLOOKUP(K638,tblCountries[],3,0)</f>
        <v>Asia</v>
      </c>
      <c r="O638" s="8">
        <f>VLOOKUP(tblSalaries[[#This Row],[How many hours of a day you work on Excel]],tblHours,2,0)</f>
        <v>5</v>
      </c>
      <c r="P638" s="8">
        <f>VLOOKUP(tblSalaries[[#This Row],[clean Country]],tblCountries[],5,0)</f>
        <v>13.098808879263672</v>
      </c>
      <c r="Q638" s="8">
        <f>IF($Q$1,tblSalaries[[#This Row],[PPP Factor]]*tblSalaries[[#This Row],[Salary in USD]],tblSalaries[[#This Row],[Salary in USD]])</f>
        <v>4000</v>
      </c>
    </row>
    <row r="639" spans="2:17" ht="15" customHeight="1" x14ac:dyDescent="0.25">
      <c r="B639" t="s">
        <v>2642</v>
      </c>
      <c r="C639" s="1">
        <v>41055.498877314814</v>
      </c>
      <c r="D639" s="4">
        <v>8000</v>
      </c>
      <c r="E639">
        <v>8000</v>
      </c>
      <c r="F639" t="s">
        <v>6</v>
      </c>
      <c r="G639">
        <f>tblSalaries[[#This Row],[clean Salary (in local currency)]]*VLOOKUP(tblSalaries[[#This Row],[Currency]],tblXrate[],2,FALSE)</f>
        <v>8000</v>
      </c>
      <c r="H639" t="s">
        <v>747</v>
      </c>
      <c r="I639" t="s">
        <v>52</v>
      </c>
      <c r="J639" t="s">
        <v>748</v>
      </c>
      <c r="K639" t="str">
        <f>VLOOKUP(tblSalaries[[#This Row],[Where do you work]],tblCountries[[Actual]:[Mapping]],2,FALSE)</f>
        <v>Thailand</v>
      </c>
      <c r="L639" t="s">
        <v>13</v>
      </c>
      <c r="M639">
        <v>1</v>
      </c>
      <c r="N639" s="8" t="str">
        <f>VLOOKUP(K639,tblCountries[],3,0)</f>
        <v>Asia</v>
      </c>
      <c r="O639" s="8">
        <f>VLOOKUP(tblSalaries[[#This Row],[How many hours of a day you work on Excel]],tblHours,2,0)</f>
        <v>5</v>
      </c>
      <c r="P639" s="8">
        <f>VLOOKUP(tblSalaries[[#This Row],[clean Country]],tblCountries[],5,0)</f>
        <v>5.1497445721583652</v>
      </c>
      <c r="Q639" s="8">
        <f>IF($Q$1,tblSalaries[[#This Row],[PPP Factor]]*tblSalaries[[#This Row],[Salary in USD]],tblSalaries[[#This Row],[Salary in USD]])</f>
        <v>8000</v>
      </c>
    </row>
    <row r="640" spans="2:17" ht="15" customHeight="1" x14ac:dyDescent="0.25">
      <c r="B640" t="s">
        <v>2643</v>
      </c>
      <c r="C640" s="1">
        <v>41055.503877314812</v>
      </c>
      <c r="D640" s="4">
        <v>150000</v>
      </c>
      <c r="E640">
        <v>150000</v>
      </c>
      <c r="F640" t="s">
        <v>40</v>
      </c>
      <c r="G640">
        <f>tblSalaries[[#This Row],[clean Salary (in local currency)]]*VLOOKUP(tblSalaries[[#This Row],[Currency]],tblXrate[],2,FALSE)</f>
        <v>2671.1875031163854</v>
      </c>
      <c r="H640" t="s">
        <v>749</v>
      </c>
      <c r="I640" t="s">
        <v>52</v>
      </c>
      <c r="J640" t="s">
        <v>8</v>
      </c>
      <c r="K640" t="str">
        <f>VLOOKUP(tblSalaries[[#This Row],[Where do you work]],tblCountries[[Actual]:[Mapping]],2,FALSE)</f>
        <v>India</v>
      </c>
      <c r="L640" t="s">
        <v>18</v>
      </c>
      <c r="M640">
        <v>5</v>
      </c>
      <c r="N640" s="8" t="str">
        <f>VLOOKUP(K640,tblCountries[],3,0)</f>
        <v>Asia</v>
      </c>
      <c r="O640" s="8">
        <f>VLOOKUP(tblSalaries[[#This Row],[How many hours of a day you work on Excel]],tblHours,2,0)</f>
        <v>3</v>
      </c>
      <c r="P640" s="8">
        <f>VLOOKUP(tblSalaries[[#This Row],[clean Country]],tblCountries[],5,0)</f>
        <v>13.098808879263672</v>
      </c>
      <c r="Q640" s="8">
        <f>IF($Q$1,tblSalaries[[#This Row],[PPP Factor]]*tblSalaries[[#This Row],[Salary in USD]],tblSalaries[[#This Row],[Salary in USD]])</f>
        <v>2671.1875031163854</v>
      </c>
    </row>
    <row r="641" spans="2:17" ht="15" customHeight="1" x14ac:dyDescent="0.25">
      <c r="B641" t="s">
        <v>2644</v>
      </c>
      <c r="C641" s="1">
        <v>41055.50980324074</v>
      </c>
      <c r="D641" s="4" t="s">
        <v>750</v>
      </c>
      <c r="E641">
        <v>800000</v>
      </c>
      <c r="F641" t="s">
        <v>40</v>
      </c>
      <c r="G641">
        <f>tblSalaries[[#This Row],[clean Salary (in local currency)]]*VLOOKUP(tblSalaries[[#This Row],[Currency]],tblXrate[],2,FALSE)</f>
        <v>14246.333349954055</v>
      </c>
      <c r="H641" t="s">
        <v>279</v>
      </c>
      <c r="I641" t="s">
        <v>279</v>
      </c>
      <c r="J641" t="s">
        <v>8</v>
      </c>
      <c r="K641" t="str">
        <f>VLOOKUP(tblSalaries[[#This Row],[Where do you work]],tblCountries[[Actual]:[Mapping]],2,FALSE)</f>
        <v>India</v>
      </c>
      <c r="L641" t="s">
        <v>18</v>
      </c>
      <c r="M641">
        <v>3</v>
      </c>
      <c r="N641" s="8" t="str">
        <f>VLOOKUP(K641,tblCountries[],3,0)</f>
        <v>Asia</v>
      </c>
      <c r="O641" s="8">
        <f>VLOOKUP(tblSalaries[[#This Row],[How many hours of a day you work on Excel]],tblHours,2,0)</f>
        <v>3</v>
      </c>
      <c r="P641" s="8">
        <f>VLOOKUP(tblSalaries[[#This Row],[clean Country]],tblCountries[],5,0)</f>
        <v>13.098808879263672</v>
      </c>
      <c r="Q641" s="8">
        <f>IF($Q$1,tblSalaries[[#This Row],[PPP Factor]]*tblSalaries[[#This Row],[Salary in USD]],tblSalaries[[#This Row],[Salary in USD]])</f>
        <v>14246.333349954055</v>
      </c>
    </row>
    <row r="642" spans="2:17" ht="15" customHeight="1" x14ac:dyDescent="0.25">
      <c r="B642" t="s">
        <v>2645</v>
      </c>
      <c r="C642" s="1">
        <v>41055.511817129627</v>
      </c>
      <c r="D642" s="4">
        <v>480000</v>
      </c>
      <c r="E642">
        <v>480000</v>
      </c>
      <c r="F642" t="s">
        <v>40</v>
      </c>
      <c r="G642">
        <f>tblSalaries[[#This Row],[clean Salary (in local currency)]]*VLOOKUP(tblSalaries[[#This Row],[Currency]],tblXrate[],2,FALSE)</f>
        <v>8547.8000099724322</v>
      </c>
      <c r="H642" t="s">
        <v>751</v>
      </c>
      <c r="I642" t="s">
        <v>3999</v>
      </c>
      <c r="J642" t="s">
        <v>8</v>
      </c>
      <c r="K642" t="str">
        <f>VLOOKUP(tblSalaries[[#This Row],[Where do you work]],tblCountries[[Actual]:[Mapping]],2,FALSE)</f>
        <v>India</v>
      </c>
      <c r="L642" t="s">
        <v>25</v>
      </c>
      <c r="M642">
        <v>3</v>
      </c>
      <c r="N642" s="8" t="str">
        <f>VLOOKUP(K642,tblCountries[],3,0)</f>
        <v>Asia</v>
      </c>
      <c r="O642" s="8">
        <f>VLOOKUP(tblSalaries[[#This Row],[How many hours of a day you work on Excel]],tblHours,2,0)</f>
        <v>2</v>
      </c>
      <c r="P642" s="8">
        <f>VLOOKUP(tblSalaries[[#This Row],[clean Country]],tblCountries[],5,0)</f>
        <v>13.098808879263672</v>
      </c>
      <c r="Q642" s="8">
        <f>IF($Q$1,tblSalaries[[#This Row],[PPP Factor]]*tblSalaries[[#This Row],[Salary in USD]],tblSalaries[[#This Row],[Salary in USD]])</f>
        <v>8547.8000099724322</v>
      </c>
    </row>
    <row r="643" spans="2:17" ht="15" customHeight="1" x14ac:dyDescent="0.25">
      <c r="B643" t="s">
        <v>2646</v>
      </c>
      <c r="C643" s="1">
        <v>41055.513738425929</v>
      </c>
      <c r="D643" s="4" t="s">
        <v>752</v>
      </c>
      <c r="E643">
        <v>432000</v>
      </c>
      <c r="F643" t="s">
        <v>40</v>
      </c>
      <c r="G643">
        <f>tblSalaries[[#This Row],[clean Salary (in local currency)]]*VLOOKUP(tblSalaries[[#This Row],[Currency]],tblXrate[],2,FALSE)</f>
        <v>7693.0200089751897</v>
      </c>
      <c r="H643" t="s">
        <v>753</v>
      </c>
      <c r="I643" t="s">
        <v>52</v>
      </c>
      <c r="J643" t="s">
        <v>8</v>
      </c>
      <c r="K643" t="str">
        <f>VLOOKUP(tblSalaries[[#This Row],[Where do you work]],tblCountries[[Actual]:[Mapping]],2,FALSE)</f>
        <v>India</v>
      </c>
      <c r="L643" t="s">
        <v>18</v>
      </c>
      <c r="M643">
        <v>5</v>
      </c>
      <c r="N643" s="8" t="str">
        <f>VLOOKUP(K643,tblCountries[],3,0)</f>
        <v>Asia</v>
      </c>
      <c r="O643" s="8">
        <f>VLOOKUP(tblSalaries[[#This Row],[How many hours of a day you work on Excel]],tblHours,2,0)</f>
        <v>3</v>
      </c>
      <c r="P643" s="8">
        <f>VLOOKUP(tblSalaries[[#This Row],[clean Country]],tblCountries[],5,0)</f>
        <v>13.098808879263672</v>
      </c>
      <c r="Q643" s="8">
        <f>IF($Q$1,tblSalaries[[#This Row],[PPP Factor]]*tblSalaries[[#This Row],[Salary in USD]],tblSalaries[[#This Row],[Salary in USD]])</f>
        <v>7693.0200089751897</v>
      </c>
    </row>
    <row r="644" spans="2:17" ht="15" customHeight="1" x14ac:dyDescent="0.25">
      <c r="B644" t="s">
        <v>2647</v>
      </c>
      <c r="C644" s="1">
        <v>41055.513807870368</v>
      </c>
      <c r="D644" s="4">
        <v>4000</v>
      </c>
      <c r="E644">
        <v>4000</v>
      </c>
      <c r="F644" t="s">
        <v>6</v>
      </c>
      <c r="G644">
        <f>tblSalaries[[#This Row],[clean Salary (in local currency)]]*VLOOKUP(tblSalaries[[#This Row],[Currency]],tblXrate[],2,FALSE)</f>
        <v>4000</v>
      </c>
      <c r="H644" t="s">
        <v>754</v>
      </c>
      <c r="I644" t="s">
        <v>52</v>
      </c>
      <c r="J644" t="s">
        <v>8</v>
      </c>
      <c r="K644" t="str">
        <f>VLOOKUP(tblSalaries[[#This Row],[Where do you work]],tblCountries[[Actual]:[Mapping]],2,FALSE)</f>
        <v>India</v>
      </c>
      <c r="L644" t="s">
        <v>13</v>
      </c>
      <c r="M644">
        <v>8</v>
      </c>
      <c r="N644" s="8" t="str">
        <f>VLOOKUP(K644,tblCountries[],3,0)</f>
        <v>Asia</v>
      </c>
      <c r="O644" s="8">
        <f>VLOOKUP(tblSalaries[[#This Row],[How many hours of a day you work on Excel]],tblHours,2,0)</f>
        <v>5</v>
      </c>
      <c r="P644" s="8">
        <f>VLOOKUP(tblSalaries[[#This Row],[clean Country]],tblCountries[],5,0)</f>
        <v>13.098808879263672</v>
      </c>
      <c r="Q644" s="8">
        <f>IF($Q$1,tblSalaries[[#This Row],[PPP Factor]]*tblSalaries[[#This Row],[Salary in USD]],tblSalaries[[#This Row],[Salary in USD]])</f>
        <v>4000</v>
      </c>
    </row>
    <row r="645" spans="2:17" ht="15" customHeight="1" x14ac:dyDescent="0.25">
      <c r="B645" t="s">
        <v>2648</v>
      </c>
      <c r="C645" s="1">
        <v>41055.513969907406</v>
      </c>
      <c r="D645" s="4">
        <v>450</v>
      </c>
      <c r="E645">
        <v>5400</v>
      </c>
      <c r="F645" t="s">
        <v>6</v>
      </c>
      <c r="G645">
        <f>tblSalaries[[#This Row],[clean Salary (in local currency)]]*VLOOKUP(tblSalaries[[#This Row],[Currency]],tblXrate[],2,FALSE)</f>
        <v>5400</v>
      </c>
      <c r="H645" t="s">
        <v>635</v>
      </c>
      <c r="I645" t="s">
        <v>52</v>
      </c>
      <c r="J645" t="s">
        <v>8</v>
      </c>
      <c r="K645" t="str">
        <f>VLOOKUP(tblSalaries[[#This Row],[Where do you work]],tblCountries[[Actual]:[Mapping]],2,FALSE)</f>
        <v>India</v>
      </c>
      <c r="L645" t="s">
        <v>13</v>
      </c>
      <c r="M645">
        <v>3</v>
      </c>
      <c r="N645" s="8" t="str">
        <f>VLOOKUP(K645,tblCountries[],3,0)</f>
        <v>Asia</v>
      </c>
      <c r="O645" s="8">
        <f>VLOOKUP(tblSalaries[[#This Row],[How many hours of a day you work on Excel]],tblHours,2,0)</f>
        <v>5</v>
      </c>
      <c r="P645" s="8">
        <f>VLOOKUP(tblSalaries[[#This Row],[clean Country]],tblCountries[],5,0)</f>
        <v>13.098808879263672</v>
      </c>
      <c r="Q645" s="8">
        <f>IF($Q$1,tblSalaries[[#This Row],[PPP Factor]]*tblSalaries[[#This Row],[Salary in USD]],tblSalaries[[#This Row],[Salary in USD]])</f>
        <v>5400</v>
      </c>
    </row>
    <row r="646" spans="2:17" ht="15" customHeight="1" x14ac:dyDescent="0.25">
      <c r="B646" t="s">
        <v>2649</v>
      </c>
      <c r="C646" s="1">
        <v>41055.516134259262</v>
      </c>
      <c r="D646" s="4">
        <v>10500000</v>
      </c>
      <c r="E646">
        <v>10500000</v>
      </c>
      <c r="F646" t="s">
        <v>40</v>
      </c>
      <c r="G646">
        <f>tblSalaries[[#This Row],[clean Salary (in local currency)]]*VLOOKUP(tblSalaries[[#This Row],[Currency]],tblXrate[],2,FALSE)</f>
        <v>186983.12521814698</v>
      </c>
      <c r="H646" t="s">
        <v>755</v>
      </c>
      <c r="I646" t="s">
        <v>52</v>
      </c>
      <c r="J646" t="s">
        <v>8</v>
      </c>
      <c r="K646" t="str">
        <f>VLOOKUP(tblSalaries[[#This Row],[Where do you work]],tblCountries[[Actual]:[Mapping]],2,FALSE)</f>
        <v>India</v>
      </c>
      <c r="L646" t="s">
        <v>18</v>
      </c>
      <c r="M646">
        <v>10</v>
      </c>
      <c r="N646" s="8" t="str">
        <f>VLOOKUP(K646,tblCountries[],3,0)</f>
        <v>Asia</v>
      </c>
      <c r="O646" s="8">
        <f>VLOOKUP(tblSalaries[[#This Row],[How many hours of a day you work on Excel]],tblHours,2,0)</f>
        <v>3</v>
      </c>
      <c r="P646" s="8">
        <f>VLOOKUP(tblSalaries[[#This Row],[clean Country]],tblCountries[],5,0)</f>
        <v>13.098808879263672</v>
      </c>
      <c r="Q646" s="8">
        <f>IF($Q$1,tblSalaries[[#This Row],[PPP Factor]]*tblSalaries[[#This Row],[Salary in USD]],tblSalaries[[#This Row],[Salary in USD]])</f>
        <v>186983.12521814698</v>
      </c>
    </row>
    <row r="647" spans="2:17" ht="15" customHeight="1" x14ac:dyDescent="0.25">
      <c r="B647" t="s">
        <v>2650</v>
      </c>
      <c r="C647" s="1">
        <v>41055.517465277779</v>
      </c>
      <c r="D647" s="4">
        <v>21500</v>
      </c>
      <c r="E647">
        <v>21500</v>
      </c>
      <c r="F647" t="s">
        <v>6</v>
      </c>
      <c r="G647">
        <f>tblSalaries[[#This Row],[clean Salary (in local currency)]]*VLOOKUP(tblSalaries[[#This Row],[Currency]],tblXrate[],2,FALSE)</f>
        <v>21500</v>
      </c>
      <c r="H647" t="s">
        <v>756</v>
      </c>
      <c r="I647" t="s">
        <v>20</v>
      </c>
      <c r="J647" t="s">
        <v>8</v>
      </c>
      <c r="K647" t="str">
        <f>VLOOKUP(tblSalaries[[#This Row],[Where do you work]],tblCountries[[Actual]:[Mapping]],2,FALSE)</f>
        <v>India</v>
      </c>
      <c r="L647" t="s">
        <v>9</v>
      </c>
      <c r="M647">
        <v>9</v>
      </c>
      <c r="N647" s="8" t="str">
        <f>VLOOKUP(K647,tblCountries[],3,0)</f>
        <v>Asia</v>
      </c>
      <c r="O647" s="8">
        <f>VLOOKUP(tblSalaries[[#This Row],[How many hours of a day you work on Excel]],tblHours,2,0)</f>
        <v>4</v>
      </c>
      <c r="P647" s="8">
        <f>VLOOKUP(tblSalaries[[#This Row],[clean Country]],tblCountries[],5,0)</f>
        <v>13.098808879263672</v>
      </c>
      <c r="Q647" s="8">
        <f>IF($Q$1,tblSalaries[[#This Row],[PPP Factor]]*tblSalaries[[#This Row],[Salary in USD]],tblSalaries[[#This Row],[Salary in USD]])</f>
        <v>21500</v>
      </c>
    </row>
    <row r="648" spans="2:17" ht="15" customHeight="1" x14ac:dyDescent="0.25">
      <c r="B648" t="s">
        <v>2651</v>
      </c>
      <c r="C648" s="1">
        <v>41055.518437500003</v>
      </c>
      <c r="D648" s="4">
        <v>15000</v>
      </c>
      <c r="E648">
        <v>15000</v>
      </c>
      <c r="F648" t="s">
        <v>6</v>
      </c>
      <c r="G648">
        <f>tblSalaries[[#This Row],[clean Salary (in local currency)]]*VLOOKUP(tblSalaries[[#This Row],[Currency]],tblXrate[],2,FALSE)</f>
        <v>15000</v>
      </c>
      <c r="H648" t="s">
        <v>721</v>
      </c>
      <c r="I648" t="s">
        <v>3999</v>
      </c>
      <c r="J648" t="s">
        <v>8</v>
      </c>
      <c r="K648" t="str">
        <f>VLOOKUP(tblSalaries[[#This Row],[Where do you work]],tblCountries[[Actual]:[Mapping]],2,FALSE)</f>
        <v>India</v>
      </c>
      <c r="L648" t="s">
        <v>13</v>
      </c>
      <c r="M648">
        <v>2</v>
      </c>
      <c r="N648" s="8" t="str">
        <f>VLOOKUP(K648,tblCountries[],3,0)</f>
        <v>Asia</v>
      </c>
      <c r="O648" s="8">
        <f>VLOOKUP(tblSalaries[[#This Row],[How many hours of a day you work on Excel]],tblHours,2,0)</f>
        <v>5</v>
      </c>
      <c r="P648" s="8">
        <f>VLOOKUP(tblSalaries[[#This Row],[clean Country]],tblCountries[],5,0)</f>
        <v>13.098808879263672</v>
      </c>
      <c r="Q648" s="8">
        <f>IF($Q$1,tblSalaries[[#This Row],[PPP Factor]]*tblSalaries[[#This Row],[Salary in USD]],tblSalaries[[#This Row],[Salary in USD]])</f>
        <v>15000</v>
      </c>
    </row>
    <row r="649" spans="2:17" ht="15" customHeight="1" x14ac:dyDescent="0.25">
      <c r="B649" t="s">
        <v>2652</v>
      </c>
      <c r="C649" s="1">
        <v>41055.51898148148</v>
      </c>
      <c r="D649" s="4">
        <v>200000</v>
      </c>
      <c r="E649">
        <v>200000</v>
      </c>
      <c r="F649" t="s">
        <v>32</v>
      </c>
      <c r="G649">
        <f>tblSalaries[[#This Row],[clean Salary (in local currency)]]*VLOOKUP(tblSalaries[[#This Row],[Currency]],tblXrate[],2,FALSE)</f>
        <v>2122.8177433598262</v>
      </c>
      <c r="H649" t="s">
        <v>757</v>
      </c>
      <c r="I649" t="s">
        <v>310</v>
      </c>
      <c r="J649" t="s">
        <v>17</v>
      </c>
      <c r="K649" t="str">
        <f>VLOOKUP(tblSalaries[[#This Row],[Where do you work]],tblCountries[[Actual]:[Mapping]],2,FALSE)</f>
        <v>Pakistan</v>
      </c>
      <c r="L649" t="s">
        <v>18</v>
      </c>
      <c r="M649">
        <v>2</v>
      </c>
      <c r="N649" s="8" t="str">
        <f>VLOOKUP(K649,tblCountries[],3,0)</f>
        <v>Asia</v>
      </c>
      <c r="O649" s="8">
        <f>VLOOKUP(tblSalaries[[#This Row],[How many hours of a day you work on Excel]],tblHours,2,0)</f>
        <v>3</v>
      </c>
      <c r="P649" s="8">
        <f>VLOOKUP(tblSalaries[[#This Row],[clean Country]],tblCountries[],5,0)</f>
        <v>17.361679224973088</v>
      </c>
      <c r="Q649" s="8">
        <f>IF($Q$1,tblSalaries[[#This Row],[PPP Factor]]*tblSalaries[[#This Row],[Salary in USD]],tblSalaries[[#This Row],[Salary in USD]])</f>
        <v>2122.8177433598262</v>
      </c>
    </row>
    <row r="650" spans="2:17" ht="15" customHeight="1" x14ac:dyDescent="0.25">
      <c r="B650" t="s">
        <v>2653</v>
      </c>
      <c r="C650" s="1">
        <v>41055.519502314812</v>
      </c>
      <c r="D650" s="4" t="s">
        <v>758</v>
      </c>
      <c r="E650">
        <v>950000</v>
      </c>
      <c r="F650" t="s">
        <v>40</v>
      </c>
      <c r="G650">
        <f>tblSalaries[[#This Row],[clean Salary (in local currency)]]*VLOOKUP(tblSalaries[[#This Row],[Currency]],tblXrate[],2,FALSE)</f>
        <v>16917.52085307044</v>
      </c>
      <c r="H650" t="s">
        <v>759</v>
      </c>
      <c r="I650" t="s">
        <v>52</v>
      </c>
      <c r="J650" t="s">
        <v>8</v>
      </c>
      <c r="K650" t="str">
        <f>VLOOKUP(tblSalaries[[#This Row],[Where do you work]],tblCountries[[Actual]:[Mapping]],2,FALSE)</f>
        <v>India</v>
      </c>
      <c r="L650" t="s">
        <v>9</v>
      </c>
      <c r="M650">
        <v>3</v>
      </c>
      <c r="N650" s="8" t="str">
        <f>VLOOKUP(K650,tblCountries[],3,0)</f>
        <v>Asia</v>
      </c>
      <c r="O650" s="8">
        <f>VLOOKUP(tblSalaries[[#This Row],[How many hours of a day you work on Excel]],tblHours,2,0)</f>
        <v>4</v>
      </c>
      <c r="P650" s="8">
        <f>VLOOKUP(tblSalaries[[#This Row],[clean Country]],tblCountries[],5,0)</f>
        <v>13.098808879263672</v>
      </c>
      <c r="Q650" s="8">
        <f>IF($Q$1,tblSalaries[[#This Row],[PPP Factor]]*tblSalaries[[#This Row],[Salary in USD]],tblSalaries[[#This Row],[Salary in USD]])</f>
        <v>16917.52085307044</v>
      </c>
    </row>
    <row r="651" spans="2:17" ht="15" customHeight="1" x14ac:dyDescent="0.25">
      <c r="B651" t="s">
        <v>2654</v>
      </c>
      <c r="C651" s="1">
        <v>41055.519571759258</v>
      </c>
      <c r="D651" s="4" t="s">
        <v>760</v>
      </c>
      <c r="E651">
        <v>165000</v>
      </c>
      <c r="F651" t="s">
        <v>40</v>
      </c>
      <c r="G651">
        <f>tblSalaries[[#This Row],[clean Salary (in local currency)]]*VLOOKUP(tblSalaries[[#This Row],[Currency]],tblXrate[],2,FALSE)</f>
        <v>2938.3062534280239</v>
      </c>
      <c r="H651" t="s">
        <v>761</v>
      </c>
      <c r="I651" t="s">
        <v>52</v>
      </c>
      <c r="J651" t="s">
        <v>8</v>
      </c>
      <c r="K651" t="str">
        <f>VLOOKUP(tblSalaries[[#This Row],[Where do you work]],tblCountries[[Actual]:[Mapping]],2,FALSE)</f>
        <v>India</v>
      </c>
      <c r="L651" t="s">
        <v>13</v>
      </c>
      <c r="M651">
        <v>11</v>
      </c>
      <c r="N651" s="8" t="str">
        <f>VLOOKUP(K651,tblCountries[],3,0)</f>
        <v>Asia</v>
      </c>
      <c r="O651" s="8">
        <f>VLOOKUP(tblSalaries[[#This Row],[How many hours of a day you work on Excel]],tblHours,2,0)</f>
        <v>5</v>
      </c>
      <c r="P651" s="8">
        <f>VLOOKUP(tblSalaries[[#This Row],[clean Country]],tblCountries[],5,0)</f>
        <v>13.098808879263672</v>
      </c>
      <c r="Q651" s="8">
        <f>IF($Q$1,tblSalaries[[#This Row],[PPP Factor]]*tblSalaries[[#This Row],[Salary in USD]],tblSalaries[[#This Row],[Salary in USD]])</f>
        <v>2938.3062534280239</v>
      </c>
    </row>
    <row r="652" spans="2:17" ht="15" customHeight="1" x14ac:dyDescent="0.25">
      <c r="B652" t="s">
        <v>2655</v>
      </c>
      <c r="C652" s="1">
        <v>41055.521087962959</v>
      </c>
      <c r="D652" s="4">
        <v>1400</v>
      </c>
      <c r="E652">
        <v>16800</v>
      </c>
      <c r="F652" t="s">
        <v>6</v>
      </c>
      <c r="G652">
        <f>tblSalaries[[#This Row],[clean Salary (in local currency)]]*VLOOKUP(tblSalaries[[#This Row],[Currency]],tblXrate[],2,FALSE)</f>
        <v>16800</v>
      </c>
      <c r="H652" t="s">
        <v>678</v>
      </c>
      <c r="I652" t="s">
        <v>20</v>
      </c>
      <c r="J652" t="s">
        <v>17</v>
      </c>
      <c r="K652" t="str">
        <f>VLOOKUP(tblSalaries[[#This Row],[Where do you work]],tblCountries[[Actual]:[Mapping]],2,FALSE)</f>
        <v>Pakistan</v>
      </c>
      <c r="L652" t="s">
        <v>9</v>
      </c>
      <c r="M652">
        <v>12</v>
      </c>
      <c r="N652" s="8" t="str">
        <f>VLOOKUP(K652,tblCountries[],3,0)</f>
        <v>Asia</v>
      </c>
      <c r="O652" s="8">
        <f>VLOOKUP(tblSalaries[[#This Row],[How many hours of a day you work on Excel]],tblHours,2,0)</f>
        <v>4</v>
      </c>
      <c r="P652" s="8">
        <f>VLOOKUP(tblSalaries[[#This Row],[clean Country]],tblCountries[],5,0)</f>
        <v>17.361679224973088</v>
      </c>
      <c r="Q652" s="8">
        <f>IF($Q$1,tblSalaries[[#This Row],[PPP Factor]]*tblSalaries[[#This Row],[Salary in USD]],tblSalaries[[#This Row],[Salary in USD]])</f>
        <v>16800</v>
      </c>
    </row>
    <row r="653" spans="2:17" ht="15" customHeight="1" x14ac:dyDescent="0.25">
      <c r="B653" t="s">
        <v>2656</v>
      </c>
      <c r="C653" s="1">
        <v>41055.521863425929</v>
      </c>
      <c r="D653" s="4">
        <v>37000</v>
      </c>
      <c r="E653">
        <v>37000</v>
      </c>
      <c r="F653" t="s">
        <v>6</v>
      </c>
      <c r="G653">
        <f>tblSalaries[[#This Row],[clean Salary (in local currency)]]*VLOOKUP(tblSalaries[[#This Row],[Currency]],tblXrate[],2,FALSE)</f>
        <v>37000</v>
      </c>
      <c r="H653" t="s">
        <v>762</v>
      </c>
      <c r="I653" t="s">
        <v>279</v>
      </c>
      <c r="J653" t="s">
        <v>8</v>
      </c>
      <c r="K653" t="str">
        <f>VLOOKUP(tblSalaries[[#This Row],[Where do you work]],tblCountries[[Actual]:[Mapping]],2,FALSE)</f>
        <v>India</v>
      </c>
      <c r="L653" t="s">
        <v>9</v>
      </c>
      <c r="M653">
        <v>10</v>
      </c>
      <c r="N653" s="8" t="str">
        <f>VLOOKUP(K653,tblCountries[],3,0)</f>
        <v>Asia</v>
      </c>
      <c r="O653" s="8">
        <f>VLOOKUP(tblSalaries[[#This Row],[How many hours of a day you work on Excel]],tblHours,2,0)</f>
        <v>4</v>
      </c>
      <c r="P653" s="8">
        <f>VLOOKUP(tblSalaries[[#This Row],[clean Country]],tblCountries[],5,0)</f>
        <v>13.098808879263672</v>
      </c>
      <c r="Q653" s="8">
        <f>IF($Q$1,tblSalaries[[#This Row],[PPP Factor]]*tblSalaries[[#This Row],[Salary in USD]],tblSalaries[[#This Row],[Salary in USD]])</f>
        <v>37000</v>
      </c>
    </row>
    <row r="654" spans="2:17" ht="15" customHeight="1" x14ac:dyDescent="0.25">
      <c r="B654" t="s">
        <v>2657</v>
      </c>
      <c r="C654" s="1">
        <v>41055.523472222223</v>
      </c>
      <c r="D654" s="4" t="s">
        <v>736</v>
      </c>
      <c r="E654">
        <v>300000</v>
      </c>
      <c r="F654" t="s">
        <v>40</v>
      </c>
      <c r="G654">
        <f>tblSalaries[[#This Row],[clean Salary (in local currency)]]*VLOOKUP(tblSalaries[[#This Row],[Currency]],tblXrate[],2,FALSE)</f>
        <v>5342.3750062327708</v>
      </c>
      <c r="H654" t="s">
        <v>763</v>
      </c>
      <c r="I654" t="s">
        <v>20</v>
      </c>
      <c r="J654" t="s">
        <v>8</v>
      </c>
      <c r="K654" t="str">
        <f>VLOOKUP(tblSalaries[[#This Row],[Where do you work]],tblCountries[[Actual]:[Mapping]],2,FALSE)</f>
        <v>India</v>
      </c>
      <c r="L654" t="s">
        <v>9</v>
      </c>
      <c r="M654">
        <v>4.5</v>
      </c>
      <c r="N654" s="8" t="str">
        <f>VLOOKUP(K654,tblCountries[],3,0)</f>
        <v>Asia</v>
      </c>
      <c r="O654" s="8">
        <f>VLOOKUP(tblSalaries[[#This Row],[How many hours of a day you work on Excel]],tblHours,2,0)</f>
        <v>4</v>
      </c>
      <c r="P654" s="8">
        <f>VLOOKUP(tblSalaries[[#This Row],[clean Country]],tblCountries[],5,0)</f>
        <v>13.098808879263672</v>
      </c>
      <c r="Q654" s="8">
        <f>IF($Q$1,tblSalaries[[#This Row],[PPP Factor]]*tblSalaries[[#This Row],[Salary in USD]],tblSalaries[[#This Row],[Salary in USD]])</f>
        <v>5342.3750062327708</v>
      </c>
    </row>
    <row r="655" spans="2:17" ht="15" customHeight="1" x14ac:dyDescent="0.25">
      <c r="B655" t="s">
        <v>2658</v>
      </c>
      <c r="C655" s="1">
        <v>41055.524791666663</v>
      </c>
      <c r="D655" s="4" t="s">
        <v>764</v>
      </c>
      <c r="E655">
        <v>200000</v>
      </c>
      <c r="F655" t="s">
        <v>40</v>
      </c>
      <c r="G655">
        <f>tblSalaries[[#This Row],[clean Salary (in local currency)]]*VLOOKUP(tblSalaries[[#This Row],[Currency]],tblXrate[],2,FALSE)</f>
        <v>3561.5833374885137</v>
      </c>
      <c r="H655" t="s">
        <v>765</v>
      </c>
      <c r="I655" t="s">
        <v>3999</v>
      </c>
      <c r="J655" t="s">
        <v>8</v>
      </c>
      <c r="K655" t="str">
        <f>VLOOKUP(tblSalaries[[#This Row],[Where do you work]],tblCountries[[Actual]:[Mapping]],2,FALSE)</f>
        <v>India</v>
      </c>
      <c r="L655" t="s">
        <v>13</v>
      </c>
      <c r="M655">
        <v>3</v>
      </c>
      <c r="N655" s="8" t="str">
        <f>VLOOKUP(K655,tblCountries[],3,0)</f>
        <v>Asia</v>
      </c>
      <c r="O655" s="8">
        <f>VLOOKUP(tblSalaries[[#This Row],[How many hours of a day you work on Excel]],tblHours,2,0)</f>
        <v>5</v>
      </c>
      <c r="P655" s="8">
        <f>VLOOKUP(tblSalaries[[#This Row],[clean Country]],tblCountries[],5,0)</f>
        <v>13.098808879263672</v>
      </c>
      <c r="Q655" s="8">
        <f>IF($Q$1,tblSalaries[[#This Row],[PPP Factor]]*tblSalaries[[#This Row],[Salary in USD]],tblSalaries[[#This Row],[Salary in USD]])</f>
        <v>3561.5833374885137</v>
      </c>
    </row>
    <row r="656" spans="2:17" ht="15" customHeight="1" x14ac:dyDescent="0.25">
      <c r="B656" t="s">
        <v>2659</v>
      </c>
      <c r="C656" s="1">
        <v>41055.525613425925</v>
      </c>
      <c r="D656" s="4" t="s">
        <v>766</v>
      </c>
      <c r="E656">
        <v>480000</v>
      </c>
      <c r="F656" t="s">
        <v>40</v>
      </c>
      <c r="G656">
        <f>tblSalaries[[#This Row],[clean Salary (in local currency)]]*VLOOKUP(tblSalaries[[#This Row],[Currency]],tblXrate[],2,FALSE)</f>
        <v>8547.8000099724322</v>
      </c>
      <c r="H656" t="s">
        <v>767</v>
      </c>
      <c r="I656" t="s">
        <v>52</v>
      </c>
      <c r="J656" t="s">
        <v>8</v>
      </c>
      <c r="K656" t="str">
        <f>VLOOKUP(tblSalaries[[#This Row],[Where do you work]],tblCountries[[Actual]:[Mapping]],2,FALSE)</f>
        <v>India</v>
      </c>
      <c r="L656" t="s">
        <v>18</v>
      </c>
      <c r="M656">
        <v>8</v>
      </c>
      <c r="N656" s="8" t="str">
        <f>VLOOKUP(K656,tblCountries[],3,0)</f>
        <v>Asia</v>
      </c>
      <c r="O656" s="8">
        <f>VLOOKUP(tblSalaries[[#This Row],[How many hours of a day you work on Excel]],tblHours,2,0)</f>
        <v>3</v>
      </c>
      <c r="P656" s="8">
        <f>VLOOKUP(tblSalaries[[#This Row],[clean Country]],tblCountries[],5,0)</f>
        <v>13.098808879263672</v>
      </c>
      <c r="Q656" s="8">
        <f>IF($Q$1,tblSalaries[[#This Row],[PPP Factor]]*tblSalaries[[#This Row],[Salary in USD]],tblSalaries[[#This Row],[Salary in USD]])</f>
        <v>8547.8000099724322</v>
      </c>
    </row>
    <row r="657" spans="2:17" ht="15" customHeight="1" x14ac:dyDescent="0.25">
      <c r="B657" t="s">
        <v>2660</v>
      </c>
      <c r="C657" s="1">
        <v>41055.53224537037</v>
      </c>
      <c r="D657" s="4">
        <v>5800</v>
      </c>
      <c r="E657">
        <v>5800</v>
      </c>
      <c r="F657" t="s">
        <v>6</v>
      </c>
      <c r="G657">
        <f>tblSalaries[[#This Row],[clean Salary (in local currency)]]*VLOOKUP(tblSalaries[[#This Row],[Currency]],tblXrate[],2,FALSE)</f>
        <v>5800</v>
      </c>
      <c r="H657" t="s">
        <v>768</v>
      </c>
      <c r="I657" t="s">
        <v>52</v>
      </c>
      <c r="J657" t="s">
        <v>8</v>
      </c>
      <c r="K657" t="str">
        <f>VLOOKUP(tblSalaries[[#This Row],[Where do you work]],tblCountries[[Actual]:[Mapping]],2,FALSE)</f>
        <v>India</v>
      </c>
      <c r="L657" t="s">
        <v>13</v>
      </c>
      <c r="M657">
        <v>8</v>
      </c>
      <c r="N657" s="8" t="str">
        <f>VLOOKUP(K657,tblCountries[],3,0)</f>
        <v>Asia</v>
      </c>
      <c r="O657" s="8">
        <f>VLOOKUP(tblSalaries[[#This Row],[How many hours of a day you work on Excel]],tblHours,2,0)</f>
        <v>5</v>
      </c>
      <c r="P657" s="8">
        <f>VLOOKUP(tblSalaries[[#This Row],[clean Country]],tblCountries[],5,0)</f>
        <v>13.098808879263672</v>
      </c>
      <c r="Q657" s="8">
        <f>IF($Q$1,tblSalaries[[#This Row],[PPP Factor]]*tblSalaries[[#This Row],[Salary in USD]],tblSalaries[[#This Row],[Salary in USD]])</f>
        <v>5800</v>
      </c>
    </row>
    <row r="658" spans="2:17" ht="15" customHeight="1" x14ac:dyDescent="0.25">
      <c r="B658" t="s">
        <v>2661</v>
      </c>
      <c r="C658" s="1">
        <v>41055.533553240741</v>
      </c>
      <c r="D658" s="4" t="s">
        <v>769</v>
      </c>
      <c r="E658">
        <v>230000</v>
      </c>
      <c r="F658" t="s">
        <v>40</v>
      </c>
      <c r="G658">
        <f>tblSalaries[[#This Row],[clean Salary (in local currency)]]*VLOOKUP(tblSalaries[[#This Row],[Currency]],tblXrate[],2,FALSE)</f>
        <v>4095.8208381117906</v>
      </c>
      <c r="H658" t="s">
        <v>721</v>
      </c>
      <c r="I658" t="s">
        <v>3999</v>
      </c>
      <c r="J658" t="s">
        <v>8</v>
      </c>
      <c r="K658" t="str">
        <f>VLOOKUP(tblSalaries[[#This Row],[Where do you work]],tblCountries[[Actual]:[Mapping]],2,FALSE)</f>
        <v>India</v>
      </c>
      <c r="L658" t="s">
        <v>13</v>
      </c>
      <c r="M658">
        <v>3</v>
      </c>
      <c r="N658" s="8" t="str">
        <f>VLOOKUP(K658,tblCountries[],3,0)</f>
        <v>Asia</v>
      </c>
      <c r="O658" s="8">
        <f>VLOOKUP(tblSalaries[[#This Row],[How many hours of a day you work on Excel]],tblHours,2,0)</f>
        <v>5</v>
      </c>
      <c r="P658" s="8">
        <f>VLOOKUP(tblSalaries[[#This Row],[clean Country]],tblCountries[],5,0)</f>
        <v>13.098808879263672</v>
      </c>
      <c r="Q658" s="8">
        <f>IF($Q$1,tblSalaries[[#This Row],[PPP Factor]]*tblSalaries[[#This Row],[Salary in USD]],tblSalaries[[#This Row],[Salary in USD]])</f>
        <v>4095.8208381117906</v>
      </c>
    </row>
    <row r="659" spans="2:17" ht="15" customHeight="1" x14ac:dyDescent="0.25">
      <c r="B659" t="s">
        <v>2662</v>
      </c>
      <c r="C659" s="1">
        <v>41055.534814814811</v>
      </c>
      <c r="D659" s="4" t="s">
        <v>770</v>
      </c>
      <c r="E659">
        <v>276000</v>
      </c>
      <c r="F659" t="s">
        <v>40</v>
      </c>
      <c r="G659">
        <f>tblSalaries[[#This Row],[clean Salary (in local currency)]]*VLOOKUP(tblSalaries[[#This Row],[Currency]],tblXrate[],2,FALSE)</f>
        <v>4914.9850057341491</v>
      </c>
      <c r="H659" t="s">
        <v>771</v>
      </c>
      <c r="I659" t="s">
        <v>52</v>
      </c>
      <c r="J659" t="s">
        <v>17</v>
      </c>
      <c r="K659" t="str">
        <f>VLOOKUP(tblSalaries[[#This Row],[Where do you work]],tblCountries[[Actual]:[Mapping]],2,FALSE)</f>
        <v>Pakistan</v>
      </c>
      <c r="L659" t="s">
        <v>25</v>
      </c>
      <c r="M659">
        <v>3</v>
      </c>
      <c r="N659" s="8" t="str">
        <f>VLOOKUP(K659,tblCountries[],3,0)</f>
        <v>Asia</v>
      </c>
      <c r="O659" s="8">
        <f>VLOOKUP(tblSalaries[[#This Row],[How many hours of a day you work on Excel]],tblHours,2,0)</f>
        <v>2</v>
      </c>
      <c r="P659" s="8">
        <f>VLOOKUP(tblSalaries[[#This Row],[clean Country]],tblCountries[],5,0)</f>
        <v>17.361679224973088</v>
      </c>
      <c r="Q659" s="8">
        <f>IF($Q$1,tblSalaries[[#This Row],[PPP Factor]]*tblSalaries[[#This Row],[Salary in USD]],tblSalaries[[#This Row],[Salary in USD]])</f>
        <v>4914.9850057341491</v>
      </c>
    </row>
    <row r="660" spans="2:17" ht="15" customHeight="1" x14ac:dyDescent="0.25">
      <c r="B660" t="s">
        <v>2663</v>
      </c>
      <c r="C660" s="1">
        <v>41055.536539351851</v>
      </c>
      <c r="D660" s="4">
        <v>24000</v>
      </c>
      <c r="E660">
        <v>24000</v>
      </c>
      <c r="F660" t="s">
        <v>6</v>
      </c>
      <c r="G660">
        <f>tblSalaries[[#This Row],[clean Salary (in local currency)]]*VLOOKUP(tblSalaries[[#This Row],[Currency]],tblXrate[],2,FALSE)</f>
        <v>24000</v>
      </c>
      <c r="H660" t="s">
        <v>772</v>
      </c>
      <c r="I660" t="s">
        <v>52</v>
      </c>
      <c r="J660" t="s">
        <v>773</v>
      </c>
      <c r="K660" t="str">
        <f>VLOOKUP(tblSalaries[[#This Row],[Where do you work]],tblCountries[[Actual]:[Mapping]],2,FALSE)</f>
        <v>Saudi Arabia</v>
      </c>
      <c r="L660" t="s">
        <v>9</v>
      </c>
      <c r="M660">
        <v>12</v>
      </c>
      <c r="N660" s="8" t="str">
        <f>VLOOKUP(K660,tblCountries[],3,0)</f>
        <v>Asia</v>
      </c>
      <c r="O660" s="8">
        <f>VLOOKUP(tblSalaries[[#This Row],[How many hours of a day you work on Excel]],tblHours,2,0)</f>
        <v>4</v>
      </c>
      <c r="P660" s="8">
        <f>VLOOKUP(tblSalaries[[#This Row],[clean Country]],tblCountries[],5,0)</f>
        <v>1.9964104468374799</v>
      </c>
      <c r="Q660" s="8">
        <f>IF($Q$1,tblSalaries[[#This Row],[PPP Factor]]*tblSalaries[[#This Row],[Salary in USD]],tblSalaries[[#This Row],[Salary in USD]])</f>
        <v>24000</v>
      </c>
    </row>
    <row r="661" spans="2:17" ht="15" customHeight="1" x14ac:dyDescent="0.25">
      <c r="B661" t="s">
        <v>2664</v>
      </c>
      <c r="C661" s="1">
        <v>41055.537303240744</v>
      </c>
      <c r="D661" s="4" t="s">
        <v>774</v>
      </c>
      <c r="E661">
        <v>24000</v>
      </c>
      <c r="F661" t="s">
        <v>6</v>
      </c>
      <c r="G661">
        <f>tblSalaries[[#This Row],[clean Salary (in local currency)]]*VLOOKUP(tblSalaries[[#This Row],[Currency]],tblXrate[],2,FALSE)</f>
        <v>24000</v>
      </c>
      <c r="H661" t="s">
        <v>310</v>
      </c>
      <c r="I661" t="s">
        <v>310</v>
      </c>
      <c r="J661" t="s">
        <v>179</v>
      </c>
      <c r="K661" t="str">
        <f>VLOOKUP(tblSalaries[[#This Row],[Where do you work]],tblCountries[[Actual]:[Mapping]],2,FALSE)</f>
        <v>UAE</v>
      </c>
      <c r="L661" t="s">
        <v>18</v>
      </c>
      <c r="M661">
        <v>15</v>
      </c>
      <c r="N661" s="8" t="str">
        <f>VLOOKUP(K661,tblCountries[],3,0)</f>
        <v>Asia</v>
      </c>
      <c r="O661" s="8">
        <f>VLOOKUP(tblSalaries[[#This Row],[How many hours of a day you work on Excel]],tblHours,2,0)</f>
        <v>3</v>
      </c>
      <c r="P661" s="8">
        <f>VLOOKUP(tblSalaries[[#This Row],[clean Country]],tblCountries[],5,0)</f>
        <v>1.0047551808629926</v>
      </c>
      <c r="Q661" s="8">
        <f>IF($Q$1,tblSalaries[[#This Row],[PPP Factor]]*tblSalaries[[#This Row],[Salary in USD]],tblSalaries[[#This Row],[Salary in USD]])</f>
        <v>24000</v>
      </c>
    </row>
    <row r="662" spans="2:17" ht="15" customHeight="1" x14ac:dyDescent="0.25">
      <c r="B662" t="s">
        <v>2665</v>
      </c>
      <c r="C662" s="1">
        <v>41055.537673611114</v>
      </c>
      <c r="D662" s="4">
        <v>8738</v>
      </c>
      <c r="E662">
        <v>8738</v>
      </c>
      <c r="F662" t="s">
        <v>6</v>
      </c>
      <c r="G662">
        <f>tblSalaries[[#This Row],[clean Salary (in local currency)]]*VLOOKUP(tblSalaries[[#This Row],[Currency]],tblXrate[],2,FALSE)</f>
        <v>8738</v>
      </c>
      <c r="H662" t="s">
        <v>775</v>
      </c>
      <c r="I662" t="s">
        <v>52</v>
      </c>
      <c r="J662" t="s">
        <v>8</v>
      </c>
      <c r="K662" t="str">
        <f>VLOOKUP(tblSalaries[[#This Row],[Where do you work]],tblCountries[[Actual]:[Mapping]],2,FALSE)</f>
        <v>India</v>
      </c>
      <c r="L662" t="s">
        <v>13</v>
      </c>
      <c r="M662">
        <v>7.3</v>
      </c>
      <c r="N662" s="8" t="str">
        <f>VLOOKUP(K662,tblCountries[],3,0)</f>
        <v>Asia</v>
      </c>
      <c r="O662" s="8">
        <f>VLOOKUP(tblSalaries[[#This Row],[How many hours of a day you work on Excel]],tblHours,2,0)</f>
        <v>5</v>
      </c>
      <c r="P662" s="8">
        <f>VLOOKUP(tblSalaries[[#This Row],[clean Country]],tblCountries[],5,0)</f>
        <v>13.098808879263672</v>
      </c>
      <c r="Q662" s="8">
        <f>IF($Q$1,tblSalaries[[#This Row],[PPP Factor]]*tblSalaries[[#This Row],[Salary in USD]],tblSalaries[[#This Row],[Salary in USD]])</f>
        <v>8738</v>
      </c>
    </row>
    <row r="663" spans="2:17" ht="15" customHeight="1" x14ac:dyDescent="0.25">
      <c r="B663" t="s">
        <v>2666</v>
      </c>
      <c r="C663" s="1">
        <v>41055.537916666668</v>
      </c>
      <c r="D663" s="4">
        <v>15000</v>
      </c>
      <c r="E663">
        <v>15000</v>
      </c>
      <c r="F663" t="s">
        <v>6</v>
      </c>
      <c r="G663">
        <f>tblSalaries[[#This Row],[clean Salary (in local currency)]]*VLOOKUP(tblSalaries[[#This Row],[Currency]],tblXrate[],2,FALSE)</f>
        <v>15000</v>
      </c>
      <c r="H663" t="s">
        <v>776</v>
      </c>
      <c r="I663" t="s">
        <v>20</v>
      </c>
      <c r="J663" t="s">
        <v>726</v>
      </c>
      <c r="K663" t="str">
        <f>VLOOKUP(tblSalaries[[#This Row],[Where do you work]],tblCountries[[Actual]:[Mapping]],2,FALSE)</f>
        <v>Indonesia</v>
      </c>
      <c r="L663" t="s">
        <v>9</v>
      </c>
      <c r="M663">
        <v>1</v>
      </c>
      <c r="N663" s="8" t="str">
        <f>VLOOKUP(K663,tblCountries[],3,0)</f>
        <v>Asia</v>
      </c>
      <c r="O663" s="8">
        <f>VLOOKUP(tblSalaries[[#This Row],[How many hours of a day you work on Excel]],tblHours,2,0)</f>
        <v>4</v>
      </c>
      <c r="P663" s="8">
        <f>VLOOKUP(tblSalaries[[#This Row],[clean Country]],tblCountries[],5,0)</f>
        <v>10.370124303471924</v>
      </c>
      <c r="Q663" s="8">
        <f>IF($Q$1,tblSalaries[[#This Row],[PPP Factor]]*tblSalaries[[#This Row],[Salary in USD]],tblSalaries[[#This Row],[Salary in USD]])</f>
        <v>15000</v>
      </c>
    </row>
    <row r="664" spans="2:17" ht="15" customHeight="1" x14ac:dyDescent="0.25">
      <c r="B664" t="s">
        <v>2667</v>
      </c>
      <c r="C664" s="1">
        <v>41055.538298611114</v>
      </c>
      <c r="D664" s="4">
        <v>4700</v>
      </c>
      <c r="E664">
        <v>56400</v>
      </c>
      <c r="F664" t="s">
        <v>6</v>
      </c>
      <c r="G664">
        <f>tblSalaries[[#This Row],[clean Salary (in local currency)]]*VLOOKUP(tblSalaries[[#This Row],[Currency]],tblXrate[],2,FALSE)</f>
        <v>56400</v>
      </c>
      <c r="H664" t="s">
        <v>642</v>
      </c>
      <c r="I664" t="s">
        <v>52</v>
      </c>
      <c r="J664" t="s">
        <v>179</v>
      </c>
      <c r="K664" t="str">
        <f>VLOOKUP(tblSalaries[[#This Row],[Where do you work]],tblCountries[[Actual]:[Mapping]],2,FALSE)</f>
        <v>UAE</v>
      </c>
      <c r="L664" t="s">
        <v>18</v>
      </c>
      <c r="M664">
        <v>6</v>
      </c>
      <c r="N664" s="8" t="str">
        <f>VLOOKUP(K664,tblCountries[],3,0)</f>
        <v>Asia</v>
      </c>
      <c r="O664" s="8">
        <f>VLOOKUP(tblSalaries[[#This Row],[How many hours of a day you work on Excel]],tblHours,2,0)</f>
        <v>3</v>
      </c>
      <c r="P664" s="8">
        <f>VLOOKUP(tblSalaries[[#This Row],[clean Country]],tblCountries[],5,0)</f>
        <v>1.0047551808629926</v>
      </c>
      <c r="Q664" s="8">
        <f>IF($Q$1,tblSalaries[[#This Row],[PPP Factor]]*tblSalaries[[#This Row],[Salary in USD]],tblSalaries[[#This Row],[Salary in USD]])</f>
        <v>56400</v>
      </c>
    </row>
    <row r="665" spans="2:17" ht="15" customHeight="1" x14ac:dyDescent="0.25">
      <c r="B665" t="s">
        <v>2668</v>
      </c>
      <c r="C665" s="1">
        <v>41055.541122685187</v>
      </c>
      <c r="D665" s="4">
        <v>10200</v>
      </c>
      <c r="E665">
        <v>10200</v>
      </c>
      <c r="F665" t="s">
        <v>6</v>
      </c>
      <c r="G665">
        <f>tblSalaries[[#This Row],[clean Salary (in local currency)]]*VLOOKUP(tblSalaries[[#This Row],[Currency]],tblXrate[],2,FALSE)</f>
        <v>10200</v>
      </c>
      <c r="H665" t="s">
        <v>42</v>
      </c>
      <c r="I665" t="s">
        <v>20</v>
      </c>
      <c r="J665" t="s">
        <v>8</v>
      </c>
      <c r="K665" t="str">
        <f>VLOOKUP(tblSalaries[[#This Row],[Where do you work]],tblCountries[[Actual]:[Mapping]],2,FALSE)</f>
        <v>India</v>
      </c>
      <c r="L665" t="s">
        <v>9</v>
      </c>
      <c r="M665">
        <v>4.5</v>
      </c>
      <c r="N665" s="8" t="str">
        <f>VLOOKUP(K665,tblCountries[],3,0)</f>
        <v>Asia</v>
      </c>
      <c r="O665" s="8">
        <f>VLOOKUP(tblSalaries[[#This Row],[How many hours of a day you work on Excel]],tblHours,2,0)</f>
        <v>4</v>
      </c>
      <c r="P665" s="8">
        <f>VLOOKUP(tblSalaries[[#This Row],[clean Country]],tblCountries[],5,0)</f>
        <v>13.098808879263672</v>
      </c>
      <c r="Q665" s="8">
        <f>IF($Q$1,tblSalaries[[#This Row],[PPP Factor]]*tblSalaries[[#This Row],[Salary in USD]],tblSalaries[[#This Row],[Salary in USD]])</f>
        <v>10200</v>
      </c>
    </row>
    <row r="666" spans="2:17" ht="15" customHeight="1" x14ac:dyDescent="0.25">
      <c r="B666" t="s">
        <v>2669</v>
      </c>
      <c r="C666" s="1">
        <v>41055.541446759256</v>
      </c>
      <c r="D666" s="4">
        <v>325000</v>
      </c>
      <c r="E666">
        <v>325000</v>
      </c>
      <c r="F666" t="s">
        <v>40</v>
      </c>
      <c r="G666">
        <f>tblSalaries[[#This Row],[clean Salary (in local currency)]]*VLOOKUP(tblSalaries[[#This Row],[Currency]],tblXrate[],2,FALSE)</f>
        <v>5787.5729234188348</v>
      </c>
      <c r="H666" t="s">
        <v>721</v>
      </c>
      <c r="I666" t="s">
        <v>3999</v>
      </c>
      <c r="J666" t="s">
        <v>8</v>
      </c>
      <c r="K666" t="str">
        <f>VLOOKUP(tblSalaries[[#This Row],[Where do you work]],tblCountries[[Actual]:[Mapping]],2,FALSE)</f>
        <v>India</v>
      </c>
      <c r="L666" t="s">
        <v>13</v>
      </c>
      <c r="M666">
        <v>4.5</v>
      </c>
      <c r="N666" s="8" t="str">
        <f>VLOOKUP(K666,tblCountries[],3,0)</f>
        <v>Asia</v>
      </c>
      <c r="O666" s="8">
        <f>VLOOKUP(tblSalaries[[#This Row],[How many hours of a day you work on Excel]],tblHours,2,0)</f>
        <v>5</v>
      </c>
      <c r="P666" s="8">
        <f>VLOOKUP(tblSalaries[[#This Row],[clean Country]],tblCountries[],5,0)</f>
        <v>13.098808879263672</v>
      </c>
      <c r="Q666" s="8">
        <f>IF($Q$1,tblSalaries[[#This Row],[PPP Factor]]*tblSalaries[[#This Row],[Salary in USD]],tblSalaries[[#This Row],[Salary in USD]])</f>
        <v>5787.5729234188348</v>
      </c>
    </row>
    <row r="667" spans="2:17" ht="15" customHeight="1" x14ac:dyDescent="0.25">
      <c r="B667" t="s">
        <v>2670</v>
      </c>
      <c r="C667" s="1">
        <v>41055.542870370373</v>
      </c>
      <c r="D667" s="4">
        <v>105000</v>
      </c>
      <c r="E667">
        <v>105000</v>
      </c>
      <c r="F667" t="s">
        <v>6</v>
      </c>
      <c r="G667">
        <f>tblSalaries[[#This Row],[clean Salary (in local currency)]]*VLOOKUP(tblSalaries[[#This Row],[Currency]],tblXrate[],2,FALSE)</f>
        <v>105000</v>
      </c>
      <c r="H667" t="s">
        <v>76</v>
      </c>
      <c r="I667" t="s">
        <v>356</v>
      </c>
      <c r="J667" t="s">
        <v>15</v>
      </c>
      <c r="K667" t="str">
        <f>VLOOKUP(tblSalaries[[#This Row],[Where do you work]],tblCountries[[Actual]:[Mapping]],2,FALSE)</f>
        <v>USA</v>
      </c>
      <c r="L667" t="s">
        <v>18</v>
      </c>
      <c r="M667">
        <v>15</v>
      </c>
      <c r="N667" s="8" t="str">
        <f>VLOOKUP(K667,tblCountries[],3,0)</f>
        <v>North Amer.</v>
      </c>
      <c r="O667" s="8">
        <f>VLOOKUP(tblSalaries[[#This Row],[How many hours of a day you work on Excel]],tblHours,2,0)</f>
        <v>3</v>
      </c>
      <c r="P667" s="8">
        <f>VLOOKUP(tblSalaries[[#This Row],[clean Country]],tblCountries[],5,0)</f>
        <v>1</v>
      </c>
      <c r="Q667" s="8">
        <f>IF($Q$1,tblSalaries[[#This Row],[PPP Factor]]*tblSalaries[[#This Row],[Salary in USD]],tblSalaries[[#This Row],[Salary in USD]])</f>
        <v>105000</v>
      </c>
    </row>
    <row r="668" spans="2:17" ht="15" customHeight="1" x14ac:dyDescent="0.25">
      <c r="B668" t="s">
        <v>2671</v>
      </c>
      <c r="C668" s="1">
        <v>41055.542974537035</v>
      </c>
      <c r="D668" s="4" t="s">
        <v>777</v>
      </c>
      <c r="E668">
        <v>250000</v>
      </c>
      <c r="F668" t="s">
        <v>40</v>
      </c>
      <c r="G668">
        <f>tblSalaries[[#This Row],[clean Salary (in local currency)]]*VLOOKUP(tblSalaries[[#This Row],[Currency]],tblXrate[],2,FALSE)</f>
        <v>4451.9791718606421</v>
      </c>
      <c r="H668" t="s">
        <v>778</v>
      </c>
      <c r="I668" t="s">
        <v>52</v>
      </c>
      <c r="J668" t="s">
        <v>8</v>
      </c>
      <c r="K668" t="str">
        <f>VLOOKUP(tblSalaries[[#This Row],[Where do you work]],tblCountries[[Actual]:[Mapping]],2,FALSE)</f>
        <v>India</v>
      </c>
      <c r="L668" t="s">
        <v>18</v>
      </c>
      <c r="M668">
        <v>5</v>
      </c>
      <c r="N668" s="8" t="str">
        <f>VLOOKUP(K668,tblCountries[],3,0)</f>
        <v>Asia</v>
      </c>
      <c r="O668" s="8">
        <f>VLOOKUP(tblSalaries[[#This Row],[How many hours of a day you work on Excel]],tblHours,2,0)</f>
        <v>3</v>
      </c>
      <c r="P668" s="8">
        <f>VLOOKUP(tblSalaries[[#This Row],[clean Country]],tblCountries[],5,0)</f>
        <v>13.098808879263672</v>
      </c>
      <c r="Q668" s="8">
        <f>IF($Q$1,tblSalaries[[#This Row],[PPP Factor]]*tblSalaries[[#This Row],[Salary in USD]],tblSalaries[[#This Row],[Salary in USD]])</f>
        <v>4451.9791718606421</v>
      </c>
    </row>
    <row r="669" spans="2:17" ht="15" customHeight="1" x14ac:dyDescent="0.25">
      <c r="B669" t="s">
        <v>2672</v>
      </c>
      <c r="C669" s="1">
        <v>41055.543634259258</v>
      </c>
      <c r="D669" s="4">
        <v>470000</v>
      </c>
      <c r="E669">
        <v>470000</v>
      </c>
      <c r="F669" t="s">
        <v>40</v>
      </c>
      <c r="G669">
        <f>tblSalaries[[#This Row],[clean Salary (in local currency)]]*VLOOKUP(tblSalaries[[#This Row],[Currency]],tblXrate[],2,FALSE)</f>
        <v>8369.7208430980063</v>
      </c>
      <c r="H669" t="s">
        <v>356</v>
      </c>
      <c r="I669" t="s">
        <v>356</v>
      </c>
      <c r="J669" t="s">
        <v>8</v>
      </c>
      <c r="K669" t="str">
        <f>VLOOKUP(tblSalaries[[#This Row],[Where do you work]],tblCountries[[Actual]:[Mapping]],2,FALSE)</f>
        <v>India</v>
      </c>
      <c r="L669" t="s">
        <v>13</v>
      </c>
      <c r="M669">
        <v>4</v>
      </c>
      <c r="N669" s="8" t="str">
        <f>VLOOKUP(K669,tblCountries[],3,0)</f>
        <v>Asia</v>
      </c>
      <c r="O669" s="8">
        <f>VLOOKUP(tblSalaries[[#This Row],[How many hours of a day you work on Excel]],tblHours,2,0)</f>
        <v>5</v>
      </c>
      <c r="P669" s="8">
        <f>VLOOKUP(tblSalaries[[#This Row],[clean Country]],tblCountries[],5,0)</f>
        <v>13.098808879263672</v>
      </c>
      <c r="Q669" s="8">
        <f>IF($Q$1,tblSalaries[[#This Row],[PPP Factor]]*tblSalaries[[#This Row],[Salary in USD]],tblSalaries[[#This Row],[Salary in USD]])</f>
        <v>8369.7208430980063</v>
      </c>
    </row>
    <row r="670" spans="2:17" ht="15" customHeight="1" x14ac:dyDescent="0.25">
      <c r="B670" t="s">
        <v>2673</v>
      </c>
      <c r="C670" s="1">
        <v>41055.544120370374</v>
      </c>
      <c r="D670" s="4">
        <v>720000</v>
      </c>
      <c r="E670">
        <v>720000</v>
      </c>
      <c r="F670" t="s">
        <v>3951</v>
      </c>
      <c r="G670">
        <f>tblSalaries[[#This Row],[clean Salary (in local currency)]]*VLOOKUP(tblSalaries[[#This Row],[Currency]],tblXrate[],2,FALSE)</f>
        <v>17067.637625607145</v>
      </c>
      <c r="H670" t="s">
        <v>454</v>
      </c>
      <c r="I670" t="s">
        <v>52</v>
      </c>
      <c r="J670" t="s">
        <v>347</v>
      </c>
      <c r="K670" t="str">
        <f>VLOOKUP(tblSalaries[[#This Row],[Where do you work]],tblCountries[[Actual]:[Mapping]],2,FALSE)</f>
        <v>Philippines</v>
      </c>
      <c r="L670" t="s">
        <v>9</v>
      </c>
      <c r="M670">
        <v>9</v>
      </c>
      <c r="N670" s="8" t="str">
        <f>VLOOKUP(K670,tblCountries[],3,0)</f>
        <v>Asia</v>
      </c>
      <c r="O670" s="8">
        <f>VLOOKUP(tblSalaries[[#This Row],[How many hours of a day you work on Excel]],tblHours,2,0)</f>
        <v>4</v>
      </c>
      <c r="P670" s="8">
        <f>VLOOKUP(tblSalaries[[#This Row],[clean Country]],tblCountries[],5,0)</f>
        <v>11.879941075374417</v>
      </c>
      <c r="Q670" s="8">
        <f>IF($Q$1,tblSalaries[[#This Row],[PPP Factor]]*tblSalaries[[#This Row],[Salary in USD]],tblSalaries[[#This Row],[Salary in USD]])</f>
        <v>17067.637625607145</v>
      </c>
    </row>
    <row r="671" spans="2:17" ht="15" customHeight="1" x14ac:dyDescent="0.25">
      <c r="B671" t="s">
        <v>2674</v>
      </c>
      <c r="C671" s="1">
        <v>41055.544421296298</v>
      </c>
      <c r="D671" s="4">
        <v>100000</v>
      </c>
      <c r="E671">
        <v>100000</v>
      </c>
      <c r="F671" t="s">
        <v>82</v>
      </c>
      <c r="G671">
        <f>tblSalaries[[#This Row],[clean Salary (in local currency)]]*VLOOKUP(tblSalaries[[#This Row],[Currency]],tblXrate[],2,FALSE)</f>
        <v>101990.96564026357</v>
      </c>
      <c r="H671" t="s">
        <v>779</v>
      </c>
      <c r="I671" t="s">
        <v>52</v>
      </c>
      <c r="J671" t="s">
        <v>84</v>
      </c>
      <c r="K671" t="str">
        <f>VLOOKUP(tblSalaries[[#This Row],[Where do you work]],tblCountries[[Actual]:[Mapping]],2,FALSE)</f>
        <v>Australia</v>
      </c>
      <c r="L671" t="s">
        <v>25</v>
      </c>
      <c r="M671">
        <v>20</v>
      </c>
      <c r="N671" s="8" t="str">
        <f>VLOOKUP(K671,tblCountries[],3,0)</f>
        <v>Oceania</v>
      </c>
      <c r="O671" s="8">
        <f>VLOOKUP(tblSalaries[[#This Row],[How many hours of a day you work on Excel]],tblHours,2,0)</f>
        <v>2</v>
      </c>
      <c r="P671" s="8">
        <f>VLOOKUP(tblSalaries[[#This Row],[clean Country]],tblCountries[],5,0)</f>
        <v>1.2026395585822935</v>
      </c>
      <c r="Q671" s="8">
        <f>IF($Q$1,tblSalaries[[#This Row],[PPP Factor]]*tblSalaries[[#This Row],[Salary in USD]],tblSalaries[[#This Row],[Salary in USD]])</f>
        <v>101990.96564026357</v>
      </c>
    </row>
    <row r="672" spans="2:17" ht="15" customHeight="1" x14ac:dyDescent="0.25">
      <c r="B672" t="s">
        <v>2675</v>
      </c>
      <c r="C672" s="1">
        <v>41055.545173611114</v>
      </c>
      <c r="D672" s="4" t="s">
        <v>780</v>
      </c>
      <c r="E672">
        <v>220000</v>
      </c>
      <c r="F672" t="s">
        <v>40</v>
      </c>
      <c r="G672">
        <f>tblSalaries[[#This Row],[clean Salary (in local currency)]]*VLOOKUP(tblSalaries[[#This Row],[Currency]],tblXrate[],2,FALSE)</f>
        <v>3917.7416712373652</v>
      </c>
      <c r="H672" t="s">
        <v>781</v>
      </c>
      <c r="I672" t="s">
        <v>20</v>
      </c>
      <c r="J672" t="s">
        <v>8</v>
      </c>
      <c r="K672" t="str">
        <f>VLOOKUP(tblSalaries[[#This Row],[Where do you work]],tblCountries[[Actual]:[Mapping]],2,FALSE)</f>
        <v>India</v>
      </c>
      <c r="L672" t="s">
        <v>18</v>
      </c>
      <c r="M672">
        <v>3</v>
      </c>
      <c r="N672" s="8" t="str">
        <f>VLOOKUP(K672,tblCountries[],3,0)</f>
        <v>Asia</v>
      </c>
      <c r="O672" s="8">
        <f>VLOOKUP(tblSalaries[[#This Row],[How many hours of a day you work on Excel]],tblHours,2,0)</f>
        <v>3</v>
      </c>
      <c r="P672" s="8">
        <f>VLOOKUP(tblSalaries[[#This Row],[clean Country]],tblCountries[],5,0)</f>
        <v>13.098808879263672</v>
      </c>
      <c r="Q672" s="8">
        <f>IF($Q$1,tblSalaries[[#This Row],[PPP Factor]]*tblSalaries[[#This Row],[Salary in USD]],tblSalaries[[#This Row],[Salary in USD]])</f>
        <v>3917.7416712373652</v>
      </c>
    </row>
    <row r="673" spans="2:17" ht="15" customHeight="1" x14ac:dyDescent="0.25">
      <c r="B673" t="s">
        <v>2676</v>
      </c>
      <c r="C673" s="1">
        <v>41055.547673611109</v>
      </c>
      <c r="D673" s="4">
        <v>52000</v>
      </c>
      <c r="E673">
        <v>52000</v>
      </c>
      <c r="F673" t="s">
        <v>6</v>
      </c>
      <c r="G673">
        <f>tblSalaries[[#This Row],[clean Salary (in local currency)]]*VLOOKUP(tblSalaries[[#This Row],[Currency]],tblXrate[],2,FALSE)</f>
        <v>52000</v>
      </c>
      <c r="H673" t="s">
        <v>782</v>
      </c>
      <c r="I673" t="s">
        <v>67</v>
      </c>
      <c r="J673" t="s">
        <v>15</v>
      </c>
      <c r="K673" t="str">
        <f>VLOOKUP(tblSalaries[[#This Row],[Where do you work]],tblCountries[[Actual]:[Mapping]],2,FALSE)</f>
        <v>USA</v>
      </c>
      <c r="L673" t="s">
        <v>9</v>
      </c>
      <c r="M673">
        <v>18</v>
      </c>
      <c r="N673" s="8" t="str">
        <f>VLOOKUP(K673,tblCountries[],3,0)</f>
        <v>North Amer.</v>
      </c>
      <c r="O673" s="8">
        <f>VLOOKUP(tblSalaries[[#This Row],[How many hours of a day you work on Excel]],tblHours,2,0)</f>
        <v>4</v>
      </c>
      <c r="P673" s="8">
        <f>VLOOKUP(tblSalaries[[#This Row],[clean Country]],tblCountries[],5,0)</f>
        <v>1</v>
      </c>
      <c r="Q673" s="8">
        <f>IF($Q$1,tblSalaries[[#This Row],[PPP Factor]]*tblSalaries[[#This Row],[Salary in USD]],tblSalaries[[#This Row],[Salary in USD]])</f>
        <v>52000</v>
      </c>
    </row>
    <row r="674" spans="2:17" ht="15" customHeight="1" x14ac:dyDescent="0.25">
      <c r="B674" t="s">
        <v>2677</v>
      </c>
      <c r="C674" s="1">
        <v>41055.549317129633</v>
      </c>
      <c r="D674" s="4" t="s">
        <v>783</v>
      </c>
      <c r="E674">
        <v>260000</v>
      </c>
      <c r="F674" t="s">
        <v>40</v>
      </c>
      <c r="G674">
        <f>tblSalaries[[#This Row],[clean Salary (in local currency)]]*VLOOKUP(tblSalaries[[#This Row],[Currency]],tblXrate[],2,FALSE)</f>
        <v>4630.058338735068</v>
      </c>
      <c r="H674" t="s">
        <v>20</v>
      </c>
      <c r="I674" t="s">
        <v>20</v>
      </c>
      <c r="J674" t="s">
        <v>8</v>
      </c>
      <c r="K674" t="str">
        <f>VLOOKUP(tblSalaries[[#This Row],[Where do you work]],tblCountries[[Actual]:[Mapping]],2,FALSE)</f>
        <v>India</v>
      </c>
      <c r="L674" t="s">
        <v>9</v>
      </c>
      <c r="M674">
        <v>2</v>
      </c>
      <c r="N674" s="8" t="str">
        <f>VLOOKUP(K674,tblCountries[],3,0)</f>
        <v>Asia</v>
      </c>
      <c r="O674" s="8">
        <f>VLOOKUP(tblSalaries[[#This Row],[How many hours of a day you work on Excel]],tblHours,2,0)</f>
        <v>4</v>
      </c>
      <c r="P674" s="8">
        <f>VLOOKUP(tblSalaries[[#This Row],[clean Country]],tblCountries[],5,0)</f>
        <v>13.098808879263672</v>
      </c>
      <c r="Q674" s="8">
        <f>IF($Q$1,tblSalaries[[#This Row],[PPP Factor]]*tblSalaries[[#This Row],[Salary in USD]],tblSalaries[[#This Row],[Salary in USD]])</f>
        <v>4630.058338735068</v>
      </c>
    </row>
    <row r="675" spans="2:17" ht="15" customHeight="1" x14ac:dyDescent="0.25">
      <c r="B675" t="s">
        <v>2678</v>
      </c>
      <c r="C675" s="1">
        <v>41055.550555555557</v>
      </c>
      <c r="D675" s="4" t="s">
        <v>784</v>
      </c>
      <c r="E675">
        <v>120000</v>
      </c>
      <c r="F675" t="s">
        <v>40</v>
      </c>
      <c r="G675">
        <f>tblSalaries[[#This Row],[clean Salary (in local currency)]]*VLOOKUP(tblSalaries[[#This Row],[Currency]],tblXrate[],2,FALSE)</f>
        <v>2136.9500024931081</v>
      </c>
      <c r="H675" t="s">
        <v>153</v>
      </c>
      <c r="I675" t="s">
        <v>20</v>
      </c>
      <c r="J675" t="s">
        <v>8</v>
      </c>
      <c r="K675" t="str">
        <f>VLOOKUP(tblSalaries[[#This Row],[Where do you work]],tblCountries[[Actual]:[Mapping]],2,FALSE)</f>
        <v>India</v>
      </c>
      <c r="L675" t="s">
        <v>18</v>
      </c>
      <c r="M675">
        <v>3</v>
      </c>
      <c r="N675" s="8" t="str">
        <f>VLOOKUP(K675,tblCountries[],3,0)</f>
        <v>Asia</v>
      </c>
      <c r="O675" s="8">
        <f>VLOOKUP(tblSalaries[[#This Row],[How many hours of a day you work on Excel]],tblHours,2,0)</f>
        <v>3</v>
      </c>
      <c r="P675" s="8">
        <f>VLOOKUP(tblSalaries[[#This Row],[clean Country]],tblCountries[],5,0)</f>
        <v>13.098808879263672</v>
      </c>
      <c r="Q675" s="8">
        <f>IF($Q$1,tblSalaries[[#This Row],[PPP Factor]]*tblSalaries[[#This Row],[Salary in USD]],tblSalaries[[#This Row],[Salary in USD]])</f>
        <v>2136.9500024931081</v>
      </c>
    </row>
    <row r="676" spans="2:17" ht="15" customHeight="1" x14ac:dyDescent="0.25">
      <c r="B676" t="s">
        <v>2679</v>
      </c>
      <c r="C676" s="1">
        <v>41055.553020833337</v>
      </c>
      <c r="D676" s="4">
        <v>13000</v>
      </c>
      <c r="E676">
        <v>13000</v>
      </c>
      <c r="F676" t="s">
        <v>6</v>
      </c>
      <c r="G676">
        <f>tblSalaries[[#This Row],[clean Salary (in local currency)]]*VLOOKUP(tblSalaries[[#This Row],[Currency]],tblXrate[],2,FALSE)</f>
        <v>13000</v>
      </c>
      <c r="H676" t="s">
        <v>20</v>
      </c>
      <c r="I676" t="s">
        <v>20</v>
      </c>
      <c r="J676" t="s">
        <v>8</v>
      </c>
      <c r="K676" t="str">
        <f>VLOOKUP(tblSalaries[[#This Row],[Where do you work]],tblCountries[[Actual]:[Mapping]],2,FALSE)</f>
        <v>India</v>
      </c>
      <c r="L676" t="s">
        <v>25</v>
      </c>
      <c r="M676">
        <v>4</v>
      </c>
      <c r="N676" s="8" t="str">
        <f>VLOOKUP(K676,tblCountries[],3,0)</f>
        <v>Asia</v>
      </c>
      <c r="O676" s="8">
        <f>VLOOKUP(tblSalaries[[#This Row],[How many hours of a day you work on Excel]],tblHours,2,0)</f>
        <v>2</v>
      </c>
      <c r="P676" s="8">
        <f>VLOOKUP(tblSalaries[[#This Row],[clean Country]],tblCountries[],5,0)</f>
        <v>13.098808879263672</v>
      </c>
      <c r="Q676" s="8">
        <f>IF($Q$1,tblSalaries[[#This Row],[PPP Factor]]*tblSalaries[[#This Row],[Salary in USD]],tblSalaries[[#This Row],[Salary in USD]])</f>
        <v>13000</v>
      </c>
    </row>
    <row r="677" spans="2:17" ht="15" customHeight="1" x14ac:dyDescent="0.25">
      <c r="B677" t="s">
        <v>2680</v>
      </c>
      <c r="C677" s="1">
        <v>41055.553888888891</v>
      </c>
      <c r="D677" s="4" t="s">
        <v>785</v>
      </c>
      <c r="E677">
        <v>144000</v>
      </c>
      <c r="F677" t="s">
        <v>40</v>
      </c>
      <c r="G677">
        <f>tblSalaries[[#This Row],[clean Salary (in local currency)]]*VLOOKUP(tblSalaries[[#This Row],[Currency]],tblXrate[],2,FALSE)</f>
        <v>2564.3400029917298</v>
      </c>
      <c r="H677" t="s">
        <v>786</v>
      </c>
      <c r="I677" t="s">
        <v>52</v>
      </c>
      <c r="J677" t="s">
        <v>8</v>
      </c>
      <c r="K677" t="str">
        <f>VLOOKUP(tblSalaries[[#This Row],[Where do you work]],tblCountries[[Actual]:[Mapping]],2,FALSE)</f>
        <v>India</v>
      </c>
      <c r="L677" t="s">
        <v>18</v>
      </c>
      <c r="M677">
        <v>7</v>
      </c>
      <c r="N677" s="8" t="str">
        <f>VLOOKUP(K677,tblCountries[],3,0)</f>
        <v>Asia</v>
      </c>
      <c r="O677" s="8">
        <f>VLOOKUP(tblSalaries[[#This Row],[How many hours of a day you work on Excel]],tblHours,2,0)</f>
        <v>3</v>
      </c>
      <c r="P677" s="8">
        <f>VLOOKUP(tblSalaries[[#This Row],[clean Country]],tblCountries[],5,0)</f>
        <v>13.098808879263672</v>
      </c>
      <c r="Q677" s="8">
        <f>IF($Q$1,tblSalaries[[#This Row],[PPP Factor]]*tblSalaries[[#This Row],[Salary in USD]],tblSalaries[[#This Row],[Salary in USD]])</f>
        <v>2564.3400029917298</v>
      </c>
    </row>
    <row r="678" spans="2:17" ht="15" customHeight="1" x14ac:dyDescent="0.25">
      <c r="B678" t="s">
        <v>2681</v>
      </c>
      <c r="C678" s="1">
        <v>41055.554201388892</v>
      </c>
      <c r="D678" s="4" t="s">
        <v>787</v>
      </c>
      <c r="E678">
        <v>1150000</v>
      </c>
      <c r="F678" t="s">
        <v>40</v>
      </c>
      <c r="G678">
        <f>tblSalaries[[#This Row],[clean Salary (in local currency)]]*VLOOKUP(tblSalaries[[#This Row],[Currency]],tblXrate[],2,FALSE)</f>
        <v>20479.104190558952</v>
      </c>
      <c r="H678" t="s">
        <v>788</v>
      </c>
      <c r="I678" t="s">
        <v>52</v>
      </c>
      <c r="J678" t="s">
        <v>8</v>
      </c>
      <c r="K678" t="str">
        <f>VLOOKUP(tblSalaries[[#This Row],[Where do you work]],tblCountries[[Actual]:[Mapping]],2,FALSE)</f>
        <v>India</v>
      </c>
      <c r="L678" t="s">
        <v>18</v>
      </c>
      <c r="M678">
        <v>7</v>
      </c>
      <c r="N678" s="8" t="str">
        <f>VLOOKUP(K678,tblCountries[],3,0)</f>
        <v>Asia</v>
      </c>
      <c r="O678" s="8">
        <f>VLOOKUP(tblSalaries[[#This Row],[How many hours of a day you work on Excel]],tblHours,2,0)</f>
        <v>3</v>
      </c>
      <c r="P678" s="8">
        <f>VLOOKUP(tblSalaries[[#This Row],[clean Country]],tblCountries[],5,0)</f>
        <v>13.098808879263672</v>
      </c>
      <c r="Q678" s="8">
        <f>IF($Q$1,tblSalaries[[#This Row],[PPP Factor]]*tblSalaries[[#This Row],[Salary in USD]],tblSalaries[[#This Row],[Salary in USD]])</f>
        <v>20479.104190558952</v>
      </c>
    </row>
    <row r="679" spans="2:17" ht="15" customHeight="1" x14ac:dyDescent="0.25">
      <c r="B679" t="s">
        <v>2682</v>
      </c>
      <c r="C679" s="1">
        <v>41055.554537037038</v>
      </c>
      <c r="D679" s="4" t="s">
        <v>789</v>
      </c>
      <c r="E679">
        <v>33500</v>
      </c>
      <c r="F679" t="s">
        <v>6</v>
      </c>
      <c r="G679">
        <f>tblSalaries[[#This Row],[clean Salary (in local currency)]]*VLOOKUP(tblSalaries[[#This Row],[Currency]],tblXrate[],2,FALSE)</f>
        <v>33500</v>
      </c>
      <c r="H679" t="s">
        <v>790</v>
      </c>
      <c r="I679" t="s">
        <v>310</v>
      </c>
      <c r="J679" t="s">
        <v>359</v>
      </c>
      <c r="K679" t="str">
        <f>VLOOKUP(tblSalaries[[#This Row],[Where do you work]],tblCountries[[Actual]:[Mapping]],2,FALSE)</f>
        <v>Dubai</v>
      </c>
      <c r="L679" t="s">
        <v>25</v>
      </c>
      <c r="M679">
        <v>10</v>
      </c>
      <c r="N679" s="8" t="str">
        <f>VLOOKUP(K679,tblCountries[],3,0)</f>
        <v>Asia</v>
      </c>
      <c r="O679" s="8">
        <f>VLOOKUP(tblSalaries[[#This Row],[How many hours of a day you work on Excel]],tblHours,2,0)</f>
        <v>2</v>
      </c>
      <c r="P679" s="8">
        <f>VLOOKUP(tblSalaries[[#This Row],[clean Country]],tblCountries[],5,0)</f>
        <v>1</v>
      </c>
      <c r="Q679" s="8">
        <f>IF($Q$1,tblSalaries[[#This Row],[PPP Factor]]*tblSalaries[[#This Row],[Salary in USD]],tblSalaries[[#This Row],[Salary in USD]])</f>
        <v>33500</v>
      </c>
    </row>
    <row r="680" spans="2:17" ht="15" customHeight="1" x14ac:dyDescent="0.25">
      <c r="B680" t="s">
        <v>2683</v>
      </c>
      <c r="C680" s="1">
        <v>41055.555347222224</v>
      </c>
      <c r="D680" s="4">
        <v>50000</v>
      </c>
      <c r="E680">
        <v>50000</v>
      </c>
      <c r="F680" t="s">
        <v>6</v>
      </c>
      <c r="G680">
        <f>tblSalaries[[#This Row],[clean Salary (in local currency)]]*VLOOKUP(tblSalaries[[#This Row],[Currency]],tblXrate[],2,FALSE)</f>
        <v>50000</v>
      </c>
      <c r="H680" t="s">
        <v>791</v>
      </c>
      <c r="I680" t="s">
        <v>52</v>
      </c>
      <c r="J680" t="s">
        <v>8</v>
      </c>
      <c r="K680" t="str">
        <f>VLOOKUP(tblSalaries[[#This Row],[Where do you work]],tblCountries[[Actual]:[Mapping]],2,FALSE)</f>
        <v>India</v>
      </c>
      <c r="L680" t="s">
        <v>18</v>
      </c>
      <c r="M680">
        <v>20</v>
      </c>
      <c r="N680" s="8" t="str">
        <f>VLOOKUP(K680,tblCountries[],3,0)</f>
        <v>Asia</v>
      </c>
      <c r="O680" s="8">
        <f>VLOOKUP(tblSalaries[[#This Row],[How many hours of a day you work on Excel]],tblHours,2,0)</f>
        <v>3</v>
      </c>
      <c r="P680" s="8">
        <f>VLOOKUP(tblSalaries[[#This Row],[clean Country]],tblCountries[],5,0)</f>
        <v>13.098808879263672</v>
      </c>
      <c r="Q680" s="8">
        <f>IF($Q$1,tblSalaries[[#This Row],[PPP Factor]]*tblSalaries[[#This Row],[Salary in USD]],tblSalaries[[#This Row],[Salary in USD]])</f>
        <v>50000</v>
      </c>
    </row>
    <row r="681" spans="2:17" ht="15" customHeight="1" x14ac:dyDescent="0.25">
      <c r="B681" t="s">
        <v>2684</v>
      </c>
      <c r="C681" s="1">
        <v>41055.557442129626</v>
      </c>
      <c r="D681" s="4">
        <v>300000</v>
      </c>
      <c r="E681">
        <v>300000</v>
      </c>
      <c r="F681" t="s">
        <v>40</v>
      </c>
      <c r="G681">
        <f>tblSalaries[[#This Row],[clean Salary (in local currency)]]*VLOOKUP(tblSalaries[[#This Row],[Currency]],tblXrate[],2,FALSE)</f>
        <v>5342.3750062327708</v>
      </c>
      <c r="H681" t="s">
        <v>792</v>
      </c>
      <c r="I681" t="s">
        <v>52</v>
      </c>
      <c r="J681" t="s">
        <v>8</v>
      </c>
      <c r="K681" t="str">
        <f>VLOOKUP(tblSalaries[[#This Row],[Where do you work]],tblCountries[[Actual]:[Mapping]],2,FALSE)</f>
        <v>India</v>
      </c>
      <c r="L681" t="s">
        <v>18</v>
      </c>
      <c r="M681">
        <v>3</v>
      </c>
      <c r="N681" s="8" t="str">
        <f>VLOOKUP(K681,tblCountries[],3,0)</f>
        <v>Asia</v>
      </c>
      <c r="O681" s="8">
        <f>VLOOKUP(tblSalaries[[#This Row],[How many hours of a day you work on Excel]],tblHours,2,0)</f>
        <v>3</v>
      </c>
      <c r="P681" s="8">
        <f>VLOOKUP(tblSalaries[[#This Row],[clean Country]],tblCountries[],5,0)</f>
        <v>13.098808879263672</v>
      </c>
      <c r="Q681" s="8">
        <f>IF($Q$1,tblSalaries[[#This Row],[PPP Factor]]*tblSalaries[[#This Row],[Salary in USD]],tblSalaries[[#This Row],[Salary in USD]])</f>
        <v>5342.3750062327708</v>
      </c>
    </row>
    <row r="682" spans="2:17" ht="15" customHeight="1" x14ac:dyDescent="0.25">
      <c r="B682" t="s">
        <v>2685</v>
      </c>
      <c r="C682" s="1">
        <v>41055.558391203704</v>
      </c>
      <c r="D682" s="4" t="s">
        <v>793</v>
      </c>
      <c r="E682">
        <v>648000</v>
      </c>
      <c r="F682" t="s">
        <v>40</v>
      </c>
      <c r="G682">
        <f>tblSalaries[[#This Row],[clean Salary (in local currency)]]*VLOOKUP(tblSalaries[[#This Row],[Currency]],tblXrate[],2,FALSE)</f>
        <v>11539.530013462785</v>
      </c>
      <c r="H682" t="s">
        <v>794</v>
      </c>
      <c r="I682" t="s">
        <v>20</v>
      </c>
      <c r="J682" t="s">
        <v>8</v>
      </c>
      <c r="K682" t="str">
        <f>VLOOKUP(tblSalaries[[#This Row],[Where do you work]],tblCountries[[Actual]:[Mapping]],2,FALSE)</f>
        <v>India</v>
      </c>
      <c r="L682" t="s">
        <v>13</v>
      </c>
      <c r="M682">
        <v>2</v>
      </c>
      <c r="N682" s="8" t="str">
        <f>VLOOKUP(K682,tblCountries[],3,0)</f>
        <v>Asia</v>
      </c>
      <c r="O682" s="8">
        <f>VLOOKUP(tblSalaries[[#This Row],[How many hours of a day you work on Excel]],tblHours,2,0)</f>
        <v>5</v>
      </c>
      <c r="P682" s="8">
        <f>VLOOKUP(tblSalaries[[#This Row],[clean Country]],tblCountries[],5,0)</f>
        <v>13.098808879263672</v>
      </c>
      <c r="Q682" s="8">
        <f>IF($Q$1,tblSalaries[[#This Row],[PPP Factor]]*tblSalaries[[#This Row],[Salary in USD]],tblSalaries[[#This Row],[Salary in USD]])</f>
        <v>11539.530013462785</v>
      </c>
    </row>
    <row r="683" spans="2:17" ht="15" customHeight="1" x14ac:dyDescent="0.25">
      <c r="B683" t="s">
        <v>2686</v>
      </c>
      <c r="C683" s="1">
        <v>41055.558495370373</v>
      </c>
      <c r="D683" s="4">
        <v>7000</v>
      </c>
      <c r="E683">
        <v>7000</v>
      </c>
      <c r="F683" t="s">
        <v>6</v>
      </c>
      <c r="G683">
        <f>tblSalaries[[#This Row],[clean Salary (in local currency)]]*VLOOKUP(tblSalaries[[#This Row],[Currency]],tblXrate[],2,FALSE)</f>
        <v>7000</v>
      </c>
      <c r="H683" t="s">
        <v>795</v>
      </c>
      <c r="I683" t="s">
        <v>52</v>
      </c>
      <c r="J683" t="s">
        <v>8</v>
      </c>
      <c r="K683" t="str">
        <f>VLOOKUP(tblSalaries[[#This Row],[Where do you work]],tblCountries[[Actual]:[Mapping]],2,FALSE)</f>
        <v>India</v>
      </c>
      <c r="L683" t="s">
        <v>9</v>
      </c>
      <c r="M683">
        <v>23</v>
      </c>
      <c r="N683" s="8" t="str">
        <f>VLOOKUP(K683,tblCountries[],3,0)</f>
        <v>Asia</v>
      </c>
      <c r="O683" s="8">
        <f>VLOOKUP(tblSalaries[[#This Row],[How many hours of a day you work on Excel]],tblHours,2,0)</f>
        <v>4</v>
      </c>
      <c r="P683" s="8">
        <f>VLOOKUP(tblSalaries[[#This Row],[clean Country]],tblCountries[],5,0)</f>
        <v>13.098808879263672</v>
      </c>
      <c r="Q683" s="8">
        <f>IF($Q$1,tblSalaries[[#This Row],[PPP Factor]]*tblSalaries[[#This Row],[Salary in USD]],tblSalaries[[#This Row],[Salary in USD]])</f>
        <v>7000</v>
      </c>
    </row>
    <row r="684" spans="2:17" ht="15" customHeight="1" x14ac:dyDescent="0.25">
      <c r="B684" t="s">
        <v>2687</v>
      </c>
      <c r="C684" s="1">
        <v>41055.558749999997</v>
      </c>
      <c r="D684" s="4">
        <v>380000</v>
      </c>
      <c r="E684">
        <v>380000</v>
      </c>
      <c r="F684" t="s">
        <v>40</v>
      </c>
      <c r="G684">
        <f>tblSalaries[[#This Row],[clean Salary (in local currency)]]*VLOOKUP(tblSalaries[[#This Row],[Currency]],tblXrate[],2,FALSE)</f>
        <v>6767.0083412281756</v>
      </c>
      <c r="H684" t="s">
        <v>796</v>
      </c>
      <c r="I684" t="s">
        <v>3999</v>
      </c>
      <c r="J684" t="s">
        <v>8</v>
      </c>
      <c r="K684" t="str">
        <f>VLOOKUP(tblSalaries[[#This Row],[Where do you work]],tblCountries[[Actual]:[Mapping]],2,FALSE)</f>
        <v>India</v>
      </c>
      <c r="L684" t="s">
        <v>18</v>
      </c>
      <c r="M684">
        <v>6</v>
      </c>
      <c r="N684" s="8" t="str">
        <f>VLOOKUP(K684,tblCountries[],3,0)</f>
        <v>Asia</v>
      </c>
      <c r="O684" s="8">
        <f>VLOOKUP(tblSalaries[[#This Row],[How many hours of a day you work on Excel]],tblHours,2,0)</f>
        <v>3</v>
      </c>
      <c r="P684" s="8">
        <f>VLOOKUP(tblSalaries[[#This Row],[clean Country]],tblCountries[],5,0)</f>
        <v>13.098808879263672</v>
      </c>
      <c r="Q684" s="8">
        <f>IF($Q$1,tblSalaries[[#This Row],[PPP Factor]]*tblSalaries[[#This Row],[Salary in USD]],tblSalaries[[#This Row],[Salary in USD]])</f>
        <v>6767.0083412281756</v>
      </c>
    </row>
    <row r="685" spans="2:17" ht="15" customHeight="1" x14ac:dyDescent="0.25">
      <c r="B685" t="s">
        <v>2688</v>
      </c>
      <c r="C685" s="1">
        <v>41055.561944444446</v>
      </c>
      <c r="D685" s="4" t="s">
        <v>797</v>
      </c>
      <c r="E685">
        <v>3000</v>
      </c>
      <c r="F685" t="s">
        <v>6</v>
      </c>
      <c r="G685">
        <f>tblSalaries[[#This Row],[clean Salary (in local currency)]]*VLOOKUP(tblSalaries[[#This Row],[Currency]],tblXrate[],2,FALSE)</f>
        <v>3000</v>
      </c>
      <c r="H685" t="s">
        <v>798</v>
      </c>
      <c r="I685" t="s">
        <v>356</v>
      </c>
      <c r="J685" t="s">
        <v>799</v>
      </c>
      <c r="K685" t="str">
        <f>VLOOKUP(tblSalaries[[#This Row],[Where do you work]],tblCountries[[Actual]:[Mapping]],2,FALSE)</f>
        <v>Cambodia</v>
      </c>
      <c r="L685" t="s">
        <v>18</v>
      </c>
      <c r="M685">
        <v>2</v>
      </c>
      <c r="N685" s="8" t="str">
        <f>VLOOKUP(K685,tblCountries[],3,0)</f>
        <v>Asia</v>
      </c>
      <c r="O685" s="8">
        <f>VLOOKUP(tblSalaries[[#This Row],[How many hours of a day you work on Excel]],tblHours,2,0)</f>
        <v>3</v>
      </c>
      <c r="P685" s="8">
        <f>VLOOKUP(tblSalaries[[#This Row],[clean Country]],tblCountries[],5,0)</f>
        <v>21.835288808664259</v>
      </c>
      <c r="Q685" s="8">
        <f>IF($Q$1,tblSalaries[[#This Row],[PPP Factor]]*tblSalaries[[#This Row],[Salary in USD]],tblSalaries[[#This Row],[Salary in USD]])</f>
        <v>3000</v>
      </c>
    </row>
    <row r="686" spans="2:17" ht="15" customHeight="1" x14ac:dyDescent="0.25">
      <c r="B686" t="s">
        <v>2689</v>
      </c>
      <c r="C686" s="1">
        <v>41055.562210648146</v>
      </c>
      <c r="D686" s="4" t="s">
        <v>800</v>
      </c>
      <c r="E686">
        <v>250000</v>
      </c>
      <c r="F686" t="s">
        <v>40</v>
      </c>
      <c r="G686">
        <f>tblSalaries[[#This Row],[clean Salary (in local currency)]]*VLOOKUP(tblSalaries[[#This Row],[Currency]],tblXrate[],2,FALSE)</f>
        <v>4451.9791718606421</v>
      </c>
      <c r="H686" t="s">
        <v>801</v>
      </c>
      <c r="I686" t="s">
        <v>3999</v>
      </c>
      <c r="J686" t="s">
        <v>8</v>
      </c>
      <c r="K686" t="str">
        <f>VLOOKUP(tblSalaries[[#This Row],[Where do you work]],tblCountries[[Actual]:[Mapping]],2,FALSE)</f>
        <v>India</v>
      </c>
      <c r="L686" t="s">
        <v>13</v>
      </c>
      <c r="M686">
        <v>4</v>
      </c>
      <c r="N686" s="8" t="str">
        <f>VLOOKUP(K686,tblCountries[],3,0)</f>
        <v>Asia</v>
      </c>
      <c r="O686" s="8">
        <f>VLOOKUP(tblSalaries[[#This Row],[How many hours of a day you work on Excel]],tblHours,2,0)</f>
        <v>5</v>
      </c>
      <c r="P686" s="8">
        <f>VLOOKUP(tblSalaries[[#This Row],[clean Country]],tblCountries[],5,0)</f>
        <v>13.098808879263672</v>
      </c>
      <c r="Q686" s="8">
        <f>IF($Q$1,tblSalaries[[#This Row],[PPP Factor]]*tblSalaries[[#This Row],[Salary in USD]],tblSalaries[[#This Row],[Salary in USD]])</f>
        <v>4451.9791718606421</v>
      </c>
    </row>
    <row r="687" spans="2:17" ht="15" customHeight="1" x14ac:dyDescent="0.25">
      <c r="B687" t="s">
        <v>2690</v>
      </c>
      <c r="C687" s="1">
        <v>41055.563425925924</v>
      </c>
      <c r="D687" s="4" t="s">
        <v>802</v>
      </c>
      <c r="E687">
        <v>150000</v>
      </c>
      <c r="F687" t="s">
        <v>40</v>
      </c>
      <c r="G687">
        <f>tblSalaries[[#This Row],[clean Salary (in local currency)]]*VLOOKUP(tblSalaries[[#This Row],[Currency]],tblXrate[],2,FALSE)</f>
        <v>2671.1875031163854</v>
      </c>
      <c r="H687" t="s">
        <v>803</v>
      </c>
      <c r="I687" t="s">
        <v>4001</v>
      </c>
      <c r="J687" t="s">
        <v>8</v>
      </c>
      <c r="K687" t="str">
        <f>VLOOKUP(tblSalaries[[#This Row],[Where do you work]],tblCountries[[Actual]:[Mapping]],2,FALSE)</f>
        <v>India</v>
      </c>
      <c r="L687" t="s">
        <v>9</v>
      </c>
      <c r="M687">
        <v>4.5</v>
      </c>
      <c r="N687" s="8" t="str">
        <f>VLOOKUP(K687,tblCountries[],3,0)</f>
        <v>Asia</v>
      </c>
      <c r="O687" s="8">
        <f>VLOOKUP(tblSalaries[[#This Row],[How many hours of a day you work on Excel]],tblHours,2,0)</f>
        <v>4</v>
      </c>
      <c r="P687" s="8">
        <f>VLOOKUP(tblSalaries[[#This Row],[clean Country]],tblCountries[],5,0)</f>
        <v>13.098808879263672</v>
      </c>
      <c r="Q687" s="8">
        <f>IF($Q$1,tblSalaries[[#This Row],[PPP Factor]]*tblSalaries[[#This Row],[Salary in USD]],tblSalaries[[#This Row],[Salary in USD]])</f>
        <v>2671.1875031163854</v>
      </c>
    </row>
    <row r="688" spans="2:17" ht="15" customHeight="1" x14ac:dyDescent="0.25">
      <c r="B688" t="s">
        <v>2691</v>
      </c>
      <c r="C688" s="1">
        <v>41055.567939814813</v>
      </c>
      <c r="D688" s="4">
        <v>278400</v>
      </c>
      <c r="E688">
        <v>278400</v>
      </c>
      <c r="F688" t="s">
        <v>40</v>
      </c>
      <c r="G688">
        <f>tblSalaries[[#This Row],[clean Salary (in local currency)]]*VLOOKUP(tblSalaries[[#This Row],[Currency]],tblXrate[],2,FALSE)</f>
        <v>4957.7240057840108</v>
      </c>
      <c r="H688" t="s">
        <v>804</v>
      </c>
      <c r="I688" t="s">
        <v>52</v>
      </c>
      <c r="J688" t="s">
        <v>8</v>
      </c>
      <c r="K688" t="str">
        <f>VLOOKUP(tblSalaries[[#This Row],[Where do you work]],tblCountries[[Actual]:[Mapping]],2,FALSE)</f>
        <v>India</v>
      </c>
      <c r="L688" t="s">
        <v>9</v>
      </c>
      <c r="M688">
        <v>5</v>
      </c>
      <c r="N688" s="8" t="str">
        <f>VLOOKUP(K688,tblCountries[],3,0)</f>
        <v>Asia</v>
      </c>
      <c r="O688" s="8">
        <f>VLOOKUP(tblSalaries[[#This Row],[How many hours of a day you work on Excel]],tblHours,2,0)</f>
        <v>4</v>
      </c>
      <c r="P688" s="8">
        <f>VLOOKUP(tblSalaries[[#This Row],[clean Country]],tblCountries[],5,0)</f>
        <v>13.098808879263672</v>
      </c>
      <c r="Q688" s="8">
        <f>IF($Q$1,tblSalaries[[#This Row],[PPP Factor]]*tblSalaries[[#This Row],[Salary in USD]],tblSalaries[[#This Row],[Salary in USD]])</f>
        <v>4957.7240057840108</v>
      </c>
    </row>
    <row r="689" spans="2:17" ht="15" customHeight="1" x14ac:dyDescent="0.25">
      <c r="B689" t="s">
        <v>2692</v>
      </c>
      <c r="C689" s="1">
        <v>41055.571076388886</v>
      </c>
      <c r="D689" s="4">
        <v>180000</v>
      </c>
      <c r="E689">
        <v>180000</v>
      </c>
      <c r="F689" t="s">
        <v>40</v>
      </c>
      <c r="G689">
        <f>tblSalaries[[#This Row],[clean Salary (in local currency)]]*VLOOKUP(tblSalaries[[#This Row],[Currency]],tblXrate[],2,FALSE)</f>
        <v>3205.4250037396623</v>
      </c>
      <c r="H689" t="s">
        <v>805</v>
      </c>
      <c r="I689" t="s">
        <v>310</v>
      </c>
      <c r="J689" t="s">
        <v>8</v>
      </c>
      <c r="K689" t="str">
        <f>VLOOKUP(tblSalaries[[#This Row],[Where do you work]],tblCountries[[Actual]:[Mapping]],2,FALSE)</f>
        <v>India</v>
      </c>
      <c r="L689" t="s">
        <v>18</v>
      </c>
      <c r="M689">
        <v>14</v>
      </c>
      <c r="N689" s="8" t="str">
        <f>VLOOKUP(K689,tblCountries[],3,0)</f>
        <v>Asia</v>
      </c>
      <c r="O689" s="8">
        <f>VLOOKUP(tblSalaries[[#This Row],[How many hours of a day you work on Excel]],tblHours,2,0)</f>
        <v>3</v>
      </c>
      <c r="P689" s="8">
        <f>VLOOKUP(tblSalaries[[#This Row],[clean Country]],tblCountries[],5,0)</f>
        <v>13.098808879263672</v>
      </c>
      <c r="Q689" s="8">
        <f>IF($Q$1,tblSalaries[[#This Row],[PPP Factor]]*tblSalaries[[#This Row],[Salary in USD]],tblSalaries[[#This Row],[Salary in USD]])</f>
        <v>3205.4250037396623</v>
      </c>
    </row>
    <row r="690" spans="2:17" ht="15" customHeight="1" x14ac:dyDescent="0.25">
      <c r="B690" t="s">
        <v>2693</v>
      </c>
      <c r="C690" s="1">
        <v>41055.571504629632</v>
      </c>
      <c r="D690" s="4">
        <v>800000</v>
      </c>
      <c r="E690">
        <v>800000</v>
      </c>
      <c r="F690" t="s">
        <v>40</v>
      </c>
      <c r="G690">
        <f>tblSalaries[[#This Row],[clean Salary (in local currency)]]*VLOOKUP(tblSalaries[[#This Row],[Currency]],tblXrate[],2,FALSE)</f>
        <v>14246.333349954055</v>
      </c>
      <c r="H690" t="s">
        <v>52</v>
      </c>
      <c r="I690" t="s">
        <v>52</v>
      </c>
      <c r="J690" t="s">
        <v>8</v>
      </c>
      <c r="K690" t="str">
        <f>VLOOKUP(tblSalaries[[#This Row],[Where do you work]],tblCountries[[Actual]:[Mapping]],2,FALSE)</f>
        <v>India</v>
      </c>
      <c r="L690" t="s">
        <v>9</v>
      </c>
      <c r="M690">
        <v>7</v>
      </c>
      <c r="N690" s="8" t="str">
        <f>VLOOKUP(K690,tblCountries[],3,0)</f>
        <v>Asia</v>
      </c>
      <c r="O690" s="8">
        <f>VLOOKUP(tblSalaries[[#This Row],[How many hours of a day you work on Excel]],tblHours,2,0)</f>
        <v>4</v>
      </c>
      <c r="P690" s="8">
        <f>VLOOKUP(tblSalaries[[#This Row],[clean Country]],tblCountries[],5,0)</f>
        <v>13.098808879263672</v>
      </c>
      <c r="Q690" s="8">
        <f>IF($Q$1,tblSalaries[[#This Row],[PPP Factor]]*tblSalaries[[#This Row],[Salary in USD]],tblSalaries[[#This Row],[Salary in USD]])</f>
        <v>14246.333349954055</v>
      </c>
    </row>
    <row r="691" spans="2:17" ht="15" customHeight="1" x14ac:dyDescent="0.25">
      <c r="B691" t="s">
        <v>2694</v>
      </c>
      <c r="C691" s="1">
        <v>41055.572835648149</v>
      </c>
      <c r="D691" s="4" t="s">
        <v>806</v>
      </c>
      <c r="E691">
        <v>300000</v>
      </c>
      <c r="F691" t="s">
        <v>40</v>
      </c>
      <c r="G691">
        <f>tblSalaries[[#This Row],[clean Salary (in local currency)]]*VLOOKUP(tblSalaries[[#This Row],[Currency]],tblXrate[],2,FALSE)</f>
        <v>5342.3750062327708</v>
      </c>
      <c r="H691" t="s">
        <v>20</v>
      </c>
      <c r="I691" t="s">
        <v>20</v>
      </c>
      <c r="J691" t="s">
        <v>8</v>
      </c>
      <c r="K691" t="str">
        <f>VLOOKUP(tblSalaries[[#This Row],[Where do you work]],tblCountries[[Actual]:[Mapping]],2,FALSE)</f>
        <v>India</v>
      </c>
      <c r="L691" t="s">
        <v>13</v>
      </c>
      <c r="M691">
        <v>7</v>
      </c>
      <c r="N691" s="8" t="str">
        <f>VLOOKUP(K691,tblCountries[],3,0)</f>
        <v>Asia</v>
      </c>
      <c r="O691" s="8">
        <f>VLOOKUP(tblSalaries[[#This Row],[How many hours of a day you work on Excel]],tblHours,2,0)</f>
        <v>5</v>
      </c>
      <c r="P691" s="8">
        <f>VLOOKUP(tblSalaries[[#This Row],[clean Country]],tblCountries[],5,0)</f>
        <v>13.098808879263672</v>
      </c>
      <c r="Q691" s="8">
        <f>IF($Q$1,tblSalaries[[#This Row],[PPP Factor]]*tblSalaries[[#This Row],[Salary in USD]],tblSalaries[[#This Row],[Salary in USD]])</f>
        <v>5342.3750062327708</v>
      </c>
    </row>
    <row r="692" spans="2:17" ht="15" customHeight="1" x14ac:dyDescent="0.25">
      <c r="B692" t="s">
        <v>2695</v>
      </c>
      <c r="C692" s="1">
        <v>41055.574212962965</v>
      </c>
      <c r="D692" s="4" t="s">
        <v>807</v>
      </c>
      <c r="E692">
        <v>370000</v>
      </c>
      <c r="F692" t="s">
        <v>40</v>
      </c>
      <c r="G692">
        <f>tblSalaries[[#This Row],[clean Salary (in local currency)]]*VLOOKUP(tblSalaries[[#This Row],[Currency]],tblXrate[],2,FALSE)</f>
        <v>6588.9291743537506</v>
      </c>
      <c r="H692" t="s">
        <v>386</v>
      </c>
      <c r="I692" t="s">
        <v>20</v>
      </c>
      <c r="J692" t="s">
        <v>8</v>
      </c>
      <c r="K692" t="str">
        <f>VLOOKUP(tblSalaries[[#This Row],[Where do you work]],tblCountries[[Actual]:[Mapping]],2,FALSE)</f>
        <v>India</v>
      </c>
      <c r="L692" t="s">
        <v>13</v>
      </c>
      <c r="M692">
        <v>2</v>
      </c>
      <c r="N692" s="8" t="str">
        <f>VLOOKUP(K692,tblCountries[],3,0)</f>
        <v>Asia</v>
      </c>
      <c r="O692" s="8">
        <f>VLOOKUP(tblSalaries[[#This Row],[How many hours of a day you work on Excel]],tblHours,2,0)</f>
        <v>5</v>
      </c>
      <c r="P692" s="8">
        <f>VLOOKUP(tblSalaries[[#This Row],[clean Country]],tblCountries[],5,0)</f>
        <v>13.098808879263672</v>
      </c>
      <c r="Q692" s="8">
        <f>IF($Q$1,tblSalaries[[#This Row],[PPP Factor]]*tblSalaries[[#This Row],[Salary in USD]],tblSalaries[[#This Row],[Salary in USD]])</f>
        <v>6588.9291743537506</v>
      </c>
    </row>
    <row r="693" spans="2:17" ht="15" customHeight="1" x14ac:dyDescent="0.25">
      <c r="B693" t="s">
        <v>2696</v>
      </c>
      <c r="C693" s="1">
        <v>41055.574374999997</v>
      </c>
      <c r="D693" s="4" t="s">
        <v>807</v>
      </c>
      <c r="E693">
        <v>370000</v>
      </c>
      <c r="F693" t="s">
        <v>40</v>
      </c>
      <c r="G693">
        <f>tblSalaries[[#This Row],[clean Salary (in local currency)]]*VLOOKUP(tblSalaries[[#This Row],[Currency]],tblXrate[],2,FALSE)</f>
        <v>6588.9291743537506</v>
      </c>
      <c r="H693" t="s">
        <v>386</v>
      </c>
      <c r="I693" t="s">
        <v>20</v>
      </c>
      <c r="J693" t="s">
        <v>8</v>
      </c>
      <c r="K693" t="str">
        <f>VLOOKUP(tblSalaries[[#This Row],[Where do you work]],tblCountries[[Actual]:[Mapping]],2,FALSE)</f>
        <v>India</v>
      </c>
      <c r="L693" t="s">
        <v>13</v>
      </c>
      <c r="M693">
        <v>2</v>
      </c>
      <c r="N693" s="8" t="str">
        <f>VLOOKUP(K693,tblCountries[],3,0)</f>
        <v>Asia</v>
      </c>
      <c r="O693" s="8">
        <f>VLOOKUP(tblSalaries[[#This Row],[How many hours of a day you work on Excel]],tblHours,2,0)</f>
        <v>5</v>
      </c>
      <c r="P693" s="8">
        <f>VLOOKUP(tblSalaries[[#This Row],[clean Country]],tblCountries[],5,0)</f>
        <v>13.098808879263672</v>
      </c>
      <c r="Q693" s="8">
        <f>IF($Q$1,tblSalaries[[#This Row],[PPP Factor]]*tblSalaries[[#This Row],[Salary in USD]],tblSalaries[[#This Row],[Salary in USD]])</f>
        <v>6588.9291743537506</v>
      </c>
    </row>
    <row r="694" spans="2:17" ht="15" customHeight="1" x14ac:dyDescent="0.25">
      <c r="B694" t="s">
        <v>2697</v>
      </c>
      <c r="C694" s="1">
        <v>41055.576319444444</v>
      </c>
      <c r="D694" s="4">
        <v>35000</v>
      </c>
      <c r="E694">
        <v>35000</v>
      </c>
      <c r="F694" t="s">
        <v>6</v>
      </c>
      <c r="G694">
        <f>tblSalaries[[#This Row],[clean Salary (in local currency)]]*VLOOKUP(tblSalaries[[#This Row],[Currency]],tblXrate[],2,FALSE)</f>
        <v>35000</v>
      </c>
      <c r="H694" t="s">
        <v>660</v>
      </c>
      <c r="I694" t="s">
        <v>67</v>
      </c>
      <c r="J694" t="s">
        <v>15</v>
      </c>
      <c r="K694" t="str">
        <f>VLOOKUP(tblSalaries[[#This Row],[Where do you work]],tblCountries[[Actual]:[Mapping]],2,FALSE)</f>
        <v>USA</v>
      </c>
      <c r="L694" t="s">
        <v>9</v>
      </c>
      <c r="M694">
        <v>10</v>
      </c>
      <c r="N694" s="8" t="str">
        <f>VLOOKUP(K694,tblCountries[],3,0)</f>
        <v>North Amer.</v>
      </c>
      <c r="O694" s="8">
        <f>VLOOKUP(tblSalaries[[#This Row],[How many hours of a day you work on Excel]],tblHours,2,0)</f>
        <v>4</v>
      </c>
      <c r="P694" s="8">
        <f>VLOOKUP(tblSalaries[[#This Row],[clean Country]],tblCountries[],5,0)</f>
        <v>1</v>
      </c>
      <c r="Q694" s="8">
        <f>IF($Q$1,tblSalaries[[#This Row],[PPP Factor]]*tblSalaries[[#This Row],[Salary in USD]],tblSalaries[[#This Row],[Salary in USD]])</f>
        <v>35000</v>
      </c>
    </row>
    <row r="695" spans="2:17" ht="15" customHeight="1" x14ac:dyDescent="0.25">
      <c r="B695" t="s">
        <v>2698</v>
      </c>
      <c r="C695" s="1">
        <v>41055.581377314818</v>
      </c>
      <c r="D695" s="4">
        <v>720000</v>
      </c>
      <c r="E695">
        <v>720000</v>
      </c>
      <c r="F695" t="s">
        <v>40</v>
      </c>
      <c r="G695">
        <f>tblSalaries[[#This Row],[clean Salary (in local currency)]]*VLOOKUP(tblSalaries[[#This Row],[Currency]],tblXrate[],2,FALSE)</f>
        <v>12821.700014958649</v>
      </c>
      <c r="H695" t="s">
        <v>808</v>
      </c>
      <c r="I695" t="s">
        <v>310</v>
      </c>
      <c r="J695" t="s">
        <v>8</v>
      </c>
      <c r="K695" t="str">
        <f>VLOOKUP(tblSalaries[[#This Row],[Where do you work]],tblCountries[[Actual]:[Mapping]],2,FALSE)</f>
        <v>India</v>
      </c>
      <c r="L695" t="s">
        <v>9</v>
      </c>
      <c r="M695">
        <v>4</v>
      </c>
      <c r="N695" s="8" t="str">
        <f>VLOOKUP(K695,tblCountries[],3,0)</f>
        <v>Asia</v>
      </c>
      <c r="O695" s="8">
        <f>VLOOKUP(tblSalaries[[#This Row],[How many hours of a day you work on Excel]],tblHours,2,0)</f>
        <v>4</v>
      </c>
      <c r="P695" s="8">
        <f>VLOOKUP(tblSalaries[[#This Row],[clean Country]],tblCountries[],5,0)</f>
        <v>13.098808879263672</v>
      </c>
      <c r="Q695" s="8">
        <f>IF($Q$1,tblSalaries[[#This Row],[PPP Factor]]*tblSalaries[[#This Row],[Salary in USD]],tblSalaries[[#This Row],[Salary in USD]])</f>
        <v>12821.700014958649</v>
      </c>
    </row>
    <row r="696" spans="2:17" ht="15" customHeight="1" x14ac:dyDescent="0.25">
      <c r="B696" t="s">
        <v>2699</v>
      </c>
      <c r="C696" s="1">
        <v>41055.584027777775</v>
      </c>
      <c r="D696" s="4">
        <v>600000</v>
      </c>
      <c r="E696">
        <v>600000</v>
      </c>
      <c r="F696" t="s">
        <v>40</v>
      </c>
      <c r="G696">
        <f>tblSalaries[[#This Row],[clean Salary (in local currency)]]*VLOOKUP(tblSalaries[[#This Row],[Currency]],tblXrate[],2,FALSE)</f>
        <v>10684.750012465542</v>
      </c>
      <c r="H696" t="s">
        <v>809</v>
      </c>
      <c r="I696" t="s">
        <v>52</v>
      </c>
      <c r="J696" t="s">
        <v>8</v>
      </c>
      <c r="K696" t="str">
        <f>VLOOKUP(tblSalaries[[#This Row],[Where do you work]],tblCountries[[Actual]:[Mapping]],2,FALSE)</f>
        <v>India</v>
      </c>
      <c r="L696" t="s">
        <v>25</v>
      </c>
      <c r="M696">
        <v>2</v>
      </c>
      <c r="N696" s="8" t="str">
        <f>VLOOKUP(K696,tblCountries[],3,0)</f>
        <v>Asia</v>
      </c>
      <c r="O696" s="8">
        <f>VLOOKUP(tblSalaries[[#This Row],[How many hours of a day you work on Excel]],tblHours,2,0)</f>
        <v>2</v>
      </c>
      <c r="P696" s="8">
        <f>VLOOKUP(tblSalaries[[#This Row],[clean Country]],tblCountries[],5,0)</f>
        <v>13.098808879263672</v>
      </c>
      <c r="Q696" s="8">
        <f>IF($Q$1,tblSalaries[[#This Row],[PPP Factor]]*tblSalaries[[#This Row],[Salary in USD]],tblSalaries[[#This Row],[Salary in USD]])</f>
        <v>10684.750012465542</v>
      </c>
    </row>
    <row r="697" spans="2:17" ht="15" customHeight="1" x14ac:dyDescent="0.25">
      <c r="B697" t="s">
        <v>2700</v>
      </c>
      <c r="C697" s="1">
        <v>41055.584131944444</v>
      </c>
      <c r="D697" s="4">
        <v>10000</v>
      </c>
      <c r="E697">
        <v>10000</v>
      </c>
      <c r="F697" t="s">
        <v>6</v>
      </c>
      <c r="G697">
        <f>tblSalaries[[#This Row],[clean Salary (in local currency)]]*VLOOKUP(tblSalaries[[#This Row],[Currency]],tblXrate[],2,FALSE)</f>
        <v>10000</v>
      </c>
      <c r="H697" t="s">
        <v>749</v>
      </c>
      <c r="I697" t="s">
        <v>52</v>
      </c>
      <c r="J697" t="s">
        <v>8</v>
      </c>
      <c r="K697" t="str">
        <f>VLOOKUP(tblSalaries[[#This Row],[Where do you work]],tblCountries[[Actual]:[Mapping]],2,FALSE)</f>
        <v>India</v>
      </c>
      <c r="L697" t="s">
        <v>9</v>
      </c>
      <c r="M697">
        <v>2</v>
      </c>
      <c r="N697" s="8" t="str">
        <f>VLOOKUP(K697,tblCountries[],3,0)</f>
        <v>Asia</v>
      </c>
      <c r="O697" s="8">
        <f>VLOOKUP(tblSalaries[[#This Row],[How many hours of a day you work on Excel]],tblHours,2,0)</f>
        <v>4</v>
      </c>
      <c r="P697" s="8">
        <f>VLOOKUP(tblSalaries[[#This Row],[clean Country]],tblCountries[],5,0)</f>
        <v>13.098808879263672</v>
      </c>
      <c r="Q697" s="8">
        <f>IF($Q$1,tblSalaries[[#This Row],[PPP Factor]]*tblSalaries[[#This Row],[Salary in USD]],tblSalaries[[#This Row],[Salary in USD]])</f>
        <v>10000</v>
      </c>
    </row>
    <row r="698" spans="2:17" ht="15" customHeight="1" x14ac:dyDescent="0.25">
      <c r="B698" t="s">
        <v>2701</v>
      </c>
      <c r="C698" s="1">
        <v>41055.586516203701</v>
      </c>
      <c r="D698" s="4" t="s">
        <v>810</v>
      </c>
      <c r="E698">
        <v>120000</v>
      </c>
      <c r="F698" t="s">
        <v>40</v>
      </c>
      <c r="G698">
        <f>tblSalaries[[#This Row],[clean Salary (in local currency)]]*VLOOKUP(tblSalaries[[#This Row],[Currency]],tblXrate[],2,FALSE)</f>
        <v>2136.9500024931081</v>
      </c>
      <c r="H698" t="s">
        <v>811</v>
      </c>
      <c r="I698" t="s">
        <v>20</v>
      </c>
      <c r="J698" t="s">
        <v>8</v>
      </c>
      <c r="K698" t="str">
        <f>VLOOKUP(tblSalaries[[#This Row],[Where do you work]],tblCountries[[Actual]:[Mapping]],2,FALSE)</f>
        <v>India</v>
      </c>
      <c r="L698" t="s">
        <v>25</v>
      </c>
      <c r="M698">
        <v>0</v>
      </c>
      <c r="N698" s="8" t="str">
        <f>VLOOKUP(K698,tblCountries[],3,0)</f>
        <v>Asia</v>
      </c>
      <c r="O698" s="8">
        <f>VLOOKUP(tblSalaries[[#This Row],[How many hours of a day you work on Excel]],tblHours,2,0)</f>
        <v>2</v>
      </c>
      <c r="P698" s="8">
        <f>VLOOKUP(tblSalaries[[#This Row],[clean Country]],tblCountries[],5,0)</f>
        <v>13.098808879263672</v>
      </c>
      <c r="Q698" s="8">
        <f>IF($Q$1,tblSalaries[[#This Row],[PPP Factor]]*tblSalaries[[#This Row],[Salary in USD]],tblSalaries[[#This Row],[Salary in USD]])</f>
        <v>2136.9500024931081</v>
      </c>
    </row>
    <row r="699" spans="2:17" ht="15" customHeight="1" x14ac:dyDescent="0.25">
      <c r="B699" t="s">
        <v>2702</v>
      </c>
      <c r="C699" s="1">
        <v>41055.590868055559</v>
      </c>
      <c r="D699" s="4" t="s">
        <v>812</v>
      </c>
      <c r="E699">
        <v>480000</v>
      </c>
      <c r="F699" t="s">
        <v>40</v>
      </c>
      <c r="G699">
        <f>tblSalaries[[#This Row],[clean Salary (in local currency)]]*VLOOKUP(tblSalaries[[#This Row],[Currency]],tblXrate[],2,FALSE)</f>
        <v>8547.8000099724322</v>
      </c>
      <c r="H699" t="s">
        <v>207</v>
      </c>
      <c r="I699" t="s">
        <v>20</v>
      </c>
      <c r="J699" t="s">
        <v>8</v>
      </c>
      <c r="K699" t="str">
        <f>VLOOKUP(tblSalaries[[#This Row],[Where do you work]],tblCountries[[Actual]:[Mapping]],2,FALSE)</f>
        <v>India</v>
      </c>
      <c r="L699" t="s">
        <v>9</v>
      </c>
      <c r="M699">
        <v>4</v>
      </c>
      <c r="N699" s="8" t="str">
        <f>VLOOKUP(K699,tblCountries[],3,0)</f>
        <v>Asia</v>
      </c>
      <c r="O699" s="8">
        <f>VLOOKUP(tblSalaries[[#This Row],[How many hours of a day you work on Excel]],tblHours,2,0)</f>
        <v>4</v>
      </c>
      <c r="P699" s="8">
        <f>VLOOKUP(tblSalaries[[#This Row],[clean Country]],tblCountries[],5,0)</f>
        <v>13.098808879263672</v>
      </c>
      <c r="Q699" s="8">
        <f>IF($Q$1,tblSalaries[[#This Row],[PPP Factor]]*tblSalaries[[#This Row],[Salary in USD]],tblSalaries[[#This Row],[Salary in USD]])</f>
        <v>8547.8000099724322</v>
      </c>
    </row>
    <row r="700" spans="2:17" ht="15" customHeight="1" x14ac:dyDescent="0.25">
      <c r="B700" t="s">
        <v>2703</v>
      </c>
      <c r="C700" s="1">
        <v>41055.591574074075</v>
      </c>
      <c r="D700" s="4" t="s">
        <v>813</v>
      </c>
      <c r="E700">
        <v>450000</v>
      </c>
      <c r="F700" t="s">
        <v>40</v>
      </c>
      <c r="G700">
        <f>tblSalaries[[#This Row],[clean Salary (in local currency)]]*VLOOKUP(tblSalaries[[#This Row],[Currency]],tblXrate[],2,FALSE)</f>
        <v>8013.5625093491553</v>
      </c>
      <c r="H700" t="s">
        <v>153</v>
      </c>
      <c r="I700" t="s">
        <v>20</v>
      </c>
      <c r="J700" t="s">
        <v>8</v>
      </c>
      <c r="K700" t="str">
        <f>VLOOKUP(tblSalaries[[#This Row],[Where do you work]],tblCountries[[Actual]:[Mapping]],2,FALSE)</f>
        <v>India</v>
      </c>
      <c r="L700" t="s">
        <v>13</v>
      </c>
      <c r="M700">
        <v>8</v>
      </c>
      <c r="N700" s="8" t="str">
        <f>VLOOKUP(K700,tblCountries[],3,0)</f>
        <v>Asia</v>
      </c>
      <c r="O700" s="8">
        <f>VLOOKUP(tblSalaries[[#This Row],[How many hours of a day you work on Excel]],tblHours,2,0)</f>
        <v>5</v>
      </c>
      <c r="P700" s="8">
        <f>VLOOKUP(tblSalaries[[#This Row],[clean Country]],tblCountries[],5,0)</f>
        <v>13.098808879263672</v>
      </c>
      <c r="Q700" s="8">
        <f>IF($Q$1,tblSalaries[[#This Row],[PPP Factor]]*tblSalaries[[#This Row],[Salary in USD]],tblSalaries[[#This Row],[Salary in USD]])</f>
        <v>8013.5625093491553</v>
      </c>
    </row>
    <row r="701" spans="2:17" ht="15" customHeight="1" x14ac:dyDescent="0.25">
      <c r="B701" t="s">
        <v>2704</v>
      </c>
      <c r="C701" s="1">
        <v>41055.593460648146</v>
      </c>
      <c r="D701" s="4">
        <v>400000</v>
      </c>
      <c r="E701">
        <v>400000</v>
      </c>
      <c r="F701" t="s">
        <v>40</v>
      </c>
      <c r="G701">
        <f>tblSalaries[[#This Row],[clean Salary (in local currency)]]*VLOOKUP(tblSalaries[[#This Row],[Currency]],tblXrate[],2,FALSE)</f>
        <v>7123.1666749770275</v>
      </c>
      <c r="H701" t="s">
        <v>356</v>
      </c>
      <c r="I701" t="s">
        <v>356</v>
      </c>
      <c r="J701" t="s">
        <v>8</v>
      </c>
      <c r="K701" t="str">
        <f>VLOOKUP(tblSalaries[[#This Row],[Where do you work]],tblCountries[[Actual]:[Mapping]],2,FALSE)</f>
        <v>India</v>
      </c>
      <c r="L701" t="s">
        <v>9</v>
      </c>
      <c r="M701">
        <v>0</v>
      </c>
      <c r="N701" s="8" t="str">
        <f>VLOOKUP(K701,tblCountries[],3,0)</f>
        <v>Asia</v>
      </c>
      <c r="O701" s="8">
        <f>VLOOKUP(tblSalaries[[#This Row],[How many hours of a day you work on Excel]],tblHours,2,0)</f>
        <v>4</v>
      </c>
      <c r="P701" s="8">
        <f>VLOOKUP(tblSalaries[[#This Row],[clean Country]],tblCountries[],5,0)</f>
        <v>13.098808879263672</v>
      </c>
      <c r="Q701" s="8">
        <f>IF($Q$1,tblSalaries[[#This Row],[PPP Factor]]*tblSalaries[[#This Row],[Salary in USD]],tblSalaries[[#This Row],[Salary in USD]])</f>
        <v>7123.1666749770275</v>
      </c>
    </row>
    <row r="702" spans="2:17" ht="15" customHeight="1" x14ac:dyDescent="0.25">
      <c r="B702" t="s">
        <v>2705</v>
      </c>
      <c r="C702" s="1">
        <v>41055.594606481478</v>
      </c>
      <c r="D702" s="4" t="s">
        <v>814</v>
      </c>
      <c r="E702">
        <v>2300000</v>
      </c>
      <c r="F702" t="s">
        <v>40</v>
      </c>
      <c r="G702">
        <f>tblSalaries[[#This Row],[clean Salary (in local currency)]]*VLOOKUP(tblSalaries[[#This Row],[Currency]],tblXrate[],2,FALSE)</f>
        <v>40958.208381117904</v>
      </c>
      <c r="H702" t="s">
        <v>256</v>
      </c>
      <c r="I702" t="s">
        <v>20</v>
      </c>
      <c r="J702" t="s">
        <v>8</v>
      </c>
      <c r="K702" t="str">
        <f>VLOOKUP(tblSalaries[[#This Row],[Where do you work]],tblCountries[[Actual]:[Mapping]],2,FALSE)</f>
        <v>India</v>
      </c>
      <c r="L702" t="s">
        <v>13</v>
      </c>
      <c r="M702">
        <v>5</v>
      </c>
      <c r="N702" s="8" t="str">
        <f>VLOOKUP(K702,tblCountries[],3,0)</f>
        <v>Asia</v>
      </c>
      <c r="O702" s="8">
        <f>VLOOKUP(tblSalaries[[#This Row],[How many hours of a day you work on Excel]],tblHours,2,0)</f>
        <v>5</v>
      </c>
      <c r="P702" s="8">
        <f>VLOOKUP(tblSalaries[[#This Row],[clean Country]],tblCountries[],5,0)</f>
        <v>13.098808879263672</v>
      </c>
      <c r="Q702" s="8">
        <f>IF($Q$1,tblSalaries[[#This Row],[PPP Factor]]*tblSalaries[[#This Row],[Salary in USD]],tblSalaries[[#This Row],[Salary in USD]])</f>
        <v>40958.208381117904</v>
      </c>
    </row>
    <row r="703" spans="2:17" ht="15" customHeight="1" x14ac:dyDescent="0.25">
      <c r="B703" t="s">
        <v>2706</v>
      </c>
      <c r="C703" s="1">
        <v>41055.595960648148</v>
      </c>
      <c r="D703" s="4">
        <v>636000</v>
      </c>
      <c r="E703">
        <v>636000</v>
      </c>
      <c r="F703" t="s">
        <v>40</v>
      </c>
      <c r="G703">
        <f>tblSalaries[[#This Row],[clean Salary (in local currency)]]*VLOOKUP(tblSalaries[[#This Row],[Currency]],tblXrate[],2,FALSE)</f>
        <v>11325.835013213473</v>
      </c>
      <c r="H703" t="s">
        <v>815</v>
      </c>
      <c r="I703" t="s">
        <v>52</v>
      </c>
      <c r="J703" t="s">
        <v>8</v>
      </c>
      <c r="K703" t="str">
        <f>VLOOKUP(tblSalaries[[#This Row],[Where do you work]],tblCountries[[Actual]:[Mapping]],2,FALSE)</f>
        <v>India</v>
      </c>
      <c r="L703" t="s">
        <v>9</v>
      </c>
      <c r="M703">
        <v>2</v>
      </c>
      <c r="N703" s="8" t="str">
        <f>VLOOKUP(K703,tblCountries[],3,0)</f>
        <v>Asia</v>
      </c>
      <c r="O703" s="8">
        <f>VLOOKUP(tblSalaries[[#This Row],[How many hours of a day you work on Excel]],tblHours,2,0)</f>
        <v>4</v>
      </c>
      <c r="P703" s="8">
        <f>VLOOKUP(tblSalaries[[#This Row],[clean Country]],tblCountries[],5,0)</f>
        <v>13.098808879263672</v>
      </c>
      <c r="Q703" s="8">
        <f>IF($Q$1,tblSalaries[[#This Row],[PPP Factor]]*tblSalaries[[#This Row],[Salary in USD]],tblSalaries[[#This Row],[Salary in USD]])</f>
        <v>11325.835013213473</v>
      </c>
    </row>
    <row r="704" spans="2:17" ht="15" customHeight="1" x14ac:dyDescent="0.25">
      <c r="B704" t="s">
        <v>2707</v>
      </c>
      <c r="C704" s="1">
        <v>41055.597488425927</v>
      </c>
      <c r="D704" s="4" t="s">
        <v>816</v>
      </c>
      <c r="E704">
        <v>15000</v>
      </c>
      <c r="F704" t="s">
        <v>6</v>
      </c>
      <c r="G704">
        <f>tblSalaries[[#This Row],[clean Salary (in local currency)]]*VLOOKUP(tblSalaries[[#This Row],[Currency]],tblXrate[],2,FALSE)</f>
        <v>15000</v>
      </c>
      <c r="H704" t="s">
        <v>817</v>
      </c>
      <c r="I704" t="s">
        <v>310</v>
      </c>
      <c r="J704" t="s">
        <v>818</v>
      </c>
      <c r="K704" t="str">
        <f>VLOOKUP(tblSalaries[[#This Row],[Where do you work]],tblCountries[[Actual]:[Mapping]],2,FALSE)</f>
        <v>Lithuania</v>
      </c>
      <c r="L704" t="s">
        <v>9</v>
      </c>
      <c r="M704">
        <v>2</v>
      </c>
      <c r="N704" s="8" t="str">
        <f>VLOOKUP(K704,tblCountries[],3,0)</f>
        <v>Europe</v>
      </c>
      <c r="O704" s="8">
        <f>VLOOKUP(tblSalaries[[#This Row],[How many hours of a day you work on Excel]],tblHours,2,0)</f>
        <v>4</v>
      </c>
      <c r="P704" s="8">
        <f>VLOOKUP(tblSalaries[[#This Row],[clean Country]],tblCountries[],5,0)</f>
        <v>2.5661327959270257</v>
      </c>
      <c r="Q704" s="8">
        <f>IF($Q$1,tblSalaries[[#This Row],[PPP Factor]]*tblSalaries[[#This Row],[Salary in USD]],tblSalaries[[#This Row],[Salary in USD]])</f>
        <v>15000</v>
      </c>
    </row>
    <row r="705" spans="2:17" ht="15" customHeight="1" x14ac:dyDescent="0.25">
      <c r="B705" t="s">
        <v>2708</v>
      </c>
      <c r="C705" s="1">
        <v>41055.598668981482</v>
      </c>
      <c r="D705" s="4">
        <v>1000</v>
      </c>
      <c r="E705">
        <v>12000</v>
      </c>
      <c r="F705" t="s">
        <v>6</v>
      </c>
      <c r="G705">
        <f>tblSalaries[[#This Row],[clean Salary (in local currency)]]*VLOOKUP(tblSalaries[[#This Row],[Currency]],tblXrate[],2,FALSE)</f>
        <v>12000</v>
      </c>
      <c r="H705" t="s">
        <v>819</v>
      </c>
      <c r="I705" t="s">
        <v>20</v>
      </c>
      <c r="J705" t="s">
        <v>820</v>
      </c>
      <c r="K705" t="str">
        <f>VLOOKUP(tblSalaries[[#This Row],[Where do you work]],tblCountries[[Actual]:[Mapping]],2,FALSE)</f>
        <v>UAE</v>
      </c>
      <c r="L705" t="s">
        <v>9</v>
      </c>
      <c r="M705">
        <v>12</v>
      </c>
      <c r="N705" s="8" t="str">
        <f>VLOOKUP(K705,tblCountries[],3,0)</f>
        <v>Asia</v>
      </c>
      <c r="O705" s="8">
        <f>VLOOKUP(tblSalaries[[#This Row],[How many hours of a day you work on Excel]],tblHours,2,0)</f>
        <v>4</v>
      </c>
      <c r="P705" s="8">
        <f>VLOOKUP(tblSalaries[[#This Row],[clean Country]],tblCountries[],5,0)</f>
        <v>1.0047551808629926</v>
      </c>
      <c r="Q705" s="8">
        <f>IF($Q$1,tblSalaries[[#This Row],[PPP Factor]]*tblSalaries[[#This Row],[Salary in USD]],tblSalaries[[#This Row],[Salary in USD]])</f>
        <v>12000</v>
      </c>
    </row>
    <row r="706" spans="2:17" ht="15" customHeight="1" x14ac:dyDescent="0.25">
      <c r="B706" t="s">
        <v>2709</v>
      </c>
      <c r="C706" s="1">
        <v>41055.599861111114</v>
      </c>
      <c r="D706" s="4">
        <v>500000</v>
      </c>
      <c r="E706">
        <v>500000</v>
      </c>
      <c r="F706" t="s">
        <v>40</v>
      </c>
      <c r="G706">
        <f>tblSalaries[[#This Row],[clean Salary (in local currency)]]*VLOOKUP(tblSalaries[[#This Row],[Currency]],tblXrate[],2,FALSE)</f>
        <v>8903.9583437212841</v>
      </c>
      <c r="H706" t="s">
        <v>821</v>
      </c>
      <c r="I706" t="s">
        <v>3999</v>
      </c>
      <c r="J706" t="s">
        <v>8</v>
      </c>
      <c r="K706" t="str">
        <f>VLOOKUP(tblSalaries[[#This Row],[Where do you work]],tblCountries[[Actual]:[Mapping]],2,FALSE)</f>
        <v>India</v>
      </c>
      <c r="L706" t="s">
        <v>18</v>
      </c>
      <c r="M706">
        <v>1</v>
      </c>
      <c r="N706" s="8" t="str">
        <f>VLOOKUP(K706,tblCountries[],3,0)</f>
        <v>Asia</v>
      </c>
      <c r="O706" s="8">
        <f>VLOOKUP(tblSalaries[[#This Row],[How many hours of a day you work on Excel]],tblHours,2,0)</f>
        <v>3</v>
      </c>
      <c r="P706" s="8">
        <f>VLOOKUP(tblSalaries[[#This Row],[clean Country]],tblCountries[],5,0)</f>
        <v>13.098808879263672</v>
      </c>
      <c r="Q706" s="8">
        <f>IF($Q$1,tblSalaries[[#This Row],[PPP Factor]]*tblSalaries[[#This Row],[Salary in USD]],tblSalaries[[#This Row],[Salary in USD]])</f>
        <v>8903.9583437212841</v>
      </c>
    </row>
    <row r="707" spans="2:17" ht="15" customHeight="1" x14ac:dyDescent="0.25">
      <c r="B707" t="s">
        <v>2710</v>
      </c>
      <c r="C707" s="1">
        <v>41055.606377314813</v>
      </c>
      <c r="D707" s="4">
        <v>500000</v>
      </c>
      <c r="E707">
        <v>500000</v>
      </c>
      <c r="F707" t="s">
        <v>40</v>
      </c>
      <c r="G707">
        <f>tblSalaries[[#This Row],[clean Salary (in local currency)]]*VLOOKUP(tblSalaries[[#This Row],[Currency]],tblXrate[],2,FALSE)</f>
        <v>8903.9583437212841</v>
      </c>
      <c r="H707" t="s">
        <v>279</v>
      </c>
      <c r="I707" t="s">
        <v>279</v>
      </c>
      <c r="J707" t="s">
        <v>8</v>
      </c>
      <c r="K707" t="str">
        <f>VLOOKUP(tblSalaries[[#This Row],[Where do you work]],tblCountries[[Actual]:[Mapping]],2,FALSE)</f>
        <v>India</v>
      </c>
      <c r="L707" t="s">
        <v>13</v>
      </c>
      <c r="M707">
        <v>2</v>
      </c>
      <c r="N707" s="8" t="str">
        <f>VLOOKUP(K707,tblCountries[],3,0)</f>
        <v>Asia</v>
      </c>
      <c r="O707" s="8">
        <f>VLOOKUP(tblSalaries[[#This Row],[How many hours of a day you work on Excel]],tblHours,2,0)</f>
        <v>5</v>
      </c>
      <c r="P707" s="8">
        <f>VLOOKUP(tblSalaries[[#This Row],[clean Country]],tblCountries[],5,0)</f>
        <v>13.098808879263672</v>
      </c>
      <c r="Q707" s="8">
        <f>IF($Q$1,tblSalaries[[#This Row],[PPP Factor]]*tblSalaries[[#This Row],[Salary in USD]],tblSalaries[[#This Row],[Salary in USD]])</f>
        <v>8903.9583437212841</v>
      </c>
    </row>
    <row r="708" spans="2:17" ht="15" customHeight="1" x14ac:dyDescent="0.25">
      <c r="B708" t="s">
        <v>2711</v>
      </c>
      <c r="C708" s="1">
        <v>41055.608194444445</v>
      </c>
      <c r="D708" s="4" t="s">
        <v>822</v>
      </c>
      <c r="E708">
        <v>720000</v>
      </c>
      <c r="F708" t="s">
        <v>40</v>
      </c>
      <c r="G708">
        <f>tblSalaries[[#This Row],[clean Salary (in local currency)]]*VLOOKUP(tblSalaries[[#This Row],[Currency]],tblXrate[],2,FALSE)</f>
        <v>12821.700014958649</v>
      </c>
      <c r="H708" t="s">
        <v>823</v>
      </c>
      <c r="I708" t="s">
        <v>52</v>
      </c>
      <c r="J708" t="s">
        <v>8</v>
      </c>
      <c r="K708" t="str">
        <f>VLOOKUP(tblSalaries[[#This Row],[Where do you work]],tblCountries[[Actual]:[Mapping]],2,FALSE)</f>
        <v>India</v>
      </c>
      <c r="L708" t="s">
        <v>13</v>
      </c>
      <c r="M708">
        <v>10</v>
      </c>
      <c r="N708" s="8" t="str">
        <f>VLOOKUP(K708,tblCountries[],3,0)</f>
        <v>Asia</v>
      </c>
      <c r="O708" s="8">
        <f>VLOOKUP(tblSalaries[[#This Row],[How many hours of a day you work on Excel]],tblHours,2,0)</f>
        <v>5</v>
      </c>
      <c r="P708" s="8">
        <f>VLOOKUP(tblSalaries[[#This Row],[clean Country]],tblCountries[],5,0)</f>
        <v>13.098808879263672</v>
      </c>
      <c r="Q708" s="8">
        <f>IF($Q$1,tblSalaries[[#This Row],[PPP Factor]]*tblSalaries[[#This Row],[Salary in USD]],tblSalaries[[#This Row],[Salary in USD]])</f>
        <v>12821.700014958649</v>
      </c>
    </row>
    <row r="709" spans="2:17" ht="15" customHeight="1" x14ac:dyDescent="0.25">
      <c r="B709" t="s">
        <v>2712</v>
      </c>
      <c r="C709" s="1">
        <v>41055.611805555556</v>
      </c>
      <c r="D709" s="4" t="s">
        <v>824</v>
      </c>
      <c r="E709">
        <v>180000</v>
      </c>
      <c r="F709" t="s">
        <v>40</v>
      </c>
      <c r="G709">
        <f>tblSalaries[[#This Row],[clean Salary (in local currency)]]*VLOOKUP(tblSalaries[[#This Row],[Currency]],tblXrate[],2,FALSE)</f>
        <v>3205.4250037396623</v>
      </c>
      <c r="H709" t="s">
        <v>825</v>
      </c>
      <c r="I709" t="s">
        <v>52</v>
      </c>
      <c r="J709" t="s">
        <v>8</v>
      </c>
      <c r="K709" t="str">
        <f>VLOOKUP(tblSalaries[[#This Row],[Where do you work]],tblCountries[[Actual]:[Mapping]],2,FALSE)</f>
        <v>India</v>
      </c>
      <c r="L709" t="s">
        <v>13</v>
      </c>
      <c r="M709">
        <v>7</v>
      </c>
      <c r="N709" s="8" t="str">
        <f>VLOOKUP(K709,tblCountries[],3,0)</f>
        <v>Asia</v>
      </c>
      <c r="O709" s="8">
        <f>VLOOKUP(tblSalaries[[#This Row],[How many hours of a day you work on Excel]],tblHours,2,0)</f>
        <v>5</v>
      </c>
      <c r="P709" s="8">
        <f>VLOOKUP(tblSalaries[[#This Row],[clean Country]],tblCountries[],5,0)</f>
        <v>13.098808879263672</v>
      </c>
      <c r="Q709" s="8">
        <f>IF($Q$1,tblSalaries[[#This Row],[PPP Factor]]*tblSalaries[[#This Row],[Salary in USD]],tblSalaries[[#This Row],[Salary in USD]])</f>
        <v>3205.4250037396623</v>
      </c>
    </row>
    <row r="710" spans="2:17" ht="15" customHeight="1" x14ac:dyDescent="0.25">
      <c r="B710" t="s">
        <v>2713</v>
      </c>
      <c r="C710" s="1">
        <v>41055.615914351853</v>
      </c>
      <c r="D710" s="4">
        <v>375000</v>
      </c>
      <c r="E710">
        <v>375000</v>
      </c>
      <c r="F710" t="s">
        <v>40</v>
      </c>
      <c r="G710">
        <f>tblSalaries[[#This Row],[clean Salary (in local currency)]]*VLOOKUP(tblSalaries[[#This Row],[Currency]],tblXrate[],2,FALSE)</f>
        <v>6677.9687577909626</v>
      </c>
      <c r="H710" t="s">
        <v>91</v>
      </c>
      <c r="I710" t="s">
        <v>52</v>
      </c>
      <c r="J710" t="s">
        <v>8</v>
      </c>
      <c r="K710" t="str">
        <f>VLOOKUP(tblSalaries[[#This Row],[Where do you work]],tblCountries[[Actual]:[Mapping]],2,FALSE)</f>
        <v>India</v>
      </c>
      <c r="L710" t="s">
        <v>18</v>
      </c>
      <c r="M710">
        <v>6</v>
      </c>
      <c r="N710" s="8" t="str">
        <f>VLOOKUP(K710,tblCountries[],3,0)</f>
        <v>Asia</v>
      </c>
      <c r="O710" s="8">
        <f>VLOOKUP(tblSalaries[[#This Row],[How many hours of a day you work on Excel]],tblHours,2,0)</f>
        <v>3</v>
      </c>
      <c r="P710" s="8">
        <f>VLOOKUP(tblSalaries[[#This Row],[clean Country]],tblCountries[],5,0)</f>
        <v>13.098808879263672</v>
      </c>
      <c r="Q710" s="8">
        <f>IF($Q$1,tblSalaries[[#This Row],[PPP Factor]]*tblSalaries[[#This Row],[Salary in USD]],tblSalaries[[#This Row],[Salary in USD]])</f>
        <v>6677.9687577909626</v>
      </c>
    </row>
    <row r="711" spans="2:17" ht="15" customHeight="1" x14ac:dyDescent="0.25">
      <c r="B711" t="s">
        <v>2714</v>
      </c>
      <c r="C711" s="1">
        <v>41055.618773148148</v>
      </c>
      <c r="D711" s="4">
        <v>85000</v>
      </c>
      <c r="E711">
        <v>85000</v>
      </c>
      <c r="F711" t="s">
        <v>670</v>
      </c>
      <c r="G711">
        <f>tblSalaries[[#This Row],[clean Salary (in local currency)]]*VLOOKUP(tblSalaries[[#This Row],[Currency]],tblXrate[],2,FALSE)</f>
        <v>67794.987956419791</v>
      </c>
      <c r="H711" t="s">
        <v>826</v>
      </c>
      <c r="I711" t="s">
        <v>52</v>
      </c>
      <c r="J711" t="s">
        <v>672</v>
      </c>
      <c r="K711" t="str">
        <f>VLOOKUP(tblSalaries[[#This Row],[Where do you work]],tblCountries[[Actual]:[Mapping]],2,FALSE)</f>
        <v>New Zealand</v>
      </c>
      <c r="L711" t="s">
        <v>9</v>
      </c>
      <c r="M711">
        <v>15</v>
      </c>
      <c r="N711" s="8" t="str">
        <f>VLOOKUP(K711,tblCountries[],3,0)</f>
        <v>Oceania</v>
      </c>
      <c r="O711" s="8">
        <f>VLOOKUP(tblSalaries[[#This Row],[How many hours of a day you work on Excel]],tblHours,2,0)</f>
        <v>4</v>
      </c>
      <c r="P711" s="8">
        <f>VLOOKUP(tblSalaries[[#This Row],[clean Country]],tblCountries[],5,0)</f>
        <v>1.7488434292323261</v>
      </c>
      <c r="Q711" s="8">
        <f>IF($Q$1,tblSalaries[[#This Row],[PPP Factor]]*tblSalaries[[#This Row],[Salary in USD]],tblSalaries[[#This Row],[Salary in USD]])</f>
        <v>67794.987956419791</v>
      </c>
    </row>
    <row r="712" spans="2:17" ht="15" customHeight="1" x14ac:dyDescent="0.25">
      <c r="B712" t="s">
        <v>2715</v>
      </c>
      <c r="C712" s="1">
        <v>41055.623368055552</v>
      </c>
      <c r="D712" s="4">
        <v>31250</v>
      </c>
      <c r="E712">
        <v>31250</v>
      </c>
      <c r="F712" t="s">
        <v>6</v>
      </c>
      <c r="G712">
        <f>tblSalaries[[#This Row],[clean Salary (in local currency)]]*VLOOKUP(tblSalaries[[#This Row],[Currency]],tblXrate[],2,FALSE)</f>
        <v>31250</v>
      </c>
      <c r="H712" t="s">
        <v>827</v>
      </c>
      <c r="I712" t="s">
        <v>52</v>
      </c>
      <c r="J712" t="s">
        <v>8</v>
      </c>
      <c r="K712" t="str">
        <f>VLOOKUP(tblSalaries[[#This Row],[Where do you work]],tblCountries[[Actual]:[Mapping]],2,FALSE)</f>
        <v>India</v>
      </c>
      <c r="L712" t="s">
        <v>18</v>
      </c>
      <c r="M712">
        <v>6</v>
      </c>
      <c r="N712" s="8" t="str">
        <f>VLOOKUP(K712,tblCountries[],3,0)</f>
        <v>Asia</v>
      </c>
      <c r="O712" s="8">
        <f>VLOOKUP(tblSalaries[[#This Row],[How many hours of a day you work on Excel]],tblHours,2,0)</f>
        <v>3</v>
      </c>
      <c r="P712" s="8">
        <f>VLOOKUP(tblSalaries[[#This Row],[clean Country]],tblCountries[],5,0)</f>
        <v>13.098808879263672</v>
      </c>
      <c r="Q712" s="8">
        <f>IF($Q$1,tblSalaries[[#This Row],[PPP Factor]]*tblSalaries[[#This Row],[Salary in USD]],tblSalaries[[#This Row],[Salary in USD]])</f>
        <v>31250</v>
      </c>
    </row>
    <row r="713" spans="2:17" ht="15" customHeight="1" x14ac:dyDescent="0.25">
      <c r="B713" t="s">
        <v>2716</v>
      </c>
      <c r="C713" s="1">
        <v>41055.623437499999</v>
      </c>
      <c r="D713" s="4" t="s">
        <v>828</v>
      </c>
      <c r="E713">
        <v>204000</v>
      </c>
      <c r="F713" t="s">
        <v>32</v>
      </c>
      <c r="G713">
        <f>tblSalaries[[#This Row],[clean Salary (in local currency)]]*VLOOKUP(tblSalaries[[#This Row],[Currency]],tblXrate[],2,FALSE)</f>
        <v>2165.2740982270229</v>
      </c>
      <c r="H713" t="s">
        <v>829</v>
      </c>
      <c r="I713" t="s">
        <v>52</v>
      </c>
      <c r="J713" t="s">
        <v>17</v>
      </c>
      <c r="K713" t="str">
        <f>VLOOKUP(tblSalaries[[#This Row],[Where do you work]],tblCountries[[Actual]:[Mapping]],2,FALSE)</f>
        <v>Pakistan</v>
      </c>
      <c r="L713" t="s">
        <v>13</v>
      </c>
      <c r="M713">
        <v>2</v>
      </c>
      <c r="N713" s="8" t="str">
        <f>VLOOKUP(K713,tblCountries[],3,0)</f>
        <v>Asia</v>
      </c>
      <c r="O713" s="8">
        <f>VLOOKUP(tblSalaries[[#This Row],[How many hours of a day you work on Excel]],tblHours,2,0)</f>
        <v>5</v>
      </c>
      <c r="P713" s="8">
        <f>VLOOKUP(tblSalaries[[#This Row],[clean Country]],tblCountries[],5,0)</f>
        <v>17.361679224973088</v>
      </c>
      <c r="Q713" s="8">
        <f>IF($Q$1,tblSalaries[[#This Row],[PPP Factor]]*tblSalaries[[#This Row],[Salary in USD]],tblSalaries[[#This Row],[Salary in USD]])</f>
        <v>2165.2740982270229</v>
      </c>
    </row>
    <row r="714" spans="2:17" ht="15" customHeight="1" x14ac:dyDescent="0.25">
      <c r="B714" t="s">
        <v>2717</v>
      </c>
      <c r="C714" s="1">
        <v>41055.623888888891</v>
      </c>
      <c r="D714" s="4" t="s">
        <v>830</v>
      </c>
      <c r="E714">
        <v>400000</v>
      </c>
      <c r="F714" t="s">
        <v>40</v>
      </c>
      <c r="G714">
        <f>tblSalaries[[#This Row],[clean Salary (in local currency)]]*VLOOKUP(tblSalaries[[#This Row],[Currency]],tblXrate[],2,FALSE)</f>
        <v>7123.1666749770275</v>
      </c>
      <c r="H714" t="s">
        <v>831</v>
      </c>
      <c r="I714" t="s">
        <v>3999</v>
      </c>
      <c r="J714" t="s">
        <v>8</v>
      </c>
      <c r="K714" t="str">
        <f>VLOOKUP(tblSalaries[[#This Row],[Where do you work]],tblCountries[[Actual]:[Mapping]],2,FALSE)</f>
        <v>India</v>
      </c>
      <c r="L714" t="s">
        <v>13</v>
      </c>
      <c r="M714">
        <v>4</v>
      </c>
      <c r="N714" s="8" t="str">
        <f>VLOOKUP(K714,tblCountries[],3,0)</f>
        <v>Asia</v>
      </c>
      <c r="O714" s="8">
        <f>VLOOKUP(tblSalaries[[#This Row],[How many hours of a day you work on Excel]],tblHours,2,0)</f>
        <v>5</v>
      </c>
      <c r="P714" s="8">
        <f>VLOOKUP(tblSalaries[[#This Row],[clean Country]],tblCountries[],5,0)</f>
        <v>13.098808879263672</v>
      </c>
      <c r="Q714" s="8">
        <f>IF($Q$1,tblSalaries[[#This Row],[PPP Factor]]*tblSalaries[[#This Row],[Salary in USD]],tblSalaries[[#This Row],[Salary in USD]])</f>
        <v>7123.1666749770275</v>
      </c>
    </row>
    <row r="715" spans="2:17" ht="15" customHeight="1" x14ac:dyDescent="0.25">
      <c r="B715" t="s">
        <v>2718</v>
      </c>
      <c r="C715" s="1">
        <v>41055.625694444447</v>
      </c>
      <c r="D715" s="4" t="s">
        <v>832</v>
      </c>
      <c r="E715">
        <v>130000</v>
      </c>
      <c r="F715" t="s">
        <v>6</v>
      </c>
      <c r="G715">
        <f>tblSalaries[[#This Row],[clean Salary (in local currency)]]*VLOOKUP(tblSalaries[[#This Row],[Currency]],tblXrate[],2,FALSE)</f>
        <v>130000</v>
      </c>
      <c r="H715" t="s">
        <v>833</v>
      </c>
      <c r="I715" t="s">
        <v>52</v>
      </c>
      <c r="J715" t="s">
        <v>84</v>
      </c>
      <c r="K715" t="str">
        <f>VLOOKUP(tblSalaries[[#This Row],[Where do you work]],tblCountries[[Actual]:[Mapping]],2,FALSE)</f>
        <v>Australia</v>
      </c>
      <c r="L715" t="s">
        <v>9</v>
      </c>
      <c r="M715">
        <v>3</v>
      </c>
      <c r="N715" s="8" t="str">
        <f>VLOOKUP(K715,tblCountries[],3,0)</f>
        <v>Oceania</v>
      </c>
      <c r="O715" s="8">
        <f>VLOOKUP(tblSalaries[[#This Row],[How many hours of a day you work on Excel]],tblHours,2,0)</f>
        <v>4</v>
      </c>
      <c r="P715" s="8">
        <f>VLOOKUP(tblSalaries[[#This Row],[clean Country]],tblCountries[],5,0)</f>
        <v>1.2026395585822935</v>
      </c>
      <c r="Q715" s="8">
        <f>IF($Q$1,tblSalaries[[#This Row],[PPP Factor]]*tblSalaries[[#This Row],[Salary in USD]],tblSalaries[[#This Row],[Salary in USD]])</f>
        <v>130000</v>
      </c>
    </row>
    <row r="716" spans="2:17" ht="15" customHeight="1" x14ac:dyDescent="0.25">
      <c r="B716" t="s">
        <v>2719</v>
      </c>
      <c r="C716" s="1">
        <v>41055.626168981478</v>
      </c>
      <c r="D716" s="4" t="s">
        <v>834</v>
      </c>
      <c r="E716">
        <v>250000</v>
      </c>
      <c r="F716" t="s">
        <v>40</v>
      </c>
      <c r="G716">
        <f>tblSalaries[[#This Row],[clean Salary (in local currency)]]*VLOOKUP(tblSalaries[[#This Row],[Currency]],tblXrate[],2,FALSE)</f>
        <v>4451.9791718606421</v>
      </c>
      <c r="H716" t="s">
        <v>804</v>
      </c>
      <c r="I716" t="s">
        <v>52</v>
      </c>
      <c r="J716" t="s">
        <v>8</v>
      </c>
      <c r="K716" t="str">
        <f>VLOOKUP(tblSalaries[[#This Row],[Where do you work]],tblCountries[[Actual]:[Mapping]],2,FALSE)</f>
        <v>India</v>
      </c>
      <c r="L716" t="s">
        <v>9</v>
      </c>
      <c r="M716">
        <v>6</v>
      </c>
      <c r="N716" s="8" t="str">
        <f>VLOOKUP(K716,tblCountries[],3,0)</f>
        <v>Asia</v>
      </c>
      <c r="O716" s="8">
        <f>VLOOKUP(tblSalaries[[#This Row],[How many hours of a day you work on Excel]],tblHours,2,0)</f>
        <v>4</v>
      </c>
      <c r="P716" s="8">
        <f>VLOOKUP(tblSalaries[[#This Row],[clean Country]],tblCountries[],5,0)</f>
        <v>13.098808879263672</v>
      </c>
      <c r="Q716" s="8">
        <f>IF($Q$1,tblSalaries[[#This Row],[PPP Factor]]*tblSalaries[[#This Row],[Salary in USD]],tblSalaries[[#This Row],[Salary in USD]])</f>
        <v>4451.9791718606421</v>
      </c>
    </row>
    <row r="717" spans="2:17" ht="15" customHeight="1" x14ac:dyDescent="0.25">
      <c r="B717" t="s">
        <v>2720</v>
      </c>
      <c r="C717" s="1">
        <v>41055.626782407409</v>
      </c>
      <c r="D717" s="4">
        <v>800</v>
      </c>
      <c r="E717">
        <v>9600</v>
      </c>
      <c r="F717" t="s">
        <v>6</v>
      </c>
      <c r="G717">
        <f>tblSalaries[[#This Row],[clean Salary (in local currency)]]*VLOOKUP(tblSalaries[[#This Row],[Currency]],tblXrate[],2,FALSE)</f>
        <v>9600</v>
      </c>
      <c r="H717" t="s">
        <v>147</v>
      </c>
      <c r="I717" t="s">
        <v>20</v>
      </c>
      <c r="J717" t="s">
        <v>48</v>
      </c>
      <c r="K717" t="str">
        <f>VLOOKUP(tblSalaries[[#This Row],[Where do you work]],tblCountries[[Actual]:[Mapping]],2,FALSE)</f>
        <v>South Africa</v>
      </c>
      <c r="L717" t="s">
        <v>9</v>
      </c>
      <c r="M717">
        <v>2</v>
      </c>
      <c r="N717" s="8" t="str">
        <f>VLOOKUP(K717,tblCountries[],3,0)</f>
        <v>Africa</v>
      </c>
      <c r="O717" s="8">
        <f>VLOOKUP(tblSalaries[[#This Row],[How many hours of a day you work on Excel]],tblHours,2,0)</f>
        <v>4</v>
      </c>
      <c r="P717" s="8">
        <f>VLOOKUP(tblSalaries[[#This Row],[clean Country]],tblCountries[],5,0)</f>
        <v>4.4096418481727877</v>
      </c>
      <c r="Q717" s="8">
        <f>IF($Q$1,tblSalaries[[#This Row],[PPP Factor]]*tblSalaries[[#This Row],[Salary in USD]],tblSalaries[[#This Row],[Salary in USD]])</f>
        <v>9600</v>
      </c>
    </row>
    <row r="718" spans="2:17" ht="15" customHeight="1" x14ac:dyDescent="0.25">
      <c r="B718" t="s">
        <v>2721</v>
      </c>
      <c r="C718" s="1">
        <v>41055.628159722219</v>
      </c>
      <c r="D718" s="4" t="s">
        <v>835</v>
      </c>
      <c r="E718">
        <v>390000</v>
      </c>
      <c r="F718" t="s">
        <v>40</v>
      </c>
      <c r="G718">
        <f>tblSalaries[[#This Row],[clean Salary (in local currency)]]*VLOOKUP(tblSalaries[[#This Row],[Currency]],tblXrate[],2,FALSE)</f>
        <v>6945.0875081026015</v>
      </c>
      <c r="H718" t="s">
        <v>207</v>
      </c>
      <c r="I718" t="s">
        <v>20</v>
      </c>
      <c r="J718" t="s">
        <v>8</v>
      </c>
      <c r="K718" t="str">
        <f>VLOOKUP(tblSalaries[[#This Row],[Where do you work]],tblCountries[[Actual]:[Mapping]],2,FALSE)</f>
        <v>India</v>
      </c>
      <c r="L718" t="s">
        <v>9</v>
      </c>
      <c r="M718">
        <v>1</v>
      </c>
      <c r="N718" s="8" t="str">
        <f>VLOOKUP(K718,tblCountries[],3,0)</f>
        <v>Asia</v>
      </c>
      <c r="O718" s="8">
        <f>VLOOKUP(tblSalaries[[#This Row],[How many hours of a day you work on Excel]],tblHours,2,0)</f>
        <v>4</v>
      </c>
      <c r="P718" s="8">
        <f>VLOOKUP(tblSalaries[[#This Row],[clean Country]],tblCountries[],5,0)</f>
        <v>13.098808879263672</v>
      </c>
      <c r="Q718" s="8">
        <f>IF($Q$1,tblSalaries[[#This Row],[PPP Factor]]*tblSalaries[[#This Row],[Salary in USD]],tblSalaries[[#This Row],[Salary in USD]])</f>
        <v>6945.0875081026015</v>
      </c>
    </row>
    <row r="719" spans="2:17" ht="15" customHeight="1" x14ac:dyDescent="0.25">
      <c r="B719" t="s">
        <v>2722</v>
      </c>
      <c r="C719" s="1">
        <v>41055.628958333335</v>
      </c>
      <c r="D719" s="4">
        <v>600000</v>
      </c>
      <c r="E719">
        <v>600000</v>
      </c>
      <c r="F719" t="s">
        <v>40</v>
      </c>
      <c r="G719">
        <f>tblSalaries[[#This Row],[clean Salary (in local currency)]]*VLOOKUP(tblSalaries[[#This Row],[Currency]],tblXrate[],2,FALSE)</f>
        <v>10684.750012465542</v>
      </c>
      <c r="H719" t="s">
        <v>836</v>
      </c>
      <c r="I719" t="s">
        <v>310</v>
      </c>
      <c r="J719" t="s">
        <v>8</v>
      </c>
      <c r="K719" t="str">
        <f>VLOOKUP(tblSalaries[[#This Row],[Where do you work]],tblCountries[[Actual]:[Mapping]],2,FALSE)</f>
        <v>India</v>
      </c>
      <c r="L719" t="s">
        <v>13</v>
      </c>
      <c r="M719">
        <v>7</v>
      </c>
      <c r="N719" s="8" t="str">
        <f>VLOOKUP(K719,tblCountries[],3,0)</f>
        <v>Asia</v>
      </c>
      <c r="O719" s="8">
        <f>VLOOKUP(tblSalaries[[#This Row],[How many hours of a day you work on Excel]],tblHours,2,0)</f>
        <v>5</v>
      </c>
      <c r="P719" s="8">
        <f>VLOOKUP(tblSalaries[[#This Row],[clean Country]],tblCountries[],5,0)</f>
        <v>13.098808879263672</v>
      </c>
      <c r="Q719" s="8">
        <f>IF($Q$1,tblSalaries[[#This Row],[PPP Factor]]*tblSalaries[[#This Row],[Salary in USD]],tblSalaries[[#This Row],[Salary in USD]])</f>
        <v>10684.750012465542</v>
      </c>
    </row>
    <row r="720" spans="2:17" ht="15" customHeight="1" x14ac:dyDescent="0.25">
      <c r="B720" t="s">
        <v>2723</v>
      </c>
      <c r="C720" s="1">
        <v>41055.629166666666</v>
      </c>
      <c r="D720" s="4">
        <v>4.8</v>
      </c>
      <c r="E720">
        <v>480000</v>
      </c>
      <c r="F720" t="s">
        <v>40</v>
      </c>
      <c r="G720">
        <f>tblSalaries[[#This Row],[clean Salary (in local currency)]]*VLOOKUP(tblSalaries[[#This Row],[Currency]],tblXrate[],2,FALSE)</f>
        <v>8547.8000099724322</v>
      </c>
      <c r="H720" t="s">
        <v>837</v>
      </c>
      <c r="I720" t="s">
        <v>20</v>
      </c>
      <c r="J720" t="s">
        <v>8</v>
      </c>
      <c r="K720" t="str">
        <f>VLOOKUP(tblSalaries[[#This Row],[Where do you work]],tblCountries[[Actual]:[Mapping]],2,FALSE)</f>
        <v>India</v>
      </c>
      <c r="L720" t="s">
        <v>18</v>
      </c>
      <c r="M720">
        <v>3.5</v>
      </c>
      <c r="N720" s="8" t="str">
        <f>VLOOKUP(K720,tblCountries[],3,0)</f>
        <v>Asia</v>
      </c>
      <c r="O720" s="8">
        <f>VLOOKUP(tblSalaries[[#This Row],[How many hours of a day you work on Excel]],tblHours,2,0)</f>
        <v>3</v>
      </c>
      <c r="P720" s="8">
        <f>VLOOKUP(tblSalaries[[#This Row],[clean Country]],tblCountries[],5,0)</f>
        <v>13.098808879263672</v>
      </c>
      <c r="Q720" s="8">
        <f>IF($Q$1,tblSalaries[[#This Row],[PPP Factor]]*tblSalaries[[#This Row],[Salary in USD]],tblSalaries[[#This Row],[Salary in USD]])</f>
        <v>8547.8000099724322</v>
      </c>
    </row>
    <row r="721" spans="2:17" ht="15" customHeight="1" x14ac:dyDescent="0.25">
      <c r="B721" t="s">
        <v>2724</v>
      </c>
      <c r="C721" s="1">
        <v>41055.630312499998</v>
      </c>
      <c r="D721" s="4">
        <v>35000</v>
      </c>
      <c r="E721">
        <v>35000</v>
      </c>
      <c r="F721" t="s">
        <v>6</v>
      </c>
      <c r="G721">
        <f>tblSalaries[[#This Row],[clean Salary (in local currency)]]*VLOOKUP(tblSalaries[[#This Row],[Currency]],tblXrate[],2,FALSE)</f>
        <v>35000</v>
      </c>
      <c r="H721" t="s">
        <v>616</v>
      </c>
      <c r="I721" t="s">
        <v>20</v>
      </c>
      <c r="J721" t="s">
        <v>8</v>
      </c>
      <c r="K721" t="str">
        <f>VLOOKUP(tblSalaries[[#This Row],[Where do you work]],tblCountries[[Actual]:[Mapping]],2,FALSE)</f>
        <v>India</v>
      </c>
      <c r="L721" t="s">
        <v>9</v>
      </c>
      <c r="M721">
        <v>10</v>
      </c>
      <c r="N721" s="8" t="str">
        <f>VLOOKUP(K721,tblCountries[],3,0)</f>
        <v>Asia</v>
      </c>
      <c r="O721" s="8">
        <f>VLOOKUP(tblSalaries[[#This Row],[How many hours of a day you work on Excel]],tblHours,2,0)</f>
        <v>4</v>
      </c>
      <c r="P721" s="8">
        <f>VLOOKUP(tblSalaries[[#This Row],[clean Country]],tblCountries[],5,0)</f>
        <v>13.098808879263672</v>
      </c>
      <c r="Q721" s="8">
        <f>IF($Q$1,tblSalaries[[#This Row],[PPP Factor]]*tblSalaries[[#This Row],[Salary in USD]],tblSalaries[[#This Row],[Salary in USD]])</f>
        <v>35000</v>
      </c>
    </row>
    <row r="722" spans="2:17" ht="15" customHeight="1" x14ac:dyDescent="0.25">
      <c r="B722" t="s">
        <v>2725</v>
      </c>
      <c r="C722" s="1">
        <v>41055.631562499999</v>
      </c>
      <c r="D722" s="4" t="s">
        <v>838</v>
      </c>
      <c r="E722">
        <v>1000000</v>
      </c>
      <c r="F722" t="s">
        <v>40</v>
      </c>
      <c r="G722">
        <f>tblSalaries[[#This Row],[clean Salary (in local currency)]]*VLOOKUP(tblSalaries[[#This Row],[Currency]],tblXrate[],2,FALSE)</f>
        <v>17807.916687442568</v>
      </c>
      <c r="H722" t="s">
        <v>839</v>
      </c>
      <c r="I722" t="s">
        <v>20</v>
      </c>
      <c r="J722" t="s">
        <v>8</v>
      </c>
      <c r="K722" t="str">
        <f>VLOOKUP(tblSalaries[[#This Row],[Where do you work]],tblCountries[[Actual]:[Mapping]],2,FALSE)</f>
        <v>India</v>
      </c>
      <c r="L722" t="s">
        <v>18</v>
      </c>
      <c r="M722">
        <v>12</v>
      </c>
      <c r="N722" s="8" t="str">
        <f>VLOOKUP(K722,tblCountries[],3,0)</f>
        <v>Asia</v>
      </c>
      <c r="O722" s="8">
        <f>VLOOKUP(tblSalaries[[#This Row],[How many hours of a day you work on Excel]],tblHours,2,0)</f>
        <v>3</v>
      </c>
      <c r="P722" s="8">
        <f>VLOOKUP(tblSalaries[[#This Row],[clean Country]],tblCountries[],5,0)</f>
        <v>13.098808879263672</v>
      </c>
      <c r="Q722" s="8">
        <f>IF($Q$1,tblSalaries[[#This Row],[PPP Factor]]*tblSalaries[[#This Row],[Salary in USD]],tblSalaries[[#This Row],[Salary in USD]])</f>
        <v>17807.916687442568</v>
      </c>
    </row>
    <row r="723" spans="2:17" ht="15" customHeight="1" x14ac:dyDescent="0.25">
      <c r="B723" t="s">
        <v>2726</v>
      </c>
      <c r="C723" s="1">
        <v>41055.640057870369</v>
      </c>
      <c r="D723" s="4">
        <v>180000</v>
      </c>
      <c r="E723">
        <v>180000</v>
      </c>
      <c r="F723" t="s">
        <v>40</v>
      </c>
      <c r="G723">
        <f>tblSalaries[[#This Row],[clean Salary (in local currency)]]*VLOOKUP(tblSalaries[[#This Row],[Currency]],tblXrate[],2,FALSE)</f>
        <v>3205.4250037396623</v>
      </c>
      <c r="H723" t="s">
        <v>310</v>
      </c>
      <c r="I723" t="s">
        <v>310</v>
      </c>
      <c r="J723" t="s">
        <v>8</v>
      </c>
      <c r="K723" t="str">
        <f>VLOOKUP(tblSalaries[[#This Row],[Where do you work]],tblCountries[[Actual]:[Mapping]],2,FALSE)</f>
        <v>India</v>
      </c>
      <c r="L723" t="s">
        <v>13</v>
      </c>
      <c r="M723">
        <v>4</v>
      </c>
      <c r="N723" s="8" t="str">
        <f>VLOOKUP(K723,tblCountries[],3,0)</f>
        <v>Asia</v>
      </c>
      <c r="O723" s="8">
        <f>VLOOKUP(tblSalaries[[#This Row],[How many hours of a day you work on Excel]],tblHours,2,0)</f>
        <v>5</v>
      </c>
      <c r="P723" s="8">
        <f>VLOOKUP(tblSalaries[[#This Row],[clean Country]],tblCountries[],5,0)</f>
        <v>13.098808879263672</v>
      </c>
      <c r="Q723" s="8">
        <f>IF($Q$1,tblSalaries[[#This Row],[PPP Factor]]*tblSalaries[[#This Row],[Salary in USD]],tblSalaries[[#This Row],[Salary in USD]])</f>
        <v>3205.4250037396623</v>
      </c>
    </row>
    <row r="724" spans="2:17" ht="15" customHeight="1" x14ac:dyDescent="0.25">
      <c r="B724" t="s">
        <v>2727</v>
      </c>
      <c r="C724" s="1">
        <v>41055.64203703704</v>
      </c>
      <c r="D724" s="4">
        <v>5000</v>
      </c>
      <c r="E724">
        <v>60000</v>
      </c>
      <c r="F724" t="s">
        <v>6</v>
      </c>
      <c r="G724">
        <f>tblSalaries[[#This Row],[clean Salary (in local currency)]]*VLOOKUP(tblSalaries[[#This Row],[Currency]],tblXrate[],2,FALSE)</f>
        <v>60000</v>
      </c>
      <c r="H724" t="s">
        <v>52</v>
      </c>
      <c r="I724" t="s">
        <v>52</v>
      </c>
      <c r="J724" t="s">
        <v>65</v>
      </c>
      <c r="K724" t="str">
        <f>VLOOKUP(tblSalaries[[#This Row],[Where do you work]],tblCountries[[Actual]:[Mapping]],2,FALSE)</f>
        <v>Russia</v>
      </c>
      <c r="L724" t="s">
        <v>9</v>
      </c>
      <c r="M724">
        <v>10</v>
      </c>
      <c r="N724" s="8" t="str">
        <f>VLOOKUP(K724,tblCountries[],3,0)</f>
        <v>Asia</v>
      </c>
      <c r="O724" s="8">
        <f>VLOOKUP(tblSalaries[[#This Row],[How many hours of a day you work on Excel]],tblHours,2,0)</f>
        <v>4</v>
      </c>
      <c r="P724" s="8">
        <f>VLOOKUP(tblSalaries[[#This Row],[clean Country]],tblCountries[],5,0)</f>
        <v>2.8911926386233269</v>
      </c>
      <c r="Q724" s="8">
        <f>IF($Q$1,tblSalaries[[#This Row],[PPP Factor]]*tblSalaries[[#This Row],[Salary in USD]],tblSalaries[[#This Row],[Salary in USD]])</f>
        <v>60000</v>
      </c>
    </row>
    <row r="725" spans="2:17" ht="15" customHeight="1" x14ac:dyDescent="0.25">
      <c r="B725" t="s">
        <v>2728</v>
      </c>
      <c r="C725" s="1">
        <v>41055.644305555557</v>
      </c>
      <c r="D725" s="4" t="s">
        <v>840</v>
      </c>
      <c r="E725">
        <v>800000</v>
      </c>
      <c r="F725" t="s">
        <v>40</v>
      </c>
      <c r="G725">
        <f>tblSalaries[[#This Row],[clean Salary (in local currency)]]*VLOOKUP(tblSalaries[[#This Row],[Currency]],tblXrate[],2,FALSE)</f>
        <v>14246.333349954055</v>
      </c>
      <c r="H725" t="s">
        <v>52</v>
      </c>
      <c r="I725" t="s">
        <v>52</v>
      </c>
      <c r="J725" t="s">
        <v>8</v>
      </c>
      <c r="K725" t="str">
        <f>VLOOKUP(tblSalaries[[#This Row],[Where do you work]],tblCountries[[Actual]:[Mapping]],2,FALSE)</f>
        <v>India</v>
      </c>
      <c r="L725" t="s">
        <v>18</v>
      </c>
      <c r="M725">
        <v>13</v>
      </c>
      <c r="N725" s="8" t="str">
        <f>VLOOKUP(K725,tblCountries[],3,0)</f>
        <v>Asia</v>
      </c>
      <c r="O725" s="8">
        <f>VLOOKUP(tblSalaries[[#This Row],[How many hours of a day you work on Excel]],tblHours,2,0)</f>
        <v>3</v>
      </c>
      <c r="P725" s="8">
        <f>VLOOKUP(tblSalaries[[#This Row],[clean Country]],tblCountries[],5,0)</f>
        <v>13.098808879263672</v>
      </c>
      <c r="Q725" s="8">
        <f>IF($Q$1,tblSalaries[[#This Row],[PPP Factor]]*tblSalaries[[#This Row],[Salary in USD]],tblSalaries[[#This Row],[Salary in USD]])</f>
        <v>14246.333349954055</v>
      </c>
    </row>
    <row r="726" spans="2:17" ht="15" customHeight="1" x14ac:dyDescent="0.25">
      <c r="B726" t="s">
        <v>2729</v>
      </c>
      <c r="C726" s="1">
        <v>41055.646099537036</v>
      </c>
      <c r="D726" s="4" t="s">
        <v>841</v>
      </c>
      <c r="E726">
        <v>600000</v>
      </c>
      <c r="F726" t="s">
        <v>40</v>
      </c>
      <c r="G726">
        <f>tblSalaries[[#This Row],[clean Salary (in local currency)]]*VLOOKUP(tblSalaries[[#This Row],[Currency]],tblXrate[],2,FALSE)</f>
        <v>10684.750012465542</v>
      </c>
      <c r="H726" t="s">
        <v>842</v>
      </c>
      <c r="I726" t="s">
        <v>52</v>
      </c>
      <c r="J726" t="s">
        <v>8</v>
      </c>
      <c r="K726" t="str">
        <f>VLOOKUP(tblSalaries[[#This Row],[Where do you work]],tblCountries[[Actual]:[Mapping]],2,FALSE)</f>
        <v>India</v>
      </c>
      <c r="L726" t="s">
        <v>18</v>
      </c>
      <c r="M726">
        <v>8</v>
      </c>
      <c r="N726" s="8" t="str">
        <f>VLOOKUP(K726,tblCountries[],3,0)</f>
        <v>Asia</v>
      </c>
      <c r="O726" s="8">
        <f>VLOOKUP(tblSalaries[[#This Row],[How many hours of a day you work on Excel]],tblHours,2,0)</f>
        <v>3</v>
      </c>
      <c r="P726" s="8">
        <f>VLOOKUP(tblSalaries[[#This Row],[clean Country]],tblCountries[],5,0)</f>
        <v>13.098808879263672</v>
      </c>
      <c r="Q726" s="8">
        <f>IF($Q$1,tblSalaries[[#This Row],[PPP Factor]]*tblSalaries[[#This Row],[Salary in USD]],tblSalaries[[#This Row],[Salary in USD]])</f>
        <v>10684.750012465542</v>
      </c>
    </row>
    <row r="727" spans="2:17" ht="15" customHeight="1" x14ac:dyDescent="0.25">
      <c r="B727" t="s">
        <v>2730</v>
      </c>
      <c r="C727" s="1">
        <v>41055.64980324074</v>
      </c>
      <c r="D727" s="4">
        <v>40000</v>
      </c>
      <c r="E727">
        <v>40000</v>
      </c>
      <c r="F727" t="s">
        <v>6</v>
      </c>
      <c r="G727">
        <f>tblSalaries[[#This Row],[clean Salary (in local currency)]]*VLOOKUP(tblSalaries[[#This Row],[Currency]],tblXrate[],2,FALSE)</f>
        <v>40000</v>
      </c>
      <c r="H727" t="s">
        <v>843</v>
      </c>
      <c r="I727" t="s">
        <v>52</v>
      </c>
      <c r="J727" t="s">
        <v>8</v>
      </c>
      <c r="K727" t="str">
        <f>VLOOKUP(tblSalaries[[#This Row],[Where do you work]],tblCountries[[Actual]:[Mapping]],2,FALSE)</f>
        <v>India</v>
      </c>
      <c r="L727" t="s">
        <v>13</v>
      </c>
      <c r="M727">
        <v>15</v>
      </c>
      <c r="N727" s="8" t="str">
        <f>VLOOKUP(K727,tblCountries[],3,0)</f>
        <v>Asia</v>
      </c>
      <c r="O727" s="8">
        <f>VLOOKUP(tblSalaries[[#This Row],[How many hours of a day you work on Excel]],tblHours,2,0)</f>
        <v>5</v>
      </c>
      <c r="P727" s="8">
        <f>VLOOKUP(tblSalaries[[#This Row],[clean Country]],tblCountries[],5,0)</f>
        <v>13.098808879263672</v>
      </c>
      <c r="Q727" s="8">
        <f>IF($Q$1,tblSalaries[[#This Row],[PPP Factor]]*tblSalaries[[#This Row],[Salary in USD]],tblSalaries[[#This Row],[Salary in USD]])</f>
        <v>40000</v>
      </c>
    </row>
    <row r="728" spans="2:17" ht="15" customHeight="1" x14ac:dyDescent="0.25">
      <c r="B728" t="s">
        <v>2731</v>
      </c>
      <c r="C728" s="1">
        <v>41055.655925925923</v>
      </c>
      <c r="D728" s="4">
        <v>5022</v>
      </c>
      <c r="E728">
        <v>5022</v>
      </c>
      <c r="F728" t="s">
        <v>6</v>
      </c>
      <c r="G728">
        <f>tblSalaries[[#This Row],[clean Salary (in local currency)]]*VLOOKUP(tblSalaries[[#This Row],[Currency]],tblXrate[],2,FALSE)</f>
        <v>5022</v>
      </c>
      <c r="H728" t="s">
        <v>844</v>
      </c>
      <c r="I728" t="s">
        <v>20</v>
      </c>
      <c r="J728" t="s">
        <v>17</v>
      </c>
      <c r="K728" t="str">
        <f>VLOOKUP(tblSalaries[[#This Row],[Where do you work]],tblCountries[[Actual]:[Mapping]],2,FALSE)</f>
        <v>Pakistan</v>
      </c>
      <c r="L728" t="s">
        <v>9</v>
      </c>
      <c r="M728">
        <v>15</v>
      </c>
      <c r="N728" s="8" t="str">
        <f>VLOOKUP(K728,tblCountries[],3,0)</f>
        <v>Asia</v>
      </c>
      <c r="O728" s="8">
        <f>VLOOKUP(tblSalaries[[#This Row],[How many hours of a day you work on Excel]],tblHours,2,0)</f>
        <v>4</v>
      </c>
      <c r="P728" s="8">
        <f>VLOOKUP(tblSalaries[[#This Row],[clean Country]],tblCountries[],5,0)</f>
        <v>17.361679224973088</v>
      </c>
      <c r="Q728" s="8">
        <f>IF($Q$1,tblSalaries[[#This Row],[PPP Factor]]*tblSalaries[[#This Row],[Salary in USD]],tblSalaries[[#This Row],[Salary in USD]])</f>
        <v>5022</v>
      </c>
    </row>
    <row r="729" spans="2:17" ht="15" customHeight="1" x14ac:dyDescent="0.25">
      <c r="B729" t="s">
        <v>2732</v>
      </c>
      <c r="C729" s="1">
        <v>41055.660543981481</v>
      </c>
      <c r="D729" s="4">
        <v>410000</v>
      </c>
      <c r="E729">
        <v>410000</v>
      </c>
      <c r="F729" t="s">
        <v>40</v>
      </c>
      <c r="G729">
        <f>tblSalaries[[#This Row],[clean Salary (in local currency)]]*VLOOKUP(tblSalaries[[#This Row],[Currency]],tblXrate[],2,FALSE)</f>
        <v>7301.2458418514525</v>
      </c>
      <c r="H729" t="s">
        <v>7</v>
      </c>
      <c r="I729" t="s">
        <v>20</v>
      </c>
      <c r="J729" t="s">
        <v>8</v>
      </c>
      <c r="K729" t="str">
        <f>VLOOKUP(tblSalaries[[#This Row],[Where do you work]],tblCountries[[Actual]:[Mapping]],2,FALSE)</f>
        <v>India</v>
      </c>
      <c r="L729" t="s">
        <v>13</v>
      </c>
      <c r="M729">
        <v>5</v>
      </c>
      <c r="N729" s="8" t="str">
        <f>VLOOKUP(K729,tblCountries[],3,0)</f>
        <v>Asia</v>
      </c>
      <c r="O729" s="8">
        <f>VLOOKUP(tblSalaries[[#This Row],[How many hours of a day you work on Excel]],tblHours,2,0)</f>
        <v>5</v>
      </c>
      <c r="P729" s="8">
        <f>VLOOKUP(tblSalaries[[#This Row],[clean Country]],tblCountries[],5,0)</f>
        <v>13.098808879263672</v>
      </c>
      <c r="Q729" s="8">
        <f>IF($Q$1,tblSalaries[[#This Row],[PPP Factor]]*tblSalaries[[#This Row],[Salary in USD]],tblSalaries[[#This Row],[Salary in USD]])</f>
        <v>7301.2458418514525</v>
      </c>
    </row>
    <row r="730" spans="2:17" ht="15" customHeight="1" x14ac:dyDescent="0.25">
      <c r="B730" t="s">
        <v>2733</v>
      </c>
      <c r="C730" s="1">
        <v>41055.661921296298</v>
      </c>
      <c r="D730" s="4">
        <v>10000</v>
      </c>
      <c r="E730">
        <v>120000</v>
      </c>
      <c r="F730" t="s">
        <v>845</v>
      </c>
      <c r="G730">
        <f>tblSalaries[[#This Row],[clean Salary (in local currency)]]*VLOOKUP(tblSalaries[[#This Row],[Currency]],tblXrate[],2,FALSE)</f>
        <v>19831.432821021317</v>
      </c>
      <c r="H730" t="s">
        <v>846</v>
      </c>
      <c r="I730" t="s">
        <v>20</v>
      </c>
      <c r="J730" t="s">
        <v>847</v>
      </c>
      <c r="K730" t="str">
        <f>VLOOKUP(tblSalaries[[#This Row],[Where do you work]],tblCountries[[Actual]:[Mapping]],2,FALSE)</f>
        <v>Egypt</v>
      </c>
      <c r="L730" t="s">
        <v>13</v>
      </c>
      <c r="M730">
        <v>5</v>
      </c>
      <c r="N730" s="8" t="str">
        <f>VLOOKUP(K730,tblCountries[],3,0)</f>
        <v>Africa</v>
      </c>
      <c r="O730" s="8">
        <f>VLOOKUP(tblSalaries[[#This Row],[How many hours of a day you work on Excel]],tblHours,2,0)</f>
        <v>5</v>
      </c>
      <c r="P730" s="8">
        <f>VLOOKUP(tblSalaries[[#This Row],[clean Country]],tblCountries[],5,0)</f>
        <v>7.3986238532110091</v>
      </c>
      <c r="Q730" s="8">
        <f>IF($Q$1,tblSalaries[[#This Row],[PPP Factor]]*tblSalaries[[#This Row],[Salary in USD]],tblSalaries[[#This Row],[Salary in USD]])</f>
        <v>19831.432821021317</v>
      </c>
    </row>
    <row r="731" spans="2:17" ht="15" customHeight="1" x14ac:dyDescent="0.25">
      <c r="B731" t="s">
        <v>2734</v>
      </c>
      <c r="C731" s="1">
        <v>41055.662499999999</v>
      </c>
      <c r="D731" s="4" t="s">
        <v>848</v>
      </c>
      <c r="E731">
        <v>600000</v>
      </c>
      <c r="F731" t="s">
        <v>40</v>
      </c>
      <c r="G731">
        <f>tblSalaries[[#This Row],[clean Salary (in local currency)]]*VLOOKUP(tblSalaries[[#This Row],[Currency]],tblXrate[],2,FALSE)</f>
        <v>10684.750012465542</v>
      </c>
      <c r="H731" t="s">
        <v>642</v>
      </c>
      <c r="I731" t="s">
        <v>52</v>
      </c>
      <c r="J731" t="s">
        <v>8</v>
      </c>
      <c r="K731" t="str">
        <f>VLOOKUP(tblSalaries[[#This Row],[Where do you work]],tblCountries[[Actual]:[Mapping]],2,FALSE)</f>
        <v>India</v>
      </c>
      <c r="L731" t="s">
        <v>9</v>
      </c>
      <c r="M731">
        <v>5</v>
      </c>
      <c r="N731" s="8" t="str">
        <f>VLOOKUP(K731,tblCountries[],3,0)</f>
        <v>Asia</v>
      </c>
      <c r="O731" s="8">
        <f>VLOOKUP(tblSalaries[[#This Row],[How many hours of a day you work on Excel]],tblHours,2,0)</f>
        <v>4</v>
      </c>
      <c r="P731" s="8">
        <f>VLOOKUP(tblSalaries[[#This Row],[clean Country]],tblCountries[],5,0)</f>
        <v>13.098808879263672</v>
      </c>
      <c r="Q731" s="8">
        <f>IF($Q$1,tblSalaries[[#This Row],[PPP Factor]]*tblSalaries[[#This Row],[Salary in USD]],tblSalaries[[#This Row],[Salary in USD]])</f>
        <v>10684.750012465542</v>
      </c>
    </row>
    <row r="732" spans="2:17" ht="15" customHeight="1" x14ac:dyDescent="0.25">
      <c r="B732" t="s">
        <v>2735</v>
      </c>
      <c r="C732" s="1">
        <v>41055.664548611108</v>
      </c>
      <c r="D732" s="4" t="s">
        <v>849</v>
      </c>
      <c r="E732">
        <v>4800</v>
      </c>
      <c r="F732" t="s">
        <v>6</v>
      </c>
      <c r="G732">
        <f>tblSalaries[[#This Row],[clean Salary (in local currency)]]*VLOOKUP(tblSalaries[[#This Row],[Currency]],tblXrate[],2,FALSE)</f>
        <v>4800</v>
      </c>
      <c r="H732" t="s">
        <v>850</v>
      </c>
      <c r="I732" t="s">
        <v>20</v>
      </c>
      <c r="J732" t="s">
        <v>851</v>
      </c>
      <c r="K732" t="str">
        <f>VLOOKUP(tblSalaries[[#This Row],[Where do you work]],tblCountries[[Actual]:[Mapping]],2,FALSE)</f>
        <v>Bhutan</v>
      </c>
      <c r="L732" t="s">
        <v>9</v>
      </c>
      <c r="M732">
        <v>2</v>
      </c>
      <c r="N732" s="8" t="str">
        <f>VLOOKUP(K732,tblCountries[],3,0)</f>
        <v>Asia</v>
      </c>
      <c r="O732" s="8">
        <f>VLOOKUP(tblSalaries[[#This Row],[How many hours of a day you work on Excel]],tblHours,2,0)</f>
        <v>4</v>
      </c>
      <c r="P732" s="8">
        <f>VLOOKUP(tblSalaries[[#This Row],[clean Country]],tblCountries[],5,0)</f>
        <v>7.916721204188482</v>
      </c>
      <c r="Q732" s="8">
        <f>IF($Q$1,tblSalaries[[#This Row],[PPP Factor]]*tblSalaries[[#This Row],[Salary in USD]],tblSalaries[[#This Row],[Salary in USD]])</f>
        <v>4800</v>
      </c>
    </row>
    <row r="733" spans="2:17" ht="15" customHeight="1" x14ac:dyDescent="0.25">
      <c r="B733" t="s">
        <v>2736</v>
      </c>
      <c r="C733" s="1">
        <v>41055.666481481479</v>
      </c>
      <c r="D733" s="4" t="s">
        <v>852</v>
      </c>
      <c r="E733">
        <v>66000</v>
      </c>
      <c r="F733" t="s">
        <v>22</v>
      </c>
      <c r="G733">
        <f>tblSalaries[[#This Row],[clean Salary (in local currency)]]*VLOOKUP(tblSalaries[[#This Row],[Currency]],tblXrate[],2,FALSE)</f>
        <v>83846.362973446114</v>
      </c>
      <c r="H733" t="s">
        <v>853</v>
      </c>
      <c r="I733" t="s">
        <v>20</v>
      </c>
      <c r="J733" t="s">
        <v>378</v>
      </c>
      <c r="K733" t="str">
        <f>VLOOKUP(tblSalaries[[#This Row],[Where do you work]],tblCountries[[Actual]:[Mapping]],2,FALSE)</f>
        <v>Germany</v>
      </c>
      <c r="L733" t="s">
        <v>9</v>
      </c>
      <c r="M733">
        <v>7</v>
      </c>
      <c r="N733" s="8" t="str">
        <f>VLOOKUP(K733,tblCountries[],3,0)</f>
        <v>Europe</v>
      </c>
      <c r="O733" s="8">
        <f>VLOOKUP(tblSalaries[[#This Row],[How many hours of a day you work on Excel]],tblHours,2,0)</f>
        <v>4</v>
      </c>
      <c r="P733" s="8">
        <f>VLOOKUP(tblSalaries[[#This Row],[clean Country]],tblCountries[],5,0)</f>
        <v>1.276802913159353</v>
      </c>
      <c r="Q733" s="8">
        <f>IF($Q$1,tblSalaries[[#This Row],[PPP Factor]]*tblSalaries[[#This Row],[Salary in USD]],tblSalaries[[#This Row],[Salary in USD]])</f>
        <v>83846.362973446114</v>
      </c>
    </row>
    <row r="734" spans="2:17" ht="15" customHeight="1" x14ac:dyDescent="0.25">
      <c r="B734" t="s">
        <v>2737</v>
      </c>
      <c r="C734" s="1">
        <v>41055.667986111112</v>
      </c>
      <c r="D734" s="4">
        <v>15000</v>
      </c>
      <c r="E734">
        <v>15000</v>
      </c>
      <c r="F734" t="s">
        <v>6</v>
      </c>
      <c r="G734">
        <f>tblSalaries[[#This Row],[clean Salary (in local currency)]]*VLOOKUP(tblSalaries[[#This Row],[Currency]],tblXrate[],2,FALSE)</f>
        <v>15000</v>
      </c>
      <c r="H734" t="s">
        <v>854</v>
      </c>
      <c r="I734" t="s">
        <v>488</v>
      </c>
      <c r="J734" t="s">
        <v>8</v>
      </c>
      <c r="K734" t="str">
        <f>VLOOKUP(tblSalaries[[#This Row],[Where do you work]],tblCountries[[Actual]:[Mapping]],2,FALSE)</f>
        <v>India</v>
      </c>
      <c r="L734" t="s">
        <v>18</v>
      </c>
      <c r="M734">
        <v>2</v>
      </c>
      <c r="N734" s="8" t="str">
        <f>VLOOKUP(K734,tblCountries[],3,0)</f>
        <v>Asia</v>
      </c>
      <c r="O734" s="8">
        <f>VLOOKUP(tblSalaries[[#This Row],[How many hours of a day you work on Excel]],tblHours,2,0)</f>
        <v>3</v>
      </c>
      <c r="P734" s="8">
        <f>VLOOKUP(tblSalaries[[#This Row],[clean Country]],tblCountries[],5,0)</f>
        <v>13.098808879263672</v>
      </c>
      <c r="Q734" s="8">
        <f>IF($Q$1,tblSalaries[[#This Row],[PPP Factor]]*tblSalaries[[#This Row],[Salary in USD]],tblSalaries[[#This Row],[Salary in USD]])</f>
        <v>15000</v>
      </c>
    </row>
    <row r="735" spans="2:17" ht="15" customHeight="1" x14ac:dyDescent="0.25">
      <c r="B735" t="s">
        <v>2738</v>
      </c>
      <c r="C735" s="1">
        <v>41055.670162037037</v>
      </c>
      <c r="D735" s="4">
        <v>10000</v>
      </c>
      <c r="E735">
        <v>10000</v>
      </c>
      <c r="F735" t="s">
        <v>6</v>
      </c>
      <c r="G735">
        <f>tblSalaries[[#This Row],[clean Salary (in local currency)]]*VLOOKUP(tblSalaries[[#This Row],[Currency]],tblXrate[],2,FALSE)</f>
        <v>10000</v>
      </c>
      <c r="H735" t="s">
        <v>855</v>
      </c>
      <c r="I735" t="s">
        <v>20</v>
      </c>
      <c r="J735" t="s">
        <v>8</v>
      </c>
      <c r="K735" t="str">
        <f>VLOOKUP(tblSalaries[[#This Row],[Where do you work]],tblCountries[[Actual]:[Mapping]],2,FALSE)</f>
        <v>India</v>
      </c>
      <c r="L735" t="s">
        <v>9</v>
      </c>
      <c r="M735">
        <v>12</v>
      </c>
      <c r="N735" s="8" t="str">
        <f>VLOOKUP(K735,tblCountries[],3,0)</f>
        <v>Asia</v>
      </c>
      <c r="O735" s="8">
        <f>VLOOKUP(tblSalaries[[#This Row],[How many hours of a day you work on Excel]],tblHours,2,0)</f>
        <v>4</v>
      </c>
      <c r="P735" s="8">
        <f>VLOOKUP(tblSalaries[[#This Row],[clean Country]],tblCountries[],5,0)</f>
        <v>13.098808879263672</v>
      </c>
      <c r="Q735" s="8">
        <f>IF($Q$1,tblSalaries[[#This Row],[PPP Factor]]*tblSalaries[[#This Row],[Salary in USD]],tblSalaries[[#This Row],[Salary in USD]])</f>
        <v>10000</v>
      </c>
    </row>
    <row r="736" spans="2:17" ht="15" customHeight="1" x14ac:dyDescent="0.25">
      <c r="B736" t="s">
        <v>2739</v>
      </c>
      <c r="C736" s="1">
        <v>41055.673703703702</v>
      </c>
      <c r="D736" s="4">
        <v>74000</v>
      </c>
      <c r="E736">
        <v>74000</v>
      </c>
      <c r="F736" t="s">
        <v>69</v>
      </c>
      <c r="G736">
        <f>tblSalaries[[#This Row],[clean Salary (in local currency)]]*VLOOKUP(tblSalaries[[#This Row],[Currency]],tblXrate[],2,FALSE)</f>
        <v>116637.19213297902</v>
      </c>
      <c r="H736" t="s">
        <v>856</v>
      </c>
      <c r="I736" t="s">
        <v>52</v>
      </c>
      <c r="J736" t="s">
        <v>71</v>
      </c>
      <c r="K736" t="str">
        <f>VLOOKUP(tblSalaries[[#This Row],[Where do you work]],tblCountries[[Actual]:[Mapping]],2,FALSE)</f>
        <v>UK</v>
      </c>
      <c r="L736" t="s">
        <v>9</v>
      </c>
      <c r="M736">
        <v>5</v>
      </c>
      <c r="N736" s="8" t="str">
        <f>VLOOKUP(K736,tblCountries[],3,0)</f>
        <v>Europe</v>
      </c>
      <c r="O736" s="8">
        <f>VLOOKUP(tblSalaries[[#This Row],[How many hours of a day you work on Excel]],tblHours,2,0)</f>
        <v>4</v>
      </c>
      <c r="P736" s="8">
        <f>VLOOKUP(tblSalaries[[#This Row],[clean Country]],tblCountries[],5,0)</f>
        <v>1.3407315045719035</v>
      </c>
      <c r="Q736" s="8">
        <f>IF($Q$1,tblSalaries[[#This Row],[PPP Factor]]*tblSalaries[[#This Row],[Salary in USD]],tblSalaries[[#This Row],[Salary in USD]])</f>
        <v>116637.19213297902</v>
      </c>
    </row>
    <row r="737" spans="2:17" ht="15" customHeight="1" x14ac:dyDescent="0.25">
      <c r="B737" t="s">
        <v>2740</v>
      </c>
      <c r="C737" s="1">
        <v>41055.675104166665</v>
      </c>
      <c r="D737" s="4" t="s">
        <v>857</v>
      </c>
      <c r="E737">
        <v>21798</v>
      </c>
      <c r="F737" t="s">
        <v>69</v>
      </c>
      <c r="G737">
        <f>tblSalaries[[#This Row],[clean Salary (in local currency)]]*VLOOKUP(tblSalaries[[#This Row],[Currency]],tblXrate[],2,FALSE)</f>
        <v>34357.533974522659</v>
      </c>
      <c r="H737" t="s">
        <v>153</v>
      </c>
      <c r="I737" t="s">
        <v>20</v>
      </c>
      <c r="J737" t="s">
        <v>71</v>
      </c>
      <c r="K737" t="str">
        <f>VLOOKUP(tblSalaries[[#This Row],[Where do you work]],tblCountries[[Actual]:[Mapping]],2,FALSE)</f>
        <v>UK</v>
      </c>
      <c r="L737" t="s">
        <v>13</v>
      </c>
      <c r="M737">
        <v>1.5</v>
      </c>
      <c r="N737" s="8" t="str">
        <f>VLOOKUP(K737,tblCountries[],3,0)</f>
        <v>Europe</v>
      </c>
      <c r="O737" s="8">
        <f>VLOOKUP(tblSalaries[[#This Row],[How many hours of a day you work on Excel]],tblHours,2,0)</f>
        <v>5</v>
      </c>
      <c r="P737" s="8">
        <f>VLOOKUP(tblSalaries[[#This Row],[clean Country]],tblCountries[],5,0)</f>
        <v>1.3407315045719035</v>
      </c>
      <c r="Q737" s="8">
        <f>IF($Q$1,tblSalaries[[#This Row],[PPP Factor]]*tblSalaries[[#This Row],[Salary in USD]],tblSalaries[[#This Row],[Salary in USD]])</f>
        <v>34357.533974522659</v>
      </c>
    </row>
    <row r="738" spans="2:17" ht="15" customHeight="1" x14ac:dyDescent="0.25">
      <c r="B738" t="s">
        <v>2741</v>
      </c>
      <c r="C738" s="1">
        <v>41055.678229166668</v>
      </c>
      <c r="D738" s="4">
        <v>65000</v>
      </c>
      <c r="E738">
        <v>65000</v>
      </c>
      <c r="F738" t="s">
        <v>69</v>
      </c>
      <c r="G738">
        <f>tblSalaries[[#This Row],[clean Salary (in local currency)]]*VLOOKUP(tblSalaries[[#This Row],[Currency]],tblXrate[],2,FALSE)</f>
        <v>102451.58768437347</v>
      </c>
      <c r="H738" t="s">
        <v>858</v>
      </c>
      <c r="I738" t="s">
        <v>52</v>
      </c>
      <c r="J738" t="s">
        <v>71</v>
      </c>
      <c r="K738" t="str">
        <f>VLOOKUP(tblSalaries[[#This Row],[Where do you work]],tblCountries[[Actual]:[Mapping]],2,FALSE)</f>
        <v>UK</v>
      </c>
      <c r="L738" t="s">
        <v>9</v>
      </c>
      <c r="M738">
        <v>15</v>
      </c>
      <c r="N738" s="8" t="str">
        <f>VLOOKUP(K738,tblCountries[],3,0)</f>
        <v>Europe</v>
      </c>
      <c r="O738" s="8">
        <f>VLOOKUP(tblSalaries[[#This Row],[How many hours of a day you work on Excel]],tblHours,2,0)</f>
        <v>4</v>
      </c>
      <c r="P738" s="8">
        <f>VLOOKUP(tblSalaries[[#This Row],[clean Country]],tblCountries[],5,0)</f>
        <v>1.3407315045719035</v>
      </c>
      <c r="Q738" s="8">
        <f>IF($Q$1,tblSalaries[[#This Row],[PPP Factor]]*tblSalaries[[#This Row],[Salary in USD]],tblSalaries[[#This Row],[Salary in USD]])</f>
        <v>102451.58768437347</v>
      </c>
    </row>
    <row r="739" spans="2:17" ht="15" customHeight="1" x14ac:dyDescent="0.25">
      <c r="B739" t="s">
        <v>2742</v>
      </c>
      <c r="C739" s="1">
        <v>41055.682986111111</v>
      </c>
      <c r="D739" s="4">
        <v>16000</v>
      </c>
      <c r="E739">
        <v>16000</v>
      </c>
      <c r="F739" t="s">
        <v>6</v>
      </c>
      <c r="G739">
        <f>tblSalaries[[#This Row],[clean Salary (in local currency)]]*VLOOKUP(tblSalaries[[#This Row],[Currency]],tblXrate[],2,FALSE)</f>
        <v>16000</v>
      </c>
      <c r="H739" t="s">
        <v>279</v>
      </c>
      <c r="I739" t="s">
        <v>279</v>
      </c>
      <c r="J739" t="s">
        <v>8</v>
      </c>
      <c r="K739" t="str">
        <f>VLOOKUP(tblSalaries[[#This Row],[Where do you work]],tblCountries[[Actual]:[Mapping]],2,FALSE)</f>
        <v>India</v>
      </c>
      <c r="L739" t="s">
        <v>18</v>
      </c>
      <c r="M739">
        <v>5</v>
      </c>
      <c r="N739" s="8" t="str">
        <f>VLOOKUP(K739,tblCountries[],3,0)</f>
        <v>Asia</v>
      </c>
      <c r="O739" s="8">
        <f>VLOOKUP(tblSalaries[[#This Row],[How many hours of a day you work on Excel]],tblHours,2,0)</f>
        <v>3</v>
      </c>
      <c r="P739" s="8">
        <f>VLOOKUP(tblSalaries[[#This Row],[clean Country]],tblCountries[],5,0)</f>
        <v>13.098808879263672</v>
      </c>
      <c r="Q739" s="8">
        <f>IF($Q$1,tblSalaries[[#This Row],[PPP Factor]]*tblSalaries[[#This Row],[Salary in USD]],tblSalaries[[#This Row],[Salary in USD]])</f>
        <v>16000</v>
      </c>
    </row>
    <row r="740" spans="2:17" ht="15" customHeight="1" x14ac:dyDescent="0.25">
      <c r="B740" t="s">
        <v>2743</v>
      </c>
      <c r="C740" s="1">
        <v>41055.684641203705</v>
      </c>
      <c r="D740" s="4">
        <v>6000</v>
      </c>
      <c r="E740">
        <v>6000</v>
      </c>
      <c r="F740" t="s">
        <v>6</v>
      </c>
      <c r="G740">
        <f>tblSalaries[[#This Row],[clean Salary (in local currency)]]*VLOOKUP(tblSalaries[[#This Row],[Currency]],tblXrate[],2,FALSE)</f>
        <v>6000</v>
      </c>
      <c r="H740" t="s">
        <v>859</v>
      </c>
      <c r="I740" t="s">
        <v>52</v>
      </c>
      <c r="J740" t="s">
        <v>8</v>
      </c>
      <c r="K740" t="str">
        <f>VLOOKUP(tblSalaries[[#This Row],[Where do you work]],tblCountries[[Actual]:[Mapping]],2,FALSE)</f>
        <v>India</v>
      </c>
      <c r="L740" t="s">
        <v>18</v>
      </c>
      <c r="M740">
        <v>6</v>
      </c>
      <c r="N740" s="8" t="str">
        <f>VLOOKUP(K740,tblCountries[],3,0)</f>
        <v>Asia</v>
      </c>
      <c r="O740" s="8">
        <f>VLOOKUP(tblSalaries[[#This Row],[How many hours of a day you work on Excel]],tblHours,2,0)</f>
        <v>3</v>
      </c>
      <c r="P740" s="8">
        <f>VLOOKUP(tblSalaries[[#This Row],[clean Country]],tblCountries[],5,0)</f>
        <v>13.098808879263672</v>
      </c>
      <c r="Q740" s="8">
        <f>IF($Q$1,tblSalaries[[#This Row],[PPP Factor]]*tblSalaries[[#This Row],[Salary in USD]],tblSalaries[[#This Row],[Salary in USD]])</f>
        <v>6000</v>
      </c>
    </row>
    <row r="741" spans="2:17" ht="15" customHeight="1" x14ac:dyDescent="0.25">
      <c r="B741" t="s">
        <v>2744</v>
      </c>
      <c r="C741" s="1">
        <v>41055.685127314813</v>
      </c>
      <c r="D741" s="4" t="s">
        <v>860</v>
      </c>
      <c r="E741">
        <v>360000</v>
      </c>
      <c r="F741" t="s">
        <v>40</v>
      </c>
      <c r="G741">
        <f>tblSalaries[[#This Row],[clean Salary (in local currency)]]*VLOOKUP(tblSalaries[[#This Row],[Currency]],tblXrate[],2,FALSE)</f>
        <v>6410.8500074793246</v>
      </c>
      <c r="H741" t="s">
        <v>861</v>
      </c>
      <c r="I741" t="s">
        <v>52</v>
      </c>
      <c r="J741" t="s">
        <v>8</v>
      </c>
      <c r="K741" t="str">
        <f>VLOOKUP(tblSalaries[[#This Row],[Where do you work]],tblCountries[[Actual]:[Mapping]],2,FALSE)</f>
        <v>India</v>
      </c>
      <c r="L741" t="s">
        <v>13</v>
      </c>
      <c r="M741">
        <v>6</v>
      </c>
      <c r="N741" s="8" t="str">
        <f>VLOOKUP(K741,tblCountries[],3,0)</f>
        <v>Asia</v>
      </c>
      <c r="O741" s="8">
        <f>VLOOKUP(tblSalaries[[#This Row],[How many hours of a day you work on Excel]],tblHours,2,0)</f>
        <v>5</v>
      </c>
      <c r="P741" s="8">
        <f>VLOOKUP(tblSalaries[[#This Row],[clean Country]],tblCountries[],5,0)</f>
        <v>13.098808879263672</v>
      </c>
      <c r="Q741" s="8">
        <f>IF($Q$1,tblSalaries[[#This Row],[PPP Factor]]*tblSalaries[[#This Row],[Salary in USD]],tblSalaries[[#This Row],[Salary in USD]])</f>
        <v>6410.8500074793246</v>
      </c>
    </row>
    <row r="742" spans="2:17" ht="15" customHeight="1" x14ac:dyDescent="0.25">
      <c r="B742" t="s">
        <v>2745</v>
      </c>
      <c r="C742" s="1">
        <v>41055.687222222223</v>
      </c>
      <c r="D742" s="4">
        <v>36000</v>
      </c>
      <c r="E742">
        <v>36000</v>
      </c>
      <c r="F742" t="s">
        <v>6</v>
      </c>
      <c r="G742">
        <f>tblSalaries[[#This Row],[clean Salary (in local currency)]]*VLOOKUP(tblSalaries[[#This Row],[Currency]],tblXrate[],2,FALSE)</f>
        <v>36000</v>
      </c>
      <c r="H742" t="s">
        <v>485</v>
      </c>
      <c r="I742" t="s">
        <v>279</v>
      </c>
      <c r="J742" t="s">
        <v>820</v>
      </c>
      <c r="K742" t="str">
        <f>VLOOKUP(tblSalaries[[#This Row],[Where do you work]],tblCountries[[Actual]:[Mapping]],2,FALSE)</f>
        <v>UAE</v>
      </c>
      <c r="L742" t="s">
        <v>25</v>
      </c>
      <c r="M742">
        <v>7</v>
      </c>
      <c r="N742" s="8" t="str">
        <f>VLOOKUP(K742,tblCountries[],3,0)</f>
        <v>Asia</v>
      </c>
      <c r="O742" s="8">
        <f>VLOOKUP(tblSalaries[[#This Row],[How many hours of a day you work on Excel]],tblHours,2,0)</f>
        <v>2</v>
      </c>
      <c r="P742" s="8">
        <f>VLOOKUP(tblSalaries[[#This Row],[clean Country]],tblCountries[],5,0)</f>
        <v>1.0047551808629926</v>
      </c>
      <c r="Q742" s="8">
        <f>IF($Q$1,tblSalaries[[#This Row],[PPP Factor]]*tblSalaries[[#This Row],[Salary in USD]],tblSalaries[[#This Row],[Salary in USD]])</f>
        <v>36000</v>
      </c>
    </row>
    <row r="743" spans="2:17" ht="15" customHeight="1" x14ac:dyDescent="0.25">
      <c r="B743" t="s">
        <v>2746</v>
      </c>
      <c r="C743" s="1">
        <v>41055.690254629626</v>
      </c>
      <c r="D743" s="4">
        <v>20000</v>
      </c>
      <c r="E743">
        <v>20000</v>
      </c>
      <c r="F743" t="s">
        <v>6</v>
      </c>
      <c r="G743">
        <f>tblSalaries[[#This Row],[clean Salary (in local currency)]]*VLOOKUP(tblSalaries[[#This Row],[Currency]],tblXrate[],2,FALSE)</f>
        <v>20000</v>
      </c>
      <c r="H743" t="s">
        <v>522</v>
      </c>
      <c r="I743" t="s">
        <v>279</v>
      </c>
      <c r="J743" t="s">
        <v>8</v>
      </c>
      <c r="K743" t="str">
        <f>VLOOKUP(tblSalaries[[#This Row],[Where do you work]],tblCountries[[Actual]:[Mapping]],2,FALSE)</f>
        <v>India</v>
      </c>
      <c r="L743" t="s">
        <v>25</v>
      </c>
      <c r="M743">
        <v>7</v>
      </c>
      <c r="N743" s="8" t="str">
        <f>VLOOKUP(K743,tblCountries[],3,0)</f>
        <v>Asia</v>
      </c>
      <c r="O743" s="8">
        <f>VLOOKUP(tblSalaries[[#This Row],[How many hours of a day you work on Excel]],tblHours,2,0)</f>
        <v>2</v>
      </c>
      <c r="P743" s="8">
        <f>VLOOKUP(tblSalaries[[#This Row],[clean Country]],tblCountries[],5,0)</f>
        <v>13.098808879263672</v>
      </c>
      <c r="Q743" s="8">
        <f>IF($Q$1,tblSalaries[[#This Row],[PPP Factor]]*tblSalaries[[#This Row],[Salary in USD]],tblSalaries[[#This Row],[Salary in USD]])</f>
        <v>20000</v>
      </c>
    </row>
    <row r="744" spans="2:17" ht="15" customHeight="1" x14ac:dyDescent="0.25">
      <c r="B744" t="s">
        <v>2747</v>
      </c>
      <c r="C744" s="1">
        <v>41055.690486111111</v>
      </c>
      <c r="D744" s="4" t="s">
        <v>862</v>
      </c>
      <c r="E744">
        <v>240000</v>
      </c>
      <c r="F744" t="s">
        <v>40</v>
      </c>
      <c r="G744">
        <f>tblSalaries[[#This Row],[clean Salary (in local currency)]]*VLOOKUP(tblSalaries[[#This Row],[Currency]],tblXrate[],2,FALSE)</f>
        <v>4273.9000049862161</v>
      </c>
      <c r="H744" t="s">
        <v>863</v>
      </c>
      <c r="I744" t="s">
        <v>310</v>
      </c>
      <c r="J744" t="s">
        <v>8</v>
      </c>
      <c r="K744" t="str">
        <f>VLOOKUP(tblSalaries[[#This Row],[Where do you work]],tblCountries[[Actual]:[Mapping]],2,FALSE)</f>
        <v>India</v>
      </c>
      <c r="L744" t="s">
        <v>9</v>
      </c>
      <c r="M744">
        <v>8</v>
      </c>
      <c r="N744" s="8" t="str">
        <f>VLOOKUP(K744,tblCountries[],3,0)</f>
        <v>Asia</v>
      </c>
      <c r="O744" s="8">
        <f>VLOOKUP(tblSalaries[[#This Row],[How many hours of a day you work on Excel]],tblHours,2,0)</f>
        <v>4</v>
      </c>
      <c r="P744" s="8">
        <f>VLOOKUP(tblSalaries[[#This Row],[clean Country]],tblCountries[],5,0)</f>
        <v>13.098808879263672</v>
      </c>
      <c r="Q744" s="8">
        <f>IF($Q$1,tblSalaries[[#This Row],[PPP Factor]]*tblSalaries[[#This Row],[Salary in USD]],tblSalaries[[#This Row],[Salary in USD]])</f>
        <v>4273.9000049862161</v>
      </c>
    </row>
    <row r="745" spans="2:17" ht="15" customHeight="1" x14ac:dyDescent="0.25">
      <c r="B745" t="s">
        <v>2748</v>
      </c>
      <c r="C745" s="1">
        <v>41055.690937500003</v>
      </c>
      <c r="D745" s="4" t="s">
        <v>864</v>
      </c>
      <c r="E745">
        <v>24000</v>
      </c>
      <c r="F745" t="s">
        <v>69</v>
      </c>
      <c r="G745">
        <f>tblSalaries[[#This Row],[clean Salary (in local currency)]]*VLOOKUP(tblSalaries[[#This Row],[Currency]],tblXrate[],2,FALSE)</f>
        <v>37828.278529614821</v>
      </c>
      <c r="H745" t="s">
        <v>865</v>
      </c>
      <c r="I745" t="s">
        <v>67</v>
      </c>
      <c r="J745" t="s">
        <v>71</v>
      </c>
      <c r="K745" t="str">
        <f>VLOOKUP(tblSalaries[[#This Row],[Where do you work]],tblCountries[[Actual]:[Mapping]],2,FALSE)</f>
        <v>UK</v>
      </c>
      <c r="L745" t="s">
        <v>13</v>
      </c>
      <c r="M745">
        <v>8</v>
      </c>
      <c r="N745" s="8" t="str">
        <f>VLOOKUP(K745,tblCountries[],3,0)</f>
        <v>Europe</v>
      </c>
      <c r="O745" s="8">
        <f>VLOOKUP(tblSalaries[[#This Row],[How many hours of a day you work on Excel]],tblHours,2,0)</f>
        <v>5</v>
      </c>
      <c r="P745" s="8">
        <f>VLOOKUP(tblSalaries[[#This Row],[clean Country]],tblCountries[],5,0)</f>
        <v>1.3407315045719035</v>
      </c>
      <c r="Q745" s="8">
        <f>IF($Q$1,tblSalaries[[#This Row],[PPP Factor]]*tblSalaries[[#This Row],[Salary in USD]],tblSalaries[[#This Row],[Salary in USD]])</f>
        <v>37828.278529614821</v>
      </c>
    </row>
    <row r="746" spans="2:17" ht="15" customHeight="1" x14ac:dyDescent="0.25">
      <c r="B746" t="s">
        <v>2749</v>
      </c>
      <c r="C746" s="1">
        <v>41055.701481481483</v>
      </c>
      <c r="D746" s="4" t="s">
        <v>866</v>
      </c>
      <c r="E746">
        <v>11000</v>
      </c>
      <c r="F746" t="s">
        <v>6</v>
      </c>
      <c r="G746">
        <f>tblSalaries[[#This Row],[clean Salary (in local currency)]]*VLOOKUP(tblSalaries[[#This Row],[Currency]],tblXrate[],2,FALSE)</f>
        <v>11000</v>
      </c>
      <c r="H746" t="s">
        <v>867</v>
      </c>
      <c r="I746" t="s">
        <v>52</v>
      </c>
      <c r="J746" t="s">
        <v>716</v>
      </c>
      <c r="K746" t="str">
        <f>VLOOKUP(tblSalaries[[#This Row],[Where do you work]],tblCountries[[Actual]:[Mapping]],2,FALSE)</f>
        <v>Sri Lanka</v>
      </c>
      <c r="L746" t="s">
        <v>13</v>
      </c>
      <c r="M746">
        <v>4.5</v>
      </c>
      <c r="N746" s="8" t="str">
        <f>VLOOKUP(K746,tblCountries[],3,0)</f>
        <v>Asia</v>
      </c>
      <c r="O746" s="8">
        <f>VLOOKUP(tblSalaries[[#This Row],[How many hours of a day you work on Excel]],tblHours,2,0)</f>
        <v>5</v>
      </c>
      <c r="P746" s="8">
        <f>VLOOKUP(tblSalaries[[#This Row],[clean Country]],tblCountries[],5,0)</f>
        <v>8.5278463165315479</v>
      </c>
      <c r="Q746" s="8">
        <f>IF($Q$1,tblSalaries[[#This Row],[PPP Factor]]*tblSalaries[[#This Row],[Salary in USD]],tblSalaries[[#This Row],[Salary in USD]])</f>
        <v>11000</v>
      </c>
    </row>
    <row r="747" spans="2:17" ht="15" customHeight="1" x14ac:dyDescent="0.25">
      <c r="B747" t="s">
        <v>2750</v>
      </c>
      <c r="C747" s="1">
        <v>41055.701921296299</v>
      </c>
      <c r="D747" s="4">
        <v>8000</v>
      </c>
      <c r="E747">
        <v>8000</v>
      </c>
      <c r="F747" t="s">
        <v>6</v>
      </c>
      <c r="G747">
        <f>tblSalaries[[#This Row],[clean Salary (in local currency)]]*VLOOKUP(tblSalaries[[#This Row],[Currency]],tblXrate[],2,FALSE)</f>
        <v>8000</v>
      </c>
      <c r="H747" t="s">
        <v>207</v>
      </c>
      <c r="I747" t="s">
        <v>20</v>
      </c>
      <c r="J747" t="s">
        <v>8</v>
      </c>
      <c r="K747" t="str">
        <f>VLOOKUP(tblSalaries[[#This Row],[Where do you work]],tblCountries[[Actual]:[Mapping]],2,FALSE)</f>
        <v>India</v>
      </c>
      <c r="L747" t="s">
        <v>18</v>
      </c>
      <c r="M747">
        <v>6</v>
      </c>
      <c r="N747" s="8" t="str">
        <f>VLOOKUP(K747,tblCountries[],3,0)</f>
        <v>Asia</v>
      </c>
      <c r="O747" s="8">
        <f>VLOOKUP(tblSalaries[[#This Row],[How many hours of a day you work on Excel]],tblHours,2,0)</f>
        <v>3</v>
      </c>
      <c r="P747" s="8">
        <f>VLOOKUP(tblSalaries[[#This Row],[clean Country]],tblCountries[],5,0)</f>
        <v>13.098808879263672</v>
      </c>
      <c r="Q747" s="8">
        <f>IF($Q$1,tblSalaries[[#This Row],[PPP Factor]]*tblSalaries[[#This Row],[Salary in USD]],tblSalaries[[#This Row],[Salary in USD]])</f>
        <v>8000</v>
      </c>
    </row>
    <row r="748" spans="2:17" ht="15" customHeight="1" x14ac:dyDescent="0.25">
      <c r="B748" t="s">
        <v>2751</v>
      </c>
      <c r="C748" s="1">
        <v>41055.71025462963</v>
      </c>
      <c r="D748" s="4" t="s">
        <v>868</v>
      </c>
      <c r="E748">
        <v>225000</v>
      </c>
      <c r="F748" t="s">
        <v>40</v>
      </c>
      <c r="G748">
        <f>tblSalaries[[#This Row],[clean Salary (in local currency)]]*VLOOKUP(tblSalaries[[#This Row],[Currency]],tblXrate[],2,FALSE)</f>
        <v>4006.7812546745777</v>
      </c>
      <c r="H748" t="s">
        <v>721</v>
      </c>
      <c r="I748" t="s">
        <v>3999</v>
      </c>
      <c r="J748" t="s">
        <v>8</v>
      </c>
      <c r="K748" t="str">
        <f>VLOOKUP(tblSalaries[[#This Row],[Where do you work]],tblCountries[[Actual]:[Mapping]],2,FALSE)</f>
        <v>India</v>
      </c>
      <c r="L748" t="s">
        <v>13</v>
      </c>
      <c r="M748">
        <v>5.5</v>
      </c>
      <c r="N748" s="8" t="str">
        <f>VLOOKUP(K748,tblCountries[],3,0)</f>
        <v>Asia</v>
      </c>
      <c r="O748" s="8">
        <f>VLOOKUP(tblSalaries[[#This Row],[How many hours of a day you work on Excel]],tblHours,2,0)</f>
        <v>5</v>
      </c>
      <c r="P748" s="8">
        <f>VLOOKUP(tblSalaries[[#This Row],[clean Country]],tblCountries[],5,0)</f>
        <v>13.098808879263672</v>
      </c>
      <c r="Q748" s="8">
        <f>IF($Q$1,tblSalaries[[#This Row],[PPP Factor]]*tblSalaries[[#This Row],[Salary in USD]],tblSalaries[[#This Row],[Salary in USD]])</f>
        <v>4006.7812546745777</v>
      </c>
    </row>
    <row r="749" spans="2:17" ht="15" customHeight="1" x14ac:dyDescent="0.25">
      <c r="B749" t="s">
        <v>2752</v>
      </c>
      <c r="C749" s="1">
        <v>41055.710439814815</v>
      </c>
      <c r="D749" s="4">
        <v>1488000</v>
      </c>
      <c r="E749">
        <v>1488000</v>
      </c>
      <c r="F749" t="s">
        <v>3984</v>
      </c>
      <c r="G749">
        <f>tblSalaries[[#This Row],[clean Salary (in local currency)]]*VLOOKUP(tblSalaries[[#This Row],[Currency]],tblXrate[],2,FALSE)</f>
        <v>9171.0323574730355</v>
      </c>
      <c r="H749" t="s">
        <v>869</v>
      </c>
      <c r="I749" t="s">
        <v>52</v>
      </c>
      <c r="J749" t="s">
        <v>870</v>
      </c>
      <c r="K749" t="str">
        <f>VLOOKUP(tblSalaries[[#This Row],[Where do you work]],tblCountries[[Actual]:[Mapping]],2,FALSE)</f>
        <v>Nigeria</v>
      </c>
      <c r="L749" t="s">
        <v>18</v>
      </c>
      <c r="M749">
        <v>5</v>
      </c>
      <c r="N749" s="8" t="str">
        <f>VLOOKUP(K749,tblCountries[],3,0)</f>
        <v>Africa</v>
      </c>
      <c r="O749" s="8">
        <f>VLOOKUP(tblSalaries[[#This Row],[How many hours of a day you work on Excel]],tblHours,2,0)</f>
        <v>3</v>
      </c>
      <c r="P749" s="8">
        <f>VLOOKUP(tblSalaries[[#This Row],[clean Country]],tblCountries[],5,0)</f>
        <v>18.769200930954227</v>
      </c>
      <c r="Q749" s="8">
        <f>IF($Q$1,tblSalaries[[#This Row],[PPP Factor]]*tblSalaries[[#This Row],[Salary in USD]],tblSalaries[[#This Row],[Salary in USD]])</f>
        <v>9171.0323574730355</v>
      </c>
    </row>
    <row r="750" spans="2:17" ht="15" customHeight="1" x14ac:dyDescent="0.25">
      <c r="B750" t="s">
        <v>2753</v>
      </c>
      <c r="C750" s="1">
        <v>41055.710717592592</v>
      </c>
      <c r="D750" s="4" t="s">
        <v>871</v>
      </c>
      <c r="E750">
        <v>240000</v>
      </c>
      <c r="F750" t="s">
        <v>40</v>
      </c>
      <c r="G750">
        <f>tblSalaries[[#This Row],[clean Salary (in local currency)]]*VLOOKUP(tblSalaries[[#This Row],[Currency]],tblXrate[],2,FALSE)</f>
        <v>4273.9000049862161</v>
      </c>
      <c r="H750" t="s">
        <v>872</v>
      </c>
      <c r="I750" t="s">
        <v>20</v>
      </c>
      <c r="J750" t="s">
        <v>8</v>
      </c>
      <c r="K750" t="str">
        <f>VLOOKUP(tblSalaries[[#This Row],[Where do you work]],tblCountries[[Actual]:[Mapping]],2,FALSE)</f>
        <v>India</v>
      </c>
      <c r="L750" t="s">
        <v>18</v>
      </c>
      <c r="M750">
        <v>20</v>
      </c>
      <c r="N750" s="8" t="str">
        <f>VLOOKUP(K750,tblCountries[],3,0)</f>
        <v>Asia</v>
      </c>
      <c r="O750" s="8">
        <f>VLOOKUP(tblSalaries[[#This Row],[How many hours of a day you work on Excel]],tblHours,2,0)</f>
        <v>3</v>
      </c>
      <c r="P750" s="8">
        <f>VLOOKUP(tblSalaries[[#This Row],[clean Country]],tblCountries[],5,0)</f>
        <v>13.098808879263672</v>
      </c>
      <c r="Q750" s="8">
        <f>IF($Q$1,tblSalaries[[#This Row],[PPP Factor]]*tblSalaries[[#This Row],[Salary in USD]],tblSalaries[[#This Row],[Salary in USD]])</f>
        <v>4273.9000049862161</v>
      </c>
    </row>
    <row r="751" spans="2:17" ht="15" customHeight="1" x14ac:dyDescent="0.25">
      <c r="B751" t="s">
        <v>2754</v>
      </c>
      <c r="C751" s="1">
        <v>41055.711377314816</v>
      </c>
      <c r="D751" s="4" t="s">
        <v>873</v>
      </c>
      <c r="E751">
        <v>700000</v>
      </c>
      <c r="F751" t="s">
        <v>40</v>
      </c>
      <c r="G751">
        <f>tblSalaries[[#This Row],[clean Salary (in local currency)]]*VLOOKUP(tblSalaries[[#This Row],[Currency]],tblXrate[],2,FALSE)</f>
        <v>12465.541681209797</v>
      </c>
      <c r="H751" t="s">
        <v>874</v>
      </c>
      <c r="I751" t="s">
        <v>20</v>
      </c>
      <c r="J751" t="s">
        <v>8</v>
      </c>
      <c r="K751" t="str">
        <f>VLOOKUP(tblSalaries[[#This Row],[Where do you work]],tblCountries[[Actual]:[Mapping]],2,FALSE)</f>
        <v>India</v>
      </c>
      <c r="L751" t="s">
        <v>13</v>
      </c>
      <c r="M751">
        <v>5</v>
      </c>
      <c r="N751" s="8" t="str">
        <f>VLOOKUP(K751,tblCountries[],3,0)</f>
        <v>Asia</v>
      </c>
      <c r="O751" s="8">
        <f>VLOOKUP(tblSalaries[[#This Row],[How many hours of a day you work on Excel]],tblHours,2,0)</f>
        <v>5</v>
      </c>
      <c r="P751" s="8">
        <f>VLOOKUP(tblSalaries[[#This Row],[clean Country]],tblCountries[],5,0)</f>
        <v>13.098808879263672</v>
      </c>
      <c r="Q751" s="8">
        <f>IF($Q$1,tblSalaries[[#This Row],[PPP Factor]]*tblSalaries[[#This Row],[Salary in USD]],tblSalaries[[#This Row],[Salary in USD]])</f>
        <v>12465.541681209797</v>
      </c>
    </row>
    <row r="752" spans="2:17" ht="15" customHeight="1" x14ac:dyDescent="0.25">
      <c r="B752" t="s">
        <v>2755</v>
      </c>
      <c r="C752" s="1">
        <v>41055.713055555556</v>
      </c>
      <c r="D752" s="4">
        <v>2000</v>
      </c>
      <c r="E752">
        <v>24000</v>
      </c>
      <c r="F752" t="s">
        <v>6</v>
      </c>
      <c r="G752">
        <f>tblSalaries[[#This Row],[clean Salary (in local currency)]]*VLOOKUP(tblSalaries[[#This Row],[Currency]],tblXrate[],2,FALSE)</f>
        <v>24000</v>
      </c>
      <c r="H752" t="s">
        <v>875</v>
      </c>
      <c r="I752" t="s">
        <v>20</v>
      </c>
      <c r="J752" t="s">
        <v>8</v>
      </c>
      <c r="K752" t="str">
        <f>VLOOKUP(tblSalaries[[#This Row],[Where do you work]],tblCountries[[Actual]:[Mapping]],2,FALSE)</f>
        <v>India</v>
      </c>
      <c r="L752" t="s">
        <v>18</v>
      </c>
      <c r="M752">
        <v>1</v>
      </c>
      <c r="N752" s="8" t="str">
        <f>VLOOKUP(K752,tblCountries[],3,0)</f>
        <v>Asia</v>
      </c>
      <c r="O752" s="8">
        <f>VLOOKUP(tblSalaries[[#This Row],[How many hours of a day you work on Excel]],tblHours,2,0)</f>
        <v>3</v>
      </c>
      <c r="P752" s="8">
        <f>VLOOKUP(tblSalaries[[#This Row],[clean Country]],tblCountries[],5,0)</f>
        <v>13.098808879263672</v>
      </c>
      <c r="Q752" s="8">
        <f>IF($Q$1,tblSalaries[[#This Row],[PPP Factor]]*tblSalaries[[#This Row],[Salary in USD]],tblSalaries[[#This Row],[Salary in USD]])</f>
        <v>24000</v>
      </c>
    </row>
    <row r="753" spans="2:17" ht="15" customHeight="1" x14ac:dyDescent="0.25">
      <c r="B753" t="s">
        <v>2756</v>
      </c>
      <c r="C753" s="1">
        <v>41055.713541666664</v>
      </c>
      <c r="D753" s="4">
        <v>20000</v>
      </c>
      <c r="E753">
        <v>20000</v>
      </c>
      <c r="F753" t="s">
        <v>6</v>
      </c>
      <c r="G753">
        <f>tblSalaries[[#This Row],[clean Salary (in local currency)]]*VLOOKUP(tblSalaries[[#This Row],[Currency]],tblXrate[],2,FALSE)</f>
        <v>20000</v>
      </c>
      <c r="H753" t="s">
        <v>876</v>
      </c>
      <c r="I753" t="s">
        <v>356</v>
      </c>
      <c r="J753" t="s">
        <v>877</v>
      </c>
      <c r="K753" t="str">
        <f>VLOOKUP(tblSalaries[[#This Row],[Where do you work]],tblCountries[[Actual]:[Mapping]],2,FALSE)</f>
        <v>Denmark</v>
      </c>
      <c r="L753" t="s">
        <v>18</v>
      </c>
      <c r="M753">
        <v>15</v>
      </c>
      <c r="N753" s="8" t="str">
        <f>VLOOKUP(K753,tblCountries[],3,0)</f>
        <v>Europe</v>
      </c>
      <c r="O753" s="8">
        <f>VLOOKUP(tblSalaries[[#This Row],[How many hours of a day you work on Excel]],tblHours,2,0)</f>
        <v>3</v>
      </c>
      <c r="P753" s="8">
        <f>VLOOKUP(tblSalaries[[#This Row],[clean Country]],tblCountries[],5,0)</f>
        <v>1.3024063307493541</v>
      </c>
      <c r="Q753" s="8">
        <f>IF($Q$1,tblSalaries[[#This Row],[PPP Factor]]*tblSalaries[[#This Row],[Salary in USD]],tblSalaries[[#This Row],[Salary in USD]])</f>
        <v>20000</v>
      </c>
    </row>
    <row r="754" spans="2:17" ht="15" customHeight="1" x14ac:dyDescent="0.25">
      <c r="B754" t="s">
        <v>2757</v>
      </c>
      <c r="C754" s="1">
        <v>41055.713993055557</v>
      </c>
      <c r="D754" s="4">
        <v>62000</v>
      </c>
      <c r="E754">
        <v>62000</v>
      </c>
      <c r="F754" t="s">
        <v>6</v>
      </c>
      <c r="G754">
        <f>tblSalaries[[#This Row],[clean Salary (in local currency)]]*VLOOKUP(tblSalaries[[#This Row],[Currency]],tblXrate[],2,FALSE)</f>
        <v>62000</v>
      </c>
      <c r="H754" t="s">
        <v>878</v>
      </c>
      <c r="I754" t="s">
        <v>20</v>
      </c>
      <c r="J754" t="s">
        <v>15</v>
      </c>
      <c r="K754" t="str">
        <f>VLOOKUP(tblSalaries[[#This Row],[Where do you work]],tblCountries[[Actual]:[Mapping]],2,FALSE)</f>
        <v>USA</v>
      </c>
      <c r="L754" t="s">
        <v>18</v>
      </c>
      <c r="M754">
        <v>20</v>
      </c>
      <c r="N754" s="8" t="str">
        <f>VLOOKUP(K754,tblCountries[],3,0)</f>
        <v>North Amer.</v>
      </c>
      <c r="O754" s="8">
        <f>VLOOKUP(tblSalaries[[#This Row],[How many hours of a day you work on Excel]],tblHours,2,0)</f>
        <v>3</v>
      </c>
      <c r="P754" s="8">
        <f>VLOOKUP(tblSalaries[[#This Row],[clean Country]],tblCountries[],5,0)</f>
        <v>1</v>
      </c>
      <c r="Q754" s="8">
        <f>IF($Q$1,tblSalaries[[#This Row],[PPP Factor]]*tblSalaries[[#This Row],[Salary in USD]],tblSalaries[[#This Row],[Salary in USD]])</f>
        <v>62000</v>
      </c>
    </row>
    <row r="755" spans="2:17" ht="15" customHeight="1" x14ac:dyDescent="0.25">
      <c r="B755" t="s">
        <v>2758</v>
      </c>
      <c r="C755" s="1">
        <v>41055.714861111112</v>
      </c>
      <c r="D755" s="4" t="s">
        <v>879</v>
      </c>
      <c r="E755">
        <v>14960</v>
      </c>
      <c r="F755" t="s">
        <v>6</v>
      </c>
      <c r="G755">
        <f>tblSalaries[[#This Row],[clean Salary (in local currency)]]*VLOOKUP(tblSalaries[[#This Row],[Currency]],tblXrate[],2,FALSE)</f>
        <v>14960</v>
      </c>
      <c r="H755" t="s">
        <v>880</v>
      </c>
      <c r="I755" t="s">
        <v>488</v>
      </c>
      <c r="J755" t="s">
        <v>133</v>
      </c>
      <c r="K755" t="str">
        <f>VLOOKUP(tblSalaries[[#This Row],[Where do you work]],tblCountries[[Actual]:[Mapping]],2,FALSE)</f>
        <v>Saudi Arabia</v>
      </c>
      <c r="L755" t="s">
        <v>13</v>
      </c>
      <c r="M755">
        <v>2</v>
      </c>
      <c r="N755" s="8" t="str">
        <f>VLOOKUP(K755,tblCountries[],3,0)</f>
        <v>Asia</v>
      </c>
      <c r="O755" s="8">
        <f>VLOOKUP(tblSalaries[[#This Row],[How many hours of a day you work on Excel]],tblHours,2,0)</f>
        <v>5</v>
      </c>
      <c r="P755" s="8">
        <f>VLOOKUP(tblSalaries[[#This Row],[clean Country]],tblCountries[],5,0)</f>
        <v>1.9964104468374799</v>
      </c>
      <c r="Q755" s="8">
        <f>IF($Q$1,tblSalaries[[#This Row],[PPP Factor]]*tblSalaries[[#This Row],[Salary in USD]],tblSalaries[[#This Row],[Salary in USD]])</f>
        <v>14960</v>
      </c>
    </row>
    <row r="756" spans="2:17" ht="15" customHeight="1" x14ac:dyDescent="0.25">
      <c r="B756" t="s">
        <v>2759</v>
      </c>
      <c r="C756" s="1">
        <v>41055.715509259258</v>
      </c>
      <c r="D756" s="4">
        <v>120000</v>
      </c>
      <c r="E756">
        <v>120000</v>
      </c>
      <c r="F756" t="s">
        <v>40</v>
      </c>
      <c r="G756">
        <f>tblSalaries[[#This Row],[clean Salary (in local currency)]]*VLOOKUP(tblSalaries[[#This Row],[Currency]],tblXrate[],2,FALSE)</f>
        <v>2136.9500024931081</v>
      </c>
      <c r="H756" t="s">
        <v>881</v>
      </c>
      <c r="I756" t="s">
        <v>310</v>
      </c>
      <c r="J756" t="s">
        <v>8</v>
      </c>
      <c r="K756" t="str">
        <f>VLOOKUP(tblSalaries[[#This Row],[Where do you work]],tblCountries[[Actual]:[Mapping]],2,FALSE)</f>
        <v>India</v>
      </c>
      <c r="L756" t="s">
        <v>18</v>
      </c>
      <c r="M756">
        <v>2</v>
      </c>
      <c r="N756" s="8" t="str">
        <f>VLOOKUP(K756,tblCountries[],3,0)</f>
        <v>Asia</v>
      </c>
      <c r="O756" s="8">
        <f>VLOOKUP(tblSalaries[[#This Row],[How many hours of a day you work on Excel]],tblHours,2,0)</f>
        <v>3</v>
      </c>
      <c r="P756" s="8">
        <f>VLOOKUP(tblSalaries[[#This Row],[clean Country]],tblCountries[],5,0)</f>
        <v>13.098808879263672</v>
      </c>
      <c r="Q756" s="8">
        <f>IF($Q$1,tblSalaries[[#This Row],[PPP Factor]]*tblSalaries[[#This Row],[Salary in USD]],tblSalaries[[#This Row],[Salary in USD]])</f>
        <v>2136.9500024931081</v>
      </c>
    </row>
    <row r="757" spans="2:17" ht="15" customHeight="1" x14ac:dyDescent="0.25">
      <c r="B757" t="s">
        <v>2760</v>
      </c>
      <c r="C757" s="1">
        <v>41055.725474537037</v>
      </c>
      <c r="D757" s="4">
        <v>30232</v>
      </c>
      <c r="E757">
        <v>30232</v>
      </c>
      <c r="F757" t="s">
        <v>6</v>
      </c>
      <c r="G757">
        <f>tblSalaries[[#This Row],[clean Salary (in local currency)]]*VLOOKUP(tblSalaries[[#This Row],[Currency]],tblXrate[],2,FALSE)</f>
        <v>30232</v>
      </c>
      <c r="H757" t="s">
        <v>882</v>
      </c>
      <c r="I757" t="s">
        <v>310</v>
      </c>
      <c r="J757" t="s">
        <v>883</v>
      </c>
      <c r="K757" t="str">
        <f>VLOOKUP(tblSalaries[[#This Row],[Where do you work]],tblCountries[[Actual]:[Mapping]],2,FALSE)</f>
        <v>USA</v>
      </c>
      <c r="L757" t="s">
        <v>18</v>
      </c>
      <c r="M757">
        <v>5</v>
      </c>
      <c r="N757" s="8" t="str">
        <f>VLOOKUP(K757,tblCountries[],3,0)</f>
        <v>North Amer.</v>
      </c>
      <c r="O757" s="8">
        <f>VLOOKUP(tblSalaries[[#This Row],[How many hours of a day you work on Excel]],tblHours,2,0)</f>
        <v>3</v>
      </c>
      <c r="P757" s="8">
        <f>VLOOKUP(tblSalaries[[#This Row],[clean Country]],tblCountries[],5,0)</f>
        <v>1</v>
      </c>
      <c r="Q757" s="8">
        <f>IF($Q$1,tblSalaries[[#This Row],[PPP Factor]]*tblSalaries[[#This Row],[Salary in USD]],tblSalaries[[#This Row],[Salary in USD]])</f>
        <v>30232</v>
      </c>
    </row>
    <row r="758" spans="2:17" ht="15" customHeight="1" x14ac:dyDescent="0.25">
      <c r="B758" t="s">
        <v>2761</v>
      </c>
      <c r="C758" s="1">
        <v>41055.725474537037</v>
      </c>
      <c r="D758" s="4">
        <v>41000</v>
      </c>
      <c r="E758">
        <v>41000</v>
      </c>
      <c r="F758" t="s">
        <v>6</v>
      </c>
      <c r="G758">
        <f>tblSalaries[[#This Row],[clean Salary (in local currency)]]*VLOOKUP(tblSalaries[[#This Row],[Currency]],tblXrate[],2,FALSE)</f>
        <v>41000</v>
      </c>
      <c r="H758" t="s">
        <v>207</v>
      </c>
      <c r="I758" t="s">
        <v>20</v>
      </c>
      <c r="J758" t="s">
        <v>15</v>
      </c>
      <c r="K758" t="str">
        <f>VLOOKUP(tblSalaries[[#This Row],[Where do you work]],tblCountries[[Actual]:[Mapping]],2,FALSE)</f>
        <v>USA</v>
      </c>
      <c r="L758" t="s">
        <v>13</v>
      </c>
      <c r="M758">
        <v>4</v>
      </c>
      <c r="N758" s="8" t="str">
        <f>VLOOKUP(K758,tblCountries[],3,0)</f>
        <v>North Amer.</v>
      </c>
      <c r="O758" s="8">
        <f>VLOOKUP(tblSalaries[[#This Row],[How many hours of a day you work on Excel]],tblHours,2,0)</f>
        <v>5</v>
      </c>
      <c r="P758" s="8">
        <f>VLOOKUP(tblSalaries[[#This Row],[clean Country]],tblCountries[],5,0)</f>
        <v>1</v>
      </c>
      <c r="Q758" s="8">
        <f>IF($Q$1,tblSalaries[[#This Row],[PPP Factor]]*tblSalaries[[#This Row],[Salary in USD]],tblSalaries[[#This Row],[Salary in USD]])</f>
        <v>41000</v>
      </c>
    </row>
    <row r="759" spans="2:17" ht="15" customHeight="1" x14ac:dyDescent="0.25">
      <c r="B759" t="s">
        <v>2762</v>
      </c>
      <c r="C759" s="1">
        <v>41055.730509259258</v>
      </c>
      <c r="D759" s="4" t="s">
        <v>884</v>
      </c>
      <c r="E759">
        <v>95000</v>
      </c>
      <c r="F759" t="s">
        <v>82</v>
      </c>
      <c r="G759">
        <f>tblSalaries[[#This Row],[clean Salary (in local currency)]]*VLOOKUP(tblSalaries[[#This Row],[Currency]],tblXrate[],2,FALSE)</f>
        <v>96891.417358250401</v>
      </c>
      <c r="H759" t="s">
        <v>885</v>
      </c>
      <c r="I759" t="s">
        <v>20</v>
      </c>
      <c r="J759" t="s">
        <v>84</v>
      </c>
      <c r="K759" t="str">
        <f>VLOOKUP(tblSalaries[[#This Row],[Where do you work]],tblCountries[[Actual]:[Mapping]],2,FALSE)</f>
        <v>Australia</v>
      </c>
      <c r="L759" t="s">
        <v>18</v>
      </c>
      <c r="M759">
        <v>11</v>
      </c>
      <c r="N759" s="8" t="str">
        <f>VLOOKUP(K759,tblCountries[],3,0)</f>
        <v>Oceania</v>
      </c>
      <c r="O759" s="8">
        <f>VLOOKUP(tblSalaries[[#This Row],[How many hours of a day you work on Excel]],tblHours,2,0)</f>
        <v>3</v>
      </c>
      <c r="P759" s="8">
        <f>VLOOKUP(tblSalaries[[#This Row],[clean Country]],tblCountries[],5,0)</f>
        <v>1.2026395585822935</v>
      </c>
      <c r="Q759" s="8">
        <f>IF($Q$1,tblSalaries[[#This Row],[PPP Factor]]*tblSalaries[[#This Row],[Salary in USD]],tblSalaries[[#This Row],[Salary in USD]])</f>
        <v>96891.417358250401</v>
      </c>
    </row>
    <row r="760" spans="2:17" ht="15" customHeight="1" x14ac:dyDescent="0.25">
      <c r="B760" t="s">
        <v>2763</v>
      </c>
      <c r="C760" s="1">
        <v>41055.739282407405</v>
      </c>
      <c r="D760" s="4" t="s">
        <v>886</v>
      </c>
      <c r="E760">
        <v>1200000</v>
      </c>
      <c r="F760" t="s">
        <v>40</v>
      </c>
      <c r="G760">
        <f>tblSalaries[[#This Row],[clean Salary (in local currency)]]*VLOOKUP(tblSalaries[[#This Row],[Currency]],tblXrate[],2,FALSE)</f>
        <v>21369.500024931083</v>
      </c>
      <c r="H760" t="s">
        <v>887</v>
      </c>
      <c r="I760" t="s">
        <v>52</v>
      </c>
      <c r="J760" t="s">
        <v>8</v>
      </c>
      <c r="K760" t="str">
        <f>VLOOKUP(tblSalaries[[#This Row],[Where do you work]],tblCountries[[Actual]:[Mapping]],2,FALSE)</f>
        <v>India</v>
      </c>
      <c r="L760" t="s">
        <v>13</v>
      </c>
      <c r="M760">
        <v>14</v>
      </c>
      <c r="N760" s="8" t="str">
        <f>VLOOKUP(K760,tblCountries[],3,0)</f>
        <v>Asia</v>
      </c>
      <c r="O760" s="8">
        <f>VLOOKUP(tblSalaries[[#This Row],[How many hours of a day you work on Excel]],tblHours,2,0)</f>
        <v>5</v>
      </c>
      <c r="P760" s="8">
        <f>VLOOKUP(tblSalaries[[#This Row],[clean Country]],tblCountries[],5,0)</f>
        <v>13.098808879263672</v>
      </c>
      <c r="Q760" s="8">
        <f>IF($Q$1,tblSalaries[[#This Row],[PPP Factor]]*tblSalaries[[#This Row],[Salary in USD]],tblSalaries[[#This Row],[Salary in USD]])</f>
        <v>21369.500024931083</v>
      </c>
    </row>
    <row r="761" spans="2:17" ht="15" customHeight="1" x14ac:dyDescent="0.25">
      <c r="B761" t="s">
        <v>2764</v>
      </c>
      <c r="C761" s="1">
        <v>41055.740972222222</v>
      </c>
      <c r="D761" s="4">
        <v>205000</v>
      </c>
      <c r="E761">
        <v>205000</v>
      </c>
      <c r="F761" t="s">
        <v>40</v>
      </c>
      <c r="G761">
        <f>tblSalaries[[#This Row],[clean Salary (in local currency)]]*VLOOKUP(tblSalaries[[#This Row],[Currency]],tblXrate[],2,FALSE)</f>
        <v>3650.6229209257262</v>
      </c>
      <c r="H761" t="s">
        <v>888</v>
      </c>
      <c r="I761" t="s">
        <v>310</v>
      </c>
      <c r="J761" t="s">
        <v>8</v>
      </c>
      <c r="K761" t="str">
        <f>VLOOKUP(tblSalaries[[#This Row],[Where do you work]],tblCountries[[Actual]:[Mapping]],2,FALSE)</f>
        <v>India</v>
      </c>
      <c r="L761" t="s">
        <v>13</v>
      </c>
      <c r="M761">
        <v>10</v>
      </c>
      <c r="N761" s="8" t="str">
        <f>VLOOKUP(K761,tblCountries[],3,0)</f>
        <v>Asia</v>
      </c>
      <c r="O761" s="8">
        <f>VLOOKUP(tblSalaries[[#This Row],[How many hours of a day you work on Excel]],tblHours,2,0)</f>
        <v>5</v>
      </c>
      <c r="P761" s="8">
        <f>VLOOKUP(tblSalaries[[#This Row],[clean Country]],tblCountries[],5,0)</f>
        <v>13.098808879263672</v>
      </c>
      <c r="Q761" s="8">
        <f>IF($Q$1,tblSalaries[[#This Row],[PPP Factor]]*tblSalaries[[#This Row],[Salary in USD]],tblSalaries[[#This Row],[Salary in USD]])</f>
        <v>3650.6229209257262</v>
      </c>
    </row>
    <row r="762" spans="2:17" ht="15" customHeight="1" x14ac:dyDescent="0.25">
      <c r="B762" t="s">
        <v>2765</v>
      </c>
      <c r="C762" s="1">
        <v>41055.741087962961</v>
      </c>
      <c r="D762" s="4" t="s">
        <v>889</v>
      </c>
      <c r="E762">
        <v>19068</v>
      </c>
      <c r="F762" t="s">
        <v>6</v>
      </c>
      <c r="G762">
        <f>tblSalaries[[#This Row],[clean Salary (in local currency)]]*VLOOKUP(tblSalaries[[#This Row],[Currency]],tblXrate[],2,FALSE)</f>
        <v>19068</v>
      </c>
      <c r="H762" t="s">
        <v>890</v>
      </c>
      <c r="I762" t="s">
        <v>310</v>
      </c>
      <c r="J762" t="s">
        <v>347</v>
      </c>
      <c r="K762" t="str">
        <f>VLOOKUP(tblSalaries[[#This Row],[Where do you work]],tblCountries[[Actual]:[Mapping]],2,FALSE)</f>
        <v>Philippines</v>
      </c>
      <c r="L762" t="s">
        <v>13</v>
      </c>
      <c r="M762">
        <v>20</v>
      </c>
      <c r="N762" s="8" t="str">
        <f>VLOOKUP(K762,tblCountries[],3,0)</f>
        <v>Asia</v>
      </c>
      <c r="O762" s="8">
        <f>VLOOKUP(tblSalaries[[#This Row],[How many hours of a day you work on Excel]],tblHours,2,0)</f>
        <v>5</v>
      </c>
      <c r="P762" s="8">
        <f>VLOOKUP(tblSalaries[[#This Row],[clean Country]],tblCountries[],5,0)</f>
        <v>11.879941075374417</v>
      </c>
      <c r="Q762" s="8">
        <f>IF($Q$1,tblSalaries[[#This Row],[PPP Factor]]*tblSalaries[[#This Row],[Salary in USD]],tblSalaries[[#This Row],[Salary in USD]])</f>
        <v>19068</v>
      </c>
    </row>
    <row r="763" spans="2:17" ht="15" customHeight="1" x14ac:dyDescent="0.25">
      <c r="B763" t="s">
        <v>2766</v>
      </c>
      <c r="C763" s="1">
        <v>41055.74255787037</v>
      </c>
      <c r="D763" s="4" t="s">
        <v>534</v>
      </c>
      <c r="E763">
        <v>300000</v>
      </c>
      <c r="F763" t="s">
        <v>40</v>
      </c>
      <c r="G763">
        <f>tblSalaries[[#This Row],[clean Salary (in local currency)]]*VLOOKUP(tblSalaries[[#This Row],[Currency]],tblXrate[],2,FALSE)</f>
        <v>5342.3750062327708</v>
      </c>
      <c r="H763" t="s">
        <v>891</v>
      </c>
      <c r="I763" t="s">
        <v>488</v>
      </c>
      <c r="J763" t="s">
        <v>8</v>
      </c>
      <c r="K763" t="str">
        <f>VLOOKUP(tblSalaries[[#This Row],[Where do you work]],tblCountries[[Actual]:[Mapping]],2,FALSE)</f>
        <v>India</v>
      </c>
      <c r="L763" t="s">
        <v>13</v>
      </c>
      <c r="M763">
        <v>4</v>
      </c>
      <c r="N763" s="8" t="str">
        <f>VLOOKUP(K763,tblCountries[],3,0)</f>
        <v>Asia</v>
      </c>
      <c r="O763" s="8">
        <f>VLOOKUP(tblSalaries[[#This Row],[How many hours of a day you work on Excel]],tblHours,2,0)</f>
        <v>5</v>
      </c>
      <c r="P763" s="8">
        <f>VLOOKUP(tblSalaries[[#This Row],[clean Country]],tblCountries[],5,0)</f>
        <v>13.098808879263672</v>
      </c>
      <c r="Q763" s="8">
        <f>IF($Q$1,tblSalaries[[#This Row],[PPP Factor]]*tblSalaries[[#This Row],[Salary in USD]],tblSalaries[[#This Row],[Salary in USD]])</f>
        <v>5342.3750062327708</v>
      </c>
    </row>
    <row r="764" spans="2:17" ht="15" customHeight="1" x14ac:dyDescent="0.25">
      <c r="B764" t="s">
        <v>2767</v>
      </c>
      <c r="C764" s="1">
        <v>41055.744062500002</v>
      </c>
      <c r="D764" s="4">
        <v>48000</v>
      </c>
      <c r="E764">
        <v>48000</v>
      </c>
      <c r="F764" t="s">
        <v>6</v>
      </c>
      <c r="G764">
        <f>tblSalaries[[#This Row],[clean Salary (in local currency)]]*VLOOKUP(tblSalaries[[#This Row],[Currency]],tblXrate[],2,FALSE)</f>
        <v>48000</v>
      </c>
      <c r="H764" t="s">
        <v>356</v>
      </c>
      <c r="I764" t="s">
        <v>356</v>
      </c>
      <c r="J764" t="s">
        <v>171</v>
      </c>
      <c r="K764" t="str">
        <f>VLOOKUP(tblSalaries[[#This Row],[Where do you work]],tblCountries[[Actual]:[Mapping]],2,FALSE)</f>
        <v>Singapore</v>
      </c>
      <c r="L764" t="s">
        <v>13</v>
      </c>
      <c r="M764">
        <v>3</v>
      </c>
      <c r="N764" s="8" t="str">
        <f>VLOOKUP(K764,tblCountries[],3,0)</f>
        <v>Asia</v>
      </c>
      <c r="O764" s="8">
        <f>VLOOKUP(tblSalaries[[#This Row],[How many hours of a day you work on Excel]],tblHours,2,0)</f>
        <v>5</v>
      </c>
      <c r="P764" s="8">
        <f>VLOOKUP(tblSalaries[[#This Row],[clean Country]],tblCountries[],5,0)</f>
        <v>0.81035320125270049</v>
      </c>
      <c r="Q764" s="8">
        <f>IF($Q$1,tblSalaries[[#This Row],[PPP Factor]]*tblSalaries[[#This Row],[Salary in USD]],tblSalaries[[#This Row],[Salary in USD]])</f>
        <v>48000</v>
      </c>
    </row>
    <row r="765" spans="2:17" ht="15" customHeight="1" x14ac:dyDescent="0.25">
      <c r="B765" t="s">
        <v>2768</v>
      </c>
      <c r="C765" s="1">
        <v>41055.763761574075</v>
      </c>
      <c r="D765" s="4" t="s">
        <v>892</v>
      </c>
      <c r="E765">
        <v>220000</v>
      </c>
      <c r="F765" t="s">
        <v>40</v>
      </c>
      <c r="G765">
        <f>tblSalaries[[#This Row],[clean Salary (in local currency)]]*VLOOKUP(tblSalaries[[#This Row],[Currency]],tblXrate[],2,FALSE)</f>
        <v>3917.7416712373652</v>
      </c>
      <c r="H765" t="s">
        <v>893</v>
      </c>
      <c r="I765" t="s">
        <v>279</v>
      </c>
      <c r="J765" t="s">
        <v>8</v>
      </c>
      <c r="K765" t="str">
        <f>VLOOKUP(tblSalaries[[#This Row],[Where do you work]],tblCountries[[Actual]:[Mapping]],2,FALSE)</f>
        <v>India</v>
      </c>
      <c r="L765" t="s">
        <v>9</v>
      </c>
      <c r="M765">
        <v>2</v>
      </c>
      <c r="N765" s="8" t="str">
        <f>VLOOKUP(K765,tblCountries[],3,0)</f>
        <v>Asia</v>
      </c>
      <c r="O765" s="8">
        <f>VLOOKUP(tblSalaries[[#This Row],[How many hours of a day you work on Excel]],tblHours,2,0)</f>
        <v>4</v>
      </c>
      <c r="P765" s="8">
        <f>VLOOKUP(tblSalaries[[#This Row],[clean Country]],tblCountries[],5,0)</f>
        <v>13.098808879263672</v>
      </c>
      <c r="Q765" s="8">
        <f>IF($Q$1,tblSalaries[[#This Row],[PPP Factor]]*tblSalaries[[#This Row],[Salary in USD]],tblSalaries[[#This Row],[Salary in USD]])</f>
        <v>3917.7416712373652</v>
      </c>
    </row>
    <row r="766" spans="2:17" ht="15" customHeight="1" x14ac:dyDescent="0.25">
      <c r="B766" t="s">
        <v>2769</v>
      </c>
      <c r="C766" s="1">
        <v>41055.770208333335</v>
      </c>
      <c r="D766" s="4">
        <v>13500</v>
      </c>
      <c r="E766">
        <v>13500</v>
      </c>
      <c r="F766" t="s">
        <v>6</v>
      </c>
      <c r="G766">
        <f>tblSalaries[[#This Row],[clean Salary (in local currency)]]*VLOOKUP(tblSalaries[[#This Row],[Currency]],tblXrate[],2,FALSE)</f>
        <v>13500</v>
      </c>
      <c r="H766" t="s">
        <v>360</v>
      </c>
      <c r="I766" t="s">
        <v>3999</v>
      </c>
      <c r="J766" t="s">
        <v>8</v>
      </c>
      <c r="K766" t="str">
        <f>VLOOKUP(tblSalaries[[#This Row],[Where do you work]],tblCountries[[Actual]:[Mapping]],2,FALSE)</f>
        <v>India</v>
      </c>
      <c r="L766" t="s">
        <v>13</v>
      </c>
      <c r="M766">
        <v>2.5</v>
      </c>
      <c r="N766" s="8" t="str">
        <f>VLOOKUP(K766,tblCountries[],3,0)</f>
        <v>Asia</v>
      </c>
      <c r="O766" s="8">
        <f>VLOOKUP(tblSalaries[[#This Row],[How many hours of a day you work on Excel]],tblHours,2,0)</f>
        <v>5</v>
      </c>
      <c r="P766" s="8">
        <f>VLOOKUP(tblSalaries[[#This Row],[clean Country]],tblCountries[],5,0)</f>
        <v>13.098808879263672</v>
      </c>
      <c r="Q766" s="8">
        <f>IF($Q$1,tblSalaries[[#This Row],[PPP Factor]]*tblSalaries[[#This Row],[Salary in USD]],tblSalaries[[#This Row],[Salary in USD]])</f>
        <v>13500</v>
      </c>
    </row>
    <row r="767" spans="2:17" ht="15" customHeight="1" x14ac:dyDescent="0.25">
      <c r="B767" t="s">
        <v>2770</v>
      </c>
      <c r="C767" s="1">
        <v>41055.774537037039</v>
      </c>
      <c r="D767" s="4" t="s">
        <v>894</v>
      </c>
      <c r="E767">
        <v>45000</v>
      </c>
      <c r="F767" t="s">
        <v>6</v>
      </c>
      <c r="G767">
        <f>tblSalaries[[#This Row],[clean Salary (in local currency)]]*VLOOKUP(tblSalaries[[#This Row],[Currency]],tblXrate[],2,FALSE)</f>
        <v>45000</v>
      </c>
      <c r="H767" t="s">
        <v>49</v>
      </c>
      <c r="I767" t="s">
        <v>52</v>
      </c>
      <c r="J767" t="s">
        <v>8</v>
      </c>
      <c r="K767" t="str">
        <f>VLOOKUP(tblSalaries[[#This Row],[Where do you work]],tblCountries[[Actual]:[Mapping]],2,FALSE)</f>
        <v>India</v>
      </c>
      <c r="L767" t="s">
        <v>25</v>
      </c>
      <c r="M767">
        <v>15</v>
      </c>
      <c r="N767" s="8" t="str">
        <f>VLOOKUP(K767,tblCountries[],3,0)</f>
        <v>Asia</v>
      </c>
      <c r="O767" s="8">
        <f>VLOOKUP(tblSalaries[[#This Row],[How many hours of a day you work on Excel]],tblHours,2,0)</f>
        <v>2</v>
      </c>
      <c r="P767" s="8">
        <f>VLOOKUP(tblSalaries[[#This Row],[clean Country]],tblCountries[],5,0)</f>
        <v>13.098808879263672</v>
      </c>
      <c r="Q767" s="8">
        <f>IF($Q$1,tblSalaries[[#This Row],[PPP Factor]]*tblSalaries[[#This Row],[Salary in USD]],tblSalaries[[#This Row],[Salary in USD]])</f>
        <v>45000</v>
      </c>
    </row>
    <row r="768" spans="2:17" ht="15" customHeight="1" x14ac:dyDescent="0.25">
      <c r="B768" t="s">
        <v>2771</v>
      </c>
      <c r="C768" s="1">
        <v>41055.776863425926</v>
      </c>
      <c r="D768" s="4">
        <v>55000</v>
      </c>
      <c r="E768">
        <v>55000</v>
      </c>
      <c r="F768" t="s">
        <v>22</v>
      </c>
      <c r="G768">
        <f>tblSalaries[[#This Row],[clean Salary (in local currency)]]*VLOOKUP(tblSalaries[[#This Row],[Currency]],tblXrate[],2,FALSE)</f>
        <v>69871.969144538423</v>
      </c>
      <c r="H768" t="s">
        <v>29</v>
      </c>
      <c r="I768" t="s">
        <v>4001</v>
      </c>
      <c r="J768" t="s">
        <v>895</v>
      </c>
      <c r="K768" t="str">
        <f>VLOOKUP(tblSalaries[[#This Row],[Where do you work]],tblCountries[[Actual]:[Mapping]],2,FALSE)</f>
        <v>italy</v>
      </c>
      <c r="L768" t="s">
        <v>18</v>
      </c>
      <c r="M768">
        <v>18</v>
      </c>
      <c r="N768" s="8" t="str">
        <f>VLOOKUP(K768,tblCountries[],3,0)</f>
        <v>Europe</v>
      </c>
      <c r="O768" s="8">
        <f>VLOOKUP(tblSalaries[[#This Row],[How many hours of a day you work on Excel]],tblHours,2,0)</f>
        <v>3</v>
      </c>
      <c r="P768" s="8">
        <f>VLOOKUP(tblSalaries[[#This Row],[clean Country]],tblCountries[],5,0)</f>
        <v>1.5883337710084033</v>
      </c>
      <c r="Q768" s="8">
        <f>IF($Q$1,tblSalaries[[#This Row],[PPP Factor]]*tblSalaries[[#This Row],[Salary in USD]],tblSalaries[[#This Row],[Salary in USD]])</f>
        <v>69871.969144538423</v>
      </c>
    </row>
    <row r="769" spans="2:17" ht="15" customHeight="1" x14ac:dyDescent="0.25">
      <c r="B769" t="s">
        <v>2772</v>
      </c>
      <c r="C769" s="1">
        <v>41055.778831018521</v>
      </c>
      <c r="D769" s="4" t="s">
        <v>896</v>
      </c>
      <c r="E769">
        <v>480000</v>
      </c>
      <c r="F769" t="s">
        <v>40</v>
      </c>
      <c r="G769">
        <f>tblSalaries[[#This Row],[clean Salary (in local currency)]]*VLOOKUP(tblSalaries[[#This Row],[Currency]],tblXrate[],2,FALSE)</f>
        <v>8547.8000099724322</v>
      </c>
      <c r="H769" t="s">
        <v>897</v>
      </c>
      <c r="I769" t="s">
        <v>52</v>
      </c>
      <c r="J769" t="s">
        <v>8</v>
      </c>
      <c r="K769" t="str">
        <f>VLOOKUP(tblSalaries[[#This Row],[Where do you work]],tblCountries[[Actual]:[Mapping]],2,FALSE)</f>
        <v>India</v>
      </c>
      <c r="L769" t="s">
        <v>9</v>
      </c>
      <c r="M769">
        <v>11</v>
      </c>
      <c r="N769" s="8" t="str">
        <f>VLOOKUP(K769,tblCountries[],3,0)</f>
        <v>Asia</v>
      </c>
      <c r="O769" s="8">
        <f>VLOOKUP(tblSalaries[[#This Row],[How many hours of a day you work on Excel]],tblHours,2,0)</f>
        <v>4</v>
      </c>
      <c r="P769" s="8">
        <f>VLOOKUP(tblSalaries[[#This Row],[clean Country]],tblCountries[],5,0)</f>
        <v>13.098808879263672</v>
      </c>
      <c r="Q769" s="8">
        <f>IF($Q$1,tblSalaries[[#This Row],[PPP Factor]]*tblSalaries[[#This Row],[Salary in USD]],tblSalaries[[#This Row],[Salary in USD]])</f>
        <v>8547.8000099724322</v>
      </c>
    </row>
    <row r="770" spans="2:17" ht="15" customHeight="1" x14ac:dyDescent="0.25">
      <c r="B770" t="s">
        <v>2773</v>
      </c>
      <c r="C770" s="1">
        <v>41055.780555555553</v>
      </c>
      <c r="D770" s="4" t="s">
        <v>898</v>
      </c>
      <c r="E770">
        <v>33600</v>
      </c>
      <c r="F770" t="s">
        <v>358</v>
      </c>
      <c r="G770">
        <f>tblSalaries[[#This Row],[clean Salary (in local currency)]]*VLOOKUP(tblSalaries[[#This Row],[Currency]],tblXrate[],2,FALSE)</f>
        <v>9146.5655463031271</v>
      </c>
      <c r="H770" t="s">
        <v>310</v>
      </c>
      <c r="I770" t="s">
        <v>310</v>
      </c>
      <c r="J770" t="s">
        <v>359</v>
      </c>
      <c r="K770" t="str">
        <f>VLOOKUP(tblSalaries[[#This Row],[Where do you work]],tblCountries[[Actual]:[Mapping]],2,FALSE)</f>
        <v>Dubai</v>
      </c>
      <c r="L770" t="s">
        <v>25</v>
      </c>
      <c r="M770">
        <v>7</v>
      </c>
      <c r="N770" s="8" t="str">
        <f>VLOOKUP(K770,tblCountries[],3,0)</f>
        <v>Asia</v>
      </c>
      <c r="O770" s="8">
        <f>VLOOKUP(tblSalaries[[#This Row],[How many hours of a day you work on Excel]],tblHours,2,0)</f>
        <v>2</v>
      </c>
      <c r="P770" s="8">
        <f>VLOOKUP(tblSalaries[[#This Row],[clean Country]],tblCountries[],5,0)</f>
        <v>1</v>
      </c>
      <c r="Q770" s="8">
        <f>IF($Q$1,tblSalaries[[#This Row],[PPP Factor]]*tblSalaries[[#This Row],[Salary in USD]],tblSalaries[[#This Row],[Salary in USD]])</f>
        <v>9146.5655463031271</v>
      </c>
    </row>
    <row r="771" spans="2:17" ht="15" customHeight="1" x14ac:dyDescent="0.25">
      <c r="B771" t="s">
        <v>2774</v>
      </c>
      <c r="C771" s="1">
        <v>41055.789490740739</v>
      </c>
      <c r="D771" s="4">
        <v>570000</v>
      </c>
      <c r="E771">
        <v>570000</v>
      </c>
      <c r="F771" t="s">
        <v>40</v>
      </c>
      <c r="G771">
        <f>tblSalaries[[#This Row],[clean Salary (in local currency)]]*VLOOKUP(tblSalaries[[#This Row],[Currency]],tblXrate[],2,FALSE)</f>
        <v>10150.512511842264</v>
      </c>
      <c r="H771" t="s">
        <v>20</v>
      </c>
      <c r="I771" t="s">
        <v>20</v>
      </c>
      <c r="J771" t="s">
        <v>8</v>
      </c>
      <c r="K771" t="str">
        <f>VLOOKUP(tblSalaries[[#This Row],[Where do you work]],tblCountries[[Actual]:[Mapping]],2,FALSE)</f>
        <v>India</v>
      </c>
      <c r="L771" t="s">
        <v>13</v>
      </c>
      <c r="M771">
        <v>2.4</v>
      </c>
      <c r="N771" s="8" t="str">
        <f>VLOOKUP(K771,tblCountries[],3,0)</f>
        <v>Asia</v>
      </c>
      <c r="O771" s="8">
        <f>VLOOKUP(tblSalaries[[#This Row],[How many hours of a day you work on Excel]],tblHours,2,0)</f>
        <v>5</v>
      </c>
      <c r="P771" s="8">
        <f>VLOOKUP(tblSalaries[[#This Row],[clean Country]],tblCountries[],5,0)</f>
        <v>13.098808879263672</v>
      </c>
      <c r="Q771" s="8">
        <f>IF($Q$1,tblSalaries[[#This Row],[PPP Factor]]*tblSalaries[[#This Row],[Salary in USD]],tblSalaries[[#This Row],[Salary in USD]])</f>
        <v>10150.512511842264</v>
      </c>
    </row>
    <row r="772" spans="2:17" ht="15" customHeight="1" x14ac:dyDescent="0.25">
      <c r="B772" t="s">
        <v>2775</v>
      </c>
      <c r="C772" s="1">
        <v>41055.797164351854</v>
      </c>
      <c r="D772" s="4">
        <v>636000</v>
      </c>
      <c r="E772">
        <v>636000</v>
      </c>
      <c r="F772" t="s">
        <v>40</v>
      </c>
      <c r="G772">
        <f>tblSalaries[[#This Row],[clean Salary (in local currency)]]*VLOOKUP(tblSalaries[[#This Row],[Currency]],tblXrate[],2,FALSE)</f>
        <v>11325.835013213473</v>
      </c>
      <c r="H772" t="s">
        <v>564</v>
      </c>
      <c r="I772" t="s">
        <v>52</v>
      </c>
      <c r="J772" t="s">
        <v>8</v>
      </c>
      <c r="K772" t="str">
        <f>VLOOKUP(tblSalaries[[#This Row],[Where do you work]],tblCountries[[Actual]:[Mapping]],2,FALSE)</f>
        <v>India</v>
      </c>
      <c r="L772" t="s">
        <v>9</v>
      </c>
      <c r="M772">
        <v>7</v>
      </c>
      <c r="N772" s="8" t="str">
        <f>VLOOKUP(K772,tblCountries[],3,0)</f>
        <v>Asia</v>
      </c>
      <c r="O772" s="8">
        <f>VLOOKUP(tblSalaries[[#This Row],[How many hours of a day you work on Excel]],tblHours,2,0)</f>
        <v>4</v>
      </c>
      <c r="P772" s="8">
        <f>VLOOKUP(tblSalaries[[#This Row],[clean Country]],tblCountries[],5,0)</f>
        <v>13.098808879263672</v>
      </c>
      <c r="Q772" s="8">
        <f>IF($Q$1,tblSalaries[[#This Row],[PPP Factor]]*tblSalaries[[#This Row],[Salary in USD]],tblSalaries[[#This Row],[Salary in USD]])</f>
        <v>11325.835013213473</v>
      </c>
    </row>
    <row r="773" spans="2:17" ht="15" customHeight="1" x14ac:dyDescent="0.25">
      <c r="B773" t="s">
        <v>2776</v>
      </c>
      <c r="C773" s="1">
        <v>41055.801145833335</v>
      </c>
      <c r="D773" s="4" t="s">
        <v>899</v>
      </c>
      <c r="E773">
        <v>180000</v>
      </c>
      <c r="F773" t="s">
        <v>32</v>
      </c>
      <c r="G773">
        <f>tblSalaries[[#This Row],[clean Salary (in local currency)]]*VLOOKUP(tblSalaries[[#This Row],[Currency]],tblXrate[],2,FALSE)</f>
        <v>1910.5359690238436</v>
      </c>
      <c r="H773" t="s">
        <v>900</v>
      </c>
      <c r="I773" t="s">
        <v>3999</v>
      </c>
      <c r="J773" t="s">
        <v>17</v>
      </c>
      <c r="K773" t="str">
        <f>VLOOKUP(tblSalaries[[#This Row],[Where do you work]],tblCountries[[Actual]:[Mapping]],2,FALSE)</f>
        <v>Pakistan</v>
      </c>
      <c r="L773" t="s">
        <v>13</v>
      </c>
      <c r="M773">
        <v>7</v>
      </c>
      <c r="N773" s="8" t="str">
        <f>VLOOKUP(K773,tblCountries[],3,0)</f>
        <v>Asia</v>
      </c>
      <c r="O773" s="8">
        <f>VLOOKUP(tblSalaries[[#This Row],[How many hours of a day you work on Excel]],tblHours,2,0)</f>
        <v>5</v>
      </c>
      <c r="P773" s="8">
        <f>VLOOKUP(tblSalaries[[#This Row],[clean Country]],tblCountries[],5,0)</f>
        <v>17.361679224973088</v>
      </c>
      <c r="Q773" s="8">
        <f>IF($Q$1,tblSalaries[[#This Row],[PPP Factor]]*tblSalaries[[#This Row],[Salary in USD]],tblSalaries[[#This Row],[Salary in USD]])</f>
        <v>1910.5359690238436</v>
      </c>
    </row>
    <row r="774" spans="2:17" ht="15" customHeight="1" x14ac:dyDescent="0.25">
      <c r="B774" t="s">
        <v>2777</v>
      </c>
      <c r="C774" s="1">
        <v>41055.807557870372</v>
      </c>
      <c r="D774" s="4" t="s">
        <v>901</v>
      </c>
      <c r="E774">
        <v>36000</v>
      </c>
      <c r="F774" t="s">
        <v>6</v>
      </c>
      <c r="G774">
        <f>tblSalaries[[#This Row],[clean Salary (in local currency)]]*VLOOKUP(tblSalaries[[#This Row],[Currency]],tblXrate[],2,FALSE)</f>
        <v>36000</v>
      </c>
      <c r="H774" t="s">
        <v>902</v>
      </c>
      <c r="I774" t="s">
        <v>52</v>
      </c>
      <c r="J774" t="s">
        <v>84</v>
      </c>
      <c r="K774" t="str">
        <f>VLOOKUP(tblSalaries[[#This Row],[Where do you work]],tblCountries[[Actual]:[Mapping]],2,FALSE)</f>
        <v>Australia</v>
      </c>
      <c r="L774" t="s">
        <v>18</v>
      </c>
      <c r="M774">
        <v>12</v>
      </c>
      <c r="N774" s="8" t="str">
        <f>VLOOKUP(K774,tblCountries[],3,0)</f>
        <v>Oceania</v>
      </c>
      <c r="O774" s="8">
        <f>VLOOKUP(tblSalaries[[#This Row],[How many hours of a day you work on Excel]],tblHours,2,0)</f>
        <v>3</v>
      </c>
      <c r="P774" s="8">
        <f>VLOOKUP(tblSalaries[[#This Row],[clean Country]],tblCountries[],5,0)</f>
        <v>1.2026395585822935</v>
      </c>
      <c r="Q774" s="8">
        <f>IF($Q$1,tblSalaries[[#This Row],[PPP Factor]]*tblSalaries[[#This Row],[Salary in USD]],tblSalaries[[#This Row],[Salary in USD]])</f>
        <v>36000</v>
      </c>
    </row>
    <row r="775" spans="2:17" ht="15" customHeight="1" x14ac:dyDescent="0.25">
      <c r="B775" t="s">
        <v>2778</v>
      </c>
      <c r="C775" s="1">
        <v>41055.812071759261</v>
      </c>
      <c r="D775" s="4" t="s">
        <v>903</v>
      </c>
      <c r="E775">
        <v>2250000</v>
      </c>
      <c r="F775" t="s">
        <v>40</v>
      </c>
      <c r="G775">
        <f>tblSalaries[[#This Row],[clean Salary (in local currency)]]*VLOOKUP(tblSalaries[[#This Row],[Currency]],tblXrate[],2,FALSE)</f>
        <v>40067.812546745779</v>
      </c>
      <c r="H775" t="s">
        <v>904</v>
      </c>
      <c r="I775" t="s">
        <v>310</v>
      </c>
      <c r="J775" t="s">
        <v>8</v>
      </c>
      <c r="K775" t="str">
        <f>VLOOKUP(tblSalaries[[#This Row],[Where do you work]],tblCountries[[Actual]:[Mapping]],2,FALSE)</f>
        <v>India</v>
      </c>
      <c r="L775" t="s">
        <v>25</v>
      </c>
      <c r="M775">
        <v>5</v>
      </c>
      <c r="N775" s="8" t="str">
        <f>VLOOKUP(K775,tblCountries[],3,0)</f>
        <v>Asia</v>
      </c>
      <c r="O775" s="8">
        <f>VLOOKUP(tblSalaries[[#This Row],[How many hours of a day you work on Excel]],tblHours,2,0)</f>
        <v>2</v>
      </c>
      <c r="P775" s="8">
        <f>VLOOKUP(tblSalaries[[#This Row],[clean Country]],tblCountries[],5,0)</f>
        <v>13.098808879263672</v>
      </c>
      <c r="Q775" s="8">
        <f>IF($Q$1,tblSalaries[[#This Row],[PPP Factor]]*tblSalaries[[#This Row],[Salary in USD]],tblSalaries[[#This Row],[Salary in USD]])</f>
        <v>40067.812546745779</v>
      </c>
    </row>
    <row r="776" spans="2:17" ht="15" customHeight="1" x14ac:dyDescent="0.25">
      <c r="B776" t="s">
        <v>2779</v>
      </c>
      <c r="C776" s="1">
        <v>41055.812199074076</v>
      </c>
      <c r="D776" s="4">
        <v>16000</v>
      </c>
      <c r="E776">
        <v>16000</v>
      </c>
      <c r="F776" t="s">
        <v>6</v>
      </c>
      <c r="G776">
        <f>tblSalaries[[#This Row],[clean Salary (in local currency)]]*VLOOKUP(tblSalaries[[#This Row],[Currency]],tblXrate[],2,FALSE)</f>
        <v>16000</v>
      </c>
      <c r="H776" t="s">
        <v>905</v>
      </c>
      <c r="I776" t="s">
        <v>3999</v>
      </c>
      <c r="J776" t="s">
        <v>8</v>
      </c>
      <c r="K776" t="str">
        <f>VLOOKUP(tblSalaries[[#This Row],[Where do you work]],tblCountries[[Actual]:[Mapping]],2,FALSE)</f>
        <v>India</v>
      </c>
      <c r="L776" t="s">
        <v>13</v>
      </c>
      <c r="M776">
        <v>1</v>
      </c>
      <c r="N776" s="8" t="str">
        <f>VLOOKUP(K776,tblCountries[],3,0)</f>
        <v>Asia</v>
      </c>
      <c r="O776" s="8">
        <f>VLOOKUP(tblSalaries[[#This Row],[How many hours of a day you work on Excel]],tblHours,2,0)</f>
        <v>5</v>
      </c>
      <c r="P776" s="8">
        <f>VLOOKUP(tblSalaries[[#This Row],[clean Country]],tblCountries[],5,0)</f>
        <v>13.098808879263672</v>
      </c>
      <c r="Q776" s="8">
        <f>IF($Q$1,tblSalaries[[#This Row],[PPP Factor]]*tblSalaries[[#This Row],[Salary in USD]],tblSalaries[[#This Row],[Salary in USD]])</f>
        <v>16000</v>
      </c>
    </row>
    <row r="777" spans="2:17" ht="15" customHeight="1" x14ac:dyDescent="0.25">
      <c r="B777" t="s">
        <v>2780</v>
      </c>
      <c r="C777" s="1">
        <v>41055.815416666665</v>
      </c>
      <c r="D777" s="4">
        <v>240000</v>
      </c>
      <c r="E777">
        <v>240000</v>
      </c>
      <c r="F777" t="s">
        <v>40</v>
      </c>
      <c r="G777">
        <f>tblSalaries[[#This Row],[clean Salary (in local currency)]]*VLOOKUP(tblSalaries[[#This Row],[Currency]],tblXrate[],2,FALSE)</f>
        <v>4273.9000049862161</v>
      </c>
      <c r="H777" t="s">
        <v>20</v>
      </c>
      <c r="I777" t="s">
        <v>20</v>
      </c>
      <c r="J777" t="s">
        <v>8</v>
      </c>
      <c r="K777" t="str">
        <f>VLOOKUP(tblSalaries[[#This Row],[Where do you work]],tblCountries[[Actual]:[Mapping]],2,FALSE)</f>
        <v>India</v>
      </c>
      <c r="L777" t="s">
        <v>13</v>
      </c>
      <c r="M777">
        <v>4</v>
      </c>
      <c r="N777" s="8" t="str">
        <f>VLOOKUP(K777,tblCountries[],3,0)</f>
        <v>Asia</v>
      </c>
      <c r="O777" s="8">
        <f>VLOOKUP(tblSalaries[[#This Row],[How many hours of a day you work on Excel]],tblHours,2,0)</f>
        <v>5</v>
      </c>
      <c r="P777" s="8">
        <f>VLOOKUP(tblSalaries[[#This Row],[clean Country]],tblCountries[],5,0)</f>
        <v>13.098808879263672</v>
      </c>
      <c r="Q777" s="8">
        <f>IF($Q$1,tblSalaries[[#This Row],[PPP Factor]]*tblSalaries[[#This Row],[Salary in USD]],tblSalaries[[#This Row],[Salary in USD]])</f>
        <v>4273.9000049862161</v>
      </c>
    </row>
    <row r="778" spans="2:17" ht="15" customHeight="1" x14ac:dyDescent="0.25">
      <c r="B778" t="s">
        <v>2781</v>
      </c>
      <c r="C778" s="1">
        <v>41055.821944444448</v>
      </c>
      <c r="D778" s="4" t="s">
        <v>906</v>
      </c>
      <c r="E778">
        <v>400000</v>
      </c>
      <c r="F778" t="s">
        <v>40</v>
      </c>
      <c r="G778">
        <f>tblSalaries[[#This Row],[clean Salary (in local currency)]]*VLOOKUP(tblSalaries[[#This Row],[Currency]],tblXrate[],2,FALSE)</f>
        <v>7123.1666749770275</v>
      </c>
      <c r="H778" t="s">
        <v>622</v>
      </c>
      <c r="I778" t="s">
        <v>52</v>
      </c>
      <c r="J778" t="s">
        <v>8</v>
      </c>
      <c r="K778" t="str">
        <f>VLOOKUP(tblSalaries[[#This Row],[Where do you work]],tblCountries[[Actual]:[Mapping]],2,FALSE)</f>
        <v>India</v>
      </c>
      <c r="L778" t="s">
        <v>9</v>
      </c>
      <c r="M778">
        <v>7</v>
      </c>
      <c r="N778" s="8" t="str">
        <f>VLOOKUP(K778,tblCountries[],3,0)</f>
        <v>Asia</v>
      </c>
      <c r="O778" s="8">
        <f>VLOOKUP(tblSalaries[[#This Row],[How many hours of a day you work on Excel]],tblHours,2,0)</f>
        <v>4</v>
      </c>
      <c r="P778" s="8">
        <f>VLOOKUP(tblSalaries[[#This Row],[clean Country]],tblCountries[],5,0)</f>
        <v>13.098808879263672</v>
      </c>
      <c r="Q778" s="8">
        <f>IF($Q$1,tblSalaries[[#This Row],[PPP Factor]]*tblSalaries[[#This Row],[Salary in USD]],tblSalaries[[#This Row],[Salary in USD]])</f>
        <v>7123.1666749770275</v>
      </c>
    </row>
    <row r="779" spans="2:17" ht="15" customHeight="1" x14ac:dyDescent="0.25">
      <c r="B779" t="s">
        <v>2782</v>
      </c>
      <c r="C779" s="1">
        <v>41055.839131944442</v>
      </c>
      <c r="D779" s="4">
        <v>10000</v>
      </c>
      <c r="E779">
        <v>10000</v>
      </c>
      <c r="F779" t="s">
        <v>6</v>
      </c>
      <c r="G779">
        <f>tblSalaries[[#This Row],[clean Salary (in local currency)]]*VLOOKUP(tblSalaries[[#This Row],[Currency]],tblXrate[],2,FALSE)</f>
        <v>10000</v>
      </c>
      <c r="H779" t="s">
        <v>907</v>
      </c>
      <c r="I779" t="s">
        <v>52</v>
      </c>
      <c r="J779" t="s">
        <v>8</v>
      </c>
      <c r="K779" t="str">
        <f>VLOOKUP(tblSalaries[[#This Row],[Where do you work]],tblCountries[[Actual]:[Mapping]],2,FALSE)</f>
        <v>India</v>
      </c>
      <c r="L779" t="s">
        <v>25</v>
      </c>
      <c r="M779">
        <v>12</v>
      </c>
      <c r="N779" s="8" t="str">
        <f>VLOOKUP(K779,tblCountries[],3,0)</f>
        <v>Asia</v>
      </c>
      <c r="O779" s="8">
        <f>VLOOKUP(tblSalaries[[#This Row],[How many hours of a day you work on Excel]],tblHours,2,0)</f>
        <v>2</v>
      </c>
      <c r="P779" s="8">
        <f>VLOOKUP(tblSalaries[[#This Row],[clean Country]],tblCountries[],5,0)</f>
        <v>13.098808879263672</v>
      </c>
      <c r="Q779" s="8">
        <f>IF($Q$1,tblSalaries[[#This Row],[PPP Factor]]*tblSalaries[[#This Row],[Salary in USD]],tblSalaries[[#This Row],[Salary in USD]])</f>
        <v>10000</v>
      </c>
    </row>
    <row r="780" spans="2:17" ht="15" customHeight="1" x14ac:dyDescent="0.25">
      <c r="B780" t="s">
        <v>2783</v>
      </c>
      <c r="C780" s="1">
        <v>41055.844768518517</v>
      </c>
      <c r="D780" s="4" t="s">
        <v>908</v>
      </c>
      <c r="E780">
        <v>66000</v>
      </c>
      <c r="F780" t="s">
        <v>86</v>
      </c>
      <c r="G780">
        <f>tblSalaries[[#This Row],[clean Salary (in local currency)]]*VLOOKUP(tblSalaries[[#This Row],[Currency]],tblXrate[],2,FALSE)</f>
        <v>64901.860520001574</v>
      </c>
      <c r="H780" t="s">
        <v>909</v>
      </c>
      <c r="I780" t="s">
        <v>20</v>
      </c>
      <c r="J780" t="s">
        <v>88</v>
      </c>
      <c r="K780" t="str">
        <f>VLOOKUP(tblSalaries[[#This Row],[Where do you work]],tblCountries[[Actual]:[Mapping]],2,FALSE)</f>
        <v>Canada</v>
      </c>
      <c r="L780" t="s">
        <v>18</v>
      </c>
      <c r="M780">
        <v>20</v>
      </c>
      <c r="N780" s="8" t="str">
        <f>VLOOKUP(K780,tblCountries[],3,0)</f>
        <v>North Amer.</v>
      </c>
      <c r="O780" s="8">
        <f>VLOOKUP(tblSalaries[[#This Row],[How many hours of a day you work on Excel]],tblHours,2,0)</f>
        <v>3</v>
      </c>
      <c r="P780" s="8">
        <f>VLOOKUP(tblSalaries[[#This Row],[clean Country]],tblCountries[],5,0)</f>
        <v>1.1935324732986359</v>
      </c>
      <c r="Q780" s="8">
        <f>IF($Q$1,tblSalaries[[#This Row],[PPP Factor]]*tblSalaries[[#This Row],[Salary in USD]],tblSalaries[[#This Row],[Salary in USD]])</f>
        <v>64901.860520001574</v>
      </c>
    </row>
    <row r="781" spans="2:17" ht="15" customHeight="1" x14ac:dyDescent="0.25">
      <c r="B781" t="s">
        <v>2784</v>
      </c>
      <c r="C781" s="1">
        <v>41055.846944444442</v>
      </c>
      <c r="D781" s="4">
        <v>65000</v>
      </c>
      <c r="E781">
        <v>65000</v>
      </c>
      <c r="F781" t="s">
        <v>6</v>
      </c>
      <c r="G781">
        <f>tblSalaries[[#This Row],[clean Salary (in local currency)]]*VLOOKUP(tblSalaries[[#This Row],[Currency]],tblXrate[],2,FALSE)</f>
        <v>65000</v>
      </c>
      <c r="H781" t="s">
        <v>910</v>
      </c>
      <c r="I781" t="s">
        <v>20</v>
      </c>
      <c r="J781" t="s">
        <v>15</v>
      </c>
      <c r="K781" t="str">
        <f>VLOOKUP(tblSalaries[[#This Row],[Where do you work]],tblCountries[[Actual]:[Mapping]],2,FALSE)</f>
        <v>USA</v>
      </c>
      <c r="L781" t="s">
        <v>18</v>
      </c>
      <c r="M781">
        <v>10</v>
      </c>
      <c r="N781" s="8" t="str">
        <f>VLOOKUP(K781,tblCountries[],3,0)</f>
        <v>North Amer.</v>
      </c>
      <c r="O781" s="8">
        <f>VLOOKUP(tblSalaries[[#This Row],[How many hours of a day you work on Excel]],tblHours,2,0)</f>
        <v>3</v>
      </c>
      <c r="P781" s="8">
        <f>VLOOKUP(tblSalaries[[#This Row],[clean Country]],tblCountries[],5,0)</f>
        <v>1</v>
      </c>
      <c r="Q781" s="8">
        <f>IF($Q$1,tblSalaries[[#This Row],[PPP Factor]]*tblSalaries[[#This Row],[Salary in USD]],tblSalaries[[#This Row],[Salary in USD]])</f>
        <v>65000</v>
      </c>
    </row>
    <row r="782" spans="2:17" ht="15" customHeight="1" x14ac:dyDescent="0.25">
      <c r="B782" t="s">
        <v>2785</v>
      </c>
      <c r="C782" s="1">
        <v>41055.847615740742</v>
      </c>
      <c r="D782" s="4" t="s">
        <v>911</v>
      </c>
      <c r="E782">
        <v>450000</v>
      </c>
      <c r="F782" t="s">
        <v>40</v>
      </c>
      <c r="G782">
        <f>tblSalaries[[#This Row],[clean Salary (in local currency)]]*VLOOKUP(tblSalaries[[#This Row],[Currency]],tblXrate[],2,FALSE)</f>
        <v>8013.5625093491553</v>
      </c>
      <c r="H782" t="s">
        <v>912</v>
      </c>
      <c r="I782" t="s">
        <v>52</v>
      </c>
      <c r="J782" t="s">
        <v>8</v>
      </c>
      <c r="K782" t="str">
        <f>VLOOKUP(tblSalaries[[#This Row],[Where do you work]],tblCountries[[Actual]:[Mapping]],2,FALSE)</f>
        <v>India</v>
      </c>
      <c r="L782" t="s">
        <v>13</v>
      </c>
      <c r="M782">
        <v>1.5</v>
      </c>
      <c r="N782" s="8" t="str">
        <f>VLOOKUP(K782,tblCountries[],3,0)</f>
        <v>Asia</v>
      </c>
      <c r="O782" s="8">
        <f>VLOOKUP(tblSalaries[[#This Row],[How many hours of a day you work on Excel]],tblHours,2,0)</f>
        <v>5</v>
      </c>
      <c r="P782" s="8">
        <f>VLOOKUP(tblSalaries[[#This Row],[clean Country]],tblCountries[],5,0)</f>
        <v>13.098808879263672</v>
      </c>
      <c r="Q782" s="8">
        <f>IF($Q$1,tblSalaries[[#This Row],[PPP Factor]]*tblSalaries[[#This Row],[Salary in USD]],tblSalaries[[#This Row],[Salary in USD]])</f>
        <v>8013.5625093491553</v>
      </c>
    </row>
    <row r="783" spans="2:17" ht="15" customHeight="1" x14ac:dyDescent="0.25">
      <c r="B783" t="s">
        <v>2786</v>
      </c>
      <c r="C783" s="1">
        <v>41055.852303240739</v>
      </c>
      <c r="D783" s="4">
        <v>100000</v>
      </c>
      <c r="E783">
        <v>100000</v>
      </c>
      <c r="F783" t="s">
        <v>86</v>
      </c>
      <c r="G783">
        <f>tblSalaries[[#This Row],[clean Salary (in local currency)]]*VLOOKUP(tblSalaries[[#This Row],[Currency]],tblXrate[],2,FALSE)</f>
        <v>98336.152303032693</v>
      </c>
      <c r="H783" t="s">
        <v>913</v>
      </c>
      <c r="I783" t="s">
        <v>4001</v>
      </c>
      <c r="J783" t="s">
        <v>88</v>
      </c>
      <c r="K783" t="str">
        <f>VLOOKUP(tblSalaries[[#This Row],[Where do you work]],tblCountries[[Actual]:[Mapping]],2,FALSE)</f>
        <v>Canada</v>
      </c>
      <c r="L783" t="s">
        <v>9</v>
      </c>
      <c r="M783">
        <v>5</v>
      </c>
      <c r="N783" s="8" t="str">
        <f>VLOOKUP(K783,tblCountries[],3,0)</f>
        <v>North Amer.</v>
      </c>
      <c r="O783" s="8">
        <f>VLOOKUP(tblSalaries[[#This Row],[How many hours of a day you work on Excel]],tblHours,2,0)</f>
        <v>4</v>
      </c>
      <c r="P783" s="8">
        <f>VLOOKUP(tblSalaries[[#This Row],[clean Country]],tblCountries[],5,0)</f>
        <v>1.1935324732986359</v>
      </c>
      <c r="Q783" s="8">
        <f>IF($Q$1,tblSalaries[[#This Row],[PPP Factor]]*tblSalaries[[#This Row],[Salary in USD]],tblSalaries[[#This Row],[Salary in USD]])</f>
        <v>98336.152303032693</v>
      </c>
    </row>
    <row r="784" spans="2:17" ht="15" customHeight="1" x14ac:dyDescent="0.25">
      <c r="B784" t="s">
        <v>2787</v>
      </c>
      <c r="C784" s="1">
        <v>41055.855208333334</v>
      </c>
      <c r="D784" s="4" t="s">
        <v>914</v>
      </c>
      <c r="E784">
        <v>150000</v>
      </c>
      <c r="F784" t="s">
        <v>40</v>
      </c>
      <c r="G784">
        <f>tblSalaries[[#This Row],[clean Salary (in local currency)]]*VLOOKUP(tblSalaries[[#This Row],[Currency]],tblXrate[],2,FALSE)</f>
        <v>2671.1875031163854</v>
      </c>
      <c r="H784" t="s">
        <v>915</v>
      </c>
      <c r="I784" t="s">
        <v>20</v>
      </c>
      <c r="J784" t="s">
        <v>8</v>
      </c>
      <c r="K784" t="str">
        <f>VLOOKUP(tblSalaries[[#This Row],[Where do you work]],tblCountries[[Actual]:[Mapping]],2,FALSE)</f>
        <v>India</v>
      </c>
      <c r="L784" t="s">
        <v>9</v>
      </c>
      <c r="M784">
        <v>2</v>
      </c>
      <c r="N784" s="8" t="str">
        <f>VLOOKUP(K784,tblCountries[],3,0)</f>
        <v>Asia</v>
      </c>
      <c r="O784" s="8">
        <f>VLOOKUP(tblSalaries[[#This Row],[How many hours of a day you work on Excel]],tblHours,2,0)</f>
        <v>4</v>
      </c>
      <c r="P784" s="8">
        <f>VLOOKUP(tblSalaries[[#This Row],[clean Country]],tblCountries[],5,0)</f>
        <v>13.098808879263672</v>
      </c>
      <c r="Q784" s="8">
        <f>IF($Q$1,tblSalaries[[#This Row],[PPP Factor]]*tblSalaries[[#This Row],[Salary in USD]],tblSalaries[[#This Row],[Salary in USD]])</f>
        <v>2671.1875031163854</v>
      </c>
    </row>
    <row r="785" spans="2:17" ht="15" customHeight="1" x14ac:dyDescent="0.25">
      <c r="B785" t="s">
        <v>2788</v>
      </c>
      <c r="C785" s="1">
        <v>41055.868136574078</v>
      </c>
      <c r="D785" s="4">
        <v>96000</v>
      </c>
      <c r="E785">
        <v>96000</v>
      </c>
      <c r="F785" t="s">
        <v>6</v>
      </c>
      <c r="G785">
        <f>tblSalaries[[#This Row],[clean Salary (in local currency)]]*VLOOKUP(tblSalaries[[#This Row],[Currency]],tblXrate[],2,FALSE)</f>
        <v>96000</v>
      </c>
      <c r="H785" t="s">
        <v>721</v>
      </c>
      <c r="I785" t="s">
        <v>3999</v>
      </c>
      <c r="J785" t="s">
        <v>8</v>
      </c>
      <c r="K785" t="str">
        <f>VLOOKUP(tblSalaries[[#This Row],[Where do you work]],tblCountries[[Actual]:[Mapping]],2,FALSE)</f>
        <v>India</v>
      </c>
      <c r="L785" t="s">
        <v>13</v>
      </c>
      <c r="M785">
        <v>8</v>
      </c>
      <c r="N785" s="8" t="str">
        <f>VLOOKUP(K785,tblCountries[],3,0)</f>
        <v>Asia</v>
      </c>
      <c r="O785" s="8">
        <f>VLOOKUP(tblSalaries[[#This Row],[How many hours of a day you work on Excel]],tblHours,2,0)</f>
        <v>5</v>
      </c>
      <c r="P785" s="8">
        <f>VLOOKUP(tblSalaries[[#This Row],[clean Country]],tblCountries[],5,0)</f>
        <v>13.098808879263672</v>
      </c>
      <c r="Q785" s="8">
        <f>IF($Q$1,tblSalaries[[#This Row],[PPP Factor]]*tblSalaries[[#This Row],[Salary in USD]],tblSalaries[[#This Row],[Salary in USD]])</f>
        <v>96000</v>
      </c>
    </row>
    <row r="786" spans="2:17" ht="15" customHeight="1" x14ac:dyDescent="0.25">
      <c r="B786" t="s">
        <v>2789</v>
      </c>
      <c r="C786" s="1">
        <v>41055.873067129629</v>
      </c>
      <c r="D786" s="4" t="s">
        <v>916</v>
      </c>
      <c r="E786">
        <v>1152000</v>
      </c>
      <c r="F786" t="s">
        <v>40</v>
      </c>
      <c r="G786">
        <f>tblSalaries[[#This Row],[clean Salary (in local currency)]]*VLOOKUP(tblSalaries[[#This Row],[Currency]],tblXrate[],2,FALSE)</f>
        <v>20514.720023933838</v>
      </c>
      <c r="H786" t="s">
        <v>917</v>
      </c>
      <c r="I786" t="s">
        <v>310</v>
      </c>
      <c r="J786" t="s">
        <v>8</v>
      </c>
      <c r="K786" t="str">
        <f>VLOOKUP(tblSalaries[[#This Row],[Where do you work]],tblCountries[[Actual]:[Mapping]],2,FALSE)</f>
        <v>India</v>
      </c>
      <c r="L786" t="s">
        <v>9</v>
      </c>
      <c r="M786">
        <v>6</v>
      </c>
      <c r="N786" s="8" t="str">
        <f>VLOOKUP(K786,tblCountries[],3,0)</f>
        <v>Asia</v>
      </c>
      <c r="O786" s="8">
        <f>VLOOKUP(tblSalaries[[#This Row],[How many hours of a day you work on Excel]],tblHours,2,0)</f>
        <v>4</v>
      </c>
      <c r="P786" s="8">
        <f>VLOOKUP(tblSalaries[[#This Row],[clean Country]],tblCountries[],5,0)</f>
        <v>13.098808879263672</v>
      </c>
      <c r="Q786" s="8">
        <f>IF($Q$1,tblSalaries[[#This Row],[PPP Factor]]*tblSalaries[[#This Row],[Salary in USD]],tblSalaries[[#This Row],[Salary in USD]])</f>
        <v>20514.720023933838</v>
      </c>
    </row>
    <row r="787" spans="2:17" ht="15" customHeight="1" x14ac:dyDescent="0.25">
      <c r="B787" t="s">
        <v>2790</v>
      </c>
      <c r="C787" s="1">
        <v>41055.873113425929</v>
      </c>
      <c r="D787" s="4">
        <v>15000</v>
      </c>
      <c r="E787">
        <v>15000</v>
      </c>
      <c r="F787" t="s">
        <v>22</v>
      </c>
      <c r="G787">
        <f>tblSalaries[[#This Row],[clean Salary (in local currency)]]*VLOOKUP(tblSalaries[[#This Row],[Currency]],tblXrate[],2,FALSE)</f>
        <v>19055.991584874118</v>
      </c>
      <c r="H787" t="s">
        <v>918</v>
      </c>
      <c r="I787" t="s">
        <v>20</v>
      </c>
      <c r="J787" t="s">
        <v>608</v>
      </c>
      <c r="K787" t="str">
        <f>VLOOKUP(tblSalaries[[#This Row],[Where do you work]],tblCountries[[Actual]:[Mapping]],2,FALSE)</f>
        <v>Spain</v>
      </c>
      <c r="L787" t="s">
        <v>18</v>
      </c>
      <c r="M787">
        <v>10</v>
      </c>
      <c r="N787" s="8" t="str">
        <f>VLOOKUP(K787,tblCountries[],3,0)</f>
        <v>Europe</v>
      </c>
      <c r="O787" s="8">
        <f>VLOOKUP(tblSalaries[[#This Row],[How many hours of a day you work on Excel]],tblHours,2,0)</f>
        <v>3</v>
      </c>
      <c r="P787" s="8">
        <f>VLOOKUP(tblSalaries[[#This Row],[clean Country]],tblCountries[],5,0)</f>
        <v>1.5799320838503232</v>
      </c>
      <c r="Q787" s="8">
        <f>IF($Q$1,tblSalaries[[#This Row],[PPP Factor]]*tblSalaries[[#This Row],[Salary in USD]],tblSalaries[[#This Row],[Salary in USD]])</f>
        <v>19055.991584874118</v>
      </c>
    </row>
    <row r="788" spans="2:17" ht="15" customHeight="1" x14ac:dyDescent="0.25">
      <c r="B788" t="s">
        <v>2791</v>
      </c>
      <c r="C788" s="1">
        <v>41055.875462962962</v>
      </c>
      <c r="D788" s="4" t="s">
        <v>919</v>
      </c>
      <c r="E788">
        <v>65000</v>
      </c>
      <c r="F788" t="s">
        <v>82</v>
      </c>
      <c r="G788">
        <f>tblSalaries[[#This Row],[clean Salary (in local currency)]]*VLOOKUP(tblSalaries[[#This Row],[Currency]],tblXrate[],2,FALSE)</f>
        <v>66294.12766617132</v>
      </c>
      <c r="H788" t="s">
        <v>920</v>
      </c>
      <c r="I788" t="s">
        <v>20</v>
      </c>
      <c r="J788" t="s">
        <v>84</v>
      </c>
      <c r="K788" t="str">
        <f>VLOOKUP(tblSalaries[[#This Row],[Where do you work]],tblCountries[[Actual]:[Mapping]],2,FALSE)</f>
        <v>Australia</v>
      </c>
      <c r="L788" t="s">
        <v>13</v>
      </c>
      <c r="M788">
        <v>10</v>
      </c>
      <c r="N788" s="8" t="str">
        <f>VLOOKUP(K788,tblCountries[],3,0)</f>
        <v>Oceania</v>
      </c>
      <c r="O788" s="8">
        <f>VLOOKUP(tblSalaries[[#This Row],[How many hours of a day you work on Excel]],tblHours,2,0)</f>
        <v>5</v>
      </c>
      <c r="P788" s="8">
        <f>VLOOKUP(tblSalaries[[#This Row],[clean Country]],tblCountries[],5,0)</f>
        <v>1.2026395585822935</v>
      </c>
      <c r="Q788" s="8">
        <f>IF($Q$1,tblSalaries[[#This Row],[PPP Factor]]*tblSalaries[[#This Row],[Salary in USD]],tblSalaries[[#This Row],[Salary in USD]])</f>
        <v>66294.12766617132</v>
      </c>
    </row>
    <row r="789" spans="2:17" ht="15" customHeight="1" x14ac:dyDescent="0.25">
      <c r="B789" t="s">
        <v>2792</v>
      </c>
      <c r="C789" s="1">
        <v>41055.878877314812</v>
      </c>
      <c r="D789" s="4" t="s">
        <v>921</v>
      </c>
      <c r="E789">
        <v>377000</v>
      </c>
      <c r="F789" t="s">
        <v>40</v>
      </c>
      <c r="G789">
        <f>tblSalaries[[#This Row],[clean Salary (in local currency)]]*VLOOKUP(tblSalaries[[#This Row],[Currency]],tblXrate[],2,FALSE)</f>
        <v>6713.584591165848</v>
      </c>
      <c r="H789" t="s">
        <v>922</v>
      </c>
      <c r="I789" t="s">
        <v>20</v>
      </c>
      <c r="J789" t="s">
        <v>8</v>
      </c>
      <c r="K789" t="str">
        <f>VLOOKUP(tblSalaries[[#This Row],[Where do you work]],tblCountries[[Actual]:[Mapping]],2,FALSE)</f>
        <v>India</v>
      </c>
      <c r="L789" t="s">
        <v>25</v>
      </c>
      <c r="M789">
        <v>7</v>
      </c>
      <c r="N789" s="8" t="str">
        <f>VLOOKUP(K789,tblCountries[],3,0)</f>
        <v>Asia</v>
      </c>
      <c r="O789" s="8">
        <f>VLOOKUP(tblSalaries[[#This Row],[How many hours of a day you work on Excel]],tblHours,2,0)</f>
        <v>2</v>
      </c>
      <c r="P789" s="8">
        <f>VLOOKUP(tblSalaries[[#This Row],[clean Country]],tblCountries[],5,0)</f>
        <v>13.098808879263672</v>
      </c>
      <c r="Q789" s="8">
        <f>IF($Q$1,tblSalaries[[#This Row],[PPP Factor]]*tblSalaries[[#This Row],[Salary in USD]],tblSalaries[[#This Row],[Salary in USD]])</f>
        <v>6713.584591165848</v>
      </c>
    </row>
    <row r="790" spans="2:17" ht="15" customHeight="1" x14ac:dyDescent="0.25">
      <c r="B790" t="s">
        <v>2793</v>
      </c>
      <c r="C790" s="1">
        <v>41055.880023148151</v>
      </c>
      <c r="D790" s="4" t="s">
        <v>400</v>
      </c>
      <c r="E790">
        <v>29000</v>
      </c>
      <c r="F790" t="s">
        <v>69</v>
      </c>
      <c r="G790">
        <f>tblSalaries[[#This Row],[clean Salary (in local currency)]]*VLOOKUP(tblSalaries[[#This Row],[Currency]],tblXrate[],2,FALSE)</f>
        <v>45709.169889951241</v>
      </c>
      <c r="H790" t="s">
        <v>923</v>
      </c>
      <c r="I790" t="s">
        <v>3999</v>
      </c>
      <c r="J790" t="s">
        <v>71</v>
      </c>
      <c r="K790" t="str">
        <f>VLOOKUP(tblSalaries[[#This Row],[Where do you work]],tblCountries[[Actual]:[Mapping]],2,FALSE)</f>
        <v>UK</v>
      </c>
      <c r="L790" t="s">
        <v>18</v>
      </c>
      <c r="M790">
        <v>15</v>
      </c>
      <c r="N790" s="8" t="str">
        <f>VLOOKUP(K790,tblCountries[],3,0)</f>
        <v>Europe</v>
      </c>
      <c r="O790" s="8">
        <f>VLOOKUP(tblSalaries[[#This Row],[How many hours of a day you work on Excel]],tblHours,2,0)</f>
        <v>3</v>
      </c>
      <c r="P790" s="8">
        <f>VLOOKUP(tblSalaries[[#This Row],[clean Country]],tblCountries[],5,0)</f>
        <v>1.3407315045719035</v>
      </c>
      <c r="Q790" s="8">
        <f>IF($Q$1,tblSalaries[[#This Row],[PPP Factor]]*tblSalaries[[#This Row],[Salary in USD]],tblSalaries[[#This Row],[Salary in USD]])</f>
        <v>45709.169889951241</v>
      </c>
    </row>
    <row r="791" spans="2:17" ht="15" customHeight="1" x14ac:dyDescent="0.25">
      <c r="B791" t="s">
        <v>2794</v>
      </c>
      <c r="C791" s="1">
        <v>41055.882175925923</v>
      </c>
      <c r="D791" s="4">
        <v>48500</v>
      </c>
      <c r="E791">
        <v>48500</v>
      </c>
      <c r="F791" t="s">
        <v>6</v>
      </c>
      <c r="G791">
        <f>tblSalaries[[#This Row],[clean Salary (in local currency)]]*VLOOKUP(tblSalaries[[#This Row],[Currency]],tblXrate[],2,FALSE)</f>
        <v>48500</v>
      </c>
      <c r="H791" t="s">
        <v>924</v>
      </c>
      <c r="I791" t="s">
        <v>52</v>
      </c>
      <c r="J791" t="s">
        <v>15</v>
      </c>
      <c r="K791" t="str">
        <f>VLOOKUP(tblSalaries[[#This Row],[Where do you work]],tblCountries[[Actual]:[Mapping]],2,FALSE)</f>
        <v>USA</v>
      </c>
      <c r="L791" t="s">
        <v>18</v>
      </c>
      <c r="M791">
        <v>10</v>
      </c>
      <c r="N791" s="8" t="str">
        <f>VLOOKUP(K791,tblCountries[],3,0)</f>
        <v>North Amer.</v>
      </c>
      <c r="O791" s="8">
        <f>VLOOKUP(tblSalaries[[#This Row],[How many hours of a day you work on Excel]],tblHours,2,0)</f>
        <v>3</v>
      </c>
      <c r="P791" s="8">
        <f>VLOOKUP(tblSalaries[[#This Row],[clean Country]],tblCountries[],5,0)</f>
        <v>1</v>
      </c>
      <c r="Q791" s="8">
        <f>IF($Q$1,tblSalaries[[#This Row],[PPP Factor]]*tblSalaries[[#This Row],[Salary in USD]],tblSalaries[[#This Row],[Salary in USD]])</f>
        <v>48500</v>
      </c>
    </row>
    <row r="792" spans="2:17" ht="15" customHeight="1" x14ac:dyDescent="0.25">
      <c r="B792" t="s">
        <v>2795</v>
      </c>
      <c r="C792" s="1">
        <v>41055.884050925924</v>
      </c>
      <c r="D792" s="4">
        <v>600000</v>
      </c>
      <c r="E792">
        <v>600000</v>
      </c>
      <c r="F792" t="s">
        <v>40</v>
      </c>
      <c r="G792">
        <f>tblSalaries[[#This Row],[clean Salary (in local currency)]]*VLOOKUP(tblSalaries[[#This Row],[Currency]],tblXrate[],2,FALSE)</f>
        <v>10684.750012465542</v>
      </c>
      <c r="H792" t="s">
        <v>7</v>
      </c>
      <c r="I792" t="s">
        <v>20</v>
      </c>
      <c r="J792" t="s">
        <v>8</v>
      </c>
      <c r="K792" t="str">
        <f>VLOOKUP(tblSalaries[[#This Row],[Where do you work]],tblCountries[[Actual]:[Mapping]],2,FALSE)</f>
        <v>India</v>
      </c>
      <c r="L792" t="s">
        <v>13</v>
      </c>
      <c r="M792">
        <v>4</v>
      </c>
      <c r="N792" s="8" t="str">
        <f>VLOOKUP(K792,tblCountries[],3,0)</f>
        <v>Asia</v>
      </c>
      <c r="O792" s="8">
        <f>VLOOKUP(tblSalaries[[#This Row],[How many hours of a day you work on Excel]],tblHours,2,0)</f>
        <v>5</v>
      </c>
      <c r="P792" s="8">
        <f>VLOOKUP(tblSalaries[[#This Row],[clean Country]],tblCountries[],5,0)</f>
        <v>13.098808879263672</v>
      </c>
      <c r="Q792" s="8">
        <f>IF($Q$1,tblSalaries[[#This Row],[PPP Factor]]*tblSalaries[[#This Row],[Salary in USD]],tblSalaries[[#This Row],[Salary in USD]])</f>
        <v>10684.750012465542</v>
      </c>
    </row>
    <row r="793" spans="2:17" ht="15" customHeight="1" x14ac:dyDescent="0.25">
      <c r="B793" t="s">
        <v>2796</v>
      </c>
      <c r="C793" s="1">
        <v>41055.884618055556</v>
      </c>
      <c r="D793" s="4">
        <v>33900</v>
      </c>
      <c r="E793">
        <v>33900</v>
      </c>
      <c r="F793" t="s">
        <v>6</v>
      </c>
      <c r="G793">
        <f>tblSalaries[[#This Row],[clean Salary (in local currency)]]*VLOOKUP(tblSalaries[[#This Row],[Currency]],tblXrate[],2,FALSE)</f>
        <v>33900</v>
      </c>
      <c r="H793" t="s">
        <v>263</v>
      </c>
      <c r="I793" t="s">
        <v>20</v>
      </c>
      <c r="J793" t="s">
        <v>15</v>
      </c>
      <c r="K793" t="str">
        <f>VLOOKUP(tblSalaries[[#This Row],[Where do you work]],tblCountries[[Actual]:[Mapping]],2,FALSE)</f>
        <v>USA</v>
      </c>
      <c r="L793" t="s">
        <v>18</v>
      </c>
      <c r="M793">
        <v>10</v>
      </c>
      <c r="N793" s="8" t="str">
        <f>VLOOKUP(K793,tblCountries[],3,0)</f>
        <v>North Amer.</v>
      </c>
      <c r="O793" s="8">
        <f>VLOOKUP(tblSalaries[[#This Row],[How many hours of a day you work on Excel]],tblHours,2,0)</f>
        <v>3</v>
      </c>
      <c r="P793" s="8">
        <f>VLOOKUP(tblSalaries[[#This Row],[clean Country]],tblCountries[],5,0)</f>
        <v>1</v>
      </c>
      <c r="Q793" s="8">
        <f>IF($Q$1,tblSalaries[[#This Row],[PPP Factor]]*tblSalaries[[#This Row],[Salary in USD]],tblSalaries[[#This Row],[Salary in USD]])</f>
        <v>33900</v>
      </c>
    </row>
    <row r="794" spans="2:17" ht="15" customHeight="1" x14ac:dyDescent="0.25">
      <c r="B794" t="s">
        <v>2797</v>
      </c>
      <c r="C794" s="1">
        <v>41055.892118055555</v>
      </c>
      <c r="D794" s="4" t="s">
        <v>925</v>
      </c>
      <c r="E794">
        <v>900000</v>
      </c>
      <c r="F794" t="s">
        <v>585</v>
      </c>
      <c r="G794">
        <f>tblSalaries[[#This Row],[clean Salary (in local currency)]]*VLOOKUP(tblSalaries[[#This Row],[Currency]],tblXrate[],2,FALSE)</f>
        <v>109729.60187662003</v>
      </c>
      <c r="H794" t="s">
        <v>207</v>
      </c>
      <c r="I794" t="s">
        <v>20</v>
      </c>
      <c r="J794" t="s">
        <v>48</v>
      </c>
      <c r="K794" t="str">
        <f>VLOOKUP(tblSalaries[[#This Row],[Where do you work]],tblCountries[[Actual]:[Mapping]],2,FALSE)</f>
        <v>South Africa</v>
      </c>
      <c r="L794" t="s">
        <v>13</v>
      </c>
      <c r="M794">
        <v>40</v>
      </c>
      <c r="N794" s="8" t="str">
        <f>VLOOKUP(K794,tblCountries[],3,0)</f>
        <v>Africa</v>
      </c>
      <c r="O794" s="8">
        <f>VLOOKUP(tblSalaries[[#This Row],[How many hours of a day you work on Excel]],tblHours,2,0)</f>
        <v>5</v>
      </c>
      <c r="P794" s="8">
        <f>VLOOKUP(tblSalaries[[#This Row],[clean Country]],tblCountries[],5,0)</f>
        <v>4.4096418481727877</v>
      </c>
      <c r="Q794" s="8">
        <f>IF($Q$1,tblSalaries[[#This Row],[PPP Factor]]*tblSalaries[[#This Row],[Salary in USD]],tblSalaries[[#This Row],[Salary in USD]])</f>
        <v>109729.60187662003</v>
      </c>
    </row>
    <row r="795" spans="2:17" ht="15" customHeight="1" x14ac:dyDescent="0.25">
      <c r="B795" t="s">
        <v>2798</v>
      </c>
      <c r="C795" s="1">
        <v>41055.893761574072</v>
      </c>
      <c r="D795" s="4">
        <v>850000</v>
      </c>
      <c r="E795">
        <v>850000</v>
      </c>
      <c r="F795" t="s">
        <v>40</v>
      </c>
      <c r="G795">
        <f>tblSalaries[[#This Row],[clean Salary (in local currency)]]*VLOOKUP(tblSalaries[[#This Row],[Currency]],tblXrate[],2,FALSE)</f>
        <v>15136.729184326183</v>
      </c>
      <c r="H795" t="s">
        <v>926</v>
      </c>
      <c r="I795" t="s">
        <v>20</v>
      </c>
      <c r="J795" t="s">
        <v>8</v>
      </c>
      <c r="K795" t="str">
        <f>VLOOKUP(tblSalaries[[#This Row],[Where do you work]],tblCountries[[Actual]:[Mapping]],2,FALSE)</f>
        <v>India</v>
      </c>
      <c r="L795" t="s">
        <v>9</v>
      </c>
      <c r="M795">
        <v>2</v>
      </c>
      <c r="N795" s="8" t="str">
        <f>VLOOKUP(K795,tblCountries[],3,0)</f>
        <v>Asia</v>
      </c>
      <c r="O795" s="8">
        <f>VLOOKUP(tblSalaries[[#This Row],[How many hours of a day you work on Excel]],tblHours,2,0)</f>
        <v>4</v>
      </c>
      <c r="P795" s="8">
        <f>VLOOKUP(tblSalaries[[#This Row],[clean Country]],tblCountries[],5,0)</f>
        <v>13.098808879263672</v>
      </c>
      <c r="Q795" s="8">
        <f>IF($Q$1,tblSalaries[[#This Row],[PPP Factor]]*tblSalaries[[#This Row],[Salary in USD]],tblSalaries[[#This Row],[Salary in USD]])</f>
        <v>15136.729184326183</v>
      </c>
    </row>
    <row r="796" spans="2:17" ht="15" customHeight="1" x14ac:dyDescent="0.25">
      <c r="B796" t="s">
        <v>2799</v>
      </c>
      <c r="C796" s="1">
        <v>41055.893946759257</v>
      </c>
      <c r="D796" s="4">
        <v>85000</v>
      </c>
      <c r="E796">
        <v>85000</v>
      </c>
      <c r="F796" t="s">
        <v>6</v>
      </c>
      <c r="G796">
        <f>tblSalaries[[#This Row],[clean Salary (in local currency)]]*VLOOKUP(tblSalaries[[#This Row],[Currency]],tblXrate[],2,FALSE)</f>
        <v>85000</v>
      </c>
      <c r="H796" t="s">
        <v>927</v>
      </c>
      <c r="I796" t="s">
        <v>4001</v>
      </c>
      <c r="J796" t="s">
        <v>15</v>
      </c>
      <c r="K796" t="str">
        <f>VLOOKUP(tblSalaries[[#This Row],[Where do you work]],tblCountries[[Actual]:[Mapping]],2,FALSE)</f>
        <v>USA</v>
      </c>
      <c r="L796" t="s">
        <v>9</v>
      </c>
      <c r="M796">
        <v>15</v>
      </c>
      <c r="N796" s="8" t="str">
        <f>VLOOKUP(K796,tblCountries[],3,0)</f>
        <v>North Amer.</v>
      </c>
      <c r="O796" s="8">
        <f>VLOOKUP(tblSalaries[[#This Row],[How many hours of a day you work on Excel]],tblHours,2,0)</f>
        <v>4</v>
      </c>
      <c r="P796" s="8">
        <f>VLOOKUP(tblSalaries[[#This Row],[clean Country]],tblCountries[],5,0)</f>
        <v>1</v>
      </c>
      <c r="Q796" s="8">
        <f>IF($Q$1,tblSalaries[[#This Row],[PPP Factor]]*tblSalaries[[#This Row],[Salary in USD]],tblSalaries[[#This Row],[Salary in USD]])</f>
        <v>85000</v>
      </c>
    </row>
    <row r="797" spans="2:17" ht="15" customHeight="1" x14ac:dyDescent="0.25">
      <c r="B797" t="s">
        <v>2800</v>
      </c>
      <c r="C797" s="1">
        <v>41055.903344907405</v>
      </c>
      <c r="D797" s="4" t="s">
        <v>928</v>
      </c>
      <c r="E797">
        <v>450000</v>
      </c>
      <c r="F797" t="s">
        <v>40</v>
      </c>
      <c r="G797">
        <f>tblSalaries[[#This Row],[clean Salary (in local currency)]]*VLOOKUP(tblSalaries[[#This Row],[Currency]],tblXrate[],2,FALSE)</f>
        <v>8013.5625093491553</v>
      </c>
      <c r="H797" t="s">
        <v>929</v>
      </c>
      <c r="I797" t="s">
        <v>52</v>
      </c>
      <c r="J797" t="s">
        <v>8</v>
      </c>
      <c r="K797" t="str">
        <f>VLOOKUP(tblSalaries[[#This Row],[Where do you work]],tblCountries[[Actual]:[Mapping]],2,FALSE)</f>
        <v>India</v>
      </c>
      <c r="L797" t="s">
        <v>9</v>
      </c>
      <c r="M797">
        <v>6</v>
      </c>
      <c r="N797" s="8" t="str">
        <f>VLOOKUP(K797,tblCountries[],3,0)</f>
        <v>Asia</v>
      </c>
      <c r="O797" s="8">
        <f>VLOOKUP(tblSalaries[[#This Row],[How many hours of a day you work on Excel]],tblHours,2,0)</f>
        <v>4</v>
      </c>
      <c r="P797" s="8">
        <f>VLOOKUP(tblSalaries[[#This Row],[clean Country]],tblCountries[],5,0)</f>
        <v>13.098808879263672</v>
      </c>
      <c r="Q797" s="8">
        <f>IF($Q$1,tblSalaries[[#This Row],[PPP Factor]]*tblSalaries[[#This Row],[Salary in USD]],tblSalaries[[#This Row],[Salary in USD]])</f>
        <v>8013.5625093491553</v>
      </c>
    </row>
    <row r="798" spans="2:17" ht="15" customHeight="1" x14ac:dyDescent="0.25">
      <c r="B798" t="s">
        <v>2801</v>
      </c>
      <c r="C798" s="1">
        <v>41055.905486111114</v>
      </c>
      <c r="D798" s="4">
        <v>48000</v>
      </c>
      <c r="E798">
        <v>48000</v>
      </c>
      <c r="F798" t="s">
        <v>6</v>
      </c>
      <c r="G798">
        <f>tblSalaries[[#This Row],[clean Salary (in local currency)]]*VLOOKUP(tblSalaries[[#This Row],[Currency]],tblXrate[],2,FALSE)</f>
        <v>48000</v>
      </c>
      <c r="H798" t="s">
        <v>930</v>
      </c>
      <c r="I798" t="s">
        <v>52</v>
      </c>
      <c r="J798" t="s">
        <v>15</v>
      </c>
      <c r="K798" t="str">
        <f>VLOOKUP(tblSalaries[[#This Row],[Where do you work]],tblCountries[[Actual]:[Mapping]],2,FALSE)</f>
        <v>USA</v>
      </c>
      <c r="L798" t="s">
        <v>18</v>
      </c>
      <c r="M798">
        <v>16</v>
      </c>
      <c r="N798" s="8" t="str">
        <f>VLOOKUP(K798,tblCountries[],3,0)</f>
        <v>North Amer.</v>
      </c>
      <c r="O798" s="8">
        <f>VLOOKUP(tblSalaries[[#This Row],[How many hours of a day you work on Excel]],tblHours,2,0)</f>
        <v>3</v>
      </c>
      <c r="P798" s="8">
        <f>VLOOKUP(tblSalaries[[#This Row],[clean Country]],tblCountries[],5,0)</f>
        <v>1</v>
      </c>
      <c r="Q798" s="8">
        <f>IF($Q$1,tblSalaries[[#This Row],[PPP Factor]]*tblSalaries[[#This Row],[Salary in USD]],tblSalaries[[#This Row],[Salary in USD]])</f>
        <v>48000</v>
      </c>
    </row>
    <row r="799" spans="2:17" ht="15" customHeight="1" x14ac:dyDescent="0.25">
      <c r="B799" t="s">
        <v>2802</v>
      </c>
      <c r="C799" s="1">
        <v>41055.914305555554</v>
      </c>
      <c r="D799" s="4">
        <v>170000</v>
      </c>
      <c r="E799">
        <v>170000</v>
      </c>
      <c r="F799" t="s">
        <v>40</v>
      </c>
      <c r="G799">
        <f>tblSalaries[[#This Row],[clean Salary (in local currency)]]*VLOOKUP(tblSalaries[[#This Row],[Currency]],tblXrate[],2,FALSE)</f>
        <v>3027.3458368652364</v>
      </c>
      <c r="H799" t="s">
        <v>931</v>
      </c>
      <c r="I799" t="s">
        <v>3999</v>
      </c>
      <c r="J799" t="s">
        <v>8</v>
      </c>
      <c r="K799" t="str">
        <f>VLOOKUP(tblSalaries[[#This Row],[Where do you work]],tblCountries[[Actual]:[Mapping]],2,FALSE)</f>
        <v>India</v>
      </c>
      <c r="L799" t="s">
        <v>9</v>
      </c>
      <c r="M799">
        <v>2</v>
      </c>
      <c r="N799" s="8" t="str">
        <f>VLOOKUP(K799,tblCountries[],3,0)</f>
        <v>Asia</v>
      </c>
      <c r="O799" s="8">
        <f>VLOOKUP(tblSalaries[[#This Row],[How many hours of a day you work on Excel]],tblHours,2,0)</f>
        <v>4</v>
      </c>
      <c r="P799" s="8">
        <f>VLOOKUP(tblSalaries[[#This Row],[clean Country]],tblCountries[],5,0)</f>
        <v>13.098808879263672</v>
      </c>
      <c r="Q799" s="8">
        <f>IF($Q$1,tblSalaries[[#This Row],[PPP Factor]]*tblSalaries[[#This Row],[Salary in USD]],tblSalaries[[#This Row],[Salary in USD]])</f>
        <v>3027.3458368652364</v>
      </c>
    </row>
    <row r="800" spans="2:17" ht="15" customHeight="1" x14ac:dyDescent="0.25">
      <c r="B800" t="s">
        <v>2803</v>
      </c>
      <c r="C800" s="1">
        <v>41055.914456018516</v>
      </c>
      <c r="D800" s="4">
        <v>13100</v>
      </c>
      <c r="E800">
        <v>13100</v>
      </c>
      <c r="F800" t="s">
        <v>6</v>
      </c>
      <c r="G800">
        <f>tblSalaries[[#This Row],[clean Salary (in local currency)]]*VLOOKUP(tblSalaries[[#This Row],[Currency]],tblXrate[],2,FALSE)</f>
        <v>13100</v>
      </c>
      <c r="H800" t="s">
        <v>932</v>
      </c>
      <c r="I800" t="s">
        <v>310</v>
      </c>
      <c r="J800" t="s">
        <v>8</v>
      </c>
      <c r="K800" t="str">
        <f>VLOOKUP(tblSalaries[[#This Row],[Where do you work]],tblCountries[[Actual]:[Mapping]],2,FALSE)</f>
        <v>India</v>
      </c>
      <c r="L800" t="s">
        <v>18</v>
      </c>
      <c r="M800">
        <v>5</v>
      </c>
      <c r="N800" s="8" t="str">
        <f>VLOOKUP(K800,tblCountries[],3,0)</f>
        <v>Asia</v>
      </c>
      <c r="O800" s="8">
        <f>VLOOKUP(tblSalaries[[#This Row],[How many hours of a day you work on Excel]],tblHours,2,0)</f>
        <v>3</v>
      </c>
      <c r="P800" s="8">
        <f>VLOOKUP(tblSalaries[[#This Row],[clean Country]],tblCountries[],5,0)</f>
        <v>13.098808879263672</v>
      </c>
      <c r="Q800" s="8">
        <f>IF($Q$1,tblSalaries[[#This Row],[PPP Factor]]*tblSalaries[[#This Row],[Salary in USD]],tblSalaries[[#This Row],[Salary in USD]])</f>
        <v>13100</v>
      </c>
    </row>
    <row r="801" spans="2:17" ht="15" customHeight="1" x14ac:dyDescent="0.25">
      <c r="B801" t="s">
        <v>2804</v>
      </c>
      <c r="C801" s="1">
        <v>41055.918668981481</v>
      </c>
      <c r="D801" s="4">
        <v>5000</v>
      </c>
      <c r="E801">
        <v>60000</v>
      </c>
      <c r="F801" t="s">
        <v>6</v>
      </c>
      <c r="G801">
        <f>tblSalaries[[#This Row],[clean Salary (in local currency)]]*VLOOKUP(tblSalaries[[#This Row],[Currency]],tblXrate[],2,FALSE)</f>
        <v>60000</v>
      </c>
      <c r="H801" t="s">
        <v>815</v>
      </c>
      <c r="I801" t="s">
        <v>52</v>
      </c>
      <c r="J801" t="s">
        <v>179</v>
      </c>
      <c r="K801" t="str">
        <f>VLOOKUP(tblSalaries[[#This Row],[Where do you work]],tblCountries[[Actual]:[Mapping]],2,FALSE)</f>
        <v>UAE</v>
      </c>
      <c r="L801" t="s">
        <v>18</v>
      </c>
      <c r="M801">
        <v>15</v>
      </c>
      <c r="N801" s="8" t="str">
        <f>VLOOKUP(K801,tblCountries[],3,0)</f>
        <v>Asia</v>
      </c>
      <c r="O801" s="8">
        <f>VLOOKUP(tblSalaries[[#This Row],[How many hours of a day you work on Excel]],tblHours,2,0)</f>
        <v>3</v>
      </c>
      <c r="P801" s="8">
        <f>VLOOKUP(tblSalaries[[#This Row],[clean Country]],tblCountries[],5,0)</f>
        <v>1.0047551808629926</v>
      </c>
      <c r="Q801" s="8">
        <f>IF($Q$1,tblSalaries[[#This Row],[PPP Factor]]*tblSalaries[[#This Row],[Salary in USD]],tblSalaries[[#This Row],[Salary in USD]])</f>
        <v>60000</v>
      </c>
    </row>
    <row r="802" spans="2:17" ht="15" customHeight="1" x14ac:dyDescent="0.25">
      <c r="B802" t="s">
        <v>2805</v>
      </c>
      <c r="C802" s="1">
        <v>41055.921979166669</v>
      </c>
      <c r="D802" s="4" t="s">
        <v>933</v>
      </c>
      <c r="E802">
        <v>24000</v>
      </c>
      <c r="F802" t="s">
        <v>6</v>
      </c>
      <c r="G802">
        <f>tblSalaries[[#This Row],[clean Salary (in local currency)]]*VLOOKUP(tblSalaries[[#This Row],[Currency]],tblXrate[],2,FALSE)</f>
        <v>24000</v>
      </c>
      <c r="H802" t="s">
        <v>934</v>
      </c>
      <c r="I802" t="s">
        <v>52</v>
      </c>
      <c r="J802" t="s">
        <v>935</v>
      </c>
      <c r="K802" t="str">
        <f>VLOOKUP(tblSalaries[[#This Row],[Where do you work]],tblCountries[[Actual]:[Mapping]],2,FALSE)</f>
        <v>Croatia</v>
      </c>
      <c r="L802" t="s">
        <v>18</v>
      </c>
      <c r="M802">
        <v>5</v>
      </c>
      <c r="N802" s="8" t="str">
        <f>VLOOKUP(K802,tblCountries[],3,0)</f>
        <v>Europe</v>
      </c>
      <c r="O802" s="8">
        <f>VLOOKUP(tblSalaries[[#This Row],[How many hours of a day you work on Excel]],tblHours,2,0)</f>
        <v>3</v>
      </c>
      <c r="P802" s="8">
        <f>VLOOKUP(tblSalaries[[#This Row],[clean Country]],tblCountries[],5,0)</f>
        <v>2.6597955145118735</v>
      </c>
      <c r="Q802" s="8">
        <f>IF($Q$1,tblSalaries[[#This Row],[PPP Factor]]*tblSalaries[[#This Row],[Salary in USD]],tblSalaries[[#This Row],[Salary in USD]])</f>
        <v>24000</v>
      </c>
    </row>
    <row r="803" spans="2:17" ht="15" customHeight="1" x14ac:dyDescent="0.25">
      <c r="B803" t="s">
        <v>2806</v>
      </c>
      <c r="C803" s="1">
        <v>41055.92287037037</v>
      </c>
      <c r="D803" s="4" t="s">
        <v>936</v>
      </c>
      <c r="E803">
        <v>240000</v>
      </c>
      <c r="F803" t="s">
        <v>40</v>
      </c>
      <c r="G803">
        <f>tblSalaries[[#This Row],[clean Salary (in local currency)]]*VLOOKUP(tblSalaries[[#This Row],[Currency]],tblXrate[],2,FALSE)</f>
        <v>4273.9000049862161</v>
      </c>
      <c r="H803" t="s">
        <v>755</v>
      </c>
      <c r="I803" t="s">
        <v>52</v>
      </c>
      <c r="J803" t="s">
        <v>8</v>
      </c>
      <c r="K803" t="str">
        <f>VLOOKUP(tblSalaries[[#This Row],[Where do you work]],tblCountries[[Actual]:[Mapping]],2,FALSE)</f>
        <v>India</v>
      </c>
      <c r="L803" t="s">
        <v>18</v>
      </c>
      <c r="M803">
        <v>3</v>
      </c>
      <c r="N803" s="8" t="str">
        <f>VLOOKUP(K803,tblCountries[],3,0)</f>
        <v>Asia</v>
      </c>
      <c r="O803" s="8">
        <f>VLOOKUP(tblSalaries[[#This Row],[How many hours of a day you work on Excel]],tblHours,2,0)</f>
        <v>3</v>
      </c>
      <c r="P803" s="8">
        <f>VLOOKUP(tblSalaries[[#This Row],[clean Country]],tblCountries[],5,0)</f>
        <v>13.098808879263672</v>
      </c>
      <c r="Q803" s="8">
        <f>IF($Q$1,tblSalaries[[#This Row],[PPP Factor]]*tblSalaries[[#This Row],[Salary in USD]],tblSalaries[[#This Row],[Salary in USD]])</f>
        <v>4273.9000049862161</v>
      </c>
    </row>
    <row r="804" spans="2:17" ht="15" customHeight="1" x14ac:dyDescent="0.25">
      <c r="B804" t="s">
        <v>2807</v>
      </c>
      <c r="C804" s="1">
        <v>41055.927893518521</v>
      </c>
      <c r="D804" s="4" t="s">
        <v>937</v>
      </c>
      <c r="E804">
        <v>650000</v>
      </c>
      <c r="F804" t="s">
        <v>40</v>
      </c>
      <c r="G804">
        <f>tblSalaries[[#This Row],[clean Salary (in local currency)]]*VLOOKUP(tblSalaries[[#This Row],[Currency]],tblXrate[],2,FALSE)</f>
        <v>11575.14584683767</v>
      </c>
      <c r="H804" t="s">
        <v>938</v>
      </c>
      <c r="I804" t="s">
        <v>52</v>
      </c>
      <c r="J804" t="s">
        <v>8</v>
      </c>
      <c r="K804" t="str">
        <f>VLOOKUP(tblSalaries[[#This Row],[Where do you work]],tblCountries[[Actual]:[Mapping]],2,FALSE)</f>
        <v>India</v>
      </c>
      <c r="L804" t="s">
        <v>18</v>
      </c>
      <c r="M804">
        <v>5</v>
      </c>
      <c r="N804" s="8" t="str">
        <f>VLOOKUP(K804,tblCountries[],3,0)</f>
        <v>Asia</v>
      </c>
      <c r="O804" s="8">
        <f>VLOOKUP(tblSalaries[[#This Row],[How many hours of a day you work on Excel]],tblHours,2,0)</f>
        <v>3</v>
      </c>
      <c r="P804" s="8">
        <f>VLOOKUP(tblSalaries[[#This Row],[clean Country]],tblCountries[],5,0)</f>
        <v>13.098808879263672</v>
      </c>
      <c r="Q804" s="8">
        <f>IF($Q$1,tblSalaries[[#This Row],[PPP Factor]]*tblSalaries[[#This Row],[Salary in USD]],tblSalaries[[#This Row],[Salary in USD]])</f>
        <v>11575.14584683767</v>
      </c>
    </row>
    <row r="805" spans="2:17" ht="15" customHeight="1" x14ac:dyDescent="0.25">
      <c r="B805" t="s">
        <v>2808</v>
      </c>
      <c r="C805" s="1">
        <v>41055.932615740741</v>
      </c>
      <c r="D805" s="4">
        <v>95000</v>
      </c>
      <c r="E805">
        <v>95000</v>
      </c>
      <c r="F805" t="s">
        <v>6</v>
      </c>
      <c r="G805">
        <f>tblSalaries[[#This Row],[clean Salary (in local currency)]]*VLOOKUP(tblSalaries[[#This Row],[Currency]],tblXrate[],2,FALSE)</f>
        <v>95000</v>
      </c>
      <c r="H805" t="s">
        <v>207</v>
      </c>
      <c r="I805" t="s">
        <v>20</v>
      </c>
      <c r="J805" t="s">
        <v>15</v>
      </c>
      <c r="K805" t="str">
        <f>VLOOKUP(tblSalaries[[#This Row],[Where do you work]],tblCountries[[Actual]:[Mapping]],2,FALSE)</f>
        <v>USA</v>
      </c>
      <c r="L805" t="s">
        <v>18</v>
      </c>
      <c r="M805">
        <v>13</v>
      </c>
      <c r="N805" s="8" t="str">
        <f>VLOOKUP(K805,tblCountries[],3,0)</f>
        <v>North Amer.</v>
      </c>
      <c r="O805" s="8">
        <f>VLOOKUP(tblSalaries[[#This Row],[How many hours of a day you work on Excel]],tblHours,2,0)</f>
        <v>3</v>
      </c>
      <c r="P805" s="8">
        <f>VLOOKUP(tblSalaries[[#This Row],[clean Country]],tblCountries[],5,0)</f>
        <v>1</v>
      </c>
      <c r="Q805" s="8">
        <f>IF($Q$1,tblSalaries[[#This Row],[PPP Factor]]*tblSalaries[[#This Row],[Salary in USD]],tblSalaries[[#This Row],[Salary in USD]])</f>
        <v>95000</v>
      </c>
    </row>
    <row r="806" spans="2:17" ht="15" customHeight="1" x14ac:dyDescent="0.25">
      <c r="B806" t="s">
        <v>2809</v>
      </c>
      <c r="C806" s="1">
        <v>41055.933078703703</v>
      </c>
      <c r="D806" s="4">
        <v>516000</v>
      </c>
      <c r="E806">
        <v>516000</v>
      </c>
      <c r="F806" t="s">
        <v>40</v>
      </c>
      <c r="G806">
        <f>tblSalaries[[#This Row],[clean Salary (in local currency)]]*VLOOKUP(tblSalaries[[#This Row],[Currency]],tblXrate[],2,FALSE)</f>
        <v>9188.8850107203652</v>
      </c>
      <c r="H806" t="s">
        <v>939</v>
      </c>
      <c r="I806" t="s">
        <v>52</v>
      </c>
      <c r="J806" t="s">
        <v>8</v>
      </c>
      <c r="K806" t="str">
        <f>VLOOKUP(tblSalaries[[#This Row],[Where do you work]],tblCountries[[Actual]:[Mapping]],2,FALSE)</f>
        <v>India</v>
      </c>
      <c r="L806" t="s">
        <v>9</v>
      </c>
      <c r="M806">
        <v>0</v>
      </c>
      <c r="N806" s="8" t="str">
        <f>VLOOKUP(K806,tblCountries[],3,0)</f>
        <v>Asia</v>
      </c>
      <c r="O806" s="8">
        <f>VLOOKUP(tblSalaries[[#This Row],[How many hours of a day you work on Excel]],tblHours,2,0)</f>
        <v>4</v>
      </c>
      <c r="P806" s="8">
        <f>VLOOKUP(tblSalaries[[#This Row],[clean Country]],tblCountries[],5,0)</f>
        <v>13.098808879263672</v>
      </c>
      <c r="Q806" s="8">
        <f>IF($Q$1,tblSalaries[[#This Row],[PPP Factor]]*tblSalaries[[#This Row],[Salary in USD]],tblSalaries[[#This Row],[Salary in USD]])</f>
        <v>9188.8850107203652</v>
      </c>
    </row>
    <row r="807" spans="2:17" ht="15" customHeight="1" x14ac:dyDescent="0.25">
      <c r="B807" t="s">
        <v>2810</v>
      </c>
      <c r="C807" s="1">
        <v>41055.936990740738</v>
      </c>
      <c r="D807" s="4" t="s">
        <v>940</v>
      </c>
      <c r="E807">
        <v>504000</v>
      </c>
      <c r="F807" t="s">
        <v>40</v>
      </c>
      <c r="G807">
        <f>tblSalaries[[#This Row],[clean Salary (in local currency)]]*VLOOKUP(tblSalaries[[#This Row],[Currency]],tblXrate[],2,FALSE)</f>
        <v>8975.1900104710548</v>
      </c>
      <c r="H807" t="s">
        <v>941</v>
      </c>
      <c r="I807" t="s">
        <v>52</v>
      </c>
      <c r="J807" t="s">
        <v>8</v>
      </c>
      <c r="K807" t="str">
        <f>VLOOKUP(tblSalaries[[#This Row],[Where do you work]],tblCountries[[Actual]:[Mapping]],2,FALSE)</f>
        <v>India</v>
      </c>
      <c r="L807" t="s">
        <v>13</v>
      </c>
      <c r="M807">
        <v>3</v>
      </c>
      <c r="N807" s="8" t="str">
        <f>VLOOKUP(K807,tblCountries[],3,0)</f>
        <v>Asia</v>
      </c>
      <c r="O807" s="8">
        <f>VLOOKUP(tblSalaries[[#This Row],[How many hours of a day you work on Excel]],tblHours,2,0)</f>
        <v>5</v>
      </c>
      <c r="P807" s="8">
        <f>VLOOKUP(tblSalaries[[#This Row],[clean Country]],tblCountries[],5,0)</f>
        <v>13.098808879263672</v>
      </c>
      <c r="Q807" s="8">
        <f>IF($Q$1,tblSalaries[[#This Row],[PPP Factor]]*tblSalaries[[#This Row],[Salary in USD]],tblSalaries[[#This Row],[Salary in USD]])</f>
        <v>8975.1900104710548</v>
      </c>
    </row>
    <row r="808" spans="2:17" ht="15" customHeight="1" x14ac:dyDescent="0.25">
      <c r="B808" t="s">
        <v>2811</v>
      </c>
      <c r="C808" s="1">
        <v>41055.937048611115</v>
      </c>
      <c r="D808" s="4">
        <v>144000</v>
      </c>
      <c r="E808">
        <v>144000</v>
      </c>
      <c r="F808" t="s">
        <v>40</v>
      </c>
      <c r="G808">
        <f>tblSalaries[[#This Row],[clean Salary (in local currency)]]*VLOOKUP(tblSalaries[[#This Row],[Currency]],tblXrate[],2,FALSE)</f>
        <v>2564.3400029917298</v>
      </c>
      <c r="H808" t="s">
        <v>942</v>
      </c>
      <c r="I808" t="s">
        <v>20</v>
      </c>
      <c r="J808" t="s">
        <v>8</v>
      </c>
      <c r="K808" t="str">
        <f>VLOOKUP(tblSalaries[[#This Row],[Where do you work]],tblCountries[[Actual]:[Mapping]],2,FALSE)</f>
        <v>India</v>
      </c>
      <c r="L808" t="s">
        <v>13</v>
      </c>
      <c r="M808">
        <v>1</v>
      </c>
      <c r="N808" s="8" t="str">
        <f>VLOOKUP(K808,tblCountries[],3,0)</f>
        <v>Asia</v>
      </c>
      <c r="O808" s="8">
        <f>VLOOKUP(tblSalaries[[#This Row],[How many hours of a day you work on Excel]],tblHours,2,0)</f>
        <v>5</v>
      </c>
      <c r="P808" s="8">
        <f>VLOOKUP(tblSalaries[[#This Row],[clean Country]],tblCountries[],5,0)</f>
        <v>13.098808879263672</v>
      </c>
      <c r="Q808" s="8">
        <f>IF($Q$1,tblSalaries[[#This Row],[PPP Factor]]*tblSalaries[[#This Row],[Salary in USD]],tblSalaries[[#This Row],[Salary in USD]])</f>
        <v>2564.3400029917298</v>
      </c>
    </row>
    <row r="809" spans="2:17" ht="15" customHeight="1" x14ac:dyDescent="0.25">
      <c r="B809" t="s">
        <v>2812</v>
      </c>
      <c r="C809" s="1">
        <v>41055.946655092594</v>
      </c>
      <c r="D809" s="4" t="s">
        <v>943</v>
      </c>
      <c r="E809">
        <v>55000</v>
      </c>
      <c r="F809" t="s">
        <v>69</v>
      </c>
      <c r="G809">
        <f>tblSalaries[[#This Row],[clean Salary (in local currency)]]*VLOOKUP(tblSalaries[[#This Row],[Currency]],tblXrate[],2,FALSE)</f>
        <v>86689.804963700633</v>
      </c>
      <c r="H809" t="s">
        <v>944</v>
      </c>
      <c r="I809" t="s">
        <v>488</v>
      </c>
      <c r="J809" t="s">
        <v>71</v>
      </c>
      <c r="K809" t="str">
        <f>VLOOKUP(tblSalaries[[#This Row],[Where do you work]],tblCountries[[Actual]:[Mapping]],2,FALSE)</f>
        <v>UK</v>
      </c>
      <c r="L809" t="s">
        <v>9</v>
      </c>
      <c r="M809">
        <v>12</v>
      </c>
      <c r="N809" s="8" t="str">
        <f>VLOOKUP(K809,tblCountries[],3,0)</f>
        <v>Europe</v>
      </c>
      <c r="O809" s="8">
        <f>VLOOKUP(tblSalaries[[#This Row],[How many hours of a day you work on Excel]],tblHours,2,0)</f>
        <v>4</v>
      </c>
      <c r="P809" s="8">
        <f>VLOOKUP(tblSalaries[[#This Row],[clean Country]],tblCountries[],5,0)</f>
        <v>1.3407315045719035</v>
      </c>
      <c r="Q809" s="8">
        <f>IF($Q$1,tblSalaries[[#This Row],[PPP Factor]]*tblSalaries[[#This Row],[Salary in USD]],tblSalaries[[#This Row],[Salary in USD]])</f>
        <v>86689.804963700633</v>
      </c>
    </row>
    <row r="810" spans="2:17" ht="15" customHeight="1" x14ac:dyDescent="0.25">
      <c r="B810" t="s">
        <v>2813</v>
      </c>
      <c r="C810" s="1">
        <v>41055.946666666663</v>
      </c>
      <c r="D810" s="4">
        <v>15500</v>
      </c>
      <c r="E810">
        <v>15500</v>
      </c>
      <c r="F810" t="s">
        <v>6</v>
      </c>
      <c r="G810">
        <f>tblSalaries[[#This Row],[clean Salary (in local currency)]]*VLOOKUP(tblSalaries[[#This Row],[Currency]],tblXrate[],2,FALSE)</f>
        <v>15500</v>
      </c>
      <c r="H810" t="s">
        <v>279</v>
      </c>
      <c r="I810" t="s">
        <v>279</v>
      </c>
      <c r="J810" t="s">
        <v>8</v>
      </c>
      <c r="K810" t="str">
        <f>VLOOKUP(tblSalaries[[#This Row],[Where do you work]],tblCountries[[Actual]:[Mapping]],2,FALSE)</f>
        <v>India</v>
      </c>
      <c r="L810" t="s">
        <v>25</v>
      </c>
      <c r="M810">
        <v>3</v>
      </c>
      <c r="N810" s="8" t="str">
        <f>VLOOKUP(K810,tblCountries[],3,0)</f>
        <v>Asia</v>
      </c>
      <c r="O810" s="8">
        <f>VLOOKUP(tblSalaries[[#This Row],[How many hours of a day you work on Excel]],tblHours,2,0)</f>
        <v>2</v>
      </c>
      <c r="P810" s="8">
        <f>VLOOKUP(tblSalaries[[#This Row],[clean Country]],tblCountries[],5,0)</f>
        <v>13.098808879263672</v>
      </c>
      <c r="Q810" s="8">
        <f>IF($Q$1,tblSalaries[[#This Row],[PPP Factor]]*tblSalaries[[#This Row],[Salary in USD]],tblSalaries[[#This Row],[Salary in USD]])</f>
        <v>15500</v>
      </c>
    </row>
    <row r="811" spans="2:17" ht="15" customHeight="1" x14ac:dyDescent="0.25">
      <c r="B811" t="s">
        <v>2814</v>
      </c>
      <c r="C811" s="1">
        <v>41055.948078703703</v>
      </c>
      <c r="D811" s="4" t="s">
        <v>945</v>
      </c>
      <c r="E811">
        <v>300000</v>
      </c>
      <c r="F811" t="s">
        <v>3900</v>
      </c>
      <c r="G811">
        <f>tblSalaries[[#This Row],[clean Salary (in local currency)]]*VLOOKUP(tblSalaries[[#This Row],[Currency]],tblXrate[],2,FALSE)</f>
        <v>148284.35006969364</v>
      </c>
      <c r="H811" t="s">
        <v>946</v>
      </c>
      <c r="I811" t="s">
        <v>20</v>
      </c>
      <c r="J811" t="s">
        <v>143</v>
      </c>
      <c r="K811" t="str">
        <f>VLOOKUP(tblSalaries[[#This Row],[Where do you work]],tblCountries[[Actual]:[Mapping]],2,FALSE)</f>
        <v>Brazil</v>
      </c>
      <c r="L811" t="s">
        <v>13</v>
      </c>
      <c r="M811">
        <v>3</v>
      </c>
      <c r="N811" s="8" t="str">
        <f>VLOOKUP(K811,tblCountries[],3,0)</f>
        <v>South Amer.</v>
      </c>
      <c r="O811" s="8">
        <f>VLOOKUP(tblSalaries[[#This Row],[How many hours of a day you work on Excel]],tblHours,2,0)</f>
        <v>5</v>
      </c>
      <c r="P811" s="8">
        <f>VLOOKUP(tblSalaries[[#This Row],[clean Country]],tblCountries[],5,0)</f>
        <v>4.1113943410655107</v>
      </c>
      <c r="Q811" s="8">
        <f>IF($Q$1,tblSalaries[[#This Row],[PPP Factor]]*tblSalaries[[#This Row],[Salary in USD]],tblSalaries[[#This Row],[Salary in USD]])</f>
        <v>148284.35006969364</v>
      </c>
    </row>
    <row r="812" spans="2:17" ht="15" customHeight="1" x14ac:dyDescent="0.25">
      <c r="B812" t="s">
        <v>2815</v>
      </c>
      <c r="C812" s="1">
        <v>41055.950127314813</v>
      </c>
      <c r="D812" s="4">
        <v>600000</v>
      </c>
      <c r="E812">
        <v>600000</v>
      </c>
      <c r="F812" t="s">
        <v>40</v>
      </c>
      <c r="G812">
        <f>tblSalaries[[#This Row],[clean Salary (in local currency)]]*VLOOKUP(tblSalaries[[#This Row],[Currency]],tblXrate[],2,FALSE)</f>
        <v>10684.750012465542</v>
      </c>
      <c r="H812" t="s">
        <v>855</v>
      </c>
      <c r="I812" t="s">
        <v>20</v>
      </c>
      <c r="J812" t="s">
        <v>8</v>
      </c>
      <c r="K812" t="str">
        <f>VLOOKUP(tblSalaries[[#This Row],[Where do you work]],tblCountries[[Actual]:[Mapping]],2,FALSE)</f>
        <v>India</v>
      </c>
      <c r="L812" t="s">
        <v>13</v>
      </c>
      <c r="M812">
        <v>5</v>
      </c>
      <c r="N812" s="8" t="str">
        <f>VLOOKUP(K812,tblCountries[],3,0)</f>
        <v>Asia</v>
      </c>
      <c r="O812" s="8">
        <f>VLOOKUP(tblSalaries[[#This Row],[How many hours of a day you work on Excel]],tblHours,2,0)</f>
        <v>5</v>
      </c>
      <c r="P812" s="8">
        <f>VLOOKUP(tblSalaries[[#This Row],[clean Country]],tblCountries[],5,0)</f>
        <v>13.098808879263672</v>
      </c>
      <c r="Q812" s="8">
        <f>IF($Q$1,tblSalaries[[#This Row],[PPP Factor]]*tblSalaries[[#This Row],[Salary in USD]],tblSalaries[[#This Row],[Salary in USD]])</f>
        <v>10684.750012465542</v>
      </c>
    </row>
    <row r="813" spans="2:17" ht="15" customHeight="1" x14ac:dyDescent="0.25">
      <c r="B813" t="s">
        <v>2816</v>
      </c>
      <c r="C813" s="1">
        <v>41055.95108796296</v>
      </c>
      <c r="D813" s="4">
        <v>75000</v>
      </c>
      <c r="E813">
        <v>75000</v>
      </c>
      <c r="F813" t="s">
        <v>6</v>
      </c>
      <c r="G813">
        <f>tblSalaries[[#This Row],[clean Salary (in local currency)]]*VLOOKUP(tblSalaries[[#This Row],[Currency]],tblXrate[],2,FALSE)</f>
        <v>75000</v>
      </c>
      <c r="H813" t="s">
        <v>947</v>
      </c>
      <c r="I813" t="s">
        <v>20</v>
      </c>
      <c r="J813" t="s">
        <v>15</v>
      </c>
      <c r="K813" t="str">
        <f>VLOOKUP(tblSalaries[[#This Row],[Where do you work]],tblCountries[[Actual]:[Mapping]],2,FALSE)</f>
        <v>USA</v>
      </c>
      <c r="L813" t="s">
        <v>18</v>
      </c>
      <c r="M813">
        <v>27</v>
      </c>
      <c r="N813" s="8" t="str">
        <f>VLOOKUP(K813,tblCountries[],3,0)</f>
        <v>North Amer.</v>
      </c>
      <c r="O813" s="8">
        <f>VLOOKUP(tblSalaries[[#This Row],[How many hours of a day you work on Excel]],tblHours,2,0)</f>
        <v>3</v>
      </c>
      <c r="P813" s="8">
        <f>VLOOKUP(tblSalaries[[#This Row],[clean Country]],tblCountries[],5,0)</f>
        <v>1</v>
      </c>
      <c r="Q813" s="8">
        <f>IF($Q$1,tblSalaries[[#This Row],[PPP Factor]]*tblSalaries[[#This Row],[Salary in USD]],tblSalaries[[#This Row],[Salary in USD]])</f>
        <v>75000</v>
      </c>
    </row>
    <row r="814" spans="2:17" ht="15" customHeight="1" x14ac:dyDescent="0.25">
      <c r="B814" t="s">
        <v>2817</v>
      </c>
      <c r="C814" s="1">
        <v>41055.953877314816</v>
      </c>
      <c r="D814" s="4" t="s">
        <v>948</v>
      </c>
      <c r="E814">
        <v>12000</v>
      </c>
      <c r="F814" t="s">
        <v>6</v>
      </c>
      <c r="G814">
        <f>tblSalaries[[#This Row],[clean Salary (in local currency)]]*VLOOKUP(tblSalaries[[#This Row],[Currency]],tblXrate[],2,FALSE)</f>
        <v>12000</v>
      </c>
      <c r="H814" t="s">
        <v>949</v>
      </c>
      <c r="I814" t="s">
        <v>52</v>
      </c>
      <c r="J814" t="s">
        <v>27</v>
      </c>
      <c r="K814" t="str">
        <f>VLOOKUP(tblSalaries[[#This Row],[Where do you work]],tblCountries[[Actual]:[Mapping]],2,FALSE)</f>
        <v>Ukraine</v>
      </c>
      <c r="L814" t="s">
        <v>9</v>
      </c>
      <c r="M814">
        <v>5</v>
      </c>
      <c r="N814" s="8" t="str">
        <f>VLOOKUP(K814,tblCountries[],3,0)</f>
        <v>Europe</v>
      </c>
      <c r="O814" s="8">
        <f>VLOOKUP(tblSalaries[[#This Row],[How many hours of a day you work on Excel]],tblHours,2,0)</f>
        <v>4</v>
      </c>
      <c r="P814" s="8">
        <f>VLOOKUP(tblSalaries[[#This Row],[clean Country]],tblCountries[],5,0)</f>
        <v>6.6897552882621323</v>
      </c>
      <c r="Q814" s="8">
        <f>IF($Q$1,tblSalaries[[#This Row],[PPP Factor]]*tblSalaries[[#This Row],[Salary in USD]],tblSalaries[[#This Row],[Salary in USD]])</f>
        <v>12000</v>
      </c>
    </row>
    <row r="815" spans="2:17" ht="15" customHeight="1" x14ac:dyDescent="0.25">
      <c r="B815" t="s">
        <v>2818</v>
      </c>
      <c r="C815" s="1">
        <v>41055.959722222222</v>
      </c>
      <c r="D815" s="4" t="s">
        <v>950</v>
      </c>
      <c r="E815">
        <v>1700000</v>
      </c>
      <c r="F815" t="s">
        <v>40</v>
      </c>
      <c r="G815">
        <f>tblSalaries[[#This Row],[clean Salary (in local currency)]]*VLOOKUP(tblSalaries[[#This Row],[Currency]],tblXrate[],2,FALSE)</f>
        <v>30273.458368652366</v>
      </c>
      <c r="H815" t="s">
        <v>951</v>
      </c>
      <c r="I815" t="s">
        <v>52</v>
      </c>
      <c r="J815" t="s">
        <v>8</v>
      </c>
      <c r="K815" t="str">
        <f>VLOOKUP(tblSalaries[[#This Row],[Where do you work]],tblCountries[[Actual]:[Mapping]],2,FALSE)</f>
        <v>India</v>
      </c>
      <c r="L815" t="s">
        <v>13</v>
      </c>
      <c r="M815">
        <v>1.1000000000000001</v>
      </c>
      <c r="N815" s="8" t="str">
        <f>VLOOKUP(K815,tblCountries[],3,0)</f>
        <v>Asia</v>
      </c>
      <c r="O815" s="8">
        <f>VLOOKUP(tblSalaries[[#This Row],[How many hours of a day you work on Excel]],tblHours,2,0)</f>
        <v>5</v>
      </c>
      <c r="P815" s="8">
        <f>VLOOKUP(tblSalaries[[#This Row],[clean Country]],tblCountries[],5,0)</f>
        <v>13.098808879263672</v>
      </c>
      <c r="Q815" s="8">
        <f>IF($Q$1,tblSalaries[[#This Row],[PPP Factor]]*tblSalaries[[#This Row],[Salary in USD]],tblSalaries[[#This Row],[Salary in USD]])</f>
        <v>30273.458368652366</v>
      </c>
    </row>
    <row r="816" spans="2:17" ht="15" customHeight="1" x14ac:dyDescent="0.25">
      <c r="B816" t="s">
        <v>2819</v>
      </c>
      <c r="C816" s="1">
        <v>41055.960659722223</v>
      </c>
      <c r="D816" s="4" t="s">
        <v>952</v>
      </c>
      <c r="E816">
        <v>30000</v>
      </c>
      <c r="F816" t="s">
        <v>6</v>
      </c>
      <c r="G816">
        <f>tblSalaries[[#This Row],[clean Salary (in local currency)]]*VLOOKUP(tblSalaries[[#This Row],[Currency]],tblXrate[],2,FALSE)</f>
        <v>30000</v>
      </c>
      <c r="H816" t="s">
        <v>953</v>
      </c>
      <c r="I816" t="s">
        <v>488</v>
      </c>
      <c r="J816" t="s">
        <v>954</v>
      </c>
      <c r="K816" t="str">
        <f>VLOOKUP(tblSalaries[[#This Row],[Where do you work]],tblCountries[[Actual]:[Mapping]],2,FALSE)</f>
        <v>Indonesia</v>
      </c>
      <c r="L816" t="s">
        <v>9</v>
      </c>
      <c r="M816">
        <v>7</v>
      </c>
      <c r="N816" s="8" t="str">
        <f>VLOOKUP(K816,tblCountries[],3,0)</f>
        <v>Asia</v>
      </c>
      <c r="O816" s="8">
        <f>VLOOKUP(tblSalaries[[#This Row],[How many hours of a day you work on Excel]],tblHours,2,0)</f>
        <v>4</v>
      </c>
      <c r="P816" s="8">
        <f>VLOOKUP(tblSalaries[[#This Row],[clean Country]],tblCountries[],5,0)</f>
        <v>10.370124303471924</v>
      </c>
      <c r="Q816" s="8">
        <f>IF($Q$1,tblSalaries[[#This Row],[PPP Factor]]*tblSalaries[[#This Row],[Salary in USD]],tblSalaries[[#This Row],[Salary in USD]])</f>
        <v>30000</v>
      </c>
    </row>
    <row r="817" spans="2:17" ht="15" customHeight="1" x14ac:dyDescent="0.25">
      <c r="B817" t="s">
        <v>2820</v>
      </c>
      <c r="C817" s="1">
        <v>41055.961099537039</v>
      </c>
      <c r="D817" s="4" t="s">
        <v>419</v>
      </c>
      <c r="E817">
        <v>360000</v>
      </c>
      <c r="F817" t="s">
        <v>40</v>
      </c>
      <c r="G817">
        <f>tblSalaries[[#This Row],[clean Salary (in local currency)]]*VLOOKUP(tblSalaries[[#This Row],[Currency]],tblXrate[],2,FALSE)</f>
        <v>6410.8500074793246</v>
      </c>
      <c r="H817" t="s">
        <v>955</v>
      </c>
      <c r="I817" t="s">
        <v>20</v>
      </c>
      <c r="J817" t="s">
        <v>8</v>
      </c>
      <c r="K817" t="str">
        <f>VLOOKUP(tblSalaries[[#This Row],[Where do you work]],tblCountries[[Actual]:[Mapping]],2,FALSE)</f>
        <v>India</v>
      </c>
      <c r="L817" t="s">
        <v>13</v>
      </c>
      <c r="M817">
        <v>4</v>
      </c>
      <c r="N817" s="8" t="str">
        <f>VLOOKUP(K817,tblCountries[],3,0)</f>
        <v>Asia</v>
      </c>
      <c r="O817" s="8">
        <f>VLOOKUP(tblSalaries[[#This Row],[How many hours of a day you work on Excel]],tblHours,2,0)</f>
        <v>5</v>
      </c>
      <c r="P817" s="8">
        <f>VLOOKUP(tblSalaries[[#This Row],[clean Country]],tblCountries[],5,0)</f>
        <v>13.098808879263672</v>
      </c>
      <c r="Q817" s="8">
        <f>IF($Q$1,tblSalaries[[#This Row],[PPP Factor]]*tblSalaries[[#This Row],[Salary in USD]],tblSalaries[[#This Row],[Salary in USD]])</f>
        <v>6410.8500074793246</v>
      </c>
    </row>
    <row r="818" spans="2:17" ht="15" customHeight="1" x14ac:dyDescent="0.25">
      <c r="B818" t="s">
        <v>2821</v>
      </c>
      <c r="C818" s="1">
        <v>41055.961134259262</v>
      </c>
      <c r="D818" s="4">
        <v>100000</v>
      </c>
      <c r="E818">
        <v>100000</v>
      </c>
      <c r="F818" t="s">
        <v>6</v>
      </c>
      <c r="G818">
        <f>tblSalaries[[#This Row],[clean Salary (in local currency)]]*VLOOKUP(tblSalaries[[#This Row],[Currency]],tblXrate[],2,FALSE)</f>
        <v>100000</v>
      </c>
      <c r="H818" t="s">
        <v>456</v>
      </c>
      <c r="I818" t="s">
        <v>4001</v>
      </c>
      <c r="J818" t="s">
        <v>15</v>
      </c>
      <c r="K818" t="str">
        <f>VLOOKUP(tblSalaries[[#This Row],[Where do you work]],tblCountries[[Actual]:[Mapping]],2,FALSE)</f>
        <v>USA</v>
      </c>
      <c r="L818" t="s">
        <v>9</v>
      </c>
      <c r="M818">
        <v>10</v>
      </c>
      <c r="N818" s="8" t="str">
        <f>VLOOKUP(K818,tblCountries[],3,0)</f>
        <v>North Amer.</v>
      </c>
      <c r="O818" s="8">
        <f>VLOOKUP(tblSalaries[[#This Row],[How many hours of a day you work on Excel]],tblHours,2,0)</f>
        <v>4</v>
      </c>
      <c r="P818" s="8">
        <f>VLOOKUP(tblSalaries[[#This Row],[clean Country]],tblCountries[],5,0)</f>
        <v>1</v>
      </c>
      <c r="Q818" s="8">
        <f>IF($Q$1,tblSalaries[[#This Row],[PPP Factor]]*tblSalaries[[#This Row],[Salary in USD]],tblSalaries[[#This Row],[Salary in USD]])</f>
        <v>100000</v>
      </c>
    </row>
    <row r="819" spans="2:17" ht="15" customHeight="1" x14ac:dyDescent="0.25">
      <c r="B819" t="s">
        <v>2822</v>
      </c>
      <c r="C819" s="1">
        <v>41055.961724537039</v>
      </c>
      <c r="D819" s="4">
        <v>42000</v>
      </c>
      <c r="E819">
        <v>42000</v>
      </c>
      <c r="F819" t="s">
        <v>22</v>
      </c>
      <c r="G819">
        <f>tblSalaries[[#This Row],[clean Salary (in local currency)]]*VLOOKUP(tblSalaries[[#This Row],[Currency]],tblXrate[],2,FALSE)</f>
        <v>53356.776437647524</v>
      </c>
      <c r="H819" t="s">
        <v>43</v>
      </c>
      <c r="I819" t="s">
        <v>279</v>
      </c>
      <c r="J819" t="s">
        <v>96</v>
      </c>
      <c r="K819" t="str">
        <f>VLOOKUP(tblSalaries[[#This Row],[Where do you work]],tblCountries[[Actual]:[Mapping]],2,FALSE)</f>
        <v>Netherlands</v>
      </c>
      <c r="L819" t="s">
        <v>9</v>
      </c>
      <c r="M819">
        <v>2</v>
      </c>
      <c r="N819" s="8" t="str">
        <f>VLOOKUP(K819,tblCountries[],3,0)</f>
        <v>Europe</v>
      </c>
      <c r="O819" s="8">
        <f>VLOOKUP(tblSalaries[[#This Row],[How many hours of a day you work on Excel]],tblHours,2,0)</f>
        <v>4</v>
      </c>
      <c r="P819" s="8">
        <f>VLOOKUP(tblSalaries[[#This Row],[clean Country]],tblCountries[],5,0)</f>
        <v>1.1470734656141099</v>
      </c>
      <c r="Q819" s="8">
        <f>IF($Q$1,tblSalaries[[#This Row],[PPP Factor]]*tblSalaries[[#This Row],[Salary in USD]],tblSalaries[[#This Row],[Salary in USD]])</f>
        <v>53356.776437647524</v>
      </c>
    </row>
    <row r="820" spans="2:17" ht="15" customHeight="1" x14ac:dyDescent="0.25">
      <c r="B820" t="s">
        <v>2823</v>
      </c>
      <c r="C820" s="1">
        <v>41055.96197916667</v>
      </c>
      <c r="D820" s="4">
        <v>40000</v>
      </c>
      <c r="E820">
        <v>40000</v>
      </c>
      <c r="F820" t="s">
        <v>6</v>
      </c>
      <c r="G820">
        <f>tblSalaries[[#This Row],[clean Salary (in local currency)]]*VLOOKUP(tblSalaries[[#This Row],[Currency]],tblXrate[],2,FALSE)</f>
        <v>40000</v>
      </c>
      <c r="H820" t="s">
        <v>956</v>
      </c>
      <c r="I820" t="s">
        <v>52</v>
      </c>
      <c r="J820" t="s">
        <v>15</v>
      </c>
      <c r="K820" t="str">
        <f>VLOOKUP(tblSalaries[[#This Row],[Where do you work]],tblCountries[[Actual]:[Mapping]],2,FALSE)</f>
        <v>USA</v>
      </c>
      <c r="L820" t="s">
        <v>18</v>
      </c>
      <c r="M820">
        <v>20</v>
      </c>
      <c r="N820" s="8" t="str">
        <f>VLOOKUP(K820,tblCountries[],3,0)</f>
        <v>North Amer.</v>
      </c>
      <c r="O820" s="8">
        <f>VLOOKUP(tblSalaries[[#This Row],[How many hours of a day you work on Excel]],tblHours,2,0)</f>
        <v>3</v>
      </c>
      <c r="P820" s="8">
        <f>VLOOKUP(tblSalaries[[#This Row],[clean Country]],tblCountries[],5,0)</f>
        <v>1</v>
      </c>
      <c r="Q820" s="8">
        <f>IF($Q$1,tblSalaries[[#This Row],[PPP Factor]]*tblSalaries[[#This Row],[Salary in USD]],tblSalaries[[#This Row],[Salary in USD]])</f>
        <v>40000</v>
      </c>
    </row>
    <row r="821" spans="2:17" ht="15" customHeight="1" x14ac:dyDescent="0.25">
      <c r="B821" t="s">
        <v>2824</v>
      </c>
      <c r="C821" s="1">
        <v>41055.968726851854</v>
      </c>
      <c r="D821" s="4" t="s">
        <v>957</v>
      </c>
      <c r="E821">
        <v>550000</v>
      </c>
      <c r="F821" t="s">
        <v>40</v>
      </c>
      <c r="G821">
        <f>tblSalaries[[#This Row],[clean Salary (in local currency)]]*VLOOKUP(tblSalaries[[#This Row],[Currency]],tblXrate[],2,FALSE)</f>
        <v>9794.354178093412</v>
      </c>
      <c r="H821" t="s">
        <v>537</v>
      </c>
      <c r="I821" t="s">
        <v>20</v>
      </c>
      <c r="J821" t="s">
        <v>8</v>
      </c>
      <c r="K821" t="str">
        <f>VLOOKUP(tblSalaries[[#This Row],[Where do you work]],tblCountries[[Actual]:[Mapping]],2,FALSE)</f>
        <v>India</v>
      </c>
      <c r="L821" t="s">
        <v>9</v>
      </c>
      <c r="M821">
        <v>1</v>
      </c>
      <c r="N821" s="8" t="str">
        <f>VLOOKUP(K821,tblCountries[],3,0)</f>
        <v>Asia</v>
      </c>
      <c r="O821" s="8">
        <f>VLOOKUP(tblSalaries[[#This Row],[How many hours of a day you work on Excel]],tblHours,2,0)</f>
        <v>4</v>
      </c>
      <c r="P821" s="8">
        <f>VLOOKUP(tblSalaries[[#This Row],[clean Country]],tblCountries[],5,0)</f>
        <v>13.098808879263672</v>
      </c>
      <c r="Q821" s="8">
        <f>IF($Q$1,tblSalaries[[#This Row],[PPP Factor]]*tblSalaries[[#This Row],[Salary in USD]],tblSalaries[[#This Row],[Salary in USD]])</f>
        <v>9794.354178093412</v>
      </c>
    </row>
    <row r="822" spans="2:17" ht="15" customHeight="1" x14ac:dyDescent="0.25">
      <c r="B822" t="s">
        <v>2825</v>
      </c>
      <c r="C822" s="1">
        <v>41055.968958333331</v>
      </c>
      <c r="D822" s="4" t="s">
        <v>958</v>
      </c>
      <c r="E822">
        <v>65000</v>
      </c>
      <c r="F822" t="s">
        <v>959</v>
      </c>
      <c r="G822">
        <f>tblSalaries[[#This Row],[clean Salary (in local currency)]]*VLOOKUP(tblSalaries[[#This Row],[Currency]],tblXrate[],2,FALSE)</f>
        <v>18499.860539512854</v>
      </c>
      <c r="H822" t="s">
        <v>960</v>
      </c>
      <c r="I822" t="s">
        <v>67</v>
      </c>
      <c r="J822" t="s">
        <v>73</v>
      </c>
      <c r="K822" t="str">
        <f>VLOOKUP(tblSalaries[[#This Row],[Where do you work]],tblCountries[[Actual]:[Mapping]],2,FALSE)</f>
        <v>Romania</v>
      </c>
      <c r="L822" t="s">
        <v>9</v>
      </c>
      <c r="M822">
        <v>6</v>
      </c>
      <c r="N822" s="8" t="str">
        <f>VLOOKUP(K822,tblCountries[],3,0)</f>
        <v>Europe</v>
      </c>
      <c r="O822" s="8">
        <f>VLOOKUP(tblSalaries[[#This Row],[How many hours of a day you work on Excel]],tblHours,2,0)</f>
        <v>4</v>
      </c>
      <c r="P822" s="8">
        <f>VLOOKUP(tblSalaries[[#This Row],[clean Country]],tblCountries[],5,0)</f>
        <v>3.8784065405578709</v>
      </c>
      <c r="Q822" s="8">
        <f>IF($Q$1,tblSalaries[[#This Row],[PPP Factor]]*tblSalaries[[#This Row],[Salary in USD]],tblSalaries[[#This Row],[Salary in USD]])</f>
        <v>18499.860539512854</v>
      </c>
    </row>
    <row r="823" spans="2:17" ht="15" customHeight="1" x14ac:dyDescent="0.25">
      <c r="B823" t="s">
        <v>2826</v>
      </c>
      <c r="C823" s="1">
        <v>41055.970243055555</v>
      </c>
      <c r="D823" s="4" t="s">
        <v>961</v>
      </c>
      <c r="E823">
        <v>15600</v>
      </c>
      <c r="F823" t="s">
        <v>22</v>
      </c>
      <c r="G823">
        <f>tblSalaries[[#This Row],[clean Salary (in local currency)]]*VLOOKUP(tblSalaries[[#This Row],[Currency]],tblXrate[],2,FALSE)</f>
        <v>19818.231248269083</v>
      </c>
      <c r="H823" t="s">
        <v>962</v>
      </c>
      <c r="I823" t="s">
        <v>488</v>
      </c>
      <c r="J823" t="s">
        <v>30</v>
      </c>
      <c r="K823" t="str">
        <f>VLOOKUP(tblSalaries[[#This Row],[Where do you work]],tblCountries[[Actual]:[Mapping]],2,FALSE)</f>
        <v>Portugal</v>
      </c>
      <c r="L823" t="s">
        <v>9</v>
      </c>
      <c r="M823">
        <v>5</v>
      </c>
      <c r="N823" s="8" t="str">
        <f>VLOOKUP(K823,tblCountries[],3,0)</f>
        <v>Europe</v>
      </c>
      <c r="O823" s="8">
        <f>VLOOKUP(tblSalaries[[#This Row],[How many hours of a day you work on Excel]],tblHours,2,0)</f>
        <v>4</v>
      </c>
      <c r="P823" s="8">
        <f>VLOOKUP(tblSalaries[[#This Row],[clean Country]],tblCountries[],5,0)</f>
        <v>2.0712726338769745</v>
      </c>
      <c r="Q823" s="8">
        <f>IF($Q$1,tblSalaries[[#This Row],[PPP Factor]]*tblSalaries[[#This Row],[Salary in USD]],tblSalaries[[#This Row],[Salary in USD]])</f>
        <v>19818.231248269083</v>
      </c>
    </row>
    <row r="824" spans="2:17" ht="15" customHeight="1" x14ac:dyDescent="0.25">
      <c r="B824" t="s">
        <v>2827</v>
      </c>
      <c r="C824" s="1">
        <v>41055.973576388889</v>
      </c>
      <c r="D824" s="4" t="s">
        <v>963</v>
      </c>
      <c r="E824">
        <v>600000</v>
      </c>
      <c r="F824" t="s">
        <v>40</v>
      </c>
      <c r="G824">
        <f>tblSalaries[[#This Row],[clean Salary (in local currency)]]*VLOOKUP(tblSalaries[[#This Row],[Currency]],tblXrate[],2,FALSE)</f>
        <v>10684.750012465542</v>
      </c>
      <c r="H824" t="s">
        <v>964</v>
      </c>
      <c r="I824" t="s">
        <v>52</v>
      </c>
      <c r="J824" t="s">
        <v>8</v>
      </c>
      <c r="K824" t="str">
        <f>VLOOKUP(tblSalaries[[#This Row],[Where do you work]],tblCountries[[Actual]:[Mapping]],2,FALSE)</f>
        <v>India</v>
      </c>
      <c r="L824" t="s">
        <v>13</v>
      </c>
      <c r="M824">
        <v>20</v>
      </c>
      <c r="N824" s="8" t="str">
        <f>VLOOKUP(K824,tblCountries[],3,0)</f>
        <v>Asia</v>
      </c>
      <c r="O824" s="8">
        <f>VLOOKUP(tblSalaries[[#This Row],[How many hours of a day you work on Excel]],tblHours,2,0)</f>
        <v>5</v>
      </c>
      <c r="P824" s="8">
        <f>VLOOKUP(tblSalaries[[#This Row],[clean Country]],tblCountries[],5,0)</f>
        <v>13.098808879263672</v>
      </c>
      <c r="Q824" s="8">
        <f>IF($Q$1,tblSalaries[[#This Row],[PPP Factor]]*tblSalaries[[#This Row],[Salary in USD]],tblSalaries[[#This Row],[Salary in USD]])</f>
        <v>10684.750012465542</v>
      </c>
    </row>
    <row r="825" spans="2:17" ht="15" customHeight="1" x14ac:dyDescent="0.25">
      <c r="B825" t="s">
        <v>2828</v>
      </c>
      <c r="C825" s="1">
        <v>41055.983495370368</v>
      </c>
      <c r="D825" s="4" t="s">
        <v>965</v>
      </c>
      <c r="E825">
        <v>600000</v>
      </c>
      <c r="F825" t="s">
        <v>40</v>
      </c>
      <c r="G825">
        <f>tblSalaries[[#This Row],[clean Salary (in local currency)]]*VLOOKUP(tblSalaries[[#This Row],[Currency]],tblXrate[],2,FALSE)</f>
        <v>10684.750012465542</v>
      </c>
      <c r="H825" t="s">
        <v>201</v>
      </c>
      <c r="I825" t="s">
        <v>52</v>
      </c>
      <c r="J825" t="s">
        <v>8</v>
      </c>
      <c r="K825" t="str">
        <f>VLOOKUP(tblSalaries[[#This Row],[Where do you work]],tblCountries[[Actual]:[Mapping]],2,FALSE)</f>
        <v>India</v>
      </c>
      <c r="L825" t="s">
        <v>18</v>
      </c>
      <c r="M825">
        <v>18</v>
      </c>
      <c r="N825" s="8" t="str">
        <f>VLOOKUP(K825,tblCountries[],3,0)</f>
        <v>Asia</v>
      </c>
      <c r="O825" s="8">
        <f>VLOOKUP(tblSalaries[[#This Row],[How many hours of a day you work on Excel]],tblHours,2,0)</f>
        <v>3</v>
      </c>
      <c r="P825" s="8">
        <f>VLOOKUP(tblSalaries[[#This Row],[clean Country]],tblCountries[],5,0)</f>
        <v>13.098808879263672</v>
      </c>
      <c r="Q825" s="8">
        <f>IF($Q$1,tblSalaries[[#This Row],[PPP Factor]]*tblSalaries[[#This Row],[Salary in USD]],tblSalaries[[#This Row],[Salary in USD]])</f>
        <v>10684.750012465542</v>
      </c>
    </row>
    <row r="826" spans="2:17" ht="15" customHeight="1" x14ac:dyDescent="0.25">
      <c r="B826" t="s">
        <v>2829</v>
      </c>
      <c r="C826" s="1">
        <v>41055.985000000001</v>
      </c>
      <c r="D826" s="4">
        <v>1000000</v>
      </c>
      <c r="E826">
        <v>1000000</v>
      </c>
      <c r="F826" t="s">
        <v>40</v>
      </c>
      <c r="G826">
        <f>tblSalaries[[#This Row],[clean Salary (in local currency)]]*VLOOKUP(tblSalaries[[#This Row],[Currency]],tblXrate[],2,FALSE)</f>
        <v>17807.916687442568</v>
      </c>
      <c r="H826" t="s">
        <v>966</v>
      </c>
      <c r="I826" t="s">
        <v>20</v>
      </c>
      <c r="J826" t="s">
        <v>8</v>
      </c>
      <c r="K826" t="str">
        <f>VLOOKUP(tblSalaries[[#This Row],[Where do you work]],tblCountries[[Actual]:[Mapping]],2,FALSE)</f>
        <v>India</v>
      </c>
      <c r="L826" t="s">
        <v>9</v>
      </c>
      <c r="M826">
        <v>10</v>
      </c>
      <c r="N826" s="8" t="str">
        <f>VLOOKUP(K826,tblCountries[],3,0)</f>
        <v>Asia</v>
      </c>
      <c r="O826" s="8">
        <f>VLOOKUP(tblSalaries[[#This Row],[How many hours of a day you work on Excel]],tblHours,2,0)</f>
        <v>4</v>
      </c>
      <c r="P826" s="8">
        <f>VLOOKUP(tblSalaries[[#This Row],[clean Country]],tblCountries[],5,0)</f>
        <v>13.098808879263672</v>
      </c>
      <c r="Q826" s="8">
        <f>IF($Q$1,tblSalaries[[#This Row],[PPP Factor]]*tblSalaries[[#This Row],[Salary in USD]],tblSalaries[[#This Row],[Salary in USD]])</f>
        <v>17807.916687442568</v>
      </c>
    </row>
    <row r="827" spans="2:17" ht="15" customHeight="1" x14ac:dyDescent="0.25">
      <c r="B827" t="s">
        <v>2830</v>
      </c>
      <c r="C827" s="1">
        <v>41055.991365740738</v>
      </c>
      <c r="D827" s="4" t="s">
        <v>967</v>
      </c>
      <c r="E827">
        <v>13000</v>
      </c>
      <c r="F827" t="s">
        <v>6</v>
      </c>
      <c r="G827">
        <f>tblSalaries[[#This Row],[clean Salary (in local currency)]]*VLOOKUP(tblSalaries[[#This Row],[Currency]],tblXrate[],2,FALSE)</f>
        <v>13000</v>
      </c>
      <c r="H827" t="s">
        <v>207</v>
      </c>
      <c r="I827" t="s">
        <v>20</v>
      </c>
      <c r="J827" t="s">
        <v>8</v>
      </c>
      <c r="K827" t="str">
        <f>VLOOKUP(tblSalaries[[#This Row],[Where do you work]],tblCountries[[Actual]:[Mapping]],2,FALSE)</f>
        <v>India</v>
      </c>
      <c r="L827" t="s">
        <v>13</v>
      </c>
      <c r="M827">
        <v>6</v>
      </c>
      <c r="N827" s="8" t="str">
        <f>VLOOKUP(K827,tblCountries[],3,0)</f>
        <v>Asia</v>
      </c>
      <c r="O827" s="8">
        <f>VLOOKUP(tblSalaries[[#This Row],[How many hours of a day you work on Excel]],tblHours,2,0)</f>
        <v>5</v>
      </c>
      <c r="P827" s="8">
        <f>VLOOKUP(tblSalaries[[#This Row],[clean Country]],tblCountries[],5,0)</f>
        <v>13.098808879263672</v>
      </c>
      <c r="Q827" s="8">
        <f>IF($Q$1,tblSalaries[[#This Row],[PPP Factor]]*tblSalaries[[#This Row],[Salary in USD]],tblSalaries[[#This Row],[Salary in USD]])</f>
        <v>13000</v>
      </c>
    </row>
    <row r="828" spans="2:17" ht="15" customHeight="1" x14ac:dyDescent="0.25">
      <c r="B828" t="s">
        <v>2831</v>
      </c>
      <c r="C828" s="1">
        <v>41055.999224537038</v>
      </c>
      <c r="D828" s="4" t="s">
        <v>968</v>
      </c>
      <c r="E828">
        <v>900000</v>
      </c>
      <c r="F828" t="s">
        <v>40</v>
      </c>
      <c r="G828">
        <f>tblSalaries[[#This Row],[clean Salary (in local currency)]]*VLOOKUP(tblSalaries[[#This Row],[Currency]],tblXrate[],2,FALSE)</f>
        <v>16027.125018698311</v>
      </c>
      <c r="H828" t="s">
        <v>938</v>
      </c>
      <c r="I828" t="s">
        <v>52</v>
      </c>
      <c r="J828" t="s">
        <v>8</v>
      </c>
      <c r="K828" t="str">
        <f>VLOOKUP(tblSalaries[[#This Row],[Where do you work]],tblCountries[[Actual]:[Mapping]],2,FALSE)</f>
        <v>India</v>
      </c>
      <c r="L828" t="s">
        <v>25</v>
      </c>
      <c r="M828">
        <v>9</v>
      </c>
      <c r="N828" s="8" t="str">
        <f>VLOOKUP(K828,tblCountries[],3,0)</f>
        <v>Asia</v>
      </c>
      <c r="O828" s="8">
        <f>VLOOKUP(tblSalaries[[#This Row],[How many hours of a day you work on Excel]],tblHours,2,0)</f>
        <v>2</v>
      </c>
      <c r="P828" s="8">
        <f>VLOOKUP(tblSalaries[[#This Row],[clean Country]],tblCountries[],5,0)</f>
        <v>13.098808879263672</v>
      </c>
      <c r="Q828" s="8">
        <f>IF($Q$1,tblSalaries[[#This Row],[PPP Factor]]*tblSalaries[[#This Row],[Salary in USD]],tblSalaries[[#This Row],[Salary in USD]])</f>
        <v>16027.125018698311</v>
      </c>
    </row>
    <row r="829" spans="2:17" ht="15" customHeight="1" x14ac:dyDescent="0.25">
      <c r="B829" t="s">
        <v>2832</v>
      </c>
      <c r="C829" s="1">
        <v>41056.001909722225</v>
      </c>
      <c r="D829" s="4">
        <v>85000</v>
      </c>
      <c r="E829">
        <v>85000</v>
      </c>
      <c r="F829" t="s">
        <v>6</v>
      </c>
      <c r="G829">
        <f>tblSalaries[[#This Row],[clean Salary (in local currency)]]*VLOOKUP(tblSalaries[[#This Row],[Currency]],tblXrate[],2,FALSE)</f>
        <v>85000</v>
      </c>
      <c r="H829" t="s">
        <v>969</v>
      </c>
      <c r="I829" t="s">
        <v>310</v>
      </c>
      <c r="J829" t="s">
        <v>15</v>
      </c>
      <c r="K829" t="str">
        <f>VLOOKUP(tblSalaries[[#This Row],[Where do you work]],tblCountries[[Actual]:[Mapping]],2,FALSE)</f>
        <v>USA</v>
      </c>
      <c r="L829" t="s">
        <v>13</v>
      </c>
      <c r="M829">
        <v>1</v>
      </c>
      <c r="N829" s="8" t="str">
        <f>VLOOKUP(K829,tblCountries[],3,0)</f>
        <v>North Amer.</v>
      </c>
      <c r="O829" s="8">
        <f>VLOOKUP(tblSalaries[[#This Row],[How many hours of a day you work on Excel]],tblHours,2,0)</f>
        <v>5</v>
      </c>
      <c r="P829" s="8">
        <f>VLOOKUP(tblSalaries[[#This Row],[clean Country]],tblCountries[],5,0)</f>
        <v>1</v>
      </c>
      <c r="Q829" s="8">
        <f>IF($Q$1,tblSalaries[[#This Row],[PPP Factor]]*tblSalaries[[#This Row],[Salary in USD]],tblSalaries[[#This Row],[Salary in USD]])</f>
        <v>85000</v>
      </c>
    </row>
    <row r="830" spans="2:17" ht="15" customHeight="1" x14ac:dyDescent="0.25">
      <c r="B830" t="s">
        <v>2833</v>
      </c>
      <c r="C830" s="1">
        <v>41056.005462962959</v>
      </c>
      <c r="D830" s="4">
        <v>6000</v>
      </c>
      <c r="E830">
        <v>6000</v>
      </c>
      <c r="F830" t="s">
        <v>6</v>
      </c>
      <c r="G830">
        <f>tblSalaries[[#This Row],[clean Salary (in local currency)]]*VLOOKUP(tblSalaries[[#This Row],[Currency]],tblXrate[],2,FALSE)</f>
        <v>6000</v>
      </c>
      <c r="H830" t="s">
        <v>970</v>
      </c>
      <c r="I830" t="s">
        <v>20</v>
      </c>
      <c r="J830" t="s">
        <v>971</v>
      </c>
      <c r="K830" t="str">
        <f>VLOOKUP(tblSalaries[[#This Row],[Where do you work]],tblCountries[[Actual]:[Mapping]],2,FALSE)</f>
        <v>Colombia</v>
      </c>
      <c r="L830" t="s">
        <v>25</v>
      </c>
      <c r="M830">
        <v>10</v>
      </c>
      <c r="N830" s="8" t="str">
        <f>VLOOKUP(K830,tblCountries[],3,0)</f>
        <v>South Amer.</v>
      </c>
      <c r="O830" s="8">
        <f>VLOOKUP(tblSalaries[[#This Row],[How many hours of a day you work on Excel]],tblHours,2,0)</f>
        <v>2</v>
      </c>
      <c r="P830" s="8">
        <f>VLOOKUP(tblSalaries[[#This Row],[clean Country]],tblCountries[],5,0)</f>
        <v>4.721143526197678</v>
      </c>
      <c r="Q830" s="8">
        <f>IF($Q$1,tblSalaries[[#This Row],[PPP Factor]]*tblSalaries[[#This Row],[Salary in USD]],tblSalaries[[#This Row],[Salary in USD]])</f>
        <v>6000</v>
      </c>
    </row>
    <row r="831" spans="2:17" ht="15" customHeight="1" x14ac:dyDescent="0.25">
      <c r="B831" t="s">
        <v>2834</v>
      </c>
      <c r="C831" s="1">
        <v>41056.008946759262</v>
      </c>
      <c r="D831" s="4">
        <v>30000</v>
      </c>
      <c r="E831">
        <v>30000</v>
      </c>
      <c r="F831" t="s">
        <v>6</v>
      </c>
      <c r="G831">
        <f>tblSalaries[[#This Row],[clean Salary (in local currency)]]*VLOOKUP(tblSalaries[[#This Row],[Currency]],tblXrate[],2,FALSE)</f>
        <v>30000</v>
      </c>
      <c r="H831" t="s">
        <v>721</v>
      </c>
      <c r="I831" t="s">
        <v>3999</v>
      </c>
      <c r="J831" t="s">
        <v>8</v>
      </c>
      <c r="K831" t="str">
        <f>VLOOKUP(tblSalaries[[#This Row],[Where do you work]],tblCountries[[Actual]:[Mapping]],2,FALSE)</f>
        <v>India</v>
      </c>
      <c r="L831" t="s">
        <v>9</v>
      </c>
      <c r="M831">
        <v>2</v>
      </c>
      <c r="N831" s="8" t="str">
        <f>VLOOKUP(K831,tblCountries[],3,0)</f>
        <v>Asia</v>
      </c>
      <c r="O831" s="8">
        <f>VLOOKUP(tblSalaries[[#This Row],[How many hours of a day you work on Excel]],tblHours,2,0)</f>
        <v>4</v>
      </c>
      <c r="P831" s="8">
        <f>VLOOKUP(tblSalaries[[#This Row],[clean Country]],tblCountries[],5,0)</f>
        <v>13.098808879263672</v>
      </c>
      <c r="Q831" s="8">
        <f>IF($Q$1,tblSalaries[[#This Row],[PPP Factor]]*tblSalaries[[#This Row],[Salary in USD]],tblSalaries[[#This Row],[Salary in USD]])</f>
        <v>30000</v>
      </c>
    </row>
    <row r="832" spans="2:17" ht="15" customHeight="1" x14ac:dyDescent="0.25">
      <c r="B832" t="s">
        <v>2835</v>
      </c>
      <c r="C832" s="1">
        <v>41056.013240740744</v>
      </c>
      <c r="D832" s="4">
        <v>100000</v>
      </c>
      <c r="E832">
        <v>100000</v>
      </c>
      <c r="F832" t="s">
        <v>69</v>
      </c>
      <c r="G832">
        <f>tblSalaries[[#This Row],[clean Salary (in local currency)]]*VLOOKUP(tblSalaries[[#This Row],[Currency]],tblXrate[],2,FALSE)</f>
        <v>157617.8272067284</v>
      </c>
      <c r="H832" t="s">
        <v>181</v>
      </c>
      <c r="I832" t="s">
        <v>488</v>
      </c>
      <c r="J832" t="s">
        <v>71</v>
      </c>
      <c r="K832" t="str">
        <f>VLOOKUP(tblSalaries[[#This Row],[Where do you work]],tblCountries[[Actual]:[Mapping]],2,FALSE)</f>
        <v>UK</v>
      </c>
      <c r="L832" t="s">
        <v>18</v>
      </c>
      <c r="M832">
        <v>20</v>
      </c>
      <c r="N832" s="8" t="str">
        <f>VLOOKUP(K832,tblCountries[],3,0)</f>
        <v>Europe</v>
      </c>
      <c r="O832" s="8">
        <f>VLOOKUP(tblSalaries[[#This Row],[How many hours of a day you work on Excel]],tblHours,2,0)</f>
        <v>3</v>
      </c>
      <c r="P832" s="8">
        <f>VLOOKUP(tblSalaries[[#This Row],[clean Country]],tblCountries[],5,0)</f>
        <v>1.3407315045719035</v>
      </c>
      <c r="Q832" s="8">
        <f>IF($Q$1,tblSalaries[[#This Row],[PPP Factor]]*tblSalaries[[#This Row],[Salary in USD]],tblSalaries[[#This Row],[Salary in USD]])</f>
        <v>157617.8272067284</v>
      </c>
    </row>
    <row r="833" spans="2:17" ht="15" customHeight="1" x14ac:dyDescent="0.25">
      <c r="B833" t="s">
        <v>2836</v>
      </c>
      <c r="C833" s="1">
        <v>41056.022986111115</v>
      </c>
      <c r="D833" s="4" t="s">
        <v>972</v>
      </c>
      <c r="E833">
        <v>1200000</v>
      </c>
      <c r="F833" t="s">
        <v>40</v>
      </c>
      <c r="G833">
        <f>tblSalaries[[#This Row],[clean Salary (in local currency)]]*VLOOKUP(tblSalaries[[#This Row],[Currency]],tblXrate[],2,FALSE)</f>
        <v>21369.500024931083</v>
      </c>
      <c r="H833" t="s">
        <v>204</v>
      </c>
      <c r="I833" t="s">
        <v>52</v>
      </c>
      <c r="J833" t="s">
        <v>8</v>
      </c>
      <c r="K833" t="str">
        <f>VLOOKUP(tblSalaries[[#This Row],[Where do you work]],tblCountries[[Actual]:[Mapping]],2,FALSE)</f>
        <v>India</v>
      </c>
      <c r="L833" t="s">
        <v>25</v>
      </c>
      <c r="M833">
        <v>18</v>
      </c>
      <c r="N833" s="8" t="str">
        <f>VLOOKUP(K833,tblCountries[],3,0)</f>
        <v>Asia</v>
      </c>
      <c r="O833" s="8">
        <f>VLOOKUP(tblSalaries[[#This Row],[How many hours of a day you work on Excel]],tblHours,2,0)</f>
        <v>2</v>
      </c>
      <c r="P833" s="8">
        <f>VLOOKUP(tblSalaries[[#This Row],[clean Country]],tblCountries[],5,0)</f>
        <v>13.098808879263672</v>
      </c>
      <c r="Q833" s="8">
        <f>IF($Q$1,tblSalaries[[#This Row],[PPP Factor]]*tblSalaries[[#This Row],[Salary in USD]],tblSalaries[[#This Row],[Salary in USD]])</f>
        <v>21369.500024931083</v>
      </c>
    </row>
    <row r="834" spans="2:17" ht="15" customHeight="1" x14ac:dyDescent="0.25">
      <c r="B834" t="s">
        <v>2837</v>
      </c>
      <c r="C834" s="1">
        <v>41056.037037037036</v>
      </c>
      <c r="D834" s="4" t="s">
        <v>973</v>
      </c>
      <c r="E834">
        <v>200000</v>
      </c>
      <c r="F834" t="s">
        <v>40</v>
      </c>
      <c r="G834">
        <f>tblSalaries[[#This Row],[clean Salary (in local currency)]]*VLOOKUP(tblSalaries[[#This Row],[Currency]],tblXrate[],2,FALSE)</f>
        <v>3561.5833374885137</v>
      </c>
      <c r="H834" t="s">
        <v>974</v>
      </c>
      <c r="I834" t="s">
        <v>3999</v>
      </c>
      <c r="J834" t="s">
        <v>8</v>
      </c>
      <c r="K834" t="str">
        <f>VLOOKUP(tblSalaries[[#This Row],[Where do you work]],tblCountries[[Actual]:[Mapping]],2,FALSE)</f>
        <v>India</v>
      </c>
      <c r="L834" t="s">
        <v>9</v>
      </c>
      <c r="M834">
        <v>1</v>
      </c>
      <c r="N834" s="8" t="str">
        <f>VLOOKUP(K834,tblCountries[],3,0)</f>
        <v>Asia</v>
      </c>
      <c r="O834" s="8">
        <f>VLOOKUP(tblSalaries[[#This Row],[How many hours of a day you work on Excel]],tblHours,2,0)</f>
        <v>4</v>
      </c>
      <c r="P834" s="8">
        <f>VLOOKUP(tblSalaries[[#This Row],[clean Country]],tblCountries[],5,0)</f>
        <v>13.098808879263672</v>
      </c>
      <c r="Q834" s="8">
        <f>IF($Q$1,tblSalaries[[#This Row],[PPP Factor]]*tblSalaries[[#This Row],[Salary in USD]],tblSalaries[[#This Row],[Salary in USD]])</f>
        <v>3561.5833374885137</v>
      </c>
    </row>
    <row r="835" spans="2:17" ht="15" customHeight="1" x14ac:dyDescent="0.25">
      <c r="B835" t="s">
        <v>2838</v>
      </c>
      <c r="C835" s="1">
        <v>41056.044976851852</v>
      </c>
      <c r="D835" s="4">
        <v>5000</v>
      </c>
      <c r="E835">
        <v>5000</v>
      </c>
      <c r="F835" t="s">
        <v>6</v>
      </c>
      <c r="G835">
        <f>tblSalaries[[#This Row],[clean Salary (in local currency)]]*VLOOKUP(tblSalaries[[#This Row],[Currency]],tblXrate[],2,FALSE)</f>
        <v>5000</v>
      </c>
      <c r="H835" t="s">
        <v>975</v>
      </c>
      <c r="I835" t="s">
        <v>52</v>
      </c>
      <c r="J835" t="s">
        <v>8</v>
      </c>
      <c r="K835" t="str">
        <f>VLOOKUP(tblSalaries[[#This Row],[Where do you work]],tblCountries[[Actual]:[Mapping]],2,FALSE)</f>
        <v>India</v>
      </c>
      <c r="L835" t="s">
        <v>9</v>
      </c>
      <c r="M835">
        <v>1</v>
      </c>
      <c r="N835" s="8" t="str">
        <f>VLOOKUP(K835,tblCountries[],3,0)</f>
        <v>Asia</v>
      </c>
      <c r="O835" s="8">
        <f>VLOOKUP(tblSalaries[[#This Row],[How many hours of a day you work on Excel]],tblHours,2,0)</f>
        <v>4</v>
      </c>
      <c r="P835" s="8">
        <f>VLOOKUP(tblSalaries[[#This Row],[clean Country]],tblCountries[],5,0)</f>
        <v>13.098808879263672</v>
      </c>
      <c r="Q835" s="8">
        <f>IF($Q$1,tblSalaries[[#This Row],[PPP Factor]]*tblSalaries[[#This Row],[Salary in USD]],tblSalaries[[#This Row],[Salary in USD]])</f>
        <v>5000</v>
      </c>
    </row>
    <row r="836" spans="2:17" ht="15" customHeight="1" x14ac:dyDescent="0.25">
      <c r="B836" t="s">
        <v>2839</v>
      </c>
      <c r="C836" s="1">
        <v>41056.057013888887</v>
      </c>
      <c r="D836" s="4" t="s">
        <v>976</v>
      </c>
      <c r="E836">
        <v>200000</v>
      </c>
      <c r="F836" t="s">
        <v>40</v>
      </c>
      <c r="G836">
        <f>tblSalaries[[#This Row],[clean Salary (in local currency)]]*VLOOKUP(tblSalaries[[#This Row],[Currency]],tblXrate[],2,FALSE)</f>
        <v>3561.5833374885137</v>
      </c>
      <c r="H836" t="s">
        <v>108</v>
      </c>
      <c r="I836" t="s">
        <v>20</v>
      </c>
      <c r="J836" t="s">
        <v>8</v>
      </c>
      <c r="K836" t="str">
        <f>VLOOKUP(tblSalaries[[#This Row],[Where do you work]],tblCountries[[Actual]:[Mapping]],2,FALSE)</f>
        <v>India</v>
      </c>
      <c r="L836" t="s">
        <v>9</v>
      </c>
      <c r="M836">
        <v>2</v>
      </c>
      <c r="N836" s="8" t="str">
        <f>VLOOKUP(K836,tblCountries[],3,0)</f>
        <v>Asia</v>
      </c>
      <c r="O836" s="8">
        <f>VLOOKUP(tblSalaries[[#This Row],[How many hours of a day you work on Excel]],tblHours,2,0)</f>
        <v>4</v>
      </c>
      <c r="P836" s="8">
        <f>VLOOKUP(tblSalaries[[#This Row],[clean Country]],tblCountries[],5,0)</f>
        <v>13.098808879263672</v>
      </c>
      <c r="Q836" s="8">
        <f>IF($Q$1,tblSalaries[[#This Row],[PPP Factor]]*tblSalaries[[#This Row],[Salary in USD]],tblSalaries[[#This Row],[Salary in USD]])</f>
        <v>3561.5833374885137</v>
      </c>
    </row>
    <row r="837" spans="2:17" ht="15" customHeight="1" x14ac:dyDescent="0.25">
      <c r="B837" t="s">
        <v>2840</v>
      </c>
      <c r="C837" s="1">
        <v>41056.063136574077</v>
      </c>
      <c r="D837" s="4" t="s">
        <v>977</v>
      </c>
      <c r="E837">
        <v>30000</v>
      </c>
      <c r="F837" t="s">
        <v>22</v>
      </c>
      <c r="G837">
        <f>tblSalaries[[#This Row],[clean Salary (in local currency)]]*VLOOKUP(tblSalaries[[#This Row],[Currency]],tblXrate[],2,FALSE)</f>
        <v>38111.983169748237</v>
      </c>
      <c r="H837" t="s">
        <v>978</v>
      </c>
      <c r="I837" t="s">
        <v>310</v>
      </c>
      <c r="J837" t="s">
        <v>979</v>
      </c>
      <c r="K837" t="str">
        <f>VLOOKUP(tblSalaries[[#This Row],[Where do you work]],tblCountries[[Actual]:[Mapping]],2,FALSE)</f>
        <v>Portugal</v>
      </c>
      <c r="L837" t="s">
        <v>13</v>
      </c>
      <c r="M837">
        <v>8</v>
      </c>
      <c r="N837" s="8" t="str">
        <f>VLOOKUP(K837,tblCountries[],3,0)</f>
        <v>Europe</v>
      </c>
      <c r="O837" s="8">
        <f>VLOOKUP(tblSalaries[[#This Row],[How many hours of a day you work on Excel]],tblHours,2,0)</f>
        <v>5</v>
      </c>
      <c r="P837" s="8">
        <f>VLOOKUP(tblSalaries[[#This Row],[clean Country]],tblCountries[],5,0)</f>
        <v>2.0712726338769745</v>
      </c>
      <c r="Q837" s="8">
        <f>IF($Q$1,tblSalaries[[#This Row],[PPP Factor]]*tblSalaries[[#This Row],[Salary in USD]],tblSalaries[[#This Row],[Salary in USD]])</f>
        <v>38111.983169748237</v>
      </c>
    </row>
    <row r="838" spans="2:17" ht="15" customHeight="1" x14ac:dyDescent="0.25">
      <c r="B838" t="s">
        <v>2841</v>
      </c>
      <c r="C838" s="1">
        <v>41056.0702662037</v>
      </c>
      <c r="D838" s="4" t="s">
        <v>980</v>
      </c>
      <c r="E838">
        <v>1000000</v>
      </c>
      <c r="F838" t="s">
        <v>40</v>
      </c>
      <c r="G838">
        <f>tblSalaries[[#This Row],[clean Salary (in local currency)]]*VLOOKUP(tblSalaries[[#This Row],[Currency]],tblXrate[],2,FALSE)</f>
        <v>17807.916687442568</v>
      </c>
      <c r="H838" t="s">
        <v>379</v>
      </c>
      <c r="I838" t="s">
        <v>20</v>
      </c>
      <c r="J838" t="s">
        <v>8</v>
      </c>
      <c r="K838" t="str">
        <f>VLOOKUP(tblSalaries[[#This Row],[Where do you work]],tblCountries[[Actual]:[Mapping]],2,FALSE)</f>
        <v>India</v>
      </c>
      <c r="L838" t="s">
        <v>9</v>
      </c>
      <c r="M838">
        <v>6.5</v>
      </c>
      <c r="N838" s="8" t="str">
        <f>VLOOKUP(K838,tblCountries[],3,0)</f>
        <v>Asia</v>
      </c>
      <c r="O838" s="8">
        <f>VLOOKUP(tblSalaries[[#This Row],[How many hours of a day you work on Excel]],tblHours,2,0)</f>
        <v>4</v>
      </c>
      <c r="P838" s="8">
        <f>VLOOKUP(tblSalaries[[#This Row],[clean Country]],tblCountries[],5,0)</f>
        <v>13.098808879263672</v>
      </c>
      <c r="Q838" s="8">
        <f>IF($Q$1,tblSalaries[[#This Row],[PPP Factor]]*tblSalaries[[#This Row],[Salary in USD]],tblSalaries[[#This Row],[Salary in USD]])</f>
        <v>17807.916687442568</v>
      </c>
    </row>
    <row r="839" spans="2:17" ht="15" customHeight="1" x14ac:dyDescent="0.25">
      <c r="B839" t="s">
        <v>2842</v>
      </c>
      <c r="C839" s="1">
        <v>41056.073611111111</v>
      </c>
      <c r="D839" s="4">
        <v>650000</v>
      </c>
      <c r="E839">
        <v>650000</v>
      </c>
      <c r="F839" t="s">
        <v>40</v>
      </c>
      <c r="G839">
        <f>tblSalaries[[#This Row],[clean Salary (in local currency)]]*VLOOKUP(tblSalaries[[#This Row],[Currency]],tblXrate[],2,FALSE)</f>
        <v>11575.14584683767</v>
      </c>
      <c r="H839" t="s">
        <v>981</v>
      </c>
      <c r="I839" t="s">
        <v>20</v>
      </c>
      <c r="J839" t="s">
        <v>8</v>
      </c>
      <c r="K839" t="str">
        <f>VLOOKUP(tblSalaries[[#This Row],[Where do you work]],tblCountries[[Actual]:[Mapping]],2,FALSE)</f>
        <v>India</v>
      </c>
      <c r="L839" t="s">
        <v>13</v>
      </c>
      <c r="M839">
        <v>3.5</v>
      </c>
      <c r="N839" s="8" t="str">
        <f>VLOOKUP(K839,tblCountries[],3,0)</f>
        <v>Asia</v>
      </c>
      <c r="O839" s="8">
        <f>VLOOKUP(tblSalaries[[#This Row],[How many hours of a day you work on Excel]],tblHours,2,0)</f>
        <v>5</v>
      </c>
      <c r="P839" s="8">
        <f>VLOOKUP(tblSalaries[[#This Row],[clean Country]],tblCountries[],5,0)</f>
        <v>13.098808879263672</v>
      </c>
      <c r="Q839" s="8">
        <f>IF($Q$1,tblSalaries[[#This Row],[PPP Factor]]*tblSalaries[[#This Row],[Salary in USD]],tblSalaries[[#This Row],[Salary in USD]])</f>
        <v>11575.14584683767</v>
      </c>
    </row>
    <row r="840" spans="2:17" ht="15" customHeight="1" x14ac:dyDescent="0.25">
      <c r="B840" t="s">
        <v>2843</v>
      </c>
      <c r="C840" s="1">
        <v>41056.106504629628</v>
      </c>
      <c r="D840" s="4">
        <v>100000</v>
      </c>
      <c r="E840">
        <v>100000</v>
      </c>
      <c r="F840" t="s">
        <v>86</v>
      </c>
      <c r="G840">
        <f>tblSalaries[[#This Row],[clean Salary (in local currency)]]*VLOOKUP(tblSalaries[[#This Row],[Currency]],tblXrate[],2,FALSE)</f>
        <v>98336.152303032693</v>
      </c>
      <c r="H840" t="s">
        <v>982</v>
      </c>
      <c r="I840" t="s">
        <v>52</v>
      </c>
      <c r="J840" t="s">
        <v>88</v>
      </c>
      <c r="K840" t="str">
        <f>VLOOKUP(tblSalaries[[#This Row],[Where do you work]],tblCountries[[Actual]:[Mapping]],2,FALSE)</f>
        <v>Canada</v>
      </c>
      <c r="L840" t="s">
        <v>18</v>
      </c>
      <c r="M840">
        <v>10</v>
      </c>
      <c r="N840" s="8" t="str">
        <f>VLOOKUP(K840,tblCountries[],3,0)</f>
        <v>North Amer.</v>
      </c>
      <c r="O840" s="8">
        <f>VLOOKUP(tblSalaries[[#This Row],[How many hours of a day you work on Excel]],tblHours,2,0)</f>
        <v>3</v>
      </c>
      <c r="P840" s="8">
        <f>VLOOKUP(tblSalaries[[#This Row],[clean Country]],tblCountries[],5,0)</f>
        <v>1.1935324732986359</v>
      </c>
      <c r="Q840" s="8">
        <f>IF($Q$1,tblSalaries[[#This Row],[PPP Factor]]*tblSalaries[[#This Row],[Salary in USD]],tblSalaries[[#This Row],[Salary in USD]])</f>
        <v>98336.152303032693</v>
      </c>
    </row>
    <row r="841" spans="2:17" ht="15" customHeight="1" x14ac:dyDescent="0.25">
      <c r="B841" t="s">
        <v>2844</v>
      </c>
      <c r="C841" s="1">
        <v>41056.129189814812</v>
      </c>
      <c r="D841" s="4">
        <v>92500</v>
      </c>
      <c r="E841">
        <v>92500</v>
      </c>
      <c r="F841" t="s">
        <v>6</v>
      </c>
      <c r="G841">
        <f>tblSalaries[[#This Row],[clean Salary (in local currency)]]*VLOOKUP(tblSalaries[[#This Row],[Currency]],tblXrate[],2,FALSE)</f>
        <v>92500</v>
      </c>
      <c r="H841" t="s">
        <v>984</v>
      </c>
      <c r="I841" t="s">
        <v>20</v>
      </c>
      <c r="J841" t="s">
        <v>15</v>
      </c>
      <c r="K841" t="str">
        <f>VLOOKUP(tblSalaries[[#This Row],[Where do you work]],tblCountries[[Actual]:[Mapping]],2,FALSE)</f>
        <v>USA</v>
      </c>
      <c r="L841" t="s">
        <v>18</v>
      </c>
      <c r="M841">
        <v>15</v>
      </c>
      <c r="N841" s="8" t="str">
        <f>VLOOKUP(K841,tblCountries[],3,0)</f>
        <v>North Amer.</v>
      </c>
      <c r="O841" s="8">
        <f>VLOOKUP(tblSalaries[[#This Row],[How many hours of a day you work on Excel]],tblHours,2,0)</f>
        <v>3</v>
      </c>
      <c r="P841" s="8">
        <f>VLOOKUP(tblSalaries[[#This Row],[clean Country]],tblCountries[],5,0)</f>
        <v>1</v>
      </c>
      <c r="Q841" s="8">
        <f>IF($Q$1,tblSalaries[[#This Row],[PPP Factor]]*tblSalaries[[#This Row],[Salary in USD]],tblSalaries[[#This Row],[Salary in USD]])</f>
        <v>92500</v>
      </c>
    </row>
    <row r="842" spans="2:17" ht="15" customHeight="1" x14ac:dyDescent="0.25">
      <c r="B842" t="s">
        <v>2845</v>
      </c>
      <c r="C842" s="1">
        <v>41056.13616898148</v>
      </c>
      <c r="D842" s="4" t="s">
        <v>985</v>
      </c>
      <c r="E842">
        <v>550000</v>
      </c>
      <c r="F842" t="s">
        <v>40</v>
      </c>
      <c r="G842">
        <f>tblSalaries[[#This Row],[clean Salary (in local currency)]]*VLOOKUP(tblSalaries[[#This Row],[Currency]],tblXrate[],2,FALSE)</f>
        <v>9794.354178093412</v>
      </c>
      <c r="H842" t="s">
        <v>20</v>
      </c>
      <c r="I842" t="s">
        <v>20</v>
      </c>
      <c r="J842" t="s">
        <v>8</v>
      </c>
      <c r="K842" t="str">
        <f>VLOOKUP(tblSalaries[[#This Row],[Where do you work]],tblCountries[[Actual]:[Mapping]],2,FALSE)</f>
        <v>India</v>
      </c>
      <c r="L842" t="s">
        <v>9</v>
      </c>
      <c r="M842">
        <v>1</v>
      </c>
      <c r="N842" s="8" t="str">
        <f>VLOOKUP(K842,tblCountries[],3,0)</f>
        <v>Asia</v>
      </c>
      <c r="O842" s="8">
        <f>VLOOKUP(tblSalaries[[#This Row],[How many hours of a day you work on Excel]],tblHours,2,0)</f>
        <v>4</v>
      </c>
      <c r="P842" s="8">
        <f>VLOOKUP(tblSalaries[[#This Row],[clean Country]],tblCountries[],5,0)</f>
        <v>13.098808879263672</v>
      </c>
      <c r="Q842" s="8">
        <f>IF($Q$1,tblSalaries[[#This Row],[PPP Factor]]*tblSalaries[[#This Row],[Salary in USD]],tblSalaries[[#This Row],[Salary in USD]])</f>
        <v>9794.354178093412</v>
      </c>
    </row>
    <row r="843" spans="2:17" ht="15" customHeight="1" x14ac:dyDescent="0.25">
      <c r="B843" t="s">
        <v>2846</v>
      </c>
      <c r="C843" s="1">
        <v>41056.13853009259</v>
      </c>
      <c r="D843" s="4">
        <v>32000</v>
      </c>
      <c r="E843">
        <v>32000</v>
      </c>
      <c r="F843" t="s">
        <v>6</v>
      </c>
      <c r="G843">
        <f>tblSalaries[[#This Row],[clean Salary (in local currency)]]*VLOOKUP(tblSalaries[[#This Row],[Currency]],tblXrate[],2,FALSE)</f>
        <v>32000</v>
      </c>
      <c r="H843" t="s">
        <v>986</v>
      </c>
      <c r="I843" t="s">
        <v>52</v>
      </c>
      <c r="J843" t="s">
        <v>15</v>
      </c>
      <c r="K843" t="str">
        <f>VLOOKUP(tblSalaries[[#This Row],[Where do you work]],tblCountries[[Actual]:[Mapping]],2,FALSE)</f>
        <v>USA</v>
      </c>
      <c r="L843" t="s">
        <v>9</v>
      </c>
      <c r="M843">
        <v>1</v>
      </c>
      <c r="N843" s="8" t="str">
        <f>VLOOKUP(K843,tblCountries[],3,0)</f>
        <v>North Amer.</v>
      </c>
      <c r="O843" s="8">
        <f>VLOOKUP(tblSalaries[[#This Row],[How many hours of a day you work on Excel]],tblHours,2,0)</f>
        <v>4</v>
      </c>
      <c r="P843" s="8">
        <f>VLOOKUP(tblSalaries[[#This Row],[clean Country]],tblCountries[],5,0)</f>
        <v>1</v>
      </c>
      <c r="Q843" s="8">
        <f>IF($Q$1,tblSalaries[[#This Row],[PPP Factor]]*tblSalaries[[#This Row],[Salary in USD]],tblSalaries[[#This Row],[Salary in USD]])</f>
        <v>32000</v>
      </c>
    </row>
    <row r="844" spans="2:17" ht="15" customHeight="1" x14ac:dyDescent="0.25">
      <c r="B844" t="s">
        <v>2847</v>
      </c>
      <c r="C844" s="1">
        <v>41056.142418981479</v>
      </c>
      <c r="D844" s="4">
        <v>55000</v>
      </c>
      <c r="E844">
        <v>55000</v>
      </c>
      <c r="F844" t="s">
        <v>6</v>
      </c>
      <c r="G844">
        <f>tblSalaries[[#This Row],[clean Salary (in local currency)]]*VLOOKUP(tblSalaries[[#This Row],[Currency]],tblXrate[],2,FALSE)</f>
        <v>55000</v>
      </c>
      <c r="H844" t="s">
        <v>20</v>
      </c>
      <c r="I844" t="s">
        <v>20</v>
      </c>
      <c r="J844" t="s">
        <v>15</v>
      </c>
      <c r="K844" t="str">
        <f>VLOOKUP(tblSalaries[[#This Row],[Where do you work]],tblCountries[[Actual]:[Mapping]],2,FALSE)</f>
        <v>USA</v>
      </c>
      <c r="L844" t="s">
        <v>9</v>
      </c>
      <c r="M844">
        <v>10</v>
      </c>
      <c r="N844" s="8" t="str">
        <f>VLOOKUP(K844,tblCountries[],3,0)</f>
        <v>North Amer.</v>
      </c>
      <c r="O844" s="8">
        <f>VLOOKUP(tblSalaries[[#This Row],[How many hours of a day you work on Excel]],tblHours,2,0)</f>
        <v>4</v>
      </c>
      <c r="P844" s="8">
        <f>VLOOKUP(tblSalaries[[#This Row],[clean Country]],tblCountries[],5,0)</f>
        <v>1</v>
      </c>
      <c r="Q844" s="8">
        <f>IF($Q$1,tblSalaries[[#This Row],[PPP Factor]]*tblSalaries[[#This Row],[Salary in USD]],tblSalaries[[#This Row],[Salary in USD]])</f>
        <v>55000</v>
      </c>
    </row>
    <row r="845" spans="2:17" ht="15" customHeight="1" x14ac:dyDescent="0.25">
      <c r="B845" t="s">
        <v>2848</v>
      </c>
      <c r="C845" s="1">
        <v>41056.142974537041</v>
      </c>
      <c r="D845" s="4">
        <v>40000</v>
      </c>
      <c r="E845">
        <v>40000</v>
      </c>
      <c r="F845" t="s">
        <v>6</v>
      </c>
      <c r="G845">
        <f>tblSalaries[[#This Row],[clean Salary (in local currency)]]*VLOOKUP(tblSalaries[[#This Row],[Currency]],tblXrate[],2,FALSE)</f>
        <v>40000</v>
      </c>
      <c r="H845" t="s">
        <v>987</v>
      </c>
      <c r="I845" t="s">
        <v>20</v>
      </c>
      <c r="J845" t="s">
        <v>15</v>
      </c>
      <c r="K845" t="str">
        <f>VLOOKUP(tblSalaries[[#This Row],[Where do you work]],tblCountries[[Actual]:[Mapping]],2,FALSE)</f>
        <v>USA</v>
      </c>
      <c r="L845" t="s">
        <v>13</v>
      </c>
      <c r="M845">
        <v>4</v>
      </c>
      <c r="N845" s="8" t="str">
        <f>VLOOKUP(K845,tblCountries[],3,0)</f>
        <v>North Amer.</v>
      </c>
      <c r="O845" s="8">
        <f>VLOOKUP(tblSalaries[[#This Row],[How many hours of a day you work on Excel]],tblHours,2,0)</f>
        <v>5</v>
      </c>
      <c r="P845" s="8">
        <f>VLOOKUP(tblSalaries[[#This Row],[clean Country]],tblCountries[],5,0)</f>
        <v>1</v>
      </c>
      <c r="Q845" s="8">
        <f>IF($Q$1,tblSalaries[[#This Row],[PPP Factor]]*tblSalaries[[#This Row],[Salary in USD]],tblSalaries[[#This Row],[Salary in USD]])</f>
        <v>40000</v>
      </c>
    </row>
    <row r="846" spans="2:17" ht="15" customHeight="1" x14ac:dyDescent="0.25">
      <c r="B846" t="s">
        <v>2849</v>
      </c>
      <c r="C846" s="1">
        <v>41056.151064814818</v>
      </c>
      <c r="D846" s="4" t="s">
        <v>797</v>
      </c>
      <c r="E846">
        <v>3000</v>
      </c>
      <c r="F846" t="s">
        <v>6</v>
      </c>
      <c r="G846">
        <f>tblSalaries[[#This Row],[clean Salary (in local currency)]]*VLOOKUP(tblSalaries[[#This Row],[Currency]],tblXrate[],2,FALSE)</f>
        <v>3000</v>
      </c>
      <c r="H846" t="s">
        <v>130</v>
      </c>
      <c r="I846" t="s">
        <v>20</v>
      </c>
      <c r="J846" t="s">
        <v>17</v>
      </c>
      <c r="K846" t="str">
        <f>VLOOKUP(tblSalaries[[#This Row],[Where do you work]],tblCountries[[Actual]:[Mapping]],2,FALSE)</f>
        <v>Pakistan</v>
      </c>
      <c r="L846" t="s">
        <v>18</v>
      </c>
      <c r="M846">
        <v>2</v>
      </c>
      <c r="N846" s="8" t="str">
        <f>VLOOKUP(K846,tblCountries[],3,0)</f>
        <v>Asia</v>
      </c>
      <c r="O846" s="8">
        <f>VLOOKUP(tblSalaries[[#This Row],[How many hours of a day you work on Excel]],tblHours,2,0)</f>
        <v>3</v>
      </c>
      <c r="P846" s="8">
        <f>VLOOKUP(tblSalaries[[#This Row],[clean Country]],tblCountries[],5,0)</f>
        <v>17.361679224973088</v>
      </c>
      <c r="Q846" s="8">
        <f>IF($Q$1,tblSalaries[[#This Row],[PPP Factor]]*tblSalaries[[#This Row],[Salary in USD]],tblSalaries[[#This Row],[Salary in USD]])</f>
        <v>3000</v>
      </c>
    </row>
    <row r="847" spans="2:17" ht="15" customHeight="1" x14ac:dyDescent="0.25">
      <c r="B847" t="s">
        <v>2850</v>
      </c>
      <c r="C847" s="1">
        <v>41056.15111111111</v>
      </c>
      <c r="D847" s="4">
        <v>43600</v>
      </c>
      <c r="E847">
        <v>43600</v>
      </c>
      <c r="F847" t="s">
        <v>6</v>
      </c>
      <c r="G847">
        <f>tblSalaries[[#This Row],[clean Salary (in local currency)]]*VLOOKUP(tblSalaries[[#This Row],[Currency]],tblXrate[],2,FALSE)</f>
        <v>43600</v>
      </c>
      <c r="H847" t="s">
        <v>153</v>
      </c>
      <c r="I847" t="s">
        <v>20</v>
      </c>
      <c r="J847" t="s">
        <v>15</v>
      </c>
      <c r="K847" t="str">
        <f>VLOOKUP(tblSalaries[[#This Row],[Where do you work]],tblCountries[[Actual]:[Mapping]],2,FALSE)</f>
        <v>USA</v>
      </c>
      <c r="L847" t="s">
        <v>9</v>
      </c>
      <c r="M847">
        <v>5</v>
      </c>
      <c r="N847" s="8" t="str">
        <f>VLOOKUP(K847,tblCountries[],3,0)</f>
        <v>North Amer.</v>
      </c>
      <c r="O847" s="8">
        <f>VLOOKUP(tblSalaries[[#This Row],[How many hours of a day you work on Excel]],tblHours,2,0)</f>
        <v>4</v>
      </c>
      <c r="P847" s="8">
        <f>VLOOKUP(tblSalaries[[#This Row],[clean Country]],tblCountries[],5,0)</f>
        <v>1</v>
      </c>
      <c r="Q847" s="8">
        <f>IF($Q$1,tblSalaries[[#This Row],[PPP Factor]]*tblSalaries[[#This Row],[Salary in USD]],tblSalaries[[#This Row],[Salary in USD]])</f>
        <v>43600</v>
      </c>
    </row>
    <row r="848" spans="2:17" ht="15" customHeight="1" x14ac:dyDescent="0.25">
      <c r="B848" t="s">
        <v>2851</v>
      </c>
      <c r="C848" s="1">
        <v>41056.166828703703</v>
      </c>
      <c r="D848" s="4" t="s">
        <v>988</v>
      </c>
      <c r="E848">
        <v>540000</v>
      </c>
      <c r="F848" t="s">
        <v>40</v>
      </c>
      <c r="G848">
        <f>tblSalaries[[#This Row],[clean Salary (in local currency)]]*VLOOKUP(tblSalaries[[#This Row],[Currency]],tblXrate[],2,FALSE)</f>
        <v>9616.275011218986</v>
      </c>
      <c r="H848" t="s">
        <v>251</v>
      </c>
      <c r="I848" t="s">
        <v>20</v>
      </c>
      <c r="J848" t="s">
        <v>8</v>
      </c>
      <c r="K848" t="str">
        <f>VLOOKUP(tblSalaries[[#This Row],[Where do you work]],tblCountries[[Actual]:[Mapping]],2,FALSE)</f>
        <v>India</v>
      </c>
      <c r="L848" t="s">
        <v>13</v>
      </c>
      <c r="M848">
        <v>8</v>
      </c>
      <c r="N848" s="8" t="str">
        <f>VLOOKUP(K848,tblCountries[],3,0)</f>
        <v>Asia</v>
      </c>
      <c r="O848" s="8">
        <f>VLOOKUP(tblSalaries[[#This Row],[How many hours of a day you work on Excel]],tblHours,2,0)</f>
        <v>5</v>
      </c>
      <c r="P848" s="8">
        <f>VLOOKUP(tblSalaries[[#This Row],[clean Country]],tblCountries[],5,0)</f>
        <v>13.098808879263672</v>
      </c>
      <c r="Q848" s="8">
        <f>IF($Q$1,tblSalaries[[#This Row],[PPP Factor]]*tblSalaries[[#This Row],[Salary in USD]],tblSalaries[[#This Row],[Salary in USD]])</f>
        <v>9616.275011218986</v>
      </c>
    </row>
    <row r="849" spans="2:17" ht="15" customHeight="1" x14ac:dyDescent="0.25">
      <c r="B849" t="s">
        <v>2852</v>
      </c>
      <c r="C849" s="1">
        <v>41056.17046296296</v>
      </c>
      <c r="D849" s="4">
        <v>35000</v>
      </c>
      <c r="E849">
        <v>35000</v>
      </c>
      <c r="F849" t="s">
        <v>6</v>
      </c>
      <c r="G849">
        <f>tblSalaries[[#This Row],[clean Salary (in local currency)]]*VLOOKUP(tblSalaries[[#This Row],[Currency]],tblXrate[],2,FALSE)</f>
        <v>35000</v>
      </c>
      <c r="H849" t="s">
        <v>707</v>
      </c>
      <c r="I849" t="s">
        <v>52</v>
      </c>
      <c r="J849" t="s">
        <v>989</v>
      </c>
      <c r="K849" t="str">
        <f>VLOOKUP(tblSalaries[[#This Row],[Where do you work]],tblCountries[[Actual]:[Mapping]],2,FALSE)</f>
        <v>Uruguay</v>
      </c>
      <c r="L849" t="s">
        <v>13</v>
      </c>
      <c r="M849">
        <v>10</v>
      </c>
      <c r="N849" s="8" t="str">
        <f>VLOOKUP(K849,tblCountries[],3,0)</f>
        <v>South Amer.</v>
      </c>
      <c r="O849" s="8">
        <f>VLOOKUP(tblSalaries[[#This Row],[How many hours of a day you work on Excel]],tblHours,2,0)</f>
        <v>5</v>
      </c>
      <c r="P849" s="8">
        <f>VLOOKUP(tblSalaries[[#This Row],[clean Country]],tblCountries[],5,0)</f>
        <v>3.2016806722689077</v>
      </c>
      <c r="Q849" s="8">
        <f>IF($Q$1,tblSalaries[[#This Row],[PPP Factor]]*tblSalaries[[#This Row],[Salary in USD]],tblSalaries[[#This Row],[Salary in USD]])</f>
        <v>35000</v>
      </c>
    </row>
    <row r="850" spans="2:17" ht="15" customHeight="1" x14ac:dyDescent="0.25">
      <c r="B850" t="s">
        <v>2853</v>
      </c>
      <c r="C850" s="1">
        <v>41056.1716087963</v>
      </c>
      <c r="D850" s="4">
        <v>12000</v>
      </c>
      <c r="E850">
        <v>12000</v>
      </c>
      <c r="F850" t="s">
        <v>6</v>
      </c>
      <c r="G850">
        <f>tblSalaries[[#This Row],[clean Salary (in local currency)]]*VLOOKUP(tblSalaries[[#This Row],[Currency]],tblXrate[],2,FALSE)</f>
        <v>12000</v>
      </c>
      <c r="H850" t="s">
        <v>990</v>
      </c>
      <c r="I850" t="s">
        <v>356</v>
      </c>
      <c r="J850" t="s">
        <v>608</v>
      </c>
      <c r="K850" t="str">
        <f>VLOOKUP(tblSalaries[[#This Row],[Where do you work]],tblCountries[[Actual]:[Mapping]],2,FALSE)</f>
        <v>Spain</v>
      </c>
      <c r="L850" t="s">
        <v>18</v>
      </c>
      <c r="M850">
        <v>15</v>
      </c>
      <c r="N850" s="8" t="str">
        <f>VLOOKUP(K850,tblCountries[],3,0)</f>
        <v>Europe</v>
      </c>
      <c r="O850" s="8">
        <f>VLOOKUP(tblSalaries[[#This Row],[How many hours of a day you work on Excel]],tblHours,2,0)</f>
        <v>3</v>
      </c>
      <c r="P850" s="8">
        <f>VLOOKUP(tblSalaries[[#This Row],[clean Country]],tblCountries[],5,0)</f>
        <v>1.5799320838503232</v>
      </c>
      <c r="Q850" s="8">
        <f>IF($Q$1,tblSalaries[[#This Row],[PPP Factor]]*tblSalaries[[#This Row],[Salary in USD]],tblSalaries[[#This Row],[Salary in USD]])</f>
        <v>12000</v>
      </c>
    </row>
    <row r="851" spans="2:17" ht="15" customHeight="1" x14ac:dyDescent="0.25">
      <c r="B851" t="s">
        <v>2854</v>
      </c>
      <c r="C851" s="1">
        <v>41056.175046296295</v>
      </c>
      <c r="D851" s="4">
        <v>5000</v>
      </c>
      <c r="E851">
        <v>5000</v>
      </c>
      <c r="F851" t="s">
        <v>6</v>
      </c>
      <c r="G851">
        <f>tblSalaries[[#This Row],[clean Salary (in local currency)]]*VLOOKUP(tblSalaries[[#This Row],[Currency]],tblXrate[],2,FALSE)</f>
        <v>5000</v>
      </c>
      <c r="H851" t="s">
        <v>991</v>
      </c>
      <c r="I851" t="s">
        <v>356</v>
      </c>
      <c r="J851" t="s">
        <v>992</v>
      </c>
      <c r="K851" t="str">
        <f>VLOOKUP(tblSalaries[[#This Row],[Where do you work]],tblCountries[[Actual]:[Mapping]],2,FALSE)</f>
        <v>Aruba</v>
      </c>
      <c r="L851" t="s">
        <v>25</v>
      </c>
      <c r="M851">
        <v>13</v>
      </c>
      <c r="N851" s="8" t="str">
        <f>VLOOKUP(K851,tblCountries[],3,0)</f>
        <v>South Amer.</v>
      </c>
      <c r="O851" s="8">
        <f>VLOOKUP(tblSalaries[[#This Row],[How many hours of a day you work on Excel]],tblHours,2,0)</f>
        <v>2</v>
      </c>
      <c r="P851" s="8">
        <f>VLOOKUP(tblSalaries[[#This Row],[clean Country]],tblCountries[],5,0)</f>
        <v>1</v>
      </c>
      <c r="Q851" s="8">
        <f>IF($Q$1,tblSalaries[[#This Row],[PPP Factor]]*tblSalaries[[#This Row],[Salary in USD]],tblSalaries[[#This Row],[Salary in USD]])</f>
        <v>5000</v>
      </c>
    </row>
    <row r="852" spans="2:17" ht="15" customHeight="1" x14ac:dyDescent="0.25">
      <c r="B852" t="s">
        <v>2855</v>
      </c>
      <c r="C852" s="1">
        <v>41056.188287037039</v>
      </c>
      <c r="D852" s="4" t="s">
        <v>993</v>
      </c>
      <c r="E852">
        <v>134000</v>
      </c>
      <c r="F852" t="s">
        <v>585</v>
      </c>
      <c r="G852">
        <f>tblSalaries[[#This Row],[clean Salary (in local currency)]]*VLOOKUP(tblSalaries[[#This Row],[Currency]],tblXrate[],2,FALSE)</f>
        <v>16337.518501630093</v>
      </c>
      <c r="H852" t="s">
        <v>153</v>
      </c>
      <c r="I852" t="s">
        <v>20</v>
      </c>
      <c r="J852" t="s">
        <v>48</v>
      </c>
      <c r="K852" t="str">
        <f>VLOOKUP(tblSalaries[[#This Row],[Where do you work]],tblCountries[[Actual]:[Mapping]],2,FALSE)</f>
        <v>South Africa</v>
      </c>
      <c r="L852" t="s">
        <v>9</v>
      </c>
      <c r="M852">
        <v>2</v>
      </c>
      <c r="N852" s="8" t="str">
        <f>VLOOKUP(K852,tblCountries[],3,0)</f>
        <v>Africa</v>
      </c>
      <c r="O852" s="8">
        <f>VLOOKUP(tblSalaries[[#This Row],[How many hours of a day you work on Excel]],tblHours,2,0)</f>
        <v>4</v>
      </c>
      <c r="P852" s="8">
        <f>VLOOKUP(tblSalaries[[#This Row],[clean Country]],tblCountries[],5,0)</f>
        <v>4.4096418481727877</v>
      </c>
      <c r="Q852" s="8">
        <f>IF($Q$1,tblSalaries[[#This Row],[PPP Factor]]*tblSalaries[[#This Row],[Salary in USD]],tblSalaries[[#This Row],[Salary in USD]])</f>
        <v>16337.518501630093</v>
      </c>
    </row>
    <row r="853" spans="2:17" ht="15" customHeight="1" x14ac:dyDescent="0.25">
      <c r="B853" t="s">
        <v>2856</v>
      </c>
      <c r="C853" s="1">
        <v>41056.194826388892</v>
      </c>
      <c r="D853" s="4">
        <v>65000</v>
      </c>
      <c r="E853">
        <v>65000</v>
      </c>
      <c r="F853" t="s">
        <v>6</v>
      </c>
      <c r="G853">
        <f>tblSalaries[[#This Row],[clean Salary (in local currency)]]*VLOOKUP(tblSalaries[[#This Row],[Currency]],tblXrate[],2,FALSE)</f>
        <v>65000</v>
      </c>
      <c r="H853" t="s">
        <v>994</v>
      </c>
      <c r="I853" t="s">
        <v>20</v>
      </c>
      <c r="J853" t="s">
        <v>15</v>
      </c>
      <c r="K853" t="str">
        <f>VLOOKUP(tblSalaries[[#This Row],[Where do you work]],tblCountries[[Actual]:[Mapping]],2,FALSE)</f>
        <v>USA</v>
      </c>
      <c r="L853" t="s">
        <v>25</v>
      </c>
      <c r="M853">
        <v>8</v>
      </c>
      <c r="N853" s="8" t="str">
        <f>VLOOKUP(K853,tblCountries[],3,0)</f>
        <v>North Amer.</v>
      </c>
      <c r="O853" s="8">
        <f>VLOOKUP(tblSalaries[[#This Row],[How many hours of a day you work on Excel]],tblHours,2,0)</f>
        <v>2</v>
      </c>
      <c r="P853" s="8">
        <f>VLOOKUP(tblSalaries[[#This Row],[clean Country]],tblCountries[],5,0)</f>
        <v>1</v>
      </c>
      <c r="Q853" s="8">
        <f>IF($Q$1,tblSalaries[[#This Row],[PPP Factor]]*tblSalaries[[#This Row],[Salary in USD]],tblSalaries[[#This Row],[Salary in USD]])</f>
        <v>65000</v>
      </c>
    </row>
    <row r="854" spans="2:17" ht="15" customHeight="1" x14ac:dyDescent="0.25">
      <c r="B854" t="s">
        <v>2857</v>
      </c>
      <c r="C854" s="1">
        <v>41056.262280092589</v>
      </c>
      <c r="D854" s="4">
        <v>40000</v>
      </c>
      <c r="E854">
        <v>40000</v>
      </c>
      <c r="F854" t="s">
        <v>6</v>
      </c>
      <c r="G854">
        <f>tblSalaries[[#This Row],[clean Salary (in local currency)]]*VLOOKUP(tblSalaries[[#This Row],[Currency]],tblXrate[],2,FALSE)</f>
        <v>40000</v>
      </c>
      <c r="H854" t="s">
        <v>995</v>
      </c>
      <c r="I854" t="s">
        <v>20</v>
      </c>
      <c r="J854" t="s">
        <v>15</v>
      </c>
      <c r="K854" t="str">
        <f>VLOOKUP(tblSalaries[[#This Row],[Where do you work]],tblCountries[[Actual]:[Mapping]],2,FALSE)</f>
        <v>USA</v>
      </c>
      <c r="L854" t="s">
        <v>13</v>
      </c>
      <c r="M854">
        <v>2</v>
      </c>
      <c r="N854" s="8" t="str">
        <f>VLOOKUP(K854,tblCountries[],3,0)</f>
        <v>North Amer.</v>
      </c>
      <c r="O854" s="8">
        <f>VLOOKUP(tblSalaries[[#This Row],[How many hours of a day you work on Excel]],tblHours,2,0)</f>
        <v>5</v>
      </c>
      <c r="P854" s="8">
        <f>VLOOKUP(tblSalaries[[#This Row],[clean Country]],tblCountries[],5,0)</f>
        <v>1</v>
      </c>
      <c r="Q854" s="8">
        <f>IF($Q$1,tblSalaries[[#This Row],[PPP Factor]]*tblSalaries[[#This Row],[Salary in USD]],tblSalaries[[#This Row],[Salary in USD]])</f>
        <v>40000</v>
      </c>
    </row>
    <row r="855" spans="2:17" ht="15" customHeight="1" x14ac:dyDescent="0.25">
      <c r="B855" t="s">
        <v>2858</v>
      </c>
      <c r="C855" s="1">
        <v>41056.27584490741</v>
      </c>
      <c r="D855" s="4">
        <v>98000</v>
      </c>
      <c r="E855">
        <v>98000</v>
      </c>
      <c r="F855" t="s">
        <v>6</v>
      </c>
      <c r="G855">
        <f>tblSalaries[[#This Row],[clean Salary (in local currency)]]*VLOOKUP(tblSalaries[[#This Row],[Currency]],tblXrate[],2,FALSE)</f>
        <v>98000</v>
      </c>
      <c r="H855" t="s">
        <v>996</v>
      </c>
      <c r="I855" t="s">
        <v>52</v>
      </c>
      <c r="J855" t="s">
        <v>997</v>
      </c>
      <c r="K855" t="str">
        <f>VLOOKUP(tblSalaries[[#This Row],[Where do you work]],tblCountries[[Actual]:[Mapping]],2,FALSE)</f>
        <v>Indonesia</v>
      </c>
      <c r="L855" t="s">
        <v>18</v>
      </c>
      <c r="M855">
        <v>14</v>
      </c>
      <c r="N855" s="8" t="str">
        <f>VLOOKUP(K855,tblCountries[],3,0)</f>
        <v>Asia</v>
      </c>
      <c r="O855" s="8">
        <f>VLOOKUP(tblSalaries[[#This Row],[How many hours of a day you work on Excel]],tblHours,2,0)</f>
        <v>3</v>
      </c>
      <c r="P855" s="8">
        <f>VLOOKUP(tblSalaries[[#This Row],[clean Country]],tblCountries[],5,0)</f>
        <v>10.370124303471924</v>
      </c>
      <c r="Q855" s="8">
        <f>IF($Q$1,tblSalaries[[#This Row],[PPP Factor]]*tblSalaries[[#This Row],[Salary in USD]],tblSalaries[[#This Row],[Salary in USD]])</f>
        <v>98000</v>
      </c>
    </row>
    <row r="856" spans="2:17" ht="15" customHeight="1" x14ac:dyDescent="0.25">
      <c r="B856" t="s">
        <v>2859</v>
      </c>
      <c r="C856" s="1">
        <v>41056.275868055556</v>
      </c>
      <c r="D856" s="4">
        <v>50000</v>
      </c>
      <c r="E856">
        <v>50000</v>
      </c>
      <c r="F856" t="s">
        <v>6</v>
      </c>
      <c r="G856">
        <f>tblSalaries[[#This Row],[clean Salary (in local currency)]]*VLOOKUP(tblSalaries[[#This Row],[Currency]],tblXrate[],2,FALSE)</f>
        <v>50000</v>
      </c>
      <c r="H856" t="s">
        <v>998</v>
      </c>
      <c r="I856" t="s">
        <v>4001</v>
      </c>
      <c r="J856" t="s">
        <v>15</v>
      </c>
      <c r="K856" t="str">
        <f>VLOOKUP(tblSalaries[[#This Row],[Where do you work]],tblCountries[[Actual]:[Mapping]],2,FALSE)</f>
        <v>USA</v>
      </c>
      <c r="L856" t="s">
        <v>13</v>
      </c>
      <c r="M856">
        <v>15</v>
      </c>
      <c r="N856" s="8" t="str">
        <f>VLOOKUP(K856,tblCountries[],3,0)</f>
        <v>North Amer.</v>
      </c>
      <c r="O856" s="8">
        <f>VLOOKUP(tblSalaries[[#This Row],[How many hours of a day you work on Excel]],tblHours,2,0)</f>
        <v>5</v>
      </c>
      <c r="P856" s="8">
        <f>VLOOKUP(tblSalaries[[#This Row],[clean Country]],tblCountries[],5,0)</f>
        <v>1</v>
      </c>
      <c r="Q856" s="8">
        <f>IF($Q$1,tblSalaries[[#This Row],[PPP Factor]]*tblSalaries[[#This Row],[Salary in USD]],tblSalaries[[#This Row],[Salary in USD]])</f>
        <v>50000</v>
      </c>
    </row>
    <row r="857" spans="2:17" ht="15" customHeight="1" x14ac:dyDescent="0.25">
      <c r="B857" t="s">
        <v>2860</v>
      </c>
      <c r="C857" s="1">
        <v>41056.305023148147</v>
      </c>
      <c r="D857" s="4">
        <v>135000</v>
      </c>
      <c r="E857">
        <v>135000</v>
      </c>
      <c r="F857" t="s">
        <v>6</v>
      </c>
      <c r="G857">
        <f>tblSalaries[[#This Row],[clean Salary (in local currency)]]*VLOOKUP(tblSalaries[[#This Row],[Currency]],tblXrate[],2,FALSE)</f>
        <v>135000</v>
      </c>
      <c r="H857" t="s">
        <v>999</v>
      </c>
      <c r="I857" t="s">
        <v>4001</v>
      </c>
      <c r="J857" t="s">
        <v>15</v>
      </c>
      <c r="K857" t="str">
        <f>VLOOKUP(tblSalaries[[#This Row],[Where do you work]],tblCountries[[Actual]:[Mapping]],2,FALSE)</f>
        <v>USA</v>
      </c>
      <c r="L857" t="s">
        <v>9</v>
      </c>
      <c r="M857">
        <v>25</v>
      </c>
      <c r="N857" s="8" t="str">
        <f>VLOOKUP(K857,tblCountries[],3,0)</f>
        <v>North Amer.</v>
      </c>
      <c r="O857" s="8">
        <f>VLOOKUP(tblSalaries[[#This Row],[How many hours of a day you work on Excel]],tblHours,2,0)</f>
        <v>4</v>
      </c>
      <c r="P857" s="8">
        <f>VLOOKUP(tblSalaries[[#This Row],[clean Country]],tblCountries[],5,0)</f>
        <v>1</v>
      </c>
      <c r="Q857" s="8">
        <f>IF($Q$1,tblSalaries[[#This Row],[PPP Factor]]*tblSalaries[[#This Row],[Salary in USD]],tblSalaries[[#This Row],[Salary in USD]])</f>
        <v>135000</v>
      </c>
    </row>
    <row r="858" spans="2:17" ht="15" customHeight="1" x14ac:dyDescent="0.25">
      <c r="B858" t="s">
        <v>2861</v>
      </c>
      <c r="C858" s="1">
        <v>41056.33865740741</v>
      </c>
      <c r="D858" s="4" t="s">
        <v>1000</v>
      </c>
      <c r="E858">
        <v>125000</v>
      </c>
      <c r="F858" t="s">
        <v>6</v>
      </c>
      <c r="G858">
        <f>tblSalaries[[#This Row],[clean Salary (in local currency)]]*VLOOKUP(tblSalaries[[#This Row],[Currency]],tblXrate[],2,FALSE)</f>
        <v>125000</v>
      </c>
      <c r="H858" t="s">
        <v>1001</v>
      </c>
      <c r="I858" t="s">
        <v>52</v>
      </c>
      <c r="J858" t="s">
        <v>583</v>
      </c>
      <c r="K858" t="str">
        <f>VLOOKUP(tblSalaries[[#This Row],[Where do you work]],tblCountries[[Actual]:[Mapping]],2,FALSE)</f>
        <v>Norway</v>
      </c>
      <c r="L858" t="s">
        <v>9</v>
      </c>
      <c r="M858">
        <v>6</v>
      </c>
      <c r="N858" s="8" t="str">
        <f>VLOOKUP(K858,tblCountries[],3,0)</f>
        <v>Europe</v>
      </c>
      <c r="O858" s="8">
        <f>VLOOKUP(tblSalaries[[#This Row],[How many hours of a day you work on Excel]],tblHours,2,0)</f>
        <v>4</v>
      </c>
      <c r="P858" s="8">
        <f>VLOOKUP(tblSalaries[[#This Row],[clean Country]],tblCountries[],5,0)</f>
        <v>0.90492042415514951</v>
      </c>
      <c r="Q858" s="8">
        <f>IF($Q$1,tblSalaries[[#This Row],[PPP Factor]]*tblSalaries[[#This Row],[Salary in USD]],tblSalaries[[#This Row],[Salary in USD]])</f>
        <v>125000</v>
      </c>
    </row>
    <row r="859" spans="2:17" ht="15" customHeight="1" x14ac:dyDescent="0.25">
      <c r="B859" t="s">
        <v>2862</v>
      </c>
      <c r="C859" s="1">
        <v>41056.371157407404</v>
      </c>
      <c r="D859" s="4">
        <v>4500</v>
      </c>
      <c r="E859">
        <v>4500</v>
      </c>
      <c r="F859" t="s">
        <v>6</v>
      </c>
      <c r="G859">
        <f>tblSalaries[[#This Row],[clean Salary (in local currency)]]*VLOOKUP(tblSalaries[[#This Row],[Currency]],tblXrate[],2,FALSE)</f>
        <v>4500</v>
      </c>
      <c r="H859" t="s">
        <v>1002</v>
      </c>
      <c r="I859" t="s">
        <v>20</v>
      </c>
      <c r="J859" t="s">
        <v>997</v>
      </c>
      <c r="K859" t="str">
        <f>VLOOKUP(tblSalaries[[#This Row],[Where do you work]],tblCountries[[Actual]:[Mapping]],2,FALSE)</f>
        <v>Indonesia</v>
      </c>
      <c r="L859" t="s">
        <v>18</v>
      </c>
      <c r="M859">
        <v>4</v>
      </c>
      <c r="N859" s="8" t="str">
        <f>VLOOKUP(K859,tblCountries[],3,0)</f>
        <v>Asia</v>
      </c>
      <c r="O859" s="8">
        <f>VLOOKUP(tblSalaries[[#This Row],[How many hours of a day you work on Excel]],tblHours,2,0)</f>
        <v>3</v>
      </c>
      <c r="P859" s="8">
        <f>VLOOKUP(tblSalaries[[#This Row],[clean Country]],tblCountries[],5,0)</f>
        <v>10.370124303471924</v>
      </c>
      <c r="Q859" s="8">
        <f>IF($Q$1,tblSalaries[[#This Row],[PPP Factor]]*tblSalaries[[#This Row],[Salary in USD]],tblSalaries[[#This Row],[Salary in USD]])</f>
        <v>4500</v>
      </c>
    </row>
    <row r="860" spans="2:17" ht="15" customHeight="1" x14ac:dyDescent="0.25">
      <c r="B860" t="s">
        <v>2863</v>
      </c>
      <c r="C860" s="1">
        <v>41056.371944444443</v>
      </c>
      <c r="D860" s="4">
        <v>115000</v>
      </c>
      <c r="E860">
        <v>115000</v>
      </c>
      <c r="F860" t="s">
        <v>6</v>
      </c>
      <c r="G860">
        <f>tblSalaries[[#This Row],[clean Salary (in local currency)]]*VLOOKUP(tblSalaries[[#This Row],[Currency]],tblXrate[],2,FALSE)</f>
        <v>115000</v>
      </c>
      <c r="H860" t="s">
        <v>1003</v>
      </c>
      <c r="I860" t="s">
        <v>20</v>
      </c>
      <c r="J860" t="s">
        <v>15</v>
      </c>
      <c r="K860" t="str">
        <f>VLOOKUP(tblSalaries[[#This Row],[Where do you work]],tblCountries[[Actual]:[Mapping]],2,FALSE)</f>
        <v>USA</v>
      </c>
      <c r="L860" t="s">
        <v>9</v>
      </c>
      <c r="M860">
        <v>10</v>
      </c>
      <c r="N860" s="8" t="str">
        <f>VLOOKUP(K860,tblCountries[],3,0)</f>
        <v>North Amer.</v>
      </c>
      <c r="O860" s="8">
        <f>VLOOKUP(tblSalaries[[#This Row],[How many hours of a day you work on Excel]],tblHours,2,0)</f>
        <v>4</v>
      </c>
      <c r="P860" s="8">
        <f>VLOOKUP(tblSalaries[[#This Row],[clean Country]],tblCountries[],5,0)</f>
        <v>1</v>
      </c>
      <c r="Q860" s="8">
        <f>IF($Q$1,tblSalaries[[#This Row],[PPP Factor]]*tblSalaries[[#This Row],[Salary in USD]],tblSalaries[[#This Row],[Salary in USD]])</f>
        <v>115000</v>
      </c>
    </row>
    <row r="861" spans="2:17" ht="15" customHeight="1" x14ac:dyDescent="0.25">
      <c r="B861" t="s">
        <v>2864</v>
      </c>
      <c r="C861" s="1">
        <v>41056.387349537035</v>
      </c>
      <c r="D861" s="4">
        <v>70000</v>
      </c>
      <c r="E861">
        <v>70000</v>
      </c>
      <c r="F861" t="s">
        <v>6</v>
      </c>
      <c r="G861">
        <f>tblSalaries[[#This Row],[clean Salary (in local currency)]]*VLOOKUP(tblSalaries[[#This Row],[Currency]],tblXrate[],2,FALSE)</f>
        <v>70000</v>
      </c>
      <c r="H861" t="s">
        <v>14</v>
      </c>
      <c r="I861" t="s">
        <v>20</v>
      </c>
      <c r="J861" t="s">
        <v>15</v>
      </c>
      <c r="K861" t="str">
        <f>VLOOKUP(tblSalaries[[#This Row],[Where do you work]],tblCountries[[Actual]:[Mapping]],2,FALSE)</f>
        <v>USA</v>
      </c>
      <c r="L861" t="s">
        <v>13</v>
      </c>
      <c r="M861">
        <v>15</v>
      </c>
      <c r="N861" s="8" t="str">
        <f>VLOOKUP(K861,tblCountries[],3,0)</f>
        <v>North Amer.</v>
      </c>
      <c r="O861" s="8">
        <f>VLOOKUP(tblSalaries[[#This Row],[How many hours of a day you work on Excel]],tblHours,2,0)</f>
        <v>5</v>
      </c>
      <c r="P861" s="8">
        <f>VLOOKUP(tblSalaries[[#This Row],[clean Country]],tblCountries[],5,0)</f>
        <v>1</v>
      </c>
      <c r="Q861" s="8">
        <f>IF($Q$1,tblSalaries[[#This Row],[PPP Factor]]*tblSalaries[[#This Row],[Salary in USD]],tblSalaries[[#This Row],[Salary in USD]])</f>
        <v>70000</v>
      </c>
    </row>
    <row r="862" spans="2:17" ht="15" customHeight="1" x14ac:dyDescent="0.25">
      <c r="B862" t="s">
        <v>2865</v>
      </c>
      <c r="C862" s="1">
        <v>41056.409375000003</v>
      </c>
      <c r="D862" s="4">
        <v>5000</v>
      </c>
      <c r="E862">
        <v>60000</v>
      </c>
      <c r="F862" t="s">
        <v>6</v>
      </c>
      <c r="G862">
        <f>tblSalaries[[#This Row],[clean Salary (in local currency)]]*VLOOKUP(tblSalaries[[#This Row],[Currency]],tblXrate[],2,FALSE)</f>
        <v>60000</v>
      </c>
      <c r="H862" t="s">
        <v>1004</v>
      </c>
      <c r="I862" t="s">
        <v>20</v>
      </c>
      <c r="J862" t="s">
        <v>15</v>
      </c>
      <c r="K862" t="str">
        <f>VLOOKUP(tblSalaries[[#This Row],[Where do you work]],tblCountries[[Actual]:[Mapping]],2,FALSE)</f>
        <v>USA</v>
      </c>
      <c r="L862" t="s">
        <v>18</v>
      </c>
      <c r="M862">
        <v>8</v>
      </c>
      <c r="N862" s="8" t="str">
        <f>VLOOKUP(K862,tblCountries[],3,0)</f>
        <v>North Amer.</v>
      </c>
      <c r="O862" s="8">
        <f>VLOOKUP(tblSalaries[[#This Row],[How many hours of a day you work on Excel]],tblHours,2,0)</f>
        <v>3</v>
      </c>
      <c r="P862" s="8">
        <f>VLOOKUP(tblSalaries[[#This Row],[clean Country]],tblCountries[],5,0)</f>
        <v>1</v>
      </c>
      <c r="Q862" s="8">
        <f>IF($Q$1,tblSalaries[[#This Row],[PPP Factor]]*tblSalaries[[#This Row],[Salary in USD]],tblSalaries[[#This Row],[Salary in USD]])</f>
        <v>60000</v>
      </c>
    </row>
    <row r="863" spans="2:17" ht="15" customHeight="1" x14ac:dyDescent="0.25">
      <c r="B863" t="s">
        <v>2866</v>
      </c>
      <c r="C863" s="1">
        <v>41056.426006944443</v>
      </c>
      <c r="D863" s="4">
        <v>87456</v>
      </c>
      <c r="E863">
        <v>87456</v>
      </c>
      <c r="F863" t="s">
        <v>6</v>
      </c>
      <c r="G863">
        <f>tblSalaries[[#This Row],[clean Salary (in local currency)]]*VLOOKUP(tblSalaries[[#This Row],[Currency]],tblXrate[],2,FALSE)</f>
        <v>87456</v>
      </c>
      <c r="H863" t="s">
        <v>1005</v>
      </c>
      <c r="I863" t="s">
        <v>52</v>
      </c>
      <c r="J863" t="s">
        <v>15</v>
      </c>
      <c r="K863" t="str">
        <f>VLOOKUP(tblSalaries[[#This Row],[Where do you work]],tblCountries[[Actual]:[Mapping]],2,FALSE)</f>
        <v>USA</v>
      </c>
      <c r="L863" t="s">
        <v>18</v>
      </c>
      <c r="M863">
        <v>12</v>
      </c>
      <c r="N863" s="8" t="str">
        <f>VLOOKUP(K863,tblCountries[],3,0)</f>
        <v>North Amer.</v>
      </c>
      <c r="O863" s="8">
        <f>VLOOKUP(tblSalaries[[#This Row],[How many hours of a day you work on Excel]],tblHours,2,0)</f>
        <v>3</v>
      </c>
      <c r="P863" s="8">
        <f>VLOOKUP(tblSalaries[[#This Row],[clean Country]],tblCountries[],5,0)</f>
        <v>1</v>
      </c>
      <c r="Q863" s="8">
        <f>IF($Q$1,tblSalaries[[#This Row],[PPP Factor]]*tblSalaries[[#This Row],[Salary in USD]],tblSalaries[[#This Row],[Salary in USD]])</f>
        <v>87456</v>
      </c>
    </row>
    <row r="864" spans="2:17" ht="15" customHeight="1" x14ac:dyDescent="0.25">
      <c r="B864" t="s">
        <v>2867</v>
      </c>
      <c r="C864" s="1">
        <v>41056.480752314812</v>
      </c>
      <c r="D864" s="4">
        <v>26400</v>
      </c>
      <c r="E864">
        <v>26400</v>
      </c>
      <c r="F864" t="s">
        <v>6</v>
      </c>
      <c r="G864">
        <f>tblSalaries[[#This Row],[clean Salary (in local currency)]]*VLOOKUP(tblSalaries[[#This Row],[Currency]],tblXrate[],2,FALSE)</f>
        <v>26400</v>
      </c>
      <c r="H864" t="s">
        <v>1006</v>
      </c>
      <c r="I864" t="s">
        <v>20</v>
      </c>
      <c r="J864" t="s">
        <v>179</v>
      </c>
      <c r="K864" t="str">
        <f>VLOOKUP(tblSalaries[[#This Row],[Where do you work]],tblCountries[[Actual]:[Mapping]],2,FALSE)</f>
        <v>UAE</v>
      </c>
      <c r="L864" t="s">
        <v>13</v>
      </c>
      <c r="M864">
        <v>6</v>
      </c>
      <c r="N864" s="8" t="str">
        <f>VLOOKUP(K864,tblCountries[],3,0)</f>
        <v>Asia</v>
      </c>
      <c r="O864" s="8">
        <f>VLOOKUP(tblSalaries[[#This Row],[How many hours of a day you work on Excel]],tblHours,2,0)</f>
        <v>5</v>
      </c>
      <c r="P864" s="8">
        <f>VLOOKUP(tblSalaries[[#This Row],[clean Country]],tblCountries[],5,0)</f>
        <v>1.0047551808629926</v>
      </c>
      <c r="Q864" s="8">
        <f>IF($Q$1,tblSalaries[[#This Row],[PPP Factor]]*tblSalaries[[#This Row],[Salary in USD]],tblSalaries[[#This Row],[Salary in USD]])</f>
        <v>26400</v>
      </c>
    </row>
    <row r="865" spans="2:17" ht="15" customHeight="1" x14ac:dyDescent="0.25">
      <c r="B865" t="s">
        <v>2868</v>
      </c>
      <c r="C865" s="1">
        <v>41056.49324074074</v>
      </c>
      <c r="D865" s="4">
        <v>1000</v>
      </c>
      <c r="E865">
        <v>12000</v>
      </c>
      <c r="F865" t="s">
        <v>6</v>
      </c>
      <c r="G865">
        <f>tblSalaries[[#This Row],[clean Salary (in local currency)]]*VLOOKUP(tblSalaries[[#This Row],[Currency]],tblXrate[],2,FALSE)</f>
        <v>12000</v>
      </c>
      <c r="H865" t="s">
        <v>1007</v>
      </c>
      <c r="I865" t="s">
        <v>52</v>
      </c>
      <c r="J865" t="s">
        <v>179</v>
      </c>
      <c r="K865" t="str">
        <f>VLOOKUP(tblSalaries[[#This Row],[Where do you work]],tblCountries[[Actual]:[Mapping]],2,FALSE)</f>
        <v>UAE</v>
      </c>
      <c r="L865" t="s">
        <v>13</v>
      </c>
      <c r="M865">
        <v>18</v>
      </c>
      <c r="N865" s="8" t="str">
        <f>VLOOKUP(K865,tblCountries[],3,0)</f>
        <v>Asia</v>
      </c>
      <c r="O865" s="8">
        <f>VLOOKUP(tblSalaries[[#This Row],[How many hours of a day you work on Excel]],tblHours,2,0)</f>
        <v>5</v>
      </c>
      <c r="P865" s="8">
        <f>VLOOKUP(tblSalaries[[#This Row],[clean Country]],tblCountries[],5,0)</f>
        <v>1.0047551808629926</v>
      </c>
      <c r="Q865" s="8">
        <f>IF($Q$1,tblSalaries[[#This Row],[PPP Factor]]*tblSalaries[[#This Row],[Salary in USD]],tblSalaries[[#This Row],[Salary in USD]])</f>
        <v>12000</v>
      </c>
    </row>
    <row r="866" spans="2:17" ht="15" customHeight="1" x14ac:dyDescent="0.25">
      <c r="B866" t="s">
        <v>2869</v>
      </c>
      <c r="C866" s="1">
        <v>41056.50267361111</v>
      </c>
      <c r="D866" s="4">
        <v>144000</v>
      </c>
      <c r="E866">
        <v>144000</v>
      </c>
      <c r="F866" t="s">
        <v>40</v>
      </c>
      <c r="G866">
        <f>tblSalaries[[#This Row],[clean Salary (in local currency)]]*VLOOKUP(tblSalaries[[#This Row],[Currency]],tblXrate[],2,FALSE)</f>
        <v>2564.3400029917298</v>
      </c>
      <c r="H866" t="s">
        <v>1008</v>
      </c>
      <c r="I866" t="s">
        <v>20</v>
      </c>
      <c r="J866" t="s">
        <v>8</v>
      </c>
      <c r="K866" t="str">
        <f>VLOOKUP(tblSalaries[[#This Row],[Where do you work]],tblCountries[[Actual]:[Mapping]],2,FALSE)</f>
        <v>India</v>
      </c>
      <c r="L866" t="s">
        <v>9</v>
      </c>
      <c r="M866">
        <v>1</v>
      </c>
      <c r="N866" s="8" t="str">
        <f>VLOOKUP(K866,tblCountries[],3,0)</f>
        <v>Asia</v>
      </c>
      <c r="O866" s="8">
        <f>VLOOKUP(tblSalaries[[#This Row],[How many hours of a day you work on Excel]],tblHours,2,0)</f>
        <v>4</v>
      </c>
      <c r="P866" s="8">
        <f>VLOOKUP(tblSalaries[[#This Row],[clean Country]],tblCountries[],5,0)</f>
        <v>13.098808879263672</v>
      </c>
      <c r="Q866" s="8">
        <f>IF($Q$1,tblSalaries[[#This Row],[PPP Factor]]*tblSalaries[[#This Row],[Salary in USD]],tblSalaries[[#This Row],[Salary in USD]])</f>
        <v>2564.3400029917298</v>
      </c>
    </row>
    <row r="867" spans="2:17" ht="15" customHeight="1" x14ac:dyDescent="0.25">
      <c r="B867" t="s">
        <v>2870</v>
      </c>
      <c r="C867" s="1">
        <v>41056.522743055553</v>
      </c>
      <c r="D867" s="4" t="s">
        <v>1009</v>
      </c>
      <c r="E867">
        <v>62000</v>
      </c>
      <c r="F867" t="s">
        <v>6</v>
      </c>
      <c r="G867">
        <f>tblSalaries[[#This Row],[clean Salary (in local currency)]]*VLOOKUP(tblSalaries[[#This Row],[Currency]],tblXrate[],2,FALSE)</f>
        <v>62000</v>
      </c>
      <c r="H867" t="s">
        <v>1010</v>
      </c>
      <c r="I867" t="s">
        <v>52</v>
      </c>
      <c r="J867" t="s">
        <v>1011</v>
      </c>
      <c r="K867" t="str">
        <f>VLOOKUP(tblSalaries[[#This Row],[Where do you work]],tblCountries[[Actual]:[Mapping]],2,FALSE)</f>
        <v>Qatar</v>
      </c>
      <c r="L867" t="s">
        <v>13</v>
      </c>
      <c r="M867">
        <v>11</v>
      </c>
      <c r="N867" s="8" t="str">
        <f>VLOOKUP(K867,tblCountries[],3,0)</f>
        <v>Asia</v>
      </c>
      <c r="O867" s="8">
        <f>VLOOKUP(tblSalaries[[#This Row],[How many hours of a day you work on Excel]],tblHours,2,0)</f>
        <v>5</v>
      </c>
      <c r="P867" s="8">
        <f>VLOOKUP(tblSalaries[[#This Row],[clean Country]],tblCountries[],5,0)</f>
        <v>0.4700368164906793</v>
      </c>
      <c r="Q867" s="8">
        <f>IF($Q$1,tblSalaries[[#This Row],[PPP Factor]]*tblSalaries[[#This Row],[Salary in USD]],tblSalaries[[#This Row],[Salary in USD]])</f>
        <v>62000</v>
      </c>
    </row>
    <row r="868" spans="2:17" ht="15" customHeight="1" x14ac:dyDescent="0.25">
      <c r="B868" t="s">
        <v>2871</v>
      </c>
      <c r="C868" s="1">
        <v>41056.52447916667</v>
      </c>
      <c r="D868" s="4" t="s">
        <v>1012</v>
      </c>
      <c r="E868">
        <v>300000</v>
      </c>
      <c r="F868" t="s">
        <v>40</v>
      </c>
      <c r="G868">
        <f>tblSalaries[[#This Row],[clean Salary (in local currency)]]*VLOOKUP(tblSalaries[[#This Row],[Currency]],tblXrate[],2,FALSE)</f>
        <v>5342.3750062327708</v>
      </c>
      <c r="H868" t="s">
        <v>1013</v>
      </c>
      <c r="I868" t="s">
        <v>20</v>
      </c>
      <c r="J868" t="s">
        <v>8</v>
      </c>
      <c r="K868" t="str">
        <f>VLOOKUP(tblSalaries[[#This Row],[Where do you work]],tblCountries[[Actual]:[Mapping]],2,FALSE)</f>
        <v>India</v>
      </c>
      <c r="L868" t="s">
        <v>25</v>
      </c>
      <c r="M868">
        <v>10</v>
      </c>
      <c r="N868" s="8" t="str">
        <f>VLOOKUP(K868,tblCountries[],3,0)</f>
        <v>Asia</v>
      </c>
      <c r="O868" s="8">
        <f>VLOOKUP(tblSalaries[[#This Row],[How many hours of a day you work on Excel]],tblHours,2,0)</f>
        <v>2</v>
      </c>
      <c r="P868" s="8">
        <f>VLOOKUP(tblSalaries[[#This Row],[clean Country]],tblCountries[],5,0)</f>
        <v>13.098808879263672</v>
      </c>
      <c r="Q868" s="8">
        <f>IF($Q$1,tblSalaries[[#This Row],[PPP Factor]]*tblSalaries[[#This Row],[Salary in USD]],tblSalaries[[#This Row],[Salary in USD]])</f>
        <v>5342.3750062327708</v>
      </c>
    </row>
    <row r="869" spans="2:17" ht="15" customHeight="1" x14ac:dyDescent="0.25">
      <c r="B869" t="s">
        <v>2872</v>
      </c>
      <c r="C869" s="1">
        <v>41056.525717592594</v>
      </c>
      <c r="D869" s="4">
        <v>40000</v>
      </c>
      <c r="E869">
        <v>40000</v>
      </c>
      <c r="F869" t="s">
        <v>22</v>
      </c>
      <c r="G869">
        <f>tblSalaries[[#This Row],[clean Salary (in local currency)]]*VLOOKUP(tblSalaries[[#This Row],[Currency]],tblXrate[],2,FALSE)</f>
        <v>50815.977559664309</v>
      </c>
      <c r="H869" t="s">
        <v>1014</v>
      </c>
      <c r="I869" t="s">
        <v>20</v>
      </c>
      <c r="J869" t="s">
        <v>628</v>
      </c>
      <c r="K869" t="str">
        <f>VLOOKUP(tblSalaries[[#This Row],[Where do you work]],tblCountries[[Actual]:[Mapping]],2,FALSE)</f>
        <v>Netherlands</v>
      </c>
      <c r="L869" t="s">
        <v>9</v>
      </c>
      <c r="M869">
        <v>4</v>
      </c>
      <c r="N869" s="8" t="str">
        <f>VLOOKUP(K869,tblCountries[],3,0)</f>
        <v>Europe</v>
      </c>
      <c r="O869" s="8">
        <f>VLOOKUP(tblSalaries[[#This Row],[How many hours of a day you work on Excel]],tblHours,2,0)</f>
        <v>4</v>
      </c>
      <c r="P869" s="8">
        <f>VLOOKUP(tblSalaries[[#This Row],[clean Country]],tblCountries[],5,0)</f>
        <v>1.1470734656141099</v>
      </c>
      <c r="Q869" s="8">
        <f>IF($Q$1,tblSalaries[[#This Row],[PPP Factor]]*tblSalaries[[#This Row],[Salary in USD]],tblSalaries[[#This Row],[Salary in USD]])</f>
        <v>50815.977559664309</v>
      </c>
    </row>
    <row r="870" spans="2:17" ht="15" customHeight="1" x14ac:dyDescent="0.25">
      <c r="B870" t="s">
        <v>2873</v>
      </c>
      <c r="C870" s="1">
        <v>41056.528807870367</v>
      </c>
      <c r="D870" s="4" t="s">
        <v>1015</v>
      </c>
      <c r="E870">
        <v>25560</v>
      </c>
      <c r="F870" t="s">
        <v>6</v>
      </c>
      <c r="G870">
        <f>tblSalaries[[#This Row],[clean Salary (in local currency)]]*VLOOKUP(tblSalaries[[#This Row],[Currency]],tblXrate[],2,FALSE)</f>
        <v>25560</v>
      </c>
      <c r="H870" t="s">
        <v>1016</v>
      </c>
      <c r="I870" t="s">
        <v>52</v>
      </c>
      <c r="J870" t="s">
        <v>1017</v>
      </c>
      <c r="K870" t="str">
        <f>VLOOKUP(tblSalaries[[#This Row],[Where do you work]],tblCountries[[Actual]:[Mapping]],2,FALSE)</f>
        <v>Saudi Arabia</v>
      </c>
      <c r="L870" t="s">
        <v>9</v>
      </c>
      <c r="M870">
        <v>3</v>
      </c>
      <c r="N870" s="8" t="str">
        <f>VLOOKUP(K870,tblCountries[],3,0)</f>
        <v>Asia</v>
      </c>
      <c r="O870" s="8">
        <f>VLOOKUP(tblSalaries[[#This Row],[How many hours of a day you work on Excel]],tblHours,2,0)</f>
        <v>4</v>
      </c>
      <c r="P870" s="8">
        <f>VLOOKUP(tblSalaries[[#This Row],[clean Country]],tblCountries[],5,0)</f>
        <v>1.9964104468374799</v>
      </c>
      <c r="Q870" s="8">
        <f>IF($Q$1,tblSalaries[[#This Row],[PPP Factor]]*tblSalaries[[#This Row],[Salary in USD]],tblSalaries[[#This Row],[Salary in USD]])</f>
        <v>25560</v>
      </c>
    </row>
    <row r="871" spans="2:17" ht="15" customHeight="1" x14ac:dyDescent="0.25">
      <c r="B871" t="s">
        <v>2874</v>
      </c>
      <c r="C871" s="1">
        <v>41056.540173611109</v>
      </c>
      <c r="D871" s="4" t="s">
        <v>1018</v>
      </c>
      <c r="E871">
        <v>720000</v>
      </c>
      <c r="F871" t="s">
        <v>40</v>
      </c>
      <c r="G871">
        <f>tblSalaries[[#This Row],[clean Salary (in local currency)]]*VLOOKUP(tblSalaries[[#This Row],[Currency]],tblXrate[],2,FALSE)</f>
        <v>12821.700014958649</v>
      </c>
      <c r="H871" t="s">
        <v>1019</v>
      </c>
      <c r="I871" t="s">
        <v>310</v>
      </c>
      <c r="J871" t="s">
        <v>8</v>
      </c>
      <c r="K871" t="str">
        <f>VLOOKUP(tblSalaries[[#This Row],[Where do you work]],tblCountries[[Actual]:[Mapping]],2,FALSE)</f>
        <v>India</v>
      </c>
      <c r="L871" t="s">
        <v>9</v>
      </c>
      <c r="M871">
        <v>3</v>
      </c>
      <c r="N871" s="8" t="str">
        <f>VLOOKUP(K871,tblCountries[],3,0)</f>
        <v>Asia</v>
      </c>
      <c r="O871" s="8">
        <f>VLOOKUP(tblSalaries[[#This Row],[How many hours of a day you work on Excel]],tblHours,2,0)</f>
        <v>4</v>
      </c>
      <c r="P871" s="8">
        <f>VLOOKUP(tblSalaries[[#This Row],[clean Country]],tblCountries[],5,0)</f>
        <v>13.098808879263672</v>
      </c>
      <c r="Q871" s="8">
        <f>IF($Q$1,tblSalaries[[#This Row],[PPP Factor]]*tblSalaries[[#This Row],[Salary in USD]],tblSalaries[[#This Row],[Salary in USD]])</f>
        <v>12821.700014958649</v>
      </c>
    </row>
    <row r="872" spans="2:17" ht="15" customHeight="1" x14ac:dyDescent="0.25">
      <c r="B872" t="s">
        <v>2875</v>
      </c>
      <c r="C872" s="1">
        <v>41056.546412037038</v>
      </c>
      <c r="D872" s="4">
        <v>600000</v>
      </c>
      <c r="E872">
        <v>600000</v>
      </c>
      <c r="F872" t="s">
        <v>40</v>
      </c>
      <c r="G872">
        <f>tblSalaries[[#This Row],[clean Salary (in local currency)]]*VLOOKUP(tblSalaries[[#This Row],[Currency]],tblXrate[],2,FALSE)</f>
        <v>10684.750012465542</v>
      </c>
      <c r="H872" t="s">
        <v>1020</v>
      </c>
      <c r="I872" t="s">
        <v>52</v>
      </c>
      <c r="J872" t="s">
        <v>8</v>
      </c>
      <c r="K872" t="str">
        <f>VLOOKUP(tblSalaries[[#This Row],[Where do you work]],tblCountries[[Actual]:[Mapping]],2,FALSE)</f>
        <v>India</v>
      </c>
      <c r="L872" t="s">
        <v>13</v>
      </c>
      <c r="M872">
        <v>5</v>
      </c>
      <c r="N872" s="8" t="str">
        <f>VLOOKUP(K872,tblCountries[],3,0)</f>
        <v>Asia</v>
      </c>
      <c r="O872" s="8">
        <f>VLOOKUP(tblSalaries[[#This Row],[How many hours of a day you work on Excel]],tblHours,2,0)</f>
        <v>5</v>
      </c>
      <c r="P872" s="8">
        <f>VLOOKUP(tblSalaries[[#This Row],[clean Country]],tblCountries[],5,0)</f>
        <v>13.098808879263672</v>
      </c>
      <c r="Q872" s="8">
        <f>IF($Q$1,tblSalaries[[#This Row],[PPP Factor]]*tblSalaries[[#This Row],[Salary in USD]],tblSalaries[[#This Row],[Salary in USD]])</f>
        <v>10684.750012465542</v>
      </c>
    </row>
    <row r="873" spans="2:17" ht="15" customHeight="1" x14ac:dyDescent="0.25">
      <c r="B873" t="s">
        <v>2876</v>
      </c>
      <c r="C873" s="1">
        <v>41056.560636574075</v>
      </c>
      <c r="D873" s="4" t="s">
        <v>1021</v>
      </c>
      <c r="E873">
        <v>420000</v>
      </c>
      <c r="F873" t="s">
        <v>32</v>
      </c>
      <c r="G873">
        <f>tblSalaries[[#This Row],[clean Salary (in local currency)]]*VLOOKUP(tblSalaries[[#This Row],[Currency]],tblXrate[],2,FALSE)</f>
        <v>4457.9172610556352</v>
      </c>
      <c r="H873" t="s">
        <v>1022</v>
      </c>
      <c r="I873" t="s">
        <v>52</v>
      </c>
      <c r="J873" t="s">
        <v>17</v>
      </c>
      <c r="K873" t="str">
        <f>VLOOKUP(tblSalaries[[#This Row],[Where do you work]],tblCountries[[Actual]:[Mapping]],2,FALSE)</f>
        <v>Pakistan</v>
      </c>
      <c r="L873" t="s">
        <v>13</v>
      </c>
      <c r="M873">
        <v>4</v>
      </c>
      <c r="N873" s="8" t="str">
        <f>VLOOKUP(K873,tblCountries[],3,0)</f>
        <v>Asia</v>
      </c>
      <c r="O873" s="8">
        <f>VLOOKUP(tblSalaries[[#This Row],[How many hours of a day you work on Excel]],tblHours,2,0)</f>
        <v>5</v>
      </c>
      <c r="P873" s="8">
        <f>VLOOKUP(tblSalaries[[#This Row],[clean Country]],tblCountries[],5,0)</f>
        <v>17.361679224973088</v>
      </c>
      <c r="Q873" s="8">
        <f>IF($Q$1,tblSalaries[[#This Row],[PPP Factor]]*tblSalaries[[#This Row],[Salary in USD]],tblSalaries[[#This Row],[Salary in USD]])</f>
        <v>4457.9172610556352</v>
      </c>
    </row>
    <row r="874" spans="2:17" ht="15" customHeight="1" x14ac:dyDescent="0.25">
      <c r="B874" t="s">
        <v>2877</v>
      </c>
      <c r="C874" s="1">
        <v>41056.562407407408</v>
      </c>
      <c r="D874" s="4" t="s">
        <v>1023</v>
      </c>
      <c r="E874">
        <v>125000</v>
      </c>
      <c r="F874" t="s">
        <v>6</v>
      </c>
      <c r="G874">
        <f>tblSalaries[[#This Row],[clean Salary (in local currency)]]*VLOOKUP(tblSalaries[[#This Row],[Currency]],tblXrate[],2,FALSE)</f>
        <v>125000</v>
      </c>
      <c r="H874" t="s">
        <v>1024</v>
      </c>
      <c r="I874" t="s">
        <v>4001</v>
      </c>
      <c r="J874" t="s">
        <v>48</v>
      </c>
      <c r="K874" t="str">
        <f>VLOOKUP(tblSalaries[[#This Row],[Where do you work]],tblCountries[[Actual]:[Mapping]],2,FALSE)</f>
        <v>South Africa</v>
      </c>
      <c r="L874" t="s">
        <v>9</v>
      </c>
      <c r="M874">
        <v>20</v>
      </c>
      <c r="N874" s="8" t="str">
        <f>VLOOKUP(K874,tblCountries[],3,0)</f>
        <v>Africa</v>
      </c>
      <c r="O874" s="8">
        <f>VLOOKUP(tblSalaries[[#This Row],[How many hours of a day you work on Excel]],tblHours,2,0)</f>
        <v>4</v>
      </c>
      <c r="P874" s="8">
        <f>VLOOKUP(tblSalaries[[#This Row],[clean Country]],tblCountries[],5,0)</f>
        <v>4.4096418481727877</v>
      </c>
      <c r="Q874" s="8">
        <f>IF($Q$1,tblSalaries[[#This Row],[PPP Factor]]*tblSalaries[[#This Row],[Salary in USD]],tblSalaries[[#This Row],[Salary in USD]])</f>
        <v>125000</v>
      </c>
    </row>
    <row r="875" spans="2:17" ht="15" customHeight="1" x14ac:dyDescent="0.25">
      <c r="B875" t="s">
        <v>2878</v>
      </c>
      <c r="C875" s="1">
        <v>41056.565416666665</v>
      </c>
      <c r="D875" s="4">
        <v>43000</v>
      </c>
      <c r="E875">
        <v>43000</v>
      </c>
      <c r="F875" t="s">
        <v>6</v>
      </c>
      <c r="G875">
        <f>tblSalaries[[#This Row],[clean Salary (in local currency)]]*VLOOKUP(tblSalaries[[#This Row],[Currency]],tblXrate[],2,FALSE)</f>
        <v>43000</v>
      </c>
      <c r="H875" t="s">
        <v>14</v>
      </c>
      <c r="I875" t="s">
        <v>20</v>
      </c>
      <c r="J875" t="s">
        <v>15</v>
      </c>
      <c r="K875" t="str">
        <f>VLOOKUP(tblSalaries[[#This Row],[Where do you work]],tblCountries[[Actual]:[Mapping]],2,FALSE)</f>
        <v>USA</v>
      </c>
      <c r="L875" t="s">
        <v>9</v>
      </c>
      <c r="M875">
        <v>1</v>
      </c>
      <c r="N875" s="8" t="str">
        <f>VLOOKUP(K875,tblCountries[],3,0)</f>
        <v>North Amer.</v>
      </c>
      <c r="O875" s="8">
        <f>VLOOKUP(tblSalaries[[#This Row],[How many hours of a day you work on Excel]],tblHours,2,0)</f>
        <v>4</v>
      </c>
      <c r="P875" s="8">
        <f>VLOOKUP(tblSalaries[[#This Row],[clean Country]],tblCountries[],5,0)</f>
        <v>1</v>
      </c>
      <c r="Q875" s="8">
        <f>IF($Q$1,tblSalaries[[#This Row],[PPP Factor]]*tblSalaries[[#This Row],[Salary in USD]],tblSalaries[[#This Row],[Salary in USD]])</f>
        <v>43000</v>
      </c>
    </row>
    <row r="876" spans="2:17" ht="15" customHeight="1" x14ac:dyDescent="0.25">
      <c r="B876" t="s">
        <v>2879</v>
      </c>
      <c r="C876" s="1">
        <v>41056.570185185185</v>
      </c>
      <c r="D876" s="4" t="s">
        <v>1025</v>
      </c>
      <c r="E876">
        <v>400000</v>
      </c>
      <c r="F876" t="s">
        <v>40</v>
      </c>
      <c r="G876">
        <f>tblSalaries[[#This Row],[clean Salary (in local currency)]]*VLOOKUP(tblSalaries[[#This Row],[Currency]],tblXrate[],2,FALSE)</f>
        <v>7123.1666749770275</v>
      </c>
      <c r="H876" t="s">
        <v>522</v>
      </c>
      <c r="I876" t="s">
        <v>279</v>
      </c>
      <c r="J876" t="s">
        <v>8</v>
      </c>
      <c r="K876" t="str">
        <f>VLOOKUP(tblSalaries[[#This Row],[Where do you work]],tblCountries[[Actual]:[Mapping]],2,FALSE)</f>
        <v>India</v>
      </c>
      <c r="L876" t="s">
        <v>18</v>
      </c>
      <c r="M876">
        <v>6</v>
      </c>
      <c r="N876" s="8" t="str">
        <f>VLOOKUP(K876,tblCountries[],3,0)</f>
        <v>Asia</v>
      </c>
      <c r="O876" s="8">
        <f>VLOOKUP(tblSalaries[[#This Row],[How many hours of a day you work on Excel]],tblHours,2,0)</f>
        <v>3</v>
      </c>
      <c r="P876" s="8">
        <f>VLOOKUP(tblSalaries[[#This Row],[clean Country]],tblCountries[],5,0)</f>
        <v>13.098808879263672</v>
      </c>
      <c r="Q876" s="8">
        <f>IF($Q$1,tblSalaries[[#This Row],[PPP Factor]]*tblSalaries[[#This Row],[Salary in USD]],tblSalaries[[#This Row],[Salary in USD]])</f>
        <v>7123.1666749770275</v>
      </c>
    </row>
    <row r="877" spans="2:17" ht="15" customHeight="1" x14ac:dyDescent="0.25">
      <c r="B877" t="s">
        <v>2880</v>
      </c>
      <c r="C877" s="1">
        <v>41056.570196759261</v>
      </c>
      <c r="D877" s="4">
        <v>10000</v>
      </c>
      <c r="E877">
        <v>10000</v>
      </c>
      <c r="F877" t="s">
        <v>6</v>
      </c>
      <c r="G877">
        <f>tblSalaries[[#This Row],[clean Salary (in local currency)]]*VLOOKUP(tblSalaries[[#This Row],[Currency]],tblXrate[],2,FALSE)</f>
        <v>10000</v>
      </c>
      <c r="H877" t="s">
        <v>1026</v>
      </c>
      <c r="I877" t="s">
        <v>310</v>
      </c>
      <c r="J877" t="s">
        <v>1027</v>
      </c>
      <c r="K877" t="str">
        <f>VLOOKUP(tblSalaries[[#This Row],[Where do you work]],tblCountries[[Actual]:[Mapping]],2,FALSE)</f>
        <v>Vietnam</v>
      </c>
      <c r="L877" t="s">
        <v>9</v>
      </c>
      <c r="M877">
        <v>4</v>
      </c>
      <c r="N877" s="8" t="str">
        <f>VLOOKUP(K877,tblCountries[],3,0)</f>
        <v>Asia</v>
      </c>
      <c r="O877" s="8">
        <f>VLOOKUP(tblSalaries[[#This Row],[How many hours of a day you work on Excel]],tblHours,2,0)</f>
        <v>4</v>
      </c>
      <c r="P877" s="8">
        <f>VLOOKUP(tblSalaries[[#This Row],[clean Country]],tblCountries[],5,0)</f>
        <v>14.405180113128907</v>
      </c>
      <c r="Q877" s="8">
        <f>IF($Q$1,tblSalaries[[#This Row],[PPP Factor]]*tblSalaries[[#This Row],[Salary in USD]],tblSalaries[[#This Row],[Salary in USD]])</f>
        <v>10000</v>
      </c>
    </row>
    <row r="878" spans="2:17" ht="15" customHeight="1" x14ac:dyDescent="0.25">
      <c r="B878" t="s">
        <v>2881</v>
      </c>
      <c r="C878" s="1">
        <v>41056.571006944447</v>
      </c>
      <c r="D878" s="4" t="s">
        <v>1028</v>
      </c>
      <c r="E878">
        <v>500000</v>
      </c>
      <c r="F878" t="s">
        <v>40</v>
      </c>
      <c r="G878">
        <f>tblSalaries[[#This Row],[clean Salary (in local currency)]]*VLOOKUP(tblSalaries[[#This Row],[Currency]],tblXrate[],2,FALSE)</f>
        <v>8903.9583437212841</v>
      </c>
      <c r="H878" t="s">
        <v>1029</v>
      </c>
      <c r="I878" t="s">
        <v>52</v>
      </c>
      <c r="J878" t="s">
        <v>8</v>
      </c>
      <c r="K878" t="str">
        <f>VLOOKUP(tblSalaries[[#This Row],[Where do you work]],tblCountries[[Actual]:[Mapping]],2,FALSE)</f>
        <v>India</v>
      </c>
      <c r="L878" t="s">
        <v>25</v>
      </c>
      <c r="M878">
        <v>5</v>
      </c>
      <c r="N878" s="8" t="str">
        <f>VLOOKUP(K878,tblCountries[],3,0)</f>
        <v>Asia</v>
      </c>
      <c r="O878" s="8">
        <f>VLOOKUP(tblSalaries[[#This Row],[How many hours of a day you work on Excel]],tblHours,2,0)</f>
        <v>2</v>
      </c>
      <c r="P878" s="8">
        <f>VLOOKUP(tblSalaries[[#This Row],[clean Country]],tblCountries[],5,0)</f>
        <v>13.098808879263672</v>
      </c>
      <c r="Q878" s="8">
        <f>IF($Q$1,tblSalaries[[#This Row],[PPP Factor]]*tblSalaries[[#This Row],[Salary in USD]],tblSalaries[[#This Row],[Salary in USD]])</f>
        <v>8903.9583437212841</v>
      </c>
    </row>
    <row r="879" spans="2:17" ht="15" customHeight="1" x14ac:dyDescent="0.25">
      <c r="B879" t="s">
        <v>2882</v>
      </c>
      <c r="C879" s="1">
        <v>41056.573460648149</v>
      </c>
      <c r="D879" s="4">
        <v>36500</v>
      </c>
      <c r="E879">
        <v>36500</v>
      </c>
      <c r="F879" t="s">
        <v>6</v>
      </c>
      <c r="G879">
        <f>tblSalaries[[#This Row],[clean Salary (in local currency)]]*VLOOKUP(tblSalaries[[#This Row],[Currency]],tblXrate[],2,FALSE)</f>
        <v>36500</v>
      </c>
      <c r="H879" t="s">
        <v>310</v>
      </c>
      <c r="I879" t="s">
        <v>310</v>
      </c>
      <c r="J879" t="s">
        <v>133</v>
      </c>
      <c r="K879" t="str">
        <f>VLOOKUP(tblSalaries[[#This Row],[Where do you work]],tblCountries[[Actual]:[Mapping]],2,FALSE)</f>
        <v>Saudi Arabia</v>
      </c>
      <c r="L879" t="s">
        <v>9</v>
      </c>
      <c r="M879">
        <v>15</v>
      </c>
      <c r="N879" s="8" t="str">
        <f>VLOOKUP(K879,tblCountries[],3,0)</f>
        <v>Asia</v>
      </c>
      <c r="O879" s="8">
        <f>VLOOKUP(tblSalaries[[#This Row],[How many hours of a day you work on Excel]],tblHours,2,0)</f>
        <v>4</v>
      </c>
      <c r="P879" s="8">
        <f>VLOOKUP(tblSalaries[[#This Row],[clean Country]],tblCountries[],5,0)</f>
        <v>1.9964104468374799</v>
      </c>
      <c r="Q879" s="8">
        <f>IF($Q$1,tblSalaries[[#This Row],[PPP Factor]]*tblSalaries[[#This Row],[Salary in USD]],tblSalaries[[#This Row],[Salary in USD]])</f>
        <v>36500</v>
      </c>
    </row>
    <row r="880" spans="2:17" ht="15" customHeight="1" x14ac:dyDescent="0.25">
      <c r="B880" t="s">
        <v>2883</v>
      </c>
      <c r="C880" s="1">
        <v>41056.5783912037</v>
      </c>
      <c r="D880" s="4" t="s">
        <v>1030</v>
      </c>
      <c r="E880">
        <v>100000</v>
      </c>
      <c r="F880" t="s">
        <v>6</v>
      </c>
      <c r="G880">
        <f>tblSalaries[[#This Row],[clean Salary (in local currency)]]*VLOOKUP(tblSalaries[[#This Row],[Currency]],tblXrate[],2,FALSE)</f>
        <v>100000</v>
      </c>
      <c r="H880" t="s">
        <v>139</v>
      </c>
      <c r="I880" t="s">
        <v>4001</v>
      </c>
      <c r="J880" t="s">
        <v>1031</v>
      </c>
      <c r="K880" t="str">
        <f>VLOOKUP(tblSalaries[[#This Row],[Where do you work]],tblCountries[[Actual]:[Mapping]],2,FALSE)</f>
        <v>Mexico</v>
      </c>
      <c r="L880" t="s">
        <v>13</v>
      </c>
      <c r="M880">
        <v>10</v>
      </c>
      <c r="N880" s="8" t="str">
        <f>VLOOKUP(K880,tblCountries[],3,0)</f>
        <v>North Amer.</v>
      </c>
      <c r="O880" s="8">
        <f>VLOOKUP(tblSalaries[[#This Row],[How many hours of a day you work on Excel]],tblHours,2,0)</f>
        <v>5</v>
      </c>
      <c r="P880" s="8">
        <f>VLOOKUP(tblSalaries[[#This Row],[clean Country]],tblCountries[],5,0)</f>
        <v>3.3119096509240245</v>
      </c>
      <c r="Q880" s="8">
        <f>IF($Q$1,tblSalaries[[#This Row],[PPP Factor]]*tblSalaries[[#This Row],[Salary in USD]],tblSalaries[[#This Row],[Salary in USD]])</f>
        <v>100000</v>
      </c>
    </row>
    <row r="881" spans="2:17" ht="15" customHeight="1" x14ac:dyDescent="0.25">
      <c r="B881" t="s">
        <v>2884</v>
      </c>
      <c r="C881" s="1">
        <v>41056.586469907408</v>
      </c>
      <c r="D881" s="4" t="s">
        <v>80</v>
      </c>
      <c r="E881">
        <v>400000</v>
      </c>
      <c r="F881" t="s">
        <v>40</v>
      </c>
      <c r="G881">
        <f>tblSalaries[[#This Row],[clean Salary (in local currency)]]*VLOOKUP(tblSalaries[[#This Row],[Currency]],tblXrate[],2,FALSE)</f>
        <v>7123.1666749770275</v>
      </c>
      <c r="H881" t="s">
        <v>1032</v>
      </c>
      <c r="I881" t="s">
        <v>310</v>
      </c>
      <c r="J881" t="s">
        <v>8</v>
      </c>
      <c r="K881" t="str">
        <f>VLOOKUP(tblSalaries[[#This Row],[Where do you work]],tblCountries[[Actual]:[Mapping]],2,FALSE)</f>
        <v>India</v>
      </c>
      <c r="L881" t="s">
        <v>18</v>
      </c>
      <c r="M881">
        <v>8</v>
      </c>
      <c r="N881" s="8" t="str">
        <f>VLOOKUP(K881,tblCountries[],3,0)</f>
        <v>Asia</v>
      </c>
      <c r="O881" s="8">
        <f>VLOOKUP(tblSalaries[[#This Row],[How many hours of a day you work on Excel]],tblHours,2,0)</f>
        <v>3</v>
      </c>
      <c r="P881" s="8">
        <f>VLOOKUP(tblSalaries[[#This Row],[clean Country]],tblCountries[],5,0)</f>
        <v>13.098808879263672</v>
      </c>
      <c r="Q881" s="8">
        <f>IF($Q$1,tblSalaries[[#This Row],[PPP Factor]]*tblSalaries[[#This Row],[Salary in USD]],tblSalaries[[#This Row],[Salary in USD]])</f>
        <v>7123.1666749770275</v>
      </c>
    </row>
    <row r="882" spans="2:17" ht="15" customHeight="1" x14ac:dyDescent="0.25">
      <c r="B882" t="s">
        <v>2885</v>
      </c>
      <c r="C882" s="1">
        <v>41056.598738425928</v>
      </c>
      <c r="D882" s="4" t="s">
        <v>1033</v>
      </c>
      <c r="E882">
        <v>2300000</v>
      </c>
      <c r="F882" t="s">
        <v>40</v>
      </c>
      <c r="G882">
        <f>tblSalaries[[#This Row],[clean Salary (in local currency)]]*VLOOKUP(tblSalaries[[#This Row],[Currency]],tblXrate[],2,FALSE)</f>
        <v>40958.208381117904</v>
      </c>
      <c r="H882" t="s">
        <v>1034</v>
      </c>
      <c r="I882" t="s">
        <v>52</v>
      </c>
      <c r="J882" t="s">
        <v>8</v>
      </c>
      <c r="K882" t="str">
        <f>VLOOKUP(tblSalaries[[#This Row],[Where do you work]],tblCountries[[Actual]:[Mapping]],2,FALSE)</f>
        <v>India</v>
      </c>
      <c r="L882" t="s">
        <v>18</v>
      </c>
      <c r="M882">
        <v>8</v>
      </c>
      <c r="N882" s="8" t="str">
        <f>VLOOKUP(K882,tblCountries[],3,0)</f>
        <v>Asia</v>
      </c>
      <c r="O882" s="8">
        <f>VLOOKUP(tblSalaries[[#This Row],[How many hours of a day you work on Excel]],tblHours,2,0)</f>
        <v>3</v>
      </c>
      <c r="P882" s="8">
        <f>VLOOKUP(tblSalaries[[#This Row],[clean Country]],tblCountries[],5,0)</f>
        <v>13.098808879263672</v>
      </c>
      <c r="Q882" s="8">
        <f>IF($Q$1,tblSalaries[[#This Row],[PPP Factor]]*tblSalaries[[#This Row],[Salary in USD]],tblSalaries[[#This Row],[Salary in USD]])</f>
        <v>40958.208381117904</v>
      </c>
    </row>
    <row r="883" spans="2:17" ht="15" customHeight="1" x14ac:dyDescent="0.25">
      <c r="B883" t="s">
        <v>2886</v>
      </c>
      <c r="C883" s="1">
        <v>41056.602465277778</v>
      </c>
      <c r="D883" s="4" t="s">
        <v>1035</v>
      </c>
      <c r="E883">
        <v>1200000</v>
      </c>
      <c r="F883" t="s">
        <v>40</v>
      </c>
      <c r="G883">
        <f>tblSalaries[[#This Row],[clean Salary (in local currency)]]*VLOOKUP(tblSalaries[[#This Row],[Currency]],tblXrate[],2,FALSE)</f>
        <v>21369.500024931083</v>
      </c>
      <c r="H883" t="s">
        <v>1036</v>
      </c>
      <c r="I883" t="s">
        <v>4001</v>
      </c>
      <c r="J883" t="s">
        <v>8</v>
      </c>
      <c r="K883" t="str">
        <f>VLOOKUP(tblSalaries[[#This Row],[Where do you work]],tblCountries[[Actual]:[Mapping]],2,FALSE)</f>
        <v>India</v>
      </c>
      <c r="L883" t="s">
        <v>9</v>
      </c>
      <c r="M883">
        <v>17</v>
      </c>
      <c r="N883" s="8" t="str">
        <f>VLOOKUP(K883,tblCountries[],3,0)</f>
        <v>Asia</v>
      </c>
      <c r="O883" s="8">
        <f>VLOOKUP(tblSalaries[[#This Row],[How many hours of a day you work on Excel]],tblHours,2,0)</f>
        <v>4</v>
      </c>
      <c r="P883" s="8">
        <f>VLOOKUP(tblSalaries[[#This Row],[clean Country]],tblCountries[],5,0)</f>
        <v>13.098808879263672</v>
      </c>
      <c r="Q883" s="8">
        <f>IF($Q$1,tblSalaries[[#This Row],[PPP Factor]]*tblSalaries[[#This Row],[Salary in USD]],tblSalaries[[#This Row],[Salary in USD]])</f>
        <v>21369.500024931083</v>
      </c>
    </row>
    <row r="884" spans="2:17" ht="15" customHeight="1" x14ac:dyDescent="0.25">
      <c r="B884" t="s">
        <v>2887</v>
      </c>
      <c r="C884" s="1">
        <v>41056.616215277776</v>
      </c>
      <c r="D884" s="4">
        <v>120000</v>
      </c>
      <c r="E884">
        <v>120000</v>
      </c>
      <c r="F884" t="s">
        <v>40</v>
      </c>
      <c r="G884">
        <f>tblSalaries[[#This Row],[clean Salary (in local currency)]]*VLOOKUP(tblSalaries[[#This Row],[Currency]],tblXrate[],2,FALSE)</f>
        <v>2136.9500024931081</v>
      </c>
      <c r="H884" t="s">
        <v>1037</v>
      </c>
      <c r="I884" t="s">
        <v>52</v>
      </c>
      <c r="J884" t="s">
        <v>8</v>
      </c>
      <c r="K884" t="str">
        <f>VLOOKUP(tblSalaries[[#This Row],[Where do you work]],tblCountries[[Actual]:[Mapping]],2,FALSE)</f>
        <v>India</v>
      </c>
      <c r="L884" t="s">
        <v>9</v>
      </c>
      <c r="M884">
        <v>5</v>
      </c>
      <c r="N884" s="8" t="str">
        <f>VLOOKUP(K884,tblCountries[],3,0)</f>
        <v>Asia</v>
      </c>
      <c r="O884" s="8">
        <f>VLOOKUP(tblSalaries[[#This Row],[How many hours of a day you work on Excel]],tblHours,2,0)</f>
        <v>4</v>
      </c>
      <c r="P884" s="8">
        <f>VLOOKUP(tblSalaries[[#This Row],[clean Country]],tblCountries[],5,0)</f>
        <v>13.098808879263672</v>
      </c>
      <c r="Q884" s="8">
        <f>IF($Q$1,tblSalaries[[#This Row],[PPP Factor]]*tblSalaries[[#This Row],[Salary in USD]],tblSalaries[[#This Row],[Salary in USD]])</f>
        <v>2136.9500024931081</v>
      </c>
    </row>
    <row r="885" spans="2:17" ht="15" customHeight="1" x14ac:dyDescent="0.25">
      <c r="B885" t="s">
        <v>2888</v>
      </c>
      <c r="C885" s="1">
        <v>41056.6175</v>
      </c>
      <c r="D885" s="4" t="s">
        <v>1038</v>
      </c>
      <c r="E885">
        <v>500000</v>
      </c>
      <c r="F885" t="s">
        <v>40</v>
      </c>
      <c r="G885">
        <f>tblSalaries[[#This Row],[clean Salary (in local currency)]]*VLOOKUP(tblSalaries[[#This Row],[Currency]],tblXrate[],2,FALSE)</f>
        <v>8903.9583437212841</v>
      </c>
      <c r="H885" t="s">
        <v>737</v>
      </c>
      <c r="I885" t="s">
        <v>279</v>
      </c>
      <c r="J885" t="s">
        <v>8</v>
      </c>
      <c r="K885" t="str">
        <f>VLOOKUP(tblSalaries[[#This Row],[Where do you work]],tblCountries[[Actual]:[Mapping]],2,FALSE)</f>
        <v>India</v>
      </c>
      <c r="L885" t="s">
        <v>18</v>
      </c>
      <c r="M885">
        <v>3</v>
      </c>
      <c r="N885" s="8" t="str">
        <f>VLOOKUP(K885,tblCountries[],3,0)</f>
        <v>Asia</v>
      </c>
      <c r="O885" s="8">
        <f>VLOOKUP(tblSalaries[[#This Row],[How many hours of a day you work on Excel]],tblHours,2,0)</f>
        <v>3</v>
      </c>
      <c r="P885" s="8">
        <f>VLOOKUP(tblSalaries[[#This Row],[clean Country]],tblCountries[],5,0)</f>
        <v>13.098808879263672</v>
      </c>
      <c r="Q885" s="8">
        <f>IF($Q$1,tblSalaries[[#This Row],[PPP Factor]]*tblSalaries[[#This Row],[Salary in USD]],tblSalaries[[#This Row],[Salary in USD]])</f>
        <v>8903.9583437212841</v>
      </c>
    </row>
    <row r="886" spans="2:17" ht="15" customHeight="1" x14ac:dyDescent="0.25">
      <c r="B886" t="s">
        <v>2889</v>
      </c>
      <c r="C886" s="1">
        <v>41056.618703703702</v>
      </c>
      <c r="D886" s="4">
        <v>1000000</v>
      </c>
      <c r="E886">
        <v>1000000</v>
      </c>
      <c r="F886" t="s">
        <v>40</v>
      </c>
      <c r="G886">
        <f>tblSalaries[[#This Row],[clean Salary (in local currency)]]*VLOOKUP(tblSalaries[[#This Row],[Currency]],tblXrate[],2,FALSE)</f>
        <v>17807.916687442568</v>
      </c>
      <c r="H886" t="s">
        <v>1039</v>
      </c>
      <c r="I886" t="s">
        <v>52</v>
      </c>
      <c r="J886" t="s">
        <v>8</v>
      </c>
      <c r="K886" t="str">
        <f>VLOOKUP(tblSalaries[[#This Row],[Where do you work]],tblCountries[[Actual]:[Mapping]],2,FALSE)</f>
        <v>India</v>
      </c>
      <c r="L886" t="s">
        <v>9</v>
      </c>
      <c r="M886">
        <v>5</v>
      </c>
      <c r="N886" s="8" t="str">
        <f>VLOOKUP(K886,tblCountries[],3,0)</f>
        <v>Asia</v>
      </c>
      <c r="O886" s="8">
        <f>VLOOKUP(tblSalaries[[#This Row],[How many hours of a day you work on Excel]],tblHours,2,0)</f>
        <v>4</v>
      </c>
      <c r="P886" s="8">
        <f>VLOOKUP(tblSalaries[[#This Row],[clean Country]],tblCountries[],5,0)</f>
        <v>13.098808879263672</v>
      </c>
      <c r="Q886" s="8">
        <f>IF($Q$1,tblSalaries[[#This Row],[PPP Factor]]*tblSalaries[[#This Row],[Salary in USD]],tblSalaries[[#This Row],[Salary in USD]])</f>
        <v>17807.916687442568</v>
      </c>
    </row>
    <row r="887" spans="2:17" ht="15" customHeight="1" x14ac:dyDescent="0.25">
      <c r="B887" t="s">
        <v>2890</v>
      </c>
      <c r="C887" s="1">
        <v>41056.621874999997</v>
      </c>
      <c r="D887" s="4" t="s">
        <v>717</v>
      </c>
      <c r="E887">
        <v>850000</v>
      </c>
      <c r="F887" t="s">
        <v>40</v>
      </c>
      <c r="G887">
        <f>tblSalaries[[#This Row],[clean Salary (in local currency)]]*VLOOKUP(tblSalaries[[#This Row],[Currency]],tblXrate[],2,FALSE)</f>
        <v>15136.729184326183</v>
      </c>
      <c r="H887" t="s">
        <v>1022</v>
      </c>
      <c r="I887" t="s">
        <v>52</v>
      </c>
      <c r="J887" t="s">
        <v>8</v>
      </c>
      <c r="K887" t="str">
        <f>VLOOKUP(tblSalaries[[#This Row],[Where do you work]],tblCountries[[Actual]:[Mapping]],2,FALSE)</f>
        <v>India</v>
      </c>
      <c r="L887" t="s">
        <v>18</v>
      </c>
      <c r="M887">
        <v>3</v>
      </c>
      <c r="N887" s="8" t="str">
        <f>VLOOKUP(K887,tblCountries[],3,0)</f>
        <v>Asia</v>
      </c>
      <c r="O887" s="8">
        <f>VLOOKUP(tblSalaries[[#This Row],[How many hours of a day you work on Excel]],tblHours,2,0)</f>
        <v>3</v>
      </c>
      <c r="P887" s="8">
        <f>VLOOKUP(tblSalaries[[#This Row],[clean Country]],tblCountries[],5,0)</f>
        <v>13.098808879263672</v>
      </c>
      <c r="Q887" s="8">
        <f>IF($Q$1,tblSalaries[[#This Row],[PPP Factor]]*tblSalaries[[#This Row],[Salary in USD]],tblSalaries[[#This Row],[Salary in USD]])</f>
        <v>15136.729184326183</v>
      </c>
    </row>
    <row r="888" spans="2:17" ht="15" customHeight="1" x14ac:dyDescent="0.25">
      <c r="B888" t="s">
        <v>2891</v>
      </c>
      <c r="C888" s="1">
        <v>41056.625717592593</v>
      </c>
      <c r="D888" s="4" t="s">
        <v>1040</v>
      </c>
      <c r="E888">
        <v>168000</v>
      </c>
      <c r="F888" t="s">
        <v>3951</v>
      </c>
      <c r="G888">
        <f>tblSalaries[[#This Row],[clean Salary (in local currency)]]*VLOOKUP(tblSalaries[[#This Row],[Currency]],tblXrate[],2,FALSE)</f>
        <v>3982.448779308334</v>
      </c>
      <c r="H888" t="s">
        <v>1041</v>
      </c>
      <c r="I888" t="s">
        <v>20</v>
      </c>
      <c r="J888" t="s">
        <v>347</v>
      </c>
      <c r="K888" t="str">
        <f>VLOOKUP(tblSalaries[[#This Row],[Where do you work]],tblCountries[[Actual]:[Mapping]],2,FALSE)</f>
        <v>Philippines</v>
      </c>
      <c r="L888" t="s">
        <v>9</v>
      </c>
      <c r="M888">
        <v>10</v>
      </c>
      <c r="N888" s="8" t="str">
        <f>VLOOKUP(K888,tblCountries[],3,0)</f>
        <v>Asia</v>
      </c>
      <c r="O888" s="8">
        <f>VLOOKUP(tblSalaries[[#This Row],[How many hours of a day you work on Excel]],tblHours,2,0)</f>
        <v>4</v>
      </c>
      <c r="P888" s="8">
        <f>VLOOKUP(tblSalaries[[#This Row],[clean Country]],tblCountries[],5,0)</f>
        <v>11.879941075374417</v>
      </c>
      <c r="Q888" s="8">
        <f>IF($Q$1,tblSalaries[[#This Row],[PPP Factor]]*tblSalaries[[#This Row],[Salary in USD]],tblSalaries[[#This Row],[Salary in USD]])</f>
        <v>3982.448779308334</v>
      </c>
    </row>
    <row r="889" spans="2:17" ht="15" customHeight="1" x14ac:dyDescent="0.25">
      <c r="B889" t="s">
        <v>2892</v>
      </c>
      <c r="C889" s="1">
        <v>41056.642824074072</v>
      </c>
      <c r="D889" s="4">
        <v>1300</v>
      </c>
      <c r="E889">
        <v>15600</v>
      </c>
      <c r="F889" t="s">
        <v>6</v>
      </c>
      <c r="G889">
        <f>tblSalaries[[#This Row],[clean Salary (in local currency)]]*VLOOKUP(tblSalaries[[#This Row],[Currency]],tblXrate[],2,FALSE)</f>
        <v>15600</v>
      </c>
      <c r="H889" t="s">
        <v>1042</v>
      </c>
      <c r="I889" t="s">
        <v>488</v>
      </c>
      <c r="J889" t="s">
        <v>1043</v>
      </c>
      <c r="K889" t="str">
        <f>VLOOKUP(tblSalaries[[#This Row],[Where do you work]],tblCountries[[Actual]:[Mapping]],2,FALSE)</f>
        <v>Kuwait</v>
      </c>
      <c r="L889" t="s">
        <v>9</v>
      </c>
      <c r="M889">
        <v>13</v>
      </c>
      <c r="N889" s="8" t="str">
        <f>VLOOKUP(K889,tblCountries[],3,0)</f>
        <v>Asia</v>
      </c>
      <c r="O889" s="8">
        <f>VLOOKUP(tblSalaries[[#This Row],[How many hours of a day you work on Excel]],tblHours,2,0)</f>
        <v>4</v>
      </c>
      <c r="P889" s="8">
        <f>VLOOKUP(tblSalaries[[#This Row],[clean Country]],tblCountries[],5,0)</f>
        <v>1.1606102036410737</v>
      </c>
      <c r="Q889" s="8">
        <f>IF($Q$1,tblSalaries[[#This Row],[PPP Factor]]*tblSalaries[[#This Row],[Salary in USD]],tblSalaries[[#This Row],[Salary in USD]])</f>
        <v>15600</v>
      </c>
    </row>
    <row r="890" spans="2:17" ht="15" customHeight="1" x14ac:dyDescent="0.25">
      <c r="B890" t="s">
        <v>2893</v>
      </c>
      <c r="C890" s="1">
        <v>41056.643449074072</v>
      </c>
      <c r="D890" s="4" t="s">
        <v>1044</v>
      </c>
      <c r="E890">
        <v>180000</v>
      </c>
      <c r="F890" t="s">
        <v>40</v>
      </c>
      <c r="G890">
        <f>tblSalaries[[#This Row],[clean Salary (in local currency)]]*VLOOKUP(tblSalaries[[#This Row],[Currency]],tblXrate[],2,FALSE)</f>
        <v>3205.4250037396623</v>
      </c>
      <c r="H890" t="s">
        <v>749</v>
      </c>
      <c r="I890" t="s">
        <v>20</v>
      </c>
      <c r="J890" t="s">
        <v>8</v>
      </c>
      <c r="K890" t="str">
        <f>VLOOKUP(tblSalaries[[#This Row],[Where do you work]],tblCountries[[Actual]:[Mapping]],2,FALSE)</f>
        <v>India</v>
      </c>
      <c r="L890" t="s">
        <v>18</v>
      </c>
      <c r="M890">
        <v>3.5</v>
      </c>
      <c r="N890" s="8" t="str">
        <f>VLOOKUP(K890,tblCountries[],3,0)</f>
        <v>Asia</v>
      </c>
      <c r="O890" s="8">
        <f>VLOOKUP(tblSalaries[[#This Row],[How many hours of a day you work on Excel]],tblHours,2,0)</f>
        <v>3</v>
      </c>
      <c r="P890" s="8">
        <f>VLOOKUP(tblSalaries[[#This Row],[clean Country]],tblCountries[],5,0)</f>
        <v>13.098808879263672</v>
      </c>
      <c r="Q890" s="8">
        <f>IF($Q$1,tblSalaries[[#This Row],[PPP Factor]]*tblSalaries[[#This Row],[Salary in USD]],tblSalaries[[#This Row],[Salary in USD]])</f>
        <v>3205.4250037396623</v>
      </c>
    </row>
    <row r="891" spans="2:17" ht="15" customHeight="1" x14ac:dyDescent="0.25">
      <c r="B891" t="s">
        <v>2894</v>
      </c>
      <c r="C891" s="1">
        <v>41056.647337962961</v>
      </c>
      <c r="D891" s="4">
        <v>10000</v>
      </c>
      <c r="E891">
        <v>10000</v>
      </c>
      <c r="F891" t="s">
        <v>6</v>
      </c>
      <c r="G891">
        <f>tblSalaries[[#This Row],[clean Salary (in local currency)]]*VLOOKUP(tblSalaries[[#This Row],[Currency]],tblXrate[],2,FALSE)</f>
        <v>10000</v>
      </c>
      <c r="H891" t="s">
        <v>523</v>
      </c>
      <c r="I891" t="s">
        <v>52</v>
      </c>
      <c r="J891" t="s">
        <v>8</v>
      </c>
      <c r="K891" t="str">
        <f>VLOOKUP(tblSalaries[[#This Row],[Where do you work]],tblCountries[[Actual]:[Mapping]],2,FALSE)</f>
        <v>India</v>
      </c>
      <c r="L891" t="s">
        <v>9</v>
      </c>
      <c r="M891">
        <v>6</v>
      </c>
      <c r="N891" s="8" t="str">
        <f>VLOOKUP(K891,tblCountries[],3,0)</f>
        <v>Asia</v>
      </c>
      <c r="O891" s="8">
        <f>VLOOKUP(tblSalaries[[#This Row],[How many hours of a day you work on Excel]],tblHours,2,0)</f>
        <v>4</v>
      </c>
      <c r="P891" s="8">
        <f>VLOOKUP(tblSalaries[[#This Row],[clean Country]],tblCountries[],5,0)</f>
        <v>13.098808879263672</v>
      </c>
      <c r="Q891" s="8">
        <f>IF($Q$1,tblSalaries[[#This Row],[PPP Factor]]*tblSalaries[[#This Row],[Salary in USD]],tblSalaries[[#This Row],[Salary in USD]])</f>
        <v>10000</v>
      </c>
    </row>
    <row r="892" spans="2:17" ht="15" customHeight="1" x14ac:dyDescent="0.25">
      <c r="B892" t="s">
        <v>2895</v>
      </c>
      <c r="C892" s="1">
        <v>41056.655636574076</v>
      </c>
      <c r="D892" s="4">
        <v>75010</v>
      </c>
      <c r="E892">
        <v>75010</v>
      </c>
      <c r="F892" t="s">
        <v>6</v>
      </c>
      <c r="G892">
        <f>tblSalaries[[#This Row],[clean Salary (in local currency)]]*VLOOKUP(tblSalaries[[#This Row],[Currency]],tblXrate[],2,FALSE)</f>
        <v>75010</v>
      </c>
      <c r="H892" t="s">
        <v>459</v>
      </c>
      <c r="I892" t="s">
        <v>20</v>
      </c>
      <c r="J892" t="s">
        <v>15</v>
      </c>
      <c r="K892" t="str">
        <f>VLOOKUP(tblSalaries[[#This Row],[Where do you work]],tblCountries[[Actual]:[Mapping]],2,FALSE)</f>
        <v>USA</v>
      </c>
      <c r="L892" t="s">
        <v>18</v>
      </c>
      <c r="M892">
        <v>6</v>
      </c>
      <c r="N892" s="8" t="str">
        <f>VLOOKUP(K892,tblCountries[],3,0)</f>
        <v>North Amer.</v>
      </c>
      <c r="O892" s="8">
        <f>VLOOKUP(tblSalaries[[#This Row],[How many hours of a day you work on Excel]],tblHours,2,0)</f>
        <v>3</v>
      </c>
      <c r="P892" s="8">
        <f>VLOOKUP(tblSalaries[[#This Row],[clean Country]],tblCountries[],5,0)</f>
        <v>1</v>
      </c>
      <c r="Q892" s="8">
        <f>IF($Q$1,tblSalaries[[#This Row],[PPP Factor]]*tblSalaries[[#This Row],[Salary in USD]],tblSalaries[[#This Row],[Salary in USD]])</f>
        <v>75010</v>
      </c>
    </row>
    <row r="893" spans="2:17" ht="15" customHeight="1" x14ac:dyDescent="0.25">
      <c r="B893" t="s">
        <v>2896</v>
      </c>
      <c r="C893" s="1">
        <v>41056.656157407408</v>
      </c>
      <c r="D893" s="4" t="s">
        <v>1045</v>
      </c>
      <c r="E893">
        <v>600000</v>
      </c>
      <c r="F893" t="s">
        <v>40</v>
      </c>
      <c r="G893">
        <f>tblSalaries[[#This Row],[clean Salary (in local currency)]]*VLOOKUP(tblSalaries[[#This Row],[Currency]],tblXrate[],2,FALSE)</f>
        <v>10684.750012465542</v>
      </c>
      <c r="H893" t="s">
        <v>52</v>
      </c>
      <c r="I893" t="s">
        <v>52</v>
      </c>
      <c r="J893" t="s">
        <v>8</v>
      </c>
      <c r="K893" t="str">
        <f>VLOOKUP(tblSalaries[[#This Row],[Where do you work]],tblCountries[[Actual]:[Mapping]],2,FALSE)</f>
        <v>India</v>
      </c>
      <c r="L893" t="s">
        <v>13</v>
      </c>
      <c r="M893">
        <v>9</v>
      </c>
      <c r="N893" s="8" t="str">
        <f>VLOOKUP(K893,tblCountries[],3,0)</f>
        <v>Asia</v>
      </c>
      <c r="O893" s="8">
        <f>VLOOKUP(tblSalaries[[#This Row],[How many hours of a day you work on Excel]],tblHours,2,0)</f>
        <v>5</v>
      </c>
      <c r="P893" s="8">
        <f>VLOOKUP(tblSalaries[[#This Row],[clean Country]],tblCountries[],5,0)</f>
        <v>13.098808879263672</v>
      </c>
      <c r="Q893" s="8">
        <f>IF($Q$1,tblSalaries[[#This Row],[PPP Factor]]*tblSalaries[[#This Row],[Salary in USD]],tblSalaries[[#This Row],[Salary in USD]])</f>
        <v>10684.750012465542</v>
      </c>
    </row>
    <row r="894" spans="2:17" ht="15" customHeight="1" x14ac:dyDescent="0.25">
      <c r="B894" t="s">
        <v>2897</v>
      </c>
      <c r="C894" s="1">
        <v>41056.658368055556</v>
      </c>
      <c r="D894" s="4">
        <v>16350</v>
      </c>
      <c r="E894">
        <v>16350</v>
      </c>
      <c r="F894" t="s">
        <v>6</v>
      </c>
      <c r="G894">
        <f>tblSalaries[[#This Row],[clean Salary (in local currency)]]*VLOOKUP(tblSalaries[[#This Row],[Currency]],tblXrate[],2,FALSE)</f>
        <v>16350</v>
      </c>
      <c r="H894" t="s">
        <v>846</v>
      </c>
      <c r="I894" t="s">
        <v>52</v>
      </c>
      <c r="J894" t="s">
        <v>8</v>
      </c>
      <c r="K894" t="str">
        <f>VLOOKUP(tblSalaries[[#This Row],[Where do you work]],tblCountries[[Actual]:[Mapping]],2,FALSE)</f>
        <v>India</v>
      </c>
      <c r="L894" t="s">
        <v>9</v>
      </c>
      <c r="M894">
        <v>5</v>
      </c>
      <c r="N894" s="8" t="str">
        <f>VLOOKUP(K894,tblCountries[],3,0)</f>
        <v>Asia</v>
      </c>
      <c r="O894" s="8">
        <f>VLOOKUP(tblSalaries[[#This Row],[How many hours of a day you work on Excel]],tblHours,2,0)</f>
        <v>4</v>
      </c>
      <c r="P894" s="8">
        <f>VLOOKUP(tblSalaries[[#This Row],[clean Country]],tblCountries[],5,0)</f>
        <v>13.098808879263672</v>
      </c>
      <c r="Q894" s="8">
        <f>IF($Q$1,tblSalaries[[#This Row],[PPP Factor]]*tblSalaries[[#This Row],[Salary in USD]],tblSalaries[[#This Row],[Salary in USD]])</f>
        <v>16350</v>
      </c>
    </row>
    <row r="895" spans="2:17" ht="15" customHeight="1" x14ac:dyDescent="0.25">
      <c r="B895" t="s">
        <v>2898</v>
      </c>
      <c r="C895" s="1">
        <v>41056.673657407409</v>
      </c>
      <c r="D895" s="4">
        <v>80000</v>
      </c>
      <c r="E895">
        <v>80000</v>
      </c>
      <c r="F895" t="s">
        <v>69</v>
      </c>
      <c r="G895">
        <f>tblSalaries[[#This Row],[clean Salary (in local currency)]]*VLOOKUP(tblSalaries[[#This Row],[Currency]],tblXrate[],2,FALSE)</f>
        <v>126094.26176538273</v>
      </c>
      <c r="H895" t="s">
        <v>1046</v>
      </c>
      <c r="I895" t="s">
        <v>310</v>
      </c>
      <c r="J895" t="s">
        <v>71</v>
      </c>
      <c r="K895" t="str">
        <f>VLOOKUP(tblSalaries[[#This Row],[Where do you work]],tblCountries[[Actual]:[Mapping]],2,FALSE)</f>
        <v>UK</v>
      </c>
      <c r="L895" t="s">
        <v>9</v>
      </c>
      <c r="M895">
        <v>10</v>
      </c>
      <c r="N895" s="8" t="str">
        <f>VLOOKUP(K895,tblCountries[],3,0)</f>
        <v>Europe</v>
      </c>
      <c r="O895" s="8">
        <f>VLOOKUP(tblSalaries[[#This Row],[How many hours of a day you work on Excel]],tblHours,2,0)</f>
        <v>4</v>
      </c>
      <c r="P895" s="8">
        <f>VLOOKUP(tblSalaries[[#This Row],[clean Country]],tblCountries[],5,0)</f>
        <v>1.3407315045719035</v>
      </c>
      <c r="Q895" s="8">
        <f>IF($Q$1,tblSalaries[[#This Row],[PPP Factor]]*tblSalaries[[#This Row],[Salary in USD]],tblSalaries[[#This Row],[Salary in USD]])</f>
        <v>126094.26176538273</v>
      </c>
    </row>
    <row r="896" spans="2:17" ht="15" customHeight="1" x14ac:dyDescent="0.25">
      <c r="B896" t="s">
        <v>2899</v>
      </c>
      <c r="C896" s="1">
        <v>41056.67392361111</v>
      </c>
      <c r="D896" s="4">
        <v>60000</v>
      </c>
      <c r="E896">
        <v>60000</v>
      </c>
      <c r="F896" t="s">
        <v>6</v>
      </c>
      <c r="G896">
        <f>tblSalaries[[#This Row],[clean Salary (in local currency)]]*VLOOKUP(tblSalaries[[#This Row],[Currency]],tblXrate[],2,FALSE)</f>
        <v>60000</v>
      </c>
      <c r="H896" t="s">
        <v>1047</v>
      </c>
      <c r="I896" t="s">
        <v>310</v>
      </c>
      <c r="J896" t="s">
        <v>171</v>
      </c>
      <c r="K896" t="str">
        <f>VLOOKUP(tblSalaries[[#This Row],[Where do you work]],tblCountries[[Actual]:[Mapping]],2,FALSE)</f>
        <v>Singapore</v>
      </c>
      <c r="L896" t="s">
        <v>13</v>
      </c>
      <c r="M896">
        <v>10</v>
      </c>
      <c r="N896" s="8" t="str">
        <f>VLOOKUP(K896,tblCountries[],3,0)</f>
        <v>Asia</v>
      </c>
      <c r="O896" s="8">
        <f>VLOOKUP(tblSalaries[[#This Row],[How many hours of a day you work on Excel]],tblHours,2,0)</f>
        <v>5</v>
      </c>
      <c r="P896" s="8">
        <f>VLOOKUP(tblSalaries[[#This Row],[clean Country]],tblCountries[],5,0)</f>
        <v>0.81035320125270049</v>
      </c>
      <c r="Q896" s="8">
        <f>IF($Q$1,tblSalaries[[#This Row],[PPP Factor]]*tblSalaries[[#This Row],[Salary in USD]],tblSalaries[[#This Row],[Salary in USD]])</f>
        <v>60000</v>
      </c>
    </row>
    <row r="897" spans="2:17" ht="15" customHeight="1" x14ac:dyDescent="0.25">
      <c r="B897" t="s">
        <v>2900</v>
      </c>
      <c r="C897" s="1">
        <v>41056.683912037035</v>
      </c>
      <c r="D897" s="4">
        <v>1300000</v>
      </c>
      <c r="E897">
        <v>1300000</v>
      </c>
      <c r="F897" t="s">
        <v>40</v>
      </c>
      <c r="G897">
        <f>tblSalaries[[#This Row],[clean Salary (in local currency)]]*VLOOKUP(tblSalaries[[#This Row],[Currency]],tblXrate[],2,FALSE)</f>
        <v>23150.291693675339</v>
      </c>
      <c r="H897" t="s">
        <v>1048</v>
      </c>
      <c r="I897" t="s">
        <v>52</v>
      </c>
      <c r="J897" t="s">
        <v>8</v>
      </c>
      <c r="K897" t="str">
        <f>VLOOKUP(tblSalaries[[#This Row],[Where do you work]],tblCountries[[Actual]:[Mapping]],2,FALSE)</f>
        <v>India</v>
      </c>
      <c r="L897" t="s">
        <v>25</v>
      </c>
      <c r="M897">
        <v>3</v>
      </c>
      <c r="N897" s="8" t="str">
        <f>VLOOKUP(K897,tblCountries[],3,0)</f>
        <v>Asia</v>
      </c>
      <c r="O897" s="8">
        <f>VLOOKUP(tblSalaries[[#This Row],[How many hours of a day you work on Excel]],tblHours,2,0)</f>
        <v>2</v>
      </c>
      <c r="P897" s="8">
        <f>VLOOKUP(tblSalaries[[#This Row],[clean Country]],tblCountries[],5,0)</f>
        <v>13.098808879263672</v>
      </c>
      <c r="Q897" s="8">
        <f>IF($Q$1,tblSalaries[[#This Row],[PPP Factor]]*tblSalaries[[#This Row],[Salary in USD]],tblSalaries[[#This Row],[Salary in USD]])</f>
        <v>23150.291693675339</v>
      </c>
    </row>
    <row r="898" spans="2:17" ht="15" customHeight="1" x14ac:dyDescent="0.25">
      <c r="B898" t="s">
        <v>2901</v>
      </c>
      <c r="C898" s="1">
        <v>41056.688125000001</v>
      </c>
      <c r="D898" s="4">
        <v>775000</v>
      </c>
      <c r="E898">
        <v>775000</v>
      </c>
      <c r="F898" t="s">
        <v>40</v>
      </c>
      <c r="G898">
        <f>tblSalaries[[#This Row],[clean Salary (in local currency)]]*VLOOKUP(tblSalaries[[#This Row],[Currency]],tblXrate[],2,FALSE)</f>
        <v>13801.135432767991</v>
      </c>
      <c r="H898" t="s">
        <v>20</v>
      </c>
      <c r="I898" t="s">
        <v>20</v>
      </c>
      <c r="J898" t="s">
        <v>8</v>
      </c>
      <c r="K898" t="str">
        <f>VLOOKUP(tblSalaries[[#This Row],[Where do you work]],tblCountries[[Actual]:[Mapping]],2,FALSE)</f>
        <v>India</v>
      </c>
      <c r="L898" t="s">
        <v>9</v>
      </c>
      <c r="M898">
        <v>2</v>
      </c>
      <c r="N898" s="8" t="str">
        <f>VLOOKUP(K898,tblCountries[],3,0)</f>
        <v>Asia</v>
      </c>
      <c r="O898" s="8">
        <f>VLOOKUP(tblSalaries[[#This Row],[How many hours of a day you work on Excel]],tblHours,2,0)</f>
        <v>4</v>
      </c>
      <c r="P898" s="8">
        <f>VLOOKUP(tblSalaries[[#This Row],[clean Country]],tblCountries[],5,0)</f>
        <v>13.098808879263672</v>
      </c>
      <c r="Q898" s="8">
        <f>IF($Q$1,tblSalaries[[#This Row],[PPP Factor]]*tblSalaries[[#This Row],[Salary in USD]],tblSalaries[[#This Row],[Salary in USD]])</f>
        <v>13801.135432767991</v>
      </c>
    </row>
    <row r="899" spans="2:17" ht="15" customHeight="1" x14ac:dyDescent="0.25">
      <c r="B899" t="s">
        <v>2902</v>
      </c>
      <c r="C899" s="1">
        <v>41056.701967592591</v>
      </c>
      <c r="D899" s="4" t="s">
        <v>1049</v>
      </c>
      <c r="E899">
        <v>1050000</v>
      </c>
      <c r="F899" t="s">
        <v>40</v>
      </c>
      <c r="G899">
        <f>tblSalaries[[#This Row],[clean Salary (in local currency)]]*VLOOKUP(tblSalaries[[#This Row],[Currency]],tblXrate[],2,FALSE)</f>
        <v>18698.312521814696</v>
      </c>
      <c r="H899" t="s">
        <v>1050</v>
      </c>
      <c r="I899" t="s">
        <v>52</v>
      </c>
      <c r="J899" t="s">
        <v>8</v>
      </c>
      <c r="K899" t="str">
        <f>VLOOKUP(tblSalaries[[#This Row],[Where do you work]],tblCountries[[Actual]:[Mapping]],2,FALSE)</f>
        <v>India</v>
      </c>
      <c r="L899" t="s">
        <v>13</v>
      </c>
      <c r="M899">
        <v>5</v>
      </c>
      <c r="N899" s="8" t="str">
        <f>VLOOKUP(K899,tblCountries[],3,0)</f>
        <v>Asia</v>
      </c>
      <c r="O899" s="8">
        <f>VLOOKUP(tblSalaries[[#This Row],[How many hours of a day you work on Excel]],tblHours,2,0)</f>
        <v>5</v>
      </c>
      <c r="P899" s="8">
        <f>VLOOKUP(tblSalaries[[#This Row],[clean Country]],tblCountries[],5,0)</f>
        <v>13.098808879263672</v>
      </c>
      <c r="Q899" s="8">
        <f>IF($Q$1,tblSalaries[[#This Row],[PPP Factor]]*tblSalaries[[#This Row],[Salary in USD]],tblSalaries[[#This Row],[Salary in USD]])</f>
        <v>18698.312521814696</v>
      </c>
    </row>
    <row r="900" spans="2:17" ht="15" customHeight="1" x14ac:dyDescent="0.25">
      <c r="B900" t="s">
        <v>2903</v>
      </c>
      <c r="C900" s="1">
        <v>41056.715694444443</v>
      </c>
      <c r="D900" s="4">
        <v>36000</v>
      </c>
      <c r="E900">
        <v>36000</v>
      </c>
      <c r="F900" t="s">
        <v>6</v>
      </c>
      <c r="G900">
        <f>tblSalaries[[#This Row],[clean Salary (in local currency)]]*VLOOKUP(tblSalaries[[#This Row],[Currency]],tblXrate[],2,FALSE)</f>
        <v>36000</v>
      </c>
      <c r="H900" t="s">
        <v>1051</v>
      </c>
      <c r="I900" t="s">
        <v>488</v>
      </c>
      <c r="J900" t="s">
        <v>1052</v>
      </c>
      <c r="K900" t="str">
        <f>VLOOKUP(tblSalaries[[#This Row],[Where do you work]],tblCountries[[Actual]:[Mapping]],2,FALSE)</f>
        <v>Czech Republic</v>
      </c>
      <c r="L900" t="s">
        <v>18</v>
      </c>
      <c r="M900">
        <v>9</v>
      </c>
      <c r="N900" s="8" t="str">
        <f>VLOOKUP(K900,tblCountries[],3,0)</f>
        <v>Europe</v>
      </c>
      <c r="O900" s="8">
        <f>VLOOKUP(tblSalaries[[#This Row],[How many hours of a day you work on Excel]],tblHours,2,0)</f>
        <v>3</v>
      </c>
      <c r="P900" s="8">
        <f>VLOOKUP(tblSalaries[[#This Row],[clean Country]],tblCountries[],5,0)</f>
        <v>1.788005321114478</v>
      </c>
      <c r="Q900" s="8">
        <f>IF($Q$1,tblSalaries[[#This Row],[PPP Factor]]*tblSalaries[[#This Row],[Salary in USD]],tblSalaries[[#This Row],[Salary in USD]])</f>
        <v>36000</v>
      </c>
    </row>
    <row r="901" spans="2:17" ht="15" customHeight="1" x14ac:dyDescent="0.25">
      <c r="B901" t="s">
        <v>2904</v>
      </c>
      <c r="C901" s="1">
        <v>41056.720081018517</v>
      </c>
      <c r="D901" s="4" t="s">
        <v>1053</v>
      </c>
      <c r="E901">
        <v>486000</v>
      </c>
      <c r="F901" t="s">
        <v>40</v>
      </c>
      <c r="G901">
        <f>tblSalaries[[#This Row],[clean Salary (in local currency)]]*VLOOKUP(tblSalaries[[#This Row],[Currency]],tblXrate[],2,FALSE)</f>
        <v>8654.6475100970874</v>
      </c>
      <c r="H901" t="s">
        <v>1054</v>
      </c>
      <c r="I901" t="s">
        <v>52</v>
      </c>
      <c r="J901" t="s">
        <v>8</v>
      </c>
      <c r="K901" t="str">
        <f>VLOOKUP(tblSalaries[[#This Row],[Where do you work]],tblCountries[[Actual]:[Mapping]],2,FALSE)</f>
        <v>India</v>
      </c>
      <c r="L901" t="s">
        <v>13</v>
      </c>
      <c r="M901">
        <v>6</v>
      </c>
      <c r="N901" s="8" t="str">
        <f>VLOOKUP(K901,tblCountries[],3,0)</f>
        <v>Asia</v>
      </c>
      <c r="O901" s="8">
        <f>VLOOKUP(tblSalaries[[#This Row],[How many hours of a day you work on Excel]],tblHours,2,0)</f>
        <v>5</v>
      </c>
      <c r="P901" s="8">
        <f>VLOOKUP(tblSalaries[[#This Row],[clean Country]],tblCountries[],5,0)</f>
        <v>13.098808879263672</v>
      </c>
      <c r="Q901" s="8">
        <f>IF($Q$1,tblSalaries[[#This Row],[PPP Factor]]*tblSalaries[[#This Row],[Salary in USD]],tblSalaries[[#This Row],[Salary in USD]])</f>
        <v>8654.6475100970874</v>
      </c>
    </row>
    <row r="902" spans="2:17" ht="15" customHeight="1" x14ac:dyDescent="0.25">
      <c r="B902" t="s">
        <v>2905</v>
      </c>
      <c r="C902" s="1">
        <v>41056.720416666663</v>
      </c>
      <c r="D902" s="4" t="s">
        <v>524</v>
      </c>
      <c r="E902">
        <v>65000</v>
      </c>
      <c r="F902" t="s">
        <v>69</v>
      </c>
      <c r="G902">
        <f>tblSalaries[[#This Row],[clean Salary (in local currency)]]*VLOOKUP(tblSalaries[[#This Row],[Currency]],tblXrate[],2,FALSE)</f>
        <v>102451.58768437347</v>
      </c>
      <c r="H902" t="s">
        <v>52</v>
      </c>
      <c r="I902" t="s">
        <v>52</v>
      </c>
      <c r="J902" t="s">
        <v>71</v>
      </c>
      <c r="K902" t="str">
        <f>VLOOKUP(tblSalaries[[#This Row],[Where do you work]],tblCountries[[Actual]:[Mapping]],2,FALSE)</f>
        <v>UK</v>
      </c>
      <c r="L902" t="s">
        <v>25</v>
      </c>
      <c r="M902">
        <v>15</v>
      </c>
      <c r="N902" s="8" t="str">
        <f>VLOOKUP(K902,tblCountries[],3,0)</f>
        <v>Europe</v>
      </c>
      <c r="O902" s="8">
        <f>VLOOKUP(tblSalaries[[#This Row],[How many hours of a day you work on Excel]],tblHours,2,0)</f>
        <v>2</v>
      </c>
      <c r="P902" s="8">
        <f>VLOOKUP(tblSalaries[[#This Row],[clean Country]],tblCountries[],5,0)</f>
        <v>1.3407315045719035</v>
      </c>
      <c r="Q902" s="8">
        <f>IF($Q$1,tblSalaries[[#This Row],[PPP Factor]]*tblSalaries[[#This Row],[Salary in USD]],tblSalaries[[#This Row],[Salary in USD]])</f>
        <v>102451.58768437347</v>
      </c>
    </row>
    <row r="903" spans="2:17" ht="15" customHeight="1" x14ac:dyDescent="0.25">
      <c r="B903" t="s">
        <v>2906</v>
      </c>
      <c r="C903" s="1">
        <v>41056.725104166668</v>
      </c>
      <c r="D903" s="4">
        <v>36400</v>
      </c>
      <c r="E903">
        <v>36400</v>
      </c>
      <c r="F903" t="s">
        <v>6</v>
      </c>
      <c r="G903">
        <f>tblSalaries[[#This Row],[clean Salary (in local currency)]]*VLOOKUP(tblSalaries[[#This Row],[Currency]],tblXrate[],2,FALSE)</f>
        <v>36400</v>
      </c>
      <c r="H903" t="s">
        <v>20</v>
      </c>
      <c r="I903" t="s">
        <v>20</v>
      </c>
      <c r="J903" t="s">
        <v>1055</v>
      </c>
      <c r="K903" t="str">
        <f>VLOOKUP(tblSalaries[[#This Row],[Where do you work]],tblCountries[[Actual]:[Mapping]],2,FALSE)</f>
        <v>Zimbabwe</v>
      </c>
      <c r="L903" t="s">
        <v>9</v>
      </c>
      <c r="M903">
        <v>20</v>
      </c>
      <c r="N903" s="8" t="str">
        <f>VLOOKUP(K903,tblCountries[],3,0)</f>
        <v>Africa</v>
      </c>
      <c r="O903" s="8">
        <f>VLOOKUP(tblSalaries[[#This Row],[How many hours of a day you work on Excel]],tblHours,2,0)</f>
        <v>4</v>
      </c>
      <c r="P903" s="8">
        <f>VLOOKUP(tblSalaries[[#This Row],[clean Country]],tblCountries[],5,0)</f>
        <v>99.357289527720738</v>
      </c>
      <c r="Q903" s="8">
        <f>IF($Q$1,tblSalaries[[#This Row],[PPP Factor]]*tblSalaries[[#This Row],[Salary in USD]],tblSalaries[[#This Row],[Salary in USD]])</f>
        <v>36400</v>
      </c>
    </row>
    <row r="904" spans="2:17" ht="15" customHeight="1" x14ac:dyDescent="0.25">
      <c r="B904" t="s">
        <v>2907</v>
      </c>
      <c r="C904" s="1">
        <v>41056.763553240744</v>
      </c>
      <c r="D904" s="4">
        <v>64210.1</v>
      </c>
      <c r="E904">
        <v>64210</v>
      </c>
      <c r="F904" t="s">
        <v>69</v>
      </c>
      <c r="G904">
        <f>tblSalaries[[#This Row],[clean Salary (in local currency)]]*VLOOKUP(tblSalaries[[#This Row],[Currency]],tblXrate[],2,FALSE)</f>
        <v>101206.40684944032</v>
      </c>
      <c r="H904" t="s">
        <v>1056</v>
      </c>
      <c r="I904" t="s">
        <v>356</v>
      </c>
      <c r="J904" t="s">
        <v>71</v>
      </c>
      <c r="K904" t="str">
        <f>VLOOKUP(tblSalaries[[#This Row],[Where do you work]],tblCountries[[Actual]:[Mapping]],2,FALSE)</f>
        <v>UK</v>
      </c>
      <c r="L904" t="s">
        <v>9</v>
      </c>
      <c r="M904">
        <v>16</v>
      </c>
      <c r="N904" s="8" t="str">
        <f>VLOOKUP(K904,tblCountries[],3,0)</f>
        <v>Europe</v>
      </c>
      <c r="O904" s="8">
        <f>VLOOKUP(tblSalaries[[#This Row],[How many hours of a day you work on Excel]],tblHours,2,0)</f>
        <v>4</v>
      </c>
      <c r="P904" s="8">
        <f>VLOOKUP(tblSalaries[[#This Row],[clean Country]],tblCountries[],5,0)</f>
        <v>1.3407315045719035</v>
      </c>
      <c r="Q904" s="8">
        <f>IF($Q$1,tblSalaries[[#This Row],[PPP Factor]]*tblSalaries[[#This Row],[Salary in USD]],tblSalaries[[#This Row],[Salary in USD]])</f>
        <v>101206.40684944032</v>
      </c>
    </row>
    <row r="905" spans="2:17" ht="15" customHeight="1" x14ac:dyDescent="0.25">
      <c r="B905" t="s">
        <v>2908</v>
      </c>
      <c r="C905" s="1">
        <v>41056.773506944446</v>
      </c>
      <c r="D905" s="4" t="s">
        <v>1057</v>
      </c>
      <c r="E905">
        <v>300000</v>
      </c>
      <c r="F905" t="s">
        <v>40</v>
      </c>
      <c r="G905">
        <f>tblSalaries[[#This Row],[clean Salary (in local currency)]]*VLOOKUP(tblSalaries[[#This Row],[Currency]],tblXrate[],2,FALSE)</f>
        <v>5342.3750062327708</v>
      </c>
      <c r="H905" t="s">
        <v>1058</v>
      </c>
      <c r="I905" t="s">
        <v>20</v>
      </c>
      <c r="J905" t="s">
        <v>8</v>
      </c>
      <c r="K905" t="str">
        <f>VLOOKUP(tblSalaries[[#This Row],[Where do you work]],tblCountries[[Actual]:[Mapping]],2,FALSE)</f>
        <v>India</v>
      </c>
      <c r="L905" t="s">
        <v>9</v>
      </c>
      <c r="M905">
        <v>0.5</v>
      </c>
      <c r="N905" s="8" t="str">
        <f>VLOOKUP(K905,tblCountries[],3,0)</f>
        <v>Asia</v>
      </c>
      <c r="O905" s="8">
        <f>VLOOKUP(tblSalaries[[#This Row],[How many hours of a day you work on Excel]],tblHours,2,0)</f>
        <v>4</v>
      </c>
      <c r="P905" s="8">
        <f>VLOOKUP(tblSalaries[[#This Row],[clean Country]],tblCountries[],5,0)</f>
        <v>13.098808879263672</v>
      </c>
      <c r="Q905" s="8">
        <f>IF($Q$1,tblSalaries[[#This Row],[PPP Factor]]*tblSalaries[[#This Row],[Salary in USD]],tblSalaries[[#This Row],[Salary in USD]])</f>
        <v>5342.3750062327708</v>
      </c>
    </row>
    <row r="906" spans="2:17" ht="15" customHeight="1" x14ac:dyDescent="0.25">
      <c r="B906" t="s">
        <v>2909</v>
      </c>
      <c r="C906" s="1">
        <v>41056.819050925929</v>
      </c>
      <c r="D906" s="4">
        <v>104000</v>
      </c>
      <c r="E906">
        <v>104000</v>
      </c>
      <c r="F906" t="s">
        <v>358</v>
      </c>
      <c r="G906">
        <f>tblSalaries[[#This Row],[clean Salary (in local currency)]]*VLOOKUP(tblSalaries[[#This Row],[Currency]],tblXrate[],2,FALSE)</f>
        <v>28310.79811950968</v>
      </c>
      <c r="H906" t="s">
        <v>14</v>
      </c>
      <c r="I906" t="s">
        <v>20</v>
      </c>
      <c r="J906" t="s">
        <v>179</v>
      </c>
      <c r="K906" t="str">
        <f>VLOOKUP(tblSalaries[[#This Row],[Where do you work]],tblCountries[[Actual]:[Mapping]],2,FALSE)</f>
        <v>UAE</v>
      </c>
      <c r="L906" t="s">
        <v>9</v>
      </c>
      <c r="M906">
        <v>11</v>
      </c>
      <c r="N906" s="8" t="str">
        <f>VLOOKUP(K906,tblCountries[],3,0)</f>
        <v>Asia</v>
      </c>
      <c r="O906" s="8">
        <f>VLOOKUP(tblSalaries[[#This Row],[How many hours of a day you work on Excel]],tblHours,2,0)</f>
        <v>4</v>
      </c>
      <c r="P906" s="8">
        <f>VLOOKUP(tblSalaries[[#This Row],[clean Country]],tblCountries[],5,0)</f>
        <v>1.0047551808629926</v>
      </c>
      <c r="Q906" s="8">
        <f>IF($Q$1,tblSalaries[[#This Row],[PPP Factor]]*tblSalaries[[#This Row],[Salary in USD]],tblSalaries[[#This Row],[Salary in USD]])</f>
        <v>28310.79811950968</v>
      </c>
    </row>
    <row r="907" spans="2:17" ht="15" customHeight="1" x14ac:dyDescent="0.25">
      <c r="B907" t="s">
        <v>2910</v>
      </c>
      <c r="C907" s="1">
        <v>41056.820775462962</v>
      </c>
      <c r="D907" s="4">
        <v>20500</v>
      </c>
      <c r="E907">
        <v>20500</v>
      </c>
      <c r="F907" t="s">
        <v>22</v>
      </c>
      <c r="G907">
        <f>tblSalaries[[#This Row],[clean Salary (in local currency)]]*VLOOKUP(tblSalaries[[#This Row],[Currency]],tblXrate[],2,FALSE)</f>
        <v>26043.18849932796</v>
      </c>
      <c r="H907" t="s">
        <v>1059</v>
      </c>
      <c r="I907" t="s">
        <v>52</v>
      </c>
      <c r="J907" t="s">
        <v>75</v>
      </c>
      <c r="K907" t="str">
        <f>VLOOKUP(tblSalaries[[#This Row],[Where do you work]],tblCountries[[Actual]:[Mapping]],2,FALSE)</f>
        <v>Poland</v>
      </c>
      <c r="L907" t="s">
        <v>9</v>
      </c>
      <c r="M907">
        <v>8</v>
      </c>
      <c r="N907" s="8" t="str">
        <f>VLOOKUP(K907,tblCountries[],3,0)</f>
        <v>Europe</v>
      </c>
      <c r="O907" s="8">
        <f>VLOOKUP(tblSalaries[[#This Row],[How many hours of a day you work on Excel]],tblHours,2,0)</f>
        <v>4</v>
      </c>
      <c r="P907" s="8">
        <f>VLOOKUP(tblSalaries[[#This Row],[clean Country]],tblCountries[],5,0)</f>
        <v>2.3796105045736207</v>
      </c>
      <c r="Q907" s="8">
        <f>IF($Q$1,tblSalaries[[#This Row],[PPP Factor]]*tblSalaries[[#This Row],[Salary in USD]],tblSalaries[[#This Row],[Salary in USD]])</f>
        <v>26043.18849932796</v>
      </c>
    </row>
    <row r="908" spans="2:17" ht="15" customHeight="1" x14ac:dyDescent="0.25">
      <c r="B908" t="s">
        <v>2911</v>
      </c>
      <c r="C908" s="1">
        <v>41056.846412037034</v>
      </c>
      <c r="D908" s="4" t="s">
        <v>884</v>
      </c>
      <c r="E908">
        <v>95000</v>
      </c>
      <c r="F908" t="s">
        <v>82</v>
      </c>
      <c r="G908">
        <f>tblSalaries[[#This Row],[clean Salary (in local currency)]]*VLOOKUP(tblSalaries[[#This Row],[Currency]],tblXrate[],2,FALSE)</f>
        <v>96891.417358250401</v>
      </c>
      <c r="H908" t="s">
        <v>1060</v>
      </c>
      <c r="I908" t="s">
        <v>20</v>
      </c>
      <c r="J908" t="s">
        <v>84</v>
      </c>
      <c r="K908" t="str">
        <f>VLOOKUP(tblSalaries[[#This Row],[Where do you work]],tblCountries[[Actual]:[Mapping]],2,FALSE)</f>
        <v>Australia</v>
      </c>
      <c r="L908" t="s">
        <v>25</v>
      </c>
      <c r="M908">
        <v>7</v>
      </c>
      <c r="N908" s="8" t="str">
        <f>VLOOKUP(K908,tblCountries[],3,0)</f>
        <v>Oceania</v>
      </c>
      <c r="O908" s="8">
        <f>VLOOKUP(tblSalaries[[#This Row],[How many hours of a day you work on Excel]],tblHours,2,0)</f>
        <v>2</v>
      </c>
      <c r="P908" s="8">
        <f>VLOOKUP(tblSalaries[[#This Row],[clean Country]],tblCountries[],5,0)</f>
        <v>1.2026395585822935</v>
      </c>
      <c r="Q908" s="8">
        <f>IF($Q$1,tblSalaries[[#This Row],[PPP Factor]]*tblSalaries[[#This Row],[Salary in USD]],tblSalaries[[#This Row],[Salary in USD]])</f>
        <v>96891.417358250401</v>
      </c>
    </row>
    <row r="909" spans="2:17" ht="15" customHeight="1" x14ac:dyDescent="0.25">
      <c r="B909" t="s">
        <v>2912</v>
      </c>
      <c r="C909" s="1">
        <v>41056.863344907404</v>
      </c>
      <c r="D909" s="4" t="s">
        <v>785</v>
      </c>
      <c r="E909">
        <v>144000</v>
      </c>
      <c r="F909" t="s">
        <v>40</v>
      </c>
      <c r="G909">
        <f>tblSalaries[[#This Row],[clean Salary (in local currency)]]*VLOOKUP(tblSalaries[[#This Row],[Currency]],tblXrate[],2,FALSE)</f>
        <v>2564.3400029917298</v>
      </c>
      <c r="H909" t="s">
        <v>1061</v>
      </c>
      <c r="I909" t="s">
        <v>488</v>
      </c>
      <c r="J909" t="s">
        <v>8</v>
      </c>
      <c r="K909" t="str">
        <f>VLOOKUP(tblSalaries[[#This Row],[Where do you work]],tblCountries[[Actual]:[Mapping]],2,FALSE)</f>
        <v>India</v>
      </c>
      <c r="L909" t="s">
        <v>9</v>
      </c>
      <c r="M909">
        <v>4</v>
      </c>
      <c r="N909" s="8" t="str">
        <f>VLOOKUP(K909,tblCountries[],3,0)</f>
        <v>Asia</v>
      </c>
      <c r="O909" s="8">
        <f>VLOOKUP(tblSalaries[[#This Row],[How many hours of a day you work on Excel]],tblHours,2,0)</f>
        <v>4</v>
      </c>
      <c r="P909" s="8">
        <f>VLOOKUP(tblSalaries[[#This Row],[clean Country]],tblCountries[],5,0)</f>
        <v>13.098808879263672</v>
      </c>
      <c r="Q909" s="8">
        <f>IF($Q$1,tblSalaries[[#This Row],[PPP Factor]]*tblSalaries[[#This Row],[Salary in USD]],tblSalaries[[#This Row],[Salary in USD]])</f>
        <v>2564.3400029917298</v>
      </c>
    </row>
    <row r="910" spans="2:17" ht="15" customHeight="1" x14ac:dyDescent="0.25">
      <c r="B910" t="s">
        <v>2913</v>
      </c>
      <c r="C910" s="1">
        <v>41056.869386574072</v>
      </c>
      <c r="D910" s="4">
        <v>180000</v>
      </c>
      <c r="E910">
        <v>180000</v>
      </c>
      <c r="F910" t="s">
        <v>40</v>
      </c>
      <c r="G910">
        <f>tblSalaries[[#This Row],[clean Salary (in local currency)]]*VLOOKUP(tblSalaries[[#This Row],[Currency]],tblXrate[],2,FALSE)</f>
        <v>3205.4250037396623</v>
      </c>
      <c r="H910" t="s">
        <v>1062</v>
      </c>
      <c r="I910" t="s">
        <v>3999</v>
      </c>
      <c r="J910" t="s">
        <v>8</v>
      </c>
      <c r="K910" t="str">
        <f>VLOOKUP(tblSalaries[[#This Row],[Where do you work]],tblCountries[[Actual]:[Mapping]],2,FALSE)</f>
        <v>India</v>
      </c>
      <c r="L910" t="s">
        <v>13</v>
      </c>
      <c r="M910">
        <v>8</v>
      </c>
      <c r="N910" s="8" t="str">
        <f>VLOOKUP(K910,tblCountries[],3,0)</f>
        <v>Asia</v>
      </c>
      <c r="O910" s="8">
        <f>VLOOKUP(tblSalaries[[#This Row],[How many hours of a day you work on Excel]],tblHours,2,0)</f>
        <v>5</v>
      </c>
      <c r="P910" s="8">
        <f>VLOOKUP(tblSalaries[[#This Row],[clean Country]],tblCountries[],5,0)</f>
        <v>13.098808879263672</v>
      </c>
      <c r="Q910" s="8">
        <f>IF($Q$1,tblSalaries[[#This Row],[PPP Factor]]*tblSalaries[[#This Row],[Salary in USD]],tblSalaries[[#This Row],[Salary in USD]])</f>
        <v>3205.4250037396623</v>
      </c>
    </row>
    <row r="911" spans="2:17" ht="15" customHeight="1" x14ac:dyDescent="0.25">
      <c r="B911" t="s">
        <v>2914</v>
      </c>
      <c r="C911" s="1">
        <v>41056.877858796295</v>
      </c>
      <c r="D911" s="4">
        <v>600000</v>
      </c>
      <c r="E911">
        <v>600000</v>
      </c>
      <c r="F911" t="s">
        <v>40</v>
      </c>
      <c r="G911">
        <f>tblSalaries[[#This Row],[clean Salary (in local currency)]]*VLOOKUP(tblSalaries[[#This Row],[Currency]],tblXrate[],2,FALSE)</f>
        <v>10684.750012465542</v>
      </c>
      <c r="H911" t="s">
        <v>108</v>
      </c>
      <c r="I911" t="s">
        <v>20</v>
      </c>
      <c r="J911" t="s">
        <v>8</v>
      </c>
      <c r="K911" t="str">
        <f>VLOOKUP(tblSalaries[[#This Row],[Where do you work]],tblCountries[[Actual]:[Mapping]],2,FALSE)</f>
        <v>India</v>
      </c>
      <c r="L911" t="s">
        <v>13</v>
      </c>
      <c r="M911">
        <v>8</v>
      </c>
      <c r="N911" s="8" t="str">
        <f>VLOOKUP(K911,tblCountries[],3,0)</f>
        <v>Asia</v>
      </c>
      <c r="O911" s="8">
        <f>VLOOKUP(tblSalaries[[#This Row],[How many hours of a day you work on Excel]],tblHours,2,0)</f>
        <v>5</v>
      </c>
      <c r="P911" s="8">
        <f>VLOOKUP(tblSalaries[[#This Row],[clean Country]],tblCountries[],5,0)</f>
        <v>13.098808879263672</v>
      </c>
      <c r="Q911" s="8">
        <f>IF($Q$1,tblSalaries[[#This Row],[PPP Factor]]*tblSalaries[[#This Row],[Salary in USD]],tblSalaries[[#This Row],[Salary in USD]])</f>
        <v>10684.750012465542</v>
      </c>
    </row>
    <row r="912" spans="2:17" ht="15" customHeight="1" x14ac:dyDescent="0.25">
      <c r="B912" t="s">
        <v>2915</v>
      </c>
      <c r="C912" s="1">
        <v>41056.890057870369</v>
      </c>
      <c r="D912" s="4">
        <v>150000</v>
      </c>
      <c r="E912">
        <v>150000</v>
      </c>
      <c r="F912" t="s">
        <v>6</v>
      </c>
      <c r="G912">
        <f>tblSalaries[[#This Row],[clean Salary (in local currency)]]*VLOOKUP(tblSalaries[[#This Row],[Currency]],tblXrate[],2,FALSE)</f>
        <v>150000</v>
      </c>
      <c r="H912" t="s">
        <v>488</v>
      </c>
      <c r="I912" t="s">
        <v>488</v>
      </c>
      <c r="J912" t="s">
        <v>15</v>
      </c>
      <c r="K912" t="str">
        <f>VLOOKUP(tblSalaries[[#This Row],[Where do you work]],tblCountries[[Actual]:[Mapping]],2,FALSE)</f>
        <v>USA</v>
      </c>
      <c r="L912" t="s">
        <v>9</v>
      </c>
      <c r="M912">
        <v>25</v>
      </c>
      <c r="N912" s="8" t="str">
        <f>VLOOKUP(K912,tblCountries[],3,0)</f>
        <v>North Amer.</v>
      </c>
      <c r="O912" s="8">
        <f>VLOOKUP(tblSalaries[[#This Row],[How many hours of a day you work on Excel]],tblHours,2,0)</f>
        <v>4</v>
      </c>
      <c r="P912" s="8">
        <f>VLOOKUP(tblSalaries[[#This Row],[clean Country]],tblCountries[],5,0)</f>
        <v>1</v>
      </c>
      <c r="Q912" s="8">
        <f>IF($Q$1,tblSalaries[[#This Row],[PPP Factor]]*tblSalaries[[#This Row],[Salary in USD]],tblSalaries[[#This Row],[Salary in USD]])</f>
        <v>150000</v>
      </c>
    </row>
    <row r="913" spans="2:17" ht="15" customHeight="1" x14ac:dyDescent="0.25">
      <c r="B913" t="s">
        <v>2916</v>
      </c>
      <c r="C913" s="1">
        <v>41056.892152777778</v>
      </c>
      <c r="D913" s="4" t="s">
        <v>1063</v>
      </c>
      <c r="E913">
        <v>700000</v>
      </c>
      <c r="F913" t="s">
        <v>40</v>
      </c>
      <c r="G913">
        <f>tblSalaries[[#This Row],[clean Salary (in local currency)]]*VLOOKUP(tblSalaries[[#This Row],[Currency]],tblXrate[],2,FALSE)</f>
        <v>12465.541681209797</v>
      </c>
      <c r="H913" t="s">
        <v>1064</v>
      </c>
      <c r="I913" t="s">
        <v>52</v>
      </c>
      <c r="J913" t="s">
        <v>8</v>
      </c>
      <c r="K913" t="str">
        <f>VLOOKUP(tblSalaries[[#This Row],[Where do you work]],tblCountries[[Actual]:[Mapping]],2,FALSE)</f>
        <v>India</v>
      </c>
      <c r="L913" t="s">
        <v>9</v>
      </c>
      <c r="M913">
        <v>3</v>
      </c>
      <c r="N913" s="8" t="str">
        <f>VLOOKUP(K913,tblCountries[],3,0)</f>
        <v>Asia</v>
      </c>
      <c r="O913" s="8">
        <f>VLOOKUP(tblSalaries[[#This Row],[How many hours of a day you work on Excel]],tblHours,2,0)</f>
        <v>4</v>
      </c>
      <c r="P913" s="8">
        <f>VLOOKUP(tblSalaries[[#This Row],[clean Country]],tblCountries[],5,0)</f>
        <v>13.098808879263672</v>
      </c>
      <c r="Q913" s="8">
        <f>IF($Q$1,tblSalaries[[#This Row],[PPP Factor]]*tblSalaries[[#This Row],[Salary in USD]],tblSalaries[[#This Row],[Salary in USD]])</f>
        <v>12465.541681209797</v>
      </c>
    </row>
    <row r="914" spans="2:17" ht="15" customHeight="1" x14ac:dyDescent="0.25">
      <c r="B914" t="s">
        <v>2917</v>
      </c>
      <c r="C914" s="1">
        <v>41056.906006944446</v>
      </c>
      <c r="D914" s="4" t="s">
        <v>606</v>
      </c>
      <c r="E914">
        <v>15000</v>
      </c>
      <c r="F914" t="s">
        <v>22</v>
      </c>
      <c r="G914">
        <f>tblSalaries[[#This Row],[clean Salary (in local currency)]]*VLOOKUP(tblSalaries[[#This Row],[Currency]],tblXrate[],2,FALSE)</f>
        <v>19055.991584874118</v>
      </c>
      <c r="H914" t="s">
        <v>1065</v>
      </c>
      <c r="I914" t="s">
        <v>20</v>
      </c>
      <c r="J914" t="s">
        <v>1066</v>
      </c>
      <c r="K914" t="str">
        <f>VLOOKUP(tblSalaries[[#This Row],[Where do you work]],tblCountries[[Actual]:[Mapping]],2,FALSE)</f>
        <v>Slovenia</v>
      </c>
      <c r="L914" t="s">
        <v>9</v>
      </c>
      <c r="M914">
        <v>4</v>
      </c>
      <c r="N914" s="8" t="str">
        <f>VLOOKUP(K914,tblCountries[],3,0)</f>
        <v>Europe</v>
      </c>
      <c r="O914" s="8">
        <f>VLOOKUP(tblSalaries[[#This Row],[How many hours of a day you work on Excel]],tblHours,2,0)</f>
        <v>4</v>
      </c>
      <c r="P914" s="8">
        <f>VLOOKUP(tblSalaries[[#This Row],[clean Country]],tblCountries[],5,0)</f>
        <v>1.6893722505411632</v>
      </c>
      <c r="Q914" s="8">
        <f>IF($Q$1,tblSalaries[[#This Row],[PPP Factor]]*tblSalaries[[#This Row],[Salary in USD]],tblSalaries[[#This Row],[Salary in USD]])</f>
        <v>19055.991584874118</v>
      </c>
    </row>
    <row r="915" spans="2:17" ht="15" customHeight="1" x14ac:dyDescent="0.25">
      <c r="B915" t="s">
        <v>2918</v>
      </c>
      <c r="C915" s="1">
        <v>41056.90966435185</v>
      </c>
      <c r="D915" s="4">
        <v>105000</v>
      </c>
      <c r="E915">
        <v>105000</v>
      </c>
      <c r="F915" t="s">
        <v>6</v>
      </c>
      <c r="G915">
        <f>tblSalaries[[#This Row],[clean Salary (in local currency)]]*VLOOKUP(tblSalaries[[#This Row],[Currency]],tblXrate[],2,FALSE)</f>
        <v>105000</v>
      </c>
      <c r="H915" t="s">
        <v>42</v>
      </c>
      <c r="I915" t="s">
        <v>20</v>
      </c>
      <c r="J915" t="s">
        <v>15</v>
      </c>
      <c r="K915" t="str">
        <f>VLOOKUP(tblSalaries[[#This Row],[Where do you work]],tblCountries[[Actual]:[Mapping]],2,FALSE)</f>
        <v>USA</v>
      </c>
      <c r="L915" t="s">
        <v>9</v>
      </c>
      <c r="M915">
        <v>20</v>
      </c>
      <c r="N915" s="8" t="str">
        <f>VLOOKUP(K915,tblCountries[],3,0)</f>
        <v>North Amer.</v>
      </c>
      <c r="O915" s="8">
        <f>VLOOKUP(tblSalaries[[#This Row],[How many hours of a day you work on Excel]],tblHours,2,0)</f>
        <v>4</v>
      </c>
      <c r="P915" s="8">
        <f>VLOOKUP(tblSalaries[[#This Row],[clean Country]],tblCountries[],5,0)</f>
        <v>1</v>
      </c>
      <c r="Q915" s="8">
        <f>IF($Q$1,tblSalaries[[#This Row],[PPP Factor]]*tblSalaries[[#This Row],[Salary in USD]],tblSalaries[[#This Row],[Salary in USD]])</f>
        <v>105000</v>
      </c>
    </row>
    <row r="916" spans="2:17" ht="15" customHeight="1" x14ac:dyDescent="0.25">
      <c r="B916" t="s">
        <v>2919</v>
      </c>
      <c r="C916" s="1">
        <v>41056.920312499999</v>
      </c>
      <c r="D916" s="4">
        <v>24000</v>
      </c>
      <c r="E916">
        <v>24000</v>
      </c>
      <c r="F916" t="s">
        <v>6</v>
      </c>
      <c r="G916">
        <f>tblSalaries[[#This Row],[clean Salary (in local currency)]]*VLOOKUP(tblSalaries[[#This Row],[Currency]],tblXrate[],2,FALSE)</f>
        <v>24000</v>
      </c>
      <c r="H916" t="s">
        <v>42</v>
      </c>
      <c r="I916" t="s">
        <v>20</v>
      </c>
      <c r="J916" t="s">
        <v>8</v>
      </c>
      <c r="K916" t="str">
        <f>VLOOKUP(tblSalaries[[#This Row],[Where do you work]],tblCountries[[Actual]:[Mapping]],2,FALSE)</f>
        <v>India</v>
      </c>
      <c r="L916" t="s">
        <v>9</v>
      </c>
      <c r="M916">
        <v>3</v>
      </c>
      <c r="N916" s="8" t="str">
        <f>VLOOKUP(K916,tblCountries[],3,0)</f>
        <v>Asia</v>
      </c>
      <c r="O916" s="8">
        <f>VLOOKUP(tblSalaries[[#This Row],[How many hours of a day you work on Excel]],tblHours,2,0)</f>
        <v>4</v>
      </c>
      <c r="P916" s="8">
        <f>VLOOKUP(tblSalaries[[#This Row],[clean Country]],tblCountries[],5,0)</f>
        <v>13.098808879263672</v>
      </c>
      <c r="Q916" s="8">
        <f>IF($Q$1,tblSalaries[[#This Row],[PPP Factor]]*tblSalaries[[#This Row],[Salary in USD]],tblSalaries[[#This Row],[Salary in USD]])</f>
        <v>24000</v>
      </c>
    </row>
    <row r="917" spans="2:17" ht="15" customHeight="1" x14ac:dyDescent="0.25">
      <c r="B917" t="s">
        <v>2920</v>
      </c>
      <c r="C917" s="1">
        <v>41056.931956018518</v>
      </c>
      <c r="D917" s="4" t="s">
        <v>1067</v>
      </c>
      <c r="E917">
        <v>50000</v>
      </c>
      <c r="F917" t="s">
        <v>69</v>
      </c>
      <c r="G917">
        <f>tblSalaries[[#This Row],[clean Salary (in local currency)]]*VLOOKUP(tblSalaries[[#This Row],[Currency]],tblXrate[],2,FALSE)</f>
        <v>78808.913603364199</v>
      </c>
      <c r="H917" t="s">
        <v>1068</v>
      </c>
      <c r="I917" t="s">
        <v>20</v>
      </c>
      <c r="J917" t="s">
        <v>71</v>
      </c>
      <c r="K917" t="str">
        <f>VLOOKUP(tblSalaries[[#This Row],[Where do you work]],tblCountries[[Actual]:[Mapping]],2,FALSE)</f>
        <v>UK</v>
      </c>
      <c r="L917" t="s">
        <v>13</v>
      </c>
      <c r="M917">
        <v>10</v>
      </c>
      <c r="N917" s="8" t="str">
        <f>VLOOKUP(K917,tblCountries[],3,0)</f>
        <v>Europe</v>
      </c>
      <c r="O917" s="8">
        <f>VLOOKUP(tblSalaries[[#This Row],[How many hours of a day you work on Excel]],tblHours,2,0)</f>
        <v>5</v>
      </c>
      <c r="P917" s="8">
        <f>VLOOKUP(tblSalaries[[#This Row],[clean Country]],tblCountries[],5,0)</f>
        <v>1.3407315045719035</v>
      </c>
      <c r="Q917" s="8">
        <f>IF($Q$1,tblSalaries[[#This Row],[PPP Factor]]*tblSalaries[[#This Row],[Salary in USD]],tblSalaries[[#This Row],[Salary in USD]])</f>
        <v>78808.913603364199</v>
      </c>
    </row>
    <row r="918" spans="2:17" ht="15" customHeight="1" x14ac:dyDescent="0.25">
      <c r="B918" t="s">
        <v>2921</v>
      </c>
      <c r="C918" s="1">
        <v>41056.94122685185</v>
      </c>
      <c r="D918" s="4">
        <v>42000</v>
      </c>
      <c r="E918">
        <v>42000</v>
      </c>
      <c r="F918" t="s">
        <v>6</v>
      </c>
      <c r="G918">
        <f>tblSalaries[[#This Row],[clean Salary (in local currency)]]*VLOOKUP(tblSalaries[[#This Row],[Currency]],tblXrate[],2,FALSE)</f>
        <v>42000</v>
      </c>
      <c r="H918" t="s">
        <v>1069</v>
      </c>
      <c r="I918" t="s">
        <v>488</v>
      </c>
      <c r="J918" t="s">
        <v>133</v>
      </c>
      <c r="K918" t="str">
        <f>VLOOKUP(tblSalaries[[#This Row],[Where do you work]],tblCountries[[Actual]:[Mapping]],2,FALSE)</f>
        <v>Saudi Arabia</v>
      </c>
      <c r="L918" t="s">
        <v>13</v>
      </c>
      <c r="M918">
        <v>15</v>
      </c>
      <c r="N918" s="8" t="str">
        <f>VLOOKUP(K918,tblCountries[],3,0)</f>
        <v>Asia</v>
      </c>
      <c r="O918" s="8">
        <f>VLOOKUP(tblSalaries[[#This Row],[How many hours of a day you work on Excel]],tblHours,2,0)</f>
        <v>5</v>
      </c>
      <c r="P918" s="8">
        <f>VLOOKUP(tblSalaries[[#This Row],[clean Country]],tblCountries[],5,0)</f>
        <v>1.9964104468374799</v>
      </c>
      <c r="Q918" s="8">
        <f>IF($Q$1,tblSalaries[[#This Row],[PPP Factor]]*tblSalaries[[#This Row],[Salary in USD]],tblSalaries[[#This Row],[Salary in USD]])</f>
        <v>42000</v>
      </c>
    </row>
    <row r="919" spans="2:17" ht="15" customHeight="1" x14ac:dyDescent="0.25">
      <c r="B919" t="s">
        <v>2922</v>
      </c>
      <c r="C919" s="1">
        <v>41056.944884259261</v>
      </c>
      <c r="D919" s="4" t="s">
        <v>1070</v>
      </c>
      <c r="E919">
        <v>19200</v>
      </c>
      <c r="F919" t="s">
        <v>3900</v>
      </c>
      <c r="G919">
        <f>tblSalaries[[#This Row],[clean Salary (in local currency)]]*VLOOKUP(tblSalaries[[#This Row],[Currency]],tblXrate[],2,FALSE)</f>
        <v>9490.1984044603923</v>
      </c>
      <c r="H919" t="s">
        <v>1071</v>
      </c>
      <c r="I919" t="s">
        <v>20</v>
      </c>
      <c r="J919" t="s">
        <v>143</v>
      </c>
      <c r="K919" t="str">
        <f>VLOOKUP(tblSalaries[[#This Row],[Where do you work]],tblCountries[[Actual]:[Mapping]],2,FALSE)</f>
        <v>Brazil</v>
      </c>
      <c r="L919" t="s">
        <v>13</v>
      </c>
      <c r="M919">
        <v>8</v>
      </c>
      <c r="N919" s="8" t="str">
        <f>VLOOKUP(K919,tblCountries[],3,0)</f>
        <v>South Amer.</v>
      </c>
      <c r="O919" s="8">
        <f>VLOOKUP(tblSalaries[[#This Row],[How many hours of a day you work on Excel]],tblHours,2,0)</f>
        <v>5</v>
      </c>
      <c r="P919" s="8">
        <f>VLOOKUP(tblSalaries[[#This Row],[clean Country]],tblCountries[],5,0)</f>
        <v>4.1113943410655107</v>
      </c>
      <c r="Q919" s="8">
        <f>IF($Q$1,tblSalaries[[#This Row],[PPP Factor]]*tblSalaries[[#This Row],[Salary in USD]],tblSalaries[[#This Row],[Salary in USD]])</f>
        <v>9490.1984044603923</v>
      </c>
    </row>
    <row r="920" spans="2:17" ht="15" customHeight="1" x14ac:dyDescent="0.25">
      <c r="B920" t="s">
        <v>2923</v>
      </c>
      <c r="C920" s="1">
        <v>41056.957395833335</v>
      </c>
      <c r="D920" s="4">
        <v>60000</v>
      </c>
      <c r="E920">
        <v>60000</v>
      </c>
      <c r="F920" t="s">
        <v>6</v>
      </c>
      <c r="G920">
        <f>tblSalaries[[#This Row],[clean Salary (in local currency)]]*VLOOKUP(tblSalaries[[#This Row],[Currency]],tblXrate[],2,FALSE)</f>
        <v>60000</v>
      </c>
      <c r="H920" t="s">
        <v>356</v>
      </c>
      <c r="I920" t="s">
        <v>356</v>
      </c>
      <c r="J920" t="s">
        <v>171</v>
      </c>
      <c r="K920" t="str">
        <f>VLOOKUP(tblSalaries[[#This Row],[Where do you work]],tblCountries[[Actual]:[Mapping]],2,FALSE)</f>
        <v>Singapore</v>
      </c>
      <c r="L920" t="s">
        <v>9</v>
      </c>
      <c r="M920">
        <v>5</v>
      </c>
      <c r="N920" s="8" t="str">
        <f>VLOOKUP(K920,tblCountries[],3,0)</f>
        <v>Asia</v>
      </c>
      <c r="O920" s="8">
        <f>VLOOKUP(tblSalaries[[#This Row],[How many hours of a day you work on Excel]],tblHours,2,0)</f>
        <v>4</v>
      </c>
      <c r="P920" s="8">
        <f>VLOOKUP(tblSalaries[[#This Row],[clean Country]],tblCountries[],5,0)</f>
        <v>0.81035320125270049</v>
      </c>
      <c r="Q920" s="8">
        <f>IF($Q$1,tblSalaries[[#This Row],[PPP Factor]]*tblSalaries[[#This Row],[Salary in USD]],tblSalaries[[#This Row],[Salary in USD]])</f>
        <v>60000</v>
      </c>
    </row>
    <row r="921" spans="2:17" ht="15" customHeight="1" x14ac:dyDescent="0.25">
      <c r="B921" t="s">
        <v>2924</v>
      </c>
      <c r="C921" s="1">
        <v>41056.960659722223</v>
      </c>
      <c r="D921" s="4">
        <v>1000000</v>
      </c>
      <c r="E921">
        <v>1000000</v>
      </c>
      <c r="F921" t="s">
        <v>40</v>
      </c>
      <c r="G921">
        <f>tblSalaries[[#This Row],[clean Salary (in local currency)]]*VLOOKUP(tblSalaries[[#This Row],[Currency]],tblXrate[],2,FALSE)</f>
        <v>17807.916687442568</v>
      </c>
      <c r="H921" t="s">
        <v>1072</v>
      </c>
      <c r="I921" t="s">
        <v>52</v>
      </c>
      <c r="J921" t="s">
        <v>8</v>
      </c>
      <c r="K921" t="str">
        <f>VLOOKUP(tblSalaries[[#This Row],[Where do you work]],tblCountries[[Actual]:[Mapping]],2,FALSE)</f>
        <v>India</v>
      </c>
      <c r="L921" t="s">
        <v>13</v>
      </c>
      <c r="M921">
        <v>8</v>
      </c>
      <c r="N921" s="8" t="str">
        <f>VLOOKUP(K921,tblCountries[],3,0)</f>
        <v>Asia</v>
      </c>
      <c r="O921" s="8">
        <f>VLOOKUP(tblSalaries[[#This Row],[How many hours of a day you work on Excel]],tblHours,2,0)</f>
        <v>5</v>
      </c>
      <c r="P921" s="8">
        <f>VLOOKUP(tblSalaries[[#This Row],[clean Country]],tblCountries[],5,0)</f>
        <v>13.098808879263672</v>
      </c>
      <c r="Q921" s="8">
        <f>IF($Q$1,tblSalaries[[#This Row],[PPP Factor]]*tblSalaries[[#This Row],[Salary in USD]],tblSalaries[[#This Row],[Salary in USD]])</f>
        <v>17807.916687442568</v>
      </c>
    </row>
    <row r="922" spans="2:17" ht="15" customHeight="1" x14ac:dyDescent="0.25">
      <c r="B922" t="s">
        <v>2925</v>
      </c>
      <c r="C922" s="1">
        <v>41056.965289351851</v>
      </c>
      <c r="D922" s="4" t="s">
        <v>1073</v>
      </c>
      <c r="E922">
        <v>700000</v>
      </c>
      <c r="F922" t="s">
        <v>40</v>
      </c>
      <c r="G922">
        <f>tblSalaries[[#This Row],[clean Salary (in local currency)]]*VLOOKUP(tblSalaries[[#This Row],[Currency]],tblXrate[],2,FALSE)</f>
        <v>12465.541681209797</v>
      </c>
      <c r="H922" t="s">
        <v>207</v>
      </c>
      <c r="I922" t="s">
        <v>20</v>
      </c>
      <c r="J922" t="s">
        <v>8</v>
      </c>
      <c r="K922" t="str">
        <f>VLOOKUP(tblSalaries[[#This Row],[Where do you work]],tblCountries[[Actual]:[Mapping]],2,FALSE)</f>
        <v>India</v>
      </c>
      <c r="L922" t="s">
        <v>13</v>
      </c>
      <c r="M922">
        <v>1</v>
      </c>
      <c r="N922" s="8" t="str">
        <f>VLOOKUP(K922,tblCountries[],3,0)</f>
        <v>Asia</v>
      </c>
      <c r="O922" s="8">
        <f>VLOOKUP(tblSalaries[[#This Row],[How many hours of a day you work on Excel]],tblHours,2,0)</f>
        <v>5</v>
      </c>
      <c r="P922" s="8">
        <f>VLOOKUP(tblSalaries[[#This Row],[clean Country]],tblCountries[],5,0)</f>
        <v>13.098808879263672</v>
      </c>
      <c r="Q922" s="8">
        <f>IF($Q$1,tblSalaries[[#This Row],[PPP Factor]]*tblSalaries[[#This Row],[Salary in USD]],tblSalaries[[#This Row],[Salary in USD]])</f>
        <v>12465.541681209797</v>
      </c>
    </row>
    <row r="923" spans="2:17" ht="15" customHeight="1" x14ac:dyDescent="0.25">
      <c r="B923" t="s">
        <v>2926</v>
      </c>
      <c r="C923" s="1">
        <v>41056.980902777781</v>
      </c>
      <c r="D923" s="4">
        <v>20571</v>
      </c>
      <c r="E923">
        <v>20571</v>
      </c>
      <c r="F923" t="s">
        <v>6</v>
      </c>
      <c r="G923">
        <f>tblSalaries[[#This Row],[clean Salary (in local currency)]]*VLOOKUP(tblSalaries[[#This Row],[Currency]],tblXrate[],2,FALSE)</f>
        <v>20571</v>
      </c>
      <c r="H923" t="s">
        <v>29</v>
      </c>
      <c r="I923" t="s">
        <v>4001</v>
      </c>
      <c r="J923" t="s">
        <v>1074</v>
      </c>
      <c r="K923" t="str">
        <f>VLOOKUP(tblSalaries[[#This Row],[Where do you work]],tblCountries[[Actual]:[Mapping]],2,FALSE)</f>
        <v>Albania</v>
      </c>
      <c r="L923" t="s">
        <v>9</v>
      </c>
      <c r="M923">
        <v>8</v>
      </c>
      <c r="N923" s="8" t="str">
        <f>VLOOKUP(K923,tblCountries[],3,0)</f>
        <v>Europe</v>
      </c>
      <c r="O923" s="8">
        <f>VLOOKUP(tblSalaries[[#This Row],[How many hours of a day you work on Excel]],tblHours,2,0)</f>
        <v>4</v>
      </c>
      <c r="P923" s="8">
        <f>VLOOKUP(tblSalaries[[#This Row],[clean Country]],tblCountries[],5,0)</f>
        <v>6.2507427980881021</v>
      </c>
      <c r="Q923" s="8">
        <f>IF($Q$1,tblSalaries[[#This Row],[PPP Factor]]*tblSalaries[[#This Row],[Salary in USD]],tblSalaries[[#This Row],[Salary in USD]])</f>
        <v>20571</v>
      </c>
    </row>
    <row r="924" spans="2:17" ht="15" customHeight="1" x14ac:dyDescent="0.25">
      <c r="B924" t="s">
        <v>2927</v>
      </c>
      <c r="C924" s="1">
        <v>41056.988437499997</v>
      </c>
      <c r="D924" s="4">
        <v>290</v>
      </c>
      <c r="E924">
        <v>3480</v>
      </c>
      <c r="F924" t="s">
        <v>6</v>
      </c>
      <c r="G924">
        <f>tblSalaries[[#This Row],[clean Salary (in local currency)]]*VLOOKUP(tblSalaries[[#This Row],[Currency]],tblXrate[],2,FALSE)</f>
        <v>3480</v>
      </c>
      <c r="H924" t="s">
        <v>1075</v>
      </c>
      <c r="I924" t="s">
        <v>52</v>
      </c>
      <c r="J924" t="s">
        <v>17</v>
      </c>
      <c r="K924" t="str">
        <f>VLOOKUP(tblSalaries[[#This Row],[Where do you work]],tblCountries[[Actual]:[Mapping]],2,FALSE)</f>
        <v>Pakistan</v>
      </c>
      <c r="L924" t="s">
        <v>13</v>
      </c>
      <c r="M924">
        <v>6</v>
      </c>
      <c r="N924" s="8" t="str">
        <f>VLOOKUP(K924,tblCountries[],3,0)</f>
        <v>Asia</v>
      </c>
      <c r="O924" s="8">
        <f>VLOOKUP(tblSalaries[[#This Row],[How many hours of a day you work on Excel]],tblHours,2,0)</f>
        <v>5</v>
      </c>
      <c r="P924" s="8">
        <f>VLOOKUP(tblSalaries[[#This Row],[clean Country]],tblCountries[],5,0)</f>
        <v>17.361679224973088</v>
      </c>
      <c r="Q924" s="8">
        <f>IF($Q$1,tblSalaries[[#This Row],[PPP Factor]]*tblSalaries[[#This Row],[Salary in USD]],tblSalaries[[#This Row],[Salary in USD]])</f>
        <v>3480</v>
      </c>
    </row>
    <row r="925" spans="2:17" ht="15" customHeight="1" x14ac:dyDescent="0.25">
      <c r="B925" t="s">
        <v>2928</v>
      </c>
      <c r="C925" s="1">
        <v>41056.990312499998</v>
      </c>
      <c r="D925" s="4">
        <v>18060</v>
      </c>
      <c r="E925">
        <v>18060</v>
      </c>
      <c r="F925" t="s">
        <v>6</v>
      </c>
      <c r="G925">
        <f>tblSalaries[[#This Row],[clean Salary (in local currency)]]*VLOOKUP(tblSalaries[[#This Row],[Currency]],tblXrate[],2,FALSE)</f>
        <v>18060</v>
      </c>
      <c r="H925" t="s">
        <v>1076</v>
      </c>
      <c r="I925" t="s">
        <v>3999</v>
      </c>
      <c r="J925" t="s">
        <v>347</v>
      </c>
      <c r="K925" t="str">
        <f>VLOOKUP(tblSalaries[[#This Row],[Where do you work]],tblCountries[[Actual]:[Mapping]],2,FALSE)</f>
        <v>Philippines</v>
      </c>
      <c r="L925" t="s">
        <v>9</v>
      </c>
      <c r="M925">
        <v>12</v>
      </c>
      <c r="N925" s="8" t="str">
        <f>VLOOKUP(K925,tblCountries[],3,0)</f>
        <v>Asia</v>
      </c>
      <c r="O925" s="8">
        <f>VLOOKUP(tblSalaries[[#This Row],[How many hours of a day you work on Excel]],tblHours,2,0)</f>
        <v>4</v>
      </c>
      <c r="P925" s="8">
        <f>VLOOKUP(tblSalaries[[#This Row],[clean Country]],tblCountries[],5,0)</f>
        <v>11.879941075374417</v>
      </c>
      <c r="Q925" s="8">
        <f>IF($Q$1,tblSalaries[[#This Row],[PPP Factor]]*tblSalaries[[#This Row],[Salary in USD]],tblSalaries[[#This Row],[Salary in USD]])</f>
        <v>18060</v>
      </c>
    </row>
    <row r="926" spans="2:17" ht="15" customHeight="1" x14ac:dyDescent="0.25">
      <c r="B926" t="s">
        <v>2929</v>
      </c>
      <c r="C926" s="1">
        <v>41056.991261574076</v>
      </c>
      <c r="D926" s="4" t="s">
        <v>520</v>
      </c>
      <c r="E926">
        <v>30000</v>
      </c>
      <c r="F926" t="s">
        <v>6</v>
      </c>
      <c r="G926">
        <f>tblSalaries[[#This Row],[clean Salary (in local currency)]]*VLOOKUP(tblSalaries[[#This Row],[Currency]],tblXrate[],2,FALSE)</f>
        <v>30000</v>
      </c>
      <c r="H926" t="s">
        <v>1077</v>
      </c>
      <c r="I926" t="s">
        <v>310</v>
      </c>
      <c r="J926" t="s">
        <v>1078</v>
      </c>
      <c r="K926" t="str">
        <f>VLOOKUP(tblSalaries[[#This Row],[Where do you work]],tblCountries[[Actual]:[Mapping]],2,FALSE)</f>
        <v>iran</v>
      </c>
      <c r="L926" t="s">
        <v>18</v>
      </c>
      <c r="M926">
        <v>30</v>
      </c>
      <c r="N926" s="8" t="str">
        <f>VLOOKUP(K926,tblCountries[],3,0)</f>
        <v>Asia</v>
      </c>
      <c r="O926" s="8">
        <f>VLOOKUP(tblSalaries[[#This Row],[How many hours of a day you work on Excel]],tblHours,2,0)</f>
        <v>3</v>
      </c>
      <c r="P926" s="8">
        <f>VLOOKUP(tblSalaries[[#This Row],[clean Country]],tblCountries[],5,0)</f>
        <v>3.706963916341071</v>
      </c>
      <c r="Q926" s="8">
        <f>IF($Q$1,tblSalaries[[#This Row],[PPP Factor]]*tblSalaries[[#This Row],[Salary in USD]],tblSalaries[[#This Row],[Salary in USD]])</f>
        <v>30000</v>
      </c>
    </row>
    <row r="927" spans="2:17" ht="15" customHeight="1" x14ac:dyDescent="0.25">
      <c r="B927" t="s">
        <v>2930</v>
      </c>
      <c r="C927" s="1">
        <v>41056.995000000003</v>
      </c>
      <c r="D927" s="4" t="s">
        <v>1079</v>
      </c>
      <c r="E927">
        <v>24000</v>
      </c>
      <c r="F927" t="s">
        <v>6</v>
      </c>
      <c r="G927">
        <f>tblSalaries[[#This Row],[clean Salary (in local currency)]]*VLOOKUP(tblSalaries[[#This Row],[Currency]],tblXrate[],2,FALSE)</f>
        <v>24000</v>
      </c>
      <c r="H927" t="s">
        <v>1080</v>
      </c>
      <c r="I927" t="s">
        <v>52</v>
      </c>
      <c r="J927" t="s">
        <v>8</v>
      </c>
      <c r="K927" t="str">
        <f>VLOOKUP(tblSalaries[[#This Row],[Where do you work]],tblCountries[[Actual]:[Mapping]],2,FALSE)</f>
        <v>India</v>
      </c>
      <c r="L927" t="s">
        <v>9</v>
      </c>
      <c r="M927">
        <v>10</v>
      </c>
      <c r="N927" s="8" t="str">
        <f>VLOOKUP(K927,tblCountries[],3,0)</f>
        <v>Asia</v>
      </c>
      <c r="O927" s="8">
        <f>VLOOKUP(tblSalaries[[#This Row],[How many hours of a day you work on Excel]],tblHours,2,0)</f>
        <v>4</v>
      </c>
      <c r="P927" s="8">
        <f>VLOOKUP(tblSalaries[[#This Row],[clean Country]],tblCountries[],5,0)</f>
        <v>13.098808879263672</v>
      </c>
      <c r="Q927" s="8">
        <f>IF($Q$1,tblSalaries[[#This Row],[PPP Factor]]*tblSalaries[[#This Row],[Salary in USD]],tblSalaries[[#This Row],[Salary in USD]])</f>
        <v>24000</v>
      </c>
    </row>
    <row r="928" spans="2:17" ht="15" customHeight="1" x14ac:dyDescent="0.25">
      <c r="B928" t="s">
        <v>2931</v>
      </c>
      <c r="C928" s="1">
        <v>41057.00744212963</v>
      </c>
      <c r="D928" s="4">
        <v>63200</v>
      </c>
      <c r="E928">
        <v>63200</v>
      </c>
      <c r="F928" t="s">
        <v>22</v>
      </c>
      <c r="G928">
        <f>tblSalaries[[#This Row],[clean Salary (in local currency)]]*VLOOKUP(tblSalaries[[#This Row],[Currency]],tblXrate[],2,FALSE)</f>
        <v>80289.244544269619</v>
      </c>
      <c r="H928" t="s">
        <v>356</v>
      </c>
      <c r="I928" t="s">
        <v>356</v>
      </c>
      <c r="J928" t="s">
        <v>106</v>
      </c>
      <c r="K928" t="str">
        <f>VLOOKUP(tblSalaries[[#This Row],[Where do you work]],tblCountries[[Actual]:[Mapping]],2,FALSE)</f>
        <v>France</v>
      </c>
      <c r="L928" t="s">
        <v>9</v>
      </c>
      <c r="M928">
        <v>3</v>
      </c>
      <c r="N928" s="8" t="str">
        <f>VLOOKUP(K928,tblCountries[],3,0)</f>
        <v>Europe</v>
      </c>
      <c r="O928" s="8">
        <f>VLOOKUP(tblSalaries[[#This Row],[How many hours of a day you work on Excel]],tblHours,2,0)</f>
        <v>4</v>
      </c>
      <c r="P928" s="8">
        <f>VLOOKUP(tblSalaries[[#This Row],[clean Country]],tblCountries[],5,0)</f>
        <v>1.3763511207190806</v>
      </c>
      <c r="Q928" s="8">
        <f>IF($Q$1,tblSalaries[[#This Row],[PPP Factor]]*tblSalaries[[#This Row],[Salary in USD]],tblSalaries[[#This Row],[Salary in USD]])</f>
        <v>80289.244544269619</v>
      </c>
    </row>
    <row r="929" spans="2:17" ht="15" customHeight="1" x14ac:dyDescent="0.25">
      <c r="B929" t="s">
        <v>2932</v>
      </c>
      <c r="C929" s="1">
        <v>41057.012106481481</v>
      </c>
      <c r="D929" s="4">
        <v>70000</v>
      </c>
      <c r="E929">
        <v>70000</v>
      </c>
      <c r="F929" t="s">
        <v>6</v>
      </c>
      <c r="G929">
        <f>tblSalaries[[#This Row],[clean Salary (in local currency)]]*VLOOKUP(tblSalaries[[#This Row],[Currency]],tblXrate[],2,FALSE)</f>
        <v>70000</v>
      </c>
      <c r="H929" t="s">
        <v>1081</v>
      </c>
      <c r="I929" t="s">
        <v>52</v>
      </c>
      <c r="J929" t="s">
        <v>15</v>
      </c>
      <c r="K929" t="str">
        <f>VLOOKUP(tblSalaries[[#This Row],[Where do you work]],tblCountries[[Actual]:[Mapping]],2,FALSE)</f>
        <v>USA</v>
      </c>
      <c r="L929" t="s">
        <v>9</v>
      </c>
      <c r="M929">
        <v>4</v>
      </c>
      <c r="N929" s="8" t="str">
        <f>VLOOKUP(K929,tblCountries[],3,0)</f>
        <v>North Amer.</v>
      </c>
      <c r="O929" s="8">
        <f>VLOOKUP(tblSalaries[[#This Row],[How many hours of a day you work on Excel]],tblHours,2,0)</f>
        <v>4</v>
      </c>
      <c r="P929" s="8">
        <f>VLOOKUP(tblSalaries[[#This Row],[clean Country]],tblCountries[],5,0)</f>
        <v>1</v>
      </c>
      <c r="Q929" s="8">
        <f>IF($Q$1,tblSalaries[[#This Row],[PPP Factor]]*tblSalaries[[#This Row],[Salary in USD]],tblSalaries[[#This Row],[Salary in USD]])</f>
        <v>70000</v>
      </c>
    </row>
    <row r="930" spans="2:17" ht="15" customHeight="1" x14ac:dyDescent="0.25">
      <c r="B930" t="s">
        <v>2933</v>
      </c>
      <c r="C930" s="1">
        <v>41057.020092592589</v>
      </c>
      <c r="D930" s="4" t="s">
        <v>896</v>
      </c>
      <c r="E930">
        <v>480000</v>
      </c>
      <c r="F930" t="s">
        <v>40</v>
      </c>
      <c r="G930">
        <f>tblSalaries[[#This Row],[clean Salary (in local currency)]]*VLOOKUP(tblSalaries[[#This Row],[Currency]],tblXrate[],2,FALSE)</f>
        <v>8547.8000099724322</v>
      </c>
      <c r="H930" t="s">
        <v>52</v>
      </c>
      <c r="I930" t="s">
        <v>52</v>
      </c>
      <c r="J930" t="s">
        <v>8</v>
      </c>
      <c r="K930" t="str">
        <f>VLOOKUP(tblSalaries[[#This Row],[Where do you work]],tblCountries[[Actual]:[Mapping]],2,FALSE)</f>
        <v>India</v>
      </c>
      <c r="L930" t="s">
        <v>18</v>
      </c>
      <c r="M930">
        <v>2</v>
      </c>
      <c r="N930" s="8" t="str">
        <f>VLOOKUP(K930,tblCountries[],3,0)</f>
        <v>Asia</v>
      </c>
      <c r="O930" s="8">
        <f>VLOOKUP(tblSalaries[[#This Row],[How many hours of a day you work on Excel]],tblHours,2,0)</f>
        <v>3</v>
      </c>
      <c r="P930" s="8">
        <f>VLOOKUP(tblSalaries[[#This Row],[clean Country]],tblCountries[],5,0)</f>
        <v>13.098808879263672</v>
      </c>
      <c r="Q930" s="8">
        <f>IF($Q$1,tblSalaries[[#This Row],[PPP Factor]]*tblSalaries[[#This Row],[Salary in USD]],tblSalaries[[#This Row],[Salary in USD]])</f>
        <v>8547.8000099724322</v>
      </c>
    </row>
    <row r="931" spans="2:17" ht="15" customHeight="1" x14ac:dyDescent="0.25">
      <c r="B931" t="s">
        <v>2934</v>
      </c>
      <c r="C931" s="1">
        <v>41057.025231481479</v>
      </c>
      <c r="D931" s="4" t="s">
        <v>1083</v>
      </c>
      <c r="E931">
        <v>600000</v>
      </c>
      <c r="F931" t="s">
        <v>40</v>
      </c>
      <c r="G931">
        <f>tblSalaries[[#This Row],[clean Salary (in local currency)]]*VLOOKUP(tblSalaries[[#This Row],[Currency]],tblXrate[],2,FALSE)</f>
        <v>10684.750012465542</v>
      </c>
      <c r="H931" t="s">
        <v>1084</v>
      </c>
      <c r="I931" t="s">
        <v>20</v>
      </c>
      <c r="J931" t="s">
        <v>8</v>
      </c>
      <c r="K931" t="str">
        <f>VLOOKUP(tblSalaries[[#This Row],[Where do you work]],tblCountries[[Actual]:[Mapping]],2,FALSE)</f>
        <v>India</v>
      </c>
      <c r="L931" t="s">
        <v>9</v>
      </c>
      <c r="M931">
        <v>11</v>
      </c>
      <c r="N931" s="8" t="str">
        <f>VLOOKUP(K931,tblCountries[],3,0)</f>
        <v>Asia</v>
      </c>
      <c r="O931" s="8">
        <f>VLOOKUP(tblSalaries[[#This Row],[How many hours of a day you work on Excel]],tblHours,2,0)</f>
        <v>4</v>
      </c>
      <c r="P931" s="8">
        <f>VLOOKUP(tblSalaries[[#This Row],[clean Country]],tblCountries[],5,0)</f>
        <v>13.098808879263672</v>
      </c>
      <c r="Q931" s="8">
        <f>IF($Q$1,tblSalaries[[#This Row],[PPP Factor]]*tblSalaries[[#This Row],[Salary in USD]],tblSalaries[[#This Row],[Salary in USD]])</f>
        <v>10684.750012465542</v>
      </c>
    </row>
    <row r="932" spans="2:17" ht="15" customHeight="1" x14ac:dyDescent="0.25">
      <c r="B932" t="s">
        <v>2935</v>
      </c>
      <c r="C932" s="1">
        <v>41057.030324074076</v>
      </c>
      <c r="D932" s="4" t="s">
        <v>1085</v>
      </c>
      <c r="E932">
        <v>600000</v>
      </c>
      <c r="F932" t="s">
        <v>40</v>
      </c>
      <c r="G932">
        <f>tblSalaries[[#This Row],[clean Salary (in local currency)]]*VLOOKUP(tblSalaries[[#This Row],[Currency]],tblXrate[],2,FALSE)</f>
        <v>10684.750012465542</v>
      </c>
      <c r="H932" t="s">
        <v>749</v>
      </c>
      <c r="I932" t="s">
        <v>20</v>
      </c>
      <c r="J932" t="s">
        <v>8</v>
      </c>
      <c r="K932" t="str">
        <f>VLOOKUP(tblSalaries[[#This Row],[Where do you work]],tblCountries[[Actual]:[Mapping]],2,FALSE)</f>
        <v>India</v>
      </c>
      <c r="L932" t="s">
        <v>18</v>
      </c>
      <c r="M932">
        <v>4</v>
      </c>
      <c r="N932" s="8" t="str">
        <f>VLOOKUP(K932,tblCountries[],3,0)</f>
        <v>Asia</v>
      </c>
      <c r="O932" s="8">
        <f>VLOOKUP(tblSalaries[[#This Row],[How many hours of a day you work on Excel]],tblHours,2,0)</f>
        <v>3</v>
      </c>
      <c r="P932" s="8">
        <f>VLOOKUP(tblSalaries[[#This Row],[clean Country]],tblCountries[],5,0)</f>
        <v>13.098808879263672</v>
      </c>
      <c r="Q932" s="8">
        <f>IF($Q$1,tblSalaries[[#This Row],[PPP Factor]]*tblSalaries[[#This Row],[Salary in USD]],tblSalaries[[#This Row],[Salary in USD]])</f>
        <v>10684.750012465542</v>
      </c>
    </row>
    <row r="933" spans="2:17" ht="15" customHeight="1" x14ac:dyDescent="0.25">
      <c r="B933" t="s">
        <v>2936</v>
      </c>
      <c r="C933" s="1">
        <v>41057.033599537041</v>
      </c>
      <c r="D933" s="4">
        <v>20000</v>
      </c>
      <c r="E933">
        <v>20000</v>
      </c>
      <c r="F933" t="s">
        <v>6</v>
      </c>
      <c r="G933">
        <f>tblSalaries[[#This Row],[clean Salary (in local currency)]]*VLOOKUP(tblSalaries[[#This Row],[Currency]],tblXrate[],2,FALSE)</f>
        <v>20000</v>
      </c>
      <c r="H933" t="s">
        <v>1046</v>
      </c>
      <c r="I933" t="s">
        <v>310</v>
      </c>
      <c r="J933" t="s">
        <v>1086</v>
      </c>
      <c r="K933" t="str">
        <f>VLOOKUP(tblSalaries[[#This Row],[Where do you work]],tblCountries[[Actual]:[Mapping]],2,FALSE)</f>
        <v>Zambia</v>
      </c>
      <c r="L933" t="s">
        <v>13</v>
      </c>
      <c r="M933">
        <v>2</v>
      </c>
      <c r="N933" s="8" t="str">
        <f>VLOOKUP(K933,tblCountries[],3,0)</f>
        <v>Africa</v>
      </c>
      <c r="O933" s="8">
        <f>VLOOKUP(tblSalaries[[#This Row],[How many hours of a day you work on Excel]],tblHours,2,0)</f>
        <v>5</v>
      </c>
      <c r="P933" s="8">
        <f>VLOOKUP(tblSalaries[[#This Row],[clean Country]],tblCountries[],5,0)</f>
        <v>30.03538175046555</v>
      </c>
      <c r="Q933" s="8">
        <f>IF($Q$1,tblSalaries[[#This Row],[PPP Factor]]*tblSalaries[[#This Row],[Salary in USD]],tblSalaries[[#This Row],[Salary in USD]])</f>
        <v>20000</v>
      </c>
    </row>
    <row r="934" spans="2:17" ht="15" customHeight="1" x14ac:dyDescent="0.25">
      <c r="B934" t="s">
        <v>2937</v>
      </c>
      <c r="C934" s="1">
        <v>41057.053668981483</v>
      </c>
      <c r="D934" s="4" t="s">
        <v>1087</v>
      </c>
      <c r="E934">
        <v>42000</v>
      </c>
      <c r="F934" t="s">
        <v>22</v>
      </c>
      <c r="G934">
        <f>tblSalaries[[#This Row],[clean Salary (in local currency)]]*VLOOKUP(tblSalaries[[#This Row],[Currency]],tblXrate[],2,FALSE)</f>
        <v>53356.776437647524</v>
      </c>
      <c r="H934" t="s">
        <v>356</v>
      </c>
      <c r="I934" t="s">
        <v>356</v>
      </c>
      <c r="J934" t="s">
        <v>24</v>
      </c>
      <c r="K934" t="str">
        <f>VLOOKUP(tblSalaries[[#This Row],[Where do you work]],tblCountries[[Actual]:[Mapping]],2,FALSE)</f>
        <v>Germany</v>
      </c>
      <c r="L934" t="s">
        <v>18</v>
      </c>
      <c r="M934">
        <v>3</v>
      </c>
      <c r="N934" s="8" t="str">
        <f>VLOOKUP(K934,tblCountries[],3,0)</f>
        <v>Europe</v>
      </c>
      <c r="O934" s="8">
        <f>VLOOKUP(tblSalaries[[#This Row],[How many hours of a day you work on Excel]],tblHours,2,0)</f>
        <v>3</v>
      </c>
      <c r="P934" s="8">
        <f>VLOOKUP(tblSalaries[[#This Row],[clean Country]],tblCountries[],5,0)</f>
        <v>1.276802913159353</v>
      </c>
      <c r="Q934" s="8">
        <f>IF($Q$1,tblSalaries[[#This Row],[PPP Factor]]*tblSalaries[[#This Row],[Salary in USD]],tblSalaries[[#This Row],[Salary in USD]])</f>
        <v>53356.776437647524</v>
      </c>
    </row>
    <row r="935" spans="2:17" ht="15" customHeight="1" x14ac:dyDescent="0.25">
      <c r="B935" t="s">
        <v>2938</v>
      </c>
      <c r="C935" s="1">
        <v>41057.062025462961</v>
      </c>
      <c r="D935" s="4">
        <v>3000</v>
      </c>
      <c r="E935">
        <v>36000</v>
      </c>
      <c r="F935" t="s">
        <v>6</v>
      </c>
      <c r="G935">
        <f>tblSalaries[[#This Row],[clean Salary (in local currency)]]*VLOOKUP(tblSalaries[[#This Row],[Currency]],tblXrate[],2,FALSE)</f>
        <v>36000</v>
      </c>
      <c r="H935" t="s">
        <v>310</v>
      </c>
      <c r="I935" t="s">
        <v>310</v>
      </c>
      <c r="J935" t="s">
        <v>126</v>
      </c>
      <c r="K935" t="str">
        <f>VLOOKUP(tblSalaries[[#This Row],[Where do you work]],tblCountries[[Actual]:[Mapping]],2,FALSE)</f>
        <v>UAE</v>
      </c>
      <c r="L935" t="s">
        <v>9</v>
      </c>
      <c r="M935">
        <v>4.5</v>
      </c>
      <c r="N935" s="8" t="str">
        <f>VLOOKUP(K935,tblCountries[],3,0)</f>
        <v>Asia</v>
      </c>
      <c r="O935" s="8">
        <f>VLOOKUP(tblSalaries[[#This Row],[How many hours of a day you work on Excel]],tblHours,2,0)</f>
        <v>4</v>
      </c>
      <c r="P935" s="8">
        <f>VLOOKUP(tblSalaries[[#This Row],[clean Country]],tblCountries[],5,0)</f>
        <v>1.0047551808629926</v>
      </c>
      <c r="Q935" s="8">
        <f>IF($Q$1,tblSalaries[[#This Row],[PPP Factor]]*tblSalaries[[#This Row],[Salary in USD]],tblSalaries[[#This Row],[Salary in USD]])</f>
        <v>36000</v>
      </c>
    </row>
    <row r="936" spans="2:17" ht="15" customHeight="1" x14ac:dyDescent="0.25">
      <c r="B936" t="s">
        <v>2939</v>
      </c>
      <c r="C936" s="1">
        <v>41057.062835648147</v>
      </c>
      <c r="D936" s="4">
        <v>57000</v>
      </c>
      <c r="E936">
        <v>57000</v>
      </c>
      <c r="F936" t="s">
        <v>6</v>
      </c>
      <c r="G936">
        <f>tblSalaries[[#This Row],[clean Salary (in local currency)]]*VLOOKUP(tblSalaries[[#This Row],[Currency]],tblXrate[],2,FALSE)</f>
        <v>57000</v>
      </c>
      <c r="H936" t="s">
        <v>1088</v>
      </c>
      <c r="I936" t="s">
        <v>279</v>
      </c>
      <c r="J936" t="s">
        <v>15</v>
      </c>
      <c r="K936" t="str">
        <f>VLOOKUP(tblSalaries[[#This Row],[Where do you work]],tblCountries[[Actual]:[Mapping]],2,FALSE)</f>
        <v>USA</v>
      </c>
      <c r="L936" t="s">
        <v>18</v>
      </c>
      <c r="M936">
        <v>4</v>
      </c>
      <c r="N936" s="8" t="str">
        <f>VLOOKUP(K936,tblCountries[],3,0)</f>
        <v>North Amer.</v>
      </c>
      <c r="O936" s="8">
        <f>VLOOKUP(tblSalaries[[#This Row],[How many hours of a day you work on Excel]],tblHours,2,0)</f>
        <v>3</v>
      </c>
      <c r="P936" s="8">
        <f>VLOOKUP(tblSalaries[[#This Row],[clean Country]],tblCountries[],5,0)</f>
        <v>1</v>
      </c>
      <c r="Q936" s="8">
        <f>IF($Q$1,tblSalaries[[#This Row],[PPP Factor]]*tblSalaries[[#This Row],[Salary in USD]],tblSalaries[[#This Row],[Salary in USD]])</f>
        <v>57000</v>
      </c>
    </row>
    <row r="937" spans="2:17" ht="15" customHeight="1" x14ac:dyDescent="0.25">
      <c r="B937" t="s">
        <v>2940</v>
      </c>
      <c r="C937" s="1">
        <v>41057.074641203704</v>
      </c>
      <c r="D937" s="4">
        <v>135000</v>
      </c>
      <c r="E937">
        <v>135000</v>
      </c>
      <c r="F937" t="s">
        <v>6</v>
      </c>
      <c r="G937">
        <f>tblSalaries[[#This Row],[clean Salary (in local currency)]]*VLOOKUP(tblSalaries[[#This Row],[Currency]],tblXrate[],2,FALSE)</f>
        <v>135000</v>
      </c>
      <c r="H937" t="s">
        <v>1089</v>
      </c>
      <c r="I937" t="s">
        <v>52</v>
      </c>
      <c r="J937" t="s">
        <v>15</v>
      </c>
      <c r="K937" t="str">
        <f>VLOOKUP(tblSalaries[[#This Row],[Where do you work]],tblCountries[[Actual]:[Mapping]],2,FALSE)</f>
        <v>USA</v>
      </c>
      <c r="L937" t="s">
        <v>13</v>
      </c>
      <c r="M937">
        <v>15</v>
      </c>
      <c r="N937" s="8" t="str">
        <f>VLOOKUP(K937,tblCountries[],3,0)</f>
        <v>North Amer.</v>
      </c>
      <c r="O937" s="8">
        <f>VLOOKUP(tblSalaries[[#This Row],[How many hours of a day you work on Excel]],tblHours,2,0)</f>
        <v>5</v>
      </c>
      <c r="P937" s="8">
        <f>VLOOKUP(tblSalaries[[#This Row],[clean Country]],tblCountries[],5,0)</f>
        <v>1</v>
      </c>
      <c r="Q937" s="8">
        <f>IF($Q$1,tblSalaries[[#This Row],[PPP Factor]]*tblSalaries[[#This Row],[Salary in USD]],tblSalaries[[#This Row],[Salary in USD]])</f>
        <v>135000</v>
      </c>
    </row>
    <row r="938" spans="2:17" ht="15" customHeight="1" x14ac:dyDescent="0.25">
      <c r="B938" t="s">
        <v>2941</v>
      </c>
      <c r="C938" s="1">
        <v>41057.100844907407</v>
      </c>
      <c r="D938" s="4">
        <v>75000</v>
      </c>
      <c r="E938">
        <v>75000</v>
      </c>
      <c r="F938" t="s">
        <v>22</v>
      </c>
      <c r="G938">
        <f>tblSalaries[[#This Row],[clean Salary (in local currency)]]*VLOOKUP(tblSalaries[[#This Row],[Currency]],tblXrate[],2,FALSE)</f>
        <v>95279.957924370581</v>
      </c>
      <c r="H938" t="s">
        <v>1090</v>
      </c>
      <c r="I938" t="s">
        <v>20</v>
      </c>
      <c r="J938" t="s">
        <v>628</v>
      </c>
      <c r="K938" t="str">
        <f>VLOOKUP(tblSalaries[[#This Row],[Where do you work]],tblCountries[[Actual]:[Mapping]],2,FALSE)</f>
        <v>Netherlands</v>
      </c>
      <c r="L938" t="s">
        <v>9</v>
      </c>
      <c r="M938">
        <v>4</v>
      </c>
      <c r="N938" s="8" t="str">
        <f>VLOOKUP(K938,tblCountries[],3,0)</f>
        <v>Europe</v>
      </c>
      <c r="O938" s="8">
        <f>VLOOKUP(tblSalaries[[#This Row],[How many hours of a day you work on Excel]],tblHours,2,0)</f>
        <v>4</v>
      </c>
      <c r="P938" s="8">
        <f>VLOOKUP(tblSalaries[[#This Row],[clean Country]],tblCountries[],5,0)</f>
        <v>1.1470734656141099</v>
      </c>
      <c r="Q938" s="8">
        <f>IF($Q$1,tblSalaries[[#This Row],[PPP Factor]]*tblSalaries[[#This Row],[Salary in USD]],tblSalaries[[#This Row],[Salary in USD]])</f>
        <v>95279.957924370581</v>
      </c>
    </row>
    <row r="939" spans="2:17" ht="15" customHeight="1" x14ac:dyDescent="0.25">
      <c r="B939" t="s">
        <v>2942</v>
      </c>
      <c r="C939" s="1">
        <v>41057.148773148147</v>
      </c>
      <c r="D939" s="4">
        <v>45000</v>
      </c>
      <c r="E939">
        <v>45000</v>
      </c>
      <c r="F939" t="s">
        <v>22</v>
      </c>
      <c r="G939">
        <f>tblSalaries[[#This Row],[clean Salary (in local currency)]]*VLOOKUP(tblSalaries[[#This Row],[Currency]],tblXrate[],2,FALSE)</f>
        <v>57167.974754622352</v>
      </c>
      <c r="H939" t="s">
        <v>1091</v>
      </c>
      <c r="I939" t="s">
        <v>20</v>
      </c>
      <c r="J939" t="s">
        <v>1092</v>
      </c>
      <c r="K939" t="str">
        <f>VLOOKUP(tblSalaries[[#This Row],[Where do you work]],tblCountries[[Actual]:[Mapping]],2,FALSE)</f>
        <v>Netherlands</v>
      </c>
      <c r="L939" t="s">
        <v>18</v>
      </c>
      <c r="M939">
        <v>10</v>
      </c>
      <c r="N939" s="8" t="str">
        <f>VLOOKUP(K939,tblCountries[],3,0)</f>
        <v>Europe</v>
      </c>
      <c r="O939" s="8">
        <f>VLOOKUP(tblSalaries[[#This Row],[How many hours of a day you work on Excel]],tblHours,2,0)</f>
        <v>3</v>
      </c>
      <c r="P939" s="8">
        <f>VLOOKUP(tblSalaries[[#This Row],[clean Country]],tblCountries[],5,0)</f>
        <v>1.1470734656141099</v>
      </c>
      <c r="Q939" s="8">
        <f>IF($Q$1,tblSalaries[[#This Row],[PPP Factor]]*tblSalaries[[#This Row],[Salary in USD]],tblSalaries[[#This Row],[Salary in USD]])</f>
        <v>57167.974754622352</v>
      </c>
    </row>
    <row r="940" spans="2:17" ht="15" customHeight="1" x14ac:dyDescent="0.25">
      <c r="B940" t="s">
        <v>2943</v>
      </c>
      <c r="C940" s="1">
        <v>41057.155555555553</v>
      </c>
      <c r="D940" s="4" t="s">
        <v>1093</v>
      </c>
      <c r="E940">
        <v>2000000</v>
      </c>
      <c r="F940" t="s">
        <v>3984</v>
      </c>
      <c r="G940">
        <f>tblSalaries[[#This Row],[clean Salary (in local currency)]]*VLOOKUP(tblSalaries[[#This Row],[Currency]],tblXrate[],2,FALSE)</f>
        <v>12326.656394453004</v>
      </c>
      <c r="H940" t="s">
        <v>1094</v>
      </c>
      <c r="I940" t="s">
        <v>52</v>
      </c>
      <c r="J940" t="s">
        <v>870</v>
      </c>
      <c r="K940" t="str">
        <f>VLOOKUP(tblSalaries[[#This Row],[Where do you work]],tblCountries[[Actual]:[Mapping]],2,FALSE)</f>
        <v>Nigeria</v>
      </c>
      <c r="L940" t="s">
        <v>9</v>
      </c>
      <c r="M940">
        <v>5</v>
      </c>
      <c r="N940" s="8" t="str">
        <f>VLOOKUP(K940,tblCountries[],3,0)</f>
        <v>Africa</v>
      </c>
      <c r="O940" s="8">
        <f>VLOOKUP(tblSalaries[[#This Row],[How many hours of a day you work on Excel]],tblHours,2,0)</f>
        <v>4</v>
      </c>
      <c r="P940" s="8">
        <f>VLOOKUP(tblSalaries[[#This Row],[clean Country]],tblCountries[],5,0)</f>
        <v>18.769200930954227</v>
      </c>
      <c r="Q940" s="8">
        <f>IF($Q$1,tblSalaries[[#This Row],[PPP Factor]]*tblSalaries[[#This Row],[Salary in USD]],tblSalaries[[#This Row],[Salary in USD]])</f>
        <v>12326.656394453004</v>
      </c>
    </row>
    <row r="941" spans="2:17" ht="15" customHeight="1" x14ac:dyDescent="0.25">
      <c r="B941" t="s">
        <v>2944</v>
      </c>
      <c r="C941" s="1">
        <v>41057.170300925929</v>
      </c>
      <c r="D941" s="4">
        <v>8000</v>
      </c>
      <c r="E941">
        <v>8000</v>
      </c>
      <c r="F941" t="s">
        <v>6</v>
      </c>
      <c r="G941">
        <f>tblSalaries[[#This Row],[clean Salary (in local currency)]]*VLOOKUP(tblSalaries[[#This Row],[Currency]],tblXrate[],2,FALSE)</f>
        <v>8000</v>
      </c>
      <c r="H941" t="s">
        <v>167</v>
      </c>
      <c r="I941" t="s">
        <v>20</v>
      </c>
      <c r="J941" t="s">
        <v>8</v>
      </c>
      <c r="K941" t="str">
        <f>VLOOKUP(tblSalaries[[#This Row],[Where do you work]],tblCountries[[Actual]:[Mapping]],2,FALSE)</f>
        <v>India</v>
      </c>
      <c r="L941" t="s">
        <v>25</v>
      </c>
      <c r="M941">
        <v>5</v>
      </c>
      <c r="N941" s="8" t="str">
        <f>VLOOKUP(K941,tblCountries[],3,0)</f>
        <v>Asia</v>
      </c>
      <c r="O941" s="8">
        <f>VLOOKUP(tblSalaries[[#This Row],[How many hours of a day you work on Excel]],tblHours,2,0)</f>
        <v>2</v>
      </c>
      <c r="P941" s="8">
        <f>VLOOKUP(tblSalaries[[#This Row],[clean Country]],tblCountries[],5,0)</f>
        <v>13.098808879263672</v>
      </c>
      <c r="Q941" s="8">
        <f>IF($Q$1,tblSalaries[[#This Row],[PPP Factor]]*tblSalaries[[#This Row],[Salary in USD]],tblSalaries[[#This Row],[Salary in USD]])</f>
        <v>8000</v>
      </c>
    </row>
    <row r="942" spans="2:17" ht="15" customHeight="1" x14ac:dyDescent="0.25">
      <c r="B942" t="s">
        <v>2945</v>
      </c>
      <c r="C942" s="1">
        <v>41057.194918981484</v>
      </c>
      <c r="D942" s="4" t="s">
        <v>1095</v>
      </c>
      <c r="E942">
        <v>48000</v>
      </c>
      <c r="F942" t="s">
        <v>6</v>
      </c>
      <c r="G942">
        <f>tblSalaries[[#This Row],[clean Salary (in local currency)]]*VLOOKUP(tblSalaries[[#This Row],[Currency]],tblXrate[],2,FALSE)</f>
        <v>48000</v>
      </c>
      <c r="H942" t="s">
        <v>1096</v>
      </c>
      <c r="I942" t="s">
        <v>52</v>
      </c>
      <c r="J942" t="s">
        <v>106</v>
      </c>
      <c r="K942" t="str">
        <f>VLOOKUP(tblSalaries[[#This Row],[Where do you work]],tblCountries[[Actual]:[Mapping]],2,FALSE)</f>
        <v>France</v>
      </c>
      <c r="L942" t="s">
        <v>9</v>
      </c>
      <c r="M942">
        <v>5</v>
      </c>
      <c r="N942" s="8" t="str">
        <f>VLOOKUP(K942,tblCountries[],3,0)</f>
        <v>Europe</v>
      </c>
      <c r="O942" s="8">
        <f>VLOOKUP(tblSalaries[[#This Row],[How many hours of a day you work on Excel]],tblHours,2,0)</f>
        <v>4</v>
      </c>
      <c r="P942" s="8">
        <f>VLOOKUP(tblSalaries[[#This Row],[clean Country]],tblCountries[],5,0)</f>
        <v>1.3763511207190806</v>
      </c>
      <c r="Q942" s="8">
        <f>IF($Q$1,tblSalaries[[#This Row],[PPP Factor]]*tblSalaries[[#This Row],[Salary in USD]],tblSalaries[[#This Row],[Salary in USD]])</f>
        <v>48000</v>
      </c>
    </row>
    <row r="943" spans="2:17" ht="15" customHeight="1" x14ac:dyDescent="0.25">
      <c r="B943" t="s">
        <v>2946</v>
      </c>
      <c r="C943" s="1">
        <v>41057.213703703703</v>
      </c>
      <c r="D943" s="4">
        <v>40000</v>
      </c>
      <c r="E943">
        <v>40000</v>
      </c>
      <c r="F943" t="s">
        <v>6</v>
      </c>
      <c r="G943">
        <f>tblSalaries[[#This Row],[clean Salary (in local currency)]]*VLOOKUP(tblSalaries[[#This Row],[Currency]],tblXrate[],2,FALSE)</f>
        <v>40000</v>
      </c>
      <c r="H943" t="s">
        <v>256</v>
      </c>
      <c r="I943" t="s">
        <v>20</v>
      </c>
      <c r="J943" t="s">
        <v>1097</v>
      </c>
      <c r="K943" t="str">
        <f>VLOOKUP(tblSalaries[[#This Row],[Where do you work]],tblCountries[[Actual]:[Mapping]],2,FALSE)</f>
        <v>New Zealand</v>
      </c>
      <c r="L943" t="s">
        <v>9</v>
      </c>
      <c r="M943">
        <v>5</v>
      </c>
      <c r="N943" s="8" t="str">
        <f>VLOOKUP(K943,tblCountries[],3,0)</f>
        <v>Oceania</v>
      </c>
      <c r="O943" s="8">
        <f>VLOOKUP(tblSalaries[[#This Row],[How many hours of a day you work on Excel]],tblHours,2,0)</f>
        <v>4</v>
      </c>
      <c r="P943" s="8">
        <f>VLOOKUP(tblSalaries[[#This Row],[clean Country]],tblCountries[],5,0)</f>
        <v>1.7488434292323261</v>
      </c>
      <c r="Q943" s="8">
        <f>IF($Q$1,tblSalaries[[#This Row],[PPP Factor]]*tblSalaries[[#This Row],[Salary in USD]],tblSalaries[[#This Row],[Salary in USD]])</f>
        <v>40000</v>
      </c>
    </row>
    <row r="944" spans="2:17" ht="15" customHeight="1" x14ac:dyDescent="0.25">
      <c r="B944" t="s">
        <v>2947</v>
      </c>
      <c r="C944" s="1">
        <v>41057.214722222219</v>
      </c>
      <c r="D944" s="4" t="s">
        <v>1098</v>
      </c>
      <c r="E944">
        <v>75000</v>
      </c>
      <c r="F944" t="s">
        <v>670</v>
      </c>
      <c r="G944">
        <f>tblSalaries[[#This Row],[clean Salary (in local currency)]]*VLOOKUP(tblSalaries[[#This Row],[Currency]],tblXrate[],2,FALSE)</f>
        <v>59819.107020370408</v>
      </c>
      <c r="H944" t="s">
        <v>392</v>
      </c>
      <c r="I944" t="s">
        <v>20</v>
      </c>
      <c r="J944" t="s">
        <v>1099</v>
      </c>
      <c r="K944" t="str">
        <f>VLOOKUP(tblSalaries[[#This Row],[Where do you work]],tblCountries[[Actual]:[Mapping]],2,FALSE)</f>
        <v>New Zealand</v>
      </c>
      <c r="L944" t="s">
        <v>9</v>
      </c>
      <c r="M944">
        <v>10</v>
      </c>
      <c r="N944" s="8" t="str">
        <f>VLOOKUP(K944,tblCountries[],3,0)</f>
        <v>Oceania</v>
      </c>
      <c r="O944" s="8">
        <f>VLOOKUP(tblSalaries[[#This Row],[How many hours of a day you work on Excel]],tblHours,2,0)</f>
        <v>4</v>
      </c>
      <c r="P944" s="8">
        <f>VLOOKUP(tblSalaries[[#This Row],[clean Country]],tblCountries[],5,0)</f>
        <v>1.7488434292323261</v>
      </c>
      <c r="Q944" s="8">
        <f>IF($Q$1,tblSalaries[[#This Row],[PPP Factor]]*tblSalaries[[#This Row],[Salary in USD]],tblSalaries[[#This Row],[Salary in USD]])</f>
        <v>59819.107020370408</v>
      </c>
    </row>
    <row r="945" spans="2:17" ht="15" customHeight="1" x14ac:dyDescent="0.25">
      <c r="B945" t="s">
        <v>2948</v>
      </c>
      <c r="C945" s="1">
        <v>41057.217106481483</v>
      </c>
      <c r="D945" s="4">
        <v>150000</v>
      </c>
      <c r="E945">
        <v>150000</v>
      </c>
      <c r="F945" t="s">
        <v>6</v>
      </c>
      <c r="G945">
        <f>tblSalaries[[#This Row],[clean Salary (in local currency)]]*VLOOKUP(tblSalaries[[#This Row],[Currency]],tblXrate[],2,FALSE)</f>
        <v>150000</v>
      </c>
      <c r="H945" t="s">
        <v>1100</v>
      </c>
      <c r="I945" t="s">
        <v>20</v>
      </c>
      <c r="J945" t="s">
        <v>46</v>
      </c>
      <c r="K945" t="str">
        <f>VLOOKUP(tblSalaries[[#This Row],[Where do you work]],tblCountries[[Actual]:[Mapping]],2,FALSE)</f>
        <v>Switzerland</v>
      </c>
      <c r="L945" t="s">
        <v>25</v>
      </c>
      <c r="M945">
        <v>20</v>
      </c>
      <c r="N945" s="8" t="str">
        <f>VLOOKUP(K945,tblCountries[],3,0)</f>
        <v>Europe</v>
      </c>
      <c r="O945" s="8">
        <f>VLOOKUP(tblSalaries[[#This Row],[How many hours of a day you work on Excel]],tblHours,2,0)</f>
        <v>2</v>
      </c>
      <c r="P945" s="8">
        <f>VLOOKUP(tblSalaries[[#This Row],[clean Country]],tblCountries[],5,0)</f>
        <v>1.1156790408116208</v>
      </c>
      <c r="Q945" s="8">
        <f>IF($Q$1,tblSalaries[[#This Row],[PPP Factor]]*tblSalaries[[#This Row],[Salary in USD]],tblSalaries[[#This Row],[Salary in USD]])</f>
        <v>150000</v>
      </c>
    </row>
    <row r="946" spans="2:17" ht="15" customHeight="1" x14ac:dyDescent="0.25">
      <c r="B946" t="s">
        <v>2949</v>
      </c>
      <c r="C946" s="1">
        <v>41057.222696759258</v>
      </c>
      <c r="D946" s="4">
        <v>80000</v>
      </c>
      <c r="E946">
        <v>80000</v>
      </c>
      <c r="F946" t="s">
        <v>82</v>
      </c>
      <c r="G946">
        <f>tblSalaries[[#This Row],[clean Salary (in local currency)]]*VLOOKUP(tblSalaries[[#This Row],[Currency]],tblXrate[],2,FALSE)</f>
        <v>81592.772512210868</v>
      </c>
      <c r="H946" t="s">
        <v>1101</v>
      </c>
      <c r="I946" t="s">
        <v>52</v>
      </c>
      <c r="J946" t="s">
        <v>84</v>
      </c>
      <c r="K946" t="str">
        <f>VLOOKUP(tblSalaries[[#This Row],[Where do you work]],tblCountries[[Actual]:[Mapping]],2,FALSE)</f>
        <v>Australia</v>
      </c>
      <c r="L946" t="s">
        <v>9</v>
      </c>
      <c r="M946">
        <v>25</v>
      </c>
      <c r="N946" s="8" t="str">
        <f>VLOOKUP(K946,tblCountries[],3,0)</f>
        <v>Oceania</v>
      </c>
      <c r="O946" s="8">
        <f>VLOOKUP(tblSalaries[[#This Row],[How many hours of a day you work on Excel]],tblHours,2,0)</f>
        <v>4</v>
      </c>
      <c r="P946" s="8">
        <f>VLOOKUP(tblSalaries[[#This Row],[clean Country]],tblCountries[],5,0)</f>
        <v>1.2026395585822935</v>
      </c>
      <c r="Q946" s="8">
        <f>IF($Q$1,tblSalaries[[#This Row],[PPP Factor]]*tblSalaries[[#This Row],[Salary in USD]],tblSalaries[[#This Row],[Salary in USD]])</f>
        <v>81592.772512210868</v>
      </c>
    </row>
    <row r="947" spans="2:17" ht="15" customHeight="1" x14ac:dyDescent="0.25">
      <c r="B947" t="s">
        <v>2950</v>
      </c>
      <c r="C947" s="1">
        <v>41057.242314814815</v>
      </c>
      <c r="D947" s="4">
        <v>95000</v>
      </c>
      <c r="E947">
        <v>95000</v>
      </c>
      <c r="F947" t="s">
        <v>82</v>
      </c>
      <c r="G947">
        <f>tblSalaries[[#This Row],[clean Salary (in local currency)]]*VLOOKUP(tblSalaries[[#This Row],[Currency]],tblXrate[],2,FALSE)</f>
        <v>96891.417358250401</v>
      </c>
      <c r="H947" t="s">
        <v>160</v>
      </c>
      <c r="I947" t="s">
        <v>20</v>
      </c>
      <c r="J947" t="s">
        <v>84</v>
      </c>
      <c r="K947" t="str">
        <f>VLOOKUP(tblSalaries[[#This Row],[Where do you work]],tblCountries[[Actual]:[Mapping]],2,FALSE)</f>
        <v>Australia</v>
      </c>
      <c r="L947" t="s">
        <v>18</v>
      </c>
      <c r="M947">
        <v>20</v>
      </c>
      <c r="N947" s="8" t="str">
        <f>VLOOKUP(K947,tblCountries[],3,0)</f>
        <v>Oceania</v>
      </c>
      <c r="O947" s="8">
        <f>VLOOKUP(tblSalaries[[#This Row],[How many hours of a day you work on Excel]],tblHours,2,0)</f>
        <v>3</v>
      </c>
      <c r="P947" s="8">
        <f>VLOOKUP(tblSalaries[[#This Row],[clean Country]],tblCountries[],5,0)</f>
        <v>1.2026395585822935</v>
      </c>
      <c r="Q947" s="8">
        <f>IF($Q$1,tblSalaries[[#This Row],[PPP Factor]]*tblSalaries[[#This Row],[Salary in USD]],tblSalaries[[#This Row],[Salary in USD]])</f>
        <v>96891.417358250401</v>
      </c>
    </row>
    <row r="948" spans="2:17" ht="15" customHeight="1" x14ac:dyDescent="0.25">
      <c r="B948" t="s">
        <v>2951</v>
      </c>
      <c r="C948" s="1">
        <v>41057.24386574074</v>
      </c>
      <c r="D948" s="4" t="s">
        <v>1102</v>
      </c>
      <c r="E948">
        <v>90000</v>
      </c>
      <c r="F948" t="s">
        <v>82</v>
      </c>
      <c r="G948">
        <f>tblSalaries[[#This Row],[clean Salary (in local currency)]]*VLOOKUP(tblSalaries[[#This Row],[Currency]],tblXrate[],2,FALSE)</f>
        <v>91791.869076237213</v>
      </c>
      <c r="H948" t="s">
        <v>926</v>
      </c>
      <c r="I948" t="s">
        <v>20</v>
      </c>
      <c r="J948" t="s">
        <v>84</v>
      </c>
      <c r="K948" t="str">
        <f>VLOOKUP(tblSalaries[[#This Row],[Where do you work]],tblCountries[[Actual]:[Mapping]],2,FALSE)</f>
        <v>Australia</v>
      </c>
      <c r="L948" t="s">
        <v>9</v>
      </c>
      <c r="M948">
        <v>13</v>
      </c>
      <c r="N948" s="8" t="str">
        <f>VLOOKUP(K948,tblCountries[],3,0)</f>
        <v>Oceania</v>
      </c>
      <c r="O948" s="8">
        <f>VLOOKUP(tblSalaries[[#This Row],[How many hours of a day you work on Excel]],tblHours,2,0)</f>
        <v>4</v>
      </c>
      <c r="P948" s="8">
        <f>VLOOKUP(tblSalaries[[#This Row],[clean Country]],tblCountries[],5,0)</f>
        <v>1.2026395585822935</v>
      </c>
      <c r="Q948" s="8">
        <f>IF($Q$1,tblSalaries[[#This Row],[PPP Factor]]*tblSalaries[[#This Row],[Salary in USD]],tblSalaries[[#This Row],[Salary in USD]])</f>
        <v>91791.869076237213</v>
      </c>
    </row>
    <row r="949" spans="2:17" ht="15" customHeight="1" x14ac:dyDescent="0.25">
      <c r="B949" t="s">
        <v>2952</v>
      </c>
      <c r="C949" s="1">
        <v>41057.243981481479</v>
      </c>
      <c r="D949" s="4">
        <v>15000</v>
      </c>
      <c r="E949">
        <v>15000</v>
      </c>
      <c r="F949" t="s">
        <v>6</v>
      </c>
      <c r="G949">
        <f>tblSalaries[[#This Row],[clean Salary (in local currency)]]*VLOOKUP(tblSalaries[[#This Row],[Currency]],tblXrate[],2,FALSE)</f>
        <v>15000</v>
      </c>
      <c r="H949" t="s">
        <v>1103</v>
      </c>
      <c r="I949" t="s">
        <v>20</v>
      </c>
      <c r="J949" t="s">
        <v>8</v>
      </c>
      <c r="K949" t="str">
        <f>VLOOKUP(tblSalaries[[#This Row],[Where do you work]],tblCountries[[Actual]:[Mapping]],2,FALSE)</f>
        <v>India</v>
      </c>
      <c r="L949" t="s">
        <v>18</v>
      </c>
      <c r="M949">
        <v>2</v>
      </c>
      <c r="N949" s="8" t="str">
        <f>VLOOKUP(K949,tblCountries[],3,0)</f>
        <v>Asia</v>
      </c>
      <c r="O949" s="8">
        <f>VLOOKUP(tblSalaries[[#This Row],[How many hours of a day you work on Excel]],tblHours,2,0)</f>
        <v>3</v>
      </c>
      <c r="P949" s="8">
        <f>VLOOKUP(tblSalaries[[#This Row],[clean Country]],tblCountries[],5,0)</f>
        <v>13.098808879263672</v>
      </c>
      <c r="Q949" s="8">
        <f>IF($Q$1,tblSalaries[[#This Row],[PPP Factor]]*tblSalaries[[#This Row],[Salary in USD]],tblSalaries[[#This Row],[Salary in USD]])</f>
        <v>15000</v>
      </c>
    </row>
    <row r="950" spans="2:17" ht="15" customHeight="1" x14ac:dyDescent="0.25">
      <c r="B950" t="s">
        <v>2953</v>
      </c>
      <c r="C950" s="1">
        <v>41057.267777777779</v>
      </c>
      <c r="D950" s="4" t="s">
        <v>1104</v>
      </c>
      <c r="E950">
        <v>65000</v>
      </c>
      <c r="F950" t="s">
        <v>82</v>
      </c>
      <c r="G950">
        <f>tblSalaries[[#This Row],[clean Salary (in local currency)]]*VLOOKUP(tblSalaries[[#This Row],[Currency]],tblXrate[],2,FALSE)</f>
        <v>66294.12766617132</v>
      </c>
      <c r="H950" t="s">
        <v>1105</v>
      </c>
      <c r="I950" t="s">
        <v>52</v>
      </c>
      <c r="J950" t="s">
        <v>84</v>
      </c>
      <c r="K950" t="str">
        <f>VLOOKUP(tblSalaries[[#This Row],[Where do you work]],tblCountries[[Actual]:[Mapping]],2,FALSE)</f>
        <v>Australia</v>
      </c>
      <c r="L950" t="s">
        <v>18</v>
      </c>
      <c r="M950">
        <v>5</v>
      </c>
      <c r="N950" s="8" t="str">
        <f>VLOOKUP(K950,tblCountries[],3,0)</f>
        <v>Oceania</v>
      </c>
      <c r="O950" s="8">
        <f>VLOOKUP(tblSalaries[[#This Row],[How many hours of a day you work on Excel]],tblHours,2,0)</f>
        <v>3</v>
      </c>
      <c r="P950" s="8">
        <f>VLOOKUP(tblSalaries[[#This Row],[clean Country]],tblCountries[],5,0)</f>
        <v>1.2026395585822935</v>
      </c>
      <c r="Q950" s="8">
        <f>IF($Q$1,tblSalaries[[#This Row],[PPP Factor]]*tblSalaries[[#This Row],[Salary in USD]],tblSalaries[[#This Row],[Salary in USD]])</f>
        <v>66294.12766617132</v>
      </c>
    </row>
    <row r="951" spans="2:17" ht="15" customHeight="1" x14ac:dyDescent="0.25">
      <c r="B951" t="s">
        <v>2954</v>
      </c>
      <c r="C951" s="1">
        <v>41057.274884259263</v>
      </c>
      <c r="D951" s="4">
        <v>100000</v>
      </c>
      <c r="E951">
        <v>100000</v>
      </c>
      <c r="F951" t="s">
        <v>82</v>
      </c>
      <c r="G951">
        <f>tblSalaries[[#This Row],[clean Salary (in local currency)]]*VLOOKUP(tblSalaries[[#This Row],[Currency]],tblXrate[],2,FALSE)</f>
        <v>101990.96564026357</v>
      </c>
      <c r="H951" t="s">
        <v>76</v>
      </c>
      <c r="I951" t="s">
        <v>356</v>
      </c>
      <c r="J951" t="s">
        <v>84</v>
      </c>
      <c r="K951" t="str">
        <f>VLOOKUP(tblSalaries[[#This Row],[Where do you work]],tblCountries[[Actual]:[Mapping]],2,FALSE)</f>
        <v>Australia</v>
      </c>
      <c r="L951" t="s">
        <v>13</v>
      </c>
      <c r="M951">
        <v>6</v>
      </c>
      <c r="N951" s="8" t="str">
        <f>VLOOKUP(K951,tblCountries[],3,0)</f>
        <v>Oceania</v>
      </c>
      <c r="O951" s="8">
        <f>VLOOKUP(tblSalaries[[#This Row],[How many hours of a day you work on Excel]],tblHours,2,0)</f>
        <v>5</v>
      </c>
      <c r="P951" s="8">
        <f>VLOOKUP(tblSalaries[[#This Row],[clean Country]],tblCountries[],5,0)</f>
        <v>1.2026395585822935</v>
      </c>
      <c r="Q951" s="8">
        <f>IF($Q$1,tblSalaries[[#This Row],[PPP Factor]]*tblSalaries[[#This Row],[Salary in USD]],tblSalaries[[#This Row],[Salary in USD]])</f>
        <v>101990.96564026357</v>
      </c>
    </row>
    <row r="952" spans="2:17" ht="15" customHeight="1" x14ac:dyDescent="0.25">
      <c r="B952" t="s">
        <v>2955</v>
      </c>
      <c r="C952" s="1">
        <v>41057.286041666666</v>
      </c>
      <c r="D952" s="4">
        <v>60000</v>
      </c>
      <c r="E952">
        <v>60000</v>
      </c>
      <c r="F952" t="s">
        <v>6</v>
      </c>
      <c r="G952">
        <f>tblSalaries[[#This Row],[clean Salary (in local currency)]]*VLOOKUP(tblSalaries[[#This Row],[Currency]],tblXrate[],2,FALSE)</f>
        <v>60000</v>
      </c>
      <c r="H952" t="s">
        <v>1106</v>
      </c>
      <c r="I952" t="s">
        <v>52</v>
      </c>
      <c r="J952" t="s">
        <v>15</v>
      </c>
      <c r="K952" t="str">
        <f>VLOOKUP(tblSalaries[[#This Row],[Where do you work]],tblCountries[[Actual]:[Mapping]],2,FALSE)</f>
        <v>USA</v>
      </c>
      <c r="L952" t="s">
        <v>18</v>
      </c>
      <c r="M952">
        <v>3</v>
      </c>
      <c r="N952" s="8" t="str">
        <f>VLOOKUP(K952,tblCountries[],3,0)</f>
        <v>North Amer.</v>
      </c>
      <c r="O952" s="8">
        <f>VLOOKUP(tblSalaries[[#This Row],[How many hours of a day you work on Excel]],tblHours,2,0)</f>
        <v>3</v>
      </c>
      <c r="P952" s="8">
        <f>VLOOKUP(tblSalaries[[#This Row],[clean Country]],tblCountries[],5,0)</f>
        <v>1</v>
      </c>
      <c r="Q952" s="8">
        <f>IF($Q$1,tblSalaries[[#This Row],[PPP Factor]]*tblSalaries[[#This Row],[Salary in USD]],tblSalaries[[#This Row],[Salary in USD]])</f>
        <v>60000</v>
      </c>
    </row>
    <row r="953" spans="2:17" ht="15" customHeight="1" x14ac:dyDescent="0.25">
      <c r="B953" t="s">
        <v>2956</v>
      </c>
      <c r="C953" s="1">
        <v>41057.286168981482</v>
      </c>
      <c r="D953" s="4">
        <v>43000</v>
      </c>
      <c r="E953">
        <v>43000</v>
      </c>
      <c r="F953" t="s">
        <v>82</v>
      </c>
      <c r="G953">
        <f>tblSalaries[[#This Row],[clean Salary (in local currency)]]*VLOOKUP(tblSalaries[[#This Row],[Currency]],tblXrate[],2,FALSE)</f>
        <v>43856.11522531334</v>
      </c>
      <c r="H953" t="s">
        <v>1107</v>
      </c>
      <c r="I953" t="s">
        <v>52</v>
      </c>
      <c r="J953" t="s">
        <v>84</v>
      </c>
      <c r="K953" t="str">
        <f>VLOOKUP(tblSalaries[[#This Row],[Where do you work]],tblCountries[[Actual]:[Mapping]],2,FALSE)</f>
        <v>Australia</v>
      </c>
      <c r="L953" t="s">
        <v>13</v>
      </c>
      <c r="M953">
        <v>1</v>
      </c>
      <c r="N953" s="8" t="str">
        <f>VLOOKUP(K953,tblCountries[],3,0)</f>
        <v>Oceania</v>
      </c>
      <c r="O953" s="8">
        <f>VLOOKUP(tblSalaries[[#This Row],[How many hours of a day you work on Excel]],tblHours,2,0)</f>
        <v>5</v>
      </c>
      <c r="P953" s="8">
        <f>VLOOKUP(tblSalaries[[#This Row],[clean Country]],tblCountries[],5,0)</f>
        <v>1.2026395585822935</v>
      </c>
      <c r="Q953" s="8">
        <f>IF($Q$1,tblSalaries[[#This Row],[PPP Factor]]*tblSalaries[[#This Row],[Salary in USD]],tblSalaries[[#This Row],[Salary in USD]])</f>
        <v>43856.11522531334</v>
      </c>
    </row>
    <row r="954" spans="2:17" ht="15" customHeight="1" x14ac:dyDescent="0.25">
      <c r="B954" t="s">
        <v>2957</v>
      </c>
      <c r="C954" s="1">
        <v>41057.286168981482</v>
      </c>
      <c r="D954" s="4">
        <v>45616</v>
      </c>
      <c r="E954">
        <v>45616</v>
      </c>
      <c r="F954" t="s">
        <v>6</v>
      </c>
      <c r="G954">
        <f>tblSalaries[[#This Row],[clean Salary (in local currency)]]*VLOOKUP(tblSalaries[[#This Row],[Currency]],tblXrate[],2,FALSE)</f>
        <v>45616</v>
      </c>
      <c r="H954" t="s">
        <v>1108</v>
      </c>
      <c r="I954" t="s">
        <v>20</v>
      </c>
      <c r="J954" t="s">
        <v>84</v>
      </c>
      <c r="K954" t="str">
        <f>VLOOKUP(tblSalaries[[#This Row],[Where do you work]],tblCountries[[Actual]:[Mapping]],2,FALSE)</f>
        <v>Australia</v>
      </c>
      <c r="L954" t="s">
        <v>9</v>
      </c>
      <c r="M954">
        <v>1.5</v>
      </c>
      <c r="N954" s="8" t="str">
        <f>VLOOKUP(K954,tblCountries[],3,0)</f>
        <v>Oceania</v>
      </c>
      <c r="O954" s="8">
        <f>VLOOKUP(tblSalaries[[#This Row],[How many hours of a day you work on Excel]],tblHours,2,0)</f>
        <v>4</v>
      </c>
      <c r="P954" s="8">
        <f>VLOOKUP(tblSalaries[[#This Row],[clean Country]],tblCountries[],5,0)</f>
        <v>1.2026395585822935</v>
      </c>
      <c r="Q954" s="8">
        <f>IF($Q$1,tblSalaries[[#This Row],[PPP Factor]]*tblSalaries[[#This Row],[Salary in USD]],tblSalaries[[#This Row],[Salary in USD]])</f>
        <v>45616</v>
      </c>
    </row>
    <row r="955" spans="2:17" ht="15" customHeight="1" x14ac:dyDescent="0.25">
      <c r="B955" t="s">
        <v>2958</v>
      </c>
      <c r="C955" s="1">
        <v>41057.291956018518</v>
      </c>
      <c r="D955" s="4">
        <v>95000</v>
      </c>
      <c r="E955">
        <v>95000</v>
      </c>
      <c r="F955" t="s">
        <v>670</v>
      </c>
      <c r="G955">
        <f>tblSalaries[[#This Row],[clean Salary (in local currency)]]*VLOOKUP(tblSalaries[[#This Row],[Currency]],tblXrate[],2,FALSE)</f>
        <v>75770.868892469181</v>
      </c>
      <c r="H955" t="s">
        <v>808</v>
      </c>
      <c r="I955" t="s">
        <v>310</v>
      </c>
      <c r="J955" t="s">
        <v>672</v>
      </c>
      <c r="K955" t="str">
        <f>VLOOKUP(tblSalaries[[#This Row],[Where do you work]],tblCountries[[Actual]:[Mapping]],2,FALSE)</f>
        <v>New Zealand</v>
      </c>
      <c r="L955" t="s">
        <v>9</v>
      </c>
      <c r="M955">
        <v>20</v>
      </c>
      <c r="N955" s="8" t="str">
        <f>VLOOKUP(K955,tblCountries[],3,0)</f>
        <v>Oceania</v>
      </c>
      <c r="O955" s="8">
        <f>VLOOKUP(tblSalaries[[#This Row],[How many hours of a day you work on Excel]],tblHours,2,0)</f>
        <v>4</v>
      </c>
      <c r="P955" s="8">
        <f>VLOOKUP(tblSalaries[[#This Row],[clean Country]],tblCountries[],5,0)</f>
        <v>1.7488434292323261</v>
      </c>
      <c r="Q955" s="8">
        <f>IF($Q$1,tblSalaries[[#This Row],[PPP Factor]]*tblSalaries[[#This Row],[Salary in USD]],tblSalaries[[#This Row],[Salary in USD]])</f>
        <v>75770.868892469181</v>
      </c>
    </row>
    <row r="956" spans="2:17" ht="15" customHeight="1" x14ac:dyDescent="0.25">
      <c r="B956" t="s">
        <v>2959</v>
      </c>
      <c r="C956" s="1">
        <v>41057.306388888886</v>
      </c>
      <c r="D956" s="4">
        <v>56600</v>
      </c>
      <c r="E956">
        <v>56600</v>
      </c>
      <c r="F956" t="s">
        <v>82</v>
      </c>
      <c r="G956">
        <f>tblSalaries[[#This Row],[clean Salary (in local currency)]]*VLOOKUP(tblSalaries[[#This Row],[Currency]],tblXrate[],2,FALSE)</f>
        <v>57726.886552389187</v>
      </c>
      <c r="H956" t="s">
        <v>1109</v>
      </c>
      <c r="I956" t="s">
        <v>52</v>
      </c>
      <c r="J956" t="s">
        <v>84</v>
      </c>
      <c r="K956" t="str">
        <f>VLOOKUP(tblSalaries[[#This Row],[Where do you work]],tblCountries[[Actual]:[Mapping]],2,FALSE)</f>
        <v>Australia</v>
      </c>
      <c r="L956" t="s">
        <v>18</v>
      </c>
      <c r="M956">
        <v>2</v>
      </c>
      <c r="N956" s="8" t="str">
        <f>VLOOKUP(K956,tblCountries[],3,0)</f>
        <v>Oceania</v>
      </c>
      <c r="O956" s="8">
        <f>VLOOKUP(tblSalaries[[#This Row],[How many hours of a day you work on Excel]],tblHours,2,0)</f>
        <v>3</v>
      </c>
      <c r="P956" s="8">
        <f>VLOOKUP(tblSalaries[[#This Row],[clean Country]],tblCountries[],5,0)</f>
        <v>1.2026395585822935</v>
      </c>
      <c r="Q956" s="8">
        <f>IF($Q$1,tblSalaries[[#This Row],[PPP Factor]]*tblSalaries[[#This Row],[Salary in USD]],tblSalaries[[#This Row],[Salary in USD]])</f>
        <v>57726.886552389187</v>
      </c>
    </row>
    <row r="957" spans="2:17" ht="15" customHeight="1" x14ac:dyDescent="0.25">
      <c r="B957" t="s">
        <v>2960</v>
      </c>
      <c r="C957" s="1">
        <v>41057.307719907411</v>
      </c>
      <c r="D957" s="4">
        <v>20000</v>
      </c>
      <c r="E957">
        <v>20000</v>
      </c>
      <c r="F957" t="s">
        <v>6</v>
      </c>
      <c r="G957">
        <f>tblSalaries[[#This Row],[clean Salary (in local currency)]]*VLOOKUP(tblSalaries[[#This Row],[Currency]],tblXrate[],2,FALSE)</f>
        <v>20000</v>
      </c>
      <c r="H957" t="s">
        <v>214</v>
      </c>
      <c r="I957" t="s">
        <v>20</v>
      </c>
      <c r="J957" t="s">
        <v>84</v>
      </c>
      <c r="K957" t="str">
        <f>VLOOKUP(tblSalaries[[#This Row],[Where do you work]],tblCountries[[Actual]:[Mapping]],2,FALSE)</f>
        <v>Australia</v>
      </c>
      <c r="L957" t="s">
        <v>18</v>
      </c>
      <c r="M957">
        <v>2</v>
      </c>
      <c r="N957" s="8" t="str">
        <f>VLOOKUP(K957,tblCountries[],3,0)</f>
        <v>Oceania</v>
      </c>
      <c r="O957" s="8">
        <f>VLOOKUP(tblSalaries[[#This Row],[How many hours of a day you work on Excel]],tblHours,2,0)</f>
        <v>3</v>
      </c>
      <c r="P957" s="8">
        <f>VLOOKUP(tblSalaries[[#This Row],[clean Country]],tblCountries[],5,0)</f>
        <v>1.2026395585822935</v>
      </c>
      <c r="Q957" s="8">
        <f>IF($Q$1,tblSalaries[[#This Row],[PPP Factor]]*tblSalaries[[#This Row],[Salary in USD]],tblSalaries[[#This Row],[Salary in USD]])</f>
        <v>20000</v>
      </c>
    </row>
    <row r="958" spans="2:17" ht="15" customHeight="1" x14ac:dyDescent="0.25">
      <c r="B958" t="s">
        <v>2961</v>
      </c>
      <c r="C958" s="1">
        <v>41057.311192129629</v>
      </c>
      <c r="D958" s="4" t="s">
        <v>1110</v>
      </c>
      <c r="E958">
        <v>200000</v>
      </c>
      <c r="F958" t="s">
        <v>82</v>
      </c>
      <c r="G958">
        <f>tblSalaries[[#This Row],[clean Salary (in local currency)]]*VLOOKUP(tblSalaries[[#This Row],[Currency]],tblXrate[],2,FALSE)</f>
        <v>203981.93128052715</v>
      </c>
      <c r="H958" t="s">
        <v>856</v>
      </c>
      <c r="I958" t="s">
        <v>52</v>
      </c>
      <c r="J958" t="s">
        <v>84</v>
      </c>
      <c r="K958" t="str">
        <f>VLOOKUP(tblSalaries[[#This Row],[Where do you work]],tblCountries[[Actual]:[Mapping]],2,FALSE)</f>
        <v>Australia</v>
      </c>
      <c r="L958" t="s">
        <v>9</v>
      </c>
      <c r="M958">
        <v>15</v>
      </c>
      <c r="N958" s="8" t="str">
        <f>VLOOKUP(K958,tblCountries[],3,0)</f>
        <v>Oceania</v>
      </c>
      <c r="O958" s="8">
        <f>VLOOKUP(tblSalaries[[#This Row],[How many hours of a day you work on Excel]],tblHours,2,0)</f>
        <v>4</v>
      </c>
      <c r="P958" s="8">
        <f>VLOOKUP(tblSalaries[[#This Row],[clean Country]],tblCountries[],5,0)</f>
        <v>1.2026395585822935</v>
      </c>
      <c r="Q958" s="8">
        <f>IF($Q$1,tblSalaries[[#This Row],[PPP Factor]]*tblSalaries[[#This Row],[Salary in USD]],tblSalaries[[#This Row],[Salary in USD]])</f>
        <v>203981.93128052715</v>
      </c>
    </row>
    <row r="959" spans="2:17" ht="15" customHeight="1" x14ac:dyDescent="0.25">
      <c r="B959" t="s">
        <v>2962</v>
      </c>
      <c r="C959" s="1">
        <v>41057.31150462963</v>
      </c>
      <c r="D959" s="4">
        <v>50000</v>
      </c>
      <c r="E959">
        <v>50000</v>
      </c>
      <c r="F959" t="s">
        <v>82</v>
      </c>
      <c r="G959">
        <f>tblSalaries[[#This Row],[clean Salary (in local currency)]]*VLOOKUP(tblSalaries[[#This Row],[Currency]],tblXrate[],2,FALSE)</f>
        <v>50995.482820131787</v>
      </c>
      <c r="H959" t="s">
        <v>700</v>
      </c>
      <c r="I959" t="s">
        <v>488</v>
      </c>
      <c r="J959" t="s">
        <v>84</v>
      </c>
      <c r="K959" t="str">
        <f>VLOOKUP(tblSalaries[[#This Row],[Where do you work]],tblCountries[[Actual]:[Mapping]],2,FALSE)</f>
        <v>Australia</v>
      </c>
      <c r="L959" t="s">
        <v>25</v>
      </c>
      <c r="M959">
        <v>5</v>
      </c>
      <c r="N959" s="8" t="str">
        <f>VLOOKUP(K959,tblCountries[],3,0)</f>
        <v>Oceania</v>
      </c>
      <c r="O959" s="8">
        <f>VLOOKUP(tblSalaries[[#This Row],[How many hours of a day you work on Excel]],tblHours,2,0)</f>
        <v>2</v>
      </c>
      <c r="P959" s="8">
        <f>VLOOKUP(tblSalaries[[#This Row],[clean Country]],tblCountries[],5,0)</f>
        <v>1.2026395585822935</v>
      </c>
      <c r="Q959" s="8">
        <f>IF($Q$1,tblSalaries[[#This Row],[PPP Factor]]*tblSalaries[[#This Row],[Salary in USD]],tblSalaries[[#This Row],[Salary in USD]])</f>
        <v>50995.482820131787</v>
      </c>
    </row>
    <row r="960" spans="2:17" ht="15" customHeight="1" x14ac:dyDescent="0.25">
      <c r="B960" t="s">
        <v>2963</v>
      </c>
      <c r="C960" s="1">
        <v>41057.312303240738</v>
      </c>
      <c r="D960" s="4">
        <v>125000</v>
      </c>
      <c r="E960">
        <v>125000</v>
      </c>
      <c r="F960" t="s">
        <v>82</v>
      </c>
      <c r="G960">
        <f>tblSalaries[[#This Row],[clean Salary (in local currency)]]*VLOOKUP(tblSalaries[[#This Row],[Currency]],tblXrate[],2,FALSE)</f>
        <v>127488.70705032947</v>
      </c>
      <c r="H960" t="s">
        <v>1111</v>
      </c>
      <c r="I960" t="s">
        <v>4001</v>
      </c>
      <c r="J960" t="s">
        <v>84</v>
      </c>
      <c r="K960" t="str">
        <f>VLOOKUP(tblSalaries[[#This Row],[Where do you work]],tblCountries[[Actual]:[Mapping]],2,FALSE)</f>
        <v>Australia</v>
      </c>
      <c r="L960" t="s">
        <v>9</v>
      </c>
      <c r="M960">
        <v>15</v>
      </c>
      <c r="N960" s="8" t="str">
        <f>VLOOKUP(K960,tblCountries[],3,0)</f>
        <v>Oceania</v>
      </c>
      <c r="O960" s="8">
        <f>VLOOKUP(tblSalaries[[#This Row],[How many hours of a day you work on Excel]],tblHours,2,0)</f>
        <v>4</v>
      </c>
      <c r="P960" s="8">
        <f>VLOOKUP(tblSalaries[[#This Row],[clean Country]],tblCountries[],5,0)</f>
        <v>1.2026395585822935</v>
      </c>
      <c r="Q960" s="8">
        <f>IF($Q$1,tblSalaries[[#This Row],[PPP Factor]]*tblSalaries[[#This Row],[Salary in USD]],tblSalaries[[#This Row],[Salary in USD]])</f>
        <v>127488.70705032947</v>
      </c>
    </row>
    <row r="961" spans="2:17" ht="15" customHeight="1" x14ac:dyDescent="0.25">
      <c r="B961" t="s">
        <v>2964</v>
      </c>
      <c r="C961" s="1">
        <v>41057.314918981479</v>
      </c>
      <c r="D961" s="4">
        <v>65000</v>
      </c>
      <c r="E961">
        <v>65000</v>
      </c>
      <c r="F961" t="s">
        <v>82</v>
      </c>
      <c r="G961">
        <f>tblSalaries[[#This Row],[clean Salary (in local currency)]]*VLOOKUP(tblSalaries[[#This Row],[Currency]],tblXrate[],2,FALSE)</f>
        <v>66294.12766617132</v>
      </c>
      <c r="H961" t="s">
        <v>153</v>
      </c>
      <c r="I961" t="s">
        <v>20</v>
      </c>
      <c r="J961" t="s">
        <v>84</v>
      </c>
      <c r="K961" t="str">
        <f>VLOOKUP(tblSalaries[[#This Row],[Where do you work]],tblCountries[[Actual]:[Mapping]],2,FALSE)</f>
        <v>Australia</v>
      </c>
      <c r="L961" t="s">
        <v>9</v>
      </c>
      <c r="M961">
        <v>4</v>
      </c>
      <c r="N961" s="8" t="str">
        <f>VLOOKUP(K961,tblCountries[],3,0)</f>
        <v>Oceania</v>
      </c>
      <c r="O961" s="8">
        <f>VLOOKUP(tblSalaries[[#This Row],[How many hours of a day you work on Excel]],tblHours,2,0)</f>
        <v>4</v>
      </c>
      <c r="P961" s="8">
        <f>VLOOKUP(tblSalaries[[#This Row],[clean Country]],tblCountries[],5,0)</f>
        <v>1.2026395585822935</v>
      </c>
      <c r="Q961" s="8">
        <f>IF($Q$1,tblSalaries[[#This Row],[PPP Factor]]*tblSalaries[[#This Row],[Salary in USD]],tblSalaries[[#This Row],[Salary in USD]])</f>
        <v>66294.12766617132</v>
      </c>
    </row>
    <row r="962" spans="2:17" ht="15" customHeight="1" x14ac:dyDescent="0.25">
      <c r="B962" t="s">
        <v>2965</v>
      </c>
      <c r="C962" s="1">
        <v>41057.319004629629</v>
      </c>
      <c r="D962" s="4">
        <v>62000</v>
      </c>
      <c r="E962">
        <v>62000</v>
      </c>
      <c r="F962" t="s">
        <v>82</v>
      </c>
      <c r="G962">
        <f>tblSalaries[[#This Row],[clean Salary (in local currency)]]*VLOOKUP(tblSalaries[[#This Row],[Currency]],tblXrate[],2,FALSE)</f>
        <v>63234.398696963413</v>
      </c>
      <c r="H962" t="s">
        <v>207</v>
      </c>
      <c r="I962" t="s">
        <v>20</v>
      </c>
      <c r="J962" t="s">
        <v>84</v>
      </c>
      <c r="K962" t="str">
        <f>VLOOKUP(tblSalaries[[#This Row],[Where do you work]],tblCountries[[Actual]:[Mapping]],2,FALSE)</f>
        <v>Australia</v>
      </c>
      <c r="L962" t="s">
        <v>9</v>
      </c>
      <c r="M962">
        <v>3</v>
      </c>
      <c r="N962" s="8" t="str">
        <f>VLOOKUP(K962,tblCountries[],3,0)</f>
        <v>Oceania</v>
      </c>
      <c r="O962" s="8">
        <f>VLOOKUP(tblSalaries[[#This Row],[How many hours of a day you work on Excel]],tblHours,2,0)</f>
        <v>4</v>
      </c>
      <c r="P962" s="8">
        <f>VLOOKUP(tblSalaries[[#This Row],[clean Country]],tblCountries[],5,0)</f>
        <v>1.2026395585822935</v>
      </c>
      <c r="Q962" s="8">
        <f>IF($Q$1,tblSalaries[[#This Row],[PPP Factor]]*tblSalaries[[#This Row],[Salary in USD]],tblSalaries[[#This Row],[Salary in USD]])</f>
        <v>63234.398696963413</v>
      </c>
    </row>
    <row r="963" spans="2:17" ht="15" customHeight="1" x14ac:dyDescent="0.25">
      <c r="B963" t="s">
        <v>2966</v>
      </c>
      <c r="C963" s="1">
        <v>41057.323935185188</v>
      </c>
      <c r="D963" s="4">
        <v>260000</v>
      </c>
      <c r="E963">
        <v>260000</v>
      </c>
      <c r="F963" t="s">
        <v>6</v>
      </c>
      <c r="G963">
        <f>tblSalaries[[#This Row],[clean Salary (in local currency)]]*VLOOKUP(tblSalaries[[#This Row],[Currency]],tblXrate[],2,FALSE)</f>
        <v>260000</v>
      </c>
      <c r="H963" t="s">
        <v>29</v>
      </c>
      <c r="I963" t="s">
        <v>4001</v>
      </c>
      <c r="J963" t="s">
        <v>15</v>
      </c>
      <c r="K963" t="str">
        <f>VLOOKUP(tblSalaries[[#This Row],[Where do you work]],tblCountries[[Actual]:[Mapping]],2,FALSE)</f>
        <v>USA</v>
      </c>
      <c r="L963" t="s">
        <v>18</v>
      </c>
      <c r="M963">
        <v>10</v>
      </c>
      <c r="N963" s="8" t="str">
        <f>VLOOKUP(K963,tblCountries[],3,0)</f>
        <v>North Amer.</v>
      </c>
      <c r="O963" s="8">
        <f>VLOOKUP(tblSalaries[[#This Row],[How many hours of a day you work on Excel]],tblHours,2,0)</f>
        <v>3</v>
      </c>
      <c r="P963" s="8">
        <f>VLOOKUP(tblSalaries[[#This Row],[clean Country]],tblCountries[],5,0)</f>
        <v>1</v>
      </c>
      <c r="Q963" s="8">
        <f>IF($Q$1,tblSalaries[[#This Row],[PPP Factor]]*tblSalaries[[#This Row],[Salary in USD]],tblSalaries[[#This Row],[Salary in USD]])</f>
        <v>260000</v>
      </c>
    </row>
    <row r="964" spans="2:17" ht="15" customHeight="1" x14ac:dyDescent="0.25">
      <c r="B964" t="s">
        <v>2967</v>
      </c>
      <c r="C964" s="1">
        <v>41057.33320601852</v>
      </c>
      <c r="D964" s="4">
        <v>110000</v>
      </c>
      <c r="E964">
        <v>110000</v>
      </c>
      <c r="F964" t="s">
        <v>82</v>
      </c>
      <c r="G964">
        <f>tblSalaries[[#This Row],[clean Salary (in local currency)]]*VLOOKUP(tblSalaries[[#This Row],[Currency]],tblXrate[],2,FALSE)</f>
        <v>112190.06220428993</v>
      </c>
      <c r="H964" t="s">
        <v>1113</v>
      </c>
      <c r="I964" t="s">
        <v>52</v>
      </c>
      <c r="J964" t="s">
        <v>84</v>
      </c>
      <c r="K964" t="str">
        <f>VLOOKUP(tblSalaries[[#This Row],[Where do you work]],tblCountries[[Actual]:[Mapping]],2,FALSE)</f>
        <v>Australia</v>
      </c>
      <c r="L964" t="s">
        <v>18</v>
      </c>
      <c r="M964">
        <v>8</v>
      </c>
      <c r="N964" s="8" t="str">
        <f>VLOOKUP(K964,tblCountries[],3,0)</f>
        <v>Oceania</v>
      </c>
      <c r="O964" s="8">
        <f>VLOOKUP(tblSalaries[[#This Row],[How many hours of a day you work on Excel]],tblHours,2,0)</f>
        <v>3</v>
      </c>
      <c r="P964" s="8">
        <f>VLOOKUP(tblSalaries[[#This Row],[clean Country]],tblCountries[],5,0)</f>
        <v>1.2026395585822935</v>
      </c>
      <c r="Q964" s="8">
        <f>IF($Q$1,tblSalaries[[#This Row],[PPP Factor]]*tblSalaries[[#This Row],[Salary in USD]],tblSalaries[[#This Row],[Salary in USD]])</f>
        <v>112190.06220428993</v>
      </c>
    </row>
    <row r="965" spans="2:17" ht="15" customHeight="1" x14ac:dyDescent="0.25">
      <c r="B965" t="s">
        <v>2968</v>
      </c>
      <c r="C965" s="1">
        <v>41057.335532407407</v>
      </c>
      <c r="D965" s="4" t="s">
        <v>1114</v>
      </c>
      <c r="E965">
        <v>70000</v>
      </c>
      <c r="F965" t="s">
        <v>82</v>
      </c>
      <c r="G965">
        <f>tblSalaries[[#This Row],[clean Salary (in local currency)]]*VLOOKUP(tblSalaries[[#This Row],[Currency]],tblXrate[],2,FALSE)</f>
        <v>71393.675948184507</v>
      </c>
      <c r="H965" t="s">
        <v>45</v>
      </c>
      <c r="I965" t="s">
        <v>52</v>
      </c>
      <c r="J965" t="s">
        <v>84</v>
      </c>
      <c r="K965" t="str">
        <f>VLOOKUP(tblSalaries[[#This Row],[Where do you work]],tblCountries[[Actual]:[Mapping]],2,FALSE)</f>
        <v>Australia</v>
      </c>
      <c r="L965" t="s">
        <v>9</v>
      </c>
      <c r="M965">
        <v>7</v>
      </c>
      <c r="N965" s="8" t="str">
        <f>VLOOKUP(K965,tblCountries[],3,0)</f>
        <v>Oceania</v>
      </c>
      <c r="O965" s="8">
        <f>VLOOKUP(tblSalaries[[#This Row],[How many hours of a day you work on Excel]],tblHours,2,0)</f>
        <v>4</v>
      </c>
      <c r="P965" s="8">
        <f>VLOOKUP(tblSalaries[[#This Row],[clean Country]],tblCountries[],5,0)</f>
        <v>1.2026395585822935</v>
      </c>
      <c r="Q965" s="8">
        <f>IF($Q$1,tblSalaries[[#This Row],[PPP Factor]]*tblSalaries[[#This Row],[Salary in USD]],tblSalaries[[#This Row],[Salary in USD]])</f>
        <v>71393.675948184507</v>
      </c>
    </row>
    <row r="966" spans="2:17" ht="15" customHeight="1" x14ac:dyDescent="0.25">
      <c r="B966" t="s">
        <v>2969</v>
      </c>
      <c r="C966" s="1">
        <v>41057.349120370367</v>
      </c>
      <c r="D966" s="4" t="s">
        <v>1115</v>
      </c>
      <c r="E966">
        <v>85000</v>
      </c>
      <c r="F966" t="s">
        <v>6</v>
      </c>
      <c r="G966">
        <f>tblSalaries[[#This Row],[clean Salary (in local currency)]]*VLOOKUP(tblSalaries[[#This Row],[Currency]],tblXrate[],2,FALSE)</f>
        <v>85000</v>
      </c>
      <c r="H966" t="s">
        <v>1116</v>
      </c>
      <c r="I966" t="s">
        <v>3999</v>
      </c>
      <c r="J966" t="s">
        <v>84</v>
      </c>
      <c r="K966" t="str">
        <f>VLOOKUP(tblSalaries[[#This Row],[Where do you work]],tblCountries[[Actual]:[Mapping]],2,FALSE)</f>
        <v>Australia</v>
      </c>
      <c r="L966" t="s">
        <v>9</v>
      </c>
      <c r="M966">
        <v>8</v>
      </c>
      <c r="N966" s="8" t="str">
        <f>VLOOKUP(K966,tblCountries[],3,0)</f>
        <v>Oceania</v>
      </c>
      <c r="O966" s="8">
        <f>VLOOKUP(tblSalaries[[#This Row],[How many hours of a day you work on Excel]],tblHours,2,0)</f>
        <v>4</v>
      </c>
      <c r="P966" s="8">
        <f>VLOOKUP(tblSalaries[[#This Row],[clean Country]],tblCountries[],5,0)</f>
        <v>1.2026395585822935</v>
      </c>
      <c r="Q966" s="8">
        <f>IF($Q$1,tblSalaries[[#This Row],[PPP Factor]]*tblSalaries[[#This Row],[Salary in USD]],tblSalaries[[#This Row],[Salary in USD]])</f>
        <v>85000</v>
      </c>
    </row>
    <row r="967" spans="2:17" ht="15" customHeight="1" x14ac:dyDescent="0.25">
      <c r="B967" t="s">
        <v>2970</v>
      </c>
      <c r="C967" s="1">
        <v>41057.351886574077</v>
      </c>
      <c r="D967" s="4">
        <v>94000</v>
      </c>
      <c r="E967">
        <v>94000</v>
      </c>
      <c r="F967" t="s">
        <v>82</v>
      </c>
      <c r="G967">
        <f>tblSalaries[[#This Row],[clean Salary (in local currency)]]*VLOOKUP(tblSalaries[[#This Row],[Currency]],tblXrate[],2,FALSE)</f>
        <v>95871.50770184776</v>
      </c>
      <c r="H967" t="s">
        <v>207</v>
      </c>
      <c r="I967" t="s">
        <v>20</v>
      </c>
      <c r="J967" t="s">
        <v>84</v>
      </c>
      <c r="K967" t="str">
        <f>VLOOKUP(tblSalaries[[#This Row],[Where do you work]],tblCountries[[Actual]:[Mapping]],2,FALSE)</f>
        <v>Australia</v>
      </c>
      <c r="L967" t="s">
        <v>18</v>
      </c>
      <c r="M967">
        <v>2.5</v>
      </c>
      <c r="N967" s="8" t="str">
        <f>VLOOKUP(K967,tblCountries[],3,0)</f>
        <v>Oceania</v>
      </c>
      <c r="O967" s="8">
        <f>VLOOKUP(tblSalaries[[#This Row],[How many hours of a day you work on Excel]],tblHours,2,0)</f>
        <v>3</v>
      </c>
      <c r="P967" s="8">
        <f>VLOOKUP(tblSalaries[[#This Row],[clean Country]],tblCountries[],5,0)</f>
        <v>1.2026395585822935</v>
      </c>
      <c r="Q967" s="8">
        <f>IF($Q$1,tblSalaries[[#This Row],[PPP Factor]]*tblSalaries[[#This Row],[Salary in USD]],tblSalaries[[#This Row],[Salary in USD]])</f>
        <v>95871.50770184776</v>
      </c>
    </row>
    <row r="968" spans="2:17" ht="15" customHeight="1" x14ac:dyDescent="0.25">
      <c r="B968" t="s">
        <v>2971</v>
      </c>
      <c r="C968" s="1">
        <v>41057.35800925926</v>
      </c>
      <c r="D968" s="4" t="s">
        <v>1117</v>
      </c>
      <c r="E968">
        <v>107000</v>
      </c>
      <c r="F968" t="s">
        <v>82</v>
      </c>
      <c r="G968">
        <f>tblSalaries[[#This Row],[clean Salary (in local currency)]]*VLOOKUP(tblSalaries[[#This Row],[Currency]],tblXrate[],2,FALSE)</f>
        <v>109130.33323508203</v>
      </c>
      <c r="H968" t="s">
        <v>772</v>
      </c>
      <c r="I968" t="s">
        <v>52</v>
      </c>
      <c r="J968" t="s">
        <v>84</v>
      </c>
      <c r="K968" t="str">
        <f>VLOOKUP(tblSalaries[[#This Row],[Where do you work]],tblCountries[[Actual]:[Mapping]],2,FALSE)</f>
        <v>Australia</v>
      </c>
      <c r="L968" t="s">
        <v>9</v>
      </c>
      <c r="M968">
        <v>35</v>
      </c>
      <c r="N968" s="8" t="str">
        <f>VLOOKUP(K968,tblCountries[],3,0)</f>
        <v>Oceania</v>
      </c>
      <c r="O968" s="8">
        <f>VLOOKUP(tblSalaries[[#This Row],[How many hours of a day you work on Excel]],tblHours,2,0)</f>
        <v>4</v>
      </c>
      <c r="P968" s="8">
        <f>VLOOKUP(tblSalaries[[#This Row],[clean Country]],tblCountries[],5,0)</f>
        <v>1.2026395585822935</v>
      </c>
      <c r="Q968" s="8">
        <f>IF($Q$1,tblSalaries[[#This Row],[PPP Factor]]*tblSalaries[[#This Row],[Salary in USD]],tblSalaries[[#This Row],[Salary in USD]])</f>
        <v>109130.33323508203</v>
      </c>
    </row>
    <row r="969" spans="2:17" ht="15" customHeight="1" x14ac:dyDescent="0.25">
      <c r="B969" t="s">
        <v>2972</v>
      </c>
      <c r="C969" s="1">
        <v>41057.361030092594</v>
      </c>
      <c r="D969" s="4">
        <v>3000</v>
      </c>
      <c r="E969">
        <v>36000</v>
      </c>
      <c r="F969" t="s">
        <v>6</v>
      </c>
      <c r="G969">
        <f>tblSalaries[[#This Row],[clean Salary (in local currency)]]*VLOOKUP(tblSalaries[[#This Row],[Currency]],tblXrate[],2,FALSE)</f>
        <v>36000</v>
      </c>
      <c r="H969" t="s">
        <v>168</v>
      </c>
      <c r="I969" t="s">
        <v>52</v>
      </c>
      <c r="J969" t="s">
        <v>1118</v>
      </c>
      <c r="K969" t="str">
        <f>VLOOKUP(tblSalaries[[#This Row],[Where do you work]],tblCountries[[Actual]:[Mapping]],2,FALSE)</f>
        <v>Malaysia</v>
      </c>
      <c r="L969" t="s">
        <v>25</v>
      </c>
      <c r="M969">
        <v>3</v>
      </c>
      <c r="N969" s="8" t="str">
        <f>VLOOKUP(K969,tblCountries[],3,0)</f>
        <v>Asia</v>
      </c>
      <c r="O969" s="8">
        <f>VLOOKUP(tblSalaries[[#This Row],[How many hours of a day you work on Excel]],tblHours,2,0)</f>
        <v>2</v>
      </c>
      <c r="P969" s="8">
        <f>VLOOKUP(tblSalaries[[#This Row],[clean Country]],tblCountries[],5,0)</f>
        <v>3.1081063720452211</v>
      </c>
      <c r="Q969" s="8">
        <f>IF($Q$1,tblSalaries[[#This Row],[PPP Factor]]*tblSalaries[[#This Row],[Salary in USD]],tblSalaries[[#This Row],[Salary in USD]])</f>
        <v>36000</v>
      </c>
    </row>
    <row r="970" spans="2:17" ht="15" customHeight="1" x14ac:dyDescent="0.25">
      <c r="B970" t="s">
        <v>2973</v>
      </c>
      <c r="C970" s="1">
        <v>41057.361956018518</v>
      </c>
      <c r="D970" s="4">
        <v>120000</v>
      </c>
      <c r="E970">
        <v>120000</v>
      </c>
      <c r="F970" t="s">
        <v>82</v>
      </c>
      <c r="G970">
        <f>tblSalaries[[#This Row],[clean Salary (in local currency)]]*VLOOKUP(tblSalaries[[#This Row],[Currency]],tblXrate[],2,FALSE)</f>
        <v>122389.15876831629</v>
      </c>
      <c r="H970" t="s">
        <v>256</v>
      </c>
      <c r="I970" t="s">
        <v>20</v>
      </c>
      <c r="J970" t="s">
        <v>84</v>
      </c>
      <c r="K970" t="str">
        <f>VLOOKUP(tblSalaries[[#This Row],[Where do you work]],tblCountries[[Actual]:[Mapping]],2,FALSE)</f>
        <v>Australia</v>
      </c>
      <c r="L970" t="s">
        <v>9</v>
      </c>
      <c r="M970">
        <v>2</v>
      </c>
      <c r="N970" s="8" t="str">
        <f>VLOOKUP(K970,tblCountries[],3,0)</f>
        <v>Oceania</v>
      </c>
      <c r="O970" s="8">
        <f>VLOOKUP(tblSalaries[[#This Row],[How many hours of a day you work on Excel]],tblHours,2,0)</f>
        <v>4</v>
      </c>
      <c r="P970" s="8">
        <f>VLOOKUP(tblSalaries[[#This Row],[clean Country]],tblCountries[],5,0)</f>
        <v>1.2026395585822935</v>
      </c>
      <c r="Q970" s="8">
        <f>IF($Q$1,tblSalaries[[#This Row],[PPP Factor]]*tblSalaries[[#This Row],[Salary in USD]],tblSalaries[[#This Row],[Salary in USD]])</f>
        <v>122389.15876831629</v>
      </c>
    </row>
    <row r="971" spans="2:17" ht="15" customHeight="1" x14ac:dyDescent="0.25">
      <c r="B971" t="s">
        <v>2974</v>
      </c>
      <c r="C971" s="1">
        <v>41057.366423611114</v>
      </c>
      <c r="D971" s="4" t="s">
        <v>1119</v>
      </c>
      <c r="E971">
        <v>52000</v>
      </c>
      <c r="F971" t="s">
        <v>82</v>
      </c>
      <c r="G971">
        <f>tblSalaries[[#This Row],[clean Salary (in local currency)]]*VLOOKUP(tblSalaries[[#This Row],[Currency]],tblXrate[],2,FALSE)</f>
        <v>53035.30213293706</v>
      </c>
      <c r="H971" t="s">
        <v>1120</v>
      </c>
      <c r="I971" t="s">
        <v>20</v>
      </c>
      <c r="J971" t="s">
        <v>84</v>
      </c>
      <c r="K971" t="str">
        <f>VLOOKUP(tblSalaries[[#This Row],[Where do you work]],tblCountries[[Actual]:[Mapping]],2,FALSE)</f>
        <v>Australia</v>
      </c>
      <c r="L971" t="s">
        <v>9</v>
      </c>
      <c r="M971">
        <v>4</v>
      </c>
      <c r="N971" s="8" t="str">
        <f>VLOOKUP(K971,tblCountries[],3,0)</f>
        <v>Oceania</v>
      </c>
      <c r="O971" s="8">
        <f>VLOOKUP(tblSalaries[[#This Row],[How many hours of a day you work on Excel]],tblHours,2,0)</f>
        <v>4</v>
      </c>
      <c r="P971" s="8">
        <f>VLOOKUP(tblSalaries[[#This Row],[clean Country]],tblCountries[],5,0)</f>
        <v>1.2026395585822935</v>
      </c>
      <c r="Q971" s="8">
        <f>IF($Q$1,tblSalaries[[#This Row],[PPP Factor]]*tblSalaries[[#This Row],[Salary in USD]],tblSalaries[[#This Row],[Salary in USD]])</f>
        <v>53035.30213293706</v>
      </c>
    </row>
    <row r="972" spans="2:17" ht="15" customHeight="1" x14ac:dyDescent="0.25">
      <c r="B972" t="s">
        <v>2975</v>
      </c>
      <c r="C972" s="1">
        <v>41057.367314814815</v>
      </c>
      <c r="D972" s="4">
        <v>125000</v>
      </c>
      <c r="E972">
        <v>125000</v>
      </c>
      <c r="F972" t="s">
        <v>6</v>
      </c>
      <c r="G972">
        <f>tblSalaries[[#This Row],[clean Salary (in local currency)]]*VLOOKUP(tblSalaries[[#This Row],[Currency]],tblXrate[],2,FALSE)</f>
        <v>125000</v>
      </c>
      <c r="H972" t="s">
        <v>1121</v>
      </c>
      <c r="I972" t="s">
        <v>4001</v>
      </c>
      <c r="J972" t="s">
        <v>15</v>
      </c>
      <c r="K972" t="str">
        <f>VLOOKUP(tblSalaries[[#This Row],[Where do you work]],tblCountries[[Actual]:[Mapping]],2,FALSE)</f>
        <v>USA</v>
      </c>
      <c r="L972" t="s">
        <v>9</v>
      </c>
      <c r="M972">
        <v>10</v>
      </c>
      <c r="N972" s="8" t="str">
        <f>VLOOKUP(K972,tblCountries[],3,0)</f>
        <v>North Amer.</v>
      </c>
      <c r="O972" s="8">
        <f>VLOOKUP(tblSalaries[[#This Row],[How many hours of a day you work on Excel]],tblHours,2,0)</f>
        <v>4</v>
      </c>
      <c r="P972" s="8">
        <f>VLOOKUP(tblSalaries[[#This Row],[clean Country]],tblCountries[],5,0)</f>
        <v>1</v>
      </c>
      <c r="Q972" s="8">
        <f>IF($Q$1,tblSalaries[[#This Row],[PPP Factor]]*tblSalaries[[#This Row],[Salary in USD]],tblSalaries[[#This Row],[Salary in USD]])</f>
        <v>125000</v>
      </c>
    </row>
    <row r="973" spans="2:17" ht="15" customHeight="1" x14ac:dyDescent="0.25">
      <c r="B973" t="s">
        <v>2976</v>
      </c>
      <c r="C973" s="1">
        <v>41057.37773148148</v>
      </c>
      <c r="D973" s="4">
        <v>19000</v>
      </c>
      <c r="E973">
        <v>19000</v>
      </c>
      <c r="F973" t="s">
        <v>6</v>
      </c>
      <c r="G973">
        <f>tblSalaries[[#This Row],[clean Salary (in local currency)]]*VLOOKUP(tblSalaries[[#This Row],[Currency]],tblXrate[],2,FALSE)</f>
        <v>19000</v>
      </c>
      <c r="H973" t="s">
        <v>1122</v>
      </c>
      <c r="I973" t="s">
        <v>20</v>
      </c>
      <c r="J973" t="s">
        <v>1123</v>
      </c>
      <c r="K973" t="str">
        <f>VLOOKUP(tblSalaries[[#This Row],[Where do you work]],tblCountries[[Actual]:[Mapping]],2,FALSE)</f>
        <v>china</v>
      </c>
      <c r="L973" t="s">
        <v>9</v>
      </c>
      <c r="M973">
        <v>6</v>
      </c>
      <c r="N973" s="8" t="str">
        <f>VLOOKUP(K973,tblCountries[],3,0)</f>
        <v>Asia</v>
      </c>
      <c r="O973" s="8">
        <f>VLOOKUP(tblSalaries[[#This Row],[How many hours of a day you work on Excel]],tblHours,2,0)</f>
        <v>4</v>
      </c>
      <c r="P973" s="8">
        <f>VLOOKUP(tblSalaries[[#This Row],[clean Country]],tblCountries[],5,0)</f>
        <v>5.7727272727272725</v>
      </c>
      <c r="Q973" s="8">
        <f>IF($Q$1,tblSalaries[[#This Row],[PPP Factor]]*tblSalaries[[#This Row],[Salary in USD]],tblSalaries[[#This Row],[Salary in USD]])</f>
        <v>19000</v>
      </c>
    </row>
    <row r="974" spans="2:17" ht="15" customHeight="1" x14ac:dyDescent="0.25">
      <c r="B974" t="s">
        <v>2977</v>
      </c>
      <c r="C974" s="1">
        <v>41057.383645833332</v>
      </c>
      <c r="D974" s="4">
        <v>92000</v>
      </c>
      <c r="E974">
        <v>92000</v>
      </c>
      <c r="F974" t="s">
        <v>82</v>
      </c>
      <c r="G974">
        <f>tblSalaries[[#This Row],[clean Salary (in local currency)]]*VLOOKUP(tblSalaries[[#This Row],[Currency]],tblXrate[],2,FALSE)</f>
        <v>93831.688389042494</v>
      </c>
      <c r="H974" t="s">
        <v>1122</v>
      </c>
      <c r="I974" t="s">
        <v>20</v>
      </c>
      <c r="J974" t="s">
        <v>84</v>
      </c>
      <c r="K974" t="str">
        <f>VLOOKUP(tblSalaries[[#This Row],[Where do you work]],tblCountries[[Actual]:[Mapping]],2,FALSE)</f>
        <v>Australia</v>
      </c>
      <c r="L974" t="s">
        <v>13</v>
      </c>
      <c r="M974">
        <v>6</v>
      </c>
      <c r="N974" s="8" t="str">
        <f>VLOOKUP(K974,tblCountries[],3,0)</f>
        <v>Oceania</v>
      </c>
      <c r="O974" s="8">
        <f>VLOOKUP(tblSalaries[[#This Row],[How many hours of a day you work on Excel]],tblHours,2,0)</f>
        <v>5</v>
      </c>
      <c r="P974" s="8">
        <f>VLOOKUP(tblSalaries[[#This Row],[clean Country]],tblCountries[],5,0)</f>
        <v>1.2026395585822935</v>
      </c>
      <c r="Q974" s="8">
        <f>IF($Q$1,tblSalaries[[#This Row],[PPP Factor]]*tblSalaries[[#This Row],[Salary in USD]],tblSalaries[[#This Row],[Salary in USD]])</f>
        <v>93831.688389042494</v>
      </c>
    </row>
    <row r="975" spans="2:17" ht="15" customHeight="1" x14ac:dyDescent="0.25">
      <c r="B975" t="s">
        <v>2978</v>
      </c>
      <c r="C975" s="1">
        <v>41057.390231481484</v>
      </c>
      <c r="D975" s="4">
        <v>100000</v>
      </c>
      <c r="E975">
        <v>100000</v>
      </c>
      <c r="F975" t="s">
        <v>82</v>
      </c>
      <c r="G975">
        <f>tblSalaries[[#This Row],[clean Salary (in local currency)]]*VLOOKUP(tblSalaries[[#This Row],[Currency]],tblXrate[],2,FALSE)</f>
        <v>101990.96564026357</v>
      </c>
      <c r="H975" t="s">
        <v>855</v>
      </c>
      <c r="I975" t="s">
        <v>20</v>
      </c>
      <c r="J975" t="s">
        <v>84</v>
      </c>
      <c r="K975" t="str">
        <f>VLOOKUP(tblSalaries[[#This Row],[Where do you work]],tblCountries[[Actual]:[Mapping]],2,FALSE)</f>
        <v>Australia</v>
      </c>
      <c r="L975" t="s">
        <v>9</v>
      </c>
      <c r="M975">
        <v>20</v>
      </c>
      <c r="N975" s="8" t="str">
        <f>VLOOKUP(K975,tblCountries[],3,0)</f>
        <v>Oceania</v>
      </c>
      <c r="O975" s="8">
        <f>VLOOKUP(tblSalaries[[#This Row],[How many hours of a day you work on Excel]],tblHours,2,0)</f>
        <v>4</v>
      </c>
      <c r="P975" s="8">
        <f>VLOOKUP(tblSalaries[[#This Row],[clean Country]],tblCountries[],5,0)</f>
        <v>1.2026395585822935</v>
      </c>
      <c r="Q975" s="8">
        <f>IF($Q$1,tblSalaries[[#This Row],[PPP Factor]]*tblSalaries[[#This Row],[Salary in USD]],tblSalaries[[#This Row],[Salary in USD]])</f>
        <v>101990.96564026357</v>
      </c>
    </row>
    <row r="976" spans="2:17" ht="15" customHeight="1" x14ac:dyDescent="0.25">
      <c r="B976" t="s">
        <v>2979</v>
      </c>
      <c r="C976" s="1">
        <v>41057.393171296295</v>
      </c>
      <c r="D976" s="4">
        <v>120000</v>
      </c>
      <c r="E976">
        <v>120000</v>
      </c>
      <c r="F976" t="s">
        <v>82</v>
      </c>
      <c r="G976">
        <f>tblSalaries[[#This Row],[clean Salary (in local currency)]]*VLOOKUP(tblSalaries[[#This Row],[Currency]],tblXrate[],2,FALSE)</f>
        <v>122389.15876831629</v>
      </c>
      <c r="H976" t="s">
        <v>1124</v>
      </c>
      <c r="I976" t="s">
        <v>20</v>
      </c>
      <c r="J976" t="s">
        <v>84</v>
      </c>
      <c r="K976" t="str">
        <f>VLOOKUP(tblSalaries[[#This Row],[Where do you work]],tblCountries[[Actual]:[Mapping]],2,FALSE)</f>
        <v>Australia</v>
      </c>
      <c r="L976" t="s">
        <v>9</v>
      </c>
      <c r="M976">
        <v>5</v>
      </c>
      <c r="N976" s="8" t="str">
        <f>VLOOKUP(K976,tblCountries[],3,0)</f>
        <v>Oceania</v>
      </c>
      <c r="O976" s="8">
        <f>VLOOKUP(tblSalaries[[#This Row],[How many hours of a day you work on Excel]],tblHours,2,0)</f>
        <v>4</v>
      </c>
      <c r="P976" s="8">
        <f>VLOOKUP(tblSalaries[[#This Row],[clean Country]],tblCountries[],5,0)</f>
        <v>1.2026395585822935</v>
      </c>
      <c r="Q976" s="8">
        <f>IF($Q$1,tblSalaries[[#This Row],[PPP Factor]]*tblSalaries[[#This Row],[Salary in USD]],tblSalaries[[#This Row],[Salary in USD]])</f>
        <v>122389.15876831629</v>
      </c>
    </row>
    <row r="977" spans="2:17" ht="15" customHeight="1" x14ac:dyDescent="0.25">
      <c r="B977" t="s">
        <v>2980</v>
      </c>
      <c r="C977" s="1">
        <v>41057.401724537034</v>
      </c>
      <c r="D977" s="4">
        <v>35000</v>
      </c>
      <c r="E977">
        <v>35000</v>
      </c>
      <c r="F977" t="s">
        <v>86</v>
      </c>
      <c r="G977">
        <f>tblSalaries[[#This Row],[clean Salary (in local currency)]]*VLOOKUP(tblSalaries[[#This Row],[Currency]],tblXrate[],2,FALSE)</f>
        <v>34417.653306061438</v>
      </c>
      <c r="H977" t="s">
        <v>855</v>
      </c>
      <c r="I977" t="s">
        <v>20</v>
      </c>
      <c r="J977" t="s">
        <v>88</v>
      </c>
      <c r="K977" t="str">
        <f>VLOOKUP(tblSalaries[[#This Row],[Where do you work]],tblCountries[[Actual]:[Mapping]],2,FALSE)</f>
        <v>Canada</v>
      </c>
      <c r="L977" t="s">
        <v>13</v>
      </c>
      <c r="M977">
        <v>4</v>
      </c>
      <c r="N977" s="8" t="str">
        <f>VLOOKUP(K977,tblCountries[],3,0)</f>
        <v>North Amer.</v>
      </c>
      <c r="O977" s="8">
        <f>VLOOKUP(tblSalaries[[#This Row],[How many hours of a day you work on Excel]],tblHours,2,0)</f>
        <v>5</v>
      </c>
      <c r="P977" s="8">
        <f>VLOOKUP(tblSalaries[[#This Row],[clean Country]],tblCountries[],5,0)</f>
        <v>1.1935324732986359</v>
      </c>
      <c r="Q977" s="8">
        <f>IF($Q$1,tblSalaries[[#This Row],[PPP Factor]]*tblSalaries[[#This Row],[Salary in USD]],tblSalaries[[#This Row],[Salary in USD]])</f>
        <v>34417.653306061438</v>
      </c>
    </row>
    <row r="978" spans="2:17" ht="15" customHeight="1" x14ac:dyDescent="0.25">
      <c r="B978" t="s">
        <v>2981</v>
      </c>
      <c r="C978" s="1">
        <v>41057.40289351852</v>
      </c>
      <c r="D978" s="4" t="s">
        <v>1125</v>
      </c>
      <c r="E978">
        <v>12000</v>
      </c>
      <c r="F978" t="s">
        <v>6</v>
      </c>
      <c r="G978">
        <f>tblSalaries[[#This Row],[clean Salary (in local currency)]]*VLOOKUP(tblSalaries[[#This Row],[Currency]],tblXrate[],2,FALSE)</f>
        <v>12000</v>
      </c>
      <c r="H978" t="s">
        <v>52</v>
      </c>
      <c r="I978" t="s">
        <v>52</v>
      </c>
      <c r="J978" t="s">
        <v>1126</v>
      </c>
      <c r="K978" t="str">
        <f>VLOOKUP(tblSalaries[[#This Row],[Where do you work]],tblCountries[[Actual]:[Mapping]],2,FALSE)</f>
        <v>Asia</v>
      </c>
      <c r="L978" t="s">
        <v>13</v>
      </c>
      <c r="M978">
        <v>3</v>
      </c>
      <c r="N978" s="8" t="str">
        <f>VLOOKUP(K978,tblCountries[],3,0)</f>
        <v>Asia</v>
      </c>
      <c r="O978" s="8">
        <f>VLOOKUP(tblSalaries[[#This Row],[How many hours of a day you work on Excel]],tblHours,2,0)</f>
        <v>5</v>
      </c>
      <c r="P978" s="8">
        <f>VLOOKUP(tblSalaries[[#This Row],[clean Country]],tblCountries[],5,0)</f>
        <v>1</v>
      </c>
      <c r="Q978" s="8">
        <f>IF($Q$1,tblSalaries[[#This Row],[PPP Factor]]*tblSalaries[[#This Row],[Salary in USD]],tblSalaries[[#This Row],[Salary in USD]])</f>
        <v>12000</v>
      </c>
    </row>
    <row r="979" spans="2:17" ht="15" customHeight="1" x14ac:dyDescent="0.25">
      <c r="B979" t="s">
        <v>2982</v>
      </c>
      <c r="C979" s="1">
        <v>41057.40351851852</v>
      </c>
      <c r="D979" s="4">
        <v>204000</v>
      </c>
      <c r="E979">
        <v>204000</v>
      </c>
      <c r="F979" t="s">
        <v>40</v>
      </c>
      <c r="G979">
        <f>tblSalaries[[#This Row],[clean Salary (in local currency)]]*VLOOKUP(tblSalaries[[#This Row],[Currency]],tblXrate[],2,FALSE)</f>
        <v>3632.815004238284</v>
      </c>
      <c r="H979" t="s">
        <v>1127</v>
      </c>
      <c r="I979" t="s">
        <v>52</v>
      </c>
      <c r="J979" t="s">
        <v>8</v>
      </c>
      <c r="K979" t="str">
        <f>VLOOKUP(tblSalaries[[#This Row],[Where do you work]],tblCountries[[Actual]:[Mapping]],2,FALSE)</f>
        <v>India</v>
      </c>
      <c r="L979" t="s">
        <v>9</v>
      </c>
      <c r="M979">
        <v>0</v>
      </c>
      <c r="N979" s="8" t="str">
        <f>VLOOKUP(K979,tblCountries[],3,0)</f>
        <v>Asia</v>
      </c>
      <c r="O979" s="8">
        <f>VLOOKUP(tblSalaries[[#This Row],[How many hours of a day you work on Excel]],tblHours,2,0)</f>
        <v>4</v>
      </c>
      <c r="P979" s="8">
        <f>VLOOKUP(tblSalaries[[#This Row],[clean Country]],tblCountries[],5,0)</f>
        <v>13.098808879263672</v>
      </c>
      <c r="Q979" s="8">
        <f>IF($Q$1,tblSalaries[[#This Row],[PPP Factor]]*tblSalaries[[#This Row],[Salary in USD]],tblSalaries[[#This Row],[Salary in USD]])</f>
        <v>3632.815004238284</v>
      </c>
    </row>
    <row r="980" spans="2:17" ht="15" customHeight="1" x14ac:dyDescent="0.25">
      <c r="B980" t="s">
        <v>2983</v>
      </c>
      <c r="C980" s="1">
        <v>41057.405243055553</v>
      </c>
      <c r="D980" s="4" t="s">
        <v>1128</v>
      </c>
      <c r="E980">
        <v>1200000</v>
      </c>
      <c r="F980" t="s">
        <v>40</v>
      </c>
      <c r="G980">
        <f>tblSalaries[[#This Row],[clean Salary (in local currency)]]*VLOOKUP(tblSalaries[[#This Row],[Currency]],tblXrate[],2,FALSE)</f>
        <v>21369.500024931083</v>
      </c>
      <c r="H980" t="s">
        <v>76</v>
      </c>
      <c r="I980" t="s">
        <v>356</v>
      </c>
      <c r="J980" t="s">
        <v>8</v>
      </c>
      <c r="K980" t="str">
        <f>VLOOKUP(tblSalaries[[#This Row],[Where do you work]],tblCountries[[Actual]:[Mapping]],2,FALSE)</f>
        <v>India</v>
      </c>
      <c r="L980" t="s">
        <v>13</v>
      </c>
      <c r="M980">
        <v>6</v>
      </c>
      <c r="N980" s="8" t="str">
        <f>VLOOKUP(K980,tblCountries[],3,0)</f>
        <v>Asia</v>
      </c>
      <c r="O980" s="8">
        <f>VLOOKUP(tblSalaries[[#This Row],[How many hours of a day you work on Excel]],tblHours,2,0)</f>
        <v>5</v>
      </c>
      <c r="P980" s="8">
        <f>VLOOKUP(tblSalaries[[#This Row],[clean Country]],tblCountries[],5,0)</f>
        <v>13.098808879263672</v>
      </c>
      <c r="Q980" s="8">
        <f>IF($Q$1,tblSalaries[[#This Row],[PPP Factor]]*tblSalaries[[#This Row],[Salary in USD]],tblSalaries[[#This Row],[Salary in USD]])</f>
        <v>21369.500024931083</v>
      </c>
    </row>
    <row r="981" spans="2:17" ht="15" customHeight="1" x14ac:dyDescent="0.25">
      <c r="B981" t="s">
        <v>2984</v>
      </c>
      <c r="C981" s="1">
        <v>41057.410694444443</v>
      </c>
      <c r="D981" s="4" t="s">
        <v>457</v>
      </c>
      <c r="E981">
        <v>500000</v>
      </c>
      <c r="F981" t="s">
        <v>40</v>
      </c>
      <c r="G981">
        <f>tblSalaries[[#This Row],[clean Salary (in local currency)]]*VLOOKUP(tblSalaries[[#This Row],[Currency]],tblXrate[],2,FALSE)</f>
        <v>8903.9583437212841</v>
      </c>
      <c r="H981" t="s">
        <v>207</v>
      </c>
      <c r="I981" t="s">
        <v>20</v>
      </c>
      <c r="J981" t="s">
        <v>8</v>
      </c>
      <c r="K981" t="str">
        <f>VLOOKUP(tblSalaries[[#This Row],[Where do you work]],tblCountries[[Actual]:[Mapping]],2,FALSE)</f>
        <v>India</v>
      </c>
      <c r="L981" t="s">
        <v>9</v>
      </c>
      <c r="M981">
        <v>7</v>
      </c>
      <c r="N981" s="8" t="str">
        <f>VLOOKUP(K981,tblCountries[],3,0)</f>
        <v>Asia</v>
      </c>
      <c r="O981" s="8">
        <f>VLOOKUP(tblSalaries[[#This Row],[How many hours of a day you work on Excel]],tblHours,2,0)</f>
        <v>4</v>
      </c>
      <c r="P981" s="8">
        <f>VLOOKUP(tblSalaries[[#This Row],[clean Country]],tblCountries[],5,0)</f>
        <v>13.098808879263672</v>
      </c>
      <c r="Q981" s="8">
        <f>IF($Q$1,tblSalaries[[#This Row],[PPP Factor]]*tblSalaries[[#This Row],[Salary in USD]],tblSalaries[[#This Row],[Salary in USD]])</f>
        <v>8903.9583437212841</v>
      </c>
    </row>
    <row r="982" spans="2:17" ht="15" customHeight="1" x14ac:dyDescent="0.25">
      <c r="B982" t="s">
        <v>2985</v>
      </c>
      <c r="C982" s="1">
        <v>41057.427395833336</v>
      </c>
      <c r="D982" s="4" t="s">
        <v>1129</v>
      </c>
      <c r="E982">
        <v>48000</v>
      </c>
      <c r="F982" t="s">
        <v>3939</v>
      </c>
      <c r="G982">
        <f>tblSalaries[[#This Row],[clean Salary (in local currency)]]*VLOOKUP(tblSalaries[[#This Row],[Currency]],tblXrate[],2,FALSE)</f>
        <v>15206.427249917633</v>
      </c>
      <c r="H982" t="s">
        <v>1130</v>
      </c>
      <c r="I982" t="s">
        <v>52</v>
      </c>
      <c r="J982" t="s">
        <v>1131</v>
      </c>
      <c r="K982" t="str">
        <f>VLOOKUP(tblSalaries[[#This Row],[Where do you work]],tblCountries[[Actual]:[Mapping]],2,FALSE)</f>
        <v>Malaysia</v>
      </c>
      <c r="L982" t="s">
        <v>9</v>
      </c>
      <c r="M982">
        <v>2</v>
      </c>
      <c r="N982" s="8" t="str">
        <f>VLOOKUP(K982,tblCountries[],3,0)</f>
        <v>Asia</v>
      </c>
      <c r="O982" s="8">
        <f>VLOOKUP(tblSalaries[[#This Row],[How many hours of a day you work on Excel]],tblHours,2,0)</f>
        <v>4</v>
      </c>
      <c r="P982" s="8">
        <f>VLOOKUP(tblSalaries[[#This Row],[clean Country]],tblCountries[],5,0)</f>
        <v>3.1081063720452211</v>
      </c>
      <c r="Q982" s="8">
        <f>IF($Q$1,tblSalaries[[#This Row],[PPP Factor]]*tblSalaries[[#This Row],[Salary in USD]],tblSalaries[[#This Row],[Salary in USD]])</f>
        <v>15206.427249917633</v>
      </c>
    </row>
    <row r="983" spans="2:17" ht="15" customHeight="1" x14ac:dyDescent="0.25">
      <c r="B983" t="s">
        <v>2986</v>
      </c>
      <c r="C983" s="1">
        <v>41057.431921296295</v>
      </c>
      <c r="D983" s="4" t="s">
        <v>1132</v>
      </c>
      <c r="E983">
        <v>180000</v>
      </c>
      <c r="F983" t="s">
        <v>670</v>
      </c>
      <c r="G983">
        <f>tblSalaries[[#This Row],[clean Salary (in local currency)]]*VLOOKUP(tblSalaries[[#This Row],[Currency]],tblXrate[],2,FALSE)</f>
        <v>143565.85684888897</v>
      </c>
      <c r="H983" t="s">
        <v>448</v>
      </c>
      <c r="I983" t="s">
        <v>52</v>
      </c>
      <c r="J983" t="s">
        <v>672</v>
      </c>
      <c r="K983" t="str">
        <f>VLOOKUP(tblSalaries[[#This Row],[Where do you work]],tblCountries[[Actual]:[Mapping]],2,FALSE)</f>
        <v>New Zealand</v>
      </c>
      <c r="L983" t="s">
        <v>9</v>
      </c>
      <c r="M983">
        <v>25</v>
      </c>
      <c r="N983" s="8" t="str">
        <f>VLOOKUP(K983,tblCountries[],3,0)</f>
        <v>Oceania</v>
      </c>
      <c r="O983" s="8">
        <f>VLOOKUP(tblSalaries[[#This Row],[How many hours of a day you work on Excel]],tblHours,2,0)</f>
        <v>4</v>
      </c>
      <c r="P983" s="8">
        <f>VLOOKUP(tblSalaries[[#This Row],[clean Country]],tblCountries[],5,0)</f>
        <v>1.7488434292323261</v>
      </c>
      <c r="Q983" s="8">
        <f>IF($Q$1,tblSalaries[[#This Row],[PPP Factor]]*tblSalaries[[#This Row],[Salary in USD]],tblSalaries[[#This Row],[Salary in USD]])</f>
        <v>143565.85684888897</v>
      </c>
    </row>
    <row r="984" spans="2:17" ht="15" customHeight="1" x14ac:dyDescent="0.25">
      <c r="B984" t="s">
        <v>2987</v>
      </c>
      <c r="C984" s="1">
        <v>41057.434618055559</v>
      </c>
      <c r="D984" s="4" t="s">
        <v>1133</v>
      </c>
      <c r="E984">
        <v>545000</v>
      </c>
      <c r="F984" t="s">
        <v>40</v>
      </c>
      <c r="G984">
        <f>tblSalaries[[#This Row],[clean Salary (in local currency)]]*VLOOKUP(tblSalaries[[#This Row],[Currency]],tblXrate[],2,FALSE)</f>
        <v>9705.3145946561999</v>
      </c>
      <c r="H984" t="s">
        <v>1022</v>
      </c>
      <c r="I984" t="s">
        <v>52</v>
      </c>
      <c r="J984" t="s">
        <v>8</v>
      </c>
      <c r="K984" t="str">
        <f>VLOOKUP(tblSalaries[[#This Row],[Where do you work]],tblCountries[[Actual]:[Mapping]],2,FALSE)</f>
        <v>India</v>
      </c>
      <c r="L984" t="s">
        <v>18</v>
      </c>
      <c r="M984">
        <v>6</v>
      </c>
      <c r="N984" s="8" t="str">
        <f>VLOOKUP(K984,tblCountries[],3,0)</f>
        <v>Asia</v>
      </c>
      <c r="O984" s="8">
        <f>VLOOKUP(tblSalaries[[#This Row],[How many hours of a day you work on Excel]],tblHours,2,0)</f>
        <v>3</v>
      </c>
      <c r="P984" s="8">
        <f>VLOOKUP(tblSalaries[[#This Row],[clean Country]],tblCountries[],5,0)</f>
        <v>13.098808879263672</v>
      </c>
      <c r="Q984" s="8">
        <f>IF($Q$1,tblSalaries[[#This Row],[PPP Factor]]*tblSalaries[[#This Row],[Salary in USD]],tblSalaries[[#This Row],[Salary in USD]])</f>
        <v>9705.3145946561999</v>
      </c>
    </row>
    <row r="985" spans="2:17" ht="15" customHeight="1" x14ac:dyDescent="0.25">
      <c r="B985" t="s">
        <v>2988</v>
      </c>
      <c r="C985" s="1">
        <v>41057.435937499999</v>
      </c>
      <c r="D985" s="4" t="s">
        <v>1134</v>
      </c>
      <c r="E985">
        <v>1000000</v>
      </c>
      <c r="F985" t="s">
        <v>40</v>
      </c>
      <c r="G985">
        <f>tblSalaries[[#This Row],[clean Salary (in local currency)]]*VLOOKUP(tblSalaries[[#This Row],[Currency]],tblXrate[],2,FALSE)</f>
        <v>17807.916687442568</v>
      </c>
      <c r="H985" t="s">
        <v>1135</v>
      </c>
      <c r="I985" t="s">
        <v>52</v>
      </c>
      <c r="J985" t="s">
        <v>8</v>
      </c>
      <c r="K985" t="str">
        <f>VLOOKUP(tblSalaries[[#This Row],[Where do you work]],tblCountries[[Actual]:[Mapping]],2,FALSE)</f>
        <v>India</v>
      </c>
      <c r="L985" t="s">
        <v>13</v>
      </c>
      <c r="M985">
        <v>8</v>
      </c>
      <c r="N985" s="8" t="str">
        <f>VLOOKUP(K985,tblCountries[],3,0)</f>
        <v>Asia</v>
      </c>
      <c r="O985" s="8">
        <f>VLOOKUP(tblSalaries[[#This Row],[How many hours of a day you work on Excel]],tblHours,2,0)</f>
        <v>5</v>
      </c>
      <c r="P985" s="8">
        <f>VLOOKUP(tblSalaries[[#This Row],[clean Country]],tblCountries[],5,0)</f>
        <v>13.098808879263672</v>
      </c>
      <c r="Q985" s="8">
        <f>IF($Q$1,tblSalaries[[#This Row],[PPP Factor]]*tblSalaries[[#This Row],[Salary in USD]],tblSalaries[[#This Row],[Salary in USD]])</f>
        <v>17807.916687442568</v>
      </c>
    </row>
    <row r="986" spans="2:17" ht="15" customHeight="1" x14ac:dyDescent="0.25">
      <c r="B986" t="s">
        <v>2989</v>
      </c>
      <c r="C986" s="1">
        <v>41057.435972222222</v>
      </c>
      <c r="D986" s="4">
        <v>180000</v>
      </c>
      <c r="E986">
        <v>180000</v>
      </c>
      <c r="F986" t="s">
        <v>40</v>
      </c>
      <c r="G986">
        <f>tblSalaries[[#This Row],[clean Salary (in local currency)]]*VLOOKUP(tblSalaries[[#This Row],[Currency]],tblXrate[],2,FALSE)</f>
        <v>3205.4250037396623</v>
      </c>
      <c r="H986" t="s">
        <v>1136</v>
      </c>
      <c r="I986" t="s">
        <v>20</v>
      </c>
      <c r="J986" t="s">
        <v>1137</v>
      </c>
      <c r="K986" t="str">
        <f>VLOOKUP(tblSalaries[[#This Row],[Where do you work]],tblCountries[[Actual]:[Mapping]],2,FALSE)</f>
        <v>India</v>
      </c>
      <c r="L986" t="s">
        <v>9</v>
      </c>
      <c r="M986">
        <v>10</v>
      </c>
      <c r="N986" s="8" t="str">
        <f>VLOOKUP(K986,tblCountries[],3,0)</f>
        <v>Asia</v>
      </c>
      <c r="O986" s="8">
        <f>VLOOKUP(tblSalaries[[#This Row],[How many hours of a day you work on Excel]],tblHours,2,0)</f>
        <v>4</v>
      </c>
      <c r="P986" s="8">
        <f>VLOOKUP(tblSalaries[[#This Row],[clean Country]],tblCountries[],5,0)</f>
        <v>13.098808879263672</v>
      </c>
      <c r="Q986" s="8">
        <f>IF($Q$1,tblSalaries[[#This Row],[PPP Factor]]*tblSalaries[[#This Row],[Salary in USD]],tblSalaries[[#This Row],[Salary in USD]])</f>
        <v>3205.4250037396623</v>
      </c>
    </row>
    <row r="987" spans="2:17" ht="15" customHeight="1" x14ac:dyDescent="0.25">
      <c r="B987" t="s">
        <v>2990</v>
      </c>
      <c r="C987" s="1">
        <v>41057.437280092592</v>
      </c>
      <c r="D987" s="4" t="s">
        <v>1138</v>
      </c>
      <c r="E987">
        <v>45000</v>
      </c>
      <c r="F987" t="s">
        <v>6</v>
      </c>
      <c r="G987">
        <f>tblSalaries[[#This Row],[clean Salary (in local currency)]]*VLOOKUP(tblSalaries[[#This Row],[Currency]],tblXrate[],2,FALSE)</f>
        <v>45000</v>
      </c>
      <c r="H987" t="s">
        <v>1139</v>
      </c>
      <c r="I987" t="s">
        <v>310</v>
      </c>
      <c r="J987" t="s">
        <v>15</v>
      </c>
      <c r="K987" t="str">
        <f>VLOOKUP(tblSalaries[[#This Row],[Where do you work]],tblCountries[[Actual]:[Mapping]],2,FALSE)</f>
        <v>USA</v>
      </c>
      <c r="L987" t="s">
        <v>13</v>
      </c>
      <c r="M987">
        <v>3</v>
      </c>
      <c r="N987" s="8" t="str">
        <f>VLOOKUP(K987,tblCountries[],3,0)</f>
        <v>North Amer.</v>
      </c>
      <c r="O987" s="8">
        <f>VLOOKUP(tblSalaries[[#This Row],[How many hours of a day you work on Excel]],tblHours,2,0)</f>
        <v>5</v>
      </c>
      <c r="P987" s="8">
        <f>VLOOKUP(tblSalaries[[#This Row],[clean Country]],tblCountries[],5,0)</f>
        <v>1</v>
      </c>
      <c r="Q987" s="8">
        <f>IF($Q$1,tblSalaries[[#This Row],[PPP Factor]]*tblSalaries[[#This Row],[Salary in USD]],tblSalaries[[#This Row],[Salary in USD]])</f>
        <v>45000</v>
      </c>
    </row>
    <row r="988" spans="2:17" ht="15" customHeight="1" x14ac:dyDescent="0.25">
      <c r="B988" t="s">
        <v>2991</v>
      </c>
      <c r="C988" s="1">
        <v>41057.443668981483</v>
      </c>
      <c r="D988" s="4">
        <v>700000</v>
      </c>
      <c r="E988">
        <v>700000</v>
      </c>
      <c r="F988" t="s">
        <v>40</v>
      </c>
      <c r="G988">
        <f>tblSalaries[[#This Row],[clean Salary (in local currency)]]*VLOOKUP(tblSalaries[[#This Row],[Currency]],tblXrate[],2,FALSE)</f>
        <v>12465.541681209797</v>
      </c>
      <c r="H988" t="s">
        <v>1140</v>
      </c>
      <c r="I988" t="s">
        <v>52</v>
      </c>
      <c r="J988" t="s">
        <v>8</v>
      </c>
      <c r="K988" t="str">
        <f>VLOOKUP(tblSalaries[[#This Row],[Where do you work]],tblCountries[[Actual]:[Mapping]],2,FALSE)</f>
        <v>India</v>
      </c>
      <c r="L988" t="s">
        <v>18</v>
      </c>
      <c r="M988">
        <v>7</v>
      </c>
      <c r="N988" s="8" t="str">
        <f>VLOOKUP(K988,tblCountries[],3,0)</f>
        <v>Asia</v>
      </c>
      <c r="O988" s="8">
        <f>VLOOKUP(tblSalaries[[#This Row],[How many hours of a day you work on Excel]],tblHours,2,0)</f>
        <v>3</v>
      </c>
      <c r="P988" s="8">
        <f>VLOOKUP(tblSalaries[[#This Row],[clean Country]],tblCountries[],5,0)</f>
        <v>13.098808879263672</v>
      </c>
      <c r="Q988" s="8">
        <f>IF($Q$1,tblSalaries[[#This Row],[PPP Factor]]*tblSalaries[[#This Row],[Salary in USD]],tblSalaries[[#This Row],[Salary in USD]])</f>
        <v>12465.541681209797</v>
      </c>
    </row>
    <row r="989" spans="2:17" ht="15" customHeight="1" x14ac:dyDescent="0.25">
      <c r="B989" t="s">
        <v>2992</v>
      </c>
      <c r="C989" s="1">
        <v>41057.4455787037</v>
      </c>
      <c r="D989" s="4">
        <v>94000</v>
      </c>
      <c r="E989">
        <v>94000</v>
      </c>
      <c r="F989" t="s">
        <v>82</v>
      </c>
      <c r="G989">
        <f>tblSalaries[[#This Row],[clean Salary (in local currency)]]*VLOOKUP(tblSalaries[[#This Row],[Currency]],tblXrate[],2,FALSE)</f>
        <v>95871.50770184776</v>
      </c>
      <c r="H989" t="s">
        <v>1141</v>
      </c>
      <c r="I989" t="s">
        <v>20</v>
      </c>
      <c r="J989" t="s">
        <v>84</v>
      </c>
      <c r="K989" t="str">
        <f>VLOOKUP(tblSalaries[[#This Row],[Where do you work]],tblCountries[[Actual]:[Mapping]],2,FALSE)</f>
        <v>Australia</v>
      </c>
      <c r="L989" t="s">
        <v>18</v>
      </c>
      <c r="M989">
        <v>14</v>
      </c>
      <c r="N989" s="8" t="str">
        <f>VLOOKUP(K989,tblCountries[],3,0)</f>
        <v>Oceania</v>
      </c>
      <c r="O989" s="8">
        <f>VLOOKUP(tblSalaries[[#This Row],[How many hours of a day you work on Excel]],tblHours,2,0)</f>
        <v>3</v>
      </c>
      <c r="P989" s="8">
        <f>VLOOKUP(tblSalaries[[#This Row],[clean Country]],tblCountries[],5,0)</f>
        <v>1.2026395585822935</v>
      </c>
      <c r="Q989" s="8">
        <f>IF($Q$1,tblSalaries[[#This Row],[PPP Factor]]*tblSalaries[[#This Row],[Salary in USD]],tblSalaries[[#This Row],[Salary in USD]])</f>
        <v>95871.50770184776</v>
      </c>
    </row>
    <row r="990" spans="2:17" ht="15" customHeight="1" x14ac:dyDescent="0.25">
      <c r="B990" t="s">
        <v>2993</v>
      </c>
      <c r="C990" s="1">
        <v>41057.445925925924</v>
      </c>
      <c r="D990" s="4">
        <v>170000</v>
      </c>
      <c r="E990">
        <v>170000</v>
      </c>
      <c r="F990" t="s">
        <v>82</v>
      </c>
      <c r="G990">
        <f>tblSalaries[[#This Row],[clean Salary (in local currency)]]*VLOOKUP(tblSalaries[[#This Row],[Currency]],tblXrate[],2,FALSE)</f>
        <v>173384.64158844808</v>
      </c>
      <c r="H990" t="s">
        <v>1142</v>
      </c>
      <c r="I990" t="s">
        <v>356</v>
      </c>
      <c r="J990" t="s">
        <v>84</v>
      </c>
      <c r="K990" t="str">
        <f>VLOOKUP(tblSalaries[[#This Row],[Where do you work]],tblCountries[[Actual]:[Mapping]],2,FALSE)</f>
        <v>Australia</v>
      </c>
      <c r="L990" t="s">
        <v>18</v>
      </c>
      <c r="M990">
        <v>8</v>
      </c>
      <c r="N990" s="8" t="str">
        <f>VLOOKUP(K990,tblCountries[],3,0)</f>
        <v>Oceania</v>
      </c>
      <c r="O990" s="8">
        <f>VLOOKUP(tblSalaries[[#This Row],[How many hours of a day you work on Excel]],tblHours,2,0)</f>
        <v>3</v>
      </c>
      <c r="P990" s="8">
        <f>VLOOKUP(tblSalaries[[#This Row],[clean Country]],tblCountries[],5,0)</f>
        <v>1.2026395585822935</v>
      </c>
      <c r="Q990" s="8">
        <f>IF($Q$1,tblSalaries[[#This Row],[PPP Factor]]*tblSalaries[[#This Row],[Salary in USD]],tblSalaries[[#This Row],[Salary in USD]])</f>
        <v>173384.64158844808</v>
      </c>
    </row>
    <row r="991" spans="2:17" ht="15" customHeight="1" x14ac:dyDescent="0.25">
      <c r="B991" t="s">
        <v>2994</v>
      </c>
      <c r="C991" s="1">
        <v>41057.466585648152</v>
      </c>
      <c r="D991" s="4">
        <v>650000</v>
      </c>
      <c r="E991">
        <v>650000</v>
      </c>
      <c r="F991" t="s">
        <v>40</v>
      </c>
      <c r="G991">
        <f>tblSalaries[[#This Row],[clean Salary (in local currency)]]*VLOOKUP(tblSalaries[[#This Row],[Currency]],tblXrate[],2,FALSE)</f>
        <v>11575.14584683767</v>
      </c>
      <c r="H991" t="s">
        <v>1143</v>
      </c>
      <c r="I991" t="s">
        <v>52</v>
      </c>
      <c r="J991" t="s">
        <v>8</v>
      </c>
      <c r="K991" t="str">
        <f>VLOOKUP(tblSalaries[[#This Row],[Where do you work]],tblCountries[[Actual]:[Mapping]],2,FALSE)</f>
        <v>India</v>
      </c>
      <c r="L991" t="s">
        <v>18</v>
      </c>
      <c r="M991">
        <v>1</v>
      </c>
      <c r="N991" s="8" t="str">
        <f>VLOOKUP(K991,tblCountries[],3,0)</f>
        <v>Asia</v>
      </c>
      <c r="O991" s="8">
        <f>VLOOKUP(tblSalaries[[#This Row],[How many hours of a day you work on Excel]],tblHours,2,0)</f>
        <v>3</v>
      </c>
      <c r="P991" s="8">
        <f>VLOOKUP(tblSalaries[[#This Row],[clean Country]],tblCountries[],5,0)</f>
        <v>13.098808879263672</v>
      </c>
      <c r="Q991" s="8">
        <f>IF($Q$1,tblSalaries[[#This Row],[PPP Factor]]*tblSalaries[[#This Row],[Salary in USD]],tblSalaries[[#This Row],[Salary in USD]])</f>
        <v>11575.14584683767</v>
      </c>
    </row>
    <row r="992" spans="2:17" ht="15" customHeight="1" x14ac:dyDescent="0.25">
      <c r="B992" t="s">
        <v>2995</v>
      </c>
      <c r="C992" s="1">
        <v>41057.480092592596</v>
      </c>
      <c r="D992" s="4">
        <v>18000</v>
      </c>
      <c r="E992">
        <v>18000</v>
      </c>
      <c r="F992" t="s">
        <v>6</v>
      </c>
      <c r="G992">
        <f>tblSalaries[[#This Row],[clean Salary (in local currency)]]*VLOOKUP(tblSalaries[[#This Row],[Currency]],tblXrate[],2,FALSE)</f>
        <v>18000</v>
      </c>
      <c r="H992" t="s">
        <v>1144</v>
      </c>
      <c r="I992" t="s">
        <v>67</v>
      </c>
      <c r="J992" t="s">
        <v>8</v>
      </c>
      <c r="K992" t="str">
        <f>VLOOKUP(tblSalaries[[#This Row],[Where do you work]],tblCountries[[Actual]:[Mapping]],2,FALSE)</f>
        <v>India</v>
      </c>
      <c r="L992" t="s">
        <v>13</v>
      </c>
      <c r="M992">
        <v>8</v>
      </c>
      <c r="N992" s="8" t="str">
        <f>VLOOKUP(K992,tblCountries[],3,0)</f>
        <v>Asia</v>
      </c>
      <c r="O992" s="8">
        <f>VLOOKUP(tblSalaries[[#This Row],[How many hours of a day you work on Excel]],tblHours,2,0)</f>
        <v>5</v>
      </c>
      <c r="P992" s="8">
        <f>VLOOKUP(tblSalaries[[#This Row],[clean Country]],tblCountries[],5,0)</f>
        <v>13.098808879263672</v>
      </c>
      <c r="Q992" s="8">
        <f>IF($Q$1,tblSalaries[[#This Row],[PPP Factor]]*tblSalaries[[#This Row],[Salary in USD]],tblSalaries[[#This Row],[Salary in USD]])</f>
        <v>18000</v>
      </c>
    </row>
    <row r="993" spans="2:17" ht="15" customHeight="1" x14ac:dyDescent="0.25">
      <c r="B993" t="s">
        <v>2996</v>
      </c>
      <c r="C993" s="1">
        <v>41057.481307870374</v>
      </c>
      <c r="D993" s="4" t="s">
        <v>1114</v>
      </c>
      <c r="E993">
        <v>70000</v>
      </c>
      <c r="F993" t="s">
        <v>82</v>
      </c>
      <c r="G993">
        <f>tblSalaries[[#This Row],[clean Salary (in local currency)]]*VLOOKUP(tblSalaries[[#This Row],[Currency]],tblXrate[],2,FALSE)</f>
        <v>71393.675948184507</v>
      </c>
      <c r="H993" t="s">
        <v>139</v>
      </c>
      <c r="I993" t="s">
        <v>4001</v>
      </c>
      <c r="J993" t="s">
        <v>84</v>
      </c>
      <c r="K993" t="str">
        <f>VLOOKUP(tblSalaries[[#This Row],[Where do you work]],tblCountries[[Actual]:[Mapping]],2,FALSE)</f>
        <v>Australia</v>
      </c>
      <c r="L993" t="s">
        <v>13</v>
      </c>
      <c r="M993">
        <v>2</v>
      </c>
      <c r="N993" s="8" t="str">
        <f>VLOOKUP(K993,tblCountries[],3,0)</f>
        <v>Oceania</v>
      </c>
      <c r="O993" s="8">
        <f>VLOOKUP(tblSalaries[[#This Row],[How many hours of a day you work on Excel]],tblHours,2,0)</f>
        <v>5</v>
      </c>
      <c r="P993" s="8">
        <f>VLOOKUP(tblSalaries[[#This Row],[clean Country]],tblCountries[],5,0)</f>
        <v>1.2026395585822935</v>
      </c>
      <c r="Q993" s="8">
        <f>IF($Q$1,tblSalaries[[#This Row],[PPP Factor]]*tblSalaries[[#This Row],[Salary in USD]],tblSalaries[[#This Row],[Salary in USD]])</f>
        <v>71393.675948184507</v>
      </c>
    </row>
    <row r="994" spans="2:17" ht="15" customHeight="1" x14ac:dyDescent="0.25">
      <c r="B994" t="s">
        <v>2997</v>
      </c>
      <c r="C994" s="1">
        <v>41057.48133101852</v>
      </c>
      <c r="D994" s="4" t="s">
        <v>1145</v>
      </c>
      <c r="E994">
        <v>350000</v>
      </c>
      <c r="F994" t="s">
        <v>40</v>
      </c>
      <c r="G994">
        <f>tblSalaries[[#This Row],[clean Salary (in local currency)]]*VLOOKUP(tblSalaries[[#This Row],[Currency]],tblXrate[],2,FALSE)</f>
        <v>6232.7708406048987</v>
      </c>
      <c r="H994" t="s">
        <v>153</v>
      </c>
      <c r="I994" t="s">
        <v>20</v>
      </c>
      <c r="J994" t="s">
        <v>8</v>
      </c>
      <c r="K994" t="str">
        <f>VLOOKUP(tblSalaries[[#This Row],[Where do you work]],tblCountries[[Actual]:[Mapping]],2,FALSE)</f>
        <v>India</v>
      </c>
      <c r="L994" t="s">
        <v>9</v>
      </c>
      <c r="M994">
        <v>2.5</v>
      </c>
      <c r="N994" s="8" t="str">
        <f>VLOOKUP(K994,tblCountries[],3,0)</f>
        <v>Asia</v>
      </c>
      <c r="O994" s="8">
        <f>VLOOKUP(tblSalaries[[#This Row],[How many hours of a day you work on Excel]],tblHours,2,0)</f>
        <v>4</v>
      </c>
      <c r="P994" s="8">
        <f>VLOOKUP(tblSalaries[[#This Row],[clean Country]],tblCountries[],5,0)</f>
        <v>13.098808879263672</v>
      </c>
      <c r="Q994" s="8">
        <f>IF($Q$1,tblSalaries[[#This Row],[PPP Factor]]*tblSalaries[[#This Row],[Salary in USD]],tblSalaries[[#This Row],[Salary in USD]])</f>
        <v>6232.7708406048987</v>
      </c>
    </row>
    <row r="995" spans="2:17" ht="15" customHeight="1" x14ac:dyDescent="0.25">
      <c r="B995" t="s">
        <v>2998</v>
      </c>
      <c r="C995" s="1">
        <v>41057.484224537038</v>
      </c>
      <c r="D995" s="4" t="s">
        <v>1146</v>
      </c>
      <c r="E995">
        <v>240000</v>
      </c>
      <c r="F995" t="s">
        <v>1147</v>
      </c>
      <c r="G995">
        <f>tblSalaries[[#This Row],[clean Salary (in local currency)]]*VLOOKUP(tblSalaries[[#This Row],[Currency]],tblXrate[],2,FALSE)</f>
        <v>1805.7739622442759</v>
      </c>
      <c r="H995" t="s">
        <v>939</v>
      </c>
      <c r="I995" t="s">
        <v>52</v>
      </c>
      <c r="J995" t="s">
        <v>716</v>
      </c>
      <c r="K995" t="str">
        <f>VLOOKUP(tblSalaries[[#This Row],[Where do you work]],tblCountries[[Actual]:[Mapping]],2,FALSE)</f>
        <v>Sri Lanka</v>
      </c>
      <c r="L995" t="s">
        <v>9</v>
      </c>
      <c r="M995">
        <v>3</v>
      </c>
      <c r="N995" s="8" t="str">
        <f>VLOOKUP(K995,tblCountries[],3,0)</f>
        <v>Asia</v>
      </c>
      <c r="O995" s="8">
        <f>VLOOKUP(tblSalaries[[#This Row],[How many hours of a day you work on Excel]],tblHours,2,0)</f>
        <v>4</v>
      </c>
      <c r="P995" s="8">
        <f>VLOOKUP(tblSalaries[[#This Row],[clean Country]],tblCountries[],5,0)</f>
        <v>8.5278463165315479</v>
      </c>
      <c r="Q995" s="8">
        <f>IF($Q$1,tblSalaries[[#This Row],[PPP Factor]]*tblSalaries[[#This Row],[Salary in USD]],tblSalaries[[#This Row],[Salary in USD]])</f>
        <v>1805.7739622442759</v>
      </c>
    </row>
    <row r="996" spans="2:17" ht="15" customHeight="1" x14ac:dyDescent="0.25">
      <c r="B996" t="s">
        <v>2999</v>
      </c>
      <c r="C996" s="1">
        <v>41057.48542824074</v>
      </c>
      <c r="D996" s="4" t="s">
        <v>1148</v>
      </c>
      <c r="E996">
        <v>640000</v>
      </c>
      <c r="F996" t="s">
        <v>40</v>
      </c>
      <c r="G996">
        <f>tblSalaries[[#This Row],[clean Salary (in local currency)]]*VLOOKUP(tblSalaries[[#This Row],[Currency]],tblXrate[],2,FALSE)</f>
        <v>11397.066679963244</v>
      </c>
      <c r="H996" t="s">
        <v>1149</v>
      </c>
      <c r="I996" t="s">
        <v>20</v>
      </c>
      <c r="J996" t="s">
        <v>8</v>
      </c>
      <c r="K996" t="str">
        <f>VLOOKUP(tblSalaries[[#This Row],[Where do you work]],tblCountries[[Actual]:[Mapping]],2,FALSE)</f>
        <v>India</v>
      </c>
      <c r="L996" t="s">
        <v>13</v>
      </c>
      <c r="M996">
        <v>6</v>
      </c>
      <c r="N996" s="8" t="str">
        <f>VLOOKUP(K996,tblCountries[],3,0)</f>
        <v>Asia</v>
      </c>
      <c r="O996" s="8">
        <f>VLOOKUP(tblSalaries[[#This Row],[How many hours of a day you work on Excel]],tblHours,2,0)</f>
        <v>5</v>
      </c>
      <c r="P996" s="8">
        <f>VLOOKUP(tblSalaries[[#This Row],[clean Country]],tblCountries[],5,0)</f>
        <v>13.098808879263672</v>
      </c>
      <c r="Q996" s="8">
        <f>IF($Q$1,tblSalaries[[#This Row],[PPP Factor]]*tblSalaries[[#This Row],[Salary in USD]],tblSalaries[[#This Row],[Salary in USD]])</f>
        <v>11397.066679963244</v>
      </c>
    </row>
    <row r="997" spans="2:17" ht="15" customHeight="1" x14ac:dyDescent="0.25">
      <c r="B997" t="s">
        <v>3000</v>
      </c>
      <c r="C997" s="1">
        <v>41057.486932870372</v>
      </c>
      <c r="D997" s="4">
        <v>15000</v>
      </c>
      <c r="E997">
        <v>15000</v>
      </c>
      <c r="F997" t="s">
        <v>6</v>
      </c>
      <c r="G997">
        <f>tblSalaries[[#This Row],[clean Salary (in local currency)]]*VLOOKUP(tblSalaries[[#This Row],[Currency]],tblXrate[],2,FALSE)</f>
        <v>15000</v>
      </c>
      <c r="H997" t="s">
        <v>1150</v>
      </c>
      <c r="I997" t="s">
        <v>52</v>
      </c>
      <c r="J997" t="s">
        <v>8</v>
      </c>
      <c r="K997" t="str">
        <f>VLOOKUP(tblSalaries[[#This Row],[Where do you work]],tblCountries[[Actual]:[Mapping]],2,FALSE)</f>
        <v>India</v>
      </c>
      <c r="L997" t="s">
        <v>9</v>
      </c>
      <c r="M997">
        <v>4</v>
      </c>
      <c r="N997" s="8" t="str">
        <f>VLOOKUP(K997,tblCountries[],3,0)</f>
        <v>Asia</v>
      </c>
      <c r="O997" s="8">
        <f>VLOOKUP(tblSalaries[[#This Row],[How many hours of a day you work on Excel]],tblHours,2,0)</f>
        <v>4</v>
      </c>
      <c r="P997" s="8">
        <f>VLOOKUP(tblSalaries[[#This Row],[clean Country]],tblCountries[],5,0)</f>
        <v>13.098808879263672</v>
      </c>
      <c r="Q997" s="8">
        <f>IF($Q$1,tblSalaries[[#This Row],[PPP Factor]]*tblSalaries[[#This Row],[Salary in USD]],tblSalaries[[#This Row],[Salary in USD]])</f>
        <v>15000</v>
      </c>
    </row>
    <row r="998" spans="2:17" ht="15" customHeight="1" x14ac:dyDescent="0.25">
      <c r="B998" t="s">
        <v>3001</v>
      </c>
      <c r="C998" s="1">
        <v>41057.499062499999</v>
      </c>
      <c r="D998" s="4" t="s">
        <v>1151</v>
      </c>
      <c r="E998">
        <v>308500</v>
      </c>
      <c r="F998" t="s">
        <v>585</v>
      </c>
      <c r="G998">
        <f>tblSalaries[[#This Row],[clean Salary (in local currency)]]*VLOOKUP(tblSalaries[[#This Row],[Currency]],tblXrate[],2,FALSE)</f>
        <v>37612.869087708088</v>
      </c>
      <c r="H998" t="s">
        <v>1152</v>
      </c>
      <c r="I998" t="s">
        <v>52</v>
      </c>
      <c r="J998" t="s">
        <v>48</v>
      </c>
      <c r="K998" t="str">
        <f>VLOOKUP(tblSalaries[[#This Row],[Where do you work]],tblCountries[[Actual]:[Mapping]],2,FALSE)</f>
        <v>South Africa</v>
      </c>
      <c r="L998" t="s">
        <v>13</v>
      </c>
      <c r="M998">
        <v>3</v>
      </c>
      <c r="N998" s="8" t="str">
        <f>VLOOKUP(K998,tblCountries[],3,0)</f>
        <v>Africa</v>
      </c>
      <c r="O998" s="8">
        <f>VLOOKUP(tblSalaries[[#This Row],[How many hours of a day you work on Excel]],tblHours,2,0)</f>
        <v>5</v>
      </c>
      <c r="P998" s="8">
        <f>VLOOKUP(tblSalaries[[#This Row],[clean Country]],tblCountries[],5,0)</f>
        <v>4.4096418481727877</v>
      </c>
      <c r="Q998" s="8">
        <f>IF($Q$1,tblSalaries[[#This Row],[PPP Factor]]*tblSalaries[[#This Row],[Salary in USD]],tblSalaries[[#This Row],[Salary in USD]])</f>
        <v>37612.869087708088</v>
      </c>
    </row>
    <row r="999" spans="2:17" ht="15" customHeight="1" x14ac:dyDescent="0.25">
      <c r="B999" t="s">
        <v>3002</v>
      </c>
      <c r="C999" s="1">
        <v>41057.500162037039</v>
      </c>
      <c r="D999" s="4">
        <v>3.65</v>
      </c>
      <c r="E999">
        <v>365000</v>
      </c>
      <c r="F999" t="s">
        <v>40</v>
      </c>
      <c r="G999">
        <f>tblSalaries[[#This Row],[clean Salary (in local currency)]]*VLOOKUP(tblSalaries[[#This Row],[Currency]],tblXrate[],2,FALSE)</f>
        <v>6499.8895909165376</v>
      </c>
      <c r="H999" t="s">
        <v>1153</v>
      </c>
      <c r="I999" t="s">
        <v>20</v>
      </c>
      <c r="J999" t="s">
        <v>8</v>
      </c>
      <c r="K999" t="str">
        <f>VLOOKUP(tblSalaries[[#This Row],[Where do you work]],tblCountries[[Actual]:[Mapping]],2,FALSE)</f>
        <v>India</v>
      </c>
      <c r="L999" t="s">
        <v>9</v>
      </c>
      <c r="M999">
        <v>3</v>
      </c>
      <c r="N999" s="8" t="str">
        <f>VLOOKUP(K999,tblCountries[],3,0)</f>
        <v>Asia</v>
      </c>
      <c r="O999" s="8">
        <f>VLOOKUP(tblSalaries[[#This Row],[How many hours of a day you work on Excel]],tblHours,2,0)</f>
        <v>4</v>
      </c>
      <c r="P999" s="8">
        <f>VLOOKUP(tblSalaries[[#This Row],[clean Country]],tblCountries[],5,0)</f>
        <v>13.098808879263672</v>
      </c>
      <c r="Q999" s="8">
        <f>IF($Q$1,tblSalaries[[#This Row],[PPP Factor]]*tblSalaries[[#This Row],[Salary in USD]],tblSalaries[[#This Row],[Salary in USD]])</f>
        <v>6499.8895909165376</v>
      </c>
    </row>
    <row r="1000" spans="2:17" ht="15" customHeight="1" x14ac:dyDescent="0.25">
      <c r="B1000" t="s">
        <v>3003</v>
      </c>
      <c r="C1000" s="1">
        <v>41057.506678240738</v>
      </c>
      <c r="D1000" s="4" t="s">
        <v>1154</v>
      </c>
      <c r="E1000">
        <v>20000</v>
      </c>
      <c r="F1000" t="s">
        <v>6</v>
      </c>
      <c r="G1000">
        <f>tblSalaries[[#This Row],[clean Salary (in local currency)]]*VLOOKUP(tblSalaries[[#This Row],[Currency]],tblXrate[],2,FALSE)</f>
        <v>20000</v>
      </c>
      <c r="H1000" t="s">
        <v>1155</v>
      </c>
      <c r="I1000" t="s">
        <v>3999</v>
      </c>
      <c r="J1000" t="s">
        <v>1156</v>
      </c>
      <c r="K1000" t="str">
        <f>VLOOKUP(tblSalaries[[#This Row],[Where do you work]],tblCountries[[Actual]:[Mapping]],2,FALSE)</f>
        <v>Paraguay</v>
      </c>
      <c r="L1000" t="s">
        <v>13</v>
      </c>
      <c r="M1000">
        <v>6</v>
      </c>
      <c r="N1000" s="8" t="str">
        <f>VLOOKUP(K1000,tblCountries[],3,0)</f>
        <v>South Amer.</v>
      </c>
      <c r="O1000" s="8">
        <f>VLOOKUP(tblSalaries[[#This Row],[How many hours of a day you work on Excel]],tblHours,2,0)</f>
        <v>5</v>
      </c>
      <c r="P1000" s="8">
        <f>VLOOKUP(tblSalaries[[#This Row],[clean Country]],tblCountries[],5,0)</f>
        <v>8.939035654904858</v>
      </c>
      <c r="Q1000" s="8">
        <f>IF($Q$1,tblSalaries[[#This Row],[PPP Factor]]*tblSalaries[[#This Row],[Salary in USD]],tblSalaries[[#This Row],[Salary in USD]])</f>
        <v>20000</v>
      </c>
    </row>
    <row r="1001" spans="2:17" ht="15" customHeight="1" x14ac:dyDescent="0.25">
      <c r="B1001" t="s">
        <v>3004</v>
      </c>
      <c r="C1001" s="1">
        <v>41057.507048611114</v>
      </c>
      <c r="D1001" s="4">
        <v>7265</v>
      </c>
      <c r="E1001">
        <v>7265</v>
      </c>
      <c r="F1001" t="s">
        <v>6</v>
      </c>
      <c r="G1001">
        <f>tblSalaries[[#This Row],[clean Salary (in local currency)]]*VLOOKUP(tblSalaries[[#This Row],[Currency]],tblXrate[],2,FALSE)</f>
        <v>7265</v>
      </c>
      <c r="H1001" t="s">
        <v>1157</v>
      </c>
      <c r="I1001" t="s">
        <v>279</v>
      </c>
      <c r="J1001" t="s">
        <v>8</v>
      </c>
      <c r="K1001" t="str">
        <f>VLOOKUP(tblSalaries[[#This Row],[Where do you work]],tblCountries[[Actual]:[Mapping]],2,FALSE)</f>
        <v>India</v>
      </c>
      <c r="L1001" t="s">
        <v>9</v>
      </c>
      <c r="M1001">
        <v>6</v>
      </c>
      <c r="N1001" s="8" t="str">
        <f>VLOOKUP(K1001,tblCountries[],3,0)</f>
        <v>Asia</v>
      </c>
      <c r="O1001" s="8">
        <f>VLOOKUP(tblSalaries[[#This Row],[How many hours of a day you work on Excel]],tblHours,2,0)</f>
        <v>4</v>
      </c>
      <c r="P1001" s="8">
        <f>VLOOKUP(tblSalaries[[#This Row],[clean Country]],tblCountries[],5,0)</f>
        <v>13.098808879263672</v>
      </c>
      <c r="Q1001" s="8">
        <f>IF($Q$1,tblSalaries[[#This Row],[PPP Factor]]*tblSalaries[[#This Row],[Salary in USD]],tblSalaries[[#This Row],[Salary in USD]])</f>
        <v>7265</v>
      </c>
    </row>
    <row r="1002" spans="2:17" ht="15" customHeight="1" x14ac:dyDescent="0.25">
      <c r="B1002" t="s">
        <v>3005</v>
      </c>
      <c r="C1002" s="1">
        <v>41057.511030092595</v>
      </c>
      <c r="D1002" s="4" t="s">
        <v>1158</v>
      </c>
      <c r="E1002">
        <v>92000</v>
      </c>
      <c r="F1002" t="s">
        <v>1159</v>
      </c>
      <c r="G1002">
        <f>tblSalaries[[#This Row],[clean Salary (in local currency)]]*VLOOKUP(tblSalaries[[#This Row],[Currency]],tblXrate[],2,FALSE)</f>
        <v>72571.80269935554</v>
      </c>
      <c r="H1002" t="s">
        <v>642</v>
      </c>
      <c r="I1002" t="s">
        <v>52</v>
      </c>
      <c r="J1002" t="s">
        <v>171</v>
      </c>
      <c r="K1002" t="str">
        <f>VLOOKUP(tblSalaries[[#This Row],[Where do you work]],tblCountries[[Actual]:[Mapping]],2,FALSE)</f>
        <v>Singapore</v>
      </c>
      <c r="L1002" t="s">
        <v>13</v>
      </c>
      <c r="M1002">
        <v>15</v>
      </c>
      <c r="N1002" s="8" t="str">
        <f>VLOOKUP(K1002,tblCountries[],3,0)</f>
        <v>Asia</v>
      </c>
      <c r="O1002" s="8">
        <f>VLOOKUP(tblSalaries[[#This Row],[How many hours of a day you work on Excel]],tblHours,2,0)</f>
        <v>5</v>
      </c>
      <c r="P1002" s="8">
        <f>VLOOKUP(tblSalaries[[#This Row],[clean Country]],tblCountries[],5,0)</f>
        <v>0.81035320125270049</v>
      </c>
      <c r="Q1002" s="8">
        <f>IF($Q$1,tblSalaries[[#This Row],[PPP Factor]]*tblSalaries[[#This Row],[Salary in USD]],tblSalaries[[#This Row],[Salary in USD]])</f>
        <v>72571.80269935554</v>
      </c>
    </row>
    <row r="1003" spans="2:17" ht="15" customHeight="1" x14ac:dyDescent="0.25">
      <c r="B1003" t="s">
        <v>3006</v>
      </c>
      <c r="C1003" s="1">
        <v>41057.514444444445</v>
      </c>
      <c r="D1003" s="4" t="s">
        <v>1160</v>
      </c>
      <c r="E1003">
        <v>450000</v>
      </c>
      <c r="F1003" t="s">
        <v>40</v>
      </c>
      <c r="G1003">
        <f>tblSalaries[[#This Row],[clean Salary (in local currency)]]*VLOOKUP(tblSalaries[[#This Row],[Currency]],tblXrate[],2,FALSE)</f>
        <v>8013.5625093491553</v>
      </c>
      <c r="H1003" t="s">
        <v>804</v>
      </c>
      <c r="I1003" t="s">
        <v>52</v>
      </c>
      <c r="J1003" t="s">
        <v>8</v>
      </c>
      <c r="K1003" t="str">
        <f>VLOOKUP(tblSalaries[[#This Row],[Where do you work]],tblCountries[[Actual]:[Mapping]],2,FALSE)</f>
        <v>India</v>
      </c>
      <c r="L1003" t="s">
        <v>13</v>
      </c>
      <c r="M1003">
        <v>15</v>
      </c>
      <c r="N1003" s="8" t="str">
        <f>VLOOKUP(K1003,tblCountries[],3,0)</f>
        <v>Asia</v>
      </c>
      <c r="O1003" s="8">
        <f>VLOOKUP(tblSalaries[[#This Row],[How many hours of a day you work on Excel]],tblHours,2,0)</f>
        <v>5</v>
      </c>
      <c r="P1003" s="8">
        <f>VLOOKUP(tblSalaries[[#This Row],[clean Country]],tblCountries[],5,0)</f>
        <v>13.098808879263672</v>
      </c>
      <c r="Q1003" s="8">
        <f>IF($Q$1,tblSalaries[[#This Row],[PPP Factor]]*tblSalaries[[#This Row],[Salary in USD]],tblSalaries[[#This Row],[Salary in USD]])</f>
        <v>8013.5625093491553</v>
      </c>
    </row>
    <row r="1004" spans="2:17" ht="15" customHeight="1" x14ac:dyDescent="0.25">
      <c r="B1004" t="s">
        <v>3007</v>
      </c>
      <c r="C1004" s="1">
        <v>41057.518067129633</v>
      </c>
      <c r="D1004" s="4" t="s">
        <v>1161</v>
      </c>
      <c r="E1004">
        <v>570000</v>
      </c>
      <c r="F1004" t="s">
        <v>40</v>
      </c>
      <c r="G1004">
        <f>tblSalaries[[#This Row],[clean Salary (in local currency)]]*VLOOKUP(tblSalaries[[#This Row],[Currency]],tblXrate[],2,FALSE)</f>
        <v>10150.512511842264</v>
      </c>
      <c r="H1004" t="s">
        <v>1162</v>
      </c>
      <c r="I1004" t="s">
        <v>20</v>
      </c>
      <c r="J1004" t="s">
        <v>8</v>
      </c>
      <c r="K1004" t="str">
        <f>VLOOKUP(tblSalaries[[#This Row],[Where do you work]],tblCountries[[Actual]:[Mapping]],2,FALSE)</f>
        <v>India</v>
      </c>
      <c r="L1004" t="s">
        <v>9</v>
      </c>
      <c r="M1004">
        <v>5</v>
      </c>
      <c r="N1004" s="8" t="str">
        <f>VLOOKUP(K1004,tblCountries[],3,0)</f>
        <v>Asia</v>
      </c>
      <c r="O1004" s="8">
        <f>VLOOKUP(tblSalaries[[#This Row],[How many hours of a day you work on Excel]],tblHours,2,0)</f>
        <v>4</v>
      </c>
      <c r="P1004" s="8">
        <f>VLOOKUP(tblSalaries[[#This Row],[clean Country]],tblCountries[],5,0)</f>
        <v>13.098808879263672</v>
      </c>
      <c r="Q1004" s="8">
        <f>IF($Q$1,tblSalaries[[#This Row],[PPP Factor]]*tblSalaries[[#This Row],[Salary in USD]],tblSalaries[[#This Row],[Salary in USD]])</f>
        <v>10150.512511842264</v>
      </c>
    </row>
    <row r="1005" spans="2:17" ht="15" customHeight="1" x14ac:dyDescent="0.25">
      <c r="B1005" t="s">
        <v>3008</v>
      </c>
      <c r="C1005" s="1">
        <v>41057.518541666665</v>
      </c>
      <c r="D1005" s="4">
        <v>65000</v>
      </c>
      <c r="E1005">
        <v>65000</v>
      </c>
      <c r="F1005" t="s">
        <v>6</v>
      </c>
      <c r="G1005">
        <f>tblSalaries[[#This Row],[clean Salary (in local currency)]]*VLOOKUP(tblSalaries[[#This Row],[Currency]],tblXrate[],2,FALSE)</f>
        <v>65000</v>
      </c>
      <c r="H1005" t="s">
        <v>488</v>
      </c>
      <c r="I1005" t="s">
        <v>488</v>
      </c>
      <c r="J1005" t="s">
        <v>15</v>
      </c>
      <c r="K1005" t="str">
        <f>VLOOKUP(tblSalaries[[#This Row],[Where do you work]],tblCountries[[Actual]:[Mapping]],2,FALSE)</f>
        <v>USA</v>
      </c>
      <c r="L1005" t="s">
        <v>9</v>
      </c>
      <c r="M1005">
        <v>9</v>
      </c>
      <c r="N1005" s="8" t="str">
        <f>VLOOKUP(K1005,tblCountries[],3,0)</f>
        <v>North Amer.</v>
      </c>
      <c r="O1005" s="8">
        <f>VLOOKUP(tblSalaries[[#This Row],[How many hours of a day you work on Excel]],tblHours,2,0)</f>
        <v>4</v>
      </c>
      <c r="P1005" s="8">
        <f>VLOOKUP(tblSalaries[[#This Row],[clean Country]],tblCountries[],5,0)</f>
        <v>1</v>
      </c>
      <c r="Q1005" s="8">
        <f>IF($Q$1,tblSalaries[[#This Row],[PPP Factor]]*tblSalaries[[#This Row],[Salary in USD]],tblSalaries[[#This Row],[Salary in USD]])</f>
        <v>65000</v>
      </c>
    </row>
    <row r="1006" spans="2:17" ht="15" customHeight="1" x14ac:dyDescent="0.25">
      <c r="B1006" t="s">
        <v>3009</v>
      </c>
      <c r="C1006" s="1">
        <v>41057.522361111114</v>
      </c>
      <c r="D1006" s="4">
        <v>300000</v>
      </c>
      <c r="E1006">
        <v>300000</v>
      </c>
      <c r="F1006" t="s">
        <v>32</v>
      </c>
      <c r="G1006">
        <f>tblSalaries[[#This Row],[clean Salary (in local currency)]]*VLOOKUP(tblSalaries[[#This Row],[Currency]],tblXrate[],2,FALSE)</f>
        <v>3184.2266150397395</v>
      </c>
      <c r="H1006" t="s">
        <v>897</v>
      </c>
      <c r="I1006" t="s">
        <v>52</v>
      </c>
      <c r="J1006" t="s">
        <v>17</v>
      </c>
      <c r="K1006" t="str">
        <f>VLOOKUP(tblSalaries[[#This Row],[Where do you work]],tblCountries[[Actual]:[Mapping]],2,FALSE)</f>
        <v>Pakistan</v>
      </c>
      <c r="L1006" t="s">
        <v>9</v>
      </c>
      <c r="M1006">
        <v>4</v>
      </c>
      <c r="N1006" s="8" t="str">
        <f>VLOOKUP(K1006,tblCountries[],3,0)</f>
        <v>Asia</v>
      </c>
      <c r="O1006" s="8">
        <f>VLOOKUP(tblSalaries[[#This Row],[How many hours of a day you work on Excel]],tblHours,2,0)</f>
        <v>4</v>
      </c>
      <c r="P1006" s="8">
        <f>VLOOKUP(tblSalaries[[#This Row],[clean Country]],tblCountries[],5,0)</f>
        <v>17.361679224973088</v>
      </c>
      <c r="Q1006" s="8">
        <f>IF($Q$1,tblSalaries[[#This Row],[PPP Factor]]*tblSalaries[[#This Row],[Salary in USD]],tblSalaries[[#This Row],[Salary in USD]])</f>
        <v>3184.2266150397395</v>
      </c>
    </row>
    <row r="1007" spans="2:17" ht="15" customHeight="1" x14ac:dyDescent="0.25">
      <c r="B1007" t="s">
        <v>3010</v>
      </c>
      <c r="C1007" s="1">
        <v>41057.524745370371</v>
      </c>
      <c r="D1007" s="4" t="s">
        <v>1163</v>
      </c>
      <c r="E1007">
        <v>612000</v>
      </c>
      <c r="F1007" t="s">
        <v>40</v>
      </c>
      <c r="G1007">
        <f>tblSalaries[[#This Row],[clean Salary (in local currency)]]*VLOOKUP(tblSalaries[[#This Row],[Currency]],tblXrate[],2,FALSE)</f>
        <v>10898.445012714852</v>
      </c>
      <c r="H1007" t="s">
        <v>1164</v>
      </c>
      <c r="I1007" t="s">
        <v>52</v>
      </c>
      <c r="J1007" t="s">
        <v>8</v>
      </c>
      <c r="K1007" t="str">
        <f>VLOOKUP(tblSalaries[[#This Row],[Where do you work]],tblCountries[[Actual]:[Mapping]],2,FALSE)</f>
        <v>India</v>
      </c>
      <c r="L1007" t="s">
        <v>18</v>
      </c>
      <c r="M1007">
        <v>13</v>
      </c>
      <c r="N1007" s="8" t="str">
        <f>VLOOKUP(K1007,tblCountries[],3,0)</f>
        <v>Asia</v>
      </c>
      <c r="O1007" s="8">
        <f>VLOOKUP(tblSalaries[[#This Row],[How many hours of a day you work on Excel]],tblHours,2,0)</f>
        <v>3</v>
      </c>
      <c r="P1007" s="8">
        <f>VLOOKUP(tblSalaries[[#This Row],[clean Country]],tblCountries[],5,0)</f>
        <v>13.098808879263672</v>
      </c>
      <c r="Q1007" s="8">
        <f>IF($Q$1,tblSalaries[[#This Row],[PPP Factor]]*tblSalaries[[#This Row],[Salary in USD]],tblSalaries[[#This Row],[Salary in USD]])</f>
        <v>10898.445012714852</v>
      </c>
    </row>
    <row r="1008" spans="2:17" ht="15" customHeight="1" x14ac:dyDescent="0.25">
      <c r="B1008" t="s">
        <v>3011</v>
      </c>
      <c r="C1008" s="1">
        <v>41057.528078703705</v>
      </c>
      <c r="D1008" s="4">
        <v>900</v>
      </c>
      <c r="E1008">
        <v>10800</v>
      </c>
      <c r="F1008" t="s">
        <v>6</v>
      </c>
      <c r="G1008">
        <f>tblSalaries[[#This Row],[clean Salary (in local currency)]]*VLOOKUP(tblSalaries[[#This Row],[Currency]],tblXrate[],2,FALSE)</f>
        <v>10800</v>
      </c>
      <c r="H1008" t="s">
        <v>1165</v>
      </c>
      <c r="I1008" t="s">
        <v>52</v>
      </c>
      <c r="J1008" t="s">
        <v>17</v>
      </c>
      <c r="K1008" t="str">
        <f>VLOOKUP(tblSalaries[[#This Row],[Where do you work]],tblCountries[[Actual]:[Mapping]],2,FALSE)</f>
        <v>Pakistan</v>
      </c>
      <c r="L1008" t="s">
        <v>13</v>
      </c>
      <c r="M1008">
        <v>5</v>
      </c>
      <c r="N1008" s="8" t="str">
        <f>VLOOKUP(K1008,tblCountries[],3,0)</f>
        <v>Asia</v>
      </c>
      <c r="O1008" s="8">
        <f>VLOOKUP(tblSalaries[[#This Row],[How many hours of a day you work on Excel]],tblHours,2,0)</f>
        <v>5</v>
      </c>
      <c r="P1008" s="8">
        <f>VLOOKUP(tblSalaries[[#This Row],[clean Country]],tblCountries[],5,0)</f>
        <v>17.361679224973088</v>
      </c>
      <c r="Q1008" s="8">
        <f>IF($Q$1,tblSalaries[[#This Row],[PPP Factor]]*tblSalaries[[#This Row],[Salary in USD]],tblSalaries[[#This Row],[Salary in USD]])</f>
        <v>10800</v>
      </c>
    </row>
    <row r="1009" spans="2:17" ht="15" customHeight="1" x14ac:dyDescent="0.25">
      <c r="B1009" t="s">
        <v>3012</v>
      </c>
      <c r="C1009" s="1">
        <v>41057.532870370371</v>
      </c>
      <c r="D1009" s="4">
        <v>120000</v>
      </c>
      <c r="E1009">
        <v>120000</v>
      </c>
      <c r="F1009" t="s">
        <v>40</v>
      </c>
      <c r="G1009">
        <f>tblSalaries[[#This Row],[clean Salary (in local currency)]]*VLOOKUP(tblSalaries[[#This Row],[Currency]],tblXrate[],2,FALSE)</f>
        <v>2136.9500024931081</v>
      </c>
      <c r="H1009" t="s">
        <v>1166</v>
      </c>
      <c r="I1009" t="s">
        <v>20</v>
      </c>
      <c r="J1009" t="s">
        <v>8</v>
      </c>
      <c r="K1009" t="str">
        <f>VLOOKUP(tblSalaries[[#This Row],[Where do you work]],tblCountries[[Actual]:[Mapping]],2,FALSE)</f>
        <v>India</v>
      </c>
      <c r="L1009" t="s">
        <v>18</v>
      </c>
      <c r="M1009">
        <v>3.5</v>
      </c>
      <c r="N1009" s="8" t="str">
        <f>VLOOKUP(K1009,tblCountries[],3,0)</f>
        <v>Asia</v>
      </c>
      <c r="O1009" s="8">
        <f>VLOOKUP(tblSalaries[[#This Row],[How many hours of a day you work on Excel]],tblHours,2,0)</f>
        <v>3</v>
      </c>
      <c r="P1009" s="8">
        <f>VLOOKUP(tblSalaries[[#This Row],[clean Country]],tblCountries[],5,0)</f>
        <v>13.098808879263672</v>
      </c>
      <c r="Q1009" s="8">
        <f>IF($Q$1,tblSalaries[[#This Row],[PPP Factor]]*tblSalaries[[#This Row],[Salary in USD]],tblSalaries[[#This Row],[Salary in USD]])</f>
        <v>2136.9500024931081</v>
      </c>
    </row>
    <row r="1010" spans="2:17" ht="15" customHeight="1" x14ac:dyDescent="0.25">
      <c r="B1010" t="s">
        <v>3013</v>
      </c>
      <c r="C1010" s="1">
        <v>41057.536030092589</v>
      </c>
      <c r="D1010" s="4">
        <v>45000</v>
      </c>
      <c r="E1010">
        <v>45000</v>
      </c>
      <c r="F1010" t="s">
        <v>6</v>
      </c>
      <c r="G1010">
        <f>tblSalaries[[#This Row],[clean Salary (in local currency)]]*VLOOKUP(tblSalaries[[#This Row],[Currency]],tblXrate[],2,FALSE)</f>
        <v>45000</v>
      </c>
      <c r="H1010" t="s">
        <v>279</v>
      </c>
      <c r="I1010" t="s">
        <v>279</v>
      </c>
      <c r="J1010" t="s">
        <v>1167</v>
      </c>
      <c r="K1010" t="str">
        <f>VLOOKUP(tblSalaries[[#This Row],[Where do you work]],tblCountries[[Actual]:[Mapping]],2,FALSE)</f>
        <v>Singapore</v>
      </c>
      <c r="L1010" t="s">
        <v>18</v>
      </c>
      <c r="M1010">
        <v>4</v>
      </c>
      <c r="N1010" s="8" t="str">
        <f>VLOOKUP(K1010,tblCountries[],3,0)</f>
        <v>Asia</v>
      </c>
      <c r="O1010" s="8">
        <f>VLOOKUP(tblSalaries[[#This Row],[How many hours of a day you work on Excel]],tblHours,2,0)</f>
        <v>3</v>
      </c>
      <c r="P1010" s="8">
        <f>VLOOKUP(tblSalaries[[#This Row],[clean Country]],tblCountries[],5,0)</f>
        <v>0.81035320125270049</v>
      </c>
      <c r="Q1010" s="8">
        <f>IF($Q$1,tblSalaries[[#This Row],[PPP Factor]]*tblSalaries[[#This Row],[Salary in USD]],tblSalaries[[#This Row],[Salary in USD]])</f>
        <v>45000</v>
      </c>
    </row>
    <row r="1011" spans="2:17" ht="15" customHeight="1" x14ac:dyDescent="0.25">
      <c r="B1011" t="s">
        <v>3014</v>
      </c>
      <c r="C1011" s="1">
        <v>41057.539733796293</v>
      </c>
      <c r="D1011" s="4" t="s">
        <v>1168</v>
      </c>
      <c r="E1011">
        <v>400000</v>
      </c>
      <c r="F1011" t="s">
        <v>40</v>
      </c>
      <c r="G1011">
        <f>tblSalaries[[#This Row],[clean Salary (in local currency)]]*VLOOKUP(tblSalaries[[#This Row],[Currency]],tblXrate[],2,FALSE)</f>
        <v>7123.1666749770275</v>
      </c>
      <c r="H1011" t="s">
        <v>929</v>
      </c>
      <c r="I1011" t="s">
        <v>52</v>
      </c>
      <c r="J1011" t="s">
        <v>8</v>
      </c>
      <c r="K1011" t="str">
        <f>VLOOKUP(tblSalaries[[#This Row],[Where do you work]],tblCountries[[Actual]:[Mapping]],2,FALSE)</f>
        <v>India</v>
      </c>
      <c r="L1011" t="s">
        <v>18</v>
      </c>
      <c r="M1011">
        <v>5</v>
      </c>
      <c r="N1011" s="8" t="str">
        <f>VLOOKUP(K1011,tblCountries[],3,0)</f>
        <v>Asia</v>
      </c>
      <c r="O1011" s="8">
        <f>VLOOKUP(tblSalaries[[#This Row],[How many hours of a day you work on Excel]],tblHours,2,0)</f>
        <v>3</v>
      </c>
      <c r="P1011" s="8">
        <f>VLOOKUP(tblSalaries[[#This Row],[clean Country]],tblCountries[],5,0)</f>
        <v>13.098808879263672</v>
      </c>
      <c r="Q1011" s="8">
        <f>IF($Q$1,tblSalaries[[#This Row],[PPP Factor]]*tblSalaries[[#This Row],[Salary in USD]],tblSalaries[[#This Row],[Salary in USD]])</f>
        <v>7123.1666749770275</v>
      </c>
    </row>
    <row r="1012" spans="2:17" ht="15" customHeight="1" x14ac:dyDescent="0.25">
      <c r="B1012" t="s">
        <v>3015</v>
      </c>
      <c r="C1012" s="1">
        <v>41057.54078703704</v>
      </c>
      <c r="D1012" s="4" t="s">
        <v>1169</v>
      </c>
      <c r="E1012">
        <v>300000</v>
      </c>
      <c r="F1012" t="s">
        <v>40</v>
      </c>
      <c r="G1012">
        <f>tblSalaries[[#This Row],[clean Salary (in local currency)]]*VLOOKUP(tblSalaries[[#This Row],[Currency]],tblXrate[],2,FALSE)</f>
        <v>5342.3750062327708</v>
      </c>
      <c r="H1012" t="s">
        <v>1170</v>
      </c>
      <c r="I1012" t="s">
        <v>310</v>
      </c>
      <c r="J1012" t="s">
        <v>8</v>
      </c>
      <c r="K1012" t="str">
        <f>VLOOKUP(tblSalaries[[#This Row],[Where do you work]],tblCountries[[Actual]:[Mapping]],2,FALSE)</f>
        <v>India</v>
      </c>
      <c r="L1012" t="s">
        <v>18</v>
      </c>
      <c r="M1012">
        <v>5</v>
      </c>
      <c r="N1012" s="8" t="str">
        <f>VLOOKUP(K1012,tblCountries[],3,0)</f>
        <v>Asia</v>
      </c>
      <c r="O1012" s="8">
        <f>VLOOKUP(tblSalaries[[#This Row],[How many hours of a day you work on Excel]],tblHours,2,0)</f>
        <v>3</v>
      </c>
      <c r="P1012" s="8">
        <f>VLOOKUP(tblSalaries[[#This Row],[clean Country]],tblCountries[],5,0)</f>
        <v>13.098808879263672</v>
      </c>
      <c r="Q1012" s="8">
        <f>IF($Q$1,tblSalaries[[#This Row],[PPP Factor]]*tblSalaries[[#This Row],[Salary in USD]],tblSalaries[[#This Row],[Salary in USD]])</f>
        <v>5342.3750062327708</v>
      </c>
    </row>
    <row r="1013" spans="2:17" ht="15" customHeight="1" x14ac:dyDescent="0.25">
      <c r="B1013" t="s">
        <v>3016</v>
      </c>
      <c r="C1013" s="1">
        <v>41057.541655092595</v>
      </c>
      <c r="D1013" s="4">
        <v>18000</v>
      </c>
      <c r="E1013">
        <v>18000</v>
      </c>
      <c r="F1013" t="s">
        <v>6</v>
      </c>
      <c r="G1013">
        <f>tblSalaries[[#This Row],[clean Salary (in local currency)]]*VLOOKUP(tblSalaries[[#This Row],[Currency]],tblXrate[],2,FALSE)</f>
        <v>18000</v>
      </c>
      <c r="H1013" t="s">
        <v>1171</v>
      </c>
      <c r="I1013" t="s">
        <v>52</v>
      </c>
      <c r="J1013" t="s">
        <v>8</v>
      </c>
      <c r="K1013" t="str">
        <f>VLOOKUP(tblSalaries[[#This Row],[Where do you work]],tblCountries[[Actual]:[Mapping]],2,FALSE)</f>
        <v>India</v>
      </c>
      <c r="L1013" t="s">
        <v>18</v>
      </c>
      <c r="M1013">
        <v>4.5999999999999996</v>
      </c>
      <c r="N1013" s="8" t="str">
        <f>VLOOKUP(K1013,tblCountries[],3,0)</f>
        <v>Asia</v>
      </c>
      <c r="O1013" s="8">
        <f>VLOOKUP(tblSalaries[[#This Row],[How many hours of a day you work on Excel]],tblHours,2,0)</f>
        <v>3</v>
      </c>
      <c r="P1013" s="8">
        <f>VLOOKUP(tblSalaries[[#This Row],[clean Country]],tblCountries[],5,0)</f>
        <v>13.098808879263672</v>
      </c>
      <c r="Q1013" s="8">
        <f>IF($Q$1,tblSalaries[[#This Row],[PPP Factor]]*tblSalaries[[#This Row],[Salary in USD]],tblSalaries[[#This Row],[Salary in USD]])</f>
        <v>18000</v>
      </c>
    </row>
    <row r="1014" spans="2:17" ht="15" customHeight="1" x14ac:dyDescent="0.25">
      <c r="B1014" t="s">
        <v>3017</v>
      </c>
      <c r="C1014" s="1">
        <v>41057.542847222219</v>
      </c>
      <c r="D1014" s="4" t="s">
        <v>1172</v>
      </c>
      <c r="E1014">
        <v>456000</v>
      </c>
      <c r="F1014" t="s">
        <v>32</v>
      </c>
      <c r="G1014">
        <f>tblSalaries[[#This Row],[clean Salary (in local currency)]]*VLOOKUP(tblSalaries[[#This Row],[Currency]],tblXrate[],2,FALSE)</f>
        <v>4840.0244548604041</v>
      </c>
      <c r="H1014" t="s">
        <v>1173</v>
      </c>
      <c r="I1014" t="s">
        <v>52</v>
      </c>
      <c r="J1014" t="s">
        <v>17</v>
      </c>
      <c r="K1014" t="str">
        <f>VLOOKUP(tblSalaries[[#This Row],[Where do you work]],tblCountries[[Actual]:[Mapping]],2,FALSE)</f>
        <v>Pakistan</v>
      </c>
      <c r="L1014" t="s">
        <v>9</v>
      </c>
      <c r="M1014">
        <v>2</v>
      </c>
      <c r="N1014" s="8" t="str">
        <f>VLOOKUP(K1014,tblCountries[],3,0)</f>
        <v>Asia</v>
      </c>
      <c r="O1014" s="8">
        <f>VLOOKUP(tblSalaries[[#This Row],[How many hours of a day you work on Excel]],tblHours,2,0)</f>
        <v>4</v>
      </c>
      <c r="P1014" s="8">
        <f>VLOOKUP(tblSalaries[[#This Row],[clean Country]],tblCountries[],5,0)</f>
        <v>17.361679224973088</v>
      </c>
      <c r="Q1014" s="8">
        <f>IF($Q$1,tblSalaries[[#This Row],[PPP Factor]]*tblSalaries[[#This Row],[Salary in USD]],tblSalaries[[#This Row],[Salary in USD]])</f>
        <v>4840.0244548604041</v>
      </c>
    </row>
    <row r="1015" spans="2:17" ht="15" customHeight="1" x14ac:dyDescent="0.25">
      <c r="B1015" t="s">
        <v>3018</v>
      </c>
      <c r="C1015" s="1">
        <v>41057.543703703705</v>
      </c>
      <c r="D1015" s="4" t="s">
        <v>1174</v>
      </c>
      <c r="E1015">
        <v>420000</v>
      </c>
      <c r="F1015" t="s">
        <v>40</v>
      </c>
      <c r="G1015">
        <f>tblSalaries[[#This Row],[clean Salary (in local currency)]]*VLOOKUP(tblSalaries[[#This Row],[Currency]],tblXrate[],2,FALSE)</f>
        <v>7479.3250087258784</v>
      </c>
      <c r="H1015" t="s">
        <v>20</v>
      </c>
      <c r="I1015" t="s">
        <v>20</v>
      </c>
      <c r="J1015" t="s">
        <v>8</v>
      </c>
      <c r="K1015" t="str">
        <f>VLOOKUP(tblSalaries[[#This Row],[Where do you work]],tblCountries[[Actual]:[Mapping]],2,FALSE)</f>
        <v>India</v>
      </c>
      <c r="L1015" t="s">
        <v>18</v>
      </c>
      <c r="M1015">
        <v>10</v>
      </c>
      <c r="N1015" s="8" t="str">
        <f>VLOOKUP(K1015,tblCountries[],3,0)</f>
        <v>Asia</v>
      </c>
      <c r="O1015" s="8">
        <f>VLOOKUP(tblSalaries[[#This Row],[How many hours of a day you work on Excel]],tblHours,2,0)</f>
        <v>3</v>
      </c>
      <c r="P1015" s="8">
        <f>VLOOKUP(tblSalaries[[#This Row],[clean Country]],tblCountries[],5,0)</f>
        <v>13.098808879263672</v>
      </c>
      <c r="Q1015" s="8">
        <f>IF($Q$1,tblSalaries[[#This Row],[PPP Factor]]*tblSalaries[[#This Row],[Salary in USD]],tblSalaries[[#This Row],[Salary in USD]])</f>
        <v>7479.3250087258784</v>
      </c>
    </row>
    <row r="1016" spans="2:17" ht="15" customHeight="1" x14ac:dyDescent="0.25">
      <c r="B1016" t="s">
        <v>3019</v>
      </c>
      <c r="C1016" s="1">
        <v>41057.545590277776</v>
      </c>
      <c r="D1016" s="4">
        <v>210000</v>
      </c>
      <c r="E1016">
        <v>210000</v>
      </c>
      <c r="F1016" t="s">
        <v>40</v>
      </c>
      <c r="G1016">
        <f>tblSalaries[[#This Row],[clean Salary (in local currency)]]*VLOOKUP(tblSalaries[[#This Row],[Currency]],tblXrate[],2,FALSE)</f>
        <v>3739.6625043629392</v>
      </c>
      <c r="H1016" t="s">
        <v>801</v>
      </c>
      <c r="I1016" t="s">
        <v>3999</v>
      </c>
      <c r="J1016" t="s">
        <v>8</v>
      </c>
      <c r="K1016" t="str">
        <f>VLOOKUP(tblSalaries[[#This Row],[Where do you work]],tblCountries[[Actual]:[Mapping]],2,FALSE)</f>
        <v>India</v>
      </c>
      <c r="L1016" t="s">
        <v>13</v>
      </c>
      <c r="M1016">
        <v>3.5</v>
      </c>
      <c r="N1016" s="8" t="str">
        <f>VLOOKUP(K1016,tblCountries[],3,0)</f>
        <v>Asia</v>
      </c>
      <c r="O1016" s="8">
        <f>VLOOKUP(tblSalaries[[#This Row],[How many hours of a day you work on Excel]],tblHours,2,0)</f>
        <v>5</v>
      </c>
      <c r="P1016" s="8">
        <f>VLOOKUP(tblSalaries[[#This Row],[clean Country]],tblCountries[],5,0)</f>
        <v>13.098808879263672</v>
      </c>
      <c r="Q1016" s="8">
        <f>IF($Q$1,tblSalaries[[#This Row],[PPP Factor]]*tblSalaries[[#This Row],[Salary in USD]],tblSalaries[[#This Row],[Salary in USD]])</f>
        <v>3739.6625043629392</v>
      </c>
    </row>
    <row r="1017" spans="2:17" ht="15" customHeight="1" x14ac:dyDescent="0.25">
      <c r="B1017" t="s">
        <v>3020</v>
      </c>
      <c r="C1017" s="1">
        <v>41057.546261574076</v>
      </c>
      <c r="D1017" s="4">
        <v>3500</v>
      </c>
      <c r="E1017">
        <v>42000</v>
      </c>
      <c r="F1017" t="s">
        <v>6</v>
      </c>
      <c r="G1017">
        <f>tblSalaries[[#This Row],[clean Salary (in local currency)]]*VLOOKUP(tblSalaries[[#This Row],[Currency]],tblXrate[],2,FALSE)</f>
        <v>42000</v>
      </c>
      <c r="H1017" t="s">
        <v>1175</v>
      </c>
      <c r="I1017" t="s">
        <v>52</v>
      </c>
      <c r="J1017" t="s">
        <v>1176</v>
      </c>
      <c r="K1017" t="str">
        <f>VLOOKUP(tblSalaries[[#This Row],[Where do you work]],tblCountries[[Actual]:[Mapping]],2,FALSE)</f>
        <v>Kuwait</v>
      </c>
      <c r="L1017" t="s">
        <v>13</v>
      </c>
      <c r="M1017">
        <v>5</v>
      </c>
      <c r="N1017" s="8" t="str">
        <f>VLOOKUP(K1017,tblCountries[],3,0)</f>
        <v>Asia</v>
      </c>
      <c r="O1017" s="8">
        <f>VLOOKUP(tblSalaries[[#This Row],[How many hours of a day you work on Excel]],tblHours,2,0)</f>
        <v>5</v>
      </c>
      <c r="P1017" s="8">
        <f>VLOOKUP(tblSalaries[[#This Row],[clean Country]],tblCountries[],5,0)</f>
        <v>1.1606102036410737</v>
      </c>
      <c r="Q1017" s="8">
        <f>IF($Q$1,tblSalaries[[#This Row],[PPP Factor]]*tblSalaries[[#This Row],[Salary in USD]],tblSalaries[[#This Row],[Salary in USD]])</f>
        <v>42000</v>
      </c>
    </row>
    <row r="1018" spans="2:17" ht="15" customHeight="1" x14ac:dyDescent="0.25">
      <c r="B1018" t="s">
        <v>3021</v>
      </c>
      <c r="C1018" s="1">
        <v>41057.548634259256</v>
      </c>
      <c r="D1018" s="4">
        <v>28000</v>
      </c>
      <c r="E1018">
        <v>28000</v>
      </c>
      <c r="F1018" t="s">
        <v>6</v>
      </c>
      <c r="G1018">
        <f>tblSalaries[[#This Row],[clean Salary (in local currency)]]*VLOOKUP(tblSalaries[[#This Row],[Currency]],tblXrate[],2,FALSE)</f>
        <v>28000</v>
      </c>
      <c r="H1018" t="s">
        <v>1082</v>
      </c>
      <c r="I1018" t="s">
        <v>3999</v>
      </c>
      <c r="J1018" t="s">
        <v>8</v>
      </c>
      <c r="K1018" t="str">
        <f>VLOOKUP(tblSalaries[[#This Row],[Where do you work]],tblCountries[[Actual]:[Mapping]],2,FALSE)</f>
        <v>India</v>
      </c>
      <c r="L1018" t="s">
        <v>18</v>
      </c>
      <c r="M1018">
        <v>3</v>
      </c>
      <c r="N1018" s="8" t="str">
        <f>VLOOKUP(K1018,tblCountries[],3,0)</f>
        <v>Asia</v>
      </c>
      <c r="O1018" s="8">
        <f>VLOOKUP(tblSalaries[[#This Row],[How many hours of a day you work on Excel]],tblHours,2,0)</f>
        <v>3</v>
      </c>
      <c r="P1018" s="8">
        <f>VLOOKUP(tblSalaries[[#This Row],[clean Country]],tblCountries[],5,0)</f>
        <v>13.098808879263672</v>
      </c>
      <c r="Q1018" s="8">
        <f>IF($Q$1,tblSalaries[[#This Row],[PPP Factor]]*tblSalaries[[#This Row],[Salary in USD]],tblSalaries[[#This Row],[Salary in USD]])</f>
        <v>28000</v>
      </c>
    </row>
    <row r="1019" spans="2:17" ht="15" customHeight="1" x14ac:dyDescent="0.25">
      <c r="B1019" t="s">
        <v>3022</v>
      </c>
      <c r="C1019" s="1">
        <v>41057.549791666665</v>
      </c>
      <c r="D1019" s="4">
        <v>6000</v>
      </c>
      <c r="E1019">
        <v>6000</v>
      </c>
      <c r="F1019" t="s">
        <v>6</v>
      </c>
      <c r="G1019">
        <f>tblSalaries[[#This Row],[clean Salary (in local currency)]]*VLOOKUP(tblSalaries[[#This Row],[Currency]],tblXrate[],2,FALSE)</f>
        <v>6000</v>
      </c>
      <c r="H1019" t="s">
        <v>52</v>
      </c>
      <c r="I1019" t="s">
        <v>52</v>
      </c>
      <c r="J1019" t="s">
        <v>8</v>
      </c>
      <c r="K1019" t="str">
        <f>VLOOKUP(tblSalaries[[#This Row],[Where do you work]],tblCountries[[Actual]:[Mapping]],2,FALSE)</f>
        <v>India</v>
      </c>
      <c r="L1019" t="s">
        <v>9</v>
      </c>
      <c r="M1019">
        <v>5</v>
      </c>
      <c r="N1019" s="8" t="str">
        <f>VLOOKUP(K1019,tblCountries[],3,0)</f>
        <v>Asia</v>
      </c>
      <c r="O1019" s="8">
        <f>VLOOKUP(tblSalaries[[#This Row],[How many hours of a day you work on Excel]],tblHours,2,0)</f>
        <v>4</v>
      </c>
      <c r="P1019" s="8">
        <f>VLOOKUP(tblSalaries[[#This Row],[clean Country]],tblCountries[],5,0)</f>
        <v>13.098808879263672</v>
      </c>
      <c r="Q1019" s="8">
        <f>IF($Q$1,tblSalaries[[#This Row],[PPP Factor]]*tblSalaries[[#This Row],[Salary in USD]],tblSalaries[[#This Row],[Salary in USD]])</f>
        <v>6000</v>
      </c>
    </row>
    <row r="1020" spans="2:17" ht="15" customHeight="1" x14ac:dyDescent="0.25">
      <c r="B1020" t="s">
        <v>3023</v>
      </c>
      <c r="C1020" s="1">
        <v>41057.559976851851</v>
      </c>
      <c r="D1020" s="4">
        <v>55</v>
      </c>
      <c r="E1020">
        <v>55000</v>
      </c>
      <c r="F1020" t="s">
        <v>670</v>
      </c>
      <c r="G1020">
        <f>tblSalaries[[#This Row],[clean Salary (in local currency)]]*VLOOKUP(tblSalaries[[#This Row],[Currency]],tblXrate[],2,FALSE)</f>
        <v>43867.345148271634</v>
      </c>
      <c r="H1020" t="s">
        <v>14</v>
      </c>
      <c r="I1020" t="s">
        <v>20</v>
      </c>
      <c r="J1020" t="s">
        <v>672</v>
      </c>
      <c r="K1020" t="str">
        <f>VLOOKUP(tblSalaries[[#This Row],[Where do you work]],tblCountries[[Actual]:[Mapping]],2,FALSE)</f>
        <v>New Zealand</v>
      </c>
      <c r="L1020" t="s">
        <v>13</v>
      </c>
      <c r="M1020">
        <v>10</v>
      </c>
      <c r="N1020" s="8" t="str">
        <f>VLOOKUP(K1020,tblCountries[],3,0)</f>
        <v>Oceania</v>
      </c>
      <c r="O1020" s="8">
        <f>VLOOKUP(tblSalaries[[#This Row],[How many hours of a day you work on Excel]],tblHours,2,0)</f>
        <v>5</v>
      </c>
      <c r="P1020" s="8">
        <f>VLOOKUP(tblSalaries[[#This Row],[clean Country]],tblCountries[],5,0)</f>
        <v>1.7488434292323261</v>
      </c>
      <c r="Q1020" s="8">
        <f>IF($Q$1,tblSalaries[[#This Row],[PPP Factor]]*tblSalaries[[#This Row],[Salary in USD]],tblSalaries[[#This Row],[Salary in USD]])</f>
        <v>43867.345148271634</v>
      </c>
    </row>
    <row r="1021" spans="2:17" ht="15" customHeight="1" x14ac:dyDescent="0.25">
      <c r="B1021" t="s">
        <v>3024</v>
      </c>
      <c r="C1021" s="1">
        <v>41057.560949074075</v>
      </c>
      <c r="D1021" s="4" t="s">
        <v>1177</v>
      </c>
      <c r="E1021">
        <v>1000000</v>
      </c>
      <c r="F1021" t="s">
        <v>40</v>
      </c>
      <c r="G1021">
        <f>tblSalaries[[#This Row],[clean Salary (in local currency)]]*VLOOKUP(tblSalaries[[#This Row],[Currency]],tblXrate[],2,FALSE)</f>
        <v>17807.916687442568</v>
      </c>
      <c r="H1021" t="s">
        <v>1178</v>
      </c>
      <c r="I1021" t="s">
        <v>20</v>
      </c>
      <c r="J1021" t="s">
        <v>8</v>
      </c>
      <c r="K1021" t="str">
        <f>VLOOKUP(tblSalaries[[#This Row],[Where do you work]],tblCountries[[Actual]:[Mapping]],2,FALSE)</f>
        <v>India</v>
      </c>
      <c r="L1021" t="s">
        <v>25</v>
      </c>
      <c r="M1021">
        <v>25</v>
      </c>
      <c r="N1021" s="8" t="str">
        <f>VLOOKUP(K1021,tblCountries[],3,0)</f>
        <v>Asia</v>
      </c>
      <c r="O1021" s="8">
        <f>VLOOKUP(tblSalaries[[#This Row],[How many hours of a day you work on Excel]],tblHours,2,0)</f>
        <v>2</v>
      </c>
      <c r="P1021" s="8">
        <f>VLOOKUP(tblSalaries[[#This Row],[clean Country]],tblCountries[],5,0)</f>
        <v>13.098808879263672</v>
      </c>
      <c r="Q1021" s="8">
        <f>IF($Q$1,tblSalaries[[#This Row],[PPP Factor]]*tblSalaries[[#This Row],[Salary in USD]],tblSalaries[[#This Row],[Salary in USD]])</f>
        <v>17807.916687442568</v>
      </c>
    </row>
    <row r="1022" spans="2:17" ht="15" customHeight="1" x14ac:dyDescent="0.25">
      <c r="B1022" t="s">
        <v>3025</v>
      </c>
      <c r="C1022" s="1">
        <v>41057.567476851851</v>
      </c>
      <c r="D1022" s="4">
        <v>600000</v>
      </c>
      <c r="E1022">
        <v>600000</v>
      </c>
      <c r="F1022" t="s">
        <v>40</v>
      </c>
      <c r="G1022">
        <f>tblSalaries[[#This Row],[clean Salary (in local currency)]]*VLOOKUP(tblSalaries[[#This Row],[Currency]],tblXrate[],2,FALSE)</f>
        <v>10684.750012465542</v>
      </c>
      <c r="H1022" t="s">
        <v>207</v>
      </c>
      <c r="I1022" t="s">
        <v>20</v>
      </c>
      <c r="J1022" t="s">
        <v>8</v>
      </c>
      <c r="K1022" t="str">
        <f>VLOOKUP(tblSalaries[[#This Row],[Where do you work]],tblCountries[[Actual]:[Mapping]],2,FALSE)</f>
        <v>India</v>
      </c>
      <c r="L1022" t="s">
        <v>13</v>
      </c>
      <c r="M1022">
        <v>12</v>
      </c>
      <c r="N1022" s="8" t="str">
        <f>VLOOKUP(K1022,tblCountries[],3,0)</f>
        <v>Asia</v>
      </c>
      <c r="O1022" s="8">
        <f>VLOOKUP(tblSalaries[[#This Row],[How many hours of a day you work on Excel]],tblHours,2,0)</f>
        <v>5</v>
      </c>
      <c r="P1022" s="8">
        <f>VLOOKUP(tblSalaries[[#This Row],[clean Country]],tblCountries[],5,0)</f>
        <v>13.098808879263672</v>
      </c>
      <c r="Q1022" s="8">
        <f>IF($Q$1,tblSalaries[[#This Row],[PPP Factor]]*tblSalaries[[#This Row],[Salary in USD]],tblSalaries[[#This Row],[Salary in USD]])</f>
        <v>10684.750012465542</v>
      </c>
    </row>
    <row r="1023" spans="2:17" ht="15" customHeight="1" x14ac:dyDescent="0.25">
      <c r="B1023" t="s">
        <v>3026</v>
      </c>
      <c r="C1023" s="1">
        <v>41057.570115740738</v>
      </c>
      <c r="D1023" s="4" t="s">
        <v>1179</v>
      </c>
      <c r="E1023">
        <v>60000</v>
      </c>
      <c r="F1023" t="s">
        <v>6</v>
      </c>
      <c r="G1023">
        <f>tblSalaries[[#This Row],[clean Salary (in local currency)]]*VLOOKUP(tblSalaries[[#This Row],[Currency]],tblXrate[],2,FALSE)</f>
        <v>60000</v>
      </c>
      <c r="H1023" t="s">
        <v>1180</v>
      </c>
      <c r="I1023" t="s">
        <v>356</v>
      </c>
      <c r="J1023" t="s">
        <v>515</v>
      </c>
      <c r="K1023" t="str">
        <f>VLOOKUP(tblSalaries[[#This Row],[Where do you work]],tblCountries[[Actual]:[Mapping]],2,FALSE)</f>
        <v>Finland</v>
      </c>
      <c r="L1023" t="s">
        <v>13</v>
      </c>
      <c r="M1023">
        <v>5</v>
      </c>
      <c r="N1023" s="8" t="str">
        <f>VLOOKUP(K1023,tblCountries[],3,0)</f>
        <v>Europe</v>
      </c>
      <c r="O1023" s="8">
        <f>VLOOKUP(tblSalaries[[#This Row],[How many hours of a day you work on Excel]],tblHours,2,0)</f>
        <v>5</v>
      </c>
      <c r="P1023" s="8">
        <f>VLOOKUP(tblSalaries[[#This Row],[clean Country]],tblCountries[],5,0)</f>
        <v>1.3353295065680539</v>
      </c>
      <c r="Q1023" s="8">
        <f>IF($Q$1,tblSalaries[[#This Row],[PPP Factor]]*tblSalaries[[#This Row],[Salary in USD]],tblSalaries[[#This Row],[Salary in USD]])</f>
        <v>60000</v>
      </c>
    </row>
    <row r="1024" spans="2:17" ht="15" customHeight="1" x14ac:dyDescent="0.25">
      <c r="B1024" t="s">
        <v>3027</v>
      </c>
      <c r="C1024" s="1">
        <v>41057.570520833331</v>
      </c>
      <c r="D1024" s="4">
        <v>476000</v>
      </c>
      <c r="E1024">
        <v>476000</v>
      </c>
      <c r="F1024" t="s">
        <v>40</v>
      </c>
      <c r="G1024">
        <f>tblSalaries[[#This Row],[clean Salary (in local currency)]]*VLOOKUP(tblSalaries[[#This Row],[Currency]],tblXrate[],2,FALSE)</f>
        <v>8476.5683432226633</v>
      </c>
      <c r="H1024" t="s">
        <v>1181</v>
      </c>
      <c r="I1024" t="s">
        <v>3999</v>
      </c>
      <c r="J1024" t="s">
        <v>8</v>
      </c>
      <c r="K1024" t="str">
        <f>VLOOKUP(tblSalaries[[#This Row],[Where do you work]],tblCountries[[Actual]:[Mapping]],2,FALSE)</f>
        <v>India</v>
      </c>
      <c r="L1024" t="s">
        <v>9</v>
      </c>
      <c r="M1024">
        <v>8</v>
      </c>
      <c r="N1024" s="8" t="str">
        <f>VLOOKUP(K1024,tblCountries[],3,0)</f>
        <v>Asia</v>
      </c>
      <c r="O1024" s="8">
        <f>VLOOKUP(tblSalaries[[#This Row],[How many hours of a day you work on Excel]],tblHours,2,0)</f>
        <v>4</v>
      </c>
      <c r="P1024" s="8">
        <f>VLOOKUP(tblSalaries[[#This Row],[clean Country]],tblCountries[],5,0)</f>
        <v>13.098808879263672</v>
      </c>
      <c r="Q1024" s="8">
        <f>IF($Q$1,tblSalaries[[#This Row],[PPP Factor]]*tblSalaries[[#This Row],[Salary in USD]],tblSalaries[[#This Row],[Salary in USD]])</f>
        <v>8476.5683432226633</v>
      </c>
    </row>
    <row r="1025" spans="2:17" ht="15" customHeight="1" x14ac:dyDescent="0.25">
      <c r="B1025" t="s">
        <v>3028</v>
      </c>
      <c r="C1025" s="1">
        <v>41057.570972222224</v>
      </c>
      <c r="D1025" s="4">
        <v>725</v>
      </c>
      <c r="E1025">
        <v>8700</v>
      </c>
      <c r="F1025" t="s">
        <v>6</v>
      </c>
      <c r="G1025">
        <f>tblSalaries[[#This Row],[clean Salary (in local currency)]]*VLOOKUP(tblSalaries[[#This Row],[Currency]],tblXrate[],2,FALSE)</f>
        <v>8700</v>
      </c>
      <c r="H1025" t="s">
        <v>1182</v>
      </c>
      <c r="I1025" t="s">
        <v>488</v>
      </c>
      <c r="J1025" t="s">
        <v>8</v>
      </c>
      <c r="K1025" t="str">
        <f>VLOOKUP(tblSalaries[[#This Row],[Where do you work]],tblCountries[[Actual]:[Mapping]],2,FALSE)</f>
        <v>India</v>
      </c>
      <c r="L1025" t="s">
        <v>18</v>
      </c>
      <c r="M1025">
        <v>7</v>
      </c>
      <c r="N1025" s="8" t="str">
        <f>VLOOKUP(K1025,tblCountries[],3,0)</f>
        <v>Asia</v>
      </c>
      <c r="O1025" s="8">
        <f>VLOOKUP(tblSalaries[[#This Row],[How many hours of a day you work on Excel]],tblHours,2,0)</f>
        <v>3</v>
      </c>
      <c r="P1025" s="8">
        <f>VLOOKUP(tblSalaries[[#This Row],[clean Country]],tblCountries[],5,0)</f>
        <v>13.098808879263672</v>
      </c>
      <c r="Q1025" s="8">
        <f>IF($Q$1,tblSalaries[[#This Row],[PPP Factor]]*tblSalaries[[#This Row],[Salary in USD]],tblSalaries[[#This Row],[Salary in USD]])</f>
        <v>8700</v>
      </c>
    </row>
    <row r="1026" spans="2:17" ht="15" customHeight="1" x14ac:dyDescent="0.25">
      <c r="B1026" t="s">
        <v>3029</v>
      </c>
      <c r="C1026" s="1">
        <v>41057.571238425924</v>
      </c>
      <c r="D1026" s="4" t="s">
        <v>1183</v>
      </c>
      <c r="E1026">
        <v>200000</v>
      </c>
      <c r="F1026" t="s">
        <v>40</v>
      </c>
      <c r="G1026">
        <f>tblSalaries[[#This Row],[clean Salary (in local currency)]]*VLOOKUP(tblSalaries[[#This Row],[Currency]],tblXrate[],2,FALSE)</f>
        <v>3561.5833374885137</v>
      </c>
      <c r="H1026" t="s">
        <v>1184</v>
      </c>
      <c r="I1026" t="s">
        <v>52</v>
      </c>
      <c r="J1026" t="s">
        <v>8</v>
      </c>
      <c r="K1026" t="str">
        <f>VLOOKUP(tblSalaries[[#This Row],[Where do you work]],tblCountries[[Actual]:[Mapping]],2,FALSE)</f>
        <v>India</v>
      </c>
      <c r="L1026" t="s">
        <v>13</v>
      </c>
      <c r="M1026">
        <v>8</v>
      </c>
      <c r="N1026" s="8" t="str">
        <f>VLOOKUP(K1026,tblCountries[],3,0)</f>
        <v>Asia</v>
      </c>
      <c r="O1026" s="8">
        <f>VLOOKUP(tblSalaries[[#This Row],[How many hours of a day you work on Excel]],tblHours,2,0)</f>
        <v>5</v>
      </c>
      <c r="P1026" s="8">
        <f>VLOOKUP(tblSalaries[[#This Row],[clean Country]],tblCountries[],5,0)</f>
        <v>13.098808879263672</v>
      </c>
      <c r="Q1026" s="8">
        <f>IF($Q$1,tblSalaries[[#This Row],[PPP Factor]]*tblSalaries[[#This Row],[Salary in USD]],tblSalaries[[#This Row],[Salary in USD]])</f>
        <v>3561.5833374885137</v>
      </c>
    </row>
    <row r="1027" spans="2:17" ht="15" customHeight="1" x14ac:dyDescent="0.25">
      <c r="B1027" t="s">
        <v>3030</v>
      </c>
      <c r="C1027" s="1">
        <v>41057.571539351855</v>
      </c>
      <c r="D1027" s="4">
        <v>1.8</v>
      </c>
      <c r="E1027">
        <v>180000</v>
      </c>
      <c r="F1027" t="s">
        <v>40</v>
      </c>
      <c r="G1027">
        <f>tblSalaries[[#This Row],[clean Salary (in local currency)]]*VLOOKUP(tblSalaries[[#This Row],[Currency]],tblXrate[],2,FALSE)</f>
        <v>3205.4250037396623</v>
      </c>
      <c r="H1027" t="s">
        <v>429</v>
      </c>
      <c r="I1027" t="s">
        <v>3999</v>
      </c>
      <c r="J1027" t="s">
        <v>8</v>
      </c>
      <c r="K1027" t="str">
        <f>VLOOKUP(tblSalaries[[#This Row],[Where do you work]],tblCountries[[Actual]:[Mapping]],2,FALSE)</f>
        <v>India</v>
      </c>
      <c r="L1027" t="s">
        <v>13</v>
      </c>
      <c r="M1027">
        <v>4</v>
      </c>
      <c r="N1027" s="8" t="str">
        <f>VLOOKUP(K1027,tblCountries[],3,0)</f>
        <v>Asia</v>
      </c>
      <c r="O1027" s="8">
        <f>VLOOKUP(tblSalaries[[#This Row],[How many hours of a day you work on Excel]],tblHours,2,0)</f>
        <v>5</v>
      </c>
      <c r="P1027" s="8">
        <f>VLOOKUP(tblSalaries[[#This Row],[clean Country]],tblCountries[],5,0)</f>
        <v>13.098808879263672</v>
      </c>
      <c r="Q1027" s="8">
        <f>IF($Q$1,tblSalaries[[#This Row],[PPP Factor]]*tblSalaries[[#This Row],[Salary in USD]],tblSalaries[[#This Row],[Salary in USD]])</f>
        <v>3205.4250037396623</v>
      </c>
    </row>
    <row r="1028" spans="2:17" ht="15" customHeight="1" x14ac:dyDescent="0.25">
      <c r="B1028" t="s">
        <v>3031</v>
      </c>
      <c r="C1028" s="1">
        <v>41057.573807870373</v>
      </c>
      <c r="D1028" s="4">
        <v>252000</v>
      </c>
      <c r="E1028">
        <v>252000</v>
      </c>
      <c r="F1028" t="s">
        <v>40</v>
      </c>
      <c r="G1028">
        <f>tblSalaries[[#This Row],[clean Salary (in local currency)]]*VLOOKUP(tblSalaries[[#This Row],[Currency]],tblXrate[],2,FALSE)</f>
        <v>4487.5950052355274</v>
      </c>
      <c r="H1028" t="s">
        <v>1185</v>
      </c>
      <c r="I1028" t="s">
        <v>310</v>
      </c>
      <c r="J1028" t="s">
        <v>8</v>
      </c>
      <c r="K1028" t="str">
        <f>VLOOKUP(tblSalaries[[#This Row],[Where do you work]],tblCountries[[Actual]:[Mapping]],2,FALSE)</f>
        <v>India</v>
      </c>
      <c r="L1028" t="s">
        <v>25</v>
      </c>
      <c r="M1028">
        <v>5</v>
      </c>
      <c r="N1028" s="8" t="str">
        <f>VLOOKUP(K1028,tblCountries[],3,0)</f>
        <v>Asia</v>
      </c>
      <c r="O1028" s="8">
        <f>VLOOKUP(tblSalaries[[#This Row],[How many hours of a day you work on Excel]],tblHours,2,0)</f>
        <v>2</v>
      </c>
      <c r="P1028" s="8">
        <f>VLOOKUP(tblSalaries[[#This Row],[clean Country]],tblCountries[],5,0)</f>
        <v>13.098808879263672</v>
      </c>
      <c r="Q1028" s="8">
        <f>IF($Q$1,tblSalaries[[#This Row],[PPP Factor]]*tblSalaries[[#This Row],[Salary in USD]],tblSalaries[[#This Row],[Salary in USD]])</f>
        <v>4487.5950052355274</v>
      </c>
    </row>
    <row r="1029" spans="2:17" ht="15" customHeight="1" x14ac:dyDescent="0.25">
      <c r="B1029" t="s">
        <v>3032</v>
      </c>
      <c r="C1029" s="1">
        <v>41057.579826388886</v>
      </c>
      <c r="D1029" s="4" t="s">
        <v>1186</v>
      </c>
      <c r="E1029">
        <v>700000</v>
      </c>
      <c r="F1029" t="s">
        <v>40</v>
      </c>
      <c r="G1029">
        <f>tblSalaries[[#This Row],[clean Salary (in local currency)]]*VLOOKUP(tblSalaries[[#This Row],[Currency]],tblXrate[],2,FALSE)</f>
        <v>12465.541681209797</v>
      </c>
      <c r="H1029" t="s">
        <v>503</v>
      </c>
      <c r="I1029" t="s">
        <v>20</v>
      </c>
      <c r="J1029" t="s">
        <v>8</v>
      </c>
      <c r="K1029" t="str">
        <f>VLOOKUP(tblSalaries[[#This Row],[Where do you work]],tblCountries[[Actual]:[Mapping]],2,FALSE)</f>
        <v>India</v>
      </c>
      <c r="L1029" t="s">
        <v>9</v>
      </c>
      <c r="M1029">
        <v>5</v>
      </c>
      <c r="N1029" s="8" t="str">
        <f>VLOOKUP(K1029,tblCountries[],3,0)</f>
        <v>Asia</v>
      </c>
      <c r="O1029" s="8">
        <f>VLOOKUP(tblSalaries[[#This Row],[How many hours of a day you work on Excel]],tblHours,2,0)</f>
        <v>4</v>
      </c>
      <c r="P1029" s="8">
        <f>VLOOKUP(tblSalaries[[#This Row],[clean Country]],tblCountries[],5,0)</f>
        <v>13.098808879263672</v>
      </c>
      <c r="Q1029" s="8">
        <f>IF($Q$1,tblSalaries[[#This Row],[PPP Factor]]*tblSalaries[[#This Row],[Salary in USD]],tblSalaries[[#This Row],[Salary in USD]])</f>
        <v>12465.541681209797</v>
      </c>
    </row>
    <row r="1030" spans="2:17" ht="15" customHeight="1" x14ac:dyDescent="0.25">
      <c r="B1030" t="s">
        <v>3033</v>
      </c>
      <c r="C1030" s="1">
        <v>41057.583981481483</v>
      </c>
      <c r="D1030" s="4">
        <v>194</v>
      </c>
      <c r="E1030">
        <v>2400</v>
      </c>
      <c r="F1030" t="s">
        <v>6</v>
      </c>
      <c r="G1030">
        <f>tblSalaries[[#This Row],[clean Salary (in local currency)]]*VLOOKUP(tblSalaries[[#This Row],[Currency]],tblXrate[],2,FALSE)</f>
        <v>2400</v>
      </c>
      <c r="H1030" t="s">
        <v>757</v>
      </c>
      <c r="I1030" t="s">
        <v>310</v>
      </c>
      <c r="J1030" t="s">
        <v>17</v>
      </c>
      <c r="K1030" t="str">
        <f>VLOOKUP(tblSalaries[[#This Row],[Where do you work]],tblCountries[[Actual]:[Mapping]],2,FALSE)</f>
        <v>Pakistan</v>
      </c>
      <c r="L1030" t="s">
        <v>18</v>
      </c>
      <c r="M1030">
        <v>15</v>
      </c>
      <c r="N1030" s="8" t="str">
        <f>VLOOKUP(K1030,tblCountries[],3,0)</f>
        <v>Asia</v>
      </c>
      <c r="O1030" s="8">
        <f>VLOOKUP(tblSalaries[[#This Row],[How many hours of a day you work on Excel]],tblHours,2,0)</f>
        <v>3</v>
      </c>
      <c r="P1030" s="8">
        <f>VLOOKUP(tblSalaries[[#This Row],[clean Country]],tblCountries[],5,0)</f>
        <v>17.361679224973088</v>
      </c>
      <c r="Q1030" s="8">
        <f>IF($Q$1,tblSalaries[[#This Row],[PPP Factor]]*tblSalaries[[#This Row],[Salary in USD]],tblSalaries[[#This Row],[Salary in USD]])</f>
        <v>2400</v>
      </c>
    </row>
    <row r="1031" spans="2:17" ht="15" customHeight="1" x14ac:dyDescent="0.25">
      <c r="B1031" t="s">
        <v>3034</v>
      </c>
      <c r="C1031" s="1">
        <v>41057.591365740744</v>
      </c>
      <c r="D1031" s="4" t="s">
        <v>1187</v>
      </c>
      <c r="E1031">
        <v>55000</v>
      </c>
      <c r="F1031" t="s">
        <v>6</v>
      </c>
      <c r="G1031">
        <f>tblSalaries[[#This Row],[clean Salary (in local currency)]]*VLOOKUP(tblSalaries[[#This Row],[Currency]],tblXrate[],2,FALSE)</f>
        <v>55000</v>
      </c>
      <c r="H1031" t="s">
        <v>467</v>
      </c>
      <c r="I1031" t="s">
        <v>3999</v>
      </c>
      <c r="J1031" t="s">
        <v>416</v>
      </c>
      <c r="K1031" t="str">
        <f>VLOOKUP(tblSalaries[[#This Row],[Where do you work]],tblCountries[[Actual]:[Mapping]],2,FALSE)</f>
        <v>Israel</v>
      </c>
      <c r="L1031" t="s">
        <v>9</v>
      </c>
      <c r="M1031">
        <v>6</v>
      </c>
      <c r="N1031" s="8" t="str">
        <f>VLOOKUP(K1031,tblCountries[],3,0)</f>
        <v>Asia</v>
      </c>
      <c r="O1031" s="8">
        <f>VLOOKUP(tblSalaries[[#This Row],[How many hours of a day you work on Excel]],tblHours,2,0)</f>
        <v>4</v>
      </c>
      <c r="P1031" s="8">
        <f>VLOOKUP(tblSalaries[[#This Row],[clean Country]],tblCountries[],5,0)</f>
        <v>1.5621307506053268</v>
      </c>
      <c r="Q1031" s="8">
        <f>IF($Q$1,tblSalaries[[#This Row],[PPP Factor]]*tblSalaries[[#This Row],[Salary in USD]],tblSalaries[[#This Row],[Salary in USD]])</f>
        <v>55000</v>
      </c>
    </row>
    <row r="1032" spans="2:17" ht="15" customHeight="1" x14ac:dyDescent="0.25">
      <c r="B1032" t="s">
        <v>3035</v>
      </c>
      <c r="C1032" s="1">
        <v>41057.59207175926</v>
      </c>
      <c r="D1032" s="4" t="s">
        <v>948</v>
      </c>
      <c r="E1032">
        <v>12000</v>
      </c>
      <c r="F1032" t="s">
        <v>6</v>
      </c>
      <c r="G1032">
        <f>tblSalaries[[#This Row],[clean Salary (in local currency)]]*VLOOKUP(tblSalaries[[#This Row],[Currency]],tblXrate[],2,FALSE)</f>
        <v>12000</v>
      </c>
      <c r="H1032" t="s">
        <v>1188</v>
      </c>
      <c r="I1032" t="s">
        <v>488</v>
      </c>
      <c r="J1032" t="s">
        <v>1078</v>
      </c>
      <c r="K1032" t="str">
        <f>VLOOKUP(tblSalaries[[#This Row],[Where do you work]],tblCountries[[Actual]:[Mapping]],2,FALSE)</f>
        <v>iran</v>
      </c>
      <c r="L1032" t="s">
        <v>9</v>
      </c>
      <c r="M1032">
        <v>3</v>
      </c>
      <c r="N1032" s="8" t="str">
        <f>VLOOKUP(K1032,tblCountries[],3,0)</f>
        <v>Asia</v>
      </c>
      <c r="O1032" s="8">
        <f>VLOOKUP(tblSalaries[[#This Row],[How many hours of a day you work on Excel]],tblHours,2,0)</f>
        <v>4</v>
      </c>
      <c r="P1032" s="8">
        <f>VLOOKUP(tblSalaries[[#This Row],[clean Country]],tblCountries[],5,0)</f>
        <v>3.706963916341071</v>
      </c>
      <c r="Q1032" s="8">
        <f>IF($Q$1,tblSalaries[[#This Row],[PPP Factor]]*tblSalaries[[#This Row],[Salary in USD]],tblSalaries[[#This Row],[Salary in USD]])</f>
        <v>12000</v>
      </c>
    </row>
    <row r="1033" spans="2:17" ht="15" customHeight="1" x14ac:dyDescent="0.25">
      <c r="B1033" t="s">
        <v>3036</v>
      </c>
      <c r="C1033" s="1">
        <v>41057.592245370368</v>
      </c>
      <c r="D1033" s="4">
        <v>43500</v>
      </c>
      <c r="E1033">
        <v>43500</v>
      </c>
      <c r="F1033" t="s">
        <v>22</v>
      </c>
      <c r="G1033">
        <f>tblSalaries[[#This Row],[clean Salary (in local currency)]]*VLOOKUP(tblSalaries[[#This Row],[Currency]],tblXrate[],2,FALSE)</f>
        <v>55262.375596134938</v>
      </c>
      <c r="H1033" t="s">
        <v>1189</v>
      </c>
      <c r="I1033" t="s">
        <v>52</v>
      </c>
      <c r="J1033" t="s">
        <v>1190</v>
      </c>
      <c r="K1033" t="str">
        <f>VLOOKUP(tblSalaries[[#This Row],[Where do you work]],tblCountries[[Actual]:[Mapping]],2,FALSE)</f>
        <v>Spain</v>
      </c>
      <c r="L1033" t="s">
        <v>18</v>
      </c>
      <c r="M1033">
        <v>10</v>
      </c>
      <c r="N1033" s="8" t="str">
        <f>VLOOKUP(K1033,tblCountries[],3,0)</f>
        <v>Europe</v>
      </c>
      <c r="O1033" s="8">
        <f>VLOOKUP(tblSalaries[[#This Row],[How many hours of a day you work on Excel]],tblHours,2,0)</f>
        <v>3</v>
      </c>
      <c r="P1033" s="8">
        <f>VLOOKUP(tblSalaries[[#This Row],[clean Country]],tblCountries[],5,0)</f>
        <v>1.5799320838503232</v>
      </c>
      <c r="Q1033" s="8">
        <f>IF($Q$1,tblSalaries[[#This Row],[PPP Factor]]*tblSalaries[[#This Row],[Salary in USD]],tblSalaries[[#This Row],[Salary in USD]])</f>
        <v>55262.375596134938</v>
      </c>
    </row>
    <row r="1034" spans="2:17" ht="15" customHeight="1" x14ac:dyDescent="0.25">
      <c r="B1034" t="s">
        <v>3037</v>
      </c>
      <c r="C1034" s="1">
        <v>41057.592268518521</v>
      </c>
      <c r="D1034" s="4" t="s">
        <v>1191</v>
      </c>
      <c r="E1034">
        <v>1200000</v>
      </c>
      <c r="F1034" t="s">
        <v>40</v>
      </c>
      <c r="G1034">
        <f>tblSalaries[[#This Row],[clean Salary (in local currency)]]*VLOOKUP(tblSalaries[[#This Row],[Currency]],tblXrate[],2,FALSE)</f>
        <v>21369.500024931083</v>
      </c>
      <c r="H1034" t="s">
        <v>939</v>
      </c>
      <c r="I1034" t="s">
        <v>52</v>
      </c>
      <c r="J1034" t="s">
        <v>8</v>
      </c>
      <c r="K1034" t="str">
        <f>VLOOKUP(tblSalaries[[#This Row],[Where do you work]],tblCountries[[Actual]:[Mapping]],2,FALSE)</f>
        <v>India</v>
      </c>
      <c r="L1034" t="s">
        <v>18</v>
      </c>
      <c r="M1034">
        <v>2</v>
      </c>
      <c r="N1034" s="8" t="str">
        <f>VLOOKUP(K1034,tblCountries[],3,0)</f>
        <v>Asia</v>
      </c>
      <c r="O1034" s="8">
        <f>VLOOKUP(tblSalaries[[#This Row],[How many hours of a day you work on Excel]],tblHours,2,0)</f>
        <v>3</v>
      </c>
      <c r="P1034" s="8">
        <f>VLOOKUP(tblSalaries[[#This Row],[clean Country]],tblCountries[],5,0)</f>
        <v>13.098808879263672</v>
      </c>
      <c r="Q1034" s="8">
        <f>IF($Q$1,tblSalaries[[#This Row],[PPP Factor]]*tblSalaries[[#This Row],[Salary in USD]],tblSalaries[[#This Row],[Salary in USD]])</f>
        <v>21369.500024931083</v>
      </c>
    </row>
    <row r="1035" spans="2:17" ht="15" customHeight="1" x14ac:dyDescent="0.25">
      <c r="B1035" t="s">
        <v>3038</v>
      </c>
      <c r="C1035" s="1">
        <v>41057.596296296295</v>
      </c>
      <c r="D1035" s="4">
        <v>26000</v>
      </c>
      <c r="E1035">
        <v>26000</v>
      </c>
      <c r="F1035" t="s">
        <v>69</v>
      </c>
      <c r="G1035">
        <f>tblSalaries[[#This Row],[clean Salary (in local currency)]]*VLOOKUP(tblSalaries[[#This Row],[Currency]],tblXrate[],2,FALSE)</f>
        <v>40980.635073749385</v>
      </c>
      <c r="H1035" t="s">
        <v>356</v>
      </c>
      <c r="I1035" t="s">
        <v>356</v>
      </c>
      <c r="J1035" t="s">
        <v>71</v>
      </c>
      <c r="K1035" t="str">
        <f>VLOOKUP(tblSalaries[[#This Row],[Where do you work]],tblCountries[[Actual]:[Mapping]],2,FALSE)</f>
        <v>UK</v>
      </c>
      <c r="L1035" t="s">
        <v>13</v>
      </c>
      <c r="M1035">
        <v>8</v>
      </c>
      <c r="N1035" s="8" t="str">
        <f>VLOOKUP(K1035,tblCountries[],3,0)</f>
        <v>Europe</v>
      </c>
      <c r="O1035" s="8">
        <f>VLOOKUP(tblSalaries[[#This Row],[How many hours of a day you work on Excel]],tblHours,2,0)</f>
        <v>5</v>
      </c>
      <c r="P1035" s="8">
        <f>VLOOKUP(tblSalaries[[#This Row],[clean Country]],tblCountries[],5,0)</f>
        <v>1.3407315045719035</v>
      </c>
      <c r="Q1035" s="8">
        <f>IF($Q$1,tblSalaries[[#This Row],[PPP Factor]]*tblSalaries[[#This Row],[Salary in USD]],tblSalaries[[#This Row],[Salary in USD]])</f>
        <v>40980.635073749385</v>
      </c>
    </row>
    <row r="1036" spans="2:17" ht="15" customHeight="1" x14ac:dyDescent="0.25">
      <c r="B1036" t="s">
        <v>3039</v>
      </c>
      <c r="C1036" s="1">
        <v>41057.598229166666</v>
      </c>
      <c r="D1036" s="4">
        <v>50000</v>
      </c>
      <c r="E1036">
        <v>50000</v>
      </c>
      <c r="F1036" t="s">
        <v>82</v>
      </c>
      <c r="G1036">
        <f>tblSalaries[[#This Row],[clean Salary (in local currency)]]*VLOOKUP(tblSalaries[[#This Row],[Currency]],tblXrate[],2,FALSE)</f>
        <v>50995.482820131787</v>
      </c>
      <c r="H1036" t="s">
        <v>1192</v>
      </c>
      <c r="I1036" t="s">
        <v>20</v>
      </c>
      <c r="J1036" t="s">
        <v>84</v>
      </c>
      <c r="K1036" t="str">
        <f>VLOOKUP(tblSalaries[[#This Row],[Where do you work]],tblCountries[[Actual]:[Mapping]],2,FALSE)</f>
        <v>Australia</v>
      </c>
      <c r="L1036" t="s">
        <v>9</v>
      </c>
      <c r="M1036">
        <v>4</v>
      </c>
      <c r="N1036" s="8" t="str">
        <f>VLOOKUP(K1036,tblCountries[],3,0)</f>
        <v>Oceania</v>
      </c>
      <c r="O1036" s="8">
        <f>VLOOKUP(tblSalaries[[#This Row],[How many hours of a day you work on Excel]],tblHours,2,0)</f>
        <v>4</v>
      </c>
      <c r="P1036" s="8">
        <f>VLOOKUP(tblSalaries[[#This Row],[clean Country]],tblCountries[],5,0)</f>
        <v>1.2026395585822935</v>
      </c>
      <c r="Q1036" s="8">
        <f>IF($Q$1,tblSalaries[[#This Row],[PPP Factor]]*tblSalaries[[#This Row],[Salary in USD]],tblSalaries[[#This Row],[Salary in USD]])</f>
        <v>50995.482820131787</v>
      </c>
    </row>
    <row r="1037" spans="2:17" ht="15" customHeight="1" x14ac:dyDescent="0.25">
      <c r="B1037" t="s">
        <v>3040</v>
      </c>
      <c r="C1037" s="1">
        <v>41057.598634259259</v>
      </c>
      <c r="D1037" s="4" t="s">
        <v>1193</v>
      </c>
      <c r="E1037">
        <v>16000</v>
      </c>
      <c r="F1037" t="s">
        <v>22</v>
      </c>
      <c r="G1037">
        <f>tblSalaries[[#This Row],[clean Salary (in local currency)]]*VLOOKUP(tblSalaries[[#This Row],[Currency]],tblXrate[],2,FALSE)</f>
        <v>20326.391023865726</v>
      </c>
      <c r="H1037" t="s">
        <v>1194</v>
      </c>
      <c r="I1037" t="s">
        <v>52</v>
      </c>
      <c r="J1037" t="s">
        <v>169</v>
      </c>
      <c r="K1037" t="str">
        <f>VLOOKUP(tblSalaries[[#This Row],[Where do you work]],tblCountries[[Actual]:[Mapping]],2,FALSE)</f>
        <v>Greece</v>
      </c>
      <c r="L1037" t="s">
        <v>13</v>
      </c>
      <c r="M1037">
        <v>16</v>
      </c>
      <c r="N1037" s="8" t="str">
        <f>VLOOKUP(K1037,tblCountries[],3,0)</f>
        <v>Europe</v>
      </c>
      <c r="O1037" s="8">
        <f>VLOOKUP(tblSalaries[[#This Row],[How many hours of a day you work on Excel]],tblHours,2,0)</f>
        <v>5</v>
      </c>
      <c r="P1037" s="8">
        <f>VLOOKUP(tblSalaries[[#This Row],[clean Country]],tblCountries[],5,0)</f>
        <v>1.8402297102000456</v>
      </c>
      <c r="Q1037" s="8">
        <f>IF($Q$1,tblSalaries[[#This Row],[PPP Factor]]*tblSalaries[[#This Row],[Salary in USD]],tblSalaries[[#This Row],[Salary in USD]])</f>
        <v>20326.391023865726</v>
      </c>
    </row>
    <row r="1038" spans="2:17" ht="15" customHeight="1" x14ac:dyDescent="0.25">
      <c r="B1038" t="s">
        <v>3041</v>
      </c>
      <c r="C1038" s="1">
        <v>41057.599965277775</v>
      </c>
      <c r="D1038" s="4">
        <v>1000</v>
      </c>
      <c r="E1038">
        <v>12000</v>
      </c>
      <c r="F1038" t="s">
        <v>6</v>
      </c>
      <c r="G1038">
        <f>tblSalaries[[#This Row],[clean Salary (in local currency)]]*VLOOKUP(tblSalaries[[#This Row],[Currency]],tblXrate[],2,FALSE)</f>
        <v>12000</v>
      </c>
      <c r="H1038" t="s">
        <v>83</v>
      </c>
      <c r="I1038" t="s">
        <v>356</v>
      </c>
      <c r="J1038" t="s">
        <v>8</v>
      </c>
      <c r="K1038" t="str">
        <f>VLOOKUP(tblSalaries[[#This Row],[Where do you work]],tblCountries[[Actual]:[Mapping]],2,FALSE)</f>
        <v>India</v>
      </c>
      <c r="L1038" t="s">
        <v>18</v>
      </c>
      <c r="M1038">
        <v>8</v>
      </c>
      <c r="N1038" s="8" t="str">
        <f>VLOOKUP(K1038,tblCountries[],3,0)</f>
        <v>Asia</v>
      </c>
      <c r="O1038" s="8">
        <f>VLOOKUP(tblSalaries[[#This Row],[How many hours of a day you work on Excel]],tblHours,2,0)</f>
        <v>3</v>
      </c>
      <c r="P1038" s="8">
        <f>VLOOKUP(tblSalaries[[#This Row],[clean Country]],tblCountries[],5,0)</f>
        <v>13.098808879263672</v>
      </c>
      <c r="Q1038" s="8">
        <f>IF($Q$1,tblSalaries[[#This Row],[PPP Factor]]*tblSalaries[[#This Row],[Salary in USD]],tblSalaries[[#This Row],[Salary in USD]])</f>
        <v>12000</v>
      </c>
    </row>
    <row r="1039" spans="2:17" ht="15" customHeight="1" x14ac:dyDescent="0.25">
      <c r="B1039" t="s">
        <v>3042</v>
      </c>
      <c r="C1039" s="1">
        <v>41057.604224537034</v>
      </c>
      <c r="D1039" s="4" t="s">
        <v>1195</v>
      </c>
      <c r="E1039">
        <v>240000</v>
      </c>
      <c r="F1039" t="s">
        <v>585</v>
      </c>
      <c r="G1039">
        <f>tblSalaries[[#This Row],[clean Salary (in local currency)]]*VLOOKUP(tblSalaries[[#This Row],[Currency]],tblXrate[],2,FALSE)</f>
        <v>29261.227167098674</v>
      </c>
      <c r="H1039" t="s">
        <v>1196</v>
      </c>
      <c r="I1039" t="s">
        <v>310</v>
      </c>
      <c r="J1039" t="s">
        <v>48</v>
      </c>
      <c r="K1039" t="str">
        <f>VLOOKUP(tblSalaries[[#This Row],[Where do you work]],tblCountries[[Actual]:[Mapping]],2,FALSE)</f>
        <v>South Africa</v>
      </c>
      <c r="L1039" t="s">
        <v>18</v>
      </c>
      <c r="M1039">
        <v>20</v>
      </c>
      <c r="N1039" s="8" t="str">
        <f>VLOOKUP(K1039,tblCountries[],3,0)</f>
        <v>Africa</v>
      </c>
      <c r="O1039" s="8">
        <f>VLOOKUP(tblSalaries[[#This Row],[How many hours of a day you work on Excel]],tblHours,2,0)</f>
        <v>3</v>
      </c>
      <c r="P1039" s="8">
        <f>VLOOKUP(tblSalaries[[#This Row],[clean Country]],tblCountries[],5,0)</f>
        <v>4.4096418481727877</v>
      </c>
      <c r="Q1039" s="8">
        <f>IF($Q$1,tblSalaries[[#This Row],[PPP Factor]]*tblSalaries[[#This Row],[Salary in USD]],tblSalaries[[#This Row],[Salary in USD]])</f>
        <v>29261.227167098674</v>
      </c>
    </row>
    <row r="1040" spans="2:17" ht="15" customHeight="1" x14ac:dyDescent="0.25">
      <c r="B1040" t="s">
        <v>3043</v>
      </c>
      <c r="C1040" s="1">
        <v>41057.605682870373</v>
      </c>
      <c r="D1040" s="4">
        <v>120000</v>
      </c>
      <c r="E1040">
        <v>120000</v>
      </c>
      <c r="F1040" t="s">
        <v>585</v>
      </c>
      <c r="G1040">
        <f>tblSalaries[[#This Row],[clean Salary (in local currency)]]*VLOOKUP(tblSalaries[[#This Row],[Currency]],tblXrate[],2,FALSE)</f>
        <v>14630.613583549337</v>
      </c>
      <c r="H1040" t="s">
        <v>344</v>
      </c>
      <c r="I1040" t="s">
        <v>4001</v>
      </c>
      <c r="J1040" t="s">
        <v>48</v>
      </c>
      <c r="K1040" t="str">
        <f>VLOOKUP(tblSalaries[[#This Row],[Where do you work]],tblCountries[[Actual]:[Mapping]],2,FALSE)</f>
        <v>South Africa</v>
      </c>
      <c r="L1040" t="s">
        <v>9</v>
      </c>
      <c r="M1040">
        <v>10</v>
      </c>
      <c r="N1040" s="8" t="str">
        <f>VLOOKUP(K1040,tblCountries[],3,0)</f>
        <v>Africa</v>
      </c>
      <c r="O1040" s="8">
        <f>VLOOKUP(tblSalaries[[#This Row],[How many hours of a day you work on Excel]],tblHours,2,0)</f>
        <v>4</v>
      </c>
      <c r="P1040" s="8">
        <f>VLOOKUP(tblSalaries[[#This Row],[clean Country]],tblCountries[],5,0)</f>
        <v>4.4096418481727877</v>
      </c>
      <c r="Q1040" s="8">
        <f>IF($Q$1,tblSalaries[[#This Row],[PPP Factor]]*tblSalaries[[#This Row],[Salary in USD]],tblSalaries[[#This Row],[Salary in USD]])</f>
        <v>14630.613583549337</v>
      </c>
    </row>
    <row r="1041" spans="2:17" ht="15" customHeight="1" x14ac:dyDescent="0.25">
      <c r="B1041" t="s">
        <v>3044</v>
      </c>
      <c r="C1041" s="1">
        <v>41057.60733796296</v>
      </c>
      <c r="D1041" s="4">
        <v>408000</v>
      </c>
      <c r="E1041">
        <v>408000</v>
      </c>
      <c r="F1041" t="s">
        <v>40</v>
      </c>
      <c r="G1041">
        <f>tblSalaries[[#This Row],[clean Salary (in local currency)]]*VLOOKUP(tblSalaries[[#This Row],[Currency]],tblXrate[],2,FALSE)</f>
        <v>7265.630008476568</v>
      </c>
      <c r="H1041" t="s">
        <v>1197</v>
      </c>
      <c r="I1041" t="s">
        <v>310</v>
      </c>
      <c r="J1041" t="s">
        <v>8</v>
      </c>
      <c r="K1041" t="str">
        <f>VLOOKUP(tblSalaries[[#This Row],[Where do you work]],tblCountries[[Actual]:[Mapping]],2,FALSE)</f>
        <v>India</v>
      </c>
      <c r="L1041" t="s">
        <v>13</v>
      </c>
      <c r="M1041">
        <v>5</v>
      </c>
      <c r="N1041" s="8" t="str">
        <f>VLOOKUP(K1041,tblCountries[],3,0)</f>
        <v>Asia</v>
      </c>
      <c r="O1041" s="8">
        <f>VLOOKUP(tblSalaries[[#This Row],[How many hours of a day you work on Excel]],tblHours,2,0)</f>
        <v>5</v>
      </c>
      <c r="P1041" s="8">
        <f>VLOOKUP(tblSalaries[[#This Row],[clean Country]],tblCountries[],5,0)</f>
        <v>13.098808879263672</v>
      </c>
      <c r="Q1041" s="8">
        <f>IF($Q$1,tblSalaries[[#This Row],[PPP Factor]]*tblSalaries[[#This Row],[Salary in USD]],tblSalaries[[#This Row],[Salary in USD]])</f>
        <v>7265.630008476568</v>
      </c>
    </row>
    <row r="1042" spans="2:17" ht="15" customHeight="1" x14ac:dyDescent="0.25">
      <c r="B1042" t="s">
        <v>3045</v>
      </c>
      <c r="C1042" s="1">
        <v>41057.607372685183</v>
      </c>
      <c r="D1042" s="4" t="s">
        <v>470</v>
      </c>
      <c r="E1042">
        <v>28000</v>
      </c>
      <c r="F1042" t="s">
        <v>69</v>
      </c>
      <c r="G1042">
        <f>tblSalaries[[#This Row],[clean Salary (in local currency)]]*VLOOKUP(tblSalaries[[#This Row],[Currency]],tblXrate[],2,FALSE)</f>
        <v>44132.991617883956</v>
      </c>
      <c r="H1042" t="s">
        <v>833</v>
      </c>
      <c r="I1042" t="s">
        <v>20</v>
      </c>
      <c r="J1042" t="s">
        <v>71</v>
      </c>
      <c r="K1042" t="str">
        <f>VLOOKUP(tblSalaries[[#This Row],[Where do you work]],tblCountries[[Actual]:[Mapping]],2,FALSE)</f>
        <v>UK</v>
      </c>
      <c r="L1042" t="s">
        <v>18</v>
      </c>
      <c r="M1042">
        <v>16</v>
      </c>
      <c r="N1042" s="8" t="str">
        <f>VLOOKUP(K1042,tblCountries[],3,0)</f>
        <v>Europe</v>
      </c>
      <c r="O1042" s="8">
        <f>VLOOKUP(tblSalaries[[#This Row],[How many hours of a day you work on Excel]],tblHours,2,0)</f>
        <v>3</v>
      </c>
      <c r="P1042" s="8">
        <f>VLOOKUP(tblSalaries[[#This Row],[clean Country]],tblCountries[],5,0)</f>
        <v>1.3407315045719035</v>
      </c>
      <c r="Q1042" s="8">
        <f>IF($Q$1,tblSalaries[[#This Row],[PPP Factor]]*tblSalaries[[#This Row],[Salary in USD]],tblSalaries[[#This Row],[Salary in USD]])</f>
        <v>44132.991617883956</v>
      </c>
    </row>
    <row r="1043" spans="2:17" ht="15" customHeight="1" x14ac:dyDescent="0.25">
      <c r="B1043" t="s">
        <v>3046</v>
      </c>
      <c r="C1043" s="1">
        <v>41057.61173611111</v>
      </c>
      <c r="D1043" s="4" t="s">
        <v>1198</v>
      </c>
      <c r="E1043">
        <v>530000</v>
      </c>
      <c r="F1043" t="s">
        <v>40</v>
      </c>
      <c r="G1043">
        <f>tblSalaries[[#This Row],[clean Salary (in local currency)]]*VLOOKUP(tblSalaries[[#This Row],[Currency]],tblXrate[],2,FALSE)</f>
        <v>9438.1958443445619</v>
      </c>
      <c r="H1043" t="s">
        <v>1199</v>
      </c>
      <c r="I1043" t="s">
        <v>20</v>
      </c>
      <c r="J1043" t="s">
        <v>8</v>
      </c>
      <c r="K1043" t="str">
        <f>VLOOKUP(tblSalaries[[#This Row],[Where do you work]],tblCountries[[Actual]:[Mapping]],2,FALSE)</f>
        <v>India</v>
      </c>
      <c r="L1043" t="s">
        <v>18</v>
      </c>
      <c r="M1043">
        <v>7</v>
      </c>
      <c r="N1043" s="8" t="str">
        <f>VLOOKUP(K1043,tblCountries[],3,0)</f>
        <v>Asia</v>
      </c>
      <c r="O1043" s="8">
        <f>VLOOKUP(tblSalaries[[#This Row],[How many hours of a day you work on Excel]],tblHours,2,0)</f>
        <v>3</v>
      </c>
      <c r="P1043" s="8">
        <f>VLOOKUP(tblSalaries[[#This Row],[clean Country]],tblCountries[],5,0)</f>
        <v>13.098808879263672</v>
      </c>
      <c r="Q1043" s="8">
        <f>IF($Q$1,tblSalaries[[#This Row],[PPP Factor]]*tblSalaries[[#This Row],[Salary in USD]],tblSalaries[[#This Row],[Salary in USD]])</f>
        <v>9438.1958443445619</v>
      </c>
    </row>
    <row r="1044" spans="2:17" ht="15" customHeight="1" x14ac:dyDescent="0.25">
      <c r="B1044" t="s">
        <v>3047</v>
      </c>
      <c r="C1044" s="1">
        <v>41057.613657407404</v>
      </c>
      <c r="D1044" s="4" t="s">
        <v>1200</v>
      </c>
      <c r="E1044">
        <v>18000</v>
      </c>
      <c r="F1044" t="s">
        <v>6</v>
      </c>
      <c r="G1044">
        <f>tblSalaries[[#This Row],[clean Salary (in local currency)]]*VLOOKUP(tblSalaries[[#This Row],[Currency]],tblXrate[],2,FALSE)</f>
        <v>18000</v>
      </c>
      <c r="H1044" t="s">
        <v>20</v>
      </c>
      <c r="I1044" t="s">
        <v>20</v>
      </c>
      <c r="J1044" t="s">
        <v>75</v>
      </c>
      <c r="K1044" t="str">
        <f>VLOOKUP(tblSalaries[[#This Row],[Where do you work]],tblCountries[[Actual]:[Mapping]],2,FALSE)</f>
        <v>Poland</v>
      </c>
      <c r="L1044" t="s">
        <v>9</v>
      </c>
      <c r="M1044">
        <v>7</v>
      </c>
      <c r="N1044" s="8" t="str">
        <f>VLOOKUP(K1044,tblCountries[],3,0)</f>
        <v>Europe</v>
      </c>
      <c r="O1044" s="8">
        <f>VLOOKUP(tblSalaries[[#This Row],[How many hours of a day you work on Excel]],tblHours,2,0)</f>
        <v>4</v>
      </c>
      <c r="P1044" s="8">
        <f>VLOOKUP(tblSalaries[[#This Row],[clean Country]],tblCountries[],5,0)</f>
        <v>2.3796105045736207</v>
      </c>
      <c r="Q1044" s="8">
        <f>IF($Q$1,tblSalaries[[#This Row],[PPP Factor]]*tblSalaries[[#This Row],[Salary in USD]],tblSalaries[[#This Row],[Salary in USD]])</f>
        <v>18000</v>
      </c>
    </row>
    <row r="1045" spans="2:17" ht="15" customHeight="1" x14ac:dyDescent="0.25">
      <c r="B1045" t="s">
        <v>3048</v>
      </c>
      <c r="C1045" s="1">
        <v>41057.614189814813</v>
      </c>
      <c r="D1045" s="4" t="s">
        <v>1201</v>
      </c>
      <c r="E1045">
        <v>200000</v>
      </c>
      <c r="F1045" t="s">
        <v>40</v>
      </c>
      <c r="G1045">
        <f>tblSalaries[[#This Row],[clean Salary (in local currency)]]*VLOOKUP(tblSalaries[[#This Row],[Currency]],tblXrate[],2,FALSE)</f>
        <v>3561.5833374885137</v>
      </c>
      <c r="H1045" t="s">
        <v>1202</v>
      </c>
      <c r="I1045" t="s">
        <v>52</v>
      </c>
      <c r="J1045" t="s">
        <v>8</v>
      </c>
      <c r="K1045" t="str">
        <f>VLOOKUP(tblSalaries[[#This Row],[Where do you work]],tblCountries[[Actual]:[Mapping]],2,FALSE)</f>
        <v>India</v>
      </c>
      <c r="L1045" t="s">
        <v>18</v>
      </c>
      <c r="M1045">
        <v>5</v>
      </c>
      <c r="N1045" s="8" t="str">
        <f>VLOOKUP(K1045,tblCountries[],3,0)</f>
        <v>Asia</v>
      </c>
      <c r="O1045" s="8">
        <f>VLOOKUP(tblSalaries[[#This Row],[How many hours of a day you work on Excel]],tblHours,2,0)</f>
        <v>3</v>
      </c>
      <c r="P1045" s="8">
        <f>VLOOKUP(tblSalaries[[#This Row],[clean Country]],tblCountries[],5,0)</f>
        <v>13.098808879263672</v>
      </c>
      <c r="Q1045" s="8">
        <f>IF($Q$1,tblSalaries[[#This Row],[PPP Factor]]*tblSalaries[[#This Row],[Salary in USD]],tblSalaries[[#This Row],[Salary in USD]])</f>
        <v>3561.5833374885137</v>
      </c>
    </row>
    <row r="1046" spans="2:17" ht="15" customHeight="1" x14ac:dyDescent="0.25">
      <c r="B1046" t="s">
        <v>3049</v>
      </c>
      <c r="C1046" s="1">
        <v>41057.614629629628</v>
      </c>
      <c r="D1046" s="4" t="s">
        <v>1203</v>
      </c>
      <c r="E1046">
        <v>200000</v>
      </c>
      <c r="F1046" t="s">
        <v>40</v>
      </c>
      <c r="G1046">
        <f>tblSalaries[[#This Row],[clean Salary (in local currency)]]*VLOOKUP(tblSalaries[[#This Row],[Currency]],tblXrate[],2,FALSE)</f>
        <v>3561.5833374885137</v>
      </c>
      <c r="H1046" t="s">
        <v>721</v>
      </c>
      <c r="I1046" t="s">
        <v>3999</v>
      </c>
      <c r="J1046" t="s">
        <v>8</v>
      </c>
      <c r="K1046" t="str">
        <f>VLOOKUP(tblSalaries[[#This Row],[Where do you work]],tblCountries[[Actual]:[Mapping]],2,FALSE)</f>
        <v>India</v>
      </c>
      <c r="L1046" t="s">
        <v>9</v>
      </c>
      <c r="M1046">
        <v>3</v>
      </c>
      <c r="N1046" s="8" t="str">
        <f>VLOOKUP(K1046,tblCountries[],3,0)</f>
        <v>Asia</v>
      </c>
      <c r="O1046" s="8">
        <f>VLOOKUP(tblSalaries[[#This Row],[How many hours of a day you work on Excel]],tblHours,2,0)</f>
        <v>4</v>
      </c>
      <c r="P1046" s="8">
        <f>VLOOKUP(tblSalaries[[#This Row],[clean Country]],tblCountries[],5,0)</f>
        <v>13.098808879263672</v>
      </c>
      <c r="Q1046" s="8">
        <f>IF($Q$1,tblSalaries[[#This Row],[PPP Factor]]*tblSalaries[[#This Row],[Salary in USD]],tblSalaries[[#This Row],[Salary in USD]])</f>
        <v>3561.5833374885137</v>
      </c>
    </row>
    <row r="1047" spans="2:17" ht="15" customHeight="1" x14ac:dyDescent="0.25">
      <c r="B1047" t="s">
        <v>3050</v>
      </c>
      <c r="C1047" s="1">
        <v>41057.615763888891</v>
      </c>
      <c r="D1047" s="4">
        <v>5100</v>
      </c>
      <c r="E1047">
        <v>5100</v>
      </c>
      <c r="F1047" t="s">
        <v>6</v>
      </c>
      <c r="G1047">
        <f>tblSalaries[[#This Row],[clean Salary (in local currency)]]*VLOOKUP(tblSalaries[[#This Row],[Currency]],tblXrate[],2,FALSE)</f>
        <v>5100</v>
      </c>
      <c r="H1047" t="s">
        <v>721</v>
      </c>
      <c r="I1047" t="s">
        <v>3999</v>
      </c>
      <c r="J1047" t="s">
        <v>8</v>
      </c>
      <c r="K1047" t="str">
        <f>VLOOKUP(tblSalaries[[#This Row],[Where do you work]],tblCountries[[Actual]:[Mapping]],2,FALSE)</f>
        <v>India</v>
      </c>
      <c r="L1047" t="s">
        <v>13</v>
      </c>
      <c r="M1047">
        <v>8</v>
      </c>
      <c r="N1047" s="8" t="str">
        <f>VLOOKUP(K1047,tblCountries[],3,0)</f>
        <v>Asia</v>
      </c>
      <c r="O1047" s="8">
        <f>VLOOKUP(tblSalaries[[#This Row],[How many hours of a day you work on Excel]],tblHours,2,0)</f>
        <v>5</v>
      </c>
      <c r="P1047" s="8">
        <f>VLOOKUP(tblSalaries[[#This Row],[clean Country]],tblCountries[],5,0)</f>
        <v>13.098808879263672</v>
      </c>
      <c r="Q1047" s="8">
        <f>IF($Q$1,tblSalaries[[#This Row],[PPP Factor]]*tblSalaries[[#This Row],[Salary in USD]],tblSalaries[[#This Row],[Salary in USD]])</f>
        <v>5100</v>
      </c>
    </row>
    <row r="1048" spans="2:17" ht="15" customHeight="1" x14ac:dyDescent="0.25">
      <c r="B1048" t="s">
        <v>3051</v>
      </c>
      <c r="C1048" s="1">
        <v>41057.618090277778</v>
      </c>
      <c r="D1048" s="4">
        <v>100000</v>
      </c>
      <c r="E1048">
        <v>1200000</v>
      </c>
      <c r="F1048" t="s">
        <v>40</v>
      </c>
      <c r="G1048">
        <f>tblSalaries[[#This Row],[clean Salary (in local currency)]]*VLOOKUP(tblSalaries[[#This Row],[Currency]],tblXrate[],2,FALSE)</f>
        <v>21369.500024931083</v>
      </c>
      <c r="H1048" t="s">
        <v>725</v>
      </c>
      <c r="I1048" t="s">
        <v>20</v>
      </c>
      <c r="J1048" t="s">
        <v>8</v>
      </c>
      <c r="K1048" t="str">
        <f>VLOOKUP(tblSalaries[[#This Row],[Where do you work]],tblCountries[[Actual]:[Mapping]],2,FALSE)</f>
        <v>India</v>
      </c>
      <c r="L1048" t="s">
        <v>9</v>
      </c>
      <c r="M1048">
        <v>7</v>
      </c>
      <c r="N1048" s="8" t="str">
        <f>VLOOKUP(K1048,tblCountries[],3,0)</f>
        <v>Asia</v>
      </c>
      <c r="O1048" s="8">
        <f>VLOOKUP(tblSalaries[[#This Row],[How many hours of a day you work on Excel]],tblHours,2,0)</f>
        <v>4</v>
      </c>
      <c r="P1048" s="8">
        <f>VLOOKUP(tblSalaries[[#This Row],[clean Country]],tblCountries[],5,0)</f>
        <v>13.098808879263672</v>
      </c>
      <c r="Q1048" s="8">
        <f>IF($Q$1,tblSalaries[[#This Row],[PPP Factor]]*tblSalaries[[#This Row],[Salary in USD]],tblSalaries[[#This Row],[Salary in USD]])</f>
        <v>21369.500024931083</v>
      </c>
    </row>
    <row r="1049" spans="2:17" ht="15" customHeight="1" x14ac:dyDescent="0.25">
      <c r="B1049" t="s">
        <v>3052</v>
      </c>
      <c r="C1049" s="1">
        <v>41057.61996527778</v>
      </c>
      <c r="D1049" s="4" t="s">
        <v>1204</v>
      </c>
      <c r="E1049">
        <v>300000</v>
      </c>
      <c r="F1049" t="s">
        <v>40</v>
      </c>
      <c r="G1049">
        <f>tblSalaries[[#This Row],[clean Salary (in local currency)]]*VLOOKUP(tblSalaries[[#This Row],[Currency]],tblXrate[],2,FALSE)</f>
        <v>5342.3750062327708</v>
      </c>
      <c r="H1049" t="s">
        <v>1205</v>
      </c>
      <c r="I1049" t="s">
        <v>356</v>
      </c>
      <c r="J1049" t="s">
        <v>8</v>
      </c>
      <c r="K1049" t="str">
        <f>VLOOKUP(tblSalaries[[#This Row],[Where do you work]],tblCountries[[Actual]:[Mapping]],2,FALSE)</f>
        <v>India</v>
      </c>
      <c r="L1049" t="s">
        <v>18</v>
      </c>
      <c r="M1049">
        <v>1</v>
      </c>
      <c r="N1049" s="8" t="str">
        <f>VLOOKUP(K1049,tblCountries[],3,0)</f>
        <v>Asia</v>
      </c>
      <c r="O1049" s="8">
        <f>VLOOKUP(tblSalaries[[#This Row],[How many hours of a day you work on Excel]],tblHours,2,0)</f>
        <v>3</v>
      </c>
      <c r="P1049" s="8">
        <f>VLOOKUP(tblSalaries[[#This Row],[clean Country]],tblCountries[],5,0)</f>
        <v>13.098808879263672</v>
      </c>
      <c r="Q1049" s="8">
        <f>IF($Q$1,tblSalaries[[#This Row],[PPP Factor]]*tblSalaries[[#This Row],[Salary in USD]],tblSalaries[[#This Row],[Salary in USD]])</f>
        <v>5342.3750062327708</v>
      </c>
    </row>
    <row r="1050" spans="2:17" ht="15" customHeight="1" x14ac:dyDescent="0.25">
      <c r="B1050" t="s">
        <v>3053</v>
      </c>
      <c r="C1050" s="1">
        <v>41057.620162037034</v>
      </c>
      <c r="D1050" s="4">
        <v>50000</v>
      </c>
      <c r="E1050">
        <v>50000</v>
      </c>
      <c r="F1050" t="s">
        <v>6</v>
      </c>
      <c r="G1050">
        <f>tblSalaries[[#This Row],[clean Salary (in local currency)]]*VLOOKUP(tblSalaries[[#This Row],[Currency]],tblXrate[],2,FALSE)</f>
        <v>50000</v>
      </c>
      <c r="H1050" t="s">
        <v>593</v>
      </c>
      <c r="I1050" t="s">
        <v>4001</v>
      </c>
      <c r="J1050" t="s">
        <v>8</v>
      </c>
      <c r="K1050" t="str">
        <f>VLOOKUP(tblSalaries[[#This Row],[Where do you work]],tblCountries[[Actual]:[Mapping]],2,FALSE)</f>
        <v>India</v>
      </c>
      <c r="L1050" t="s">
        <v>25</v>
      </c>
      <c r="M1050">
        <v>26</v>
      </c>
      <c r="N1050" s="8" t="str">
        <f>VLOOKUP(K1050,tblCountries[],3,0)</f>
        <v>Asia</v>
      </c>
      <c r="O1050" s="8">
        <f>VLOOKUP(tblSalaries[[#This Row],[How many hours of a day you work on Excel]],tblHours,2,0)</f>
        <v>2</v>
      </c>
      <c r="P1050" s="8">
        <f>VLOOKUP(tblSalaries[[#This Row],[clean Country]],tblCountries[],5,0)</f>
        <v>13.098808879263672</v>
      </c>
      <c r="Q1050" s="8">
        <f>IF($Q$1,tblSalaries[[#This Row],[PPP Factor]]*tblSalaries[[#This Row],[Salary in USD]],tblSalaries[[#This Row],[Salary in USD]])</f>
        <v>50000</v>
      </c>
    </row>
    <row r="1051" spans="2:17" ht="15" customHeight="1" x14ac:dyDescent="0.25">
      <c r="B1051" t="s">
        <v>3054</v>
      </c>
      <c r="C1051" s="1">
        <v>41057.620648148149</v>
      </c>
      <c r="D1051" s="4" t="s">
        <v>1206</v>
      </c>
      <c r="E1051">
        <v>1600000</v>
      </c>
      <c r="F1051" t="s">
        <v>40</v>
      </c>
      <c r="G1051">
        <f>tblSalaries[[#This Row],[clean Salary (in local currency)]]*VLOOKUP(tblSalaries[[#This Row],[Currency]],tblXrate[],2,FALSE)</f>
        <v>28492.66669990811</v>
      </c>
      <c r="H1051" t="s">
        <v>1207</v>
      </c>
      <c r="I1051" t="s">
        <v>52</v>
      </c>
      <c r="J1051" t="s">
        <v>8</v>
      </c>
      <c r="K1051" t="str">
        <f>VLOOKUP(tblSalaries[[#This Row],[Where do you work]],tblCountries[[Actual]:[Mapping]],2,FALSE)</f>
        <v>India</v>
      </c>
      <c r="L1051" t="s">
        <v>13</v>
      </c>
      <c r="M1051">
        <v>9</v>
      </c>
      <c r="N1051" s="8" t="str">
        <f>VLOOKUP(K1051,tblCountries[],3,0)</f>
        <v>Asia</v>
      </c>
      <c r="O1051" s="8">
        <f>VLOOKUP(tblSalaries[[#This Row],[How many hours of a day you work on Excel]],tblHours,2,0)</f>
        <v>5</v>
      </c>
      <c r="P1051" s="8">
        <f>VLOOKUP(tblSalaries[[#This Row],[clean Country]],tblCountries[],5,0)</f>
        <v>13.098808879263672</v>
      </c>
      <c r="Q1051" s="8">
        <f>IF($Q$1,tblSalaries[[#This Row],[PPP Factor]]*tblSalaries[[#This Row],[Salary in USD]],tblSalaries[[#This Row],[Salary in USD]])</f>
        <v>28492.66669990811</v>
      </c>
    </row>
    <row r="1052" spans="2:17" ht="15" customHeight="1" x14ac:dyDescent="0.25">
      <c r="B1052" t="s">
        <v>3055</v>
      </c>
      <c r="C1052" s="1">
        <v>41057.622534722221</v>
      </c>
      <c r="D1052" s="4">
        <v>15600</v>
      </c>
      <c r="E1052">
        <v>15600</v>
      </c>
      <c r="F1052" t="s">
        <v>69</v>
      </c>
      <c r="G1052">
        <f>tblSalaries[[#This Row],[clean Salary (in local currency)]]*VLOOKUP(tblSalaries[[#This Row],[Currency]],tblXrate[],2,FALSE)</f>
        <v>24588.381044249632</v>
      </c>
      <c r="H1052" t="s">
        <v>1208</v>
      </c>
      <c r="I1052" t="s">
        <v>20</v>
      </c>
      <c r="J1052" t="s">
        <v>71</v>
      </c>
      <c r="K1052" t="str">
        <f>VLOOKUP(tblSalaries[[#This Row],[Where do you work]],tblCountries[[Actual]:[Mapping]],2,FALSE)</f>
        <v>UK</v>
      </c>
      <c r="L1052" t="s">
        <v>13</v>
      </c>
      <c r="M1052">
        <v>0</v>
      </c>
      <c r="N1052" s="8" t="str">
        <f>VLOOKUP(K1052,tblCountries[],3,0)</f>
        <v>Europe</v>
      </c>
      <c r="O1052" s="8">
        <f>VLOOKUP(tblSalaries[[#This Row],[How many hours of a day you work on Excel]],tblHours,2,0)</f>
        <v>5</v>
      </c>
      <c r="P1052" s="8">
        <f>VLOOKUP(tblSalaries[[#This Row],[clean Country]],tblCountries[],5,0)</f>
        <v>1.3407315045719035</v>
      </c>
      <c r="Q1052" s="8">
        <f>IF($Q$1,tblSalaries[[#This Row],[PPP Factor]]*tblSalaries[[#This Row],[Salary in USD]],tblSalaries[[#This Row],[Salary in USD]])</f>
        <v>24588.381044249632</v>
      </c>
    </row>
    <row r="1053" spans="2:17" ht="15" customHeight="1" x14ac:dyDescent="0.25">
      <c r="B1053" t="s">
        <v>3056</v>
      </c>
      <c r="C1053" s="1">
        <v>41057.633773148147</v>
      </c>
      <c r="D1053" s="4">
        <v>7000</v>
      </c>
      <c r="E1053">
        <v>7000</v>
      </c>
      <c r="F1053" t="s">
        <v>6</v>
      </c>
      <c r="G1053">
        <f>tblSalaries[[#This Row],[clean Salary (in local currency)]]*VLOOKUP(tblSalaries[[#This Row],[Currency]],tblXrate[],2,FALSE)</f>
        <v>7000</v>
      </c>
      <c r="H1053" t="s">
        <v>721</v>
      </c>
      <c r="I1053" t="s">
        <v>3999</v>
      </c>
      <c r="J1053" t="s">
        <v>8</v>
      </c>
      <c r="K1053" t="str">
        <f>VLOOKUP(tblSalaries[[#This Row],[Where do you work]],tblCountries[[Actual]:[Mapping]],2,FALSE)</f>
        <v>India</v>
      </c>
      <c r="L1053" t="s">
        <v>13</v>
      </c>
      <c r="M1053">
        <v>5</v>
      </c>
      <c r="N1053" s="8" t="str">
        <f>VLOOKUP(K1053,tblCountries[],3,0)</f>
        <v>Asia</v>
      </c>
      <c r="O1053" s="8">
        <f>VLOOKUP(tblSalaries[[#This Row],[How many hours of a day you work on Excel]],tblHours,2,0)</f>
        <v>5</v>
      </c>
      <c r="P1053" s="8">
        <f>VLOOKUP(tblSalaries[[#This Row],[clean Country]],tblCountries[],5,0)</f>
        <v>13.098808879263672</v>
      </c>
      <c r="Q1053" s="8">
        <f>IF($Q$1,tblSalaries[[#This Row],[PPP Factor]]*tblSalaries[[#This Row],[Salary in USD]],tblSalaries[[#This Row],[Salary in USD]])</f>
        <v>7000</v>
      </c>
    </row>
    <row r="1054" spans="2:17" ht="15" customHeight="1" x14ac:dyDescent="0.25">
      <c r="B1054" t="s">
        <v>3057</v>
      </c>
      <c r="C1054" s="1">
        <v>41057.636342592596</v>
      </c>
      <c r="D1054" s="4" t="s">
        <v>1209</v>
      </c>
      <c r="E1054">
        <v>438000</v>
      </c>
      <c r="F1054" t="s">
        <v>40</v>
      </c>
      <c r="G1054">
        <f>tblSalaries[[#This Row],[clean Salary (in local currency)]]*VLOOKUP(tblSalaries[[#This Row],[Currency]],tblXrate[],2,FALSE)</f>
        <v>7799.8675090998449</v>
      </c>
      <c r="H1054" t="s">
        <v>1210</v>
      </c>
      <c r="I1054" t="s">
        <v>20</v>
      </c>
      <c r="J1054" t="s">
        <v>8</v>
      </c>
      <c r="K1054" t="str">
        <f>VLOOKUP(tblSalaries[[#This Row],[Where do you work]],tblCountries[[Actual]:[Mapping]],2,FALSE)</f>
        <v>India</v>
      </c>
      <c r="L1054" t="s">
        <v>25</v>
      </c>
      <c r="M1054">
        <v>10</v>
      </c>
      <c r="N1054" s="8" t="str">
        <f>VLOOKUP(K1054,tblCountries[],3,0)</f>
        <v>Asia</v>
      </c>
      <c r="O1054" s="8">
        <f>VLOOKUP(tblSalaries[[#This Row],[How many hours of a day you work on Excel]],tblHours,2,0)</f>
        <v>2</v>
      </c>
      <c r="P1054" s="8">
        <f>VLOOKUP(tblSalaries[[#This Row],[clean Country]],tblCountries[],5,0)</f>
        <v>13.098808879263672</v>
      </c>
      <c r="Q1054" s="8">
        <f>IF($Q$1,tblSalaries[[#This Row],[PPP Factor]]*tblSalaries[[#This Row],[Salary in USD]],tblSalaries[[#This Row],[Salary in USD]])</f>
        <v>7799.8675090998449</v>
      </c>
    </row>
    <row r="1055" spans="2:17" ht="15" customHeight="1" x14ac:dyDescent="0.25">
      <c r="B1055" t="s">
        <v>3058</v>
      </c>
      <c r="C1055" s="1">
        <v>41057.640173611115</v>
      </c>
      <c r="D1055" s="4" t="s">
        <v>1211</v>
      </c>
      <c r="E1055">
        <v>50000</v>
      </c>
      <c r="F1055" t="s">
        <v>69</v>
      </c>
      <c r="G1055">
        <f>tblSalaries[[#This Row],[clean Salary (in local currency)]]*VLOOKUP(tblSalaries[[#This Row],[Currency]],tblXrate[],2,FALSE)</f>
        <v>78808.913603364199</v>
      </c>
      <c r="H1055" t="s">
        <v>1212</v>
      </c>
      <c r="I1055" t="s">
        <v>52</v>
      </c>
      <c r="J1055" t="s">
        <v>71</v>
      </c>
      <c r="K1055" t="str">
        <f>VLOOKUP(tblSalaries[[#This Row],[Where do you work]],tblCountries[[Actual]:[Mapping]],2,FALSE)</f>
        <v>UK</v>
      </c>
      <c r="L1055" t="s">
        <v>18</v>
      </c>
      <c r="M1055">
        <v>12</v>
      </c>
      <c r="N1055" s="8" t="str">
        <f>VLOOKUP(K1055,tblCountries[],3,0)</f>
        <v>Europe</v>
      </c>
      <c r="O1055" s="8">
        <f>VLOOKUP(tblSalaries[[#This Row],[How many hours of a day you work on Excel]],tblHours,2,0)</f>
        <v>3</v>
      </c>
      <c r="P1055" s="8">
        <f>VLOOKUP(tblSalaries[[#This Row],[clean Country]],tblCountries[],5,0)</f>
        <v>1.3407315045719035</v>
      </c>
      <c r="Q1055" s="8">
        <f>IF($Q$1,tblSalaries[[#This Row],[PPP Factor]]*tblSalaries[[#This Row],[Salary in USD]],tblSalaries[[#This Row],[Salary in USD]])</f>
        <v>78808.913603364199</v>
      </c>
    </row>
    <row r="1056" spans="2:17" ht="15" customHeight="1" x14ac:dyDescent="0.25">
      <c r="B1056" t="s">
        <v>3059</v>
      </c>
      <c r="C1056" s="1">
        <v>41057.644432870373</v>
      </c>
      <c r="D1056" s="4">
        <v>560</v>
      </c>
      <c r="E1056">
        <v>6720</v>
      </c>
      <c r="F1056" t="s">
        <v>6</v>
      </c>
      <c r="G1056">
        <f>tblSalaries[[#This Row],[clean Salary (in local currency)]]*VLOOKUP(tblSalaries[[#This Row],[Currency]],tblXrate[],2,FALSE)</f>
        <v>6720</v>
      </c>
      <c r="H1056" t="s">
        <v>721</v>
      </c>
      <c r="I1056" t="s">
        <v>3999</v>
      </c>
      <c r="J1056" t="s">
        <v>8</v>
      </c>
      <c r="K1056" t="str">
        <f>VLOOKUP(tblSalaries[[#This Row],[Where do you work]],tblCountries[[Actual]:[Mapping]],2,FALSE)</f>
        <v>India</v>
      </c>
      <c r="L1056" t="s">
        <v>9</v>
      </c>
      <c r="M1056">
        <v>6</v>
      </c>
      <c r="N1056" s="8" t="str">
        <f>VLOOKUP(K1056,tblCountries[],3,0)</f>
        <v>Asia</v>
      </c>
      <c r="O1056" s="8">
        <f>VLOOKUP(tblSalaries[[#This Row],[How many hours of a day you work on Excel]],tblHours,2,0)</f>
        <v>4</v>
      </c>
      <c r="P1056" s="8">
        <f>VLOOKUP(tblSalaries[[#This Row],[clean Country]],tblCountries[],5,0)</f>
        <v>13.098808879263672</v>
      </c>
      <c r="Q1056" s="8">
        <f>IF($Q$1,tblSalaries[[#This Row],[PPP Factor]]*tblSalaries[[#This Row],[Salary in USD]],tblSalaries[[#This Row],[Salary in USD]])</f>
        <v>6720</v>
      </c>
    </row>
    <row r="1057" spans="2:17" ht="15" customHeight="1" x14ac:dyDescent="0.25">
      <c r="B1057" t="s">
        <v>3060</v>
      </c>
      <c r="C1057" s="1">
        <v>41057.645416666666</v>
      </c>
      <c r="D1057" s="4" t="s">
        <v>1213</v>
      </c>
      <c r="E1057">
        <v>250000</v>
      </c>
      <c r="F1057" t="s">
        <v>40</v>
      </c>
      <c r="G1057">
        <f>tblSalaries[[#This Row],[clean Salary (in local currency)]]*VLOOKUP(tblSalaries[[#This Row],[Currency]],tblXrate[],2,FALSE)</f>
        <v>4451.9791718606421</v>
      </c>
      <c r="H1057" t="s">
        <v>1214</v>
      </c>
      <c r="I1057" t="s">
        <v>3999</v>
      </c>
      <c r="J1057" t="s">
        <v>8</v>
      </c>
      <c r="K1057" t="str">
        <f>VLOOKUP(tblSalaries[[#This Row],[Where do you work]],tblCountries[[Actual]:[Mapping]],2,FALSE)</f>
        <v>India</v>
      </c>
      <c r="L1057" t="s">
        <v>13</v>
      </c>
      <c r="M1057">
        <v>3.5</v>
      </c>
      <c r="N1057" s="8" t="str">
        <f>VLOOKUP(K1057,tblCountries[],3,0)</f>
        <v>Asia</v>
      </c>
      <c r="O1057" s="8">
        <f>VLOOKUP(tblSalaries[[#This Row],[How many hours of a day you work on Excel]],tblHours,2,0)</f>
        <v>5</v>
      </c>
      <c r="P1057" s="8">
        <f>VLOOKUP(tblSalaries[[#This Row],[clean Country]],tblCountries[],5,0)</f>
        <v>13.098808879263672</v>
      </c>
      <c r="Q1057" s="8">
        <f>IF($Q$1,tblSalaries[[#This Row],[PPP Factor]]*tblSalaries[[#This Row],[Salary in USD]],tblSalaries[[#This Row],[Salary in USD]])</f>
        <v>4451.9791718606421</v>
      </c>
    </row>
    <row r="1058" spans="2:17" ht="15" customHeight="1" x14ac:dyDescent="0.25">
      <c r="B1058" t="s">
        <v>3061</v>
      </c>
      <c r="C1058" s="1">
        <v>41057.645752314813</v>
      </c>
      <c r="D1058" s="4" t="s">
        <v>137</v>
      </c>
      <c r="E1058">
        <v>30000</v>
      </c>
      <c r="F1058" t="s">
        <v>69</v>
      </c>
      <c r="G1058">
        <f>tblSalaries[[#This Row],[clean Salary (in local currency)]]*VLOOKUP(tblSalaries[[#This Row],[Currency]],tblXrate[],2,FALSE)</f>
        <v>47285.348162018527</v>
      </c>
      <c r="H1058" t="s">
        <v>153</v>
      </c>
      <c r="I1058" t="s">
        <v>20</v>
      </c>
      <c r="J1058" t="s">
        <v>71</v>
      </c>
      <c r="K1058" t="str">
        <f>VLOOKUP(tblSalaries[[#This Row],[Where do you work]],tblCountries[[Actual]:[Mapping]],2,FALSE)</f>
        <v>UK</v>
      </c>
      <c r="L1058" t="s">
        <v>13</v>
      </c>
      <c r="M1058">
        <v>15</v>
      </c>
      <c r="N1058" s="8" t="str">
        <f>VLOOKUP(K1058,tblCountries[],3,0)</f>
        <v>Europe</v>
      </c>
      <c r="O1058" s="8">
        <f>VLOOKUP(tblSalaries[[#This Row],[How many hours of a day you work on Excel]],tblHours,2,0)</f>
        <v>5</v>
      </c>
      <c r="P1058" s="8">
        <f>VLOOKUP(tblSalaries[[#This Row],[clean Country]],tblCountries[],5,0)</f>
        <v>1.3407315045719035</v>
      </c>
      <c r="Q1058" s="8">
        <f>IF($Q$1,tblSalaries[[#This Row],[PPP Factor]]*tblSalaries[[#This Row],[Salary in USD]],tblSalaries[[#This Row],[Salary in USD]])</f>
        <v>47285.348162018527</v>
      </c>
    </row>
    <row r="1059" spans="2:17" ht="15" customHeight="1" x14ac:dyDescent="0.25">
      <c r="B1059" t="s">
        <v>3062</v>
      </c>
      <c r="C1059" s="1">
        <v>41057.648182870369</v>
      </c>
      <c r="D1059" s="4">
        <v>600</v>
      </c>
      <c r="E1059">
        <v>7200</v>
      </c>
      <c r="F1059" t="s">
        <v>6</v>
      </c>
      <c r="G1059">
        <f>tblSalaries[[#This Row],[clean Salary (in local currency)]]*VLOOKUP(tblSalaries[[#This Row],[Currency]],tblXrate[],2,FALSE)</f>
        <v>7200</v>
      </c>
      <c r="H1059" t="s">
        <v>1215</v>
      </c>
      <c r="I1059" t="s">
        <v>20</v>
      </c>
      <c r="J1059" t="s">
        <v>8</v>
      </c>
      <c r="K1059" t="str">
        <f>VLOOKUP(tblSalaries[[#This Row],[Where do you work]],tblCountries[[Actual]:[Mapping]],2,FALSE)</f>
        <v>India</v>
      </c>
      <c r="L1059" t="s">
        <v>13</v>
      </c>
      <c r="M1059">
        <v>10</v>
      </c>
      <c r="N1059" s="8" t="str">
        <f>VLOOKUP(K1059,tblCountries[],3,0)</f>
        <v>Asia</v>
      </c>
      <c r="O1059" s="8">
        <f>VLOOKUP(tblSalaries[[#This Row],[How many hours of a day you work on Excel]],tblHours,2,0)</f>
        <v>5</v>
      </c>
      <c r="P1059" s="8">
        <f>VLOOKUP(tblSalaries[[#This Row],[clean Country]],tblCountries[],5,0)</f>
        <v>13.098808879263672</v>
      </c>
      <c r="Q1059" s="8">
        <f>IF($Q$1,tblSalaries[[#This Row],[PPP Factor]]*tblSalaries[[#This Row],[Salary in USD]],tblSalaries[[#This Row],[Salary in USD]])</f>
        <v>7200</v>
      </c>
    </row>
    <row r="1060" spans="2:17" ht="15" customHeight="1" x14ac:dyDescent="0.25">
      <c r="B1060" t="s">
        <v>3063</v>
      </c>
      <c r="C1060" s="1">
        <v>41057.648344907408</v>
      </c>
      <c r="D1060" s="4" t="s">
        <v>1216</v>
      </c>
      <c r="E1060">
        <v>2500000</v>
      </c>
      <c r="F1060" t="s">
        <v>40</v>
      </c>
      <c r="G1060">
        <f>tblSalaries[[#This Row],[clean Salary (in local currency)]]*VLOOKUP(tblSalaries[[#This Row],[Currency]],tblXrate[],2,FALSE)</f>
        <v>44519.791718606422</v>
      </c>
      <c r="H1060" t="s">
        <v>1217</v>
      </c>
      <c r="I1060" t="s">
        <v>4001</v>
      </c>
      <c r="J1060" t="s">
        <v>8</v>
      </c>
      <c r="K1060" t="str">
        <f>VLOOKUP(tblSalaries[[#This Row],[Where do you work]],tblCountries[[Actual]:[Mapping]],2,FALSE)</f>
        <v>India</v>
      </c>
      <c r="L1060" t="s">
        <v>9</v>
      </c>
      <c r="M1060">
        <v>9</v>
      </c>
      <c r="N1060" s="8" t="str">
        <f>VLOOKUP(K1060,tblCountries[],3,0)</f>
        <v>Asia</v>
      </c>
      <c r="O1060" s="8">
        <f>VLOOKUP(tblSalaries[[#This Row],[How many hours of a day you work on Excel]],tblHours,2,0)</f>
        <v>4</v>
      </c>
      <c r="P1060" s="8">
        <f>VLOOKUP(tblSalaries[[#This Row],[clean Country]],tblCountries[],5,0)</f>
        <v>13.098808879263672</v>
      </c>
      <c r="Q1060" s="8">
        <f>IF($Q$1,tblSalaries[[#This Row],[PPP Factor]]*tblSalaries[[#This Row],[Salary in USD]],tblSalaries[[#This Row],[Salary in USD]])</f>
        <v>44519.791718606422</v>
      </c>
    </row>
    <row r="1061" spans="2:17" ht="15" customHeight="1" x14ac:dyDescent="0.25">
      <c r="B1061" t="s">
        <v>3064</v>
      </c>
      <c r="C1061" s="1">
        <v>41057.64875</v>
      </c>
      <c r="D1061" s="4">
        <v>140000</v>
      </c>
      <c r="E1061">
        <v>140000</v>
      </c>
      <c r="F1061" t="s">
        <v>40</v>
      </c>
      <c r="G1061">
        <f>tblSalaries[[#This Row],[clean Salary (in local currency)]]*VLOOKUP(tblSalaries[[#This Row],[Currency]],tblXrate[],2,FALSE)</f>
        <v>2493.1083362419595</v>
      </c>
      <c r="H1061" t="s">
        <v>310</v>
      </c>
      <c r="I1061" t="s">
        <v>310</v>
      </c>
      <c r="J1061" t="s">
        <v>8</v>
      </c>
      <c r="K1061" t="str">
        <f>VLOOKUP(tblSalaries[[#This Row],[Where do you work]],tblCountries[[Actual]:[Mapping]],2,FALSE)</f>
        <v>India</v>
      </c>
      <c r="L1061" t="s">
        <v>9</v>
      </c>
      <c r="M1061">
        <v>4</v>
      </c>
      <c r="N1061" s="8" t="str">
        <f>VLOOKUP(K1061,tblCountries[],3,0)</f>
        <v>Asia</v>
      </c>
      <c r="O1061" s="8">
        <f>VLOOKUP(tblSalaries[[#This Row],[How many hours of a day you work on Excel]],tblHours,2,0)</f>
        <v>4</v>
      </c>
      <c r="P1061" s="8">
        <f>VLOOKUP(tblSalaries[[#This Row],[clean Country]],tblCountries[],5,0)</f>
        <v>13.098808879263672</v>
      </c>
      <c r="Q1061" s="8">
        <f>IF($Q$1,tblSalaries[[#This Row],[PPP Factor]]*tblSalaries[[#This Row],[Salary in USD]],tblSalaries[[#This Row],[Salary in USD]])</f>
        <v>2493.1083362419595</v>
      </c>
    </row>
    <row r="1062" spans="2:17" ht="15" customHeight="1" x14ac:dyDescent="0.25">
      <c r="B1062" t="s">
        <v>3065</v>
      </c>
      <c r="C1062" s="1">
        <v>41057.649675925924</v>
      </c>
      <c r="D1062" s="4">
        <v>20000</v>
      </c>
      <c r="E1062">
        <v>20000</v>
      </c>
      <c r="F1062" t="s">
        <v>69</v>
      </c>
      <c r="G1062">
        <f>tblSalaries[[#This Row],[clean Salary (in local currency)]]*VLOOKUP(tblSalaries[[#This Row],[Currency]],tblXrate[],2,FALSE)</f>
        <v>31523.565441345683</v>
      </c>
      <c r="H1062" t="s">
        <v>1218</v>
      </c>
      <c r="I1062" t="s">
        <v>20</v>
      </c>
      <c r="J1062" t="s">
        <v>71</v>
      </c>
      <c r="K1062" t="str">
        <f>VLOOKUP(tblSalaries[[#This Row],[Where do you work]],tblCountries[[Actual]:[Mapping]],2,FALSE)</f>
        <v>UK</v>
      </c>
      <c r="L1062" t="s">
        <v>9</v>
      </c>
      <c r="M1062">
        <v>1</v>
      </c>
      <c r="N1062" s="8" t="str">
        <f>VLOOKUP(K1062,tblCountries[],3,0)</f>
        <v>Europe</v>
      </c>
      <c r="O1062" s="8">
        <f>VLOOKUP(tblSalaries[[#This Row],[How many hours of a day you work on Excel]],tblHours,2,0)</f>
        <v>4</v>
      </c>
      <c r="P1062" s="8">
        <f>VLOOKUP(tblSalaries[[#This Row],[clean Country]],tblCountries[],5,0)</f>
        <v>1.3407315045719035</v>
      </c>
      <c r="Q1062" s="8">
        <f>IF($Q$1,tblSalaries[[#This Row],[PPP Factor]]*tblSalaries[[#This Row],[Salary in USD]],tblSalaries[[#This Row],[Salary in USD]])</f>
        <v>31523.565441345683</v>
      </c>
    </row>
    <row r="1063" spans="2:17" ht="15" customHeight="1" x14ac:dyDescent="0.25">
      <c r="B1063" t="s">
        <v>3066</v>
      </c>
      <c r="C1063" s="1">
        <v>41057.650960648149</v>
      </c>
      <c r="D1063" s="4">
        <v>1200000</v>
      </c>
      <c r="E1063">
        <v>1200000</v>
      </c>
      <c r="F1063" t="s">
        <v>40</v>
      </c>
      <c r="G1063">
        <f>tblSalaries[[#This Row],[clean Salary (in local currency)]]*VLOOKUP(tblSalaries[[#This Row],[Currency]],tblXrate[],2,FALSE)</f>
        <v>21369.500024931083</v>
      </c>
      <c r="H1063" t="s">
        <v>1219</v>
      </c>
      <c r="I1063" t="s">
        <v>488</v>
      </c>
      <c r="J1063" t="s">
        <v>8</v>
      </c>
      <c r="K1063" t="str">
        <f>VLOOKUP(tblSalaries[[#This Row],[Where do you work]],tblCountries[[Actual]:[Mapping]],2,FALSE)</f>
        <v>India</v>
      </c>
      <c r="L1063" t="s">
        <v>9</v>
      </c>
      <c r="M1063">
        <v>8</v>
      </c>
      <c r="N1063" s="8" t="str">
        <f>VLOOKUP(K1063,tblCountries[],3,0)</f>
        <v>Asia</v>
      </c>
      <c r="O1063" s="8">
        <f>VLOOKUP(tblSalaries[[#This Row],[How many hours of a day you work on Excel]],tblHours,2,0)</f>
        <v>4</v>
      </c>
      <c r="P1063" s="8">
        <f>VLOOKUP(tblSalaries[[#This Row],[clean Country]],tblCountries[],5,0)</f>
        <v>13.098808879263672</v>
      </c>
      <c r="Q1063" s="8">
        <f>IF($Q$1,tblSalaries[[#This Row],[PPP Factor]]*tblSalaries[[#This Row],[Salary in USD]],tblSalaries[[#This Row],[Salary in USD]])</f>
        <v>21369.500024931083</v>
      </c>
    </row>
    <row r="1064" spans="2:17" ht="15" customHeight="1" x14ac:dyDescent="0.25">
      <c r="B1064" t="s">
        <v>3067</v>
      </c>
      <c r="C1064" s="1">
        <v>41057.65421296296</v>
      </c>
      <c r="D1064" s="4">
        <v>80000</v>
      </c>
      <c r="E1064">
        <v>80000</v>
      </c>
      <c r="F1064" t="s">
        <v>69</v>
      </c>
      <c r="G1064">
        <f>tblSalaries[[#This Row],[clean Salary (in local currency)]]*VLOOKUP(tblSalaries[[#This Row],[Currency]],tblXrate[],2,FALSE)</f>
        <v>126094.26176538273</v>
      </c>
      <c r="H1064" t="s">
        <v>1220</v>
      </c>
      <c r="I1064" t="s">
        <v>356</v>
      </c>
      <c r="J1064" t="s">
        <v>71</v>
      </c>
      <c r="K1064" t="str">
        <f>VLOOKUP(tblSalaries[[#This Row],[Where do you work]],tblCountries[[Actual]:[Mapping]],2,FALSE)</f>
        <v>UK</v>
      </c>
      <c r="L1064" t="s">
        <v>9</v>
      </c>
      <c r="M1064">
        <v>10</v>
      </c>
      <c r="N1064" s="8" t="str">
        <f>VLOOKUP(K1064,tblCountries[],3,0)</f>
        <v>Europe</v>
      </c>
      <c r="O1064" s="8">
        <f>VLOOKUP(tblSalaries[[#This Row],[How many hours of a day you work on Excel]],tblHours,2,0)</f>
        <v>4</v>
      </c>
      <c r="P1064" s="8">
        <f>VLOOKUP(tblSalaries[[#This Row],[clean Country]],tblCountries[],5,0)</f>
        <v>1.3407315045719035</v>
      </c>
      <c r="Q1064" s="8">
        <f>IF($Q$1,tblSalaries[[#This Row],[PPP Factor]]*tblSalaries[[#This Row],[Salary in USD]],tblSalaries[[#This Row],[Salary in USD]])</f>
        <v>126094.26176538273</v>
      </c>
    </row>
    <row r="1065" spans="2:17" ht="15" customHeight="1" x14ac:dyDescent="0.25">
      <c r="B1065" t="s">
        <v>3068</v>
      </c>
      <c r="C1065" s="1">
        <v>41057.655694444446</v>
      </c>
      <c r="D1065" s="4" t="s">
        <v>1221</v>
      </c>
      <c r="E1065">
        <v>63000</v>
      </c>
      <c r="F1065" t="s">
        <v>69</v>
      </c>
      <c r="G1065">
        <f>tblSalaries[[#This Row],[clean Salary (in local currency)]]*VLOOKUP(tblSalaries[[#This Row],[Currency]],tblXrate[],2,FALSE)</f>
        <v>99299.231140238902</v>
      </c>
      <c r="H1065" t="s">
        <v>1222</v>
      </c>
      <c r="I1065" t="s">
        <v>67</v>
      </c>
      <c r="J1065" t="s">
        <v>71</v>
      </c>
      <c r="K1065" t="str">
        <f>VLOOKUP(tblSalaries[[#This Row],[Where do you work]],tblCountries[[Actual]:[Mapping]],2,FALSE)</f>
        <v>UK</v>
      </c>
      <c r="L1065" t="s">
        <v>18</v>
      </c>
      <c r="M1065">
        <v>1</v>
      </c>
      <c r="N1065" s="8" t="str">
        <f>VLOOKUP(K1065,tblCountries[],3,0)</f>
        <v>Europe</v>
      </c>
      <c r="O1065" s="8">
        <f>VLOOKUP(tblSalaries[[#This Row],[How many hours of a day you work on Excel]],tblHours,2,0)</f>
        <v>3</v>
      </c>
      <c r="P1065" s="8">
        <f>VLOOKUP(tblSalaries[[#This Row],[clean Country]],tblCountries[],5,0)</f>
        <v>1.3407315045719035</v>
      </c>
      <c r="Q1065" s="8">
        <f>IF($Q$1,tblSalaries[[#This Row],[PPP Factor]]*tblSalaries[[#This Row],[Salary in USD]],tblSalaries[[#This Row],[Salary in USD]])</f>
        <v>99299.231140238902</v>
      </c>
    </row>
    <row r="1066" spans="2:17" ht="15" customHeight="1" x14ac:dyDescent="0.25">
      <c r="B1066" t="s">
        <v>3069</v>
      </c>
      <c r="C1066" s="1">
        <v>41057.658171296294</v>
      </c>
      <c r="D1066" s="4" t="s">
        <v>943</v>
      </c>
      <c r="E1066">
        <v>55000</v>
      </c>
      <c r="F1066" t="s">
        <v>69</v>
      </c>
      <c r="G1066">
        <f>tblSalaries[[#This Row],[clean Salary (in local currency)]]*VLOOKUP(tblSalaries[[#This Row],[Currency]],tblXrate[],2,FALSE)</f>
        <v>86689.804963700633</v>
      </c>
      <c r="H1066" t="s">
        <v>212</v>
      </c>
      <c r="I1066" t="s">
        <v>4001</v>
      </c>
      <c r="J1066" t="s">
        <v>71</v>
      </c>
      <c r="K1066" t="str">
        <f>VLOOKUP(tblSalaries[[#This Row],[Where do you work]],tblCountries[[Actual]:[Mapping]],2,FALSE)</f>
        <v>UK</v>
      </c>
      <c r="L1066" t="s">
        <v>18</v>
      </c>
      <c r="M1066">
        <v>22</v>
      </c>
      <c r="N1066" s="8" t="str">
        <f>VLOOKUP(K1066,tblCountries[],3,0)</f>
        <v>Europe</v>
      </c>
      <c r="O1066" s="8">
        <f>VLOOKUP(tblSalaries[[#This Row],[How many hours of a day you work on Excel]],tblHours,2,0)</f>
        <v>3</v>
      </c>
      <c r="P1066" s="8">
        <f>VLOOKUP(tblSalaries[[#This Row],[clean Country]],tblCountries[],5,0)</f>
        <v>1.3407315045719035</v>
      </c>
      <c r="Q1066" s="8">
        <f>IF($Q$1,tblSalaries[[#This Row],[PPP Factor]]*tblSalaries[[#This Row],[Salary in USD]],tblSalaries[[#This Row],[Salary in USD]])</f>
        <v>86689.804963700633</v>
      </c>
    </row>
    <row r="1067" spans="2:17" ht="15" customHeight="1" x14ac:dyDescent="0.25">
      <c r="B1067" t="s">
        <v>3070</v>
      </c>
      <c r="C1067" s="1">
        <v>41057.658599537041</v>
      </c>
      <c r="D1067" s="4" t="s">
        <v>1223</v>
      </c>
      <c r="E1067">
        <v>50000</v>
      </c>
      <c r="F1067" t="s">
        <v>6</v>
      </c>
      <c r="G1067">
        <f>tblSalaries[[#This Row],[clean Salary (in local currency)]]*VLOOKUP(tblSalaries[[#This Row],[Currency]],tblXrate[],2,FALSE)</f>
        <v>50000</v>
      </c>
      <c r="H1067" t="s">
        <v>1224</v>
      </c>
      <c r="I1067" t="s">
        <v>52</v>
      </c>
      <c r="J1067" t="s">
        <v>8</v>
      </c>
      <c r="K1067" t="str">
        <f>VLOOKUP(tblSalaries[[#This Row],[Where do you work]],tblCountries[[Actual]:[Mapping]],2,FALSE)</f>
        <v>India</v>
      </c>
      <c r="L1067" t="s">
        <v>18</v>
      </c>
      <c r="M1067">
        <v>30</v>
      </c>
      <c r="N1067" s="8" t="str">
        <f>VLOOKUP(K1067,tblCountries[],3,0)</f>
        <v>Asia</v>
      </c>
      <c r="O1067" s="8">
        <f>VLOOKUP(tblSalaries[[#This Row],[How many hours of a day you work on Excel]],tblHours,2,0)</f>
        <v>3</v>
      </c>
      <c r="P1067" s="8">
        <f>VLOOKUP(tblSalaries[[#This Row],[clean Country]],tblCountries[],5,0)</f>
        <v>13.098808879263672</v>
      </c>
      <c r="Q1067" s="8">
        <f>IF($Q$1,tblSalaries[[#This Row],[PPP Factor]]*tblSalaries[[#This Row],[Salary in USD]],tblSalaries[[#This Row],[Salary in USD]])</f>
        <v>50000</v>
      </c>
    </row>
    <row r="1068" spans="2:17" ht="15" customHeight="1" x14ac:dyDescent="0.25">
      <c r="B1068" t="s">
        <v>3071</v>
      </c>
      <c r="C1068" s="1">
        <v>41057.659282407411</v>
      </c>
      <c r="D1068" s="4">
        <v>240000</v>
      </c>
      <c r="E1068">
        <v>240000</v>
      </c>
      <c r="F1068" t="s">
        <v>40</v>
      </c>
      <c r="G1068">
        <f>tblSalaries[[#This Row],[clean Salary (in local currency)]]*VLOOKUP(tblSalaries[[#This Row],[Currency]],tblXrate[],2,FALSE)</f>
        <v>4273.9000049862161</v>
      </c>
      <c r="H1068" t="s">
        <v>749</v>
      </c>
      <c r="I1068" t="s">
        <v>20</v>
      </c>
      <c r="J1068" t="s">
        <v>8</v>
      </c>
      <c r="K1068" t="str">
        <f>VLOOKUP(tblSalaries[[#This Row],[Where do you work]],tblCountries[[Actual]:[Mapping]],2,FALSE)</f>
        <v>India</v>
      </c>
      <c r="L1068" t="s">
        <v>18</v>
      </c>
      <c r="M1068">
        <v>3</v>
      </c>
      <c r="N1068" s="8" t="str">
        <f>VLOOKUP(K1068,tblCountries[],3,0)</f>
        <v>Asia</v>
      </c>
      <c r="O1068" s="8">
        <f>VLOOKUP(tblSalaries[[#This Row],[How many hours of a day you work on Excel]],tblHours,2,0)</f>
        <v>3</v>
      </c>
      <c r="P1068" s="8">
        <f>VLOOKUP(tblSalaries[[#This Row],[clean Country]],tblCountries[],5,0)</f>
        <v>13.098808879263672</v>
      </c>
      <c r="Q1068" s="8">
        <f>IF($Q$1,tblSalaries[[#This Row],[PPP Factor]]*tblSalaries[[#This Row],[Salary in USD]],tblSalaries[[#This Row],[Salary in USD]])</f>
        <v>4273.9000049862161</v>
      </c>
    </row>
    <row r="1069" spans="2:17" ht="15" customHeight="1" x14ac:dyDescent="0.25">
      <c r="B1069" t="s">
        <v>3072</v>
      </c>
      <c r="C1069" s="1">
        <v>41057.65965277778</v>
      </c>
      <c r="D1069" s="4" t="s">
        <v>834</v>
      </c>
      <c r="E1069">
        <v>250000</v>
      </c>
      <c r="F1069" t="s">
        <v>40</v>
      </c>
      <c r="G1069">
        <f>tblSalaries[[#This Row],[clean Salary (in local currency)]]*VLOOKUP(tblSalaries[[#This Row],[Currency]],tblXrate[],2,FALSE)</f>
        <v>4451.9791718606421</v>
      </c>
      <c r="H1069" t="s">
        <v>721</v>
      </c>
      <c r="I1069" t="s">
        <v>3999</v>
      </c>
      <c r="J1069" t="s">
        <v>8</v>
      </c>
      <c r="K1069" t="str">
        <f>VLOOKUP(tblSalaries[[#This Row],[Where do you work]],tblCountries[[Actual]:[Mapping]],2,FALSE)</f>
        <v>India</v>
      </c>
      <c r="L1069" t="s">
        <v>18</v>
      </c>
      <c r="M1069">
        <v>3</v>
      </c>
      <c r="N1069" s="8" t="str">
        <f>VLOOKUP(K1069,tblCountries[],3,0)</f>
        <v>Asia</v>
      </c>
      <c r="O1069" s="8">
        <f>VLOOKUP(tblSalaries[[#This Row],[How many hours of a day you work on Excel]],tblHours,2,0)</f>
        <v>3</v>
      </c>
      <c r="P1069" s="8">
        <f>VLOOKUP(tblSalaries[[#This Row],[clean Country]],tblCountries[],5,0)</f>
        <v>13.098808879263672</v>
      </c>
      <c r="Q1069" s="8">
        <f>IF($Q$1,tblSalaries[[#This Row],[PPP Factor]]*tblSalaries[[#This Row],[Salary in USD]],tblSalaries[[#This Row],[Salary in USD]])</f>
        <v>4451.9791718606421</v>
      </c>
    </row>
    <row r="1070" spans="2:17" ht="15" customHeight="1" x14ac:dyDescent="0.25">
      <c r="B1070" t="s">
        <v>3073</v>
      </c>
      <c r="C1070" s="1">
        <v>41057.660787037035</v>
      </c>
      <c r="D1070" s="4" t="s">
        <v>1225</v>
      </c>
      <c r="E1070">
        <v>600000</v>
      </c>
      <c r="F1070" t="s">
        <v>40</v>
      </c>
      <c r="G1070">
        <f>tblSalaries[[#This Row],[clean Salary (in local currency)]]*VLOOKUP(tblSalaries[[#This Row],[Currency]],tblXrate[],2,FALSE)</f>
        <v>10684.750012465542</v>
      </c>
      <c r="H1070" t="s">
        <v>1226</v>
      </c>
      <c r="I1070" t="s">
        <v>20</v>
      </c>
      <c r="J1070" t="s">
        <v>8</v>
      </c>
      <c r="K1070" t="str">
        <f>VLOOKUP(tblSalaries[[#This Row],[Where do you work]],tblCountries[[Actual]:[Mapping]],2,FALSE)</f>
        <v>India</v>
      </c>
      <c r="L1070" t="s">
        <v>9</v>
      </c>
      <c r="M1070">
        <v>10</v>
      </c>
      <c r="N1070" s="8" t="str">
        <f>VLOOKUP(K1070,tblCountries[],3,0)</f>
        <v>Asia</v>
      </c>
      <c r="O1070" s="8">
        <f>VLOOKUP(tblSalaries[[#This Row],[How many hours of a day you work on Excel]],tblHours,2,0)</f>
        <v>4</v>
      </c>
      <c r="P1070" s="8">
        <f>VLOOKUP(tblSalaries[[#This Row],[clean Country]],tblCountries[],5,0)</f>
        <v>13.098808879263672</v>
      </c>
      <c r="Q1070" s="8">
        <f>IF($Q$1,tblSalaries[[#This Row],[PPP Factor]]*tblSalaries[[#This Row],[Salary in USD]],tblSalaries[[#This Row],[Salary in USD]])</f>
        <v>10684.750012465542</v>
      </c>
    </row>
    <row r="1071" spans="2:17" ht="15" customHeight="1" x14ac:dyDescent="0.25">
      <c r="B1071" t="s">
        <v>3074</v>
      </c>
      <c r="C1071" s="1">
        <v>41057.666504629633</v>
      </c>
      <c r="D1071" s="4">
        <v>40500</v>
      </c>
      <c r="E1071">
        <v>40500</v>
      </c>
      <c r="F1071" t="s">
        <v>69</v>
      </c>
      <c r="G1071">
        <f>tblSalaries[[#This Row],[clean Salary (in local currency)]]*VLOOKUP(tblSalaries[[#This Row],[Currency]],tblXrate[],2,FALSE)</f>
        <v>63835.220018725006</v>
      </c>
      <c r="H1071" t="s">
        <v>1227</v>
      </c>
      <c r="I1071" t="s">
        <v>52</v>
      </c>
      <c r="J1071" t="s">
        <v>71</v>
      </c>
      <c r="K1071" t="str">
        <f>VLOOKUP(tblSalaries[[#This Row],[Where do you work]],tblCountries[[Actual]:[Mapping]],2,FALSE)</f>
        <v>UK</v>
      </c>
      <c r="L1071" t="s">
        <v>18</v>
      </c>
      <c r="M1071">
        <v>25</v>
      </c>
      <c r="N1071" s="8" t="str">
        <f>VLOOKUP(K1071,tblCountries[],3,0)</f>
        <v>Europe</v>
      </c>
      <c r="O1071" s="8">
        <f>VLOOKUP(tblSalaries[[#This Row],[How many hours of a day you work on Excel]],tblHours,2,0)</f>
        <v>3</v>
      </c>
      <c r="P1071" s="8">
        <f>VLOOKUP(tblSalaries[[#This Row],[clean Country]],tblCountries[],5,0)</f>
        <v>1.3407315045719035</v>
      </c>
      <c r="Q1071" s="8">
        <f>IF($Q$1,tblSalaries[[#This Row],[PPP Factor]]*tblSalaries[[#This Row],[Salary in USD]],tblSalaries[[#This Row],[Salary in USD]])</f>
        <v>63835.220018725006</v>
      </c>
    </row>
    <row r="1072" spans="2:17" ht="15" customHeight="1" x14ac:dyDescent="0.25">
      <c r="B1072" t="s">
        <v>3075</v>
      </c>
      <c r="C1072" s="1">
        <v>41057.66741898148</v>
      </c>
      <c r="D1072" s="4" t="s">
        <v>1228</v>
      </c>
      <c r="E1072">
        <v>23000</v>
      </c>
      <c r="F1072" t="s">
        <v>69</v>
      </c>
      <c r="G1072">
        <f>tblSalaries[[#This Row],[clean Salary (in local currency)]]*VLOOKUP(tblSalaries[[#This Row],[Currency]],tblXrate[],2,FALSE)</f>
        <v>36252.100257547536</v>
      </c>
      <c r="H1072" t="s">
        <v>153</v>
      </c>
      <c r="I1072" t="s">
        <v>20</v>
      </c>
      <c r="J1072" t="s">
        <v>71</v>
      </c>
      <c r="K1072" t="str">
        <f>VLOOKUP(tblSalaries[[#This Row],[Where do you work]],tblCountries[[Actual]:[Mapping]],2,FALSE)</f>
        <v>UK</v>
      </c>
      <c r="L1072" t="s">
        <v>13</v>
      </c>
      <c r="M1072">
        <v>5</v>
      </c>
      <c r="N1072" s="8" t="str">
        <f>VLOOKUP(K1072,tblCountries[],3,0)</f>
        <v>Europe</v>
      </c>
      <c r="O1072" s="8">
        <f>VLOOKUP(tblSalaries[[#This Row],[How many hours of a day you work on Excel]],tblHours,2,0)</f>
        <v>5</v>
      </c>
      <c r="P1072" s="8">
        <f>VLOOKUP(tblSalaries[[#This Row],[clean Country]],tblCountries[],5,0)</f>
        <v>1.3407315045719035</v>
      </c>
      <c r="Q1072" s="8">
        <f>IF($Q$1,tblSalaries[[#This Row],[PPP Factor]]*tblSalaries[[#This Row],[Salary in USD]],tblSalaries[[#This Row],[Salary in USD]])</f>
        <v>36252.100257547536</v>
      </c>
    </row>
    <row r="1073" spans="2:17" ht="15" customHeight="1" x14ac:dyDescent="0.25">
      <c r="B1073" t="s">
        <v>3076</v>
      </c>
      <c r="C1073" s="1">
        <v>41057.668958333335</v>
      </c>
      <c r="D1073" s="4">
        <v>7960</v>
      </c>
      <c r="E1073">
        <v>7960</v>
      </c>
      <c r="F1073" t="s">
        <v>6</v>
      </c>
      <c r="G1073">
        <f>tblSalaries[[#This Row],[clean Salary (in local currency)]]*VLOOKUP(tblSalaries[[#This Row],[Currency]],tblXrate[],2,FALSE)</f>
        <v>7960</v>
      </c>
      <c r="H1073" t="s">
        <v>786</v>
      </c>
      <c r="I1073" t="s">
        <v>52</v>
      </c>
      <c r="J1073" t="s">
        <v>8</v>
      </c>
      <c r="K1073" t="str">
        <f>VLOOKUP(tblSalaries[[#This Row],[Where do you work]],tblCountries[[Actual]:[Mapping]],2,FALSE)</f>
        <v>India</v>
      </c>
      <c r="L1073" t="s">
        <v>9</v>
      </c>
      <c r="M1073">
        <v>7</v>
      </c>
      <c r="N1073" s="8" t="str">
        <f>VLOOKUP(K1073,tblCountries[],3,0)</f>
        <v>Asia</v>
      </c>
      <c r="O1073" s="8">
        <f>VLOOKUP(tblSalaries[[#This Row],[How many hours of a day you work on Excel]],tblHours,2,0)</f>
        <v>4</v>
      </c>
      <c r="P1073" s="8">
        <f>VLOOKUP(tblSalaries[[#This Row],[clean Country]],tblCountries[],5,0)</f>
        <v>13.098808879263672</v>
      </c>
      <c r="Q1073" s="8">
        <f>IF($Q$1,tblSalaries[[#This Row],[PPP Factor]]*tblSalaries[[#This Row],[Salary in USD]],tblSalaries[[#This Row],[Salary in USD]])</f>
        <v>7960</v>
      </c>
    </row>
    <row r="1074" spans="2:17" ht="15" customHeight="1" x14ac:dyDescent="0.25">
      <c r="B1074" t="s">
        <v>3077</v>
      </c>
      <c r="C1074" s="1">
        <v>41057.669270833336</v>
      </c>
      <c r="D1074" s="4" t="s">
        <v>1229</v>
      </c>
      <c r="E1074">
        <v>500000</v>
      </c>
      <c r="F1074" t="s">
        <v>40</v>
      </c>
      <c r="G1074">
        <f>tblSalaries[[#This Row],[clean Salary (in local currency)]]*VLOOKUP(tblSalaries[[#This Row],[Currency]],tblXrate[],2,FALSE)</f>
        <v>8903.9583437212841</v>
      </c>
      <c r="H1074" t="s">
        <v>749</v>
      </c>
      <c r="I1074" t="s">
        <v>20</v>
      </c>
      <c r="J1074" t="s">
        <v>8</v>
      </c>
      <c r="K1074" t="str">
        <f>VLOOKUP(tblSalaries[[#This Row],[Where do you work]],tblCountries[[Actual]:[Mapping]],2,FALSE)</f>
        <v>India</v>
      </c>
      <c r="L1074" t="s">
        <v>18</v>
      </c>
      <c r="M1074">
        <v>23</v>
      </c>
      <c r="N1074" s="8" t="str">
        <f>VLOOKUP(K1074,tblCountries[],3,0)</f>
        <v>Asia</v>
      </c>
      <c r="O1074" s="8">
        <f>VLOOKUP(tblSalaries[[#This Row],[How many hours of a day you work on Excel]],tblHours,2,0)</f>
        <v>3</v>
      </c>
      <c r="P1074" s="8">
        <f>VLOOKUP(tblSalaries[[#This Row],[clean Country]],tblCountries[],5,0)</f>
        <v>13.098808879263672</v>
      </c>
      <c r="Q1074" s="8">
        <f>IF($Q$1,tblSalaries[[#This Row],[PPP Factor]]*tblSalaries[[#This Row],[Salary in USD]],tblSalaries[[#This Row],[Salary in USD]])</f>
        <v>8903.9583437212841</v>
      </c>
    </row>
    <row r="1075" spans="2:17" ht="15" customHeight="1" x14ac:dyDescent="0.25">
      <c r="B1075" t="s">
        <v>3078</v>
      </c>
      <c r="C1075" s="1">
        <v>41057.670636574076</v>
      </c>
      <c r="D1075" s="4" t="s">
        <v>1230</v>
      </c>
      <c r="E1075">
        <v>40000</v>
      </c>
      <c r="F1075" t="s">
        <v>22</v>
      </c>
      <c r="G1075">
        <f>tblSalaries[[#This Row],[clean Salary (in local currency)]]*VLOOKUP(tblSalaries[[#This Row],[Currency]],tblXrate[],2,FALSE)</f>
        <v>50815.977559664309</v>
      </c>
      <c r="H1075" t="s">
        <v>1231</v>
      </c>
      <c r="I1075" t="s">
        <v>20</v>
      </c>
      <c r="J1075" t="s">
        <v>628</v>
      </c>
      <c r="K1075" t="str">
        <f>VLOOKUP(tblSalaries[[#This Row],[Where do you work]],tblCountries[[Actual]:[Mapping]],2,FALSE)</f>
        <v>Netherlands</v>
      </c>
      <c r="L1075" t="s">
        <v>9</v>
      </c>
      <c r="M1075">
        <v>3</v>
      </c>
      <c r="N1075" s="8" t="str">
        <f>VLOOKUP(K1075,tblCountries[],3,0)</f>
        <v>Europe</v>
      </c>
      <c r="O1075" s="8">
        <f>VLOOKUP(tblSalaries[[#This Row],[How many hours of a day you work on Excel]],tblHours,2,0)</f>
        <v>4</v>
      </c>
      <c r="P1075" s="8">
        <f>VLOOKUP(tblSalaries[[#This Row],[clean Country]],tblCountries[],5,0)</f>
        <v>1.1470734656141099</v>
      </c>
      <c r="Q1075" s="8">
        <f>IF($Q$1,tblSalaries[[#This Row],[PPP Factor]]*tblSalaries[[#This Row],[Salary in USD]],tblSalaries[[#This Row],[Salary in USD]])</f>
        <v>50815.977559664309</v>
      </c>
    </row>
    <row r="1076" spans="2:17" ht="15" customHeight="1" x14ac:dyDescent="0.25">
      <c r="B1076" t="s">
        <v>3079</v>
      </c>
      <c r="C1076" s="1">
        <v>41057.672118055554</v>
      </c>
      <c r="D1076" s="4" t="s">
        <v>137</v>
      </c>
      <c r="E1076">
        <v>30000</v>
      </c>
      <c r="F1076" t="s">
        <v>69</v>
      </c>
      <c r="G1076">
        <f>tblSalaries[[#This Row],[clean Salary (in local currency)]]*VLOOKUP(tblSalaries[[#This Row],[Currency]],tblXrate[],2,FALSE)</f>
        <v>47285.348162018527</v>
      </c>
      <c r="H1076" t="s">
        <v>392</v>
      </c>
      <c r="I1076" t="s">
        <v>20</v>
      </c>
      <c r="J1076" t="s">
        <v>71</v>
      </c>
      <c r="K1076" t="str">
        <f>VLOOKUP(tblSalaries[[#This Row],[Where do you work]],tblCountries[[Actual]:[Mapping]],2,FALSE)</f>
        <v>UK</v>
      </c>
      <c r="L1076" t="s">
        <v>9</v>
      </c>
      <c r="M1076">
        <v>4</v>
      </c>
      <c r="N1076" s="8" t="str">
        <f>VLOOKUP(K1076,tblCountries[],3,0)</f>
        <v>Europe</v>
      </c>
      <c r="O1076" s="8">
        <f>VLOOKUP(tblSalaries[[#This Row],[How many hours of a day you work on Excel]],tblHours,2,0)</f>
        <v>4</v>
      </c>
      <c r="P1076" s="8">
        <f>VLOOKUP(tblSalaries[[#This Row],[clean Country]],tblCountries[],5,0)</f>
        <v>1.3407315045719035</v>
      </c>
      <c r="Q1076" s="8">
        <f>IF($Q$1,tblSalaries[[#This Row],[PPP Factor]]*tblSalaries[[#This Row],[Salary in USD]],tblSalaries[[#This Row],[Salary in USD]])</f>
        <v>47285.348162018527</v>
      </c>
    </row>
    <row r="1077" spans="2:17" ht="15" customHeight="1" x14ac:dyDescent="0.25">
      <c r="B1077" t="s">
        <v>3080</v>
      </c>
      <c r="C1077" s="1">
        <v>41057.672118055554</v>
      </c>
      <c r="D1077" s="4">
        <v>48000</v>
      </c>
      <c r="E1077">
        <v>48000</v>
      </c>
      <c r="F1077" t="s">
        <v>69</v>
      </c>
      <c r="G1077">
        <f>tblSalaries[[#This Row],[clean Salary (in local currency)]]*VLOOKUP(tblSalaries[[#This Row],[Currency]],tblXrate[],2,FALSE)</f>
        <v>75656.557059229643</v>
      </c>
      <c r="H1077" t="s">
        <v>1232</v>
      </c>
      <c r="I1077" t="s">
        <v>52</v>
      </c>
      <c r="J1077" t="s">
        <v>71</v>
      </c>
      <c r="K1077" t="str">
        <f>VLOOKUP(tblSalaries[[#This Row],[Where do you work]],tblCountries[[Actual]:[Mapping]],2,FALSE)</f>
        <v>UK</v>
      </c>
      <c r="L1077" t="s">
        <v>18</v>
      </c>
      <c r="M1077">
        <v>10</v>
      </c>
      <c r="N1077" s="8" t="str">
        <f>VLOOKUP(K1077,tblCountries[],3,0)</f>
        <v>Europe</v>
      </c>
      <c r="O1077" s="8">
        <f>VLOOKUP(tblSalaries[[#This Row],[How many hours of a day you work on Excel]],tblHours,2,0)</f>
        <v>3</v>
      </c>
      <c r="P1077" s="8">
        <f>VLOOKUP(tblSalaries[[#This Row],[clean Country]],tblCountries[],5,0)</f>
        <v>1.3407315045719035</v>
      </c>
      <c r="Q1077" s="8">
        <f>IF($Q$1,tblSalaries[[#This Row],[PPP Factor]]*tblSalaries[[#This Row],[Salary in USD]],tblSalaries[[#This Row],[Salary in USD]])</f>
        <v>75656.557059229643</v>
      </c>
    </row>
    <row r="1078" spans="2:17" ht="15" customHeight="1" x14ac:dyDescent="0.25">
      <c r="B1078" t="s">
        <v>3081</v>
      </c>
      <c r="C1078" s="1">
        <v>41057.674212962964</v>
      </c>
      <c r="D1078" s="4" t="s">
        <v>701</v>
      </c>
      <c r="E1078">
        <v>240000</v>
      </c>
      <c r="F1078" t="s">
        <v>40</v>
      </c>
      <c r="G1078">
        <f>tblSalaries[[#This Row],[clean Salary (in local currency)]]*VLOOKUP(tblSalaries[[#This Row],[Currency]],tblXrate[],2,FALSE)</f>
        <v>4273.9000049862161</v>
      </c>
      <c r="H1078" t="s">
        <v>310</v>
      </c>
      <c r="I1078" t="s">
        <v>310</v>
      </c>
      <c r="J1078" t="s">
        <v>8</v>
      </c>
      <c r="K1078" t="str">
        <f>VLOOKUP(tblSalaries[[#This Row],[Where do you work]],tblCountries[[Actual]:[Mapping]],2,FALSE)</f>
        <v>India</v>
      </c>
      <c r="L1078" t="s">
        <v>13</v>
      </c>
      <c r="M1078">
        <v>20</v>
      </c>
      <c r="N1078" s="8" t="str">
        <f>VLOOKUP(K1078,tblCountries[],3,0)</f>
        <v>Asia</v>
      </c>
      <c r="O1078" s="8">
        <f>VLOOKUP(tblSalaries[[#This Row],[How many hours of a day you work on Excel]],tblHours,2,0)</f>
        <v>5</v>
      </c>
      <c r="P1078" s="8">
        <f>VLOOKUP(tblSalaries[[#This Row],[clean Country]],tblCountries[],5,0)</f>
        <v>13.098808879263672</v>
      </c>
      <c r="Q1078" s="8">
        <f>IF($Q$1,tblSalaries[[#This Row],[PPP Factor]]*tblSalaries[[#This Row],[Salary in USD]],tblSalaries[[#This Row],[Salary in USD]])</f>
        <v>4273.9000049862161</v>
      </c>
    </row>
    <row r="1079" spans="2:17" ht="15" customHeight="1" x14ac:dyDescent="0.25">
      <c r="B1079" t="s">
        <v>3082</v>
      </c>
      <c r="C1079" s="1">
        <v>41057.680104166669</v>
      </c>
      <c r="D1079" s="4">
        <v>37000</v>
      </c>
      <c r="E1079">
        <v>37000</v>
      </c>
      <c r="F1079" t="s">
        <v>22</v>
      </c>
      <c r="G1079">
        <f>tblSalaries[[#This Row],[clean Salary (in local currency)]]*VLOOKUP(tblSalaries[[#This Row],[Currency]],tblXrate[],2,FALSE)</f>
        <v>47004.779242689488</v>
      </c>
      <c r="H1079" t="s">
        <v>1233</v>
      </c>
      <c r="I1079" t="s">
        <v>20</v>
      </c>
      <c r="J1079" t="s">
        <v>608</v>
      </c>
      <c r="K1079" t="str">
        <f>VLOOKUP(tblSalaries[[#This Row],[Where do you work]],tblCountries[[Actual]:[Mapping]],2,FALSE)</f>
        <v>Spain</v>
      </c>
      <c r="L1079" t="s">
        <v>9</v>
      </c>
      <c r="M1079">
        <v>11</v>
      </c>
      <c r="N1079" s="8" t="str">
        <f>VLOOKUP(K1079,tblCountries[],3,0)</f>
        <v>Europe</v>
      </c>
      <c r="O1079" s="8">
        <f>VLOOKUP(tblSalaries[[#This Row],[How many hours of a day you work on Excel]],tblHours,2,0)</f>
        <v>4</v>
      </c>
      <c r="P1079" s="8">
        <f>VLOOKUP(tblSalaries[[#This Row],[clean Country]],tblCountries[],5,0)</f>
        <v>1.5799320838503232</v>
      </c>
      <c r="Q1079" s="8">
        <f>IF($Q$1,tblSalaries[[#This Row],[PPP Factor]]*tblSalaries[[#This Row],[Salary in USD]],tblSalaries[[#This Row],[Salary in USD]])</f>
        <v>47004.779242689488</v>
      </c>
    </row>
    <row r="1080" spans="2:17" ht="15" customHeight="1" x14ac:dyDescent="0.25">
      <c r="B1080" t="s">
        <v>3083</v>
      </c>
      <c r="C1080" s="1">
        <v>41057.680335648147</v>
      </c>
      <c r="D1080" s="4" t="s">
        <v>137</v>
      </c>
      <c r="E1080">
        <v>30000</v>
      </c>
      <c r="F1080" t="s">
        <v>69</v>
      </c>
      <c r="G1080">
        <f>tblSalaries[[#This Row],[clean Salary (in local currency)]]*VLOOKUP(tblSalaries[[#This Row],[Currency]],tblXrate[],2,FALSE)</f>
        <v>47285.348162018527</v>
      </c>
      <c r="H1080" t="s">
        <v>1234</v>
      </c>
      <c r="I1080" t="s">
        <v>20</v>
      </c>
      <c r="J1080" t="s">
        <v>71</v>
      </c>
      <c r="K1080" t="str">
        <f>VLOOKUP(tblSalaries[[#This Row],[Where do you work]],tblCountries[[Actual]:[Mapping]],2,FALSE)</f>
        <v>UK</v>
      </c>
      <c r="L1080" t="s">
        <v>13</v>
      </c>
      <c r="M1080">
        <v>10</v>
      </c>
      <c r="N1080" s="8" t="str">
        <f>VLOOKUP(K1080,tblCountries[],3,0)</f>
        <v>Europe</v>
      </c>
      <c r="O1080" s="8">
        <f>VLOOKUP(tblSalaries[[#This Row],[How many hours of a day you work on Excel]],tblHours,2,0)</f>
        <v>5</v>
      </c>
      <c r="P1080" s="8">
        <f>VLOOKUP(tblSalaries[[#This Row],[clean Country]],tblCountries[],5,0)</f>
        <v>1.3407315045719035</v>
      </c>
      <c r="Q1080" s="8">
        <f>IF($Q$1,tblSalaries[[#This Row],[PPP Factor]]*tblSalaries[[#This Row],[Salary in USD]],tblSalaries[[#This Row],[Salary in USD]])</f>
        <v>47285.348162018527</v>
      </c>
    </row>
    <row r="1081" spans="2:17" ht="15" customHeight="1" x14ac:dyDescent="0.25">
      <c r="B1081" t="s">
        <v>3084</v>
      </c>
      <c r="C1081" s="1">
        <v>41057.681157407409</v>
      </c>
      <c r="D1081" s="4">
        <v>58000</v>
      </c>
      <c r="E1081">
        <v>58000</v>
      </c>
      <c r="F1081" t="s">
        <v>69</v>
      </c>
      <c r="G1081">
        <f>tblSalaries[[#This Row],[clean Salary (in local currency)]]*VLOOKUP(tblSalaries[[#This Row],[Currency]],tblXrate[],2,FALSE)</f>
        <v>91418.339779902482</v>
      </c>
      <c r="H1081" t="s">
        <v>1235</v>
      </c>
      <c r="I1081" t="s">
        <v>20</v>
      </c>
      <c r="J1081" t="s">
        <v>71</v>
      </c>
      <c r="K1081" t="str">
        <f>VLOOKUP(tblSalaries[[#This Row],[Where do you work]],tblCountries[[Actual]:[Mapping]],2,FALSE)</f>
        <v>UK</v>
      </c>
      <c r="L1081" t="s">
        <v>13</v>
      </c>
      <c r="M1081">
        <v>8</v>
      </c>
      <c r="N1081" s="8" t="str">
        <f>VLOOKUP(K1081,tblCountries[],3,0)</f>
        <v>Europe</v>
      </c>
      <c r="O1081" s="8">
        <f>VLOOKUP(tblSalaries[[#This Row],[How many hours of a day you work on Excel]],tblHours,2,0)</f>
        <v>5</v>
      </c>
      <c r="P1081" s="8">
        <f>VLOOKUP(tblSalaries[[#This Row],[clean Country]],tblCountries[],5,0)</f>
        <v>1.3407315045719035</v>
      </c>
      <c r="Q1081" s="8">
        <f>IF($Q$1,tblSalaries[[#This Row],[PPP Factor]]*tblSalaries[[#This Row],[Salary in USD]],tblSalaries[[#This Row],[Salary in USD]])</f>
        <v>91418.339779902482</v>
      </c>
    </row>
    <row r="1082" spans="2:17" ht="15" customHeight="1" x14ac:dyDescent="0.25">
      <c r="B1082" t="s">
        <v>3085</v>
      </c>
      <c r="C1082" s="1">
        <v>41057.681562500002</v>
      </c>
      <c r="D1082" s="4">
        <v>79000</v>
      </c>
      <c r="E1082">
        <v>79000</v>
      </c>
      <c r="F1082" t="s">
        <v>69</v>
      </c>
      <c r="G1082">
        <f>tblSalaries[[#This Row],[clean Salary (in local currency)]]*VLOOKUP(tblSalaries[[#This Row],[Currency]],tblXrate[],2,FALSE)</f>
        <v>124518.08349331544</v>
      </c>
      <c r="H1082" t="s">
        <v>185</v>
      </c>
      <c r="I1082" t="s">
        <v>20</v>
      </c>
      <c r="J1082" t="s">
        <v>71</v>
      </c>
      <c r="K1082" t="str">
        <f>VLOOKUP(tblSalaries[[#This Row],[Where do you work]],tblCountries[[Actual]:[Mapping]],2,FALSE)</f>
        <v>UK</v>
      </c>
      <c r="L1082" t="s">
        <v>18</v>
      </c>
      <c r="M1082">
        <v>14</v>
      </c>
      <c r="N1082" s="8" t="str">
        <f>VLOOKUP(K1082,tblCountries[],3,0)</f>
        <v>Europe</v>
      </c>
      <c r="O1082" s="8">
        <f>VLOOKUP(tblSalaries[[#This Row],[How many hours of a day you work on Excel]],tblHours,2,0)</f>
        <v>3</v>
      </c>
      <c r="P1082" s="8">
        <f>VLOOKUP(tblSalaries[[#This Row],[clean Country]],tblCountries[],5,0)</f>
        <v>1.3407315045719035</v>
      </c>
      <c r="Q1082" s="8">
        <f>IF($Q$1,tblSalaries[[#This Row],[PPP Factor]]*tblSalaries[[#This Row],[Salary in USD]],tblSalaries[[#This Row],[Salary in USD]])</f>
        <v>124518.08349331544</v>
      </c>
    </row>
    <row r="1083" spans="2:17" ht="15" customHeight="1" x14ac:dyDescent="0.25">
      <c r="B1083" t="s">
        <v>3086</v>
      </c>
      <c r="C1083" s="1">
        <v>41057.684884259259</v>
      </c>
      <c r="D1083" s="4">
        <v>43912.03</v>
      </c>
      <c r="E1083">
        <v>43912</v>
      </c>
      <c r="F1083" t="s">
        <v>69</v>
      </c>
      <c r="G1083">
        <f>tblSalaries[[#This Row],[clean Salary (in local currency)]]*VLOOKUP(tblSalaries[[#This Row],[Currency]],tblXrate[],2,FALSE)</f>
        <v>69213.140283018583</v>
      </c>
      <c r="H1083" t="s">
        <v>427</v>
      </c>
      <c r="I1083" t="s">
        <v>20</v>
      </c>
      <c r="J1083" t="s">
        <v>71</v>
      </c>
      <c r="K1083" t="str">
        <f>VLOOKUP(tblSalaries[[#This Row],[Where do you work]],tblCountries[[Actual]:[Mapping]],2,FALSE)</f>
        <v>UK</v>
      </c>
      <c r="L1083" t="s">
        <v>13</v>
      </c>
      <c r="M1083">
        <v>3</v>
      </c>
      <c r="N1083" s="8" t="str">
        <f>VLOOKUP(K1083,tblCountries[],3,0)</f>
        <v>Europe</v>
      </c>
      <c r="O1083" s="8">
        <f>VLOOKUP(tblSalaries[[#This Row],[How many hours of a day you work on Excel]],tblHours,2,0)</f>
        <v>5</v>
      </c>
      <c r="P1083" s="8">
        <f>VLOOKUP(tblSalaries[[#This Row],[clean Country]],tblCountries[],5,0)</f>
        <v>1.3407315045719035</v>
      </c>
      <c r="Q1083" s="8">
        <f>IF($Q$1,tblSalaries[[#This Row],[PPP Factor]]*tblSalaries[[#This Row],[Salary in USD]],tblSalaries[[#This Row],[Salary in USD]])</f>
        <v>69213.140283018583</v>
      </c>
    </row>
    <row r="1084" spans="2:17" ht="15" customHeight="1" x14ac:dyDescent="0.25">
      <c r="B1084" t="s">
        <v>3087</v>
      </c>
      <c r="C1084" s="1">
        <v>41057.686400462961</v>
      </c>
      <c r="D1084" s="4">
        <v>3500</v>
      </c>
      <c r="E1084">
        <v>3500</v>
      </c>
      <c r="F1084" t="s">
        <v>6</v>
      </c>
      <c r="G1084">
        <f>tblSalaries[[#This Row],[clean Salary (in local currency)]]*VLOOKUP(tblSalaries[[#This Row],[Currency]],tblXrate[],2,FALSE)</f>
        <v>3500</v>
      </c>
      <c r="H1084" t="s">
        <v>1236</v>
      </c>
      <c r="I1084" t="s">
        <v>52</v>
      </c>
      <c r="J1084" t="s">
        <v>1237</v>
      </c>
      <c r="K1084" t="str">
        <f>VLOOKUP(tblSalaries[[#This Row],[Where do you work]],tblCountries[[Actual]:[Mapping]],2,FALSE)</f>
        <v>Pakistan</v>
      </c>
      <c r="L1084" t="s">
        <v>9</v>
      </c>
      <c r="M1084">
        <v>4</v>
      </c>
      <c r="N1084" s="8" t="str">
        <f>VLOOKUP(K1084,tblCountries[],3,0)</f>
        <v>Asia</v>
      </c>
      <c r="O1084" s="8">
        <f>VLOOKUP(tblSalaries[[#This Row],[How many hours of a day you work on Excel]],tblHours,2,0)</f>
        <v>4</v>
      </c>
      <c r="P1084" s="8">
        <f>VLOOKUP(tblSalaries[[#This Row],[clean Country]],tblCountries[],5,0)</f>
        <v>17.361679224973088</v>
      </c>
      <c r="Q1084" s="8">
        <f>IF($Q$1,tblSalaries[[#This Row],[PPP Factor]]*tblSalaries[[#This Row],[Salary in USD]],tblSalaries[[#This Row],[Salary in USD]])</f>
        <v>3500</v>
      </c>
    </row>
    <row r="1085" spans="2:17" ht="15" customHeight="1" x14ac:dyDescent="0.25">
      <c r="B1085" t="s">
        <v>3088</v>
      </c>
      <c r="C1085" s="1">
        <v>41057.690833333334</v>
      </c>
      <c r="D1085" s="4" t="s">
        <v>1238</v>
      </c>
      <c r="E1085">
        <v>40000</v>
      </c>
      <c r="F1085" t="s">
        <v>69</v>
      </c>
      <c r="G1085">
        <f>tblSalaries[[#This Row],[clean Salary (in local currency)]]*VLOOKUP(tblSalaries[[#This Row],[Currency]],tblXrate[],2,FALSE)</f>
        <v>63047.130882691366</v>
      </c>
      <c r="H1085" t="s">
        <v>283</v>
      </c>
      <c r="I1085" t="s">
        <v>52</v>
      </c>
      <c r="J1085" t="s">
        <v>71</v>
      </c>
      <c r="K1085" t="str">
        <f>VLOOKUP(tblSalaries[[#This Row],[Where do you work]],tblCountries[[Actual]:[Mapping]],2,FALSE)</f>
        <v>UK</v>
      </c>
      <c r="L1085" t="s">
        <v>25</v>
      </c>
      <c r="M1085">
        <v>20</v>
      </c>
      <c r="N1085" s="8" t="str">
        <f>VLOOKUP(K1085,tblCountries[],3,0)</f>
        <v>Europe</v>
      </c>
      <c r="O1085" s="8">
        <f>VLOOKUP(tblSalaries[[#This Row],[How many hours of a day you work on Excel]],tblHours,2,0)</f>
        <v>2</v>
      </c>
      <c r="P1085" s="8">
        <f>VLOOKUP(tblSalaries[[#This Row],[clean Country]],tblCountries[],5,0)</f>
        <v>1.3407315045719035</v>
      </c>
      <c r="Q1085" s="8">
        <f>IF($Q$1,tblSalaries[[#This Row],[PPP Factor]]*tblSalaries[[#This Row],[Salary in USD]],tblSalaries[[#This Row],[Salary in USD]])</f>
        <v>63047.130882691366</v>
      </c>
    </row>
    <row r="1086" spans="2:17" ht="15" customHeight="1" x14ac:dyDescent="0.25">
      <c r="B1086" t="s">
        <v>3089</v>
      </c>
      <c r="C1086" s="1">
        <v>41057.691192129627</v>
      </c>
      <c r="D1086" s="4">
        <v>57000</v>
      </c>
      <c r="E1086">
        <v>57000</v>
      </c>
      <c r="F1086" t="s">
        <v>22</v>
      </c>
      <c r="G1086">
        <f>tblSalaries[[#This Row],[clean Salary (in local currency)]]*VLOOKUP(tblSalaries[[#This Row],[Currency]],tblXrate[],2,FALSE)</f>
        <v>72412.768022521646</v>
      </c>
      <c r="H1086" t="s">
        <v>1239</v>
      </c>
      <c r="I1086" t="s">
        <v>52</v>
      </c>
      <c r="J1086" t="s">
        <v>583</v>
      </c>
      <c r="K1086" t="str">
        <f>VLOOKUP(tblSalaries[[#This Row],[Where do you work]],tblCountries[[Actual]:[Mapping]],2,FALSE)</f>
        <v>Norway</v>
      </c>
      <c r="L1086" t="s">
        <v>25</v>
      </c>
      <c r="M1086">
        <v>15</v>
      </c>
      <c r="N1086" s="8" t="str">
        <f>VLOOKUP(K1086,tblCountries[],3,0)</f>
        <v>Europe</v>
      </c>
      <c r="O1086" s="8">
        <f>VLOOKUP(tblSalaries[[#This Row],[How many hours of a day you work on Excel]],tblHours,2,0)</f>
        <v>2</v>
      </c>
      <c r="P1086" s="8">
        <f>VLOOKUP(tblSalaries[[#This Row],[clean Country]],tblCountries[],5,0)</f>
        <v>0.90492042415514951</v>
      </c>
      <c r="Q1086" s="8">
        <f>IF($Q$1,tblSalaries[[#This Row],[PPP Factor]]*tblSalaries[[#This Row],[Salary in USD]],tblSalaries[[#This Row],[Salary in USD]])</f>
        <v>72412.768022521646</v>
      </c>
    </row>
    <row r="1087" spans="2:17" ht="15" customHeight="1" x14ac:dyDescent="0.25">
      <c r="B1087" t="s">
        <v>3090</v>
      </c>
      <c r="C1087" s="1">
        <v>41057.695451388892</v>
      </c>
      <c r="D1087" s="4">
        <v>40000</v>
      </c>
      <c r="E1087">
        <v>40000</v>
      </c>
      <c r="F1087" t="s">
        <v>22</v>
      </c>
      <c r="G1087">
        <f>tblSalaries[[#This Row],[clean Salary (in local currency)]]*VLOOKUP(tblSalaries[[#This Row],[Currency]],tblXrate[],2,FALSE)</f>
        <v>50815.977559664309</v>
      </c>
      <c r="H1087" t="s">
        <v>191</v>
      </c>
      <c r="I1087" t="s">
        <v>310</v>
      </c>
      <c r="J1087" t="s">
        <v>30</v>
      </c>
      <c r="K1087" t="str">
        <f>VLOOKUP(tblSalaries[[#This Row],[Where do you work]],tblCountries[[Actual]:[Mapping]],2,FALSE)</f>
        <v>Portugal</v>
      </c>
      <c r="L1087" t="s">
        <v>18</v>
      </c>
      <c r="M1087">
        <v>10</v>
      </c>
      <c r="N1087" s="8" t="str">
        <f>VLOOKUP(K1087,tblCountries[],3,0)</f>
        <v>Europe</v>
      </c>
      <c r="O1087" s="8">
        <f>VLOOKUP(tblSalaries[[#This Row],[How many hours of a day you work on Excel]],tblHours,2,0)</f>
        <v>3</v>
      </c>
      <c r="P1087" s="8">
        <f>VLOOKUP(tblSalaries[[#This Row],[clean Country]],tblCountries[],5,0)</f>
        <v>2.0712726338769745</v>
      </c>
      <c r="Q1087" s="8">
        <f>IF($Q$1,tblSalaries[[#This Row],[PPP Factor]]*tblSalaries[[#This Row],[Salary in USD]],tblSalaries[[#This Row],[Salary in USD]])</f>
        <v>50815.977559664309</v>
      </c>
    </row>
    <row r="1088" spans="2:17" ht="15" customHeight="1" x14ac:dyDescent="0.25">
      <c r="B1088" t="s">
        <v>3091</v>
      </c>
      <c r="C1088" s="1">
        <v>41057.698240740741</v>
      </c>
      <c r="D1088" s="4">
        <v>100000</v>
      </c>
      <c r="E1088">
        <v>1200000</v>
      </c>
      <c r="F1088" t="s">
        <v>40</v>
      </c>
      <c r="G1088">
        <f>tblSalaries[[#This Row],[clean Salary (in local currency)]]*VLOOKUP(tblSalaries[[#This Row],[Currency]],tblXrate[],2,FALSE)</f>
        <v>21369.500024931083</v>
      </c>
      <c r="H1088" t="s">
        <v>1240</v>
      </c>
      <c r="I1088" t="s">
        <v>52</v>
      </c>
      <c r="J1088" t="s">
        <v>8</v>
      </c>
      <c r="K1088" t="str">
        <f>VLOOKUP(tblSalaries[[#This Row],[Where do you work]],tblCountries[[Actual]:[Mapping]],2,FALSE)</f>
        <v>India</v>
      </c>
      <c r="L1088" t="s">
        <v>18</v>
      </c>
      <c r="M1088">
        <v>5</v>
      </c>
      <c r="N1088" s="8" t="str">
        <f>VLOOKUP(K1088,tblCountries[],3,0)</f>
        <v>Asia</v>
      </c>
      <c r="O1088" s="8">
        <f>VLOOKUP(tblSalaries[[#This Row],[How many hours of a day you work on Excel]],tblHours,2,0)</f>
        <v>3</v>
      </c>
      <c r="P1088" s="8">
        <f>VLOOKUP(tblSalaries[[#This Row],[clean Country]],tblCountries[],5,0)</f>
        <v>13.098808879263672</v>
      </c>
      <c r="Q1088" s="8">
        <f>IF($Q$1,tblSalaries[[#This Row],[PPP Factor]]*tblSalaries[[#This Row],[Salary in USD]],tblSalaries[[#This Row],[Salary in USD]])</f>
        <v>21369.500024931083</v>
      </c>
    </row>
    <row r="1089" spans="2:17" ht="15" customHeight="1" x14ac:dyDescent="0.25">
      <c r="B1089" t="s">
        <v>3092</v>
      </c>
      <c r="C1089" s="1">
        <v>41057.698287037034</v>
      </c>
      <c r="D1089" s="4" t="s">
        <v>68</v>
      </c>
      <c r="E1089">
        <v>35000</v>
      </c>
      <c r="F1089" t="s">
        <v>69</v>
      </c>
      <c r="G1089">
        <f>tblSalaries[[#This Row],[clean Salary (in local currency)]]*VLOOKUP(tblSalaries[[#This Row],[Currency]],tblXrate[],2,FALSE)</f>
        <v>55166.239522354947</v>
      </c>
      <c r="H1089" t="s">
        <v>1241</v>
      </c>
      <c r="I1089" t="s">
        <v>20</v>
      </c>
      <c r="J1089" t="s">
        <v>71</v>
      </c>
      <c r="K1089" t="str">
        <f>VLOOKUP(tblSalaries[[#This Row],[Where do you work]],tblCountries[[Actual]:[Mapping]],2,FALSE)</f>
        <v>UK</v>
      </c>
      <c r="L1089" t="s">
        <v>18</v>
      </c>
      <c r="M1089">
        <v>6</v>
      </c>
      <c r="N1089" s="8" t="str">
        <f>VLOOKUP(K1089,tblCountries[],3,0)</f>
        <v>Europe</v>
      </c>
      <c r="O1089" s="8">
        <f>VLOOKUP(tblSalaries[[#This Row],[How many hours of a day you work on Excel]],tblHours,2,0)</f>
        <v>3</v>
      </c>
      <c r="P1089" s="8">
        <f>VLOOKUP(tblSalaries[[#This Row],[clean Country]],tblCountries[],5,0)</f>
        <v>1.3407315045719035</v>
      </c>
      <c r="Q1089" s="8">
        <f>IF($Q$1,tblSalaries[[#This Row],[PPP Factor]]*tblSalaries[[#This Row],[Salary in USD]],tblSalaries[[#This Row],[Salary in USD]])</f>
        <v>55166.239522354947</v>
      </c>
    </row>
    <row r="1090" spans="2:17" ht="15" customHeight="1" x14ac:dyDescent="0.25">
      <c r="B1090" t="s">
        <v>3093</v>
      </c>
      <c r="C1090" s="1">
        <v>41057.703622685185</v>
      </c>
      <c r="D1090" s="4" t="s">
        <v>1242</v>
      </c>
      <c r="E1090">
        <v>180000</v>
      </c>
      <c r="F1090" t="s">
        <v>40</v>
      </c>
      <c r="G1090">
        <f>tblSalaries[[#This Row],[clean Salary (in local currency)]]*VLOOKUP(tblSalaries[[#This Row],[Currency]],tblXrate[],2,FALSE)</f>
        <v>3205.4250037396623</v>
      </c>
      <c r="H1090" t="s">
        <v>1243</v>
      </c>
      <c r="I1090" t="s">
        <v>20</v>
      </c>
      <c r="J1090" t="s">
        <v>8</v>
      </c>
      <c r="K1090" t="str">
        <f>VLOOKUP(tblSalaries[[#This Row],[Where do you work]],tblCountries[[Actual]:[Mapping]],2,FALSE)</f>
        <v>India</v>
      </c>
      <c r="L1090" t="s">
        <v>13</v>
      </c>
      <c r="M1090">
        <v>3</v>
      </c>
      <c r="N1090" s="8" t="str">
        <f>VLOOKUP(K1090,tblCountries[],3,0)</f>
        <v>Asia</v>
      </c>
      <c r="O1090" s="8">
        <f>VLOOKUP(tblSalaries[[#This Row],[How many hours of a day you work on Excel]],tblHours,2,0)</f>
        <v>5</v>
      </c>
      <c r="P1090" s="8">
        <f>VLOOKUP(tblSalaries[[#This Row],[clean Country]],tblCountries[],5,0)</f>
        <v>13.098808879263672</v>
      </c>
      <c r="Q1090" s="8">
        <f>IF($Q$1,tblSalaries[[#This Row],[PPP Factor]]*tblSalaries[[#This Row],[Salary in USD]],tblSalaries[[#This Row],[Salary in USD]])</f>
        <v>3205.4250037396623</v>
      </c>
    </row>
    <row r="1091" spans="2:17" ht="15" customHeight="1" x14ac:dyDescent="0.25">
      <c r="B1091" t="s">
        <v>3094</v>
      </c>
      <c r="C1091" s="1">
        <v>41057.706979166665</v>
      </c>
      <c r="D1091" s="4" t="s">
        <v>1244</v>
      </c>
      <c r="E1091">
        <v>600000</v>
      </c>
      <c r="F1091" t="s">
        <v>40</v>
      </c>
      <c r="G1091">
        <f>tblSalaries[[#This Row],[clean Salary (in local currency)]]*VLOOKUP(tblSalaries[[#This Row],[Currency]],tblXrate[],2,FALSE)</f>
        <v>10684.750012465542</v>
      </c>
      <c r="H1091" t="s">
        <v>1245</v>
      </c>
      <c r="I1091" t="s">
        <v>310</v>
      </c>
      <c r="J1091" t="s">
        <v>8</v>
      </c>
      <c r="K1091" t="str">
        <f>VLOOKUP(tblSalaries[[#This Row],[Where do you work]],tblCountries[[Actual]:[Mapping]],2,FALSE)</f>
        <v>India</v>
      </c>
      <c r="L1091" t="s">
        <v>18</v>
      </c>
      <c r="M1091">
        <v>8</v>
      </c>
      <c r="N1091" s="8" t="str">
        <f>VLOOKUP(K1091,tblCountries[],3,0)</f>
        <v>Asia</v>
      </c>
      <c r="O1091" s="8">
        <f>VLOOKUP(tblSalaries[[#This Row],[How many hours of a day you work on Excel]],tblHours,2,0)</f>
        <v>3</v>
      </c>
      <c r="P1091" s="8">
        <f>VLOOKUP(tblSalaries[[#This Row],[clean Country]],tblCountries[],5,0)</f>
        <v>13.098808879263672</v>
      </c>
      <c r="Q1091" s="8">
        <f>IF($Q$1,tblSalaries[[#This Row],[PPP Factor]]*tblSalaries[[#This Row],[Salary in USD]],tblSalaries[[#This Row],[Salary in USD]])</f>
        <v>10684.750012465542</v>
      </c>
    </row>
    <row r="1092" spans="2:17" ht="15" customHeight="1" x14ac:dyDescent="0.25">
      <c r="B1092" t="s">
        <v>3095</v>
      </c>
      <c r="C1092" s="1">
        <v>41057.708194444444</v>
      </c>
      <c r="D1092" s="4" t="s">
        <v>1246</v>
      </c>
      <c r="E1092">
        <v>300000</v>
      </c>
      <c r="F1092" t="s">
        <v>40</v>
      </c>
      <c r="G1092">
        <f>tblSalaries[[#This Row],[clean Salary (in local currency)]]*VLOOKUP(tblSalaries[[#This Row],[Currency]],tblXrate[],2,FALSE)</f>
        <v>5342.3750062327708</v>
      </c>
      <c r="H1092" t="s">
        <v>20</v>
      </c>
      <c r="I1092" t="s">
        <v>20</v>
      </c>
      <c r="J1092" t="s">
        <v>8</v>
      </c>
      <c r="K1092" t="str">
        <f>VLOOKUP(tblSalaries[[#This Row],[Where do you work]],tblCountries[[Actual]:[Mapping]],2,FALSE)</f>
        <v>India</v>
      </c>
      <c r="L1092" t="s">
        <v>9</v>
      </c>
      <c r="M1092">
        <v>5</v>
      </c>
      <c r="N1092" s="8" t="str">
        <f>VLOOKUP(K1092,tblCountries[],3,0)</f>
        <v>Asia</v>
      </c>
      <c r="O1092" s="8">
        <f>VLOOKUP(tblSalaries[[#This Row],[How many hours of a day you work on Excel]],tblHours,2,0)</f>
        <v>4</v>
      </c>
      <c r="P1092" s="8">
        <f>VLOOKUP(tblSalaries[[#This Row],[clean Country]],tblCountries[],5,0)</f>
        <v>13.098808879263672</v>
      </c>
      <c r="Q1092" s="8">
        <f>IF($Q$1,tblSalaries[[#This Row],[PPP Factor]]*tblSalaries[[#This Row],[Salary in USD]],tblSalaries[[#This Row],[Salary in USD]])</f>
        <v>5342.3750062327708</v>
      </c>
    </row>
    <row r="1093" spans="2:17" ht="15" customHeight="1" x14ac:dyDescent="0.25">
      <c r="B1093" t="s">
        <v>3096</v>
      </c>
      <c r="C1093" s="1">
        <v>41057.710219907407</v>
      </c>
      <c r="D1093" s="4">
        <v>75000</v>
      </c>
      <c r="E1093">
        <v>75000</v>
      </c>
      <c r="F1093" t="s">
        <v>69</v>
      </c>
      <c r="G1093">
        <f>tblSalaries[[#This Row],[clean Salary (in local currency)]]*VLOOKUP(tblSalaries[[#This Row],[Currency]],tblXrate[],2,FALSE)</f>
        <v>118213.37040504631</v>
      </c>
      <c r="H1093" t="s">
        <v>539</v>
      </c>
      <c r="I1093" t="s">
        <v>52</v>
      </c>
      <c r="J1093" t="s">
        <v>71</v>
      </c>
      <c r="K1093" t="str">
        <f>VLOOKUP(tblSalaries[[#This Row],[Where do you work]],tblCountries[[Actual]:[Mapping]],2,FALSE)</f>
        <v>UK</v>
      </c>
      <c r="L1093" t="s">
        <v>18</v>
      </c>
      <c r="M1093">
        <v>10</v>
      </c>
      <c r="N1093" s="8" t="str">
        <f>VLOOKUP(K1093,tblCountries[],3,0)</f>
        <v>Europe</v>
      </c>
      <c r="O1093" s="8">
        <f>VLOOKUP(tblSalaries[[#This Row],[How many hours of a day you work on Excel]],tblHours,2,0)</f>
        <v>3</v>
      </c>
      <c r="P1093" s="8">
        <f>VLOOKUP(tblSalaries[[#This Row],[clean Country]],tblCountries[],5,0)</f>
        <v>1.3407315045719035</v>
      </c>
      <c r="Q1093" s="8">
        <f>IF($Q$1,tblSalaries[[#This Row],[PPP Factor]]*tblSalaries[[#This Row],[Salary in USD]],tblSalaries[[#This Row],[Salary in USD]])</f>
        <v>118213.37040504631</v>
      </c>
    </row>
    <row r="1094" spans="2:17" ht="15" customHeight="1" x14ac:dyDescent="0.25">
      <c r="B1094" t="s">
        <v>3097</v>
      </c>
      <c r="C1094" s="1">
        <v>41057.711157407408</v>
      </c>
      <c r="D1094" s="4" t="s">
        <v>1247</v>
      </c>
      <c r="E1094">
        <v>100000</v>
      </c>
      <c r="F1094" t="s">
        <v>585</v>
      </c>
      <c r="G1094">
        <f>tblSalaries[[#This Row],[clean Salary (in local currency)]]*VLOOKUP(tblSalaries[[#This Row],[Currency]],tblXrate[],2,FALSE)</f>
        <v>12192.177986291113</v>
      </c>
      <c r="H1094" t="s">
        <v>1248</v>
      </c>
      <c r="I1094" t="s">
        <v>52</v>
      </c>
      <c r="J1094" t="s">
        <v>48</v>
      </c>
      <c r="K1094" t="str">
        <f>VLOOKUP(tblSalaries[[#This Row],[Where do you work]],tblCountries[[Actual]:[Mapping]],2,FALSE)</f>
        <v>South Africa</v>
      </c>
      <c r="L1094" t="s">
        <v>13</v>
      </c>
      <c r="M1094">
        <v>15</v>
      </c>
      <c r="N1094" s="8" t="str">
        <f>VLOOKUP(K1094,tblCountries[],3,0)</f>
        <v>Africa</v>
      </c>
      <c r="O1094" s="8">
        <f>VLOOKUP(tblSalaries[[#This Row],[How many hours of a day you work on Excel]],tblHours,2,0)</f>
        <v>5</v>
      </c>
      <c r="P1094" s="8">
        <f>VLOOKUP(tblSalaries[[#This Row],[clean Country]],tblCountries[],5,0)</f>
        <v>4.4096418481727877</v>
      </c>
      <c r="Q1094" s="8">
        <f>IF($Q$1,tblSalaries[[#This Row],[PPP Factor]]*tblSalaries[[#This Row],[Salary in USD]],tblSalaries[[#This Row],[Salary in USD]])</f>
        <v>12192.177986291113</v>
      </c>
    </row>
    <row r="1095" spans="2:17" ht="15" customHeight="1" x14ac:dyDescent="0.25">
      <c r="B1095" t="s">
        <v>3098</v>
      </c>
      <c r="C1095" s="1">
        <v>41057.711886574078</v>
      </c>
      <c r="D1095" s="4" t="s">
        <v>1249</v>
      </c>
      <c r="E1095">
        <v>45000</v>
      </c>
      <c r="F1095" t="s">
        <v>69</v>
      </c>
      <c r="G1095">
        <f>tblSalaries[[#This Row],[clean Salary (in local currency)]]*VLOOKUP(tblSalaries[[#This Row],[Currency]],tblXrate[],2,FALSE)</f>
        <v>70928.022243027779</v>
      </c>
      <c r="H1095" t="s">
        <v>1250</v>
      </c>
      <c r="I1095" t="s">
        <v>4001</v>
      </c>
      <c r="J1095" t="s">
        <v>71</v>
      </c>
      <c r="K1095" t="str">
        <f>VLOOKUP(tblSalaries[[#This Row],[Where do you work]],tblCountries[[Actual]:[Mapping]],2,FALSE)</f>
        <v>UK</v>
      </c>
      <c r="L1095" t="s">
        <v>9</v>
      </c>
      <c r="M1095">
        <v>8</v>
      </c>
      <c r="N1095" s="8" t="str">
        <f>VLOOKUP(K1095,tblCountries[],3,0)</f>
        <v>Europe</v>
      </c>
      <c r="O1095" s="8">
        <f>VLOOKUP(tblSalaries[[#This Row],[How many hours of a day you work on Excel]],tblHours,2,0)</f>
        <v>4</v>
      </c>
      <c r="P1095" s="8">
        <f>VLOOKUP(tblSalaries[[#This Row],[clean Country]],tblCountries[],5,0)</f>
        <v>1.3407315045719035</v>
      </c>
      <c r="Q1095" s="8">
        <f>IF($Q$1,tblSalaries[[#This Row],[PPP Factor]]*tblSalaries[[#This Row],[Salary in USD]],tblSalaries[[#This Row],[Salary in USD]])</f>
        <v>70928.022243027779</v>
      </c>
    </row>
    <row r="1096" spans="2:17" ht="15" customHeight="1" x14ac:dyDescent="0.25">
      <c r="B1096" t="s">
        <v>3099</v>
      </c>
      <c r="C1096" s="1">
        <v>41057.715046296296</v>
      </c>
      <c r="D1096" s="4" t="s">
        <v>1251</v>
      </c>
      <c r="E1096">
        <v>25000</v>
      </c>
      <c r="F1096" t="s">
        <v>69</v>
      </c>
      <c r="G1096">
        <f>tblSalaries[[#This Row],[clean Salary (in local currency)]]*VLOOKUP(tblSalaries[[#This Row],[Currency]],tblXrate[],2,FALSE)</f>
        <v>39404.456801682099</v>
      </c>
      <c r="H1096" t="s">
        <v>1252</v>
      </c>
      <c r="I1096" t="s">
        <v>20</v>
      </c>
      <c r="J1096" t="s">
        <v>71</v>
      </c>
      <c r="K1096" t="str">
        <f>VLOOKUP(tblSalaries[[#This Row],[Where do you work]],tblCountries[[Actual]:[Mapping]],2,FALSE)</f>
        <v>UK</v>
      </c>
      <c r="L1096" t="s">
        <v>9</v>
      </c>
      <c r="M1096">
        <v>3</v>
      </c>
      <c r="N1096" s="8" t="str">
        <f>VLOOKUP(K1096,tblCountries[],3,0)</f>
        <v>Europe</v>
      </c>
      <c r="O1096" s="8">
        <f>VLOOKUP(tblSalaries[[#This Row],[How many hours of a day you work on Excel]],tblHours,2,0)</f>
        <v>4</v>
      </c>
      <c r="P1096" s="8">
        <f>VLOOKUP(tblSalaries[[#This Row],[clean Country]],tblCountries[],5,0)</f>
        <v>1.3407315045719035</v>
      </c>
      <c r="Q1096" s="8">
        <f>IF($Q$1,tblSalaries[[#This Row],[PPP Factor]]*tblSalaries[[#This Row],[Salary in USD]],tblSalaries[[#This Row],[Salary in USD]])</f>
        <v>39404.456801682099</v>
      </c>
    </row>
    <row r="1097" spans="2:17" ht="15" customHeight="1" x14ac:dyDescent="0.25">
      <c r="B1097" t="s">
        <v>3100</v>
      </c>
      <c r="C1097" s="1">
        <v>41057.717210648145</v>
      </c>
      <c r="D1097" s="4">
        <v>18987</v>
      </c>
      <c r="E1097">
        <v>18987</v>
      </c>
      <c r="F1097" t="s">
        <v>6</v>
      </c>
      <c r="G1097">
        <f>tblSalaries[[#This Row],[clean Salary (in local currency)]]*VLOOKUP(tblSalaries[[#This Row],[Currency]],tblXrate[],2,FALSE)</f>
        <v>18987</v>
      </c>
      <c r="H1097" t="s">
        <v>207</v>
      </c>
      <c r="I1097" t="s">
        <v>20</v>
      </c>
      <c r="J1097" t="s">
        <v>870</v>
      </c>
      <c r="K1097" t="str">
        <f>VLOOKUP(tblSalaries[[#This Row],[Where do you work]],tblCountries[[Actual]:[Mapping]],2,FALSE)</f>
        <v>Nigeria</v>
      </c>
      <c r="L1097" t="s">
        <v>13</v>
      </c>
      <c r="M1097">
        <v>7</v>
      </c>
      <c r="N1097" s="8" t="str">
        <f>VLOOKUP(K1097,tblCountries[],3,0)</f>
        <v>Africa</v>
      </c>
      <c r="O1097" s="8">
        <f>VLOOKUP(tblSalaries[[#This Row],[How many hours of a day you work on Excel]],tblHours,2,0)</f>
        <v>5</v>
      </c>
      <c r="P1097" s="8">
        <f>VLOOKUP(tblSalaries[[#This Row],[clean Country]],tblCountries[],5,0)</f>
        <v>18.769200930954227</v>
      </c>
      <c r="Q1097" s="8">
        <f>IF($Q$1,tblSalaries[[#This Row],[PPP Factor]]*tblSalaries[[#This Row],[Salary in USD]],tblSalaries[[#This Row],[Salary in USD]])</f>
        <v>18987</v>
      </c>
    </row>
    <row r="1098" spans="2:17" ht="15" customHeight="1" x14ac:dyDescent="0.25">
      <c r="B1098" t="s">
        <v>3101</v>
      </c>
      <c r="C1098" s="1">
        <v>41057.719085648147</v>
      </c>
      <c r="D1098" s="4" t="s">
        <v>571</v>
      </c>
      <c r="E1098">
        <v>28500</v>
      </c>
      <c r="F1098" t="s">
        <v>69</v>
      </c>
      <c r="G1098">
        <f>tblSalaries[[#This Row],[clean Salary (in local currency)]]*VLOOKUP(tblSalaries[[#This Row],[Currency]],tblXrate[],2,FALSE)</f>
        <v>44921.080753917595</v>
      </c>
      <c r="H1098" t="s">
        <v>1253</v>
      </c>
      <c r="I1098" t="s">
        <v>52</v>
      </c>
      <c r="J1098" t="s">
        <v>71</v>
      </c>
      <c r="K1098" t="str">
        <f>VLOOKUP(tblSalaries[[#This Row],[Where do you work]],tblCountries[[Actual]:[Mapping]],2,FALSE)</f>
        <v>UK</v>
      </c>
      <c r="L1098" t="s">
        <v>25</v>
      </c>
      <c r="M1098">
        <v>15</v>
      </c>
      <c r="N1098" s="8" t="str">
        <f>VLOOKUP(K1098,tblCountries[],3,0)</f>
        <v>Europe</v>
      </c>
      <c r="O1098" s="8">
        <f>VLOOKUP(tblSalaries[[#This Row],[How many hours of a day you work on Excel]],tblHours,2,0)</f>
        <v>2</v>
      </c>
      <c r="P1098" s="8">
        <f>VLOOKUP(tblSalaries[[#This Row],[clean Country]],tblCountries[],5,0)</f>
        <v>1.3407315045719035</v>
      </c>
      <c r="Q1098" s="8">
        <f>IF($Q$1,tblSalaries[[#This Row],[PPP Factor]]*tblSalaries[[#This Row],[Salary in USD]],tblSalaries[[#This Row],[Salary in USD]])</f>
        <v>44921.080753917595</v>
      </c>
    </row>
    <row r="1099" spans="2:17" ht="15" customHeight="1" x14ac:dyDescent="0.25">
      <c r="B1099" t="s">
        <v>3102</v>
      </c>
      <c r="C1099" s="1">
        <v>41057.720590277779</v>
      </c>
      <c r="D1099" s="4">
        <v>60000</v>
      </c>
      <c r="E1099">
        <v>60000</v>
      </c>
      <c r="F1099" t="s">
        <v>6</v>
      </c>
      <c r="G1099">
        <f>tblSalaries[[#This Row],[clean Salary (in local currency)]]*VLOOKUP(tblSalaries[[#This Row],[Currency]],tblXrate[],2,FALSE)</f>
        <v>60000</v>
      </c>
      <c r="H1099" t="s">
        <v>635</v>
      </c>
      <c r="I1099" t="s">
        <v>52</v>
      </c>
      <c r="J1099" t="s">
        <v>8</v>
      </c>
      <c r="K1099" t="str">
        <f>VLOOKUP(tblSalaries[[#This Row],[Where do you work]],tblCountries[[Actual]:[Mapping]],2,FALSE)</f>
        <v>India</v>
      </c>
      <c r="L1099" t="s">
        <v>13</v>
      </c>
      <c r="M1099">
        <v>14</v>
      </c>
      <c r="N1099" s="8" t="str">
        <f>VLOOKUP(K1099,tblCountries[],3,0)</f>
        <v>Asia</v>
      </c>
      <c r="O1099" s="8">
        <f>VLOOKUP(tblSalaries[[#This Row],[How many hours of a day you work on Excel]],tblHours,2,0)</f>
        <v>5</v>
      </c>
      <c r="P1099" s="8">
        <f>VLOOKUP(tblSalaries[[#This Row],[clean Country]],tblCountries[],5,0)</f>
        <v>13.098808879263672</v>
      </c>
      <c r="Q1099" s="8">
        <f>IF($Q$1,tblSalaries[[#This Row],[PPP Factor]]*tblSalaries[[#This Row],[Salary in USD]],tblSalaries[[#This Row],[Salary in USD]])</f>
        <v>60000</v>
      </c>
    </row>
    <row r="1100" spans="2:17" ht="15" customHeight="1" x14ac:dyDescent="0.25">
      <c r="B1100" t="s">
        <v>3103</v>
      </c>
      <c r="C1100" s="1">
        <v>41057.721377314818</v>
      </c>
      <c r="D1100" s="4" t="s">
        <v>1254</v>
      </c>
      <c r="E1100">
        <v>45200</v>
      </c>
      <c r="F1100" t="s">
        <v>69</v>
      </c>
      <c r="G1100">
        <f>tblSalaries[[#This Row],[clean Salary (in local currency)]]*VLOOKUP(tblSalaries[[#This Row],[Currency]],tblXrate[],2,FALSE)</f>
        <v>71243.257897441246</v>
      </c>
      <c r="H1100" t="s">
        <v>1255</v>
      </c>
      <c r="I1100" t="s">
        <v>52</v>
      </c>
      <c r="J1100" t="s">
        <v>71</v>
      </c>
      <c r="K1100" t="str">
        <f>VLOOKUP(tblSalaries[[#This Row],[Where do you work]],tblCountries[[Actual]:[Mapping]],2,FALSE)</f>
        <v>UK</v>
      </c>
      <c r="L1100" t="s">
        <v>18</v>
      </c>
      <c r="M1100">
        <v>5</v>
      </c>
      <c r="N1100" s="8" t="str">
        <f>VLOOKUP(K1100,tblCountries[],3,0)</f>
        <v>Europe</v>
      </c>
      <c r="O1100" s="8">
        <f>VLOOKUP(tblSalaries[[#This Row],[How many hours of a day you work on Excel]],tblHours,2,0)</f>
        <v>3</v>
      </c>
      <c r="P1100" s="8">
        <f>VLOOKUP(tblSalaries[[#This Row],[clean Country]],tblCountries[],5,0)</f>
        <v>1.3407315045719035</v>
      </c>
      <c r="Q1100" s="8">
        <f>IF($Q$1,tblSalaries[[#This Row],[PPP Factor]]*tblSalaries[[#This Row],[Salary in USD]],tblSalaries[[#This Row],[Salary in USD]])</f>
        <v>71243.257897441246</v>
      </c>
    </row>
    <row r="1101" spans="2:17" ht="15" customHeight="1" x14ac:dyDescent="0.25">
      <c r="B1101" t="s">
        <v>3104</v>
      </c>
      <c r="C1101" s="1">
        <v>41057.72383101852</v>
      </c>
      <c r="D1101" s="4" t="s">
        <v>1256</v>
      </c>
      <c r="E1101">
        <v>252000</v>
      </c>
      <c r="F1101" t="s">
        <v>40</v>
      </c>
      <c r="G1101">
        <f>tblSalaries[[#This Row],[clean Salary (in local currency)]]*VLOOKUP(tblSalaries[[#This Row],[Currency]],tblXrate[],2,FALSE)</f>
        <v>4487.5950052355274</v>
      </c>
      <c r="H1101" t="s">
        <v>1257</v>
      </c>
      <c r="I1101" t="s">
        <v>52</v>
      </c>
      <c r="J1101" t="s">
        <v>8</v>
      </c>
      <c r="K1101" t="str">
        <f>VLOOKUP(tblSalaries[[#This Row],[Where do you work]],tblCountries[[Actual]:[Mapping]],2,FALSE)</f>
        <v>India</v>
      </c>
      <c r="L1101" t="s">
        <v>25</v>
      </c>
      <c r="M1101">
        <v>16</v>
      </c>
      <c r="N1101" s="8" t="str">
        <f>VLOOKUP(K1101,tblCountries[],3,0)</f>
        <v>Asia</v>
      </c>
      <c r="O1101" s="8">
        <f>VLOOKUP(tblSalaries[[#This Row],[How many hours of a day you work on Excel]],tblHours,2,0)</f>
        <v>2</v>
      </c>
      <c r="P1101" s="8">
        <f>VLOOKUP(tblSalaries[[#This Row],[clean Country]],tblCountries[],5,0)</f>
        <v>13.098808879263672</v>
      </c>
      <c r="Q1101" s="8">
        <f>IF($Q$1,tblSalaries[[#This Row],[PPP Factor]]*tblSalaries[[#This Row],[Salary in USD]],tblSalaries[[#This Row],[Salary in USD]])</f>
        <v>4487.5950052355274</v>
      </c>
    </row>
    <row r="1102" spans="2:17" ht="15" customHeight="1" x14ac:dyDescent="0.25">
      <c r="B1102" t="s">
        <v>3105</v>
      </c>
      <c r="C1102" s="1">
        <v>41057.732129629629</v>
      </c>
      <c r="D1102" s="4">
        <v>242304</v>
      </c>
      <c r="E1102">
        <v>242304</v>
      </c>
      <c r="F1102" t="s">
        <v>40</v>
      </c>
      <c r="G1102">
        <f>tblSalaries[[#This Row],[clean Salary (in local currency)]]*VLOOKUP(tblSalaries[[#This Row],[Currency]],tblXrate[],2,FALSE)</f>
        <v>4314.929445034084</v>
      </c>
      <c r="H1102" t="s">
        <v>932</v>
      </c>
      <c r="I1102" t="s">
        <v>310</v>
      </c>
      <c r="J1102" t="s">
        <v>8</v>
      </c>
      <c r="K1102" t="str">
        <f>VLOOKUP(tblSalaries[[#This Row],[Where do you work]],tblCountries[[Actual]:[Mapping]],2,FALSE)</f>
        <v>India</v>
      </c>
      <c r="L1102" t="s">
        <v>9</v>
      </c>
      <c r="M1102">
        <v>7</v>
      </c>
      <c r="N1102" s="8" t="str">
        <f>VLOOKUP(K1102,tblCountries[],3,0)</f>
        <v>Asia</v>
      </c>
      <c r="O1102" s="8">
        <f>VLOOKUP(tblSalaries[[#This Row],[How many hours of a day you work on Excel]],tblHours,2,0)</f>
        <v>4</v>
      </c>
      <c r="P1102" s="8">
        <f>VLOOKUP(tblSalaries[[#This Row],[clean Country]],tblCountries[],5,0)</f>
        <v>13.098808879263672</v>
      </c>
      <c r="Q1102" s="8">
        <f>IF($Q$1,tblSalaries[[#This Row],[PPP Factor]]*tblSalaries[[#This Row],[Salary in USD]],tblSalaries[[#This Row],[Salary in USD]])</f>
        <v>4314.929445034084</v>
      </c>
    </row>
    <row r="1103" spans="2:17" ht="15" customHeight="1" x14ac:dyDescent="0.25">
      <c r="B1103" t="s">
        <v>3106</v>
      </c>
      <c r="C1103" s="1">
        <v>41057.735254629632</v>
      </c>
      <c r="D1103" s="4">
        <v>210000</v>
      </c>
      <c r="E1103">
        <v>210000</v>
      </c>
      <c r="F1103" t="s">
        <v>40</v>
      </c>
      <c r="G1103">
        <f>tblSalaries[[#This Row],[clean Salary (in local currency)]]*VLOOKUP(tblSalaries[[#This Row],[Currency]],tblXrate[],2,FALSE)</f>
        <v>3739.6625043629392</v>
      </c>
      <c r="H1103" t="s">
        <v>1258</v>
      </c>
      <c r="I1103" t="s">
        <v>20</v>
      </c>
      <c r="J1103" t="s">
        <v>8</v>
      </c>
      <c r="K1103" t="str">
        <f>VLOOKUP(tblSalaries[[#This Row],[Where do you work]],tblCountries[[Actual]:[Mapping]],2,FALSE)</f>
        <v>India</v>
      </c>
      <c r="L1103" t="s">
        <v>13</v>
      </c>
      <c r="M1103">
        <v>1</v>
      </c>
      <c r="N1103" s="8" t="str">
        <f>VLOOKUP(K1103,tblCountries[],3,0)</f>
        <v>Asia</v>
      </c>
      <c r="O1103" s="8">
        <f>VLOOKUP(tblSalaries[[#This Row],[How many hours of a day you work on Excel]],tblHours,2,0)</f>
        <v>5</v>
      </c>
      <c r="P1103" s="8">
        <f>VLOOKUP(tblSalaries[[#This Row],[clean Country]],tblCountries[],5,0)</f>
        <v>13.098808879263672</v>
      </c>
      <c r="Q1103" s="8">
        <f>IF($Q$1,tblSalaries[[#This Row],[PPP Factor]]*tblSalaries[[#This Row],[Salary in USD]],tblSalaries[[#This Row],[Salary in USD]])</f>
        <v>3739.6625043629392</v>
      </c>
    </row>
    <row r="1104" spans="2:17" ht="15" customHeight="1" x14ac:dyDescent="0.25">
      <c r="B1104" t="s">
        <v>3107</v>
      </c>
      <c r="C1104" s="1">
        <v>41057.737627314818</v>
      </c>
      <c r="D1104" s="4">
        <v>5000</v>
      </c>
      <c r="E1104">
        <v>60000</v>
      </c>
      <c r="F1104" t="s">
        <v>22</v>
      </c>
      <c r="G1104">
        <f>tblSalaries[[#This Row],[clean Salary (in local currency)]]*VLOOKUP(tblSalaries[[#This Row],[Currency]],tblXrate[],2,FALSE)</f>
        <v>76223.966339496474</v>
      </c>
      <c r="H1104" t="s">
        <v>1259</v>
      </c>
      <c r="I1104" t="s">
        <v>52</v>
      </c>
      <c r="J1104" t="s">
        <v>515</v>
      </c>
      <c r="K1104" t="str">
        <f>VLOOKUP(tblSalaries[[#This Row],[Where do you work]],tblCountries[[Actual]:[Mapping]],2,FALSE)</f>
        <v>Finland</v>
      </c>
      <c r="L1104" t="s">
        <v>25</v>
      </c>
      <c r="M1104">
        <v>4</v>
      </c>
      <c r="N1104" s="8" t="str">
        <f>VLOOKUP(K1104,tblCountries[],3,0)</f>
        <v>Europe</v>
      </c>
      <c r="O1104" s="8">
        <f>VLOOKUP(tblSalaries[[#This Row],[How many hours of a day you work on Excel]],tblHours,2,0)</f>
        <v>2</v>
      </c>
      <c r="P1104" s="8">
        <f>VLOOKUP(tblSalaries[[#This Row],[clean Country]],tblCountries[],5,0)</f>
        <v>1.3353295065680539</v>
      </c>
      <c r="Q1104" s="8">
        <f>IF($Q$1,tblSalaries[[#This Row],[PPP Factor]]*tblSalaries[[#This Row],[Salary in USD]],tblSalaries[[#This Row],[Salary in USD]])</f>
        <v>76223.966339496474</v>
      </c>
    </row>
    <row r="1105" spans="2:17" ht="15" customHeight="1" x14ac:dyDescent="0.25">
      <c r="B1105" t="s">
        <v>3108</v>
      </c>
      <c r="C1105" s="1">
        <v>41057.737754629627</v>
      </c>
      <c r="D1105" s="4" t="s">
        <v>1260</v>
      </c>
      <c r="E1105">
        <v>120000</v>
      </c>
      <c r="F1105" t="s">
        <v>358</v>
      </c>
      <c r="G1105">
        <f>tblSalaries[[#This Row],[clean Salary (in local currency)]]*VLOOKUP(tblSalaries[[#This Row],[Currency]],tblXrate[],2,FALSE)</f>
        <v>32666.305522511171</v>
      </c>
      <c r="H1105" t="s">
        <v>642</v>
      </c>
      <c r="I1105" t="s">
        <v>52</v>
      </c>
      <c r="J1105" t="s">
        <v>179</v>
      </c>
      <c r="K1105" t="str">
        <f>VLOOKUP(tblSalaries[[#This Row],[Where do you work]],tblCountries[[Actual]:[Mapping]],2,FALSE)</f>
        <v>UAE</v>
      </c>
      <c r="L1105" t="s">
        <v>18</v>
      </c>
      <c r="M1105">
        <v>12</v>
      </c>
      <c r="N1105" s="8" t="str">
        <f>VLOOKUP(K1105,tblCountries[],3,0)</f>
        <v>Asia</v>
      </c>
      <c r="O1105" s="8">
        <f>VLOOKUP(tblSalaries[[#This Row],[How many hours of a day you work on Excel]],tblHours,2,0)</f>
        <v>3</v>
      </c>
      <c r="P1105" s="8">
        <f>VLOOKUP(tblSalaries[[#This Row],[clean Country]],tblCountries[],5,0)</f>
        <v>1.0047551808629926</v>
      </c>
      <c r="Q1105" s="8">
        <f>IF($Q$1,tblSalaries[[#This Row],[PPP Factor]]*tblSalaries[[#This Row],[Salary in USD]],tblSalaries[[#This Row],[Salary in USD]])</f>
        <v>32666.305522511171</v>
      </c>
    </row>
    <row r="1106" spans="2:17" ht="15" customHeight="1" x14ac:dyDescent="0.25">
      <c r="B1106" t="s">
        <v>3109</v>
      </c>
      <c r="C1106" s="1">
        <v>41057.73809027778</v>
      </c>
      <c r="D1106" s="4">
        <v>19000</v>
      </c>
      <c r="E1106">
        <v>19000</v>
      </c>
      <c r="F1106" t="s">
        <v>6</v>
      </c>
      <c r="G1106">
        <f>tblSalaries[[#This Row],[clean Salary (in local currency)]]*VLOOKUP(tblSalaries[[#This Row],[Currency]],tblXrate[],2,FALSE)</f>
        <v>19000</v>
      </c>
      <c r="H1106" t="s">
        <v>1261</v>
      </c>
      <c r="I1106" t="s">
        <v>3999</v>
      </c>
      <c r="J1106" t="s">
        <v>71</v>
      </c>
      <c r="K1106" t="str">
        <f>VLOOKUP(tblSalaries[[#This Row],[Where do you work]],tblCountries[[Actual]:[Mapping]],2,FALSE)</f>
        <v>UK</v>
      </c>
      <c r="L1106" t="s">
        <v>13</v>
      </c>
      <c r="M1106">
        <v>8</v>
      </c>
      <c r="N1106" s="8" t="str">
        <f>VLOOKUP(K1106,tblCountries[],3,0)</f>
        <v>Europe</v>
      </c>
      <c r="O1106" s="8">
        <f>VLOOKUP(tblSalaries[[#This Row],[How many hours of a day you work on Excel]],tblHours,2,0)</f>
        <v>5</v>
      </c>
      <c r="P1106" s="8">
        <f>VLOOKUP(tblSalaries[[#This Row],[clean Country]],tblCountries[],5,0)</f>
        <v>1.3407315045719035</v>
      </c>
      <c r="Q1106" s="8">
        <f>IF($Q$1,tblSalaries[[#This Row],[PPP Factor]]*tblSalaries[[#This Row],[Salary in USD]],tblSalaries[[#This Row],[Salary in USD]])</f>
        <v>19000</v>
      </c>
    </row>
    <row r="1107" spans="2:17" ht="15" customHeight="1" x14ac:dyDescent="0.25">
      <c r="B1107" t="s">
        <v>3110</v>
      </c>
      <c r="C1107" s="1">
        <v>41057.738159722219</v>
      </c>
      <c r="D1107" s="4">
        <v>50000</v>
      </c>
      <c r="E1107">
        <v>50000</v>
      </c>
      <c r="F1107" t="s">
        <v>22</v>
      </c>
      <c r="G1107">
        <f>tblSalaries[[#This Row],[clean Salary (in local currency)]]*VLOOKUP(tblSalaries[[#This Row],[Currency]],tblXrate[],2,FALSE)</f>
        <v>63519.971949580387</v>
      </c>
      <c r="H1107" t="s">
        <v>1262</v>
      </c>
      <c r="I1107" t="s">
        <v>279</v>
      </c>
      <c r="J1107" t="s">
        <v>30</v>
      </c>
      <c r="K1107" t="str">
        <f>VLOOKUP(tblSalaries[[#This Row],[Where do you work]],tblCountries[[Actual]:[Mapping]],2,FALSE)</f>
        <v>Portugal</v>
      </c>
      <c r="L1107" t="s">
        <v>18</v>
      </c>
      <c r="M1107">
        <v>14</v>
      </c>
      <c r="N1107" s="8" t="str">
        <f>VLOOKUP(K1107,tblCountries[],3,0)</f>
        <v>Europe</v>
      </c>
      <c r="O1107" s="8">
        <f>VLOOKUP(tblSalaries[[#This Row],[How many hours of a day you work on Excel]],tblHours,2,0)</f>
        <v>3</v>
      </c>
      <c r="P1107" s="8">
        <f>VLOOKUP(tblSalaries[[#This Row],[clean Country]],tblCountries[],5,0)</f>
        <v>2.0712726338769745</v>
      </c>
      <c r="Q1107" s="8">
        <f>IF($Q$1,tblSalaries[[#This Row],[PPP Factor]]*tblSalaries[[#This Row],[Salary in USD]],tblSalaries[[#This Row],[Salary in USD]])</f>
        <v>63519.971949580387</v>
      </c>
    </row>
    <row r="1108" spans="2:17" ht="15" customHeight="1" x14ac:dyDescent="0.25">
      <c r="B1108" t="s">
        <v>3111</v>
      </c>
      <c r="C1108" s="1">
        <v>41057.745636574073</v>
      </c>
      <c r="D1108" s="4" t="s">
        <v>1263</v>
      </c>
      <c r="E1108">
        <v>900000</v>
      </c>
      <c r="F1108" t="s">
        <v>40</v>
      </c>
      <c r="G1108">
        <f>tblSalaries[[#This Row],[clean Salary (in local currency)]]*VLOOKUP(tblSalaries[[#This Row],[Currency]],tblXrate[],2,FALSE)</f>
        <v>16027.125018698311</v>
      </c>
      <c r="H1108" t="s">
        <v>1264</v>
      </c>
      <c r="I1108" t="s">
        <v>52</v>
      </c>
      <c r="J1108" t="s">
        <v>8</v>
      </c>
      <c r="K1108" t="str">
        <f>VLOOKUP(tblSalaries[[#This Row],[Where do you work]],tblCountries[[Actual]:[Mapping]],2,FALSE)</f>
        <v>India</v>
      </c>
      <c r="L1108" t="s">
        <v>9</v>
      </c>
      <c r="M1108">
        <v>22</v>
      </c>
      <c r="N1108" s="8" t="str">
        <f>VLOOKUP(K1108,tblCountries[],3,0)</f>
        <v>Asia</v>
      </c>
      <c r="O1108" s="8">
        <f>VLOOKUP(tblSalaries[[#This Row],[How many hours of a day you work on Excel]],tblHours,2,0)</f>
        <v>4</v>
      </c>
      <c r="P1108" s="8">
        <f>VLOOKUP(tblSalaries[[#This Row],[clean Country]],tblCountries[],5,0)</f>
        <v>13.098808879263672</v>
      </c>
      <c r="Q1108" s="8">
        <f>IF($Q$1,tblSalaries[[#This Row],[PPP Factor]]*tblSalaries[[#This Row],[Salary in USD]],tblSalaries[[#This Row],[Salary in USD]])</f>
        <v>16027.125018698311</v>
      </c>
    </row>
    <row r="1109" spans="2:17" ht="15" customHeight="1" x14ac:dyDescent="0.25">
      <c r="B1109" t="s">
        <v>3112</v>
      </c>
      <c r="C1109" s="1">
        <v>41057.751898148148</v>
      </c>
      <c r="D1109" s="4" t="s">
        <v>694</v>
      </c>
      <c r="E1109">
        <v>400000</v>
      </c>
      <c r="F1109" t="s">
        <v>40</v>
      </c>
      <c r="G1109">
        <f>tblSalaries[[#This Row],[clean Salary (in local currency)]]*VLOOKUP(tblSalaries[[#This Row],[Currency]],tblXrate[],2,FALSE)</f>
        <v>7123.1666749770275</v>
      </c>
      <c r="H1109" t="s">
        <v>1265</v>
      </c>
      <c r="I1109" t="s">
        <v>3999</v>
      </c>
      <c r="J1109" t="s">
        <v>8</v>
      </c>
      <c r="K1109" t="str">
        <f>VLOOKUP(tblSalaries[[#This Row],[Where do you work]],tblCountries[[Actual]:[Mapping]],2,FALSE)</f>
        <v>India</v>
      </c>
      <c r="L1109" t="s">
        <v>9</v>
      </c>
      <c r="M1109">
        <v>9</v>
      </c>
      <c r="N1109" s="8" t="str">
        <f>VLOOKUP(K1109,tblCountries[],3,0)</f>
        <v>Asia</v>
      </c>
      <c r="O1109" s="8">
        <f>VLOOKUP(tblSalaries[[#This Row],[How many hours of a day you work on Excel]],tblHours,2,0)</f>
        <v>4</v>
      </c>
      <c r="P1109" s="8">
        <f>VLOOKUP(tblSalaries[[#This Row],[clean Country]],tblCountries[],5,0)</f>
        <v>13.098808879263672</v>
      </c>
      <c r="Q1109" s="8">
        <f>IF($Q$1,tblSalaries[[#This Row],[PPP Factor]]*tblSalaries[[#This Row],[Salary in USD]],tblSalaries[[#This Row],[Salary in USD]])</f>
        <v>7123.1666749770275</v>
      </c>
    </row>
    <row r="1110" spans="2:17" ht="15" customHeight="1" x14ac:dyDescent="0.25">
      <c r="B1110" t="s">
        <v>3113</v>
      </c>
      <c r="C1110" s="1">
        <v>41057.753622685188</v>
      </c>
      <c r="D1110" s="4">
        <v>150252</v>
      </c>
      <c r="E1110">
        <v>150252</v>
      </c>
      <c r="F1110" t="s">
        <v>40</v>
      </c>
      <c r="G1110">
        <f>tblSalaries[[#This Row],[clean Salary (in local currency)]]*VLOOKUP(tblSalaries[[#This Row],[Currency]],tblXrate[],2,FALSE)</f>
        <v>2675.675098121621</v>
      </c>
      <c r="H1110" t="s">
        <v>1266</v>
      </c>
      <c r="I1110" t="s">
        <v>52</v>
      </c>
      <c r="J1110" t="s">
        <v>8</v>
      </c>
      <c r="K1110" t="str">
        <f>VLOOKUP(tblSalaries[[#This Row],[Where do you work]],tblCountries[[Actual]:[Mapping]],2,FALSE)</f>
        <v>India</v>
      </c>
      <c r="L1110" t="s">
        <v>18</v>
      </c>
      <c r="M1110">
        <v>5</v>
      </c>
      <c r="N1110" s="8" t="str">
        <f>VLOOKUP(K1110,tblCountries[],3,0)</f>
        <v>Asia</v>
      </c>
      <c r="O1110" s="8">
        <f>VLOOKUP(tblSalaries[[#This Row],[How many hours of a day you work on Excel]],tblHours,2,0)</f>
        <v>3</v>
      </c>
      <c r="P1110" s="8">
        <f>VLOOKUP(tblSalaries[[#This Row],[clean Country]],tblCountries[],5,0)</f>
        <v>13.098808879263672</v>
      </c>
      <c r="Q1110" s="8">
        <f>IF($Q$1,tblSalaries[[#This Row],[PPP Factor]]*tblSalaries[[#This Row],[Salary in USD]],tblSalaries[[#This Row],[Salary in USD]])</f>
        <v>2675.675098121621</v>
      </c>
    </row>
    <row r="1111" spans="2:17" ht="15" customHeight="1" x14ac:dyDescent="0.25">
      <c r="B1111" t="s">
        <v>3114</v>
      </c>
      <c r="C1111" s="1">
        <v>41057.753657407404</v>
      </c>
      <c r="D1111" s="4" t="s">
        <v>1267</v>
      </c>
      <c r="E1111">
        <v>15000</v>
      </c>
      <c r="F1111" t="s">
        <v>69</v>
      </c>
      <c r="G1111">
        <f>tblSalaries[[#This Row],[clean Salary (in local currency)]]*VLOOKUP(tblSalaries[[#This Row],[Currency]],tblXrate[],2,FALSE)</f>
        <v>23642.674081009263</v>
      </c>
      <c r="H1111" t="s">
        <v>1261</v>
      </c>
      <c r="I1111" t="s">
        <v>3999</v>
      </c>
      <c r="J1111" t="s">
        <v>71</v>
      </c>
      <c r="K1111" t="str">
        <f>VLOOKUP(tblSalaries[[#This Row],[Where do you work]],tblCountries[[Actual]:[Mapping]],2,FALSE)</f>
        <v>UK</v>
      </c>
      <c r="L1111" t="s">
        <v>13</v>
      </c>
      <c r="M1111">
        <v>2</v>
      </c>
      <c r="N1111" s="8" t="str">
        <f>VLOOKUP(K1111,tblCountries[],3,0)</f>
        <v>Europe</v>
      </c>
      <c r="O1111" s="8">
        <f>VLOOKUP(tblSalaries[[#This Row],[How many hours of a day you work on Excel]],tblHours,2,0)</f>
        <v>5</v>
      </c>
      <c r="P1111" s="8">
        <f>VLOOKUP(tblSalaries[[#This Row],[clean Country]],tblCountries[],5,0)</f>
        <v>1.3407315045719035</v>
      </c>
      <c r="Q1111" s="8">
        <f>IF($Q$1,tblSalaries[[#This Row],[PPP Factor]]*tblSalaries[[#This Row],[Salary in USD]],tblSalaries[[#This Row],[Salary in USD]])</f>
        <v>23642.674081009263</v>
      </c>
    </row>
    <row r="1112" spans="2:17" ht="15" customHeight="1" x14ac:dyDescent="0.25">
      <c r="B1112" t="s">
        <v>3115</v>
      </c>
      <c r="C1112" s="1">
        <v>41057.758055555554</v>
      </c>
      <c r="D1112" s="4" t="s">
        <v>1268</v>
      </c>
      <c r="E1112">
        <v>45000</v>
      </c>
      <c r="F1112" t="s">
        <v>22</v>
      </c>
      <c r="G1112">
        <f>tblSalaries[[#This Row],[clean Salary (in local currency)]]*VLOOKUP(tblSalaries[[#This Row],[Currency]],tblXrate[],2,FALSE)</f>
        <v>57167.974754622352</v>
      </c>
      <c r="H1112" t="s">
        <v>1269</v>
      </c>
      <c r="I1112" t="s">
        <v>52</v>
      </c>
      <c r="J1112" t="s">
        <v>608</v>
      </c>
      <c r="K1112" t="str">
        <f>VLOOKUP(tblSalaries[[#This Row],[Where do you work]],tblCountries[[Actual]:[Mapping]],2,FALSE)</f>
        <v>Spain</v>
      </c>
      <c r="L1112" t="s">
        <v>9</v>
      </c>
      <c r="M1112">
        <v>14</v>
      </c>
      <c r="N1112" s="8" t="str">
        <f>VLOOKUP(K1112,tblCountries[],3,0)</f>
        <v>Europe</v>
      </c>
      <c r="O1112" s="8">
        <f>VLOOKUP(tblSalaries[[#This Row],[How many hours of a day you work on Excel]],tblHours,2,0)</f>
        <v>4</v>
      </c>
      <c r="P1112" s="8">
        <f>VLOOKUP(tblSalaries[[#This Row],[clean Country]],tblCountries[],5,0)</f>
        <v>1.5799320838503232</v>
      </c>
      <c r="Q1112" s="8">
        <f>IF($Q$1,tblSalaries[[#This Row],[PPP Factor]]*tblSalaries[[#This Row],[Salary in USD]],tblSalaries[[#This Row],[Salary in USD]])</f>
        <v>57167.974754622352</v>
      </c>
    </row>
    <row r="1113" spans="2:17" ht="15" customHeight="1" x14ac:dyDescent="0.25">
      <c r="B1113" t="s">
        <v>3116</v>
      </c>
      <c r="C1113" s="1">
        <v>41057.771423611113</v>
      </c>
      <c r="D1113" s="4" t="s">
        <v>1270</v>
      </c>
      <c r="E1113">
        <v>2400000</v>
      </c>
      <c r="F1113" t="s">
        <v>40</v>
      </c>
      <c r="G1113">
        <f>tblSalaries[[#This Row],[clean Salary (in local currency)]]*VLOOKUP(tblSalaries[[#This Row],[Currency]],tblXrate[],2,FALSE)</f>
        <v>42739.000049862167</v>
      </c>
      <c r="H1113" t="s">
        <v>1271</v>
      </c>
      <c r="I1113" t="s">
        <v>52</v>
      </c>
      <c r="J1113" t="s">
        <v>8</v>
      </c>
      <c r="K1113" t="str">
        <f>VLOOKUP(tblSalaries[[#This Row],[Where do you work]],tblCountries[[Actual]:[Mapping]],2,FALSE)</f>
        <v>India</v>
      </c>
      <c r="L1113" t="s">
        <v>13</v>
      </c>
      <c r="M1113">
        <v>10</v>
      </c>
      <c r="N1113" s="8" t="str">
        <f>VLOOKUP(K1113,tblCountries[],3,0)</f>
        <v>Asia</v>
      </c>
      <c r="O1113" s="8">
        <f>VLOOKUP(tblSalaries[[#This Row],[How many hours of a day you work on Excel]],tblHours,2,0)</f>
        <v>5</v>
      </c>
      <c r="P1113" s="8">
        <f>VLOOKUP(tblSalaries[[#This Row],[clean Country]],tblCountries[],5,0)</f>
        <v>13.098808879263672</v>
      </c>
      <c r="Q1113" s="8">
        <f>IF($Q$1,tblSalaries[[#This Row],[PPP Factor]]*tblSalaries[[#This Row],[Salary in USD]],tblSalaries[[#This Row],[Salary in USD]])</f>
        <v>42739.000049862167</v>
      </c>
    </row>
    <row r="1114" spans="2:17" ht="15" customHeight="1" x14ac:dyDescent="0.25">
      <c r="B1114" t="s">
        <v>3117</v>
      </c>
      <c r="C1114" s="1">
        <v>41057.77375</v>
      </c>
      <c r="D1114" s="4" t="s">
        <v>1272</v>
      </c>
      <c r="E1114">
        <v>216000</v>
      </c>
      <c r="F1114" t="s">
        <v>3951</v>
      </c>
      <c r="G1114">
        <f>tblSalaries[[#This Row],[clean Salary (in local currency)]]*VLOOKUP(tblSalaries[[#This Row],[Currency]],tblXrate[],2,FALSE)</f>
        <v>5120.2912876821438</v>
      </c>
      <c r="H1114" t="s">
        <v>523</v>
      </c>
      <c r="I1114" t="s">
        <v>52</v>
      </c>
      <c r="J1114" t="s">
        <v>347</v>
      </c>
      <c r="K1114" t="str">
        <f>VLOOKUP(tblSalaries[[#This Row],[Where do you work]],tblCountries[[Actual]:[Mapping]],2,FALSE)</f>
        <v>Philippines</v>
      </c>
      <c r="L1114" t="s">
        <v>9</v>
      </c>
      <c r="M1114">
        <v>2</v>
      </c>
      <c r="N1114" s="8" t="str">
        <f>VLOOKUP(K1114,tblCountries[],3,0)</f>
        <v>Asia</v>
      </c>
      <c r="O1114" s="8">
        <f>VLOOKUP(tblSalaries[[#This Row],[How many hours of a day you work on Excel]],tblHours,2,0)</f>
        <v>4</v>
      </c>
      <c r="P1114" s="8">
        <f>VLOOKUP(tblSalaries[[#This Row],[clean Country]],tblCountries[],5,0)</f>
        <v>11.879941075374417</v>
      </c>
      <c r="Q1114" s="8">
        <f>IF($Q$1,tblSalaries[[#This Row],[PPP Factor]]*tblSalaries[[#This Row],[Salary in USD]],tblSalaries[[#This Row],[Salary in USD]])</f>
        <v>5120.2912876821438</v>
      </c>
    </row>
    <row r="1115" spans="2:17" ht="15" customHeight="1" x14ac:dyDescent="0.25">
      <c r="B1115" t="s">
        <v>3118</v>
      </c>
      <c r="C1115" s="1">
        <v>41057.776458333334</v>
      </c>
      <c r="D1115" s="4">
        <v>100000</v>
      </c>
      <c r="E1115">
        <v>100000</v>
      </c>
      <c r="F1115" t="s">
        <v>22</v>
      </c>
      <c r="G1115">
        <f>tblSalaries[[#This Row],[clean Salary (in local currency)]]*VLOOKUP(tblSalaries[[#This Row],[Currency]],tblXrate[],2,FALSE)</f>
        <v>127039.94389916077</v>
      </c>
      <c r="H1115" t="s">
        <v>212</v>
      </c>
      <c r="I1115" t="s">
        <v>4001</v>
      </c>
      <c r="J1115" t="s">
        <v>608</v>
      </c>
      <c r="K1115" t="str">
        <f>VLOOKUP(tblSalaries[[#This Row],[Where do you work]],tblCountries[[Actual]:[Mapping]],2,FALSE)</f>
        <v>Spain</v>
      </c>
      <c r="L1115" t="s">
        <v>25</v>
      </c>
      <c r="M1115">
        <v>20</v>
      </c>
      <c r="N1115" s="8" t="str">
        <f>VLOOKUP(K1115,tblCountries[],3,0)</f>
        <v>Europe</v>
      </c>
      <c r="O1115" s="8">
        <f>VLOOKUP(tblSalaries[[#This Row],[How many hours of a day you work on Excel]],tblHours,2,0)</f>
        <v>2</v>
      </c>
      <c r="P1115" s="8">
        <f>VLOOKUP(tblSalaries[[#This Row],[clean Country]],tblCountries[],5,0)</f>
        <v>1.5799320838503232</v>
      </c>
      <c r="Q1115" s="8">
        <f>IF($Q$1,tblSalaries[[#This Row],[PPP Factor]]*tblSalaries[[#This Row],[Salary in USD]],tblSalaries[[#This Row],[Salary in USD]])</f>
        <v>127039.94389916077</v>
      </c>
    </row>
    <row r="1116" spans="2:17" ht="15" customHeight="1" x14ac:dyDescent="0.25">
      <c r="B1116" t="s">
        <v>3119</v>
      </c>
      <c r="C1116" s="1">
        <v>41057.777303240742</v>
      </c>
      <c r="D1116" s="4">
        <v>90000</v>
      </c>
      <c r="E1116">
        <v>90000</v>
      </c>
      <c r="F1116" t="s">
        <v>6</v>
      </c>
      <c r="G1116">
        <f>tblSalaries[[#This Row],[clean Salary (in local currency)]]*VLOOKUP(tblSalaries[[#This Row],[Currency]],tblXrate[],2,FALSE)</f>
        <v>90000</v>
      </c>
      <c r="H1116" t="s">
        <v>1273</v>
      </c>
      <c r="I1116" t="s">
        <v>52</v>
      </c>
      <c r="J1116" t="s">
        <v>15</v>
      </c>
      <c r="K1116" t="str">
        <f>VLOOKUP(tblSalaries[[#This Row],[Where do you work]],tblCountries[[Actual]:[Mapping]],2,FALSE)</f>
        <v>USA</v>
      </c>
      <c r="L1116" t="s">
        <v>9</v>
      </c>
      <c r="M1116">
        <v>5</v>
      </c>
      <c r="N1116" s="8" t="str">
        <f>VLOOKUP(K1116,tblCountries[],3,0)</f>
        <v>North Amer.</v>
      </c>
      <c r="O1116" s="8">
        <f>VLOOKUP(tblSalaries[[#This Row],[How many hours of a day you work on Excel]],tblHours,2,0)</f>
        <v>4</v>
      </c>
      <c r="P1116" s="8">
        <f>VLOOKUP(tblSalaries[[#This Row],[clean Country]],tblCountries[],5,0)</f>
        <v>1</v>
      </c>
      <c r="Q1116" s="8">
        <f>IF($Q$1,tblSalaries[[#This Row],[PPP Factor]]*tblSalaries[[#This Row],[Salary in USD]],tblSalaries[[#This Row],[Salary in USD]])</f>
        <v>90000</v>
      </c>
    </row>
    <row r="1117" spans="2:17" ht="15" customHeight="1" x14ac:dyDescent="0.25">
      <c r="B1117" t="s">
        <v>3120</v>
      </c>
      <c r="C1117" s="1">
        <v>41057.777870370373</v>
      </c>
      <c r="D1117" s="4">
        <v>400000</v>
      </c>
      <c r="E1117">
        <v>400000</v>
      </c>
      <c r="F1117" t="s">
        <v>40</v>
      </c>
      <c r="G1117">
        <f>tblSalaries[[#This Row],[clean Salary (in local currency)]]*VLOOKUP(tblSalaries[[#This Row],[Currency]],tblXrate[],2,FALSE)</f>
        <v>7123.1666749770275</v>
      </c>
      <c r="H1117" t="s">
        <v>1274</v>
      </c>
      <c r="I1117" t="s">
        <v>279</v>
      </c>
      <c r="J1117" t="s">
        <v>8</v>
      </c>
      <c r="K1117" t="str">
        <f>VLOOKUP(tblSalaries[[#This Row],[Where do you work]],tblCountries[[Actual]:[Mapping]],2,FALSE)</f>
        <v>India</v>
      </c>
      <c r="L1117" t="s">
        <v>25</v>
      </c>
      <c r="M1117">
        <v>2</v>
      </c>
      <c r="N1117" s="8" t="str">
        <f>VLOOKUP(K1117,tblCountries[],3,0)</f>
        <v>Asia</v>
      </c>
      <c r="O1117" s="8">
        <f>VLOOKUP(tblSalaries[[#This Row],[How many hours of a day you work on Excel]],tblHours,2,0)</f>
        <v>2</v>
      </c>
      <c r="P1117" s="8">
        <f>VLOOKUP(tblSalaries[[#This Row],[clean Country]],tblCountries[],5,0)</f>
        <v>13.098808879263672</v>
      </c>
      <c r="Q1117" s="8">
        <f>IF($Q$1,tblSalaries[[#This Row],[PPP Factor]]*tblSalaries[[#This Row],[Salary in USD]],tblSalaries[[#This Row],[Salary in USD]])</f>
        <v>7123.1666749770275</v>
      </c>
    </row>
    <row r="1118" spans="2:17" ht="15" customHeight="1" x14ac:dyDescent="0.25">
      <c r="B1118" t="s">
        <v>3121</v>
      </c>
      <c r="C1118" s="1">
        <v>41057.78125</v>
      </c>
      <c r="D1118" s="4">
        <v>10000</v>
      </c>
      <c r="E1118">
        <v>10000</v>
      </c>
      <c r="F1118" t="s">
        <v>6</v>
      </c>
      <c r="G1118">
        <f>tblSalaries[[#This Row],[clean Salary (in local currency)]]*VLOOKUP(tblSalaries[[#This Row],[Currency]],tblXrate[],2,FALSE)</f>
        <v>10000</v>
      </c>
      <c r="H1118" t="s">
        <v>647</v>
      </c>
      <c r="I1118" t="s">
        <v>20</v>
      </c>
      <c r="J1118" t="s">
        <v>8</v>
      </c>
      <c r="K1118" t="str">
        <f>VLOOKUP(tblSalaries[[#This Row],[Where do you work]],tblCountries[[Actual]:[Mapping]],2,FALSE)</f>
        <v>India</v>
      </c>
      <c r="L1118" t="s">
        <v>18</v>
      </c>
      <c r="M1118">
        <v>5</v>
      </c>
      <c r="N1118" s="8" t="str">
        <f>VLOOKUP(K1118,tblCountries[],3,0)</f>
        <v>Asia</v>
      </c>
      <c r="O1118" s="8">
        <f>VLOOKUP(tblSalaries[[#This Row],[How many hours of a day you work on Excel]],tblHours,2,0)</f>
        <v>3</v>
      </c>
      <c r="P1118" s="8">
        <f>VLOOKUP(tblSalaries[[#This Row],[clean Country]],tblCountries[],5,0)</f>
        <v>13.098808879263672</v>
      </c>
      <c r="Q1118" s="8">
        <f>IF($Q$1,tblSalaries[[#This Row],[PPP Factor]]*tblSalaries[[#This Row],[Salary in USD]],tblSalaries[[#This Row],[Salary in USD]])</f>
        <v>10000</v>
      </c>
    </row>
    <row r="1119" spans="2:17" ht="15" customHeight="1" x14ac:dyDescent="0.25">
      <c r="B1119" t="s">
        <v>3122</v>
      </c>
      <c r="C1119" s="1">
        <v>41057.785127314812</v>
      </c>
      <c r="D1119" s="4">
        <v>29000</v>
      </c>
      <c r="E1119">
        <v>29000</v>
      </c>
      <c r="F1119" t="s">
        <v>69</v>
      </c>
      <c r="G1119">
        <f>tblSalaries[[#This Row],[clean Salary (in local currency)]]*VLOOKUP(tblSalaries[[#This Row],[Currency]],tblXrate[],2,FALSE)</f>
        <v>45709.169889951241</v>
      </c>
      <c r="H1119" t="s">
        <v>14</v>
      </c>
      <c r="I1119" t="s">
        <v>20</v>
      </c>
      <c r="J1119" t="s">
        <v>71</v>
      </c>
      <c r="K1119" t="str">
        <f>VLOOKUP(tblSalaries[[#This Row],[Where do you work]],tblCountries[[Actual]:[Mapping]],2,FALSE)</f>
        <v>UK</v>
      </c>
      <c r="L1119" t="s">
        <v>9</v>
      </c>
      <c r="M1119">
        <v>14</v>
      </c>
      <c r="N1119" s="8" t="str">
        <f>VLOOKUP(K1119,tblCountries[],3,0)</f>
        <v>Europe</v>
      </c>
      <c r="O1119" s="8">
        <f>VLOOKUP(tblSalaries[[#This Row],[How many hours of a day you work on Excel]],tblHours,2,0)</f>
        <v>4</v>
      </c>
      <c r="P1119" s="8">
        <f>VLOOKUP(tblSalaries[[#This Row],[clean Country]],tblCountries[],5,0)</f>
        <v>1.3407315045719035</v>
      </c>
      <c r="Q1119" s="8">
        <f>IF($Q$1,tblSalaries[[#This Row],[PPP Factor]]*tblSalaries[[#This Row],[Salary in USD]],tblSalaries[[#This Row],[Salary in USD]])</f>
        <v>45709.169889951241</v>
      </c>
    </row>
    <row r="1120" spans="2:17" ht="15" customHeight="1" x14ac:dyDescent="0.25">
      <c r="B1120" t="s">
        <v>3123</v>
      </c>
      <c r="C1120" s="1">
        <v>41057.795393518521</v>
      </c>
      <c r="D1120" s="4" t="s">
        <v>1275</v>
      </c>
      <c r="E1120">
        <v>200000</v>
      </c>
      <c r="F1120" t="s">
        <v>40</v>
      </c>
      <c r="G1120">
        <f>tblSalaries[[#This Row],[clean Salary (in local currency)]]*VLOOKUP(tblSalaries[[#This Row],[Currency]],tblXrate[],2,FALSE)</f>
        <v>3561.5833374885137</v>
      </c>
      <c r="H1120" t="s">
        <v>1276</v>
      </c>
      <c r="I1120" t="s">
        <v>3999</v>
      </c>
      <c r="J1120" t="s">
        <v>8</v>
      </c>
      <c r="K1120" t="str">
        <f>VLOOKUP(tblSalaries[[#This Row],[Where do you work]],tblCountries[[Actual]:[Mapping]],2,FALSE)</f>
        <v>India</v>
      </c>
      <c r="L1120" t="s">
        <v>13</v>
      </c>
      <c r="M1120">
        <v>5</v>
      </c>
      <c r="N1120" s="8" t="str">
        <f>VLOOKUP(K1120,tblCountries[],3,0)</f>
        <v>Asia</v>
      </c>
      <c r="O1120" s="8">
        <f>VLOOKUP(tblSalaries[[#This Row],[How many hours of a day you work on Excel]],tblHours,2,0)</f>
        <v>5</v>
      </c>
      <c r="P1120" s="8">
        <f>VLOOKUP(tblSalaries[[#This Row],[clean Country]],tblCountries[],5,0)</f>
        <v>13.098808879263672</v>
      </c>
      <c r="Q1120" s="8">
        <f>IF($Q$1,tblSalaries[[#This Row],[PPP Factor]]*tblSalaries[[#This Row],[Salary in USD]],tblSalaries[[#This Row],[Salary in USD]])</f>
        <v>3561.5833374885137</v>
      </c>
    </row>
    <row r="1121" spans="2:17" ht="15" customHeight="1" x14ac:dyDescent="0.25">
      <c r="B1121" t="s">
        <v>3124</v>
      </c>
      <c r="C1121" s="1">
        <v>41057.798344907409</v>
      </c>
      <c r="D1121" s="4">
        <v>30000</v>
      </c>
      <c r="E1121">
        <v>30000</v>
      </c>
      <c r="F1121" t="s">
        <v>22</v>
      </c>
      <c r="G1121">
        <f>tblSalaries[[#This Row],[clean Salary (in local currency)]]*VLOOKUP(tblSalaries[[#This Row],[Currency]],tblXrate[],2,FALSE)</f>
        <v>38111.983169748237</v>
      </c>
      <c r="H1121" t="s">
        <v>1277</v>
      </c>
      <c r="I1121" t="s">
        <v>20</v>
      </c>
      <c r="J1121" t="s">
        <v>59</v>
      </c>
      <c r="K1121" t="str">
        <f>VLOOKUP(tblSalaries[[#This Row],[Where do you work]],tblCountries[[Actual]:[Mapping]],2,FALSE)</f>
        <v>Belgium</v>
      </c>
      <c r="L1121" t="s">
        <v>25</v>
      </c>
      <c r="M1121">
        <v>15</v>
      </c>
      <c r="N1121" s="8" t="str">
        <f>VLOOKUP(K1121,tblCountries[],3,0)</f>
        <v>Europe</v>
      </c>
      <c r="O1121" s="8">
        <f>VLOOKUP(tblSalaries[[#This Row],[How many hours of a day you work on Excel]],tblHours,2,0)</f>
        <v>2</v>
      </c>
      <c r="P1121" s="8">
        <f>VLOOKUP(tblSalaries[[#This Row],[clean Country]],tblCountries[],5,0)</f>
        <v>1.2822163924000318</v>
      </c>
      <c r="Q1121" s="8">
        <f>IF($Q$1,tblSalaries[[#This Row],[PPP Factor]]*tblSalaries[[#This Row],[Salary in USD]],tblSalaries[[#This Row],[Salary in USD]])</f>
        <v>38111.983169748237</v>
      </c>
    </row>
    <row r="1122" spans="2:17" ht="15" customHeight="1" x14ac:dyDescent="0.25">
      <c r="B1122" t="s">
        <v>3125</v>
      </c>
      <c r="C1122" s="1">
        <v>41057.805451388886</v>
      </c>
      <c r="D1122" s="4">
        <v>5000</v>
      </c>
      <c r="E1122">
        <v>60000</v>
      </c>
      <c r="F1122" t="s">
        <v>6</v>
      </c>
      <c r="G1122">
        <f>tblSalaries[[#This Row],[clean Salary (in local currency)]]*VLOOKUP(tblSalaries[[#This Row],[Currency]],tblXrate[],2,FALSE)</f>
        <v>60000</v>
      </c>
      <c r="H1122" t="s">
        <v>1278</v>
      </c>
      <c r="I1122" t="s">
        <v>20</v>
      </c>
      <c r="J1122" t="s">
        <v>15</v>
      </c>
      <c r="K1122" t="str">
        <f>VLOOKUP(tblSalaries[[#This Row],[Where do you work]],tblCountries[[Actual]:[Mapping]],2,FALSE)</f>
        <v>USA</v>
      </c>
      <c r="L1122" t="s">
        <v>18</v>
      </c>
      <c r="M1122">
        <v>4</v>
      </c>
      <c r="N1122" s="8" t="str">
        <f>VLOOKUP(K1122,tblCountries[],3,0)</f>
        <v>North Amer.</v>
      </c>
      <c r="O1122" s="8">
        <f>VLOOKUP(tblSalaries[[#This Row],[How many hours of a day you work on Excel]],tblHours,2,0)</f>
        <v>3</v>
      </c>
      <c r="P1122" s="8">
        <f>VLOOKUP(tblSalaries[[#This Row],[clean Country]],tblCountries[],5,0)</f>
        <v>1</v>
      </c>
      <c r="Q1122" s="8">
        <f>IF($Q$1,tblSalaries[[#This Row],[PPP Factor]]*tblSalaries[[#This Row],[Salary in USD]],tblSalaries[[#This Row],[Salary in USD]])</f>
        <v>60000</v>
      </c>
    </row>
    <row r="1123" spans="2:17" ht="15" customHeight="1" x14ac:dyDescent="0.25">
      <c r="B1123" t="s">
        <v>3126</v>
      </c>
      <c r="C1123" s="1">
        <v>41057.807974537034</v>
      </c>
      <c r="D1123" s="4">
        <v>40000</v>
      </c>
      <c r="E1123">
        <v>40000</v>
      </c>
      <c r="F1123" t="s">
        <v>6</v>
      </c>
      <c r="G1123">
        <f>tblSalaries[[#This Row],[clean Salary (in local currency)]]*VLOOKUP(tblSalaries[[#This Row],[Currency]],tblXrate[],2,FALSE)</f>
        <v>40000</v>
      </c>
      <c r="H1123" t="s">
        <v>279</v>
      </c>
      <c r="I1123" t="s">
        <v>279</v>
      </c>
      <c r="J1123" t="s">
        <v>8</v>
      </c>
      <c r="K1123" t="str">
        <f>VLOOKUP(tblSalaries[[#This Row],[Where do you work]],tblCountries[[Actual]:[Mapping]],2,FALSE)</f>
        <v>India</v>
      </c>
      <c r="L1123" t="s">
        <v>18</v>
      </c>
      <c r="M1123">
        <v>2</v>
      </c>
      <c r="N1123" s="8" t="str">
        <f>VLOOKUP(K1123,tblCountries[],3,0)</f>
        <v>Asia</v>
      </c>
      <c r="O1123" s="8">
        <f>VLOOKUP(tblSalaries[[#This Row],[How many hours of a day you work on Excel]],tblHours,2,0)</f>
        <v>3</v>
      </c>
      <c r="P1123" s="8">
        <f>VLOOKUP(tblSalaries[[#This Row],[clean Country]],tblCountries[],5,0)</f>
        <v>13.098808879263672</v>
      </c>
      <c r="Q1123" s="8">
        <f>IF($Q$1,tblSalaries[[#This Row],[PPP Factor]]*tblSalaries[[#This Row],[Salary in USD]],tblSalaries[[#This Row],[Salary in USD]])</f>
        <v>40000</v>
      </c>
    </row>
    <row r="1124" spans="2:17" ht="15" customHeight="1" x14ac:dyDescent="0.25">
      <c r="B1124" t="s">
        <v>3127</v>
      </c>
      <c r="C1124" s="1">
        <v>41057.809074074074</v>
      </c>
      <c r="D1124" s="4" t="s">
        <v>1279</v>
      </c>
      <c r="E1124">
        <v>853000</v>
      </c>
      <c r="F1124" t="s">
        <v>40</v>
      </c>
      <c r="G1124">
        <f>tblSalaries[[#This Row],[clean Salary (in local currency)]]*VLOOKUP(tblSalaries[[#This Row],[Currency]],tblXrate[],2,FALSE)</f>
        <v>15190.15293438851</v>
      </c>
      <c r="H1124" t="s">
        <v>1280</v>
      </c>
      <c r="I1124" t="s">
        <v>20</v>
      </c>
      <c r="J1124" t="s">
        <v>8</v>
      </c>
      <c r="K1124" t="str">
        <f>VLOOKUP(tblSalaries[[#This Row],[Where do you work]],tblCountries[[Actual]:[Mapping]],2,FALSE)</f>
        <v>India</v>
      </c>
      <c r="L1124" t="s">
        <v>18</v>
      </c>
      <c r="M1124">
        <v>6</v>
      </c>
      <c r="N1124" s="8" t="str">
        <f>VLOOKUP(K1124,tblCountries[],3,0)</f>
        <v>Asia</v>
      </c>
      <c r="O1124" s="8">
        <f>VLOOKUP(tblSalaries[[#This Row],[How many hours of a day you work on Excel]],tblHours,2,0)</f>
        <v>3</v>
      </c>
      <c r="P1124" s="8">
        <f>VLOOKUP(tblSalaries[[#This Row],[clean Country]],tblCountries[],5,0)</f>
        <v>13.098808879263672</v>
      </c>
      <c r="Q1124" s="8">
        <f>IF($Q$1,tblSalaries[[#This Row],[PPP Factor]]*tblSalaries[[#This Row],[Salary in USD]],tblSalaries[[#This Row],[Salary in USD]])</f>
        <v>15190.15293438851</v>
      </c>
    </row>
    <row r="1125" spans="2:17" ht="15" customHeight="1" x14ac:dyDescent="0.25">
      <c r="B1125" t="s">
        <v>3128</v>
      </c>
      <c r="C1125" s="1">
        <v>41057.809432870374</v>
      </c>
      <c r="D1125" s="4">
        <v>90000</v>
      </c>
      <c r="E1125">
        <v>90000</v>
      </c>
      <c r="F1125" t="s">
        <v>22</v>
      </c>
      <c r="G1125">
        <f>tblSalaries[[#This Row],[clean Salary (in local currency)]]*VLOOKUP(tblSalaries[[#This Row],[Currency]],tblXrate[],2,FALSE)</f>
        <v>114335.9495092447</v>
      </c>
      <c r="H1125" t="s">
        <v>1281</v>
      </c>
      <c r="I1125" t="s">
        <v>52</v>
      </c>
      <c r="J1125" t="s">
        <v>1282</v>
      </c>
      <c r="K1125" t="str">
        <f>VLOOKUP(tblSalaries[[#This Row],[Where do you work]],tblCountries[[Actual]:[Mapping]],2,FALSE)</f>
        <v>CEE</v>
      </c>
      <c r="L1125" t="s">
        <v>18</v>
      </c>
      <c r="M1125">
        <v>20</v>
      </c>
      <c r="N1125" s="8" t="str">
        <f>VLOOKUP(K1125,tblCountries[],3,0)</f>
        <v>Europe</v>
      </c>
      <c r="O1125" s="8">
        <f>VLOOKUP(tblSalaries[[#This Row],[How many hours of a day you work on Excel]],tblHours,2,0)</f>
        <v>3</v>
      </c>
      <c r="P1125" s="8">
        <f>VLOOKUP(tblSalaries[[#This Row],[clean Country]],tblCountries[],5,0)</f>
        <v>1</v>
      </c>
      <c r="Q1125" s="8">
        <f>IF($Q$1,tblSalaries[[#This Row],[PPP Factor]]*tblSalaries[[#This Row],[Salary in USD]],tblSalaries[[#This Row],[Salary in USD]])</f>
        <v>114335.9495092447</v>
      </c>
    </row>
    <row r="1126" spans="2:17" ht="15" customHeight="1" x14ac:dyDescent="0.25">
      <c r="B1126" t="s">
        <v>3129</v>
      </c>
      <c r="C1126" s="1">
        <v>41057.814062500001</v>
      </c>
      <c r="D1126" s="4" t="s">
        <v>1228</v>
      </c>
      <c r="E1126">
        <v>23000</v>
      </c>
      <c r="F1126" t="s">
        <v>69</v>
      </c>
      <c r="G1126">
        <f>tblSalaries[[#This Row],[clean Salary (in local currency)]]*VLOOKUP(tblSalaries[[#This Row],[Currency]],tblXrate[],2,FALSE)</f>
        <v>36252.100257547536</v>
      </c>
      <c r="H1126" t="s">
        <v>1283</v>
      </c>
      <c r="I1126" t="s">
        <v>52</v>
      </c>
      <c r="J1126" t="s">
        <v>71</v>
      </c>
      <c r="K1126" t="str">
        <f>VLOOKUP(tblSalaries[[#This Row],[Where do you work]],tblCountries[[Actual]:[Mapping]],2,FALSE)</f>
        <v>UK</v>
      </c>
      <c r="L1126" t="s">
        <v>9</v>
      </c>
      <c r="M1126">
        <v>10</v>
      </c>
      <c r="N1126" s="8" t="str">
        <f>VLOOKUP(K1126,tblCountries[],3,0)</f>
        <v>Europe</v>
      </c>
      <c r="O1126" s="8">
        <f>VLOOKUP(tblSalaries[[#This Row],[How many hours of a day you work on Excel]],tblHours,2,0)</f>
        <v>4</v>
      </c>
      <c r="P1126" s="8">
        <f>VLOOKUP(tblSalaries[[#This Row],[clean Country]],tblCountries[],5,0)</f>
        <v>1.3407315045719035</v>
      </c>
      <c r="Q1126" s="8">
        <f>IF($Q$1,tblSalaries[[#This Row],[PPP Factor]]*tblSalaries[[#This Row],[Salary in USD]],tblSalaries[[#This Row],[Salary in USD]])</f>
        <v>36252.100257547536</v>
      </c>
    </row>
    <row r="1127" spans="2:17" ht="15" customHeight="1" x14ac:dyDescent="0.25">
      <c r="B1127" t="s">
        <v>3130</v>
      </c>
      <c r="C1127" s="1">
        <v>41057.828634259262</v>
      </c>
      <c r="D1127" s="4" t="s">
        <v>137</v>
      </c>
      <c r="E1127">
        <v>30000</v>
      </c>
      <c r="F1127" t="s">
        <v>69</v>
      </c>
      <c r="G1127">
        <f>tblSalaries[[#This Row],[clean Salary (in local currency)]]*VLOOKUP(tblSalaries[[#This Row],[Currency]],tblXrate[],2,FALSE)</f>
        <v>47285.348162018527</v>
      </c>
      <c r="H1127" t="s">
        <v>1284</v>
      </c>
      <c r="I1127" t="s">
        <v>310</v>
      </c>
      <c r="J1127" t="s">
        <v>71</v>
      </c>
      <c r="K1127" t="str">
        <f>VLOOKUP(tblSalaries[[#This Row],[Where do you work]],tblCountries[[Actual]:[Mapping]],2,FALSE)</f>
        <v>UK</v>
      </c>
      <c r="L1127" t="s">
        <v>18</v>
      </c>
      <c r="M1127">
        <v>5</v>
      </c>
      <c r="N1127" s="8" t="str">
        <f>VLOOKUP(K1127,tblCountries[],3,0)</f>
        <v>Europe</v>
      </c>
      <c r="O1127" s="8">
        <f>VLOOKUP(tblSalaries[[#This Row],[How many hours of a day you work on Excel]],tblHours,2,0)</f>
        <v>3</v>
      </c>
      <c r="P1127" s="8">
        <f>VLOOKUP(tblSalaries[[#This Row],[clean Country]],tblCountries[],5,0)</f>
        <v>1.3407315045719035</v>
      </c>
      <c r="Q1127" s="8">
        <f>IF($Q$1,tblSalaries[[#This Row],[PPP Factor]]*tblSalaries[[#This Row],[Salary in USD]],tblSalaries[[#This Row],[Salary in USD]])</f>
        <v>47285.348162018527</v>
      </c>
    </row>
    <row r="1128" spans="2:17" ht="15" customHeight="1" x14ac:dyDescent="0.25">
      <c r="B1128" t="s">
        <v>3131</v>
      </c>
      <c r="C1128" s="1">
        <v>41057.837037037039</v>
      </c>
      <c r="D1128" s="4" t="s">
        <v>1285</v>
      </c>
      <c r="E1128">
        <v>70000</v>
      </c>
      <c r="F1128" t="s">
        <v>22</v>
      </c>
      <c r="G1128">
        <f>tblSalaries[[#This Row],[clean Salary (in local currency)]]*VLOOKUP(tblSalaries[[#This Row],[Currency]],tblXrate[],2,FALSE)</f>
        <v>88927.960729412545</v>
      </c>
      <c r="H1128" t="s">
        <v>1286</v>
      </c>
      <c r="I1128" t="s">
        <v>356</v>
      </c>
      <c r="J1128" t="s">
        <v>36</v>
      </c>
      <c r="K1128" t="str">
        <f>VLOOKUP(tblSalaries[[#This Row],[Where do you work]],tblCountries[[Actual]:[Mapping]],2,FALSE)</f>
        <v>Ireland</v>
      </c>
      <c r="L1128" t="s">
        <v>18</v>
      </c>
      <c r="M1128">
        <v>20</v>
      </c>
      <c r="N1128" s="8" t="str">
        <f>VLOOKUP(K1128,tblCountries[],3,0)</f>
        <v>Europe</v>
      </c>
      <c r="O1128" s="8">
        <f>VLOOKUP(tblSalaries[[#This Row],[How many hours of a day you work on Excel]],tblHours,2,0)</f>
        <v>3</v>
      </c>
      <c r="P1128" s="8">
        <f>VLOOKUP(tblSalaries[[#This Row],[clean Country]],tblCountries[],5,0)</f>
        <v>1.2206917429803981</v>
      </c>
      <c r="Q1128" s="8">
        <f>IF($Q$1,tblSalaries[[#This Row],[PPP Factor]]*tblSalaries[[#This Row],[Salary in USD]],tblSalaries[[#This Row],[Salary in USD]])</f>
        <v>88927.960729412545</v>
      </c>
    </row>
    <row r="1129" spans="2:17" ht="15" customHeight="1" x14ac:dyDescent="0.25">
      <c r="B1129" t="s">
        <v>3132</v>
      </c>
      <c r="C1129" s="1">
        <v>41057.847187500003</v>
      </c>
      <c r="D1129" s="4">
        <v>6000</v>
      </c>
      <c r="E1129">
        <v>6000</v>
      </c>
      <c r="F1129" t="s">
        <v>6</v>
      </c>
      <c r="G1129">
        <f>tblSalaries[[#This Row],[clean Salary (in local currency)]]*VLOOKUP(tblSalaries[[#This Row],[Currency]],tblXrate[],2,FALSE)</f>
        <v>6000</v>
      </c>
      <c r="H1129" t="s">
        <v>1287</v>
      </c>
      <c r="I1129" t="s">
        <v>310</v>
      </c>
      <c r="J1129" t="s">
        <v>1086</v>
      </c>
      <c r="K1129" t="str">
        <f>VLOOKUP(tblSalaries[[#This Row],[Where do you work]],tblCountries[[Actual]:[Mapping]],2,FALSE)</f>
        <v>Zambia</v>
      </c>
      <c r="L1129" t="s">
        <v>13</v>
      </c>
      <c r="M1129">
        <v>5</v>
      </c>
      <c r="N1129" s="8" t="str">
        <f>VLOOKUP(K1129,tblCountries[],3,0)</f>
        <v>Africa</v>
      </c>
      <c r="O1129" s="8">
        <f>VLOOKUP(tblSalaries[[#This Row],[How many hours of a day you work on Excel]],tblHours,2,0)</f>
        <v>5</v>
      </c>
      <c r="P1129" s="8">
        <f>VLOOKUP(tblSalaries[[#This Row],[clean Country]],tblCountries[],5,0)</f>
        <v>30.03538175046555</v>
      </c>
      <c r="Q1129" s="8">
        <f>IF($Q$1,tblSalaries[[#This Row],[PPP Factor]]*tblSalaries[[#This Row],[Salary in USD]],tblSalaries[[#This Row],[Salary in USD]])</f>
        <v>6000</v>
      </c>
    </row>
    <row r="1130" spans="2:17" ht="15" customHeight="1" x14ac:dyDescent="0.25">
      <c r="B1130" t="s">
        <v>3133</v>
      </c>
      <c r="C1130" s="1">
        <v>41057.84784722222</v>
      </c>
      <c r="D1130" s="4">
        <v>35000</v>
      </c>
      <c r="E1130">
        <v>35000</v>
      </c>
      <c r="F1130" t="s">
        <v>6</v>
      </c>
      <c r="G1130">
        <f>tblSalaries[[#This Row],[clean Salary (in local currency)]]*VLOOKUP(tblSalaries[[#This Row],[Currency]],tblXrate[],2,FALSE)</f>
        <v>35000</v>
      </c>
      <c r="H1130" t="s">
        <v>1288</v>
      </c>
      <c r="I1130" t="s">
        <v>20</v>
      </c>
      <c r="J1130" t="s">
        <v>15</v>
      </c>
      <c r="K1130" t="str">
        <f>VLOOKUP(tblSalaries[[#This Row],[Where do you work]],tblCountries[[Actual]:[Mapping]],2,FALSE)</f>
        <v>USA</v>
      </c>
      <c r="L1130" t="s">
        <v>13</v>
      </c>
      <c r="M1130">
        <v>20</v>
      </c>
      <c r="N1130" s="8" t="str">
        <f>VLOOKUP(K1130,tblCountries[],3,0)</f>
        <v>North Amer.</v>
      </c>
      <c r="O1130" s="8">
        <f>VLOOKUP(tblSalaries[[#This Row],[How many hours of a day you work on Excel]],tblHours,2,0)</f>
        <v>5</v>
      </c>
      <c r="P1130" s="8">
        <f>VLOOKUP(tblSalaries[[#This Row],[clean Country]],tblCountries[],5,0)</f>
        <v>1</v>
      </c>
      <c r="Q1130" s="8">
        <f>IF($Q$1,tblSalaries[[#This Row],[PPP Factor]]*tblSalaries[[#This Row],[Salary in USD]],tblSalaries[[#This Row],[Salary in USD]])</f>
        <v>35000</v>
      </c>
    </row>
    <row r="1131" spans="2:17" ht="15" customHeight="1" x14ac:dyDescent="0.25">
      <c r="B1131" t="s">
        <v>3134</v>
      </c>
      <c r="C1131" s="1">
        <v>41057.857986111114</v>
      </c>
      <c r="D1131" s="4" t="s">
        <v>68</v>
      </c>
      <c r="E1131">
        <v>35000</v>
      </c>
      <c r="F1131" t="s">
        <v>69</v>
      </c>
      <c r="G1131">
        <f>tblSalaries[[#This Row],[clean Salary (in local currency)]]*VLOOKUP(tblSalaries[[#This Row],[Currency]],tblXrate[],2,FALSE)</f>
        <v>55166.239522354947</v>
      </c>
      <c r="H1131" t="s">
        <v>1289</v>
      </c>
      <c r="I1131" t="s">
        <v>20</v>
      </c>
      <c r="J1131" t="s">
        <v>71</v>
      </c>
      <c r="K1131" t="str">
        <f>VLOOKUP(tblSalaries[[#This Row],[Where do you work]],tblCountries[[Actual]:[Mapping]],2,FALSE)</f>
        <v>UK</v>
      </c>
      <c r="L1131" t="s">
        <v>9</v>
      </c>
      <c r="M1131">
        <v>10</v>
      </c>
      <c r="N1131" s="8" t="str">
        <f>VLOOKUP(K1131,tblCountries[],3,0)</f>
        <v>Europe</v>
      </c>
      <c r="O1131" s="8">
        <f>VLOOKUP(tblSalaries[[#This Row],[How many hours of a day you work on Excel]],tblHours,2,0)</f>
        <v>4</v>
      </c>
      <c r="P1131" s="8">
        <f>VLOOKUP(tblSalaries[[#This Row],[clean Country]],tblCountries[],5,0)</f>
        <v>1.3407315045719035</v>
      </c>
      <c r="Q1131" s="8">
        <f>IF($Q$1,tblSalaries[[#This Row],[PPP Factor]]*tblSalaries[[#This Row],[Salary in USD]],tblSalaries[[#This Row],[Salary in USD]])</f>
        <v>55166.239522354947</v>
      </c>
    </row>
    <row r="1132" spans="2:17" ht="15" customHeight="1" x14ac:dyDescent="0.25">
      <c r="B1132" t="s">
        <v>3135</v>
      </c>
      <c r="C1132" s="1">
        <v>41057.863553240742</v>
      </c>
      <c r="D1132" s="4">
        <v>168000</v>
      </c>
      <c r="E1132">
        <v>168000</v>
      </c>
      <c r="F1132" t="s">
        <v>32</v>
      </c>
      <c r="G1132">
        <f>tblSalaries[[#This Row],[clean Salary (in local currency)]]*VLOOKUP(tblSalaries[[#This Row],[Currency]],tblXrate[],2,FALSE)</f>
        <v>1783.166904422254</v>
      </c>
      <c r="H1132" t="s">
        <v>1290</v>
      </c>
      <c r="I1132" t="s">
        <v>310</v>
      </c>
      <c r="J1132" t="s">
        <v>17</v>
      </c>
      <c r="K1132" t="str">
        <f>VLOOKUP(tblSalaries[[#This Row],[Where do you work]],tblCountries[[Actual]:[Mapping]],2,FALSE)</f>
        <v>Pakistan</v>
      </c>
      <c r="L1132" t="s">
        <v>9</v>
      </c>
      <c r="M1132">
        <v>10</v>
      </c>
      <c r="N1132" s="8" t="str">
        <f>VLOOKUP(K1132,tblCountries[],3,0)</f>
        <v>Asia</v>
      </c>
      <c r="O1132" s="8">
        <f>VLOOKUP(tblSalaries[[#This Row],[How many hours of a day you work on Excel]],tblHours,2,0)</f>
        <v>4</v>
      </c>
      <c r="P1132" s="8">
        <f>VLOOKUP(tblSalaries[[#This Row],[clean Country]],tblCountries[],5,0)</f>
        <v>17.361679224973088</v>
      </c>
      <c r="Q1132" s="8">
        <f>IF($Q$1,tblSalaries[[#This Row],[PPP Factor]]*tblSalaries[[#This Row],[Salary in USD]],tblSalaries[[#This Row],[Salary in USD]])</f>
        <v>1783.166904422254</v>
      </c>
    </row>
    <row r="1133" spans="2:17" ht="15" customHeight="1" x14ac:dyDescent="0.25">
      <c r="B1133" t="s">
        <v>3136</v>
      </c>
      <c r="C1133" s="1">
        <v>41057.864988425928</v>
      </c>
      <c r="D1133" s="4">
        <v>13.5</v>
      </c>
      <c r="E1133">
        <v>13500</v>
      </c>
      <c r="F1133" t="s">
        <v>6</v>
      </c>
      <c r="G1133">
        <f>tblSalaries[[#This Row],[clean Salary (in local currency)]]*VLOOKUP(tblSalaries[[#This Row],[Currency]],tblXrate[],2,FALSE)</f>
        <v>13500</v>
      </c>
      <c r="H1133" t="s">
        <v>168</v>
      </c>
      <c r="I1133" t="s">
        <v>52</v>
      </c>
      <c r="J1133" t="s">
        <v>1291</v>
      </c>
      <c r="K1133" t="str">
        <f>VLOOKUP(tblSalaries[[#This Row],[Where do you work]],tblCountries[[Actual]:[Mapping]],2,FALSE)</f>
        <v>Montenegro</v>
      </c>
      <c r="L1133" t="s">
        <v>9</v>
      </c>
      <c r="M1133">
        <v>13</v>
      </c>
      <c r="N1133" s="8" t="str">
        <f>VLOOKUP(K1133,tblCountries[],3,0)</f>
        <v>Europe</v>
      </c>
      <c r="O1133" s="8">
        <f>VLOOKUP(tblSalaries[[#This Row],[How many hours of a day you work on Excel]],tblHours,2,0)</f>
        <v>4</v>
      </c>
      <c r="P1133" s="8">
        <f>VLOOKUP(tblSalaries[[#This Row],[clean Country]],tblCountries[],5,0)</f>
        <v>4.1911650064963188</v>
      </c>
      <c r="Q1133" s="8">
        <f>IF($Q$1,tblSalaries[[#This Row],[PPP Factor]]*tblSalaries[[#This Row],[Salary in USD]],tblSalaries[[#This Row],[Salary in USD]])</f>
        <v>13500</v>
      </c>
    </row>
    <row r="1134" spans="2:17" ht="15" customHeight="1" x14ac:dyDescent="0.25">
      <c r="B1134" t="s">
        <v>3137</v>
      </c>
      <c r="C1134" s="1">
        <v>41057.86917824074</v>
      </c>
      <c r="D1134" s="4" t="s">
        <v>1292</v>
      </c>
      <c r="E1134">
        <v>37500</v>
      </c>
      <c r="F1134" t="s">
        <v>69</v>
      </c>
      <c r="G1134">
        <f>tblSalaries[[#This Row],[clean Salary (in local currency)]]*VLOOKUP(tblSalaries[[#This Row],[Currency]],tblXrate[],2,FALSE)</f>
        <v>59106.685202523156</v>
      </c>
      <c r="H1134" t="s">
        <v>1293</v>
      </c>
      <c r="I1134" t="s">
        <v>310</v>
      </c>
      <c r="J1134" t="s">
        <v>71</v>
      </c>
      <c r="K1134" t="str">
        <f>VLOOKUP(tblSalaries[[#This Row],[Where do you work]],tblCountries[[Actual]:[Mapping]],2,FALSE)</f>
        <v>UK</v>
      </c>
      <c r="L1134" t="s">
        <v>18</v>
      </c>
      <c r="M1134">
        <v>5</v>
      </c>
      <c r="N1134" s="8" t="str">
        <f>VLOOKUP(K1134,tblCountries[],3,0)</f>
        <v>Europe</v>
      </c>
      <c r="O1134" s="8">
        <f>VLOOKUP(tblSalaries[[#This Row],[How many hours of a day you work on Excel]],tblHours,2,0)</f>
        <v>3</v>
      </c>
      <c r="P1134" s="8">
        <f>VLOOKUP(tblSalaries[[#This Row],[clean Country]],tblCountries[],5,0)</f>
        <v>1.3407315045719035</v>
      </c>
      <c r="Q1134" s="8">
        <f>IF($Q$1,tblSalaries[[#This Row],[PPP Factor]]*tblSalaries[[#This Row],[Salary in USD]],tblSalaries[[#This Row],[Salary in USD]])</f>
        <v>59106.685202523156</v>
      </c>
    </row>
    <row r="1135" spans="2:17" ht="15" customHeight="1" x14ac:dyDescent="0.25">
      <c r="B1135" t="s">
        <v>3138</v>
      </c>
      <c r="C1135" s="1">
        <v>41057.871168981481</v>
      </c>
      <c r="D1135" s="4" t="s">
        <v>1294</v>
      </c>
      <c r="E1135">
        <v>708000</v>
      </c>
      <c r="F1135" t="s">
        <v>40</v>
      </c>
      <c r="G1135">
        <f>tblSalaries[[#This Row],[clean Salary (in local currency)]]*VLOOKUP(tblSalaries[[#This Row],[Currency]],tblXrate[],2,FALSE)</f>
        <v>12608.005014709339</v>
      </c>
      <c r="H1135" t="s">
        <v>1295</v>
      </c>
      <c r="I1135" t="s">
        <v>52</v>
      </c>
      <c r="J1135" t="s">
        <v>8</v>
      </c>
      <c r="K1135" t="str">
        <f>VLOOKUP(tblSalaries[[#This Row],[Where do you work]],tblCountries[[Actual]:[Mapping]],2,FALSE)</f>
        <v>India</v>
      </c>
      <c r="L1135" t="s">
        <v>9</v>
      </c>
      <c r="M1135">
        <v>5</v>
      </c>
      <c r="N1135" s="8" t="str">
        <f>VLOOKUP(K1135,tblCountries[],3,0)</f>
        <v>Asia</v>
      </c>
      <c r="O1135" s="8">
        <f>VLOOKUP(tblSalaries[[#This Row],[How many hours of a day you work on Excel]],tblHours,2,0)</f>
        <v>4</v>
      </c>
      <c r="P1135" s="8">
        <f>VLOOKUP(tblSalaries[[#This Row],[clean Country]],tblCountries[],5,0)</f>
        <v>13.098808879263672</v>
      </c>
      <c r="Q1135" s="8">
        <f>IF($Q$1,tblSalaries[[#This Row],[PPP Factor]]*tblSalaries[[#This Row],[Salary in USD]],tblSalaries[[#This Row],[Salary in USD]])</f>
        <v>12608.005014709339</v>
      </c>
    </row>
    <row r="1136" spans="2:17" ht="15" customHeight="1" x14ac:dyDescent="0.25">
      <c r="B1136" t="s">
        <v>3139</v>
      </c>
      <c r="C1136" s="1">
        <v>41057.885011574072</v>
      </c>
      <c r="D1136" s="4" t="s">
        <v>1296</v>
      </c>
      <c r="E1136">
        <v>366252</v>
      </c>
      <c r="F1136" t="s">
        <v>585</v>
      </c>
      <c r="G1136">
        <f>tblSalaries[[#This Row],[clean Salary (in local currency)]]*VLOOKUP(tblSalaries[[#This Row],[Currency]],tblXrate[],2,FALSE)</f>
        <v>44654.095718350931</v>
      </c>
      <c r="H1136" t="s">
        <v>310</v>
      </c>
      <c r="I1136" t="s">
        <v>310</v>
      </c>
      <c r="J1136" t="s">
        <v>48</v>
      </c>
      <c r="K1136" t="str">
        <f>VLOOKUP(tblSalaries[[#This Row],[Where do you work]],tblCountries[[Actual]:[Mapping]],2,FALSE)</f>
        <v>South Africa</v>
      </c>
      <c r="L1136" t="s">
        <v>13</v>
      </c>
      <c r="M1136">
        <v>15</v>
      </c>
      <c r="N1136" s="8" t="str">
        <f>VLOOKUP(K1136,tblCountries[],3,0)</f>
        <v>Africa</v>
      </c>
      <c r="O1136" s="8">
        <f>VLOOKUP(tblSalaries[[#This Row],[How many hours of a day you work on Excel]],tblHours,2,0)</f>
        <v>5</v>
      </c>
      <c r="P1136" s="8">
        <f>VLOOKUP(tblSalaries[[#This Row],[clean Country]],tblCountries[],5,0)</f>
        <v>4.4096418481727877</v>
      </c>
      <c r="Q1136" s="8">
        <f>IF($Q$1,tblSalaries[[#This Row],[PPP Factor]]*tblSalaries[[#This Row],[Salary in USD]],tblSalaries[[#This Row],[Salary in USD]])</f>
        <v>44654.095718350931</v>
      </c>
    </row>
    <row r="1137" spans="2:17" ht="15" customHeight="1" x14ac:dyDescent="0.25">
      <c r="B1137" t="s">
        <v>3140</v>
      </c>
      <c r="C1137" s="1">
        <v>41057.88685185185</v>
      </c>
      <c r="D1137" s="4">
        <v>69000</v>
      </c>
      <c r="E1137">
        <v>69000</v>
      </c>
      <c r="F1137" t="s">
        <v>6</v>
      </c>
      <c r="G1137">
        <f>tblSalaries[[#This Row],[clean Salary (in local currency)]]*VLOOKUP(tblSalaries[[#This Row],[Currency]],tblXrate[],2,FALSE)</f>
        <v>69000</v>
      </c>
      <c r="H1137" t="s">
        <v>1297</v>
      </c>
      <c r="I1137" t="s">
        <v>20</v>
      </c>
      <c r="J1137" t="s">
        <v>15</v>
      </c>
      <c r="K1137" t="str">
        <f>VLOOKUP(tblSalaries[[#This Row],[Where do you work]],tblCountries[[Actual]:[Mapping]],2,FALSE)</f>
        <v>USA</v>
      </c>
      <c r="L1137" t="s">
        <v>18</v>
      </c>
      <c r="M1137">
        <v>20</v>
      </c>
      <c r="N1137" s="8" t="str">
        <f>VLOOKUP(K1137,tblCountries[],3,0)</f>
        <v>North Amer.</v>
      </c>
      <c r="O1137" s="8">
        <f>VLOOKUP(tblSalaries[[#This Row],[How many hours of a day you work on Excel]],tblHours,2,0)</f>
        <v>3</v>
      </c>
      <c r="P1137" s="8">
        <f>VLOOKUP(tblSalaries[[#This Row],[clean Country]],tblCountries[],5,0)</f>
        <v>1</v>
      </c>
      <c r="Q1137" s="8">
        <f>IF($Q$1,tblSalaries[[#This Row],[PPP Factor]]*tblSalaries[[#This Row],[Salary in USD]],tblSalaries[[#This Row],[Salary in USD]])</f>
        <v>69000</v>
      </c>
    </row>
    <row r="1138" spans="2:17" ht="15" customHeight="1" x14ac:dyDescent="0.25">
      <c r="B1138" t="s">
        <v>3141</v>
      </c>
      <c r="C1138" s="1">
        <v>41057.913483796299</v>
      </c>
      <c r="D1138" s="4">
        <v>500</v>
      </c>
      <c r="E1138">
        <v>6000</v>
      </c>
      <c r="F1138" t="s">
        <v>6</v>
      </c>
      <c r="G1138">
        <f>tblSalaries[[#This Row],[clean Salary (in local currency)]]*VLOOKUP(tblSalaries[[#This Row],[Currency]],tblXrate[],2,FALSE)</f>
        <v>6000</v>
      </c>
      <c r="H1138" t="s">
        <v>1298</v>
      </c>
      <c r="I1138" t="s">
        <v>52</v>
      </c>
      <c r="J1138" t="s">
        <v>8</v>
      </c>
      <c r="K1138" t="str">
        <f>VLOOKUP(tblSalaries[[#This Row],[Where do you work]],tblCountries[[Actual]:[Mapping]],2,FALSE)</f>
        <v>India</v>
      </c>
      <c r="L1138" t="s">
        <v>9</v>
      </c>
      <c r="M1138">
        <v>6</v>
      </c>
      <c r="N1138" s="8" t="str">
        <f>VLOOKUP(K1138,tblCountries[],3,0)</f>
        <v>Asia</v>
      </c>
      <c r="O1138" s="8">
        <f>VLOOKUP(tblSalaries[[#This Row],[How many hours of a day you work on Excel]],tblHours,2,0)</f>
        <v>4</v>
      </c>
      <c r="P1138" s="8">
        <f>VLOOKUP(tblSalaries[[#This Row],[clean Country]],tblCountries[],5,0)</f>
        <v>13.098808879263672</v>
      </c>
      <c r="Q1138" s="8">
        <f>IF($Q$1,tblSalaries[[#This Row],[PPP Factor]]*tblSalaries[[#This Row],[Salary in USD]],tblSalaries[[#This Row],[Salary in USD]])</f>
        <v>6000</v>
      </c>
    </row>
    <row r="1139" spans="2:17" ht="15" customHeight="1" x14ac:dyDescent="0.25">
      <c r="B1139" t="s">
        <v>3142</v>
      </c>
      <c r="C1139" s="1">
        <v>41057.922361111108</v>
      </c>
      <c r="D1139" s="4" t="s">
        <v>1299</v>
      </c>
      <c r="E1139">
        <v>500000</v>
      </c>
      <c r="F1139" t="s">
        <v>40</v>
      </c>
      <c r="G1139">
        <f>tblSalaries[[#This Row],[clean Salary (in local currency)]]*VLOOKUP(tblSalaries[[#This Row],[Currency]],tblXrate[],2,FALSE)</f>
        <v>8903.9583437212841</v>
      </c>
      <c r="H1139" t="s">
        <v>938</v>
      </c>
      <c r="I1139" t="s">
        <v>52</v>
      </c>
      <c r="J1139" t="s">
        <v>8</v>
      </c>
      <c r="K1139" t="str">
        <f>VLOOKUP(tblSalaries[[#This Row],[Where do you work]],tblCountries[[Actual]:[Mapping]],2,FALSE)</f>
        <v>India</v>
      </c>
      <c r="L1139" t="s">
        <v>25</v>
      </c>
      <c r="M1139">
        <v>25</v>
      </c>
      <c r="N1139" s="8" t="str">
        <f>VLOOKUP(K1139,tblCountries[],3,0)</f>
        <v>Asia</v>
      </c>
      <c r="O1139" s="8">
        <f>VLOOKUP(tblSalaries[[#This Row],[How many hours of a day you work on Excel]],tblHours,2,0)</f>
        <v>2</v>
      </c>
      <c r="P1139" s="8">
        <f>VLOOKUP(tblSalaries[[#This Row],[clean Country]],tblCountries[],5,0)</f>
        <v>13.098808879263672</v>
      </c>
      <c r="Q1139" s="8">
        <f>IF($Q$1,tblSalaries[[#This Row],[PPP Factor]]*tblSalaries[[#This Row],[Salary in USD]],tblSalaries[[#This Row],[Salary in USD]])</f>
        <v>8903.9583437212841</v>
      </c>
    </row>
    <row r="1140" spans="2:17" ht="15" customHeight="1" x14ac:dyDescent="0.25">
      <c r="B1140" t="s">
        <v>3143</v>
      </c>
      <c r="C1140" s="1">
        <v>41057.923750000002</v>
      </c>
      <c r="D1140" s="4">
        <v>30000</v>
      </c>
      <c r="E1140">
        <v>30000</v>
      </c>
      <c r="F1140" t="s">
        <v>6</v>
      </c>
      <c r="G1140">
        <f>tblSalaries[[#This Row],[clean Salary (in local currency)]]*VLOOKUP(tblSalaries[[#This Row],[Currency]],tblXrate[],2,FALSE)</f>
        <v>30000</v>
      </c>
      <c r="H1140" t="s">
        <v>1300</v>
      </c>
      <c r="I1140" t="s">
        <v>52</v>
      </c>
      <c r="J1140" t="s">
        <v>1301</v>
      </c>
      <c r="K1140" t="str">
        <f>VLOOKUP(tblSalaries[[#This Row],[Where do you work]],tblCountries[[Actual]:[Mapping]],2,FALSE)</f>
        <v>Mexico</v>
      </c>
      <c r="L1140" t="s">
        <v>13</v>
      </c>
      <c r="M1140">
        <v>17</v>
      </c>
      <c r="N1140" s="8" t="str">
        <f>VLOOKUP(K1140,tblCountries[],3,0)</f>
        <v>North Amer.</v>
      </c>
      <c r="O1140" s="8">
        <f>VLOOKUP(tblSalaries[[#This Row],[How many hours of a day you work on Excel]],tblHours,2,0)</f>
        <v>5</v>
      </c>
      <c r="P1140" s="8">
        <f>VLOOKUP(tblSalaries[[#This Row],[clean Country]],tblCountries[],5,0)</f>
        <v>3.3119096509240245</v>
      </c>
      <c r="Q1140" s="8">
        <f>IF($Q$1,tblSalaries[[#This Row],[PPP Factor]]*tblSalaries[[#This Row],[Salary in USD]],tblSalaries[[#This Row],[Salary in USD]])</f>
        <v>30000</v>
      </c>
    </row>
    <row r="1141" spans="2:17" ht="15" customHeight="1" x14ac:dyDescent="0.25">
      <c r="B1141" t="s">
        <v>3144</v>
      </c>
      <c r="C1141" s="1">
        <v>41057.92597222222</v>
      </c>
      <c r="D1141" s="4">
        <v>8600</v>
      </c>
      <c r="E1141">
        <v>8600</v>
      </c>
      <c r="F1141" t="s">
        <v>6</v>
      </c>
      <c r="G1141">
        <f>tblSalaries[[#This Row],[clean Salary (in local currency)]]*VLOOKUP(tblSalaries[[#This Row],[Currency]],tblXrate[],2,FALSE)</f>
        <v>8600</v>
      </c>
      <c r="H1141" t="s">
        <v>1302</v>
      </c>
      <c r="I1141" t="s">
        <v>20</v>
      </c>
      <c r="J1141" t="s">
        <v>8</v>
      </c>
      <c r="K1141" t="str">
        <f>VLOOKUP(tblSalaries[[#This Row],[Where do you work]],tblCountries[[Actual]:[Mapping]],2,FALSE)</f>
        <v>India</v>
      </c>
      <c r="L1141" t="s">
        <v>9</v>
      </c>
      <c r="M1141">
        <v>2</v>
      </c>
      <c r="N1141" s="8" t="str">
        <f>VLOOKUP(K1141,tblCountries[],3,0)</f>
        <v>Asia</v>
      </c>
      <c r="O1141" s="8">
        <f>VLOOKUP(tblSalaries[[#This Row],[How many hours of a day you work on Excel]],tblHours,2,0)</f>
        <v>4</v>
      </c>
      <c r="P1141" s="8">
        <f>VLOOKUP(tblSalaries[[#This Row],[clean Country]],tblCountries[],5,0)</f>
        <v>13.098808879263672</v>
      </c>
      <c r="Q1141" s="8">
        <f>IF($Q$1,tblSalaries[[#This Row],[PPP Factor]]*tblSalaries[[#This Row],[Salary in USD]],tblSalaries[[#This Row],[Salary in USD]])</f>
        <v>8600</v>
      </c>
    </row>
    <row r="1142" spans="2:17" ht="15" customHeight="1" x14ac:dyDescent="0.25">
      <c r="B1142" t="s">
        <v>3145</v>
      </c>
      <c r="C1142" s="1">
        <v>41057.934074074074</v>
      </c>
      <c r="D1142" s="4" t="s">
        <v>1303</v>
      </c>
      <c r="E1142">
        <v>81600</v>
      </c>
      <c r="F1142" t="s">
        <v>6</v>
      </c>
      <c r="G1142">
        <f>tblSalaries[[#This Row],[clean Salary (in local currency)]]*VLOOKUP(tblSalaries[[#This Row],[Currency]],tblXrate[],2,FALSE)</f>
        <v>81600</v>
      </c>
      <c r="H1142" t="s">
        <v>1304</v>
      </c>
      <c r="I1142" t="s">
        <v>20</v>
      </c>
      <c r="J1142" t="s">
        <v>71</v>
      </c>
      <c r="K1142" t="str">
        <f>VLOOKUP(tblSalaries[[#This Row],[Where do you work]],tblCountries[[Actual]:[Mapping]],2,FALSE)</f>
        <v>UK</v>
      </c>
      <c r="L1142" t="s">
        <v>9</v>
      </c>
      <c r="M1142">
        <v>4</v>
      </c>
      <c r="N1142" s="8" t="str">
        <f>VLOOKUP(K1142,tblCountries[],3,0)</f>
        <v>Europe</v>
      </c>
      <c r="O1142" s="8">
        <f>VLOOKUP(tblSalaries[[#This Row],[How many hours of a day you work on Excel]],tblHours,2,0)</f>
        <v>4</v>
      </c>
      <c r="P1142" s="8">
        <f>VLOOKUP(tblSalaries[[#This Row],[clean Country]],tblCountries[],5,0)</f>
        <v>1.3407315045719035</v>
      </c>
      <c r="Q1142" s="8">
        <f>IF($Q$1,tblSalaries[[#This Row],[PPP Factor]]*tblSalaries[[#This Row],[Salary in USD]],tblSalaries[[#This Row],[Salary in USD]])</f>
        <v>81600</v>
      </c>
    </row>
    <row r="1143" spans="2:17" ht="15" customHeight="1" x14ac:dyDescent="0.25">
      <c r="B1143" t="s">
        <v>3146</v>
      </c>
      <c r="C1143" s="1">
        <v>41057.939918981479</v>
      </c>
      <c r="D1143" s="4">
        <v>600000</v>
      </c>
      <c r="E1143">
        <v>600000</v>
      </c>
      <c r="F1143" t="s">
        <v>3986</v>
      </c>
      <c r="G1143">
        <f>tblSalaries[[#This Row],[clean Salary (in local currency)]]*VLOOKUP(tblSalaries[[#This Row],[Currency]],tblXrate[],2,FALSE)</f>
        <v>15404.364569961488</v>
      </c>
      <c r="H1143" t="s">
        <v>1305</v>
      </c>
      <c r="I1143" t="s">
        <v>20</v>
      </c>
      <c r="J1143" t="s">
        <v>1306</v>
      </c>
      <c r="K1143" t="str">
        <f>VLOOKUP(tblSalaries[[#This Row],[Where do you work]],tblCountries[[Actual]:[Mapping]],2,FALSE)</f>
        <v>Dominican Republic</v>
      </c>
      <c r="L1143" t="s">
        <v>13</v>
      </c>
      <c r="M1143">
        <v>3</v>
      </c>
      <c r="N1143" s="8" t="str">
        <f>VLOOKUP(K1143,tblCountries[],3,0)</f>
        <v>North Amer.</v>
      </c>
      <c r="O1143" s="8">
        <f>VLOOKUP(tblSalaries[[#This Row],[How many hours of a day you work on Excel]],tblHours,2,0)</f>
        <v>5</v>
      </c>
      <c r="P1143" s="8">
        <f>VLOOKUP(tblSalaries[[#This Row],[clean Country]],tblCountries[],5,0)</f>
        <v>5.2101862818994293</v>
      </c>
      <c r="Q1143" s="8">
        <f>IF($Q$1,tblSalaries[[#This Row],[PPP Factor]]*tblSalaries[[#This Row],[Salary in USD]],tblSalaries[[#This Row],[Salary in USD]])</f>
        <v>15404.364569961488</v>
      </c>
    </row>
    <row r="1144" spans="2:17" ht="15" customHeight="1" x14ac:dyDescent="0.25">
      <c r="B1144" t="s">
        <v>3147</v>
      </c>
      <c r="C1144" s="1">
        <v>41057.941620370373</v>
      </c>
      <c r="D1144" s="4" t="s">
        <v>1307</v>
      </c>
      <c r="E1144">
        <v>65000</v>
      </c>
      <c r="F1144" t="s">
        <v>86</v>
      </c>
      <c r="G1144">
        <f>tblSalaries[[#This Row],[clean Salary (in local currency)]]*VLOOKUP(tblSalaries[[#This Row],[Currency]],tblXrate[],2,FALSE)</f>
        <v>63918.498996971248</v>
      </c>
      <c r="H1144" t="s">
        <v>1308</v>
      </c>
      <c r="I1144" t="s">
        <v>20</v>
      </c>
      <c r="J1144" t="s">
        <v>88</v>
      </c>
      <c r="K1144" t="str">
        <f>VLOOKUP(tblSalaries[[#This Row],[Where do you work]],tblCountries[[Actual]:[Mapping]],2,FALSE)</f>
        <v>Canada</v>
      </c>
      <c r="L1144" t="s">
        <v>9</v>
      </c>
      <c r="M1144">
        <v>20</v>
      </c>
      <c r="N1144" s="8" t="str">
        <f>VLOOKUP(K1144,tblCountries[],3,0)</f>
        <v>North Amer.</v>
      </c>
      <c r="O1144" s="8">
        <f>VLOOKUP(tblSalaries[[#This Row],[How many hours of a day you work on Excel]],tblHours,2,0)</f>
        <v>4</v>
      </c>
      <c r="P1144" s="8">
        <f>VLOOKUP(tblSalaries[[#This Row],[clean Country]],tblCountries[],5,0)</f>
        <v>1.1935324732986359</v>
      </c>
      <c r="Q1144" s="8">
        <f>IF($Q$1,tblSalaries[[#This Row],[PPP Factor]]*tblSalaries[[#This Row],[Salary in USD]],tblSalaries[[#This Row],[Salary in USD]])</f>
        <v>63918.498996971248</v>
      </c>
    </row>
    <row r="1145" spans="2:17" ht="15" customHeight="1" x14ac:dyDescent="0.25">
      <c r="B1145" t="s">
        <v>3148</v>
      </c>
      <c r="C1145" s="1">
        <v>41057.941921296297</v>
      </c>
      <c r="D1145" s="4">
        <v>75000</v>
      </c>
      <c r="E1145">
        <v>75000</v>
      </c>
      <c r="F1145" t="s">
        <v>6</v>
      </c>
      <c r="G1145">
        <f>tblSalaries[[#This Row],[clean Salary (in local currency)]]*VLOOKUP(tblSalaries[[#This Row],[Currency]],tblXrate[],2,FALSE)</f>
        <v>75000</v>
      </c>
      <c r="H1145" t="s">
        <v>488</v>
      </c>
      <c r="I1145" t="s">
        <v>488</v>
      </c>
      <c r="J1145" t="s">
        <v>15</v>
      </c>
      <c r="K1145" t="str">
        <f>VLOOKUP(tblSalaries[[#This Row],[Where do you work]],tblCountries[[Actual]:[Mapping]],2,FALSE)</f>
        <v>USA</v>
      </c>
      <c r="L1145" t="s">
        <v>18</v>
      </c>
      <c r="M1145">
        <v>20</v>
      </c>
      <c r="N1145" s="8" t="str">
        <f>VLOOKUP(K1145,tblCountries[],3,0)</f>
        <v>North Amer.</v>
      </c>
      <c r="O1145" s="8">
        <f>VLOOKUP(tblSalaries[[#This Row],[How many hours of a day you work on Excel]],tblHours,2,0)</f>
        <v>3</v>
      </c>
      <c r="P1145" s="8">
        <f>VLOOKUP(tblSalaries[[#This Row],[clean Country]],tblCountries[],5,0)</f>
        <v>1</v>
      </c>
      <c r="Q1145" s="8">
        <f>IF($Q$1,tblSalaries[[#This Row],[PPP Factor]]*tblSalaries[[#This Row],[Salary in USD]],tblSalaries[[#This Row],[Salary in USD]])</f>
        <v>75000</v>
      </c>
    </row>
    <row r="1146" spans="2:17" ht="15" customHeight="1" x14ac:dyDescent="0.25">
      <c r="B1146" t="s">
        <v>3149</v>
      </c>
      <c r="C1146" s="1">
        <v>41057.942210648151</v>
      </c>
      <c r="D1146" s="4">
        <v>59000</v>
      </c>
      <c r="E1146">
        <v>59000</v>
      </c>
      <c r="F1146" t="s">
        <v>6</v>
      </c>
      <c r="G1146">
        <f>tblSalaries[[#This Row],[clean Salary (in local currency)]]*VLOOKUP(tblSalaries[[#This Row],[Currency]],tblXrate[],2,FALSE)</f>
        <v>59000</v>
      </c>
      <c r="H1146" t="s">
        <v>394</v>
      </c>
      <c r="I1146" t="s">
        <v>20</v>
      </c>
      <c r="J1146" t="s">
        <v>15</v>
      </c>
      <c r="K1146" t="str">
        <f>VLOOKUP(tblSalaries[[#This Row],[Where do you work]],tblCountries[[Actual]:[Mapping]],2,FALSE)</f>
        <v>USA</v>
      </c>
      <c r="L1146" t="s">
        <v>9</v>
      </c>
      <c r="M1146">
        <v>14</v>
      </c>
      <c r="N1146" s="8" t="str">
        <f>VLOOKUP(K1146,tblCountries[],3,0)</f>
        <v>North Amer.</v>
      </c>
      <c r="O1146" s="8">
        <f>VLOOKUP(tblSalaries[[#This Row],[How many hours of a day you work on Excel]],tblHours,2,0)</f>
        <v>4</v>
      </c>
      <c r="P1146" s="8">
        <f>VLOOKUP(tblSalaries[[#This Row],[clean Country]],tblCountries[],5,0)</f>
        <v>1</v>
      </c>
      <c r="Q1146" s="8">
        <f>IF($Q$1,tblSalaries[[#This Row],[PPP Factor]]*tblSalaries[[#This Row],[Salary in USD]],tblSalaries[[#This Row],[Salary in USD]])</f>
        <v>59000</v>
      </c>
    </row>
    <row r="1147" spans="2:17" ht="15" customHeight="1" x14ac:dyDescent="0.25">
      <c r="B1147" t="s">
        <v>3150</v>
      </c>
      <c r="C1147" s="1">
        <v>41057.943483796298</v>
      </c>
      <c r="D1147" s="4" t="s">
        <v>1309</v>
      </c>
      <c r="E1147">
        <v>50000</v>
      </c>
      <c r="F1147" t="s">
        <v>6</v>
      </c>
      <c r="G1147">
        <f>tblSalaries[[#This Row],[clean Salary (in local currency)]]*VLOOKUP(tblSalaries[[#This Row],[Currency]],tblXrate[],2,FALSE)</f>
        <v>50000</v>
      </c>
      <c r="H1147" t="s">
        <v>564</v>
      </c>
      <c r="I1147" t="s">
        <v>52</v>
      </c>
      <c r="J1147" t="s">
        <v>88</v>
      </c>
      <c r="K1147" t="str">
        <f>VLOOKUP(tblSalaries[[#This Row],[Where do you work]],tblCountries[[Actual]:[Mapping]],2,FALSE)</f>
        <v>Canada</v>
      </c>
      <c r="L1147" t="s">
        <v>25</v>
      </c>
      <c r="M1147">
        <v>5</v>
      </c>
      <c r="N1147" s="8" t="str">
        <f>VLOOKUP(K1147,tblCountries[],3,0)</f>
        <v>North Amer.</v>
      </c>
      <c r="O1147" s="8">
        <f>VLOOKUP(tblSalaries[[#This Row],[How many hours of a day you work on Excel]],tblHours,2,0)</f>
        <v>2</v>
      </c>
      <c r="P1147" s="8">
        <f>VLOOKUP(tblSalaries[[#This Row],[clean Country]],tblCountries[],5,0)</f>
        <v>1.1935324732986359</v>
      </c>
      <c r="Q1147" s="8">
        <f>IF($Q$1,tblSalaries[[#This Row],[PPP Factor]]*tblSalaries[[#This Row],[Salary in USD]],tblSalaries[[#This Row],[Salary in USD]])</f>
        <v>50000</v>
      </c>
    </row>
    <row r="1148" spans="2:17" ht="15" customHeight="1" x14ac:dyDescent="0.25">
      <c r="B1148" t="s">
        <v>3151</v>
      </c>
      <c r="C1148" s="1">
        <v>41057.943854166668</v>
      </c>
      <c r="D1148" s="4" t="s">
        <v>1310</v>
      </c>
      <c r="E1148">
        <v>80000</v>
      </c>
      <c r="F1148" t="s">
        <v>69</v>
      </c>
      <c r="G1148">
        <f>tblSalaries[[#This Row],[clean Salary (in local currency)]]*VLOOKUP(tblSalaries[[#This Row],[Currency]],tblXrate[],2,FALSE)</f>
        <v>126094.26176538273</v>
      </c>
      <c r="H1148" t="s">
        <v>181</v>
      </c>
      <c r="I1148" t="s">
        <v>488</v>
      </c>
      <c r="J1148" t="s">
        <v>71</v>
      </c>
      <c r="K1148" t="str">
        <f>VLOOKUP(tblSalaries[[#This Row],[Where do you work]],tblCountries[[Actual]:[Mapping]],2,FALSE)</f>
        <v>UK</v>
      </c>
      <c r="L1148" t="s">
        <v>9</v>
      </c>
      <c r="M1148">
        <v>15</v>
      </c>
      <c r="N1148" s="8" t="str">
        <f>VLOOKUP(K1148,tblCountries[],3,0)</f>
        <v>Europe</v>
      </c>
      <c r="O1148" s="8">
        <f>VLOOKUP(tblSalaries[[#This Row],[How many hours of a day you work on Excel]],tblHours,2,0)</f>
        <v>4</v>
      </c>
      <c r="P1148" s="8">
        <f>VLOOKUP(tblSalaries[[#This Row],[clean Country]],tblCountries[],5,0)</f>
        <v>1.3407315045719035</v>
      </c>
      <c r="Q1148" s="8">
        <f>IF($Q$1,tblSalaries[[#This Row],[PPP Factor]]*tblSalaries[[#This Row],[Salary in USD]],tblSalaries[[#This Row],[Salary in USD]])</f>
        <v>126094.26176538273</v>
      </c>
    </row>
    <row r="1149" spans="2:17" ht="15" customHeight="1" x14ac:dyDescent="0.25">
      <c r="B1149" t="s">
        <v>3152</v>
      </c>
      <c r="C1149" s="1">
        <v>41057.945150462961</v>
      </c>
      <c r="D1149" s="4" t="s">
        <v>1311</v>
      </c>
      <c r="E1149">
        <v>54000</v>
      </c>
      <c r="F1149" t="s">
        <v>3900</v>
      </c>
      <c r="G1149">
        <f>tblSalaries[[#This Row],[clean Salary (in local currency)]]*VLOOKUP(tblSalaries[[#This Row],[Currency]],tblXrate[],2,FALSE)</f>
        <v>26691.183012544854</v>
      </c>
      <c r="H1149" t="s">
        <v>1312</v>
      </c>
      <c r="I1149" t="s">
        <v>52</v>
      </c>
      <c r="J1149" t="s">
        <v>143</v>
      </c>
      <c r="K1149" t="str">
        <f>VLOOKUP(tblSalaries[[#This Row],[Where do you work]],tblCountries[[Actual]:[Mapping]],2,FALSE)</f>
        <v>Brazil</v>
      </c>
      <c r="L1149" t="s">
        <v>25</v>
      </c>
      <c r="M1149">
        <v>7</v>
      </c>
      <c r="N1149" s="8" t="str">
        <f>VLOOKUP(K1149,tblCountries[],3,0)</f>
        <v>South Amer.</v>
      </c>
      <c r="O1149" s="8">
        <f>VLOOKUP(tblSalaries[[#This Row],[How many hours of a day you work on Excel]],tblHours,2,0)</f>
        <v>2</v>
      </c>
      <c r="P1149" s="8">
        <f>VLOOKUP(tblSalaries[[#This Row],[clean Country]],tblCountries[],5,0)</f>
        <v>4.1113943410655107</v>
      </c>
      <c r="Q1149" s="8">
        <f>IF($Q$1,tblSalaries[[#This Row],[PPP Factor]]*tblSalaries[[#This Row],[Salary in USD]],tblSalaries[[#This Row],[Salary in USD]])</f>
        <v>26691.183012544854</v>
      </c>
    </row>
    <row r="1150" spans="2:17" ht="15" customHeight="1" x14ac:dyDescent="0.25">
      <c r="B1150" t="s">
        <v>3153</v>
      </c>
      <c r="C1150" s="1">
        <v>41057.9453125</v>
      </c>
      <c r="D1150" s="4">
        <v>500000</v>
      </c>
      <c r="E1150">
        <v>500000</v>
      </c>
      <c r="F1150" t="s">
        <v>40</v>
      </c>
      <c r="G1150">
        <f>tblSalaries[[#This Row],[clean Salary (in local currency)]]*VLOOKUP(tblSalaries[[#This Row],[Currency]],tblXrate[],2,FALSE)</f>
        <v>8903.9583437212841</v>
      </c>
      <c r="H1150" t="s">
        <v>207</v>
      </c>
      <c r="I1150" t="s">
        <v>20</v>
      </c>
      <c r="J1150" t="s">
        <v>8</v>
      </c>
      <c r="K1150" t="str">
        <f>VLOOKUP(tblSalaries[[#This Row],[Where do you work]],tblCountries[[Actual]:[Mapping]],2,FALSE)</f>
        <v>India</v>
      </c>
      <c r="L1150" t="s">
        <v>9</v>
      </c>
      <c r="M1150">
        <v>0.8</v>
      </c>
      <c r="N1150" s="8" t="str">
        <f>VLOOKUP(K1150,tblCountries[],3,0)</f>
        <v>Asia</v>
      </c>
      <c r="O1150" s="8">
        <f>VLOOKUP(tblSalaries[[#This Row],[How many hours of a day you work on Excel]],tblHours,2,0)</f>
        <v>4</v>
      </c>
      <c r="P1150" s="8">
        <f>VLOOKUP(tblSalaries[[#This Row],[clean Country]],tblCountries[],5,0)</f>
        <v>13.098808879263672</v>
      </c>
      <c r="Q1150" s="8">
        <f>IF($Q$1,tblSalaries[[#This Row],[PPP Factor]]*tblSalaries[[#This Row],[Salary in USD]],tblSalaries[[#This Row],[Salary in USD]])</f>
        <v>8903.9583437212841</v>
      </c>
    </row>
    <row r="1151" spans="2:17" ht="15" customHeight="1" x14ac:dyDescent="0.25">
      <c r="B1151" t="s">
        <v>3154</v>
      </c>
      <c r="C1151" s="1">
        <v>41057.945439814815</v>
      </c>
      <c r="D1151" s="4" t="s">
        <v>1313</v>
      </c>
      <c r="E1151">
        <v>8725</v>
      </c>
      <c r="F1151" t="s">
        <v>6</v>
      </c>
      <c r="G1151">
        <f>tblSalaries[[#This Row],[clean Salary (in local currency)]]*VLOOKUP(tblSalaries[[#This Row],[Currency]],tblXrate[],2,FALSE)</f>
        <v>8725</v>
      </c>
      <c r="H1151" t="s">
        <v>594</v>
      </c>
      <c r="I1151" t="s">
        <v>52</v>
      </c>
      <c r="J1151" t="s">
        <v>17</v>
      </c>
      <c r="K1151" t="str">
        <f>VLOOKUP(tblSalaries[[#This Row],[Where do you work]],tblCountries[[Actual]:[Mapping]],2,FALSE)</f>
        <v>Pakistan</v>
      </c>
      <c r="L1151" t="s">
        <v>18</v>
      </c>
      <c r="M1151">
        <v>18</v>
      </c>
      <c r="N1151" s="8" t="str">
        <f>VLOOKUP(K1151,tblCountries[],3,0)</f>
        <v>Asia</v>
      </c>
      <c r="O1151" s="8">
        <f>VLOOKUP(tblSalaries[[#This Row],[How many hours of a day you work on Excel]],tblHours,2,0)</f>
        <v>3</v>
      </c>
      <c r="P1151" s="8">
        <f>VLOOKUP(tblSalaries[[#This Row],[clean Country]],tblCountries[],5,0)</f>
        <v>17.361679224973088</v>
      </c>
      <c r="Q1151" s="8">
        <f>IF($Q$1,tblSalaries[[#This Row],[PPP Factor]]*tblSalaries[[#This Row],[Salary in USD]],tblSalaries[[#This Row],[Salary in USD]])</f>
        <v>8725</v>
      </c>
    </row>
    <row r="1152" spans="2:17" ht="15" customHeight="1" x14ac:dyDescent="0.25">
      <c r="B1152" t="s">
        <v>3155</v>
      </c>
      <c r="C1152" s="1">
        <v>41057.947777777779</v>
      </c>
      <c r="D1152" s="4" t="s">
        <v>1314</v>
      </c>
      <c r="E1152">
        <v>32000</v>
      </c>
      <c r="F1152" t="s">
        <v>69</v>
      </c>
      <c r="G1152">
        <f>tblSalaries[[#This Row],[clean Salary (in local currency)]]*VLOOKUP(tblSalaries[[#This Row],[Currency]],tblXrate[],2,FALSE)</f>
        <v>50437.70470615309</v>
      </c>
      <c r="H1152" t="s">
        <v>1315</v>
      </c>
      <c r="I1152" t="s">
        <v>20</v>
      </c>
      <c r="J1152" t="s">
        <v>71</v>
      </c>
      <c r="K1152" t="str">
        <f>VLOOKUP(tblSalaries[[#This Row],[Where do you work]],tblCountries[[Actual]:[Mapping]],2,FALSE)</f>
        <v>UK</v>
      </c>
      <c r="L1152" t="s">
        <v>9</v>
      </c>
      <c r="M1152">
        <v>4</v>
      </c>
      <c r="N1152" s="8" t="str">
        <f>VLOOKUP(K1152,tblCountries[],3,0)</f>
        <v>Europe</v>
      </c>
      <c r="O1152" s="8">
        <f>VLOOKUP(tblSalaries[[#This Row],[How many hours of a day you work on Excel]],tblHours,2,0)</f>
        <v>4</v>
      </c>
      <c r="P1152" s="8">
        <f>VLOOKUP(tblSalaries[[#This Row],[clean Country]],tblCountries[],5,0)</f>
        <v>1.3407315045719035</v>
      </c>
      <c r="Q1152" s="8">
        <f>IF($Q$1,tblSalaries[[#This Row],[PPP Factor]]*tblSalaries[[#This Row],[Salary in USD]],tblSalaries[[#This Row],[Salary in USD]])</f>
        <v>50437.70470615309</v>
      </c>
    </row>
    <row r="1153" spans="2:17" ht="15" customHeight="1" x14ac:dyDescent="0.25">
      <c r="B1153" t="s">
        <v>3156</v>
      </c>
      <c r="C1153" s="1">
        <v>41057.948483796295</v>
      </c>
      <c r="D1153" s="4" t="s">
        <v>1316</v>
      </c>
      <c r="E1153">
        <v>43000</v>
      </c>
      <c r="F1153" t="s">
        <v>69</v>
      </c>
      <c r="G1153">
        <f>tblSalaries[[#This Row],[clean Salary (in local currency)]]*VLOOKUP(tblSalaries[[#This Row],[Currency]],tblXrate[],2,FALSE)</f>
        <v>67775.665698893223</v>
      </c>
      <c r="H1153" t="s">
        <v>1317</v>
      </c>
      <c r="I1153" t="s">
        <v>310</v>
      </c>
      <c r="J1153" t="s">
        <v>71</v>
      </c>
      <c r="K1153" t="str">
        <f>VLOOKUP(tblSalaries[[#This Row],[Where do you work]],tblCountries[[Actual]:[Mapping]],2,FALSE)</f>
        <v>UK</v>
      </c>
      <c r="L1153" t="s">
        <v>13</v>
      </c>
      <c r="M1153">
        <v>15</v>
      </c>
      <c r="N1153" s="8" t="str">
        <f>VLOOKUP(K1153,tblCountries[],3,0)</f>
        <v>Europe</v>
      </c>
      <c r="O1153" s="8">
        <f>VLOOKUP(tblSalaries[[#This Row],[How many hours of a day you work on Excel]],tblHours,2,0)</f>
        <v>5</v>
      </c>
      <c r="P1153" s="8">
        <f>VLOOKUP(tblSalaries[[#This Row],[clean Country]],tblCountries[],5,0)</f>
        <v>1.3407315045719035</v>
      </c>
      <c r="Q1153" s="8">
        <f>IF($Q$1,tblSalaries[[#This Row],[PPP Factor]]*tblSalaries[[#This Row],[Salary in USD]],tblSalaries[[#This Row],[Salary in USD]])</f>
        <v>67775.665698893223</v>
      </c>
    </row>
    <row r="1154" spans="2:17" ht="15" customHeight="1" x14ac:dyDescent="0.25">
      <c r="B1154" t="s">
        <v>3157</v>
      </c>
      <c r="C1154" s="1">
        <v>41057.94903935185</v>
      </c>
      <c r="D1154" s="4" t="s">
        <v>1318</v>
      </c>
      <c r="E1154">
        <v>53000</v>
      </c>
      <c r="F1154" t="s">
        <v>86</v>
      </c>
      <c r="G1154">
        <f>tblSalaries[[#This Row],[clean Salary (in local currency)]]*VLOOKUP(tblSalaries[[#This Row],[Currency]],tblXrate[],2,FALSE)</f>
        <v>52118.160720607324</v>
      </c>
      <c r="H1154" t="s">
        <v>153</v>
      </c>
      <c r="I1154" t="s">
        <v>20</v>
      </c>
      <c r="J1154" t="s">
        <v>88</v>
      </c>
      <c r="K1154" t="str">
        <f>VLOOKUP(tblSalaries[[#This Row],[Where do you work]],tblCountries[[Actual]:[Mapping]],2,FALSE)</f>
        <v>Canada</v>
      </c>
      <c r="L1154" t="s">
        <v>9</v>
      </c>
      <c r="M1154">
        <v>6</v>
      </c>
      <c r="N1154" s="8" t="str">
        <f>VLOOKUP(K1154,tblCountries[],3,0)</f>
        <v>North Amer.</v>
      </c>
      <c r="O1154" s="8">
        <f>VLOOKUP(tblSalaries[[#This Row],[How many hours of a day you work on Excel]],tblHours,2,0)</f>
        <v>4</v>
      </c>
      <c r="P1154" s="8">
        <f>VLOOKUP(tblSalaries[[#This Row],[clean Country]],tblCountries[],5,0)</f>
        <v>1.1935324732986359</v>
      </c>
      <c r="Q1154" s="8">
        <f>IF($Q$1,tblSalaries[[#This Row],[PPP Factor]]*tblSalaries[[#This Row],[Salary in USD]],tblSalaries[[#This Row],[Salary in USD]])</f>
        <v>52118.160720607324</v>
      </c>
    </row>
    <row r="1155" spans="2:17" ht="15" customHeight="1" x14ac:dyDescent="0.25">
      <c r="B1155" t="s">
        <v>3158</v>
      </c>
      <c r="C1155" s="1">
        <v>41057.950370370374</v>
      </c>
      <c r="D1155" s="4" t="s">
        <v>1319</v>
      </c>
      <c r="E1155">
        <v>200000</v>
      </c>
      <c r="F1155" t="s">
        <v>40</v>
      </c>
      <c r="G1155">
        <f>tblSalaries[[#This Row],[clean Salary (in local currency)]]*VLOOKUP(tblSalaries[[#This Row],[Currency]],tblXrate[],2,FALSE)</f>
        <v>3561.5833374885137</v>
      </c>
      <c r="H1155" t="s">
        <v>616</v>
      </c>
      <c r="I1155" t="s">
        <v>20</v>
      </c>
      <c r="J1155" t="s">
        <v>8</v>
      </c>
      <c r="K1155" t="str">
        <f>VLOOKUP(tblSalaries[[#This Row],[Where do you work]],tblCountries[[Actual]:[Mapping]],2,FALSE)</f>
        <v>India</v>
      </c>
      <c r="L1155" t="s">
        <v>25</v>
      </c>
      <c r="M1155">
        <v>6</v>
      </c>
      <c r="N1155" s="8" t="str">
        <f>VLOOKUP(K1155,tblCountries[],3,0)</f>
        <v>Asia</v>
      </c>
      <c r="O1155" s="8">
        <f>VLOOKUP(tblSalaries[[#This Row],[How many hours of a day you work on Excel]],tblHours,2,0)</f>
        <v>2</v>
      </c>
      <c r="P1155" s="8">
        <f>VLOOKUP(tblSalaries[[#This Row],[clean Country]],tblCountries[],5,0)</f>
        <v>13.098808879263672</v>
      </c>
      <c r="Q1155" s="8">
        <f>IF($Q$1,tblSalaries[[#This Row],[PPP Factor]]*tblSalaries[[#This Row],[Salary in USD]],tblSalaries[[#This Row],[Salary in USD]])</f>
        <v>3561.5833374885137</v>
      </c>
    </row>
    <row r="1156" spans="2:17" ht="15" customHeight="1" x14ac:dyDescent="0.25">
      <c r="B1156" t="s">
        <v>3159</v>
      </c>
      <c r="C1156" s="1">
        <v>41057.950868055559</v>
      </c>
      <c r="D1156" s="4" t="s">
        <v>1320</v>
      </c>
      <c r="E1156">
        <v>450000</v>
      </c>
      <c r="F1156" t="s">
        <v>40</v>
      </c>
      <c r="G1156">
        <f>tblSalaries[[#This Row],[clean Salary (in local currency)]]*VLOOKUP(tblSalaries[[#This Row],[Currency]],tblXrate[],2,FALSE)</f>
        <v>8013.5625093491553</v>
      </c>
      <c r="H1156" t="s">
        <v>629</v>
      </c>
      <c r="I1156" t="s">
        <v>52</v>
      </c>
      <c r="J1156" t="s">
        <v>8</v>
      </c>
      <c r="K1156" t="str">
        <f>VLOOKUP(tblSalaries[[#This Row],[Where do you work]],tblCountries[[Actual]:[Mapping]],2,FALSE)</f>
        <v>India</v>
      </c>
      <c r="L1156" t="s">
        <v>9</v>
      </c>
      <c r="M1156">
        <v>21</v>
      </c>
      <c r="N1156" s="8" t="str">
        <f>VLOOKUP(K1156,tblCountries[],3,0)</f>
        <v>Asia</v>
      </c>
      <c r="O1156" s="8">
        <f>VLOOKUP(tblSalaries[[#This Row],[How many hours of a day you work on Excel]],tblHours,2,0)</f>
        <v>4</v>
      </c>
      <c r="P1156" s="8">
        <f>VLOOKUP(tblSalaries[[#This Row],[clean Country]],tblCountries[],5,0)</f>
        <v>13.098808879263672</v>
      </c>
      <c r="Q1156" s="8">
        <f>IF($Q$1,tblSalaries[[#This Row],[PPP Factor]]*tblSalaries[[#This Row],[Salary in USD]],tblSalaries[[#This Row],[Salary in USD]])</f>
        <v>8013.5625093491553</v>
      </c>
    </row>
    <row r="1157" spans="2:17" ht="15" customHeight="1" x14ac:dyDescent="0.25">
      <c r="B1157" t="s">
        <v>3160</v>
      </c>
      <c r="C1157" s="1">
        <v>41057.951979166668</v>
      </c>
      <c r="D1157" s="4">
        <v>28000</v>
      </c>
      <c r="E1157">
        <v>28000</v>
      </c>
      <c r="F1157" t="s">
        <v>6</v>
      </c>
      <c r="G1157">
        <f>tblSalaries[[#This Row],[clean Salary (in local currency)]]*VLOOKUP(tblSalaries[[#This Row],[Currency]],tblXrate[],2,FALSE)</f>
        <v>28000</v>
      </c>
      <c r="H1157" t="s">
        <v>1321</v>
      </c>
      <c r="I1157" t="s">
        <v>52</v>
      </c>
      <c r="J1157" t="s">
        <v>75</v>
      </c>
      <c r="K1157" t="str">
        <f>VLOOKUP(tblSalaries[[#This Row],[Where do you work]],tblCountries[[Actual]:[Mapping]],2,FALSE)</f>
        <v>Poland</v>
      </c>
      <c r="L1157" t="s">
        <v>9</v>
      </c>
      <c r="M1157">
        <v>5</v>
      </c>
      <c r="N1157" s="8" t="str">
        <f>VLOOKUP(K1157,tblCountries[],3,0)</f>
        <v>Europe</v>
      </c>
      <c r="O1157" s="8">
        <f>VLOOKUP(tblSalaries[[#This Row],[How many hours of a day you work on Excel]],tblHours,2,0)</f>
        <v>4</v>
      </c>
      <c r="P1157" s="8">
        <f>VLOOKUP(tblSalaries[[#This Row],[clean Country]],tblCountries[],5,0)</f>
        <v>2.3796105045736207</v>
      </c>
      <c r="Q1157" s="8">
        <f>IF($Q$1,tblSalaries[[#This Row],[PPP Factor]]*tblSalaries[[#This Row],[Salary in USD]],tblSalaries[[#This Row],[Salary in USD]])</f>
        <v>28000</v>
      </c>
    </row>
    <row r="1158" spans="2:17" ht="15" customHeight="1" x14ac:dyDescent="0.25">
      <c r="B1158" t="s">
        <v>3161</v>
      </c>
      <c r="C1158" s="1">
        <v>41057.95239583333</v>
      </c>
      <c r="D1158" s="4">
        <v>31763</v>
      </c>
      <c r="E1158">
        <v>31763</v>
      </c>
      <c r="F1158" t="s">
        <v>69</v>
      </c>
      <c r="G1158">
        <f>tblSalaries[[#This Row],[clean Salary (in local currency)]]*VLOOKUP(tblSalaries[[#This Row],[Currency]],tblXrate[],2,FALSE)</f>
        <v>50064.150455673145</v>
      </c>
      <c r="H1158" t="s">
        <v>1322</v>
      </c>
      <c r="I1158" t="s">
        <v>20</v>
      </c>
      <c r="J1158" t="s">
        <v>71</v>
      </c>
      <c r="K1158" t="str">
        <f>VLOOKUP(tblSalaries[[#This Row],[Where do you work]],tblCountries[[Actual]:[Mapping]],2,FALSE)</f>
        <v>UK</v>
      </c>
      <c r="L1158" t="s">
        <v>18</v>
      </c>
      <c r="M1158">
        <v>2</v>
      </c>
      <c r="N1158" s="8" t="str">
        <f>VLOOKUP(K1158,tblCountries[],3,0)</f>
        <v>Europe</v>
      </c>
      <c r="O1158" s="8">
        <f>VLOOKUP(tblSalaries[[#This Row],[How many hours of a day you work on Excel]],tblHours,2,0)</f>
        <v>3</v>
      </c>
      <c r="P1158" s="8">
        <f>VLOOKUP(tblSalaries[[#This Row],[clean Country]],tblCountries[],5,0)</f>
        <v>1.3407315045719035</v>
      </c>
      <c r="Q1158" s="8">
        <f>IF($Q$1,tblSalaries[[#This Row],[PPP Factor]]*tblSalaries[[#This Row],[Salary in USD]],tblSalaries[[#This Row],[Salary in USD]])</f>
        <v>50064.150455673145</v>
      </c>
    </row>
    <row r="1159" spans="2:17" ht="15" customHeight="1" x14ac:dyDescent="0.25">
      <c r="B1159" t="s">
        <v>3162</v>
      </c>
      <c r="C1159" s="1">
        <v>41057.952997685185</v>
      </c>
      <c r="D1159" s="4" t="s">
        <v>1323</v>
      </c>
      <c r="E1159">
        <v>32000</v>
      </c>
      <c r="F1159" t="s">
        <v>69</v>
      </c>
      <c r="G1159">
        <f>tblSalaries[[#This Row],[clean Salary (in local currency)]]*VLOOKUP(tblSalaries[[#This Row],[Currency]],tblXrate[],2,FALSE)</f>
        <v>50437.70470615309</v>
      </c>
      <c r="H1159" t="s">
        <v>1324</v>
      </c>
      <c r="I1159" t="s">
        <v>20</v>
      </c>
      <c r="J1159" t="s">
        <v>88</v>
      </c>
      <c r="K1159" t="str">
        <f>VLOOKUP(tblSalaries[[#This Row],[Where do you work]],tblCountries[[Actual]:[Mapping]],2,FALSE)</f>
        <v>Canada</v>
      </c>
      <c r="L1159" t="s">
        <v>9</v>
      </c>
      <c r="M1159">
        <v>9</v>
      </c>
      <c r="N1159" s="8" t="str">
        <f>VLOOKUP(K1159,tblCountries[],3,0)</f>
        <v>North Amer.</v>
      </c>
      <c r="O1159" s="8">
        <f>VLOOKUP(tblSalaries[[#This Row],[How many hours of a day you work on Excel]],tblHours,2,0)</f>
        <v>4</v>
      </c>
      <c r="P1159" s="8">
        <f>VLOOKUP(tblSalaries[[#This Row],[clean Country]],tblCountries[],5,0)</f>
        <v>1.1935324732986359</v>
      </c>
      <c r="Q1159" s="8">
        <f>IF($Q$1,tblSalaries[[#This Row],[PPP Factor]]*tblSalaries[[#This Row],[Salary in USD]],tblSalaries[[#This Row],[Salary in USD]])</f>
        <v>50437.70470615309</v>
      </c>
    </row>
    <row r="1160" spans="2:17" ht="15" customHeight="1" x14ac:dyDescent="0.25">
      <c r="B1160" t="s">
        <v>3163</v>
      </c>
      <c r="C1160" s="1">
        <v>41057.953506944446</v>
      </c>
      <c r="D1160" s="4">
        <v>27840</v>
      </c>
      <c r="E1160">
        <v>27840</v>
      </c>
      <c r="F1160" t="s">
        <v>6</v>
      </c>
      <c r="G1160">
        <f>tblSalaries[[#This Row],[clean Salary (in local currency)]]*VLOOKUP(tblSalaries[[#This Row],[Currency]],tblXrate[],2,FALSE)</f>
        <v>27840</v>
      </c>
      <c r="H1160" t="s">
        <v>1325</v>
      </c>
      <c r="I1160" t="s">
        <v>20</v>
      </c>
      <c r="J1160" t="s">
        <v>15</v>
      </c>
      <c r="K1160" t="str">
        <f>VLOOKUP(tblSalaries[[#This Row],[Where do you work]],tblCountries[[Actual]:[Mapping]],2,FALSE)</f>
        <v>USA</v>
      </c>
      <c r="L1160" t="s">
        <v>18</v>
      </c>
      <c r="M1160">
        <v>1</v>
      </c>
      <c r="N1160" s="8" t="str">
        <f>VLOOKUP(K1160,tblCountries[],3,0)</f>
        <v>North Amer.</v>
      </c>
      <c r="O1160" s="8">
        <f>VLOOKUP(tblSalaries[[#This Row],[How many hours of a day you work on Excel]],tblHours,2,0)</f>
        <v>3</v>
      </c>
      <c r="P1160" s="8">
        <f>VLOOKUP(tblSalaries[[#This Row],[clean Country]],tblCountries[],5,0)</f>
        <v>1</v>
      </c>
      <c r="Q1160" s="8">
        <f>IF($Q$1,tblSalaries[[#This Row],[PPP Factor]]*tblSalaries[[#This Row],[Salary in USD]],tblSalaries[[#This Row],[Salary in USD]])</f>
        <v>27840</v>
      </c>
    </row>
    <row r="1161" spans="2:17" ht="15" customHeight="1" x14ac:dyDescent="0.25">
      <c r="B1161" t="s">
        <v>3164</v>
      </c>
      <c r="C1161" s="1">
        <v>41057.954444444447</v>
      </c>
      <c r="D1161" s="4" t="s">
        <v>1326</v>
      </c>
      <c r="E1161">
        <v>350000</v>
      </c>
      <c r="F1161" t="s">
        <v>40</v>
      </c>
      <c r="G1161">
        <f>tblSalaries[[#This Row],[clean Salary (in local currency)]]*VLOOKUP(tblSalaries[[#This Row],[Currency]],tblXrate[],2,FALSE)</f>
        <v>6232.7708406048987</v>
      </c>
      <c r="H1161" t="s">
        <v>1327</v>
      </c>
      <c r="I1161" t="s">
        <v>310</v>
      </c>
      <c r="J1161" t="s">
        <v>8</v>
      </c>
      <c r="K1161" t="str">
        <f>VLOOKUP(tblSalaries[[#This Row],[Where do you work]],tblCountries[[Actual]:[Mapping]],2,FALSE)</f>
        <v>India</v>
      </c>
      <c r="L1161" t="s">
        <v>18</v>
      </c>
      <c r="M1161">
        <v>1.5</v>
      </c>
      <c r="N1161" s="8" t="str">
        <f>VLOOKUP(K1161,tblCountries[],3,0)</f>
        <v>Asia</v>
      </c>
      <c r="O1161" s="8">
        <f>VLOOKUP(tblSalaries[[#This Row],[How many hours of a day you work on Excel]],tblHours,2,0)</f>
        <v>3</v>
      </c>
      <c r="P1161" s="8">
        <f>VLOOKUP(tblSalaries[[#This Row],[clean Country]],tblCountries[],5,0)</f>
        <v>13.098808879263672</v>
      </c>
      <c r="Q1161" s="8">
        <f>IF($Q$1,tblSalaries[[#This Row],[PPP Factor]]*tblSalaries[[#This Row],[Salary in USD]],tblSalaries[[#This Row],[Salary in USD]])</f>
        <v>6232.7708406048987</v>
      </c>
    </row>
    <row r="1162" spans="2:17" ht="15" customHeight="1" x14ac:dyDescent="0.25">
      <c r="B1162" t="s">
        <v>3165</v>
      </c>
      <c r="C1162" s="1">
        <v>41057.955324074072</v>
      </c>
      <c r="D1162" s="4" t="s">
        <v>1328</v>
      </c>
      <c r="E1162">
        <v>50000</v>
      </c>
      <c r="F1162" t="s">
        <v>6</v>
      </c>
      <c r="G1162">
        <f>tblSalaries[[#This Row],[clean Salary (in local currency)]]*VLOOKUP(tblSalaries[[#This Row],[Currency]],tblXrate[],2,FALSE)</f>
        <v>50000</v>
      </c>
      <c r="H1162" t="s">
        <v>279</v>
      </c>
      <c r="I1162" t="s">
        <v>279</v>
      </c>
      <c r="J1162" t="s">
        <v>171</v>
      </c>
      <c r="K1162" t="str">
        <f>VLOOKUP(tblSalaries[[#This Row],[Where do you work]],tblCountries[[Actual]:[Mapping]],2,FALSE)</f>
        <v>Singapore</v>
      </c>
      <c r="L1162" t="s">
        <v>18</v>
      </c>
      <c r="M1162">
        <v>25</v>
      </c>
      <c r="N1162" s="8" t="str">
        <f>VLOOKUP(K1162,tblCountries[],3,0)</f>
        <v>Asia</v>
      </c>
      <c r="O1162" s="8">
        <f>VLOOKUP(tblSalaries[[#This Row],[How many hours of a day you work on Excel]],tblHours,2,0)</f>
        <v>3</v>
      </c>
      <c r="P1162" s="8">
        <f>VLOOKUP(tblSalaries[[#This Row],[clean Country]],tblCountries[],5,0)</f>
        <v>0.81035320125270049</v>
      </c>
      <c r="Q1162" s="8">
        <f>IF($Q$1,tblSalaries[[#This Row],[PPP Factor]]*tblSalaries[[#This Row],[Salary in USD]],tblSalaries[[#This Row],[Salary in USD]])</f>
        <v>50000</v>
      </c>
    </row>
    <row r="1163" spans="2:17" ht="15" customHeight="1" x14ac:dyDescent="0.25">
      <c r="B1163" t="s">
        <v>3166</v>
      </c>
      <c r="C1163" s="1">
        <v>41057.957233796296</v>
      </c>
      <c r="D1163" s="4">
        <v>48000</v>
      </c>
      <c r="E1163">
        <v>48000</v>
      </c>
      <c r="F1163" t="s">
        <v>6</v>
      </c>
      <c r="G1163">
        <f>tblSalaries[[#This Row],[clean Salary (in local currency)]]*VLOOKUP(tblSalaries[[#This Row],[Currency]],tblXrate[],2,FALSE)</f>
        <v>48000</v>
      </c>
      <c r="H1163" t="s">
        <v>1329</v>
      </c>
      <c r="I1163" t="s">
        <v>488</v>
      </c>
      <c r="J1163" t="s">
        <v>1011</v>
      </c>
      <c r="K1163" t="str">
        <f>VLOOKUP(tblSalaries[[#This Row],[Where do you work]],tblCountries[[Actual]:[Mapping]],2,FALSE)</f>
        <v>Qatar</v>
      </c>
      <c r="L1163" t="s">
        <v>18</v>
      </c>
      <c r="M1163">
        <v>10</v>
      </c>
      <c r="N1163" s="8" t="str">
        <f>VLOOKUP(K1163,tblCountries[],3,0)</f>
        <v>Asia</v>
      </c>
      <c r="O1163" s="8">
        <f>VLOOKUP(tblSalaries[[#This Row],[How many hours of a day you work on Excel]],tblHours,2,0)</f>
        <v>3</v>
      </c>
      <c r="P1163" s="8">
        <f>VLOOKUP(tblSalaries[[#This Row],[clean Country]],tblCountries[],5,0)</f>
        <v>0.4700368164906793</v>
      </c>
      <c r="Q1163" s="8">
        <f>IF($Q$1,tblSalaries[[#This Row],[PPP Factor]]*tblSalaries[[#This Row],[Salary in USD]],tblSalaries[[#This Row],[Salary in USD]])</f>
        <v>48000</v>
      </c>
    </row>
    <row r="1164" spans="2:17" ht="15" customHeight="1" x14ac:dyDescent="0.25">
      <c r="B1164" t="s">
        <v>3167</v>
      </c>
      <c r="C1164" s="1">
        <v>41057.957824074074</v>
      </c>
      <c r="D1164" s="4">
        <v>2000</v>
      </c>
      <c r="E1164">
        <v>24000</v>
      </c>
      <c r="F1164" t="s">
        <v>6</v>
      </c>
      <c r="G1164">
        <f>tblSalaries[[#This Row],[clean Salary (in local currency)]]*VLOOKUP(tblSalaries[[#This Row],[Currency]],tblXrate[],2,FALSE)</f>
        <v>24000</v>
      </c>
      <c r="H1164" t="s">
        <v>1330</v>
      </c>
      <c r="I1164" t="s">
        <v>52</v>
      </c>
      <c r="J1164" t="s">
        <v>1331</v>
      </c>
      <c r="K1164" t="str">
        <f>VLOOKUP(tblSalaries[[#This Row],[Where do you work]],tblCountries[[Actual]:[Mapping]],2,FALSE)</f>
        <v>Argentina</v>
      </c>
      <c r="L1164" t="s">
        <v>9</v>
      </c>
      <c r="M1164">
        <v>21</v>
      </c>
      <c r="N1164" s="8" t="str">
        <f>VLOOKUP(K1164,tblCountries[],3,0)</f>
        <v>South Amer.</v>
      </c>
      <c r="O1164" s="8">
        <f>VLOOKUP(tblSalaries[[#This Row],[How many hours of a day you work on Excel]],tblHours,2,0)</f>
        <v>4</v>
      </c>
      <c r="P1164" s="8">
        <f>VLOOKUP(tblSalaries[[#This Row],[clean Country]],tblCountries[],5,0)</f>
        <v>2.7624457638730302</v>
      </c>
      <c r="Q1164" s="8">
        <f>IF($Q$1,tblSalaries[[#This Row],[PPP Factor]]*tblSalaries[[#This Row],[Salary in USD]],tblSalaries[[#This Row],[Salary in USD]])</f>
        <v>24000</v>
      </c>
    </row>
    <row r="1165" spans="2:17" ht="15" customHeight="1" x14ac:dyDescent="0.25">
      <c r="B1165" t="s">
        <v>3168</v>
      </c>
      <c r="C1165" s="1">
        <v>41057.959814814814</v>
      </c>
      <c r="D1165" s="4">
        <v>75000</v>
      </c>
      <c r="E1165">
        <v>75000</v>
      </c>
      <c r="F1165" t="s">
        <v>6</v>
      </c>
      <c r="G1165">
        <f>tblSalaries[[#This Row],[clean Salary (in local currency)]]*VLOOKUP(tblSalaries[[#This Row],[Currency]],tblXrate[],2,FALSE)</f>
        <v>75000</v>
      </c>
      <c r="H1165" t="s">
        <v>14</v>
      </c>
      <c r="I1165" t="s">
        <v>20</v>
      </c>
      <c r="J1165" t="s">
        <v>15</v>
      </c>
      <c r="K1165" t="str">
        <f>VLOOKUP(tblSalaries[[#This Row],[Where do you work]],tblCountries[[Actual]:[Mapping]],2,FALSE)</f>
        <v>USA</v>
      </c>
      <c r="L1165" t="s">
        <v>9</v>
      </c>
      <c r="M1165">
        <v>12</v>
      </c>
      <c r="N1165" s="8" t="str">
        <f>VLOOKUP(K1165,tblCountries[],3,0)</f>
        <v>North Amer.</v>
      </c>
      <c r="O1165" s="8">
        <f>VLOOKUP(tblSalaries[[#This Row],[How many hours of a day you work on Excel]],tblHours,2,0)</f>
        <v>4</v>
      </c>
      <c r="P1165" s="8">
        <f>VLOOKUP(tblSalaries[[#This Row],[clean Country]],tblCountries[],5,0)</f>
        <v>1</v>
      </c>
      <c r="Q1165" s="8">
        <f>IF($Q$1,tblSalaries[[#This Row],[PPP Factor]]*tblSalaries[[#This Row],[Salary in USD]],tblSalaries[[#This Row],[Salary in USD]])</f>
        <v>75000</v>
      </c>
    </row>
    <row r="1166" spans="2:17" ht="15" customHeight="1" x14ac:dyDescent="0.25">
      <c r="B1166" t="s">
        <v>3169</v>
      </c>
      <c r="C1166" s="1">
        <v>41057.961840277778</v>
      </c>
      <c r="D1166" s="4" t="s">
        <v>1332</v>
      </c>
      <c r="E1166">
        <v>216000</v>
      </c>
      <c r="F1166" t="s">
        <v>358</v>
      </c>
      <c r="G1166">
        <f>tblSalaries[[#This Row],[clean Salary (in local currency)]]*VLOOKUP(tblSalaries[[#This Row],[Currency]],tblXrate[],2,FALSE)</f>
        <v>58799.349940520107</v>
      </c>
      <c r="H1166" t="s">
        <v>466</v>
      </c>
      <c r="I1166" t="s">
        <v>20</v>
      </c>
      <c r="J1166" t="s">
        <v>359</v>
      </c>
      <c r="K1166" t="str">
        <f>VLOOKUP(tblSalaries[[#This Row],[Where do you work]],tblCountries[[Actual]:[Mapping]],2,FALSE)</f>
        <v>Dubai</v>
      </c>
      <c r="L1166" t="s">
        <v>9</v>
      </c>
      <c r="M1166">
        <v>2</v>
      </c>
      <c r="N1166" s="8" t="str">
        <f>VLOOKUP(K1166,tblCountries[],3,0)</f>
        <v>Asia</v>
      </c>
      <c r="O1166" s="8">
        <f>VLOOKUP(tblSalaries[[#This Row],[How many hours of a day you work on Excel]],tblHours,2,0)</f>
        <v>4</v>
      </c>
      <c r="P1166" s="8">
        <f>VLOOKUP(tblSalaries[[#This Row],[clean Country]],tblCountries[],5,0)</f>
        <v>1</v>
      </c>
      <c r="Q1166" s="8">
        <f>IF($Q$1,tblSalaries[[#This Row],[PPP Factor]]*tblSalaries[[#This Row],[Salary in USD]],tblSalaries[[#This Row],[Salary in USD]])</f>
        <v>58799.349940520107</v>
      </c>
    </row>
    <row r="1167" spans="2:17" ht="15" customHeight="1" x14ac:dyDescent="0.25">
      <c r="B1167" t="s">
        <v>3170</v>
      </c>
      <c r="C1167" s="1">
        <v>41057.962754629632</v>
      </c>
      <c r="D1167" s="4" t="s">
        <v>1333</v>
      </c>
      <c r="E1167">
        <v>2000000</v>
      </c>
      <c r="F1167" t="s">
        <v>32</v>
      </c>
      <c r="G1167">
        <f>tblSalaries[[#This Row],[clean Salary (in local currency)]]*VLOOKUP(tblSalaries[[#This Row],[Currency]],tblXrate[],2,FALSE)</f>
        <v>21228.177433598263</v>
      </c>
      <c r="H1167" t="s">
        <v>1334</v>
      </c>
      <c r="I1167" t="s">
        <v>356</v>
      </c>
      <c r="J1167" t="s">
        <v>17</v>
      </c>
      <c r="K1167" t="str">
        <f>VLOOKUP(tblSalaries[[#This Row],[Where do you work]],tblCountries[[Actual]:[Mapping]],2,FALSE)</f>
        <v>Pakistan</v>
      </c>
      <c r="L1167" t="s">
        <v>13</v>
      </c>
      <c r="M1167">
        <v>8</v>
      </c>
      <c r="N1167" s="8" t="str">
        <f>VLOOKUP(K1167,tblCountries[],3,0)</f>
        <v>Asia</v>
      </c>
      <c r="O1167" s="8">
        <f>VLOOKUP(tblSalaries[[#This Row],[How many hours of a day you work on Excel]],tblHours,2,0)</f>
        <v>5</v>
      </c>
      <c r="P1167" s="8">
        <f>VLOOKUP(tblSalaries[[#This Row],[clean Country]],tblCountries[],5,0)</f>
        <v>17.361679224973088</v>
      </c>
      <c r="Q1167" s="8">
        <f>IF($Q$1,tblSalaries[[#This Row],[PPP Factor]]*tblSalaries[[#This Row],[Salary in USD]],tblSalaries[[#This Row],[Salary in USD]])</f>
        <v>21228.177433598263</v>
      </c>
    </row>
    <row r="1168" spans="2:17" ht="15" customHeight="1" x14ac:dyDescent="0.25">
      <c r="B1168" t="s">
        <v>3171</v>
      </c>
      <c r="C1168" s="1">
        <v>41057.967638888891</v>
      </c>
      <c r="D1168" s="4">
        <v>60000</v>
      </c>
      <c r="E1168">
        <v>60000</v>
      </c>
      <c r="F1168" t="s">
        <v>6</v>
      </c>
      <c r="G1168">
        <f>tblSalaries[[#This Row],[clean Salary (in local currency)]]*VLOOKUP(tblSalaries[[#This Row],[Currency]],tblXrate[],2,FALSE)</f>
        <v>60000</v>
      </c>
      <c r="H1168" t="s">
        <v>1335</v>
      </c>
      <c r="I1168" t="s">
        <v>52</v>
      </c>
      <c r="J1168" t="s">
        <v>15</v>
      </c>
      <c r="K1168" t="str">
        <f>VLOOKUP(tblSalaries[[#This Row],[Where do you work]],tblCountries[[Actual]:[Mapping]],2,FALSE)</f>
        <v>USA</v>
      </c>
      <c r="L1168" t="s">
        <v>18</v>
      </c>
      <c r="M1168">
        <v>10</v>
      </c>
      <c r="N1168" s="8" t="str">
        <f>VLOOKUP(K1168,tblCountries[],3,0)</f>
        <v>North Amer.</v>
      </c>
      <c r="O1168" s="8">
        <f>VLOOKUP(tblSalaries[[#This Row],[How many hours of a day you work on Excel]],tblHours,2,0)</f>
        <v>3</v>
      </c>
      <c r="P1168" s="8">
        <f>VLOOKUP(tblSalaries[[#This Row],[clean Country]],tblCountries[],5,0)</f>
        <v>1</v>
      </c>
      <c r="Q1168" s="8">
        <f>IF($Q$1,tblSalaries[[#This Row],[PPP Factor]]*tblSalaries[[#This Row],[Salary in USD]],tblSalaries[[#This Row],[Salary in USD]])</f>
        <v>60000</v>
      </c>
    </row>
    <row r="1169" spans="2:17" ht="15" customHeight="1" x14ac:dyDescent="0.25">
      <c r="B1169" t="s">
        <v>3172</v>
      </c>
      <c r="C1169" s="1">
        <v>41057.967719907407</v>
      </c>
      <c r="D1169" s="4" t="s">
        <v>1336</v>
      </c>
      <c r="E1169">
        <v>60000</v>
      </c>
      <c r="F1169" t="s">
        <v>1337</v>
      </c>
      <c r="G1169">
        <f>tblSalaries[[#This Row],[clean Salary (in local currency)]]*VLOOKUP(tblSalaries[[#This Row],[Currency]],tblXrate[],2,FALSE)</f>
        <v>18018.883790212141</v>
      </c>
      <c r="H1169" t="s">
        <v>108</v>
      </c>
      <c r="I1169" t="s">
        <v>20</v>
      </c>
      <c r="J1169" t="s">
        <v>75</v>
      </c>
      <c r="K1169" t="str">
        <f>VLOOKUP(tblSalaries[[#This Row],[Where do you work]],tblCountries[[Actual]:[Mapping]],2,FALSE)</f>
        <v>Poland</v>
      </c>
      <c r="L1169" t="s">
        <v>13</v>
      </c>
      <c r="M1169">
        <v>10</v>
      </c>
      <c r="N1169" s="8" t="str">
        <f>VLOOKUP(K1169,tblCountries[],3,0)</f>
        <v>Europe</v>
      </c>
      <c r="O1169" s="8">
        <f>VLOOKUP(tblSalaries[[#This Row],[How many hours of a day you work on Excel]],tblHours,2,0)</f>
        <v>5</v>
      </c>
      <c r="P1169" s="8">
        <f>VLOOKUP(tblSalaries[[#This Row],[clean Country]],tblCountries[],5,0)</f>
        <v>2.3796105045736207</v>
      </c>
      <c r="Q1169" s="8">
        <f>IF($Q$1,tblSalaries[[#This Row],[PPP Factor]]*tblSalaries[[#This Row],[Salary in USD]],tblSalaries[[#This Row],[Salary in USD]])</f>
        <v>18018.883790212141</v>
      </c>
    </row>
    <row r="1170" spans="2:17" ht="15" customHeight="1" x14ac:dyDescent="0.25">
      <c r="B1170" t="s">
        <v>3173</v>
      </c>
      <c r="C1170" s="1">
        <v>41057.970277777778</v>
      </c>
      <c r="D1170" s="4" t="s">
        <v>1338</v>
      </c>
      <c r="E1170">
        <v>7200</v>
      </c>
      <c r="F1170" t="s">
        <v>6</v>
      </c>
      <c r="G1170">
        <f>tblSalaries[[#This Row],[clean Salary (in local currency)]]*VLOOKUP(tblSalaries[[#This Row],[Currency]],tblXrate[],2,FALSE)</f>
        <v>7200</v>
      </c>
      <c r="H1170" t="s">
        <v>1339</v>
      </c>
      <c r="I1170" t="s">
        <v>3999</v>
      </c>
      <c r="J1170" t="s">
        <v>8</v>
      </c>
      <c r="K1170" t="str">
        <f>VLOOKUP(tblSalaries[[#This Row],[Where do you work]],tblCountries[[Actual]:[Mapping]],2,FALSE)</f>
        <v>India</v>
      </c>
      <c r="L1170" t="s">
        <v>9</v>
      </c>
      <c r="M1170">
        <v>7</v>
      </c>
      <c r="N1170" s="8" t="str">
        <f>VLOOKUP(K1170,tblCountries[],3,0)</f>
        <v>Asia</v>
      </c>
      <c r="O1170" s="8">
        <f>VLOOKUP(tblSalaries[[#This Row],[How many hours of a day you work on Excel]],tblHours,2,0)</f>
        <v>4</v>
      </c>
      <c r="P1170" s="8">
        <f>VLOOKUP(tblSalaries[[#This Row],[clean Country]],tblCountries[],5,0)</f>
        <v>13.098808879263672</v>
      </c>
      <c r="Q1170" s="8">
        <f>IF($Q$1,tblSalaries[[#This Row],[PPP Factor]]*tblSalaries[[#This Row],[Salary in USD]],tblSalaries[[#This Row],[Salary in USD]])</f>
        <v>7200</v>
      </c>
    </row>
    <row r="1171" spans="2:17" ht="15" customHeight="1" x14ac:dyDescent="0.25">
      <c r="B1171" t="s">
        <v>3174</v>
      </c>
      <c r="C1171" s="1">
        <v>41057.970497685186</v>
      </c>
      <c r="D1171" s="4">
        <v>56000</v>
      </c>
      <c r="E1171">
        <v>56000</v>
      </c>
      <c r="F1171" t="s">
        <v>6</v>
      </c>
      <c r="G1171">
        <f>tblSalaries[[#This Row],[clean Salary (in local currency)]]*VLOOKUP(tblSalaries[[#This Row],[Currency]],tblXrate[],2,FALSE)</f>
        <v>56000</v>
      </c>
      <c r="H1171" t="s">
        <v>20</v>
      </c>
      <c r="I1171" t="s">
        <v>20</v>
      </c>
      <c r="J1171" t="s">
        <v>15</v>
      </c>
      <c r="K1171" t="str">
        <f>VLOOKUP(tblSalaries[[#This Row],[Where do you work]],tblCountries[[Actual]:[Mapping]],2,FALSE)</f>
        <v>USA</v>
      </c>
      <c r="L1171" t="s">
        <v>25</v>
      </c>
      <c r="M1171">
        <v>2</v>
      </c>
      <c r="N1171" s="8" t="str">
        <f>VLOOKUP(K1171,tblCountries[],3,0)</f>
        <v>North Amer.</v>
      </c>
      <c r="O1171" s="8">
        <f>VLOOKUP(tblSalaries[[#This Row],[How many hours of a day you work on Excel]],tblHours,2,0)</f>
        <v>2</v>
      </c>
      <c r="P1171" s="8">
        <f>VLOOKUP(tblSalaries[[#This Row],[clean Country]],tblCountries[],5,0)</f>
        <v>1</v>
      </c>
      <c r="Q1171" s="8">
        <f>IF($Q$1,tblSalaries[[#This Row],[PPP Factor]]*tblSalaries[[#This Row],[Salary in USD]],tblSalaries[[#This Row],[Salary in USD]])</f>
        <v>56000</v>
      </c>
    </row>
    <row r="1172" spans="2:17" ht="15" customHeight="1" x14ac:dyDescent="0.25">
      <c r="B1172" t="s">
        <v>3175</v>
      </c>
      <c r="C1172" s="1">
        <v>41057.971944444442</v>
      </c>
      <c r="D1172" s="4" t="s">
        <v>1340</v>
      </c>
      <c r="E1172">
        <v>540000</v>
      </c>
      <c r="F1172" t="s">
        <v>40</v>
      </c>
      <c r="G1172">
        <f>tblSalaries[[#This Row],[clean Salary (in local currency)]]*VLOOKUP(tblSalaries[[#This Row],[Currency]],tblXrate[],2,FALSE)</f>
        <v>9616.275011218986</v>
      </c>
      <c r="H1172" t="s">
        <v>1341</v>
      </c>
      <c r="I1172" t="s">
        <v>20</v>
      </c>
      <c r="J1172" t="s">
        <v>8</v>
      </c>
      <c r="K1172" t="str">
        <f>VLOOKUP(tblSalaries[[#This Row],[Where do you work]],tblCountries[[Actual]:[Mapping]],2,FALSE)</f>
        <v>India</v>
      </c>
      <c r="L1172" t="s">
        <v>9</v>
      </c>
      <c r="M1172">
        <v>7.9</v>
      </c>
      <c r="N1172" s="8" t="str">
        <f>VLOOKUP(K1172,tblCountries[],3,0)</f>
        <v>Asia</v>
      </c>
      <c r="O1172" s="8">
        <f>VLOOKUP(tblSalaries[[#This Row],[How many hours of a day you work on Excel]],tblHours,2,0)</f>
        <v>4</v>
      </c>
      <c r="P1172" s="8">
        <f>VLOOKUP(tblSalaries[[#This Row],[clean Country]],tblCountries[],5,0)</f>
        <v>13.098808879263672</v>
      </c>
      <c r="Q1172" s="8">
        <f>IF($Q$1,tblSalaries[[#This Row],[PPP Factor]]*tblSalaries[[#This Row],[Salary in USD]],tblSalaries[[#This Row],[Salary in USD]])</f>
        <v>9616.275011218986</v>
      </c>
    </row>
    <row r="1173" spans="2:17" ht="15" customHeight="1" x14ac:dyDescent="0.25">
      <c r="B1173" t="s">
        <v>3176</v>
      </c>
      <c r="C1173" s="1">
        <v>41057.972939814812</v>
      </c>
      <c r="D1173" s="4" t="s">
        <v>1342</v>
      </c>
      <c r="E1173">
        <v>4300000</v>
      </c>
      <c r="F1173" t="s">
        <v>1343</v>
      </c>
      <c r="G1173">
        <f>tblSalaries[[#This Row],[clean Salary (in local currency)]]*VLOOKUP(tblSalaries[[#This Row],[Currency]],tblXrate[],2,FALSE)</f>
        <v>51497.005988023957</v>
      </c>
      <c r="H1173" t="s">
        <v>642</v>
      </c>
      <c r="I1173" t="s">
        <v>52</v>
      </c>
      <c r="J1173" t="s">
        <v>1344</v>
      </c>
      <c r="K1173" t="str">
        <f>VLOOKUP(tblSalaries[[#This Row],[Where do you work]],tblCountries[[Actual]:[Mapping]],2,FALSE)</f>
        <v>Kenya</v>
      </c>
      <c r="L1173" t="s">
        <v>9</v>
      </c>
      <c r="M1173">
        <v>9</v>
      </c>
      <c r="N1173" s="8" t="str">
        <f>VLOOKUP(K1173,tblCountries[],3,0)</f>
        <v>Africa</v>
      </c>
      <c r="O1173" s="8">
        <f>VLOOKUP(tblSalaries[[#This Row],[How many hours of a day you work on Excel]],tblHours,2,0)</f>
        <v>4</v>
      </c>
      <c r="P1173" s="8">
        <f>VLOOKUP(tblSalaries[[#This Row],[clean Country]],tblCountries[],5,0)</f>
        <v>27.713058419243985</v>
      </c>
      <c r="Q1173" s="8">
        <f>IF($Q$1,tblSalaries[[#This Row],[PPP Factor]]*tblSalaries[[#This Row],[Salary in USD]],tblSalaries[[#This Row],[Salary in USD]])</f>
        <v>51497.005988023957</v>
      </c>
    </row>
    <row r="1174" spans="2:17" ht="15" customHeight="1" x14ac:dyDescent="0.25">
      <c r="B1174" t="s">
        <v>3177</v>
      </c>
      <c r="C1174" s="1">
        <v>41057.976064814815</v>
      </c>
      <c r="D1174" s="4" t="s">
        <v>1345</v>
      </c>
      <c r="E1174">
        <v>82000</v>
      </c>
      <c r="F1174" t="s">
        <v>22</v>
      </c>
      <c r="G1174">
        <f>tblSalaries[[#This Row],[clean Salary (in local currency)]]*VLOOKUP(tblSalaries[[#This Row],[Currency]],tblXrate[],2,FALSE)</f>
        <v>104172.75399731184</v>
      </c>
      <c r="H1174" t="s">
        <v>1346</v>
      </c>
      <c r="I1174" t="s">
        <v>52</v>
      </c>
      <c r="J1174" t="s">
        <v>628</v>
      </c>
      <c r="K1174" t="str">
        <f>VLOOKUP(tblSalaries[[#This Row],[Where do you work]],tblCountries[[Actual]:[Mapping]],2,FALSE)</f>
        <v>Netherlands</v>
      </c>
      <c r="L1174" t="s">
        <v>13</v>
      </c>
      <c r="M1174">
        <v>25</v>
      </c>
      <c r="N1174" s="8" t="str">
        <f>VLOOKUP(K1174,tblCountries[],3,0)</f>
        <v>Europe</v>
      </c>
      <c r="O1174" s="8">
        <f>VLOOKUP(tblSalaries[[#This Row],[How many hours of a day you work on Excel]],tblHours,2,0)</f>
        <v>5</v>
      </c>
      <c r="P1174" s="8">
        <f>VLOOKUP(tblSalaries[[#This Row],[clean Country]],tblCountries[],5,0)</f>
        <v>1.1470734656141099</v>
      </c>
      <c r="Q1174" s="8">
        <f>IF($Q$1,tblSalaries[[#This Row],[PPP Factor]]*tblSalaries[[#This Row],[Salary in USD]],tblSalaries[[#This Row],[Salary in USD]])</f>
        <v>104172.75399731184</v>
      </c>
    </row>
    <row r="1175" spans="2:17" ht="15" customHeight="1" x14ac:dyDescent="0.25">
      <c r="B1175" t="s">
        <v>3178</v>
      </c>
      <c r="C1175" s="1">
        <v>41057.981932870367</v>
      </c>
      <c r="D1175" s="4">
        <v>88000</v>
      </c>
      <c r="E1175">
        <v>88000</v>
      </c>
      <c r="F1175" t="s">
        <v>6</v>
      </c>
      <c r="G1175">
        <f>tblSalaries[[#This Row],[clean Salary (in local currency)]]*VLOOKUP(tblSalaries[[#This Row],[Currency]],tblXrate[],2,FALSE)</f>
        <v>88000</v>
      </c>
      <c r="H1175" t="s">
        <v>1347</v>
      </c>
      <c r="I1175" t="s">
        <v>52</v>
      </c>
      <c r="J1175" t="s">
        <v>15</v>
      </c>
      <c r="K1175" t="str">
        <f>VLOOKUP(tblSalaries[[#This Row],[Where do you work]],tblCountries[[Actual]:[Mapping]],2,FALSE)</f>
        <v>USA</v>
      </c>
      <c r="L1175" t="s">
        <v>9</v>
      </c>
      <c r="M1175">
        <v>2</v>
      </c>
      <c r="N1175" s="8" t="str">
        <f>VLOOKUP(K1175,tblCountries[],3,0)</f>
        <v>North Amer.</v>
      </c>
      <c r="O1175" s="8">
        <f>VLOOKUP(tblSalaries[[#This Row],[How many hours of a day you work on Excel]],tblHours,2,0)</f>
        <v>4</v>
      </c>
      <c r="P1175" s="8">
        <f>VLOOKUP(tblSalaries[[#This Row],[clean Country]],tblCountries[],5,0)</f>
        <v>1</v>
      </c>
      <c r="Q1175" s="8">
        <f>IF($Q$1,tblSalaries[[#This Row],[PPP Factor]]*tblSalaries[[#This Row],[Salary in USD]],tblSalaries[[#This Row],[Salary in USD]])</f>
        <v>88000</v>
      </c>
    </row>
    <row r="1176" spans="2:17" ht="15" customHeight="1" x14ac:dyDescent="0.25">
      <c r="B1176" t="s">
        <v>3179</v>
      </c>
      <c r="C1176" s="1">
        <v>41057.985324074078</v>
      </c>
      <c r="D1176" s="4">
        <v>80000</v>
      </c>
      <c r="E1176">
        <v>80000</v>
      </c>
      <c r="F1176" t="s">
        <v>6</v>
      </c>
      <c r="G1176">
        <f>tblSalaries[[#This Row],[clean Salary (in local currency)]]*VLOOKUP(tblSalaries[[#This Row],[Currency]],tblXrate[],2,FALSE)</f>
        <v>80000</v>
      </c>
      <c r="H1176" t="s">
        <v>1348</v>
      </c>
      <c r="I1176" t="s">
        <v>20</v>
      </c>
      <c r="J1176" t="s">
        <v>15</v>
      </c>
      <c r="K1176" t="str">
        <f>VLOOKUP(tblSalaries[[#This Row],[Where do you work]],tblCountries[[Actual]:[Mapping]],2,FALSE)</f>
        <v>USA</v>
      </c>
      <c r="L1176" t="s">
        <v>9</v>
      </c>
      <c r="M1176">
        <v>6</v>
      </c>
      <c r="N1176" s="8" t="str">
        <f>VLOOKUP(K1176,tblCountries[],3,0)</f>
        <v>North Amer.</v>
      </c>
      <c r="O1176" s="8">
        <f>VLOOKUP(tblSalaries[[#This Row],[How many hours of a day you work on Excel]],tblHours,2,0)</f>
        <v>4</v>
      </c>
      <c r="P1176" s="8">
        <f>VLOOKUP(tblSalaries[[#This Row],[clean Country]],tblCountries[],5,0)</f>
        <v>1</v>
      </c>
      <c r="Q1176" s="8">
        <f>IF($Q$1,tblSalaries[[#This Row],[PPP Factor]]*tblSalaries[[#This Row],[Salary in USD]],tblSalaries[[#This Row],[Salary in USD]])</f>
        <v>80000</v>
      </c>
    </row>
    <row r="1177" spans="2:17" ht="15" customHeight="1" x14ac:dyDescent="0.25">
      <c r="B1177" t="s">
        <v>3180</v>
      </c>
      <c r="C1177" s="1">
        <v>41057.991087962961</v>
      </c>
      <c r="D1177" s="4">
        <v>19000</v>
      </c>
      <c r="E1177">
        <v>19000</v>
      </c>
      <c r="F1177" t="s">
        <v>6</v>
      </c>
      <c r="G1177">
        <f>tblSalaries[[#This Row],[clean Salary (in local currency)]]*VLOOKUP(tblSalaries[[#This Row],[Currency]],tblXrate[],2,FALSE)</f>
        <v>19000</v>
      </c>
      <c r="H1177" t="s">
        <v>310</v>
      </c>
      <c r="I1177" t="s">
        <v>310</v>
      </c>
      <c r="J1177" t="s">
        <v>71</v>
      </c>
      <c r="K1177" t="str">
        <f>VLOOKUP(tblSalaries[[#This Row],[Where do you work]],tblCountries[[Actual]:[Mapping]],2,FALSE)</f>
        <v>UK</v>
      </c>
      <c r="L1177" t="s">
        <v>9</v>
      </c>
      <c r="M1177">
        <v>20</v>
      </c>
      <c r="N1177" s="8" t="str">
        <f>VLOOKUP(K1177,tblCountries[],3,0)</f>
        <v>Europe</v>
      </c>
      <c r="O1177" s="8">
        <f>VLOOKUP(tblSalaries[[#This Row],[How many hours of a day you work on Excel]],tblHours,2,0)</f>
        <v>4</v>
      </c>
      <c r="P1177" s="8">
        <f>VLOOKUP(tblSalaries[[#This Row],[clean Country]],tblCountries[],5,0)</f>
        <v>1.3407315045719035</v>
      </c>
      <c r="Q1177" s="8">
        <f>IF($Q$1,tblSalaries[[#This Row],[PPP Factor]]*tblSalaries[[#This Row],[Salary in USD]],tblSalaries[[#This Row],[Salary in USD]])</f>
        <v>19000</v>
      </c>
    </row>
    <row r="1178" spans="2:17" ht="15" customHeight="1" x14ac:dyDescent="0.25">
      <c r="B1178" t="s">
        <v>3181</v>
      </c>
      <c r="C1178" s="1">
        <v>41057.99417824074</v>
      </c>
      <c r="D1178" s="4" t="s">
        <v>1349</v>
      </c>
      <c r="E1178">
        <v>15000</v>
      </c>
      <c r="F1178" t="s">
        <v>22</v>
      </c>
      <c r="G1178">
        <f>tblSalaries[[#This Row],[clean Salary (in local currency)]]*VLOOKUP(tblSalaries[[#This Row],[Currency]],tblXrate[],2,FALSE)</f>
        <v>19055.991584874118</v>
      </c>
      <c r="H1178" t="s">
        <v>1350</v>
      </c>
      <c r="I1178" t="s">
        <v>356</v>
      </c>
      <c r="J1178" t="s">
        <v>1351</v>
      </c>
      <c r="K1178" t="str">
        <f>VLOOKUP(tblSalaries[[#This Row],[Where do you work]],tblCountries[[Actual]:[Mapping]],2,FALSE)</f>
        <v>italy</v>
      </c>
      <c r="L1178" t="s">
        <v>9</v>
      </c>
      <c r="M1178">
        <v>3</v>
      </c>
      <c r="N1178" s="8" t="str">
        <f>VLOOKUP(K1178,tblCountries[],3,0)</f>
        <v>Europe</v>
      </c>
      <c r="O1178" s="8">
        <f>VLOOKUP(tblSalaries[[#This Row],[How many hours of a day you work on Excel]],tblHours,2,0)</f>
        <v>4</v>
      </c>
      <c r="P1178" s="8">
        <f>VLOOKUP(tblSalaries[[#This Row],[clean Country]],tblCountries[],5,0)</f>
        <v>1.5883337710084033</v>
      </c>
      <c r="Q1178" s="8">
        <f>IF($Q$1,tblSalaries[[#This Row],[PPP Factor]]*tblSalaries[[#This Row],[Salary in USD]],tblSalaries[[#This Row],[Salary in USD]])</f>
        <v>19055.991584874118</v>
      </c>
    </row>
    <row r="1179" spans="2:17" ht="15" customHeight="1" x14ac:dyDescent="0.25">
      <c r="B1179" t="s">
        <v>3182</v>
      </c>
      <c r="C1179" s="1">
        <v>41057.994930555556</v>
      </c>
      <c r="D1179" s="4">
        <v>480000</v>
      </c>
      <c r="E1179">
        <v>480000</v>
      </c>
      <c r="F1179" t="s">
        <v>40</v>
      </c>
      <c r="G1179">
        <f>tblSalaries[[#This Row],[clean Salary (in local currency)]]*VLOOKUP(tblSalaries[[#This Row],[Currency]],tblXrate[],2,FALSE)</f>
        <v>8547.8000099724322</v>
      </c>
      <c r="H1179" t="s">
        <v>1352</v>
      </c>
      <c r="I1179" t="s">
        <v>356</v>
      </c>
      <c r="J1179" t="s">
        <v>8</v>
      </c>
      <c r="K1179" t="str">
        <f>VLOOKUP(tblSalaries[[#This Row],[Where do you work]],tblCountries[[Actual]:[Mapping]],2,FALSE)</f>
        <v>India</v>
      </c>
      <c r="L1179" t="s">
        <v>13</v>
      </c>
      <c r="M1179">
        <v>15</v>
      </c>
      <c r="N1179" s="8" t="str">
        <f>VLOOKUP(K1179,tblCountries[],3,0)</f>
        <v>Asia</v>
      </c>
      <c r="O1179" s="8">
        <f>VLOOKUP(tblSalaries[[#This Row],[How many hours of a day you work on Excel]],tblHours,2,0)</f>
        <v>5</v>
      </c>
      <c r="P1179" s="8">
        <f>VLOOKUP(tblSalaries[[#This Row],[clean Country]],tblCountries[],5,0)</f>
        <v>13.098808879263672</v>
      </c>
      <c r="Q1179" s="8">
        <f>IF($Q$1,tblSalaries[[#This Row],[PPP Factor]]*tblSalaries[[#This Row],[Salary in USD]],tblSalaries[[#This Row],[Salary in USD]])</f>
        <v>8547.8000099724322</v>
      </c>
    </row>
    <row r="1180" spans="2:17" ht="15" customHeight="1" x14ac:dyDescent="0.25">
      <c r="B1180" t="s">
        <v>3183</v>
      </c>
      <c r="C1180" s="1">
        <v>41057.995162037034</v>
      </c>
      <c r="D1180" s="4">
        <v>1100000</v>
      </c>
      <c r="E1180">
        <v>1100000</v>
      </c>
      <c r="F1180" t="s">
        <v>40</v>
      </c>
      <c r="G1180">
        <f>tblSalaries[[#This Row],[clean Salary (in local currency)]]*VLOOKUP(tblSalaries[[#This Row],[Currency]],tblXrate[],2,FALSE)</f>
        <v>19588.708356186824</v>
      </c>
      <c r="H1180" t="s">
        <v>1353</v>
      </c>
      <c r="I1180" t="s">
        <v>356</v>
      </c>
      <c r="J1180" t="s">
        <v>8</v>
      </c>
      <c r="K1180" t="str">
        <f>VLOOKUP(tblSalaries[[#This Row],[Where do you work]],tblCountries[[Actual]:[Mapping]],2,FALSE)</f>
        <v>India</v>
      </c>
      <c r="L1180" t="s">
        <v>13</v>
      </c>
      <c r="M1180">
        <v>13</v>
      </c>
      <c r="N1180" s="8" t="str">
        <f>VLOOKUP(K1180,tblCountries[],3,0)</f>
        <v>Asia</v>
      </c>
      <c r="O1180" s="8">
        <f>VLOOKUP(tblSalaries[[#This Row],[How many hours of a day you work on Excel]],tblHours,2,0)</f>
        <v>5</v>
      </c>
      <c r="P1180" s="8">
        <f>VLOOKUP(tblSalaries[[#This Row],[clean Country]],tblCountries[],5,0)</f>
        <v>13.098808879263672</v>
      </c>
      <c r="Q1180" s="8">
        <f>IF($Q$1,tblSalaries[[#This Row],[PPP Factor]]*tblSalaries[[#This Row],[Salary in USD]],tblSalaries[[#This Row],[Salary in USD]])</f>
        <v>19588.708356186824</v>
      </c>
    </row>
    <row r="1181" spans="2:17" ht="15" customHeight="1" x14ac:dyDescent="0.25">
      <c r="B1181" t="s">
        <v>3184</v>
      </c>
      <c r="C1181" s="1">
        <v>41058.000243055554</v>
      </c>
      <c r="D1181" s="4">
        <v>61000</v>
      </c>
      <c r="E1181">
        <v>61000</v>
      </c>
      <c r="F1181" t="s">
        <v>6</v>
      </c>
      <c r="G1181">
        <f>tblSalaries[[#This Row],[clean Salary (in local currency)]]*VLOOKUP(tblSalaries[[#This Row],[Currency]],tblXrate[],2,FALSE)</f>
        <v>61000</v>
      </c>
      <c r="H1181" t="s">
        <v>14</v>
      </c>
      <c r="I1181" t="s">
        <v>20</v>
      </c>
      <c r="J1181" t="s">
        <v>15</v>
      </c>
      <c r="K1181" t="str">
        <f>VLOOKUP(tblSalaries[[#This Row],[Where do you work]],tblCountries[[Actual]:[Mapping]],2,FALSE)</f>
        <v>USA</v>
      </c>
      <c r="L1181" t="s">
        <v>9</v>
      </c>
      <c r="M1181">
        <v>1.5</v>
      </c>
      <c r="N1181" s="8" t="str">
        <f>VLOOKUP(K1181,tblCountries[],3,0)</f>
        <v>North Amer.</v>
      </c>
      <c r="O1181" s="8">
        <f>VLOOKUP(tblSalaries[[#This Row],[How many hours of a day you work on Excel]],tblHours,2,0)</f>
        <v>4</v>
      </c>
      <c r="P1181" s="8">
        <f>VLOOKUP(tblSalaries[[#This Row],[clean Country]],tblCountries[],5,0)</f>
        <v>1</v>
      </c>
      <c r="Q1181" s="8">
        <f>IF($Q$1,tblSalaries[[#This Row],[PPP Factor]]*tblSalaries[[#This Row],[Salary in USD]],tblSalaries[[#This Row],[Salary in USD]])</f>
        <v>61000</v>
      </c>
    </row>
    <row r="1182" spans="2:17" ht="15" customHeight="1" x14ac:dyDescent="0.25">
      <c r="B1182" t="s">
        <v>3185</v>
      </c>
      <c r="C1182" s="1">
        <v>41058.002581018518</v>
      </c>
      <c r="D1182" s="4">
        <v>34000</v>
      </c>
      <c r="E1182">
        <v>34000</v>
      </c>
      <c r="F1182" t="s">
        <v>69</v>
      </c>
      <c r="G1182">
        <f>tblSalaries[[#This Row],[clean Salary (in local currency)]]*VLOOKUP(tblSalaries[[#This Row],[Currency]],tblXrate[],2,FALSE)</f>
        <v>53590.061250287661</v>
      </c>
      <c r="H1182" t="s">
        <v>1354</v>
      </c>
      <c r="I1182" t="s">
        <v>310</v>
      </c>
      <c r="J1182" t="s">
        <v>71</v>
      </c>
      <c r="K1182" t="str">
        <f>VLOOKUP(tblSalaries[[#This Row],[Where do you work]],tblCountries[[Actual]:[Mapping]],2,FALSE)</f>
        <v>UK</v>
      </c>
      <c r="L1182" t="s">
        <v>13</v>
      </c>
      <c r="M1182">
        <v>10</v>
      </c>
      <c r="N1182" s="8" t="str">
        <f>VLOOKUP(K1182,tblCountries[],3,0)</f>
        <v>Europe</v>
      </c>
      <c r="O1182" s="8">
        <f>VLOOKUP(tblSalaries[[#This Row],[How many hours of a day you work on Excel]],tblHours,2,0)</f>
        <v>5</v>
      </c>
      <c r="P1182" s="8">
        <f>VLOOKUP(tblSalaries[[#This Row],[clean Country]],tblCountries[],5,0)</f>
        <v>1.3407315045719035</v>
      </c>
      <c r="Q1182" s="8">
        <f>IF($Q$1,tblSalaries[[#This Row],[PPP Factor]]*tblSalaries[[#This Row],[Salary in USD]],tblSalaries[[#This Row],[Salary in USD]])</f>
        <v>53590.061250287661</v>
      </c>
    </row>
    <row r="1183" spans="2:17" ht="15" customHeight="1" x14ac:dyDescent="0.25">
      <c r="B1183" t="s">
        <v>3186</v>
      </c>
      <c r="C1183" s="1">
        <v>41058.002638888887</v>
      </c>
      <c r="D1183" s="4">
        <v>34000</v>
      </c>
      <c r="E1183">
        <v>34000</v>
      </c>
      <c r="F1183" t="s">
        <v>69</v>
      </c>
      <c r="G1183">
        <f>tblSalaries[[#This Row],[clean Salary (in local currency)]]*VLOOKUP(tblSalaries[[#This Row],[Currency]],tblXrate[],2,FALSE)</f>
        <v>53590.061250287661</v>
      </c>
      <c r="H1183" t="s">
        <v>1354</v>
      </c>
      <c r="I1183" t="s">
        <v>310</v>
      </c>
      <c r="J1183" t="s">
        <v>71</v>
      </c>
      <c r="K1183" t="str">
        <f>VLOOKUP(tblSalaries[[#This Row],[Where do you work]],tblCountries[[Actual]:[Mapping]],2,FALSE)</f>
        <v>UK</v>
      </c>
      <c r="L1183" t="s">
        <v>13</v>
      </c>
      <c r="M1183">
        <v>10</v>
      </c>
      <c r="N1183" s="8" t="str">
        <f>VLOOKUP(K1183,tblCountries[],3,0)</f>
        <v>Europe</v>
      </c>
      <c r="O1183" s="8">
        <f>VLOOKUP(tblSalaries[[#This Row],[How many hours of a day you work on Excel]],tblHours,2,0)</f>
        <v>5</v>
      </c>
      <c r="P1183" s="8">
        <f>VLOOKUP(tblSalaries[[#This Row],[clean Country]],tblCountries[],5,0)</f>
        <v>1.3407315045719035</v>
      </c>
      <c r="Q1183" s="8">
        <f>IF($Q$1,tblSalaries[[#This Row],[PPP Factor]]*tblSalaries[[#This Row],[Salary in USD]],tblSalaries[[#This Row],[Salary in USD]])</f>
        <v>53590.061250287661</v>
      </c>
    </row>
    <row r="1184" spans="2:17" ht="15" customHeight="1" x14ac:dyDescent="0.25">
      <c r="B1184" t="s">
        <v>3187</v>
      </c>
      <c r="C1184" s="1">
        <v>41058.004861111112</v>
      </c>
      <c r="D1184" s="4">
        <v>250000</v>
      </c>
      <c r="E1184">
        <v>250000</v>
      </c>
      <c r="F1184" t="s">
        <v>40</v>
      </c>
      <c r="G1184">
        <f>tblSalaries[[#This Row],[clean Salary (in local currency)]]*VLOOKUP(tblSalaries[[#This Row],[Currency]],tblXrate[],2,FALSE)</f>
        <v>4451.9791718606421</v>
      </c>
      <c r="H1184" t="s">
        <v>1355</v>
      </c>
      <c r="I1184" t="s">
        <v>52</v>
      </c>
      <c r="J1184" t="s">
        <v>8</v>
      </c>
      <c r="K1184" t="str">
        <f>VLOOKUP(tblSalaries[[#This Row],[Where do you work]],tblCountries[[Actual]:[Mapping]],2,FALSE)</f>
        <v>India</v>
      </c>
      <c r="L1184" t="s">
        <v>9</v>
      </c>
      <c r="M1184">
        <v>1</v>
      </c>
      <c r="N1184" s="8" t="str">
        <f>VLOOKUP(K1184,tblCountries[],3,0)</f>
        <v>Asia</v>
      </c>
      <c r="O1184" s="8">
        <f>VLOOKUP(tblSalaries[[#This Row],[How many hours of a day you work on Excel]],tblHours,2,0)</f>
        <v>4</v>
      </c>
      <c r="P1184" s="8">
        <f>VLOOKUP(tblSalaries[[#This Row],[clean Country]],tblCountries[],5,0)</f>
        <v>13.098808879263672</v>
      </c>
      <c r="Q1184" s="8">
        <f>IF($Q$1,tblSalaries[[#This Row],[PPP Factor]]*tblSalaries[[#This Row],[Salary in USD]],tblSalaries[[#This Row],[Salary in USD]])</f>
        <v>4451.9791718606421</v>
      </c>
    </row>
    <row r="1185" spans="2:17" ht="15" customHeight="1" x14ac:dyDescent="0.25">
      <c r="B1185" t="s">
        <v>3188</v>
      </c>
      <c r="C1185" s="1">
        <v>41058.005277777775</v>
      </c>
      <c r="D1185" s="4">
        <v>20000</v>
      </c>
      <c r="E1185">
        <v>20000</v>
      </c>
      <c r="F1185" t="s">
        <v>22</v>
      </c>
      <c r="G1185">
        <f>tblSalaries[[#This Row],[clean Salary (in local currency)]]*VLOOKUP(tblSalaries[[#This Row],[Currency]],tblXrate[],2,FALSE)</f>
        <v>25407.988779832154</v>
      </c>
      <c r="H1185" t="s">
        <v>1356</v>
      </c>
      <c r="I1185" t="s">
        <v>52</v>
      </c>
      <c r="J1185" t="s">
        <v>1357</v>
      </c>
      <c r="K1185" t="str">
        <f>VLOOKUP(tblSalaries[[#This Row],[Where do you work]],tblCountries[[Actual]:[Mapping]],2,FALSE)</f>
        <v>Greece</v>
      </c>
      <c r="L1185" t="s">
        <v>25</v>
      </c>
      <c r="M1185">
        <v>12</v>
      </c>
      <c r="N1185" s="8" t="str">
        <f>VLOOKUP(K1185,tblCountries[],3,0)</f>
        <v>Europe</v>
      </c>
      <c r="O1185" s="8">
        <f>VLOOKUP(tblSalaries[[#This Row],[How many hours of a day you work on Excel]],tblHours,2,0)</f>
        <v>2</v>
      </c>
      <c r="P1185" s="8">
        <f>VLOOKUP(tblSalaries[[#This Row],[clean Country]],tblCountries[],5,0)</f>
        <v>1.8402297102000456</v>
      </c>
      <c r="Q1185" s="8">
        <f>IF($Q$1,tblSalaries[[#This Row],[PPP Factor]]*tblSalaries[[#This Row],[Salary in USD]],tblSalaries[[#This Row],[Salary in USD]])</f>
        <v>25407.988779832154</v>
      </c>
    </row>
    <row r="1186" spans="2:17" ht="15" customHeight="1" x14ac:dyDescent="0.25">
      <c r="B1186" t="s">
        <v>3189</v>
      </c>
      <c r="C1186" s="1">
        <v>41058.008599537039</v>
      </c>
      <c r="D1186" s="4">
        <v>23000</v>
      </c>
      <c r="E1186">
        <v>23000</v>
      </c>
      <c r="F1186" t="s">
        <v>6</v>
      </c>
      <c r="G1186">
        <f>tblSalaries[[#This Row],[clean Salary (in local currency)]]*VLOOKUP(tblSalaries[[#This Row],[Currency]],tblXrate[],2,FALSE)</f>
        <v>23000</v>
      </c>
      <c r="H1186" t="s">
        <v>1358</v>
      </c>
      <c r="I1186" t="s">
        <v>310</v>
      </c>
      <c r="J1186" t="s">
        <v>133</v>
      </c>
      <c r="K1186" t="str">
        <f>VLOOKUP(tblSalaries[[#This Row],[Where do you work]],tblCountries[[Actual]:[Mapping]],2,FALSE)</f>
        <v>Saudi Arabia</v>
      </c>
      <c r="L1186" t="s">
        <v>13</v>
      </c>
      <c r="M1186">
        <v>14</v>
      </c>
      <c r="N1186" s="8" t="str">
        <f>VLOOKUP(K1186,tblCountries[],3,0)</f>
        <v>Asia</v>
      </c>
      <c r="O1186" s="8">
        <f>VLOOKUP(tblSalaries[[#This Row],[How many hours of a day you work on Excel]],tblHours,2,0)</f>
        <v>5</v>
      </c>
      <c r="P1186" s="8">
        <f>VLOOKUP(tblSalaries[[#This Row],[clean Country]],tblCountries[],5,0)</f>
        <v>1.9964104468374799</v>
      </c>
      <c r="Q1186" s="8">
        <f>IF($Q$1,tblSalaries[[#This Row],[PPP Factor]]*tblSalaries[[#This Row],[Salary in USD]],tblSalaries[[#This Row],[Salary in USD]])</f>
        <v>23000</v>
      </c>
    </row>
    <row r="1187" spans="2:17" ht="15" customHeight="1" x14ac:dyDescent="0.25">
      <c r="B1187" t="s">
        <v>3190</v>
      </c>
      <c r="C1187" s="1">
        <v>41058.011747685188</v>
      </c>
      <c r="D1187" s="4" t="s">
        <v>1263</v>
      </c>
      <c r="E1187">
        <v>900000</v>
      </c>
      <c r="F1187" t="s">
        <v>40</v>
      </c>
      <c r="G1187">
        <f>tblSalaries[[#This Row],[clean Salary (in local currency)]]*VLOOKUP(tblSalaries[[#This Row],[Currency]],tblXrate[],2,FALSE)</f>
        <v>16027.125018698311</v>
      </c>
      <c r="H1187" t="s">
        <v>1359</v>
      </c>
      <c r="I1187" t="s">
        <v>52</v>
      </c>
      <c r="J1187" t="s">
        <v>8</v>
      </c>
      <c r="K1187" t="str">
        <f>VLOOKUP(tblSalaries[[#This Row],[Where do you work]],tblCountries[[Actual]:[Mapping]],2,FALSE)</f>
        <v>India</v>
      </c>
      <c r="L1187" t="s">
        <v>25</v>
      </c>
      <c r="M1187">
        <v>13</v>
      </c>
      <c r="N1187" s="8" t="str">
        <f>VLOOKUP(K1187,tblCountries[],3,0)</f>
        <v>Asia</v>
      </c>
      <c r="O1187" s="8">
        <f>VLOOKUP(tblSalaries[[#This Row],[How many hours of a day you work on Excel]],tblHours,2,0)</f>
        <v>2</v>
      </c>
      <c r="P1187" s="8">
        <f>VLOOKUP(tblSalaries[[#This Row],[clean Country]],tblCountries[],5,0)</f>
        <v>13.098808879263672</v>
      </c>
      <c r="Q1187" s="8">
        <f>IF($Q$1,tblSalaries[[#This Row],[PPP Factor]]*tblSalaries[[#This Row],[Salary in USD]],tblSalaries[[#This Row],[Salary in USD]])</f>
        <v>16027.125018698311</v>
      </c>
    </row>
    <row r="1188" spans="2:17" ht="15" customHeight="1" x14ac:dyDescent="0.25">
      <c r="B1188" t="s">
        <v>3191</v>
      </c>
      <c r="C1188" s="1">
        <v>41058.017812500002</v>
      </c>
      <c r="D1188" s="4">
        <v>60000</v>
      </c>
      <c r="E1188">
        <v>60000</v>
      </c>
      <c r="F1188" t="s">
        <v>6</v>
      </c>
      <c r="G1188">
        <f>tblSalaries[[#This Row],[clean Salary (in local currency)]]*VLOOKUP(tblSalaries[[#This Row],[Currency]],tblXrate[],2,FALSE)</f>
        <v>60000</v>
      </c>
      <c r="H1188" t="s">
        <v>1360</v>
      </c>
      <c r="I1188" t="s">
        <v>279</v>
      </c>
      <c r="J1188" t="s">
        <v>15</v>
      </c>
      <c r="K1188" t="str">
        <f>VLOOKUP(tblSalaries[[#This Row],[Where do you work]],tblCountries[[Actual]:[Mapping]],2,FALSE)</f>
        <v>USA</v>
      </c>
      <c r="L1188" t="s">
        <v>25</v>
      </c>
      <c r="M1188">
        <v>6</v>
      </c>
      <c r="N1188" s="8" t="str">
        <f>VLOOKUP(K1188,tblCountries[],3,0)</f>
        <v>North Amer.</v>
      </c>
      <c r="O1188" s="8">
        <f>VLOOKUP(tblSalaries[[#This Row],[How many hours of a day you work on Excel]],tblHours,2,0)</f>
        <v>2</v>
      </c>
      <c r="P1188" s="8">
        <f>VLOOKUP(tblSalaries[[#This Row],[clean Country]],tblCountries[],5,0)</f>
        <v>1</v>
      </c>
      <c r="Q1188" s="8">
        <f>IF($Q$1,tblSalaries[[#This Row],[PPP Factor]]*tblSalaries[[#This Row],[Salary in USD]],tblSalaries[[#This Row],[Salary in USD]])</f>
        <v>60000</v>
      </c>
    </row>
    <row r="1189" spans="2:17" ht="15" customHeight="1" x14ac:dyDescent="0.25">
      <c r="B1189" t="s">
        <v>3192</v>
      </c>
      <c r="C1189" s="1">
        <v>41058.017893518518</v>
      </c>
      <c r="D1189" s="4">
        <v>800</v>
      </c>
      <c r="E1189">
        <v>4800</v>
      </c>
      <c r="F1189" t="s">
        <v>6</v>
      </c>
      <c r="G1189">
        <f>tblSalaries[[#This Row],[clean Salary (in local currency)]]*VLOOKUP(tblSalaries[[#This Row],[Currency]],tblXrate[],2,FALSE)</f>
        <v>4800</v>
      </c>
      <c r="H1189" t="s">
        <v>14</v>
      </c>
      <c r="I1189" t="s">
        <v>20</v>
      </c>
      <c r="J1189" t="s">
        <v>8</v>
      </c>
      <c r="K1189" t="str">
        <f>VLOOKUP(tblSalaries[[#This Row],[Where do you work]],tblCountries[[Actual]:[Mapping]],2,FALSE)</f>
        <v>India</v>
      </c>
      <c r="L1189" t="s">
        <v>9</v>
      </c>
      <c r="M1189">
        <v>5</v>
      </c>
      <c r="N1189" s="8" t="str">
        <f>VLOOKUP(K1189,tblCountries[],3,0)</f>
        <v>Asia</v>
      </c>
      <c r="O1189" s="8">
        <f>VLOOKUP(tblSalaries[[#This Row],[How many hours of a day you work on Excel]],tblHours,2,0)</f>
        <v>4</v>
      </c>
      <c r="P1189" s="8">
        <f>VLOOKUP(tblSalaries[[#This Row],[clean Country]],tblCountries[],5,0)</f>
        <v>13.098808879263672</v>
      </c>
      <c r="Q1189" s="8">
        <f>IF($Q$1,tblSalaries[[#This Row],[PPP Factor]]*tblSalaries[[#This Row],[Salary in USD]],tblSalaries[[#This Row],[Salary in USD]])</f>
        <v>4800</v>
      </c>
    </row>
    <row r="1190" spans="2:17" ht="15" customHeight="1" x14ac:dyDescent="0.25">
      <c r="B1190" t="s">
        <v>3193</v>
      </c>
      <c r="C1190" s="1">
        <v>41058.01829861111</v>
      </c>
      <c r="D1190" s="4" t="s">
        <v>1361</v>
      </c>
      <c r="E1190">
        <v>625000</v>
      </c>
      <c r="F1190" t="s">
        <v>1362</v>
      </c>
      <c r="G1190">
        <f>tblSalaries[[#This Row],[clean Salary (in local currency)]]*VLOOKUP(tblSalaries[[#This Row],[Currency]],tblXrate[],2,FALSE)</f>
        <v>106815.148267971</v>
      </c>
      <c r="H1190" t="s">
        <v>1363</v>
      </c>
      <c r="I1190" t="s">
        <v>52</v>
      </c>
      <c r="J1190" t="s">
        <v>877</v>
      </c>
      <c r="K1190" t="str">
        <f>VLOOKUP(tblSalaries[[#This Row],[Where do you work]],tblCountries[[Actual]:[Mapping]],2,FALSE)</f>
        <v>Denmark</v>
      </c>
      <c r="L1190" t="s">
        <v>9</v>
      </c>
      <c r="M1190">
        <v>25</v>
      </c>
      <c r="N1190" s="8" t="str">
        <f>VLOOKUP(K1190,tblCountries[],3,0)</f>
        <v>Europe</v>
      </c>
      <c r="O1190" s="8">
        <f>VLOOKUP(tblSalaries[[#This Row],[How many hours of a day you work on Excel]],tblHours,2,0)</f>
        <v>4</v>
      </c>
      <c r="P1190" s="8">
        <f>VLOOKUP(tblSalaries[[#This Row],[clean Country]],tblCountries[],5,0)</f>
        <v>1.3024063307493541</v>
      </c>
      <c r="Q1190" s="8">
        <f>IF($Q$1,tblSalaries[[#This Row],[PPP Factor]]*tblSalaries[[#This Row],[Salary in USD]],tblSalaries[[#This Row],[Salary in USD]])</f>
        <v>106815.148267971</v>
      </c>
    </row>
    <row r="1191" spans="2:17" ht="15" customHeight="1" x14ac:dyDescent="0.25">
      <c r="B1191" t="s">
        <v>3194</v>
      </c>
      <c r="C1191" s="1">
        <v>41058.019884259258</v>
      </c>
      <c r="D1191" s="4">
        <v>500000</v>
      </c>
      <c r="E1191">
        <v>500000</v>
      </c>
      <c r="F1191" t="s">
        <v>40</v>
      </c>
      <c r="G1191">
        <f>tblSalaries[[#This Row],[clean Salary (in local currency)]]*VLOOKUP(tblSalaries[[#This Row],[Currency]],tblXrate[],2,FALSE)</f>
        <v>8903.9583437212841</v>
      </c>
      <c r="H1191" t="s">
        <v>356</v>
      </c>
      <c r="I1191" t="s">
        <v>356</v>
      </c>
      <c r="J1191" t="s">
        <v>8</v>
      </c>
      <c r="K1191" t="str">
        <f>VLOOKUP(tblSalaries[[#This Row],[Where do you work]],tblCountries[[Actual]:[Mapping]],2,FALSE)</f>
        <v>India</v>
      </c>
      <c r="L1191" t="s">
        <v>18</v>
      </c>
      <c r="M1191">
        <v>3</v>
      </c>
      <c r="N1191" s="8" t="str">
        <f>VLOOKUP(K1191,tblCountries[],3,0)</f>
        <v>Asia</v>
      </c>
      <c r="O1191" s="8">
        <f>VLOOKUP(tblSalaries[[#This Row],[How many hours of a day you work on Excel]],tblHours,2,0)</f>
        <v>3</v>
      </c>
      <c r="P1191" s="8">
        <f>VLOOKUP(tblSalaries[[#This Row],[clean Country]],tblCountries[],5,0)</f>
        <v>13.098808879263672</v>
      </c>
      <c r="Q1191" s="8">
        <f>IF($Q$1,tblSalaries[[#This Row],[PPP Factor]]*tblSalaries[[#This Row],[Salary in USD]],tblSalaries[[#This Row],[Salary in USD]])</f>
        <v>8903.9583437212841</v>
      </c>
    </row>
    <row r="1192" spans="2:17" ht="15" customHeight="1" x14ac:dyDescent="0.25">
      <c r="B1192" t="s">
        <v>3195</v>
      </c>
      <c r="C1192" s="1">
        <v>41058.020509259259</v>
      </c>
      <c r="D1192" s="4">
        <v>60000</v>
      </c>
      <c r="E1192">
        <v>60000</v>
      </c>
      <c r="F1192" t="s">
        <v>6</v>
      </c>
      <c r="G1192">
        <f>tblSalaries[[#This Row],[clean Salary (in local currency)]]*VLOOKUP(tblSalaries[[#This Row],[Currency]],tblXrate[],2,FALSE)</f>
        <v>60000</v>
      </c>
      <c r="H1192" t="s">
        <v>1364</v>
      </c>
      <c r="I1192" t="s">
        <v>52</v>
      </c>
      <c r="J1192" t="s">
        <v>15</v>
      </c>
      <c r="K1192" t="str">
        <f>VLOOKUP(tblSalaries[[#This Row],[Where do you work]],tblCountries[[Actual]:[Mapping]],2,FALSE)</f>
        <v>USA</v>
      </c>
      <c r="L1192" t="s">
        <v>9</v>
      </c>
      <c r="M1192">
        <v>12</v>
      </c>
      <c r="N1192" s="8" t="str">
        <f>VLOOKUP(K1192,tblCountries[],3,0)</f>
        <v>North Amer.</v>
      </c>
      <c r="O1192" s="8">
        <f>VLOOKUP(tblSalaries[[#This Row],[How many hours of a day you work on Excel]],tblHours,2,0)</f>
        <v>4</v>
      </c>
      <c r="P1192" s="8">
        <f>VLOOKUP(tblSalaries[[#This Row],[clean Country]],tblCountries[],5,0)</f>
        <v>1</v>
      </c>
      <c r="Q1192" s="8">
        <f>IF($Q$1,tblSalaries[[#This Row],[PPP Factor]]*tblSalaries[[#This Row],[Salary in USD]],tblSalaries[[#This Row],[Salary in USD]])</f>
        <v>60000</v>
      </c>
    </row>
    <row r="1193" spans="2:17" ht="15" customHeight="1" x14ac:dyDescent="0.25">
      <c r="B1193" t="s">
        <v>3196</v>
      </c>
      <c r="C1193" s="1">
        <v>41058.021319444444</v>
      </c>
      <c r="D1193" s="4">
        <v>2600000</v>
      </c>
      <c r="E1193">
        <v>2600000</v>
      </c>
      <c r="F1193" t="s">
        <v>40</v>
      </c>
      <c r="G1193">
        <f>tblSalaries[[#This Row],[clean Salary (in local currency)]]*VLOOKUP(tblSalaries[[#This Row],[Currency]],tblXrate[],2,FALSE)</f>
        <v>46300.583387350678</v>
      </c>
      <c r="H1193" t="s">
        <v>1365</v>
      </c>
      <c r="I1193" t="s">
        <v>52</v>
      </c>
      <c r="J1193" t="s">
        <v>8</v>
      </c>
      <c r="K1193" t="str">
        <f>VLOOKUP(tblSalaries[[#This Row],[Where do you work]],tblCountries[[Actual]:[Mapping]],2,FALSE)</f>
        <v>India</v>
      </c>
      <c r="L1193" t="s">
        <v>9</v>
      </c>
      <c r="M1193">
        <v>4</v>
      </c>
      <c r="N1193" s="8" t="str">
        <f>VLOOKUP(K1193,tblCountries[],3,0)</f>
        <v>Asia</v>
      </c>
      <c r="O1193" s="8">
        <f>VLOOKUP(tblSalaries[[#This Row],[How many hours of a day you work on Excel]],tblHours,2,0)</f>
        <v>4</v>
      </c>
      <c r="P1193" s="8">
        <f>VLOOKUP(tblSalaries[[#This Row],[clean Country]],tblCountries[],5,0)</f>
        <v>13.098808879263672</v>
      </c>
      <c r="Q1193" s="8">
        <f>IF($Q$1,tblSalaries[[#This Row],[PPP Factor]]*tblSalaries[[#This Row],[Salary in USD]],tblSalaries[[#This Row],[Salary in USD]])</f>
        <v>46300.583387350678</v>
      </c>
    </row>
    <row r="1194" spans="2:17" ht="15" customHeight="1" x14ac:dyDescent="0.25">
      <c r="B1194" t="s">
        <v>3197</v>
      </c>
      <c r="C1194" s="1">
        <v>41058.022627314815</v>
      </c>
      <c r="D1194" s="4" t="s">
        <v>1366</v>
      </c>
      <c r="E1194">
        <v>750000</v>
      </c>
      <c r="F1194" t="s">
        <v>40</v>
      </c>
      <c r="G1194">
        <f>tblSalaries[[#This Row],[clean Salary (in local currency)]]*VLOOKUP(tblSalaries[[#This Row],[Currency]],tblXrate[],2,FALSE)</f>
        <v>13355.937515581925</v>
      </c>
      <c r="H1194" t="s">
        <v>1022</v>
      </c>
      <c r="I1194" t="s">
        <v>52</v>
      </c>
      <c r="J1194" t="s">
        <v>8</v>
      </c>
      <c r="K1194" t="str">
        <f>VLOOKUP(tblSalaries[[#This Row],[Where do you work]],tblCountries[[Actual]:[Mapping]],2,FALSE)</f>
        <v>India</v>
      </c>
      <c r="L1194" t="s">
        <v>18</v>
      </c>
      <c r="M1194">
        <v>3</v>
      </c>
      <c r="N1194" s="8" t="str">
        <f>VLOOKUP(K1194,tblCountries[],3,0)</f>
        <v>Asia</v>
      </c>
      <c r="O1194" s="8">
        <f>VLOOKUP(tblSalaries[[#This Row],[How many hours of a day you work on Excel]],tblHours,2,0)</f>
        <v>3</v>
      </c>
      <c r="P1194" s="8">
        <f>VLOOKUP(tblSalaries[[#This Row],[clean Country]],tblCountries[],5,0)</f>
        <v>13.098808879263672</v>
      </c>
      <c r="Q1194" s="8">
        <f>IF($Q$1,tblSalaries[[#This Row],[PPP Factor]]*tblSalaries[[#This Row],[Salary in USD]],tblSalaries[[#This Row],[Salary in USD]])</f>
        <v>13355.937515581925</v>
      </c>
    </row>
    <row r="1195" spans="2:17" ht="15" customHeight="1" x14ac:dyDescent="0.25">
      <c r="B1195" t="s">
        <v>3198</v>
      </c>
      <c r="C1195" s="1">
        <v>41058.025243055556</v>
      </c>
      <c r="D1195" s="4">
        <v>74000</v>
      </c>
      <c r="E1195">
        <v>74000</v>
      </c>
      <c r="F1195" t="s">
        <v>6</v>
      </c>
      <c r="G1195">
        <f>tblSalaries[[#This Row],[clean Salary (in local currency)]]*VLOOKUP(tblSalaries[[#This Row],[Currency]],tblXrate[],2,FALSE)</f>
        <v>74000</v>
      </c>
      <c r="H1195" t="s">
        <v>1367</v>
      </c>
      <c r="I1195" t="s">
        <v>67</v>
      </c>
      <c r="J1195" t="s">
        <v>15</v>
      </c>
      <c r="K1195" t="str">
        <f>VLOOKUP(tblSalaries[[#This Row],[Where do you work]],tblCountries[[Actual]:[Mapping]],2,FALSE)</f>
        <v>USA</v>
      </c>
      <c r="L1195" t="s">
        <v>9</v>
      </c>
      <c r="M1195">
        <v>10</v>
      </c>
      <c r="N1195" s="8" t="str">
        <f>VLOOKUP(K1195,tblCountries[],3,0)</f>
        <v>North Amer.</v>
      </c>
      <c r="O1195" s="8">
        <f>VLOOKUP(tblSalaries[[#This Row],[How many hours of a day you work on Excel]],tblHours,2,0)</f>
        <v>4</v>
      </c>
      <c r="P1195" s="8">
        <f>VLOOKUP(tblSalaries[[#This Row],[clean Country]],tblCountries[],5,0)</f>
        <v>1</v>
      </c>
      <c r="Q1195" s="8">
        <f>IF($Q$1,tblSalaries[[#This Row],[PPP Factor]]*tblSalaries[[#This Row],[Salary in USD]],tblSalaries[[#This Row],[Salary in USD]])</f>
        <v>74000</v>
      </c>
    </row>
    <row r="1196" spans="2:17" ht="15" customHeight="1" x14ac:dyDescent="0.25">
      <c r="B1196" t="s">
        <v>3199</v>
      </c>
      <c r="C1196" s="1">
        <v>41058.032835648148</v>
      </c>
      <c r="D1196" s="4">
        <v>95856</v>
      </c>
      <c r="E1196">
        <v>95856</v>
      </c>
      <c r="F1196" t="s">
        <v>6</v>
      </c>
      <c r="G1196">
        <f>tblSalaries[[#This Row],[clean Salary (in local currency)]]*VLOOKUP(tblSalaries[[#This Row],[Currency]],tblXrate[],2,FALSE)</f>
        <v>95856</v>
      </c>
      <c r="H1196" t="s">
        <v>20</v>
      </c>
      <c r="I1196" t="s">
        <v>20</v>
      </c>
      <c r="J1196" t="s">
        <v>15</v>
      </c>
      <c r="K1196" t="str">
        <f>VLOOKUP(tblSalaries[[#This Row],[Where do you work]],tblCountries[[Actual]:[Mapping]],2,FALSE)</f>
        <v>USA</v>
      </c>
      <c r="L1196" t="s">
        <v>18</v>
      </c>
      <c r="M1196">
        <v>13</v>
      </c>
      <c r="N1196" s="8" t="str">
        <f>VLOOKUP(K1196,tblCountries[],3,0)</f>
        <v>North Amer.</v>
      </c>
      <c r="O1196" s="8">
        <f>VLOOKUP(tblSalaries[[#This Row],[How many hours of a day you work on Excel]],tblHours,2,0)</f>
        <v>3</v>
      </c>
      <c r="P1196" s="8">
        <f>VLOOKUP(tblSalaries[[#This Row],[clean Country]],tblCountries[],5,0)</f>
        <v>1</v>
      </c>
      <c r="Q1196" s="8">
        <f>IF($Q$1,tblSalaries[[#This Row],[PPP Factor]]*tblSalaries[[#This Row],[Salary in USD]],tblSalaries[[#This Row],[Salary in USD]])</f>
        <v>95856</v>
      </c>
    </row>
    <row r="1197" spans="2:17" ht="15" customHeight="1" x14ac:dyDescent="0.25">
      <c r="B1197" t="s">
        <v>3200</v>
      </c>
      <c r="C1197" s="1">
        <v>41058.043969907405</v>
      </c>
      <c r="D1197" s="4" t="s">
        <v>1368</v>
      </c>
      <c r="E1197">
        <v>40000</v>
      </c>
      <c r="F1197" t="s">
        <v>6</v>
      </c>
      <c r="G1197">
        <f>tblSalaries[[#This Row],[clean Salary (in local currency)]]*VLOOKUP(tblSalaries[[#This Row],[Currency]],tblXrate[],2,FALSE)</f>
        <v>40000</v>
      </c>
      <c r="H1197" t="s">
        <v>1369</v>
      </c>
      <c r="I1197" t="s">
        <v>310</v>
      </c>
      <c r="J1197" t="s">
        <v>15</v>
      </c>
      <c r="K1197" t="str">
        <f>VLOOKUP(tblSalaries[[#This Row],[Where do you work]],tblCountries[[Actual]:[Mapping]],2,FALSE)</f>
        <v>USA</v>
      </c>
      <c r="L1197" t="s">
        <v>18</v>
      </c>
      <c r="M1197">
        <v>15</v>
      </c>
      <c r="N1197" s="8" t="str">
        <f>VLOOKUP(K1197,tblCountries[],3,0)</f>
        <v>North Amer.</v>
      </c>
      <c r="O1197" s="8">
        <f>VLOOKUP(tblSalaries[[#This Row],[How many hours of a day you work on Excel]],tblHours,2,0)</f>
        <v>3</v>
      </c>
      <c r="P1197" s="8">
        <f>VLOOKUP(tblSalaries[[#This Row],[clean Country]],tblCountries[],5,0)</f>
        <v>1</v>
      </c>
      <c r="Q1197" s="8">
        <f>IF($Q$1,tblSalaries[[#This Row],[PPP Factor]]*tblSalaries[[#This Row],[Salary in USD]],tblSalaries[[#This Row],[Salary in USD]])</f>
        <v>40000</v>
      </c>
    </row>
    <row r="1198" spans="2:17" ht="15" customHeight="1" x14ac:dyDescent="0.25">
      <c r="B1198" t="s">
        <v>3201</v>
      </c>
      <c r="C1198" s="1">
        <v>41058.046342592592</v>
      </c>
      <c r="D1198" s="4">
        <v>4400</v>
      </c>
      <c r="E1198">
        <v>4400</v>
      </c>
      <c r="F1198" t="s">
        <v>6</v>
      </c>
      <c r="G1198">
        <f>tblSalaries[[#This Row],[clean Salary (in local currency)]]*VLOOKUP(tblSalaries[[#This Row],[Currency]],tblXrate[],2,FALSE)</f>
        <v>4400</v>
      </c>
      <c r="H1198" t="s">
        <v>1370</v>
      </c>
      <c r="I1198" t="s">
        <v>52</v>
      </c>
      <c r="J1198" t="s">
        <v>1371</v>
      </c>
      <c r="K1198" t="str">
        <f>VLOOKUP(tblSalaries[[#This Row],[Where do you work]],tblCountries[[Actual]:[Mapping]],2,FALSE)</f>
        <v>Latin America</v>
      </c>
      <c r="L1198" t="s">
        <v>18</v>
      </c>
      <c r="M1198">
        <v>5</v>
      </c>
      <c r="N1198" s="8" t="str">
        <f>VLOOKUP(K1198,tblCountries[],3,0)</f>
        <v>South Amer.</v>
      </c>
      <c r="O1198" s="8">
        <f>VLOOKUP(tblSalaries[[#This Row],[How many hours of a day you work on Excel]],tblHours,2,0)</f>
        <v>3</v>
      </c>
      <c r="P1198" s="8">
        <f>VLOOKUP(tblSalaries[[#This Row],[clean Country]],tblCountries[],5,0)</f>
        <v>1</v>
      </c>
      <c r="Q1198" s="8">
        <f>IF($Q$1,tblSalaries[[#This Row],[PPP Factor]]*tblSalaries[[#This Row],[Salary in USD]],tblSalaries[[#This Row],[Salary in USD]])</f>
        <v>4400</v>
      </c>
    </row>
    <row r="1199" spans="2:17" ht="15" customHeight="1" x14ac:dyDescent="0.25">
      <c r="B1199" t="s">
        <v>3202</v>
      </c>
      <c r="C1199" s="1">
        <v>41058.050324074073</v>
      </c>
      <c r="D1199" s="4">
        <v>90000</v>
      </c>
      <c r="E1199">
        <v>90000</v>
      </c>
      <c r="F1199" t="s">
        <v>6</v>
      </c>
      <c r="G1199">
        <f>tblSalaries[[#This Row],[clean Salary (in local currency)]]*VLOOKUP(tblSalaries[[#This Row],[Currency]],tblXrate[],2,FALSE)</f>
        <v>90000</v>
      </c>
      <c r="H1199" t="s">
        <v>72</v>
      </c>
      <c r="I1199" t="s">
        <v>20</v>
      </c>
      <c r="J1199" t="s">
        <v>15</v>
      </c>
      <c r="K1199" t="str">
        <f>VLOOKUP(tblSalaries[[#This Row],[Where do you work]],tblCountries[[Actual]:[Mapping]],2,FALSE)</f>
        <v>USA</v>
      </c>
      <c r="L1199" t="s">
        <v>9</v>
      </c>
      <c r="M1199">
        <v>30</v>
      </c>
      <c r="N1199" s="8" t="str">
        <f>VLOOKUP(K1199,tblCountries[],3,0)</f>
        <v>North Amer.</v>
      </c>
      <c r="O1199" s="8">
        <f>VLOOKUP(tblSalaries[[#This Row],[How many hours of a day you work on Excel]],tblHours,2,0)</f>
        <v>4</v>
      </c>
      <c r="P1199" s="8">
        <f>VLOOKUP(tblSalaries[[#This Row],[clean Country]],tblCountries[],5,0)</f>
        <v>1</v>
      </c>
      <c r="Q1199" s="8">
        <f>IF($Q$1,tblSalaries[[#This Row],[PPP Factor]]*tblSalaries[[#This Row],[Salary in USD]],tblSalaries[[#This Row],[Salary in USD]])</f>
        <v>90000</v>
      </c>
    </row>
    <row r="1200" spans="2:17" ht="15" customHeight="1" x14ac:dyDescent="0.25">
      <c r="B1200" t="s">
        <v>3203</v>
      </c>
      <c r="C1200" s="1">
        <v>41058.055162037039</v>
      </c>
      <c r="D1200" s="4" t="s">
        <v>1372</v>
      </c>
      <c r="E1200">
        <v>450000</v>
      </c>
      <c r="F1200" t="s">
        <v>40</v>
      </c>
      <c r="G1200">
        <f>tblSalaries[[#This Row],[clean Salary (in local currency)]]*VLOOKUP(tblSalaries[[#This Row],[Currency]],tblXrate[],2,FALSE)</f>
        <v>8013.5625093491553</v>
      </c>
      <c r="H1200" t="s">
        <v>1373</v>
      </c>
      <c r="I1200" t="s">
        <v>52</v>
      </c>
      <c r="J1200" t="s">
        <v>8</v>
      </c>
      <c r="K1200" t="str">
        <f>VLOOKUP(tblSalaries[[#This Row],[Where do you work]],tblCountries[[Actual]:[Mapping]],2,FALSE)</f>
        <v>India</v>
      </c>
      <c r="L1200" t="s">
        <v>13</v>
      </c>
      <c r="M1200">
        <v>2</v>
      </c>
      <c r="N1200" s="8" t="str">
        <f>VLOOKUP(K1200,tblCountries[],3,0)</f>
        <v>Asia</v>
      </c>
      <c r="O1200" s="8">
        <f>VLOOKUP(tblSalaries[[#This Row],[How many hours of a day you work on Excel]],tblHours,2,0)</f>
        <v>5</v>
      </c>
      <c r="P1200" s="8">
        <f>VLOOKUP(tblSalaries[[#This Row],[clean Country]],tblCountries[],5,0)</f>
        <v>13.098808879263672</v>
      </c>
      <c r="Q1200" s="8">
        <f>IF($Q$1,tblSalaries[[#This Row],[PPP Factor]]*tblSalaries[[#This Row],[Salary in USD]],tblSalaries[[#This Row],[Salary in USD]])</f>
        <v>8013.5625093491553</v>
      </c>
    </row>
    <row r="1201" spans="2:17" ht="15" customHeight="1" x14ac:dyDescent="0.25">
      <c r="B1201" t="s">
        <v>3204</v>
      </c>
      <c r="C1201" s="1">
        <v>41058.057627314818</v>
      </c>
      <c r="D1201" s="4" t="s">
        <v>395</v>
      </c>
      <c r="E1201">
        <v>1000000</v>
      </c>
      <c r="F1201" t="s">
        <v>40</v>
      </c>
      <c r="G1201">
        <f>tblSalaries[[#This Row],[clean Salary (in local currency)]]*VLOOKUP(tblSalaries[[#This Row],[Currency]],tblXrate[],2,FALSE)</f>
        <v>17807.916687442568</v>
      </c>
      <c r="H1201" t="s">
        <v>1020</v>
      </c>
      <c r="I1201" t="s">
        <v>52</v>
      </c>
      <c r="J1201" t="s">
        <v>8</v>
      </c>
      <c r="K1201" t="str">
        <f>VLOOKUP(tblSalaries[[#This Row],[Where do you work]],tblCountries[[Actual]:[Mapping]],2,FALSE)</f>
        <v>India</v>
      </c>
      <c r="L1201" t="s">
        <v>9</v>
      </c>
      <c r="M1201">
        <v>8.5</v>
      </c>
      <c r="N1201" s="8" t="str">
        <f>VLOOKUP(K1201,tblCountries[],3,0)</f>
        <v>Asia</v>
      </c>
      <c r="O1201" s="8">
        <f>VLOOKUP(tblSalaries[[#This Row],[How many hours of a day you work on Excel]],tblHours,2,0)</f>
        <v>4</v>
      </c>
      <c r="P1201" s="8">
        <f>VLOOKUP(tblSalaries[[#This Row],[clean Country]],tblCountries[],5,0)</f>
        <v>13.098808879263672</v>
      </c>
      <c r="Q1201" s="8">
        <f>IF($Q$1,tblSalaries[[#This Row],[PPP Factor]]*tblSalaries[[#This Row],[Salary in USD]],tblSalaries[[#This Row],[Salary in USD]])</f>
        <v>17807.916687442568</v>
      </c>
    </row>
    <row r="1202" spans="2:17" ht="15" customHeight="1" x14ac:dyDescent="0.25">
      <c r="B1202" t="s">
        <v>3205</v>
      </c>
      <c r="C1202" s="1">
        <v>41058.063645833332</v>
      </c>
      <c r="D1202" s="4" t="s">
        <v>1374</v>
      </c>
      <c r="E1202">
        <v>700000</v>
      </c>
      <c r="F1202" t="s">
        <v>40</v>
      </c>
      <c r="G1202">
        <f>tblSalaries[[#This Row],[clean Salary (in local currency)]]*VLOOKUP(tblSalaries[[#This Row],[Currency]],tblXrate[],2,FALSE)</f>
        <v>12465.541681209797</v>
      </c>
      <c r="H1202" t="s">
        <v>1375</v>
      </c>
      <c r="I1202" t="s">
        <v>3999</v>
      </c>
      <c r="J1202" t="s">
        <v>8</v>
      </c>
      <c r="K1202" t="str">
        <f>VLOOKUP(tblSalaries[[#This Row],[Where do you work]],tblCountries[[Actual]:[Mapping]],2,FALSE)</f>
        <v>India</v>
      </c>
      <c r="L1202" t="s">
        <v>9</v>
      </c>
      <c r="M1202">
        <v>6</v>
      </c>
      <c r="N1202" s="8" t="str">
        <f>VLOOKUP(K1202,tblCountries[],3,0)</f>
        <v>Asia</v>
      </c>
      <c r="O1202" s="8">
        <f>VLOOKUP(tblSalaries[[#This Row],[How many hours of a day you work on Excel]],tblHours,2,0)</f>
        <v>4</v>
      </c>
      <c r="P1202" s="8">
        <f>VLOOKUP(tblSalaries[[#This Row],[clean Country]],tblCountries[],5,0)</f>
        <v>13.098808879263672</v>
      </c>
      <c r="Q1202" s="8">
        <f>IF($Q$1,tblSalaries[[#This Row],[PPP Factor]]*tblSalaries[[#This Row],[Salary in USD]],tblSalaries[[#This Row],[Salary in USD]])</f>
        <v>12465.541681209797</v>
      </c>
    </row>
    <row r="1203" spans="2:17" ht="15" customHeight="1" x14ac:dyDescent="0.25">
      <c r="B1203" t="s">
        <v>3206</v>
      </c>
      <c r="C1203" s="1">
        <v>41058.070138888892</v>
      </c>
      <c r="D1203" s="4">
        <v>80000</v>
      </c>
      <c r="E1203">
        <v>80000</v>
      </c>
      <c r="F1203" t="s">
        <v>6</v>
      </c>
      <c r="G1203">
        <f>tblSalaries[[#This Row],[clean Salary (in local currency)]]*VLOOKUP(tblSalaries[[#This Row],[Currency]],tblXrate[],2,FALSE)</f>
        <v>80000</v>
      </c>
      <c r="H1203" t="s">
        <v>1376</v>
      </c>
      <c r="I1203" t="s">
        <v>20</v>
      </c>
      <c r="J1203" t="s">
        <v>171</v>
      </c>
      <c r="K1203" t="str">
        <f>VLOOKUP(tblSalaries[[#This Row],[Where do you work]],tblCountries[[Actual]:[Mapping]],2,FALSE)</f>
        <v>Singapore</v>
      </c>
      <c r="L1203" t="s">
        <v>25</v>
      </c>
      <c r="M1203">
        <v>6</v>
      </c>
      <c r="N1203" s="8" t="str">
        <f>VLOOKUP(K1203,tblCountries[],3,0)</f>
        <v>Asia</v>
      </c>
      <c r="O1203" s="8">
        <f>VLOOKUP(tblSalaries[[#This Row],[How many hours of a day you work on Excel]],tblHours,2,0)</f>
        <v>2</v>
      </c>
      <c r="P1203" s="8">
        <f>VLOOKUP(tblSalaries[[#This Row],[clean Country]],tblCountries[],5,0)</f>
        <v>0.81035320125270049</v>
      </c>
      <c r="Q1203" s="8">
        <f>IF($Q$1,tblSalaries[[#This Row],[PPP Factor]]*tblSalaries[[#This Row],[Salary in USD]],tblSalaries[[#This Row],[Salary in USD]])</f>
        <v>80000</v>
      </c>
    </row>
    <row r="1204" spans="2:17" ht="15" customHeight="1" x14ac:dyDescent="0.25">
      <c r="B1204" t="s">
        <v>3207</v>
      </c>
      <c r="C1204" s="1">
        <v>41058.072256944448</v>
      </c>
      <c r="D1204" s="4">
        <v>100000</v>
      </c>
      <c r="E1204">
        <v>100000</v>
      </c>
      <c r="F1204" t="s">
        <v>6</v>
      </c>
      <c r="G1204">
        <f>tblSalaries[[#This Row],[clean Salary (in local currency)]]*VLOOKUP(tblSalaries[[#This Row],[Currency]],tblXrate[],2,FALSE)</f>
        <v>100000</v>
      </c>
      <c r="H1204" t="s">
        <v>642</v>
      </c>
      <c r="I1204" t="s">
        <v>52</v>
      </c>
      <c r="J1204" t="s">
        <v>15</v>
      </c>
      <c r="K1204" t="str">
        <f>VLOOKUP(tblSalaries[[#This Row],[Where do you work]],tblCountries[[Actual]:[Mapping]],2,FALSE)</f>
        <v>USA</v>
      </c>
      <c r="L1204" t="s">
        <v>9</v>
      </c>
      <c r="M1204">
        <v>11</v>
      </c>
      <c r="N1204" s="8" t="str">
        <f>VLOOKUP(K1204,tblCountries[],3,0)</f>
        <v>North Amer.</v>
      </c>
      <c r="O1204" s="8">
        <f>VLOOKUP(tblSalaries[[#This Row],[How many hours of a day you work on Excel]],tblHours,2,0)</f>
        <v>4</v>
      </c>
      <c r="P1204" s="8">
        <f>VLOOKUP(tblSalaries[[#This Row],[clean Country]],tblCountries[],5,0)</f>
        <v>1</v>
      </c>
      <c r="Q1204" s="8">
        <f>IF($Q$1,tblSalaries[[#This Row],[PPP Factor]]*tblSalaries[[#This Row],[Salary in USD]],tblSalaries[[#This Row],[Salary in USD]])</f>
        <v>100000</v>
      </c>
    </row>
    <row r="1205" spans="2:17" ht="15" customHeight="1" x14ac:dyDescent="0.25">
      <c r="B1205" t="s">
        <v>3208</v>
      </c>
      <c r="C1205" s="1">
        <v>41058.073067129626</v>
      </c>
      <c r="D1205" s="4">
        <v>4100</v>
      </c>
      <c r="E1205">
        <v>49200</v>
      </c>
      <c r="F1205" t="s">
        <v>6</v>
      </c>
      <c r="G1205">
        <f>tblSalaries[[#This Row],[clean Salary (in local currency)]]*VLOOKUP(tblSalaries[[#This Row],[Currency]],tblXrate[],2,FALSE)</f>
        <v>49200</v>
      </c>
      <c r="H1205" t="s">
        <v>1358</v>
      </c>
      <c r="I1205" t="s">
        <v>310</v>
      </c>
      <c r="J1205" t="s">
        <v>1377</v>
      </c>
      <c r="K1205" t="str">
        <f>VLOOKUP(tblSalaries[[#This Row],[Where do you work]],tblCountries[[Actual]:[Mapping]],2,FALSE)</f>
        <v>Qatar</v>
      </c>
      <c r="L1205" t="s">
        <v>18</v>
      </c>
      <c r="M1205">
        <v>25</v>
      </c>
      <c r="N1205" s="8" t="str">
        <f>VLOOKUP(K1205,tblCountries[],3,0)</f>
        <v>Asia</v>
      </c>
      <c r="O1205" s="8">
        <f>VLOOKUP(tblSalaries[[#This Row],[How many hours of a day you work on Excel]],tblHours,2,0)</f>
        <v>3</v>
      </c>
      <c r="P1205" s="8">
        <f>VLOOKUP(tblSalaries[[#This Row],[clean Country]],tblCountries[],5,0)</f>
        <v>0.4700368164906793</v>
      </c>
      <c r="Q1205" s="8">
        <f>IF($Q$1,tblSalaries[[#This Row],[PPP Factor]]*tblSalaries[[#This Row],[Salary in USD]],tblSalaries[[#This Row],[Salary in USD]])</f>
        <v>49200</v>
      </c>
    </row>
    <row r="1206" spans="2:17" ht="15" customHeight="1" x14ac:dyDescent="0.25">
      <c r="B1206" t="s">
        <v>3209</v>
      </c>
      <c r="C1206" s="1">
        <v>41058.074756944443</v>
      </c>
      <c r="D1206" s="4">
        <v>750</v>
      </c>
      <c r="E1206">
        <v>9000</v>
      </c>
      <c r="F1206" t="s">
        <v>6</v>
      </c>
      <c r="G1206">
        <f>tblSalaries[[#This Row],[clean Salary (in local currency)]]*VLOOKUP(tblSalaries[[#This Row],[Currency]],tblXrate[],2,FALSE)</f>
        <v>9000</v>
      </c>
      <c r="H1206" t="s">
        <v>1378</v>
      </c>
      <c r="I1206" t="s">
        <v>52</v>
      </c>
      <c r="J1206" t="s">
        <v>8</v>
      </c>
      <c r="K1206" t="str">
        <f>VLOOKUP(tblSalaries[[#This Row],[Where do you work]],tblCountries[[Actual]:[Mapping]],2,FALSE)</f>
        <v>India</v>
      </c>
      <c r="L1206" t="s">
        <v>9</v>
      </c>
      <c r="M1206">
        <v>1</v>
      </c>
      <c r="N1206" s="8" t="str">
        <f>VLOOKUP(K1206,tblCountries[],3,0)</f>
        <v>Asia</v>
      </c>
      <c r="O1206" s="8">
        <f>VLOOKUP(tblSalaries[[#This Row],[How many hours of a day you work on Excel]],tblHours,2,0)</f>
        <v>4</v>
      </c>
      <c r="P1206" s="8">
        <f>VLOOKUP(tblSalaries[[#This Row],[clean Country]],tblCountries[],5,0)</f>
        <v>13.098808879263672</v>
      </c>
      <c r="Q1206" s="8">
        <f>IF($Q$1,tblSalaries[[#This Row],[PPP Factor]]*tblSalaries[[#This Row],[Salary in USD]],tblSalaries[[#This Row],[Salary in USD]])</f>
        <v>9000</v>
      </c>
    </row>
    <row r="1207" spans="2:17" ht="15" customHeight="1" x14ac:dyDescent="0.25">
      <c r="B1207" t="s">
        <v>3210</v>
      </c>
      <c r="C1207" s="1">
        <v>41058.07640046296</v>
      </c>
      <c r="D1207" s="4">
        <v>300000</v>
      </c>
      <c r="E1207">
        <v>300000</v>
      </c>
      <c r="F1207" t="s">
        <v>40</v>
      </c>
      <c r="G1207">
        <f>tblSalaries[[#This Row],[clean Salary (in local currency)]]*VLOOKUP(tblSalaries[[#This Row],[Currency]],tblXrate[],2,FALSE)</f>
        <v>5342.3750062327708</v>
      </c>
      <c r="H1207" t="s">
        <v>1068</v>
      </c>
      <c r="I1207" t="s">
        <v>20</v>
      </c>
      <c r="J1207" t="s">
        <v>8</v>
      </c>
      <c r="K1207" t="str">
        <f>VLOOKUP(tblSalaries[[#This Row],[Where do you work]],tblCountries[[Actual]:[Mapping]],2,FALSE)</f>
        <v>India</v>
      </c>
      <c r="L1207" t="s">
        <v>9</v>
      </c>
      <c r="M1207">
        <v>6</v>
      </c>
      <c r="N1207" s="8" t="str">
        <f>VLOOKUP(K1207,tblCountries[],3,0)</f>
        <v>Asia</v>
      </c>
      <c r="O1207" s="8">
        <f>VLOOKUP(tblSalaries[[#This Row],[How many hours of a day you work on Excel]],tblHours,2,0)</f>
        <v>4</v>
      </c>
      <c r="P1207" s="8">
        <f>VLOOKUP(tblSalaries[[#This Row],[clean Country]],tblCountries[],5,0)</f>
        <v>13.098808879263672</v>
      </c>
      <c r="Q1207" s="8">
        <f>IF($Q$1,tblSalaries[[#This Row],[PPP Factor]]*tblSalaries[[#This Row],[Salary in USD]],tblSalaries[[#This Row],[Salary in USD]])</f>
        <v>5342.3750062327708</v>
      </c>
    </row>
    <row r="1208" spans="2:17" ht="15" customHeight="1" x14ac:dyDescent="0.25">
      <c r="B1208" t="s">
        <v>3211</v>
      </c>
      <c r="C1208" s="1">
        <v>41058.085173611114</v>
      </c>
      <c r="D1208" s="4" t="s">
        <v>1379</v>
      </c>
      <c r="E1208">
        <v>40000</v>
      </c>
      <c r="F1208" t="s">
        <v>6</v>
      </c>
      <c r="G1208">
        <f>tblSalaries[[#This Row],[clean Salary (in local currency)]]*VLOOKUP(tblSalaries[[#This Row],[Currency]],tblXrate[],2,FALSE)</f>
        <v>40000</v>
      </c>
      <c r="H1208" t="s">
        <v>1380</v>
      </c>
      <c r="I1208" t="s">
        <v>52</v>
      </c>
      <c r="J1208" t="s">
        <v>1381</v>
      </c>
      <c r="K1208" t="str">
        <f>VLOOKUP(tblSalaries[[#This Row],[Where do you work]],tblCountries[[Actual]:[Mapping]],2,FALSE)</f>
        <v>Pakistan</v>
      </c>
      <c r="L1208" t="s">
        <v>9</v>
      </c>
      <c r="M1208">
        <v>15</v>
      </c>
      <c r="N1208" s="8" t="str">
        <f>VLOOKUP(K1208,tblCountries[],3,0)</f>
        <v>Asia</v>
      </c>
      <c r="O1208" s="8">
        <f>VLOOKUP(tblSalaries[[#This Row],[How many hours of a day you work on Excel]],tblHours,2,0)</f>
        <v>4</v>
      </c>
      <c r="P1208" s="8">
        <f>VLOOKUP(tblSalaries[[#This Row],[clean Country]],tblCountries[],5,0)</f>
        <v>17.361679224973088</v>
      </c>
      <c r="Q1208" s="8">
        <f>IF($Q$1,tblSalaries[[#This Row],[PPP Factor]]*tblSalaries[[#This Row],[Salary in USD]],tblSalaries[[#This Row],[Salary in USD]])</f>
        <v>40000</v>
      </c>
    </row>
    <row r="1209" spans="2:17" ht="15" customHeight="1" x14ac:dyDescent="0.25">
      <c r="B1209" t="s">
        <v>3212</v>
      </c>
      <c r="C1209" s="1">
        <v>41058.092037037037</v>
      </c>
      <c r="D1209" s="4" t="s">
        <v>1382</v>
      </c>
      <c r="E1209">
        <v>26000</v>
      </c>
      <c r="F1209" t="s">
        <v>69</v>
      </c>
      <c r="G1209">
        <f>tblSalaries[[#This Row],[clean Salary (in local currency)]]*VLOOKUP(tblSalaries[[#This Row],[Currency]],tblXrate[],2,FALSE)</f>
        <v>40980.635073749385</v>
      </c>
      <c r="H1209" t="s">
        <v>207</v>
      </c>
      <c r="I1209" t="s">
        <v>20</v>
      </c>
      <c r="J1209" t="s">
        <v>71</v>
      </c>
      <c r="K1209" t="str">
        <f>VLOOKUP(tblSalaries[[#This Row],[Where do you work]],tblCountries[[Actual]:[Mapping]],2,FALSE)</f>
        <v>UK</v>
      </c>
      <c r="L1209" t="s">
        <v>9</v>
      </c>
      <c r="M1209">
        <v>2</v>
      </c>
      <c r="N1209" s="8" t="str">
        <f>VLOOKUP(K1209,tblCountries[],3,0)</f>
        <v>Europe</v>
      </c>
      <c r="O1209" s="8">
        <f>VLOOKUP(tblSalaries[[#This Row],[How many hours of a day you work on Excel]],tblHours,2,0)</f>
        <v>4</v>
      </c>
      <c r="P1209" s="8">
        <f>VLOOKUP(tblSalaries[[#This Row],[clean Country]],tblCountries[],5,0)</f>
        <v>1.3407315045719035</v>
      </c>
      <c r="Q1209" s="8">
        <f>IF($Q$1,tblSalaries[[#This Row],[PPP Factor]]*tblSalaries[[#This Row],[Salary in USD]],tblSalaries[[#This Row],[Salary in USD]])</f>
        <v>40980.635073749385</v>
      </c>
    </row>
    <row r="1210" spans="2:17" ht="15" customHeight="1" x14ac:dyDescent="0.25">
      <c r="B1210" t="s">
        <v>3213</v>
      </c>
      <c r="C1210" s="1">
        <v>41058.09684027778</v>
      </c>
      <c r="D1210" s="4" t="s">
        <v>400</v>
      </c>
      <c r="E1210">
        <v>29000</v>
      </c>
      <c r="F1210" t="s">
        <v>69</v>
      </c>
      <c r="G1210">
        <f>tblSalaries[[#This Row],[clean Salary (in local currency)]]*VLOOKUP(tblSalaries[[#This Row],[Currency]],tblXrate[],2,FALSE)</f>
        <v>45709.169889951241</v>
      </c>
      <c r="H1210" t="s">
        <v>1383</v>
      </c>
      <c r="I1210" t="s">
        <v>310</v>
      </c>
      <c r="J1210" t="s">
        <v>71</v>
      </c>
      <c r="K1210" t="str">
        <f>VLOOKUP(tblSalaries[[#This Row],[Where do you work]],tblCountries[[Actual]:[Mapping]],2,FALSE)</f>
        <v>UK</v>
      </c>
      <c r="L1210" t="s">
        <v>18</v>
      </c>
      <c r="M1210">
        <v>8</v>
      </c>
      <c r="N1210" s="8" t="str">
        <f>VLOOKUP(K1210,tblCountries[],3,0)</f>
        <v>Europe</v>
      </c>
      <c r="O1210" s="8">
        <f>VLOOKUP(tblSalaries[[#This Row],[How many hours of a day you work on Excel]],tblHours,2,0)</f>
        <v>3</v>
      </c>
      <c r="P1210" s="8">
        <f>VLOOKUP(tblSalaries[[#This Row],[clean Country]],tblCountries[],5,0)</f>
        <v>1.3407315045719035</v>
      </c>
      <c r="Q1210" s="8">
        <f>IF($Q$1,tblSalaries[[#This Row],[PPP Factor]]*tblSalaries[[#This Row],[Salary in USD]],tblSalaries[[#This Row],[Salary in USD]])</f>
        <v>45709.169889951241</v>
      </c>
    </row>
    <row r="1211" spans="2:17" ht="15" customHeight="1" x14ac:dyDescent="0.25">
      <c r="B1211" t="s">
        <v>3214</v>
      </c>
      <c r="C1211" s="1">
        <v>41058.098761574074</v>
      </c>
      <c r="D1211" s="4">
        <v>400000</v>
      </c>
      <c r="E1211">
        <v>400000</v>
      </c>
      <c r="F1211" t="s">
        <v>40</v>
      </c>
      <c r="G1211">
        <f>tblSalaries[[#This Row],[clean Salary (in local currency)]]*VLOOKUP(tblSalaries[[#This Row],[Currency]],tblXrate[],2,FALSE)</f>
        <v>7123.1666749770275</v>
      </c>
      <c r="H1211" t="s">
        <v>1384</v>
      </c>
      <c r="I1211" t="s">
        <v>52</v>
      </c>
      <c r="J1211" t="s">
        <v>8</v>
      </c>
      <c r="K1211" t="str">
        <f>VLOOKUP(tblSalaries[[#This Row],[Where do you work]],tblCountries[[Actual]:[Mapping]],2,FALSE)</f>
        <v>India</v>
      </c>
      <c r="L1211" t="s">
        <v>9</v>
      </c>
      <c r="M1211">
        <v>1</v>
      </c>
      <c r="N1211" s="8" t="str">
        <f>VLOOKUP(K1211,tblCountries[],3,0)</f>
        <v>Asia</v>
      </c>
      <c r="O1211" s="8">
        <f>VLOOKUP(tblSalaries[[#This Row],[How many hours of a day you work on Excel]],tblHours,2,0)</f>
        <v>4</v>
      </c>
      <c r="P1211" s="8">
        <f>VLOOKUP(tblSalaries[[#This Row],[clean Country]],tblCountries[],5,0)</f>
        <v>13.098808879263672</v>
      </c>
      <c r="Q1211" s="8">
        <f>IF($Q$1,tblSalaries[[#This Row],[PPP Factor]]*tblSalaries[[#This Row],[Salary in USD]],tblSalaries[[#This Row],[Salary in USD]])</f>
        <v>7123.1666749770275</v>
      </c>
    </row>
    <row r="1212" spans="2:17" ht="15" customHeight="1" x14ac:dyDescent="0.25">
      <c r="B1212" t="s">
        <v>3215</v>
      </c>
      <c r="C1212" s="1">
        <v>41058.101712962962</v>
      </c>
      <c r="D1212" s="4" t="s">
        <v>97</v>
      </c>
      <c r="E1212">
        <v>100000</v>
      </c>
      <c r="F1212" t="s">
        <v>6</v>
      </c>
      <c r="G1212">
        <f>tblSalaries[[#This Row],[clean Salary (in local currency)]]*VLOOKUP(tblSalaries[[#This Row],[Currency]],tblXrate[],2,FALSE)</f>
        <v>100000</v>
      </c>
      <c r="H1212" t="s">
        <v>488</v>
      </c>
      <c r="I1212" t="s">
        <v>488</v>
      </c>
      <c r="J1212" t="s">
        <v>583</v>
      </c>
      <c r="K1212" t="str">
        <f>VLOOKUP(tblSalaries[[#This Row],[Where do you work]],tblCountries[[Actual]:[Mapping]],2,FALSE)</f>
        <v>Norway</v>
      </c>
      <c r="L1212" t="s">
        <v>9</v>
      </c>
      <c r="M1212">
        <v>12</v>
      </c>
      <c r="N1212" s="8" t="str">
        <f>VLOOKUP(K1212,tblCountries[],3,0)</f>
        <v>Europe</v>
      </c>
      <c r="O1212" s="8">
        <f>VLOOKUP(tblSalaries[[#This Row],[How many hours of a day you work on Excel]],tblHours,2,0)</f>
        <v>4</v>
      </c>
      <c r="P1212" s="8">
        <f>VLOOKUP(tblSalaries[[#This Row],[clean Country]],tblCountries[],5,0)</f>
        <v>0.90492042415514951</v>
      </c>
      <c r="Q1212" s="8">
        <f>IF($Q$1,tblSalaries[[#This Row],[PPP Factor]]*tblSalaries[[#This Row],[Salary in USD]],tblSalaries[[#This Row],[Salary in USD]])</f>
        <v>100000</v>
      </c>
    </row>
    <row r="1213" spans="2:17" ht="15" customHeight="1" x14ac:dyDescent="0.25">
      <c r="B1213" t="s">
        <v>3216</v>
      </c>
      <c r="C1213" s="1">
        <v>41058.113703703704</v>
      </c>
      <c r="D1213" s="4" t="s">
        <v>1385</v>
      </c>
      <c r="E1213">
        <v>62000</v>
      </c>
      <c r="F1213" t="s">
        <v>22</v>
      </c>
      <c r="G1213">
        <f>tblSalaries[[#This Row],[clean Salary (in local currency)]]*VLOOKUP(tblSalaries[[#This Row],[Currency]],tblXrate[],2,FALSE)</f>
        <v>78764.765217479682</v>
      </c>
      <c r="H1213" t="s">
        <v>1386</v>
      </c>
      <c r="I1213" t="s">
        <v>20</v>
      </c>
      <c r="J1213" t="s">
        <v>628</v>
      </c>
      <c r="K1213" t="str">
        <f>VLOOKUP(tblSalaries[[#This Row],[Where do you work]],tblCountries[[Actual]:[Mapping]],2,FALSE)</f>
        <v>Netherlands</v>
      </c>
      <c r="L1213" t="s">
        <v>9</v>
      </c>
      <c r="M1213">
        <v>15</v>
      </c>
      <c r="N1213" s="8" t="str">
        <f>VLOOKUP(K1213,tblCountries[],3,0)</f>
        <v>Europe</v>
      </c>
      <c r="O1213" s="8">
        <f>VLOOKUP(tblSalaries[[#This Row],[How many hours of a day you work on Excel]],tblHours,2,0)</f>
        <v>4</v>
      </c>
      <c r="P1213" s="8">
        <f>VLOOKUP(tblSalaries[[#This Row],[clean Country]],tblCountries[],5,0)</f>
        <v>1.1470734656141099</v>
      </c>
      <c r="Q1213" s="8">
        <f>IF($Q$1,tblSalaries[[#This Row],[PPP Factor]]*tblSalaries[[#This Row],[Salary in USD]],tblSalaries[[#This Row],[Salary in USD]])</f>
        <v>78764.765217479682</v>
      </c>
    </row>
    <row r="1214" spans="2:17" ht="15" customHeight="1" x14ac:dyDescent="0.25">
      <c r="B1214" t="s">
        <v>3217</v>
      </c>
      <c r="C1214" s="1">
        <v>41058.136134259257</v>
      </c>
      <c r="D1214" s="4">
        <v>150000</v>
      </c>
      <c r="E1214">
        <v>150000</v>
      </c>
      <c r="F1214" t="s">
        <v>82</v>
      </c>
      <c r="G1214">
        <f>tblSalaries[[#This Row],[clean Salary (in local currency)]]*VLOOKUP(tblSalaries[[#This Row],[Currency]],tblXrate[],2,FALSE)</f>
        <v>152986.44846039536</v>
      </c>
      <c r="H1214" t="s">
        <v>20</v>
      </c>
      <c r="I1214" t="s">
        <v>20</v>
      </c>
      <c r="J1214" t="s">
        <v>84</v>
      </c>
      <c r="K1214" t="str">
        <f>VLOOKUP(tblSalaries[[#This Row],[Where do you work]],tblCountries[[Actual]:[Mapping]],2,FALSE)</f>
        <v>Australia</v>
      </c>
      <c r="L1214" t="s">
        <v>18</v>
      </c>
      <c r="M1214">
        <v>10</v>
      </c>
      <c r="N1214" s="8" t="str">
        <f>VLOOKUP(K1214,tblCountries[],3,0)</f>
        <v>Oceania</v>
      </c>
      <c r="O1214" s="8">
        <f>VLOOKUP(tblSalaries[[#This Row],[How many hours of a day you work on Excel]],tblHours,2,0)</f>
        <v>3</v>
      </c>
      <c r="P1214" s="8">
        <f>VLOOKUP(tblSalaries[[#This Row],[clean Country]],tblCountries[],5,0)</f>
        <v>1.2026395585822935</v>
      </c>
      <c r="Q1214" s="8">
        <f>IF($Q$1,tblSalaries[[#This Row],[PPP Factor]]*tblSalaries[[#This Row],[Salary in USD]],tblSalaries[[#This Row],[Salary in USD]])</f>
        <v>152986.44846039536</v>
      </c>
    </row>
    <row r="1215" spans="2:17" ht="15" customHeight="1" x14ac:dyDescent="0.25">
      <c r="B1215" t="s">
        <v>3218</v>
      </c>
      <c r="C1215" s="1">
        <v>41058.144872685189</v>
      </c>
      <c r="D1215" s="4" t="s">
        <v>1387</v>
      </c>
      <c r="E1215">
        <v>35000</v>
      </c>
      <c r="F1215" t="s">
        <v>22</v>
      </c>
      <c r="G1215">
        <f>tblSalaries[[#This Row],[clean Salary (in local currency)]]*VLOOKUP(tblSalaries[[#This Row],[Currency]],tblXrate[],2,FALSE)</f>
        <v>44463.980364706273</v>
      </c>
      <c r="H1215" t="s">
        <v>207</v>
      </c>
      <c r="I1215" t="s">
        <v>20</v>
      </c>
      <c r="J1215" t="s">
        <v>36</v>
      </c>
      <c r="K1215" t="str">
        <f>VLOOKUP(tblSalaries[[#This Row],[Where do you work]],tblCountries[[Actual]:[Mapping]],2,FALSE)</f>
        <v>Ireland</v>
      </c>
      <c r="L1215" t="s">
        <v>13</v>
      </c>
      <c r="M1215">
        <v>12</v>
      </c>
      <c r="N1215" s="8" t="str">
        <f>VLOOKUP(K1215,tblCountries[],3,0)</f>
        <v>Europe</v>
      </c>
      <c r="O1215" s="8">
        <f>VLOOKUP(tblSalaries[[#This Row],[How many hours of a day you work on Excel]],tblHours,2,0)</f>
        <v>5</v>
      </c>
      <c r="P1215" s="8">
        <f>VLOOKUP(tblSalaries[[#This Row],[clean Country]],tblCountries[],5,0)</f>
        <v>1.2206917429803981</v>
      </c>
      <c r="Q1215" s="8">
        <f>IF($Q$1,tblSalaries[[#This Row],[PPP Factor]]*tblSalaries[[#This Row],[Salary in USD]],tblSalaries[[#This Row],[Salary in USD]])</f>
        <v>44463.980364706273</v>
      </c>
    </row>
    <row r="1216" spans="2:17" ht="15" customHeight="1" x14ac:dyDescent="0.25">
      <c r="B1216" t="s">
        <v>3219</v>
      </c>
      <c r="C1216" s="1">
        <v>41058.160520833335</v>
      </c>
      <c r="D1216" s="4">
        <v>30</v>
      </c>
      <c r="E1216">
        <v>30000</v>
      </c>
      <c r="F1216" t="s">
        <v>22</v>
      </c>
      <c r="G1216">
        <f>tblSalaries[[#This Row],[clean Salary (in local currency)]]*VLOOKUP(tblSalaries[[#This Row],[Currency]],tblXrate[],2,FALSE)</f>
        <v>38111.983169748237</v>
      </c>
      <c r="H1216" t="s">
        <v>1388</v>
      </c>
      <c r="I1216" t="s">
        <v>356</v>
      </c>
      <c r="J1216" t="s">
        <v>1389</v>
      </c>
      <c r="K1216" t="str">
        <f>VLOOKUP(tblSalaries[[#This Row],[Where do you work]],tblCountries[[Actual]:[Mapping]],2,FALSE)</f>
        <v>Netherlands</v>
      </c>
      <c r="L1216" t="s">
        <v>25</v>
      </c>
      <c r="M1216">
        <v>8</v>
      </c>
      <c r="N1216" s="8" t="str">
        <f>VLOOKUP(K1216,tblCountries[],3,0)</f>
        <v>Europe</v>
      </c>
      <c r="O1216" s="8">
        <f>VLOOKUP(tblSalaries[[#This Row],[How many hours of a day you work on Excel]],tblHours,2,0)</f>
        <v>2</v>
      </c>
      <c r="P1216" s="8">
        <f>VLOOKUP(tblSalaries[[#This Row],[clean Country]],tblCountries[],5,0)</f>
        <v>1.1470734656141099</v>
      </c>
      <c r="Q1216" s="8">
        <f>IF($Q$1,tblSalaries[[#This Row],[PPP Factor]]*tblSalaries[[#This Row],[Salary in USD]],tblSalaries[[#This Row],[Salary in USD]])</f>
        <v>38111.983169748237</v>
      </c>
    </row>
    <row r="1217" spans="2:17" ht="15" customHeight="1" x14ac:dyDescent="0.25">
      <c r="B1217" t="s">
        <v>3220</v>
      </c>
      <c r="C1217" s="1">
        <v>41058.160740740743</v>
      </c>
      <c r="D1217" s="4">
        <v>75000</v>
      </c>
      <c r="E1217">
        <v>75000</v>
      </c>
      <c r="F1217" t="s">
        <v>69</v>
      </c>
      <c r="G1217">
        <f>tblSalaries[[#This Row],[clean Salary (in local currency)]]*VLOOKUP(tblSalaries[[#This Row],[Currency]],tblXrate[],2,FALSE)</f>
        <v>118213.37040504631</v>
      </c>
      <c r="H1217" t="s">
        <v>642</v>
      </c>
      <c r="I1217" t="s">
        <v>52</v>
      </c>
      <c r="J1217" t="s">
        <v>71</v>
      </c>
      <c r="K1217" t="str">
        <f>VLOOKUP(tblSalaries[[#This Row],[Where do you work]],tblCountries[[Actual]:[Mapping]],2,FALSE)</f>
        <v>UK</v>
      </c>
      <c r="L1217" t="s">
        <v>9</v>
      </c>
      <c r="M1217">
        <v>20</v>
      </c>
      <c r="N1217" s="8" t="str">
        <f>VLOOKUP(K1217,tblCountries[],3,0)</f>
        <v>Europe</v>
      </c>
      <c r="O1217" s="8">
        <f>VLOOKUP(tblSalaries[[#This Row],[How many hours of a day you work on Excel]],tblHours,2,0)</f>
        <v>4</v>
      </c>
      <c r="P1217" s="8">
        <f>VLOOKUP(tblSalaries[[#This Row],[clean Country]],tblCountries[],5,0)</f>
        <v>1.3407315045719035</v>
      </c>
      <c r="Q1217" s="8">
        <f>IF($Q$1,tblSalaries[[#This Row],[PPP Factor]]*tblSalaries[[#This Row],[Salary in USD]],tblSalaries[[#This Row],[Salary in USD]])</f>
        <v>118213.37040504631</v>
      </c>
    </row>
    <row r="1218" spans="2:17" ht="15" customHeight="1" x14ac:dyDescent="0.25">
      <c r="B1218" t="s">
        <v>3221</v>
      </c>
      <c r="C1218" s="1">
        <v>41058.16883101852</v>
      </c>
      <c r="D1218" s="4">
        <v>25000</v>
      </c>
      <c r="E1218">
        <v>25000</v>
      </c>
      <c r="F1218" t="s">
        <v>69</v>
      </c>
      <c r="G1218">
        <f>tblSalaries[[#This Row],[clean Salary (in local currency)]]*VLOOKUP(tblSalaries[[#This Row],[Currency]],tblXrate[],2,FALSE)</f>
        <v>39404.456801682099</v>
      </c>
      <c r="H1218" t="s">
        <v>1390</v>
      </c>
      <c r="I1218" t="s">
        <v>310</v>
      </c>
      <c r="J1218" t="s">
        <v>71</v>
      </c>
      <c r="K1218" t="str">
        <f>VLOOKUP(tblSalaries[[#This Row],[Where do you work]],tblCountries[[Actual]:[Mapping]],2,FALSE)</f>
        <v>UK</v>
      </c>
      <c r="L1218" t="s">
        <v>18</v>
      </c>
      <c r="M1218">
        <v>10</v>
      </c>
      <c r="N1218" s="8" t="str">
        <f>VLOOKUP(K1218,tblCountries[],3,0)</f>
        <v>Europe</v>
      </c>
      <c r="O1218" s="8">
        <f>VLOOKUP(tblSalaries[[#This Row],[How many hours of a day you work on Excel]],tblHours,2,0)</f>
        <v>3</v>
      </c>
      <c r="P1218" s="8">
        <f>VLOOKUP(tblSalaries[[#This Row],[clean Country]],tblCountries[],5,0)</f>
        <v>1.3407315045719035</v>
      </c>
      <c r="Q1218" s="8">
        <f>IF($Q$1,tblSalaries[[#This Row],[PPP Factor]]*tblSalaries[[#This Row],[Salary in USD]],tblSalaries[[#This Row],[Salary in USD]])</f>
        <v>39404.456801682099</v>
      </c>
    </row>
    <row r="1219" spans="2:17" ht="15" customHeight="1" x14ac:dyDescent="0.25">
      <c r="B1219" t="s">
        <v>3222</v>
      </c>
      <c r="C1219" s="1">
        <v>41058.172743055555</v>
      </c>
      <c r="D1219" s="4">
        <v>71000</v>
      </c>
      <c r="E1219">
        <v>71000</v>
      </c>
      <c r="F1219" t="s">
        <v>22</v>
      </c>
      <c r="G1219">
        <f>tblSalaries[[#This Row],[clean Salary (in local currency)]]*VLOOKUP(tblSalaries[[#This Row],[Currency]],tblXrate[],2,FALSE)</f>
        <v>90198.36016840415</v>
      </c>
      <c r="H1219" t="s">
        <v>356</v>
      </c>
      <c r="I1219" t="s">
        <v>356</v>
      </c>
      <c r="J1219" t="s">
        <v>24</v>
      </c>
      <c r="K1219" t="str">
        <f>VLOOKUP(tblSalaries[[#This Row],[Where do you work]],tblCountries[[Actual]:[Mapping]],2,FALSE)</f>
        <v>Germany</v>
      </c>
      <c r="L1219" t="s">
        <v>25</v>
      </c>
      <c r="M1219">
        <v>3</v>
      </c>
      <c r="N1219" s="8" t="str">
        <f>VLOOKUP(K1219,tblCountries[],3,0)</f>
        <v>Europe</v>
      </c>
      <c r="O1219" s="8">
        <f>VLOOKUP(tblSalaries[[#This Row],[How many hours of a day you work on Excel]],tblHours,2,0)</f>
        <v>2</v>
      </c>
      <c r="P1219" s="8">
        <f>VLOOKUP(tblSalaries[[#This Row],[clean Country]],tblCountries[],5,0)</f>
        <v>1.276802913159353</v>
      </c>
      <c r="Q1219" s="8">
        <f>IF($Q$1,tblSalaries[[#This Row],[PPP Factor]]*tblSalaries[[#This Row],[Salary in USD]],tblSalaries[[#This Row],[Salary in USD]])</f>
        <v>90198.36016840415</v>
      </c>
    </row>
    <row r="1220" spans="2:17" ht="15" customHeight="1" x14ac:dyDescent="0.25">
      <c r="B1220" t="s">
        <v>3223</v>
      </c>
      <c r="C1220" s="1">
        <v>41058.174976851849</v>
      </c>
      <c r="D1220" s="4" t="s">
        <v>137</v>
      </c>
      <c r="E1220">
        <v>30000</v>
      </c>
      <c r="F1220" t="s">
        <v>69</v>
      </c>
      <c r="G1220">
        <f>tblSalaries[[#This Row],[clean Salary (in local currency)]]*VLOOKUP(tblSalaries[[#This Row],[Currency]],tblXrate[],2,FALSE)</f>
        <v>47285.348162018527</v>
      </c>
      <c r="H1220" t="s">
        <v>1391</v>
      </c>
      <c r="I1220" t="s">
        <v>67</v>
      </c>
      <c r="J1220" t="s">
        <v>71</v>
      </c>
      <c r="K1220" t="str">
        <f>VLOOKUP(tblSalaries[[#This Row],[Where do you work]],tblCountries[[Actual]:[Mapping]],2,FALSE)</f>
        <v>UK</v>
      </c>
      <c r="L1220" t="s">
        <v>9</v>
      </c>
      <c r="M1220">
        <v>14</v>
      </c>
      <c r="N1220" s="8" t="str">
        <f>VLOOKUP(K1220,tblCountries[],3,0)</f>
        <v>Europe</v>
      </c>
      <c r="O1220" s="8">
        <f>VLOOKUP(tblSalaries[[#This Row],[How many hours of a day you work on Excel]],tblHours,2,0)</f>
        <v>4</v>
      </c>
      <c r="P1220" s="8">
        <f>VLOOKUP(tblSalaries[[#This Row],[clean Country]],tblCountries[],5,0)</f>
        <v>1.3407315045719035</v>
      </c>
      <c r="Q1220" s="8">
        <f>IF($Q$1,tblSalaries[[#This Row],[PPP Factor]]*tblSalaries[[#This Row],[Salary in USD]],tblSalaries[[#This Row],[Salary in USD]])</f>
        <v>47285.348162018527</v>
      </c>
    </row>
    <row r="1221" spans="2:17" ht="15" customHeight="1" x14ac:dyDescent="0.25">
      <c r="B1221" t="s">
        <v>3224</v>
      </c>
      <c r="C1221" s="1">
        <v>41058.184050925927</v>
      </c>
      <c r="D1221" s="4">
        <v>56000</v>
      </c>
      <c r="E1221">
        <v>56000</v>
      </c>
      <c r="F1221" t="s">
        <v>6</v>
      </c>
      <c r="G1221">
        <f>tblSalaries[[#This Row],[clean Salary (in local currency)]]*VLOOKUP(tblSalaries[[#This Row],[Currency]],tblXrate[],2,FALSE)</f>
        <v>56000</v>
      </c>
      <c r="H1221" t="s">
        <v>310</v>
      </c>
      <c r="I1221" t="s">
        <v>310</v>
      </c>
      <c r="J1221" t="s">
        <v>15</v>
      </c>
      <c r="K1221" t="str">
        <f>VLOOKUP(tblSalaries[[#This Row],[Where do you work]],tblCountries[[Actual]:[Mapping]],2,FALSE)</f>
        <v>USA</v>
      </c>
      <c r="L1221" t="s">
        <v>9</v>
      </c>
      <c r="M1221">
        <v>1</v>
      </c>
      <c r="N1221" s="8" t="str">
        <f>VLOOKUP(K1221,tblCountries[],3,0)</f>
        <v>North Amer.</v>
      </c>
      <c r="O1221" s="8">
        <f>VLOOKUP(tblSalaries[[#This Row],[How many hours of a day you work on Excel]],tblHours,2,0)</f>
        <v>4</v>
      </c>
      <c r="P1221" s="8">
        <f>VLOOKUP(tblSalaries[[#This Row],[clean Country]],tblCountries[],5,0)</f>
        <v>1</v>
      </c>
      <c r="Q1221" s="8">
        <f>IF($Q$1,tblSalaries[[#This Row],[PPP Factor]]*tblSalaries[[#This Row],[Salary in USD]],tblSalaries[[#This Row],[Salary in USD]])</f>
        <v>56000</v>
      </c>
    </row>
    <row r="1222" spans="2:17" ht="15" customHeight="1" x14ac:dyDescent="0.25">
      <c r="B1222" t="s">
        <v>3225</v>
      </c>
      <c r="C1222" s="1">
        <v>41058.187615740739</v>
      </c>
      <c r="D1222" s="4" t="s">
        <v>1392</v>
      </c>
      <c r="E1222">
        <v>48000000</v>
      </c>
      <c r="F1222" t="s">
        <v>1393</v>
      </c>
      <c r="G1222">
        <f>tblSalaries[[#This Row],[clean Salary (in local currency)]]*VLOOKUP(tblSalaries[[#This Row],[Currency]],tblXrate[],2,FALSE)</f>
        <v>5082.6943786459069</v>
      </c>
      <c r="H1222" t="s">
        <v>1394</v>
      </c>
      <c r="I1222" t="s">
        <v>20</v>
      </c>
      <c r="J1222" t="s">
        <v>726</v>
      </c>
      <c r="K1222" t="str">
        <f>VLOOKUP(tblSalaries[[#This Row],[Where do you work]],tblCountries[[Actual]:[Mapping]],2,FALSE)</f>
        <v>Indonesia</v>
      </c>
      <c r="L1222" t="s">
        <v>25</v>
      </c>
      <c r="M1222">
        <v>2</v>
      </c>
      <c r="N1222" s="8" t="str">
        <f>VLOOKUP(K1222,tblCountries[],3,0)</f>
        <v>Asia</v>
      </c>
      <c r="O1222" s="8">
        <f>VLOOKUP(tblSalaries[[#This Row],[How many hours of a day you work on Excel]],tblHours,2,0)</f>
        <v>2</v>
      </c>
      <c r="P1222" s="8">
        <f>VLOOKUP(tblSalaries[[#This Row],[clean Country]],tblCountries[],5,0)</f>
        <v>10.370124303471924</v>
      </c>
      <c r="Q1222" s="8">
        <f>IF($Q$1,tblSalaries[[#This Row],[PPP Factor]]*tblSalaries[[#This Row],[Salary in USD]],tblSalaries[[#This Row],[Salary in USD]])</f>
        <v>5082.6943786459069</v>
      </c>
    </row>
    <row r="1223" spans="2:17" ht="15" customHeight="1" x14ac:dyDescent="0.25">
      <c r="B1223" t="s">
        <v>3226</v>
      </c>
      <c r="C1223" s="1">
        <v>41058.190011574072</v>
      </c>
      <c r="D1223" s="4" t="s">
        <v>1395</v>
      </c>
      <c r="E1223">
        <v>34000</v>
      </c>
      <c r="F1223" t="s">
        <v>69</v>
      </c>
      <c r="G1223">
        <f>tblSalaries[[#This Row],[clean Salary (in local currency)]]*VLOOKUP(tblSalaries[[#This Row],[Currency]],tblXrate[],2,FALSE)</f>
        <v>53590.061250287661</v>
      </c>
      <c r="H1223" t="s">
        <v>1396</v>
      </c>
      <c r="I1223" t="s">
        <v>310</v>
      </c>
      <c r="J1223" t="s">
        <v>71</v>
      </c>
      <c r="K1223" t="str">
        <f>VLOOKUP(tblSalaries[[#This Row],[Where do you work]],tblCountries[[Actual]:[Mapping]],2,FALSE)</f>
        <v>UK</v>
      </c>
      <c r="L1223" t="s">
        <v>13</v>
      </c>
      <c r="M1223">
        <v>10</v>
      </c>
      <c r="N1223" s="8" t="str">
        <f>VLOOKUP(K1223,tblCountries[],3,0)</f>
        <v>Europe</v>
      </c>
      <c r="O1223" s="8">
        <f>VLOOKUP(tblSalaries[[#This Row],[How many hours of a day you work on Excel]],tblHours,2,0)</f>
        <v>5</v>
      </c>
      <c r="P1223" s="8">
        <f>VLOOKUP(tblSalaries[[#This Row],[clean Country]],tblCountries[],5,0)</f>
        <v>1.3407315045719035</v>
      </c>
      <c r="Q1223" s="8">
        <f>IF($Q$1,tblSalaries[[#This Row],[PPP Factor]]*tblSalaries[[#This Row],[Salary in USD]],tblSalaries[[#This Row],[Salary in USD]])</f>
        <v>53590.061250287661</v>
      </c>
    </row>
    <row r="1224" spans="2:17" ht="15" customHeight="1" x14ac:dyDescent="0.25">
      <c r="B1224" t="s">
        <v>3227</v>
      </c>
      <c r="C1224" s="1">
        <v>41058.210717592592</v>
      </c>
      <c r="D1224" s="4" t="s">
        <v>1397</v>
      </c>
      <c r="E1224">
        <v>450000</v>
      </c>
      <c r="F1224" t="s">
        <v>1362</v>
      </c>
      <c r="G1224">
        <f>tblSalaries[[#This Row],[clean Salary (in local currency)]]*VLOOKUP(tblSalaries[[#This Row],[Currency]],tblXrate[],2,FALSE)</f>
        <v>76906.906752939132</v>
      </c>
      <c r="H1224" t="s">
        <v>708</v>
      </c>
      <c r="I1224" t="s">
        <v>4001</v>
      </c>
      <c r="J1224" t="s">
        <v>877</v>
      </c>
      <c r="K1224" t="str">
        <f>VLOOKUP(tblSalaries[[#This Row],[Where do you work]],tblCountries[[Actual]:[Mapping]],2,FALSE)</f>
        <v>Denmark</v>
      </c>
      <c r="L1224" t="s">
        <v>13</v>
      </c>
      <c r="M1224">
        <v>17</v>
      </c>
      <c r="N1224" s="8" t="str">
        <f>VLOOKUP(K1224,tblCountries[],3,0)</f>
        <v>Europe</v>
      </c>
      <c r="O1224" s="8">
        <f>VLOOKUP(tblSalaries[[#This Row],[How many hours of a day you work on Excel]],tblHours,2,0)</f>
        <v>5</v>
      </c>
      <c r="P1224" s="8">
        <f>VLOOKUP(tblSalaries[[#This Row],[clean Country]],tblCountries[],5,0)</f>
        <v>1.3024063307493541</v>
      </c>
      <c r="Q1224" s="8">
        <f>IF($Q$1,tblSalaries[[#This Row],[PPP Factor]]*tblSalaries[[#This Row],[Salary in USD]],tblSalaries[[#This Row],[Salary in USD]])</f>
        <v>76906.906752939132</v>
      </c>
    </row>
    <row r="1225" spans="2:17" ht="15" customHeight="1" x14ac:dyDescent="0.25">
      <c r="B1225" t="s">
        <v>3228</v>
      </c>
      <c r="C1225" s="1">
        <v>41058.214548611111</v>
      </c>
      <c r="D1225" s="4" t="s">
        <v>1398</v>
      </c>
      <c r="E1225">
        <v>85000</v>
      </c>
      <c r="F1225" t="s">
        <v>6</v>
      </c>
      <c r="G1225">
        <f>tblSalaries[[#This Row],[clean Salary (in local currency)]]*VLOOKUP(tblSalaries[[#This Row],[Currency]],tblXrate[],2,FALSE)</f>
        <v>85000</v>
      </c>
      <c r="H1225" t="s">
        <v>1399</v>
      </c>
      <c r="I1225" t="s">
        <v>20</v>
      </c>
      <c r="J1225" t="s">
        <v>15</v>
      </c>
      <c r="K1225" t="str">
        <f>VLOOKUP(tblSalaries[[#This Row],[Where do you work]],tblCountries[[Actual]:[Mapping]],2,FALSE)</f>
        <v>USA</v>
      </c>
      <c r="L1225" t="s">
        <v>9</v>
      </c>
      <c r="M1225">
        <v>5</v>
      </c>
      <c r="N1225" s="8" t="str">
        <f>VLOOKUP(K1225,tblCountries[],3,0)</f>
        <v>North Amer.</v>
      </c>
      <c r="O1225" s="8">
        <f>VLOOKUP(tblSalaries[[#This Row],[How many hours of a day you work on Excel]],tblHours,2,0)</f>
        <v>4</v>
      </c>
      <c r="P1225" s="8">
        <f>VLOOKUP(tblSalaries[[#This Row],[clean Country]],tblCountries[],5,0)</f>
        <v>1</v>
      </c>
      <c r="Q1225" s="8">
        <f>IF($Q$1,tblSalaries[[#This Row],[PPP Factor]]*tblSalaries[[#This Row],[Salary in USD]],tblSalaries[[#This Row],[Salary in USD]])</f>
        <v>85000</v>
      </c>
    </row>
    <row r="1226" spans="2:17" ht="15" customHeight="1" x14ac:dyDescent="0.25">
      <c r="B1226" t="s">
        <v>3229</v>
      </c>
      <c r="C1226" s="1">
        <v>41058.216006944444</v>
      </c>
      <c r="D1226" s="4" t="s">
        <v>1400</v>
      </c>
      <c r="E1226">
        <v>72000</v>
      </c>
      <c r="F1226" t="s">
        <v>6</v>
      </c>
      <c r="G1226">
        <f>tblSalaries[[#This Row],[clean Salary (in local currency)]]*VLOOKUP(tblSalaries[[#This Row],[Currency]],tblXrate[],2,FALSE)</f>
        <v>72000</v>
      </c>
      <c r="H1226" t="s">
        <v>1401</v>
      </c>
      <c r="I1226" t="s">
        <v>356</v>
      </c>
      <c r="J1226" t="s">
        <v>672</v>
      </c>
      <c r="K1226" t="str">
        <f>VLOOKUP(tblSalaries[[#This Row],[Where do you work]],tblCountries[[Actual]:[Mapping]],2,FALSE)</f>
        <v>New Zealand</v>
      </c>
      <c r="L1226" t="s">
        <v>18</v>
      </c>
      <c r="M1226">
        <v>10</v>
      </c>
      <c r="N1226" s="8" t="str">
        <f>VLOOKUP(K1226,tblCountries[],3,0)</f>
        <v>Oceania</v>
      </c>
      <c r="O1226" s="8">
        <f>VLOOKUP(tblSalaries[[#This Row],[How many hours of a day you work on Excel]],tblHours,2,0)</f>
        <v>3</v>
      </c>
      <c r="P1226" s="8">
        <f>VLOOKUP(tblSalaries[[#This Row],[clean Country]],tblCountries[],5,0)</f>
        <v>1.7488434292323261</v>
      </c>
      <c r="Q1226" s="8">
        <f>IF($Q$1,tblSalaries[[#This Row],[PPP Factor]]*tblSalaries[[#This Row],[Salary in USD]],tblSalaries[[#This Row],[Salary in USD]])</f>
        <v>72000</v>
      </c>
    </row>
    <row r="1227" spans="2:17" ht="15" customHeight="1" x14ac:dyDescent="0.25">
      <c r="B1227" t="s">
        <v>3230</v>
      </c>
      <c r="C1227" s="1">
        <v>41058.223368055558</v>
      </c>
      <c r="D1227" s="4">
        <v>55000</v>
      </c>
      <c r="E1227">
        <v>55000</v>
      </c>
      <c r="F1227" t="s">
        <v>6</v>
      </c>
      <c r="G1227">
        <f>tblSalaries[[#This Row],[clean Salary (in local currency)]]*VLOOKUP(tblSalaries[[#This Row],[Currency]],tblXrate[],2,FALSE)</f>
        <v>55000</v>
      </c>
      <c r="H1227" t="s">
        <v>1241</v>
      </c>
      <c r="I1227" t="s">
        <v>20</v>
      </c>
      <c r="J1227" t="s">
        <v>15</v>
      </c>
      <c r="K1227" t="str">
        <f>VLOOKUP(tblSalaries[[#This Row],[Where do you work]],tblCountries[[Actual]:[Mapping]],2,FALSE)</f>
        <v>USA</v>
      </c>
      <c r="L1227" t="s">
        <v>25</v>
      </c>
      <c r="M1227">
        <v>7</v>
      </c>
      <c r="N1227" s="8" t="str">
        <f>VLOOKUP(K1227,tblCountries[],3,0)</f>
        <v>North Amer.</v>
      </c>
      <c r="O1227" s="8">
        <f>VLOOKUP(tblSalaries[[#This Row],[How many hours of a day you work on Excel]],tblHours,2,0)</f>
        <v>2</v>
      </c>
      <c r="P1227" s="8">
        <f>VLOOKUP(tblSalaries[[#This Row],[clean Country]],tblCountries[],5,0)</f>
        <v>1</v>
      </c>
      <c r="Q1227" s="8">
        <f>IF($Q$1,tblSalaries[[#This Row],[PPP Factor]]*tblSalaries[[#This Row],[Salary in USD]],tblSalaries[[#This Row],[Salary in USD]])</f>
        <v>55000</v>
      </c>
    </row>
    <row r="1228" spans="2:17" ht="15" customHeight="1" x14ac:dyDescent="0.25">
      <c r="B1228" t="s">
        <v>3231</v>
      </c>
      <c r="C1228" s="1">
        <v>41058.241365740738</v>
      </c>
      <c r="D1228" s="4" t="s">
        <v>1402</v>
      </c>
      <c r="E1228">
        <v>43000</v>
      </c>
      <c r="F1228" t="s">
        <v>69</v>
      </c>
      <c r="G1228">
        <f>tblSalaries[[#This Row],[clean Salary (in local currency)]]*VLOOKUP(tblSalaries[[#This Row],[Currency]],tblXrate[],2,FALSE)</f>
        <v>67775.665698893223</v>
      </c>
      <c r="H1228" t="s">
        <v>181</v>
      </c>
      <c r="I1228" t="s">
        <v>488</v>
      </c>
      <c r="J1228" t="s">
        <v>71</v>
      </c>
      <c r="K1228" t="str">
        <f>VLOOKUP(tblSalaries[[#This Row],[Where do you work]],tblCountries[[Actual]:[Mapping]],2,FALSE)</f>
        <v>UK</v>
      </c>
      <c r="L1228" t="s">
        <v>9</v>
      </c>
      <c r="M1228">
        <v>25</v>
      </c>
      <c r="N1228" s="8" t="str">
        <f>VLOOKUP(K1228,tblCountries[],3,0)</f>
        <v>Europe</v>
      </c>
      <c r="O1228" s="8">
        <f>VLOOKUP(tblSalaries[[#This Row],[How many hours of a day you work on Excel]],tblHours,2,0)</f>
        <v>4</v>
      </c>
      <c r="P1228" s="8">
        <f>VLOOKUP(tblSalaries[[#This Row],[clean Country]],tblCountries[],5,0)</f>
        <v>1.3407315045719035</v>
      </c>
      <c r="Q1228" s="8">
        <f>IF($Q$1,tblSalaries[[#This Row],[PPP Factor]]*tblSalaries[[#This Row],[Salary in USD]],tblSalaries[[#This Row],[Salary in USD]])</f>
        <v>67775.665698893223</v>
      </c>
    </row>
    <row r="1229" spans="2:17" ht="15" customHeight="1" x14ac:dyDescent="0.25">
      <c r="B1229" t="s">
        <v>3232</v>
      </c>
      <c r="C1229" s="1">
        <v>41058.245625000003</v>
      </c>
      <c r="D1229" s="4" t="s">
        <v>1403</v>
      </c>
      <c r="E1229">
        <v>25750</v>
      </c>
      <c r="F1229" t="s">
        <v>69</v>
      </c>
      <c r="G1229">
        <f>tblSalaries[[#This Row],[clean Salary (in local currency)]]*VLOOKUP(tblSalaries[[#This Row],[Currency]],tblXrate[],2,FALSE)</f>
        <v>40586.590505732565</v>
      </c>
      <c r="H1229" t="s">
        <v>309</v>
      </c>
      <c r="I1229" t="s">
        <v>20</v>
      </c>
      <c r="J1229" t="s">
        <v>71</v>
      </c>
      <c r="K1229" t="str">
        <f>VLOOKUP(tblSalaries[[#This Row],[Where do you work]],tblCountries[[Actual]:[Mapping]],2,FALSE)</f>
        <v>UK</v>
      </c>
      <c r="L1229" t="s">
        <v>9</v>
      </c>
      <c r="M1229">
        <v>1</v>
      </c>
      <c r="N1229" s="8" t="str">
        <f>VLOOKUP(K1229,tblCountries[],3,0)</f>
        <v>Europe</v>
      </c>
      <c r="O1229" s="8">
        <f>VLOOKUP(tblSalaries[[#This Row],[How many hours of a day you work on Excel]],tblHours,2,0)</f>
        <v>4</v>
      </c>
      <c r="P1229" s="8">
        <f>VLOOKUP(tblSalaries[[#This Row],[clean Country]],tblCountries[],5,0)</f>
        <v>1.3407315045719035</v>
      </c>
      <c r="Q1229" s="8">
        <f>IF($Q$1,tblSalaries[[#This Row],[PPP Factor]]*tblSalaries[[#This Row],[Salary in USD]],tblSalaries[[#This Row],[Salary in USD]])</f>
        <v>40586.590505732565</v>
      </c>
    </row>
    <row r="1230" spans="2:17" ht="15" customHeight="1" x14ac:dyDescent="0.25">
      <c r="B1230" t="s">
        <v>3233</v>
      </c>
      <c r="C1230" s="1">
        <v>41058.255694444444</v>
      </c>
      <c r="D1230" s="4">
        <v>50846</v>
      </c>
      <c r="E1230">
        <v>50846</v>
      </c>
      <c r="F1230" t="s">
        <v>6</v>
      </c>
      <c r="G1230">
        <f>tblSalaries[[#This Row],[clean Salary (in local currency)]]*VLOOKUP(tblSalaries[[#This Row],[Currency]],tblXrate[],2,FALSE)</f>
        <v>50846</v>
      </c>
      <c r="H1230" t="s">
        <v>1404</v>
      </c>
      <c r="I1230" t="s">
        <v>20</v>
      </c>
      <c r="J1230" t="s">
        <v>15</v>
      </c>
      <c r="K1230" t="str">
        <f>VLOOKUP(tblSalaries[[#This Row],[Where do you work]],tblCountries[[Actual]:[Mapping]],2,FALSE)</f>
        <v>USA</v>
      </c>
      <c r="L1230" t="s">
        <v>9</v>
      </c>
      <c r="M1230">
        <v>25</v>
      </c>
      <c r="N1230" s="8" t="str">
        <f>VLOOKUP(K1230,tblCountries[],3,0)</f>
        <v>North Amer.</v>
      </c>
      <c r="O1230" s="8">
        <f>VLOOKUP(tblSalaries[[#This Row],[How many hours of a day you work on Excel]],tblHours,2,0)</f>
        <v>4</v>
      </c>
      <c r="P1230" s="8">
        <f>VLOOKUP(tblSalaries[[#This Row],[clean Country]],tblCountries[],5,0)</f>
        <v>1</v>
      </c>
      <c r="Q1230" s="8">
        <f>IF($Q$1,tblSalaries[[#This Row],[PPP Factor]]*tblSalaries[[#This Row],[Salary in USD]],tblSalaries[[#This Row],[Salary in USD]])</f>
        <v>50846</v>
      </c>
    </row>
    <row r="1231" spans="2:17" ht="15" customHeight="1" x14ac:dyDescent="0.25">
      <c r="B1231" t="s">
        <v>3234</v>
      </c>
      <c r="C1231" s="1">
        <v>41058.267083333332</v>
      </c>
      <c r="D1231" s="4">
        <v>63000</v>
      </c>
      <c r="E1231">
        <v>63000</v>
      </c>
      <c r="F1231" t="s">
        <v>6</v>
      </c>
      <c r="G1231">
        <f>tblSalaries[[#This Row],[clean Salary (in local currency)]]*VLOOKUP(tblSalaries[[#This Row],[Currency]],tblXrate[],2,FALSE)</f>
        <v>63000</v>
      </c>
      <c r="H1231" t="s">
        <v>257</v>
      </c>
      <c r="I1231" t="s">
        <v>310</v>
      </c>
      <c r="J1231" t="s">
        <v>15</v>
      </c>
      <c r="K1231" t="str">
        <f>VLOOKUP(tblSalaries[[#This Row],[Where do you work]],tblCountries[[Actual]:[Mapping]],2,FALSE)</f>
        <v>USA</v>
      </c>
      <c r="L1231" t="s">
        <v>13</v>
      </c>
      <c r="M1231">
        <v>16</v>
      </c>
      <c r="N1231" s="8" t="str">
        <f>VLOOKUP(K1231,tblCountries[],3,0)</f>
        <v>North Amer.</v>
      </c>
      <c r="O1231" s="8">
        <f>VLOOKUP(tblSalaries[[#This Row],[How many hours of a day you work on Excel]],tblHours,2,0)</f>
        <v>5</v>
      </c>
      <c r="P1231" s="8">
        <f>VLOOKUP(tblSalaries[[#This Row],[clean Country]],tblCountries[],5,0)</f>
        <v>1</v>
      </c>
      <c r="Q1231" s="8">
        <f>IF($Q$1,tblSalaries[[#This Row],[PPP Factor]]*tblSalaries[[#This Row],[Salary in USD]],tblSalaries[[#This Row],[Salary in USD]])</f>
        <v>63000</v>
      </c>
    </row>
    <row r="1232" spans="2:17" ht="15" customHeight="1" x14ac:dyDescent="0.25">
      <c r="B1232" t="s">
        <v>3235</v>
      </c>
      <c r="C1232" s="1">
        <v>41058.268113425926</v>
      </c>
      <c r="D1232" s="4">
        <v>80000</v>
      </c>
      <c r="E1232">
        <v>80000</v>
      </c>
      <c r="F1232" t="s">
        <v>82</v>
      </c>
      <c r="G1232">
        <f>tblSalaries[[#This Row],[clean Salary (in local currency)]]*VLOOKUP(tblSalaries[[#This Row],[Currency]],tblXrate[],2,FALSE)</f>
        <v>81592.772512210868</v>
      </c>
      <c r="H1232" t="s">
        <v>1405</v>
      </c>
      <c r="I1232" t="s">
        <v>310</v>
      </c>
      <c r="J1232" t="s">
        <v>84</v>
      </c>
      <c r="K1232" t="str">
        <f>VLOOKUP(tblSalaries[[#This Row],[Where do you work]],tblCountries[[Actual]:[Mapping]],2,FALSE)</f>
        <v>Australia</v>
      </c>
      <c r="L1232" t="s">
        <v>9</v>
      </c>
      <c r="M1232">
        <v>5</v>
      </c>
      <c r="N1232" s="8" t="str">
        <f>VLOOKUP(K1232,tblCountries[],3,0)</f>
        <v>Oceania</v>
      </c>
      <c r="O1232" s="8">
        <f>VLOOKUP(tblSalaries[[#This Row],[How many hours of a day you work on Excel]],tblHours,2,0)</f>
        <v>4</v>
      </c>
      <c r="P1232" s="8">
        <f>VLOOKUP(tblSalaries[[#This Row],[clean Country]],tblCountries[],5,0)</f>
        <v>1.2026395585822935</v>
      </c>
      <c r="Q1232" s="8">
        <f>IF($Q$1,tblSalaries[[#This Row],[PPP Factor]]*tblSalaries[[#This Row],[Salary in USD]],tblSalaries[[#This Row],[Salary in USD]])</f>
        <v>81592.772512210868</v>
      </c>
    </row>
    <row r="1233" spans="2:17" ht="15" customHeight="1" x14ac:dyDescent="0.25">
      <c r="B1233" t="s">
        <v>3236</v>
      </c>
      <c r="C1233" s="1">
        <v>41058.30672453704</v>
      </c>
      <c r="D1233" s="4">
        <v>50700</v>
      </c>
      <c r="E1233">
        <v>50700</v>
      </c>
      <c r="F1233" t="s">
        <v>6</v>
      </c>
      <c r="G1233">
        <f>tblSalaries[[#This Row],[clean Salary (in local currency)]]*VLOOKUP(tblSalaries[[#This Row],[Currency]],tblXrate[],2,FALSE)</f>
        <v>50700</v>
      </c>
      <c r="H1233" t="s">
        <v>1406</v>
      </c>
      <c r="I1233" t="s">
        <v>20</v>
      </c>
      <c r="J1233" t="s">
        <v>143</v>
      </c>
      <c r="K1233" t="str">
        <f>VLOOKUP(tblSalaries[[#This Row],[Where do you work]],tblCountries[[Actual]:[Mapping]],2,FALSE)</f>
        <v>Brazil</v>
      </c>
      <c r="L1233" t="s">
        <v>25</v>
      </c>
      <c r="M1233">
        <v>15</v>
      </c>
      <c r="N1233" s="8" t="str">
        <f>VLOOKUP(K1233,tblCountries[],3,0)</f>
        <v>South Amer.</v>
      </c>
      <c r="O1233" s="8">
        <f>VLOOKUP(tblSalaries[[#This Row],[How many hours of a day you work on Excel]],tblHours,2,0)</f>
        <v>2</v>
      </c>
      <c r="P1233" s="8">
        <f>VLOOKUP(tblSalaries[[#This Row],[clean Country]],tblCountries[],5,0)</f>
        <v>4.1113943410655107</v>
      </c>
      <c r="Q1233" s="8">
        <f>IF($Q$1,tblSalaries[[#This Row],[PPP Factor]]*tblSalaries[[#This Row],[Salary in USD]],tblSalaries[[#This Row],[Salary in USD]])</f>
        <v>50700</v>
      </c>
    </row>
    <row r="1234" spans="2:17" ht="15" customHeight="1" x14ac:dyDescent="0.25">
      <c r="B1234" t="s">
        <v>3237</v>
      </c>
      <c r="C1234" s="1">
        <v>41058.311585648145</v>
      </c>
      <c r="D1234" s="4">
        <v>20000</v>
      </c>
      <c r="E1234">
        <v>20000</v>
      </c>
      <c r="F1234" t="s">
        <v>69</v>
      </c>
      <c r="G1234">
        <f>tblSalaries[[#This Row],[clean Salary (in local currency)]]*VLOOKUP(tblSalaries[[#This Row],[Currency]],tblXrate[],2,FALSE)</f>
        <v>31523.565441345683</v>
      </c>
      <c r="H1234" t="s">
        <v>1407</v>
      </c>
      <c r="I1234" t="s">
        <v>20</v>
      </c>
      <c r="J1234" t="s">
        <v>71</v>
      </c>
      <c r="K1234" t="str">
        <f>VLOOKUP(tblSalaries[[#This Row],[Where do you work]],tblCountries[[Actual]:[Mapping]],2,FALSE)</f>
        <v>UK</v>
      </c>
      <c r="L1234" t="s">
        <v>9</v>
      </c>
      <c r="M1234">
        <v>1</v>
      </c>
      <c r="N1234" s="8" t="str">
        <f>VLOOKUP(K1234,tblCountries[],3,0)</f>
        <v>Europe</v>
      </c>
      <c r="O1234" s="8">
        <f>VLOOKUP(tblSalaries[[#This Row],[How many hours of a day you work on Excel]],tblHours,2,0)</f>
        <v>4</v>
      </c>
      <c r="P1234" s="8">
        <f>VLOOKUP(tblSalaries[[#This Row],[clean Country]],tblCountries[],5,0)</f>
        <v>1.3407315045719035</v>
      </c>
      <c r="Q1234" s="8">
        <f>IF($Q$1,tblSalaries[[#This Row],[PPP Factor]]*tblSalaries[[#This Row],[Salary in USD]],tblSalaries[[#This Row],[Salary in USD]])</f>
        <v>31523.565441345683</v>
      </c>
    </row>
    <row r="1235" spans="2:17" ht="15" customHeight="1" x14ac:dyDescent="0.25">
      <c r="B1235" t="s">
        <v>3238</v>
      </c>
      <c r="C1235" s="1">
        <v>41058.324259259258</v>
      </c>
      <c r="D1235" s="4">
        <v>70000</v>
      </c>
      <c r="E1235">
        <v>70000</v>
      </c>
      <c r="F1235" t="s">
        <v>6</v>
      </c>
      <c r="G1235">
        <f>tblSalaries[[#This Row],[clean Salary (in local currency)]]*VLOOKUP(tblSalaries[[#This Row],[Currency]],tblXrate[],2,FALSE)</f>
        <v>70000</v>
      </c>
      <c r="H1235" t="s">
        <v>1408</v>
      </c>
      <c r="I1235" t="s">
        <v>20</v>
      </c>
      <c r="J1235" t="s">
        <v>15</v>
      </c>
      <c r="K1235" t="str">
        <f>VLOOKUP(tblSalaries[[#This Row],[Where do you work]],tblCountries[[Actual]:[Mapping]],2,FALSE)</f>
        <v>USA</v>
      </c>
      <c r="L1235" t="s">
        <v>25</v>
      </c>
      <c r="M1235">
        <v>6</v>
      </c>
      <c r="N1235" s="8" t="str">
        <f>VLOOKUP(K1235,tblCountries[],3,0)</f>
        <v>North Amer.</v>
      </c>
      <c r="O1235" s="8">
        <f>VLOOKUP(tblSalaries[[#This Row],[How many hours of a day you work on Excel]],tblHours,2,0)</f>
        <v>2</v>
      </c>
      <c r="P1235" s="8">
        <f>VLOOKUP(tblSalaries[[#This Row],[clean Country]],tblCountries[],5,0)</f>
        <v>1</v>
      </c>
      <c r="Q1235" s="8">
        <f>IF($Q$1,tblSalaries[[#This Row],[PPP Factor]]*tblSalaries[[#This Row],[Salary in USD]],tblSalaries[[#This Row],[Salary in USD]])</f>
        <v>70000</v>
      </c>
    </row>
    <row r="1236" spans="2:17" ht="15" customHeight="1" x14ac:dyDescent="0.25">
      <c r="B1236" t="s">
        <v>3239</v>
      </c>
      <c r="C1236" s="1">
        <v>41058.328425925924</v>
      </c>
      <c r="D1236" s="4">
        <v>65000</v>
      </c>
      <c r="E1236">
        <v>65000</v>
      </c>
      <c r="F1236" t="s">
        <v>86</v>
      </c>
      <c r="G1236">
        <f>tblSalaries[[#This Row],[clean Salary (in local currency)]]*VLOOKUP(tblSalaries[[#This Row],[Currency]],tblXrate[],2,FALSE)</f>
        <v>63918.498996971248</v>
      </c>
      <c r="H1236" t="s">
        <v>1409</v>
      </c>
      <c r="I1236" t="s">
        <v>52</v>
      </c>
      <c r="J1236" t="s">
        <v>88</v>
      </c>
      <c r="K1236" t="str">
        <f>VLOOKUP(tblSalaries[[#This Row],[Where do you work]],tblCountries[[Actual]:[Mapping]],2,FALSE)</f>
        <v>Canada</v>
      </c>
      <c r="L1236" t="s">
        <v>18</v>
      </c>
      <c r="M1236">
        <v>15</v>
      </c>
      <c r="N1236" s="8" t="str">
        <f>VLOOKUP(K1236,tblCountries[],3,0)</f>
        <v>North Amer.</v>
      </c>
      <c r="O1236" s="8">
        <f>VLOOKUP(tblSalaries[[#This Row],[How many hours of a day you work on Excel]],tblHours,2,0)</f>
        <v>3</v>
      </c>
      <c r="P1236" s="8">
        <f>VLOOKUP(tblSalaries[[#This Row],[clean Country]],tblCountries[],5,0)</f>
        <v>1.1935324732986359</v>
      </c>
      <c r="Q1236" s="8">
        <f>IF($Q$1,tblSalaries[[#This Row],[PPP Factor]]*tblSalaries[[#This Row],[Salary in USD]],tblSalaries[[#This Row],[Salary in USD]])</f>
        <v>63918.498996971248</v>
      </c>
    </row>
    <row r="1237" spans="2:17" ht="15" customHeight="1" x14ac:dyDescent="0.25">
      <c r="B1237" t="s">
        <v>3240</v>
      </c>
      <c r="C1237" s="1">
        <v>41058.331296296295</v>
      </c>
      <c r="D1237" s="4">
        <v>800000</v>
      </c>
      <c r="E1237">
        <v>9600000</v>
      </c>
      <c r="F1237" t="s">
        <v>1410</v>
      </c>
      <c r="G1237">
        <f>tblSalaries[[#This Row],[clean Salary (in local currency)]]*VLOOKUP(tblSalaries[[#This Row],[Currency]],tblXrate[],2,FALSE)</f>
        <v>7261.724659606657</v>
      </c>
      <c r="H1237" t="s">
        <v>20</v>
      </c>
      <c r="I1237" t="s">
        <v>20</v>
      </c>
      <c r="J1237" t="s">
        <v>1411</v>
      </c>
      <c r="K1237" t="str">
        <f>VLOOKUP(tblSalaries[[#This Row],[Where do you work]],tblCountries[[Actual]:[Mapping]],2,FALSE)</f>
        <v>Mongolia</v>
      </c>
      <c r="L1237" t="s">
        <v>13</v>
      </c>
      <c r="M1237">
        <v>2</v>
      </c>
      <c r="N1237" s="8" t="str">
        <f>VLOOKUP(K1237,tblCountries[],3,0)</f>
        <v>Asia</v>
      </c>
      <c r="O1237" s="8">
        <f>VLOOKUP(tblSalaries[[#This Row],[How many hours of a day you work on Excel]],tblHours,2,0)</f>
        <v>5</v>
      </c>
      <c r="P1237" s="8">
        <f>VLOOKUP(tblSalaries[[#This Row],[clean Country]],tblCountries[],5,0)</f>
        <v>10.199620573355817</v>
      </c>
      <c r="Q1237" s="8">
        <f>IF($Q$1,tblSalaries[[#This Row],[PPP Factor]]*tblSalaries[[#This Row],[Salary in USD]],tblSalaries[[#This Row],[Salary in USD]])</f>
        <v>7261.724659606657</v>
      </c>
    </row>
    <row r="1238" spans="2:17" ht="15" customHeight="1" x14ac:dyDescent="0.25">
      <c r="B1238" t="s">
        <v>3241</v>
      </c>
      <c r="C1238" s="1">
        <v>41058.342430555553</v>
      </c>
      <c r="D1238" s="4" t="s">
        <v>1412</v>
      </c>
      <c r="E1238">
        <v>36000</v>
      </c>
      <c r="F1238" t="s">
        <v>3939</v>
      </c>
      <c r="G1238">
        <f>tblSalaries[[#This Row],[clean Salary (in local currency)]]*VLOOKUP(tblSalaries[[#This Row],[Currency]],tblXrate[],2,FALSE)</f>
        <v>11404.820437438224</v>
      </c>
      <c r="H1238" t="s">
        <v>1413</v>
      </c>
      <c r="I1238" t="s">
        <v>279</v>
      </c>
      <c r="J1238" t="s">
        <v>1131</v>
      </c>
      <c r="K1238" t="str">
        <f>VLOOKUP(tblSalaries[[#This Row],[Where do you work]],tblCountries[[Actual]:[Mapping]],2,FALSE)</f>
        <v>Malaysia</v>
      </c>
      <c r="L1238" t="s">
        <v>9</v>
      </c>
      <c r="M1238">
        <v>2</v>
      </c>
      <c r="N1238" s="8" t="str">
        <f>VLOOKUP(K1238,tblCountries[],3,0)</f>
        <v>Asia</v>
      </c>
      <c r="O1238" s="8">
        <f>VLOOKUP(tblSalaries[[#This Row],[How many hours of a day you work on Excel]],tblHours,2,0)</f>
        <v>4</v>
      </c>
      <c r="P1238" s="8">
        <f>VLOOKUP(tblSalaries[[#This Row],[clean Country]],tblCountries[],5,0)</f>
        <v>3.1081063720452211</v>
      </c>
      <c r="Q1238" s="8">
        <f>IF($Q$1,tblSalaries[[#This Row],[PPP Factor]]*tblSalaries[[#This Row],[Salary in USD]],tblSalaries[[#This Row],[Salary in USD]])</f>
        <v>11404.820437438224</v>
      </c>
    </row>
    <row r="1239" spans="2:17" ht="15" customHeight="1" x14ac:dyDescent="0.25">
      <c r="B1239" t="s">
        <v>3242</v>
      </c>
      <c r="C1239" s="1">
        <v>41058.351284722223</v>
      </c>
      <c r="D1239" s="4" t="s">
        <v>1414</v>
      </c>
      <c r="E1239">
        <v>120000</v>
      </c>
      <c r="F1239" t="s">
        <v>6</v>
      </c>
      <c r="G1239">
        <f>tblSalaries[[#This Row],[clean Salary (in local currency)]]*VLOOKUP(tblSalaries[[#This Row],[Currency]],tblXrate[],2,FALSE)</f>
        <v>120000</v>
      </c>
      <c r="H1239" t="s">
        <v>1415</v>
      </c>
      <c r="I1239" t="s">
        <v>356</v>
      </c>
      <c r="J1239" t="s">
        <v>171</v>
      </c>
      <c r="K1239" t="str">
        <f>VLOOKUP(tblSalaries[[#This Row],[Where do you work]],tblCountries[[Actual]:[Mapping]],2,FALSE)</f>
        <v>Singapore</v>
      </c>
      <c r="L1239" t="s">
        <v>25</v>
      </c>
      <c r="M1239">
        <v>5</v>
      </c>
      <c r="N1239" s="8" t="str">
        <f>VLOOKUP(K1239,tblCountries[],3,0)</f>
        <v>Asia</v>
      </c>
      <c r="O1239" s="8">
        <f>VLOOKUP(tblSalaries[[#This Row],[How many hours of a day you work on Excel]],tblHours,2,0)</f>
        <v>2</v>
      </c>
      <c r="P1239" s="8">
        <f>VLOOKUP(tblSalaries[[#This Row],[clean Country]],tblCountries[],5,0)</f>
        <v>0.81035320125270049</v>
      </c>
      <c r="Q1239" s="8">
        <f>IF($Q$1,tblSalaries[[#This Row],[PPP Factor]]*tblSalaries[[#This Row],[Salary in USD]],tblSalaries[[#This Row],[Salary in USD]])</f>
        <v>120000</v>
      </c>
    </row>
    <row r="1240" spans="2:17" ht="15" customHeight="1" x14ac:dyDescent="0.25">
      <c r="B1240" t="s">
        <v>3243</v>
      </c>
      <c r="C1240" s="1">
        <v>41058.361828703702</v>
      </c>
      <c r="D1240" s="4">
        <v>90000</v>
      </c>
      <c r="E1240">
        <v>90000</v>
      </c>
      <c r="F1240" t="s">
        <v>82</v>
      </c>
      <c r="G1240">
        <f>tblSalaries[[#This Row],[clean Salary (in local currency)]]*VLOOKUP(tblSalaries[[#This Row],[Currency]],tblXrate[],2,FALSE)</f>
        <v>91791.869076237213</v>
      </c>
      <c r="H1240" t="s">
        <v>207</v>
      </c>
      <c r="I1240" t="s">
        <v>20</v>
      </c>
      <c r="J1240" t="s">
        <v>84</v>
      </c>
      <c r="K1240" t="str">
        <f>VLOOKUP(tblSalaries[[#This Row],[Where do you work]],tblCountries[[Actual]:[Mapping]],2,FALSE)</f>
        <v>Australia</v>
      </c>
      <c r="L1240" t="s">
        <v>9</v>
      </c>
      <c r="M1240">
        <v>5</v>
      </c>
      <c r="N1240" s="8" t="str">
        <f>VLOOKUP(K1240,tblCountries[],3,0)</f>
        <v>Oceania</v>
      </c>
      <c r="O1240" s="8">
        <f>VLOOKUP(tblSalaries[[#This Row],[How many hours of a day you work on Excel]],tblHours,2,0)</f>
        <v>4</v>
      </c>
      <c r="P1240" s="8">
        <f>VLOOKUP(tblSalaries[[#This Row],[clean Country]],tblCountries[],5,0)</f>
        <v>1.2026395585822935</v>
      </c>
      <c r="Q1240" s="8">
        <f>IF($Q$1,tblSalaries[[#This Row],[PPP Factor]]*tblSalaries[[#This Row],[Salary in USD]],tblSalaries[[#This Row],[Salary in USD]])</f>
        <v>91791.869076237213</v>
      </c>
    </row>
    <row r="1241" spans="2:17" ht="15" customHeight="1" x14ac:dyDescent="0.25">
      <c r="B1241" t="s">
        <v>3244</v>
      </c>
      <c r="C1241" s="1">
        <v>41058.361967592595</v>
      </c>
      <c r="D1241" s="4">
        <v>110000</v>
      </c>
      <c r="E1241">
        <v>110000</v>
      </c>
      <c r="F1241" t="s">
        <v>82</v>
      </c>
      <c r="G1241">
        <f>tblSalaries[[#This Row],[clean Salary (in local currency)]]*VLOOKUP(tblSalaries[[#This Row],[Currency]],tblXrate[],2,FALSE)</f>
        <v>112190.06220428993</v>
      </c>
      <c r="H1241" t="s">
        <v>20</v>
      </c>
      <c r="I1241" t="s">
        <v>20</v>
      </c>
      <c r="J1241" t="s">
        <v>84</v>
      </c>
      <c r="K1241" t="str">
        <f>VLOOKUP(tblSalaries[[#This Row],[Where do you work]],tblCountries[[Actual]:[Mapping]],2,FALSE)</f>
        <v>Australia</v>
      </c>
      <c r="L1241" t="s">
        <v>18</v>
      </c>
      <c r="M1241">
        <v>7</v>
      </c>
      <c r="N1241" s="8" t="str">
        <f>VLOOKUP(K1241,tblCountries[],3,0)</f>
        <v>Oceania</v>
      </c>
      <c r="O1241" s="8">
        <f>VLOOKUP(tblSalaries[[#This Row],[How many hours of a day you work on Excel]],tblHours,2,0)</f>
        <v>3</v>
      </c>
      <c r="P1241" s="8">
        <f>VLOOKUP(tblSalaries[[#This Row],[clean Country]],tblCountries[],5,0)</f>
        <v>1.2026395585822935</v>
      </c>
      <c r="Q1241" s="8">
        <f>IF($Q$1,tblSalaries[[#This Row],[PPP Factor]]*tblSalaries[[#This Row],[Salary in USD]],tblSalaries[[#This Row],[Salary in USD]])</f>
        <v>112190.06220428993</v>
      </c>
    </row>
    <row r="1242" spans="2:17" ht="15" customHeight="1" x14ac:dyDescent="0.25">
      <c r="B1242" t="s">
        <v>3245</v>
      </c>
      <c r="C1242" s="1">
        <v>41058.366527777776</v>
      </c>
      <c r="D1242" s="4">
        <v>40000</v>
      </c>
      <c r="E1242">
        <v>40000</v>
      </c>
      <c r="F1242" t="s">
        <v>6</v>
      </c>
      <c r="G1242">
        <f>tblSalaries[[#This Row],[clean Salary (in local currency)]]*VLOOKUP(tblSalaries[[#This Row],[Currency]],tblXrate[],2,FALSE)</f>
        <v>40000</v>
      </c>
      <c r="H1242" t="s">
        <v>1416</v>
      </c>
      <c r="I1242" t="s">
        <v>52</v>
      </c>
      <c r="J1242" t="s">
        <v>15</v>
      </c>
      <c r="K1242" t="str">
        <f>VLOOKUP(tblSalaries[[#This Row],[Where do you work]],tblCountries[[Actual]:[Mapping]],2,FALSE)</f>
        <v>USA</v>
      </c>
      <c r="L1242" t="s">
        <v>18</v>
      </c>
      <c r="M1242">
        <v>18</v>
      </c>
      <c r="N1242" s="8" t="str">
        <f>VLOOKUP(K1242,tblCountries[],3,0)</f>
        <v>North Amer.</v>
      </c>
      <c r="O1242" s="8">
        <f>VLOOKUP(tblSalaries[[#This Row],[How many hours of a day you work on Excel]],tblHours,2,0)</f>
        <v>3</v>
      </c>
      <c r="P1242" s="8">
        <f>VLOOKUP(tblSalaries[[#This Row],[clean Country]],tblCountries[],5,0)</f>
        <v>1</v>
      </c>
      <c r="Q1242" s="8">
        <f>IF($Q$1,tblSalaries[[#This Row],[PPP Factor]]*tblSalaries[[#This Row],[Salary in USD]],tblSalaries[[#This Row],[Salary in USD]])</f>
        <v>40000</v>
      </c>
    </row>
    <row r="1243" spans="2:17" ht="15" customHeight="1" x14ac:dyDescent="0.25">
      <c r="B1243" t="s">
        <v>3246</v>
      </c>
      <c r="C1243" s="1">
        <v>41058.374780092592</v>
      </c>
      <c r="D1243" s="4">
        <v>107000</v>
      </c>
      <c r="E1243">
        <v>107000</v>
      </c>
      <c r="F1243" t="s">
        <v>6</v>
      </c>
      <c r="G1243">
        <f>tblSalaries[[#This Row],[clean Salary (in local currency)]]*VLOOKUP(tblSalaries[[#This Row],[Currency]],tblXrate[],2,FALSE)</f>
        <v>107000</v>
      </c>
      <c r="H1243" t="s">
        <v>1417</v>
      </c>
      <c r="I1243" t="s">
        <v>310</v>
      </c>
      <c r="J1243" t="s">
        <v>15</v>
      </c>
      <c r="K1243" t="str">
        <f>VLOOKUP(tblSalaries[[#This Row],[Where do you work]],tblCountries[[Actual]:[Mapping]],2,FALSE)</f>
        <v>USA</v>
      </c>
      <c r="L1243" t="s">
        <v>9</v>
      </c>
      <c r="M1243">
        <v>12</v>
      </c>
      <c r="N1243" s="8" t="str">
        <f>VLOOKUP(K1243,tblCountries[],3,0)</f>
        <v>North Amer.</v>
      </c>
      <c r="O1243" s="8">
        <f>VLOOKUP(tblSalaries[[#This Row],[How many hours of a day you work on Excel]],tblHours,2,0)</f>
        <v>4</v>
      </c>
      <c r="P1243" s="8">
        <f>VLOOKUP(tblSalaries[[#This Row],[clean Country]],tblCountries[],5,0)</f>
        <v>1</v>
      </c>
      <c r="Q1243" s="8">
        <f>IF($Q$1,tblSalaries[[#This Row],[PPP Factor]]*tblSalaries[[#This Row],[Salary in USD]],tblSalaries[[#This Row],[Salary in USD]])</f>
        <v>107000</v>
      </c>
    </row>
    <row r="1244" spans="2:17" ht="15" customHeight="1" x14ac:dyDescent="0.25">
      <c r="B1244" t="s">
        <v>3247</v>
      </c>
      <c r="C1244" s="1">
        <v>41058.385520833333</v>
      </c>
      <c r="D1244" s="4">
        <v>82000</v>
      </c>
      <c r="E1244">
        <v>82000</v>
      </c>
      <c r="F1244" t="s">
        <v>6</v>
      </c>
      <c r="G1244">
        <f>tblSalaries[[#This Row],[clean Salary (in local currency)]]*VLOOKUP(tblSalaries[[#This Row],[Currency]],tblXrate[],2,FALSE)</f>
        <v>82000</v>
      </c>
      <c r="H1244" t="s">
        <v>1418</v>
      </c>
      <c r="I1244" t="s">
        <v>52</v>
      </c>
      <c r="J1244" t="s">
        <v>15</v>
      </c>
      <c r="K1244" t="str">
        <f>VLOOKUP(tblSalaries[[#This Row],[Where do you work]],tblCountries[[Actual]:[Mapping]],2,FALSE)</f>
        <v>USA</v>
      </c>
      <c r="L1244" t="s">
        <v>9</v>
      </c>
      <c r="M1244">
        <v>10</v>
      </c>
      <c r="N1244" s="8" t="str">
        <f>VLOOKUP(K1244,tblCountries[],3,0)</f>
        <v>North Amer.</v>
      </c>
      <c r="O1244" s="8">
        <f>VLOOKUP(tblSalaries[[#This Row],[How many hours of a day you work on Excel]],tblHours,2,0)</f>
        <v>4</v>
      </c>
      <c r="P1244" s="8">
        <f>VLOOKUP(tblSalaries[[#This Row],[clean Country]],tblCountries[],5,0)</f>
        <v>1</v>
      </c>
      <c r="Q1244" s="8">
        <f>IF($Q$1,tblSalaries[[#This Row],[PPP Factor]]*tblSalaries[[#This Row],[Salary in USD]],tblSalaries[[#This Row],[Salary in USD]])</f>
        <v>82000</v>
      </c>
    </row>
    <row r="1245" spans="2:17" ht="15" customHeight="1" x14ac:dyDescent="0.25">
      <c r="B1245" t="s">
        <v>3248</v>
      </c>
      <c r="C1245" s="1">
        <v>41058.39271990741</v>
      </c>
      <c r="D1245" s="4">
        <v>100000</v>
      </c>
      <c r="E1245">
        <v>100000</v>
      </c>
      <c r="F1245" t="s">
        <v>82</v>
      </c>
      <c r="G1245">
        <f>tblSalaries[[#This Row],[clean Salary (in local currency)]]*VLOOKUP(tblSalaries[[#This Row],[Currency]],tblXrate[],2,FALSE)</f>
        <v>101990.96564026357</v>
      </c>
      <c r="H1245" t="s">
        <v>1419</v>
      </c>
      <c r="I1245" t="s">
        <v>356</v>
      </c>
      <c r="J1245" t="s">
        <v>84</v>
      </c>
      <c r="K1245" t="str">
        <f>VLOOKUP(tblSalaries[[#This Row],[Where do you work]],tblCountries[[Actual]:[Mapping]],2,FALSE)</f>
        <v>Australia</v>
      </c>
      <c r="L1245" t="s">
        <v>9</v>
      </c>
      <c r="M1245">
        <v>15</v>
      </c>
      <c r="N1245" s="8" t="str">
        <f>VLOOKUP(K1245,tblCountries[],3,0)</f>
        <v>Oceania</v>
      </c>
      <c r="O1245" s="8">
        <f>VLOOKUP(tblSalaries[[#This Row],[How many hours of a day you work on Excel]],tblHours,2,0)</f>
        <v>4</v>
      </c>
      <c r="P1245" s="8">
        <f>VLOOKUP(tblSalaries[[#This Row],[clean Country]],tblCountries[],5,0)</f>
        <v>1.2026395585822935</v>
      </c>
      <c r="Q1245" s="8">
        <f>IF($Q$1,tblSalaries[[#This Row],[PPP Factor]]*tblSalaries[[#This Row],[Salary in USD]],tblSalaries[[#This Row],[Salary in USD]])</f>
        <v>101990.96564026357</v>
      </c>
    </row>
    <row r="1246" spans="2:17" ht="15" customHeight="1" x14ac:dyDescent="0.25">
      <c r="B1246" t="s">
        <v>3249</v>
      </c>
      <c r="C1246" s="1">
        <v>41058.40115740741</v>
      </c>
      <c r="D1246" s="4" t="s">
        <v>1420</v>
      </c>
      <c r="E1246">
        <v>43000</v>
      </c>
      <c r="F1246" t="s">
        <v>6</v>
      </c>
      <c r="G1246">
        <f>tblSalaries[[#This Row],[clean Salary (in local currency)]]*VLOOKUP(tblSalaries[[#This Row],[Currency]],tblXrate[],2,FALSE)</f>
        <v>43000</v>
      </c>
      <c r="H1246" t="s">
        <v>1421</v>
      </c>
      <c r="I1246" t="s">
        <v>52</v>
      </c>
      <c r="J1246" t="s">
        <v>84</v>
      </c>
      <c r="K1246" t="str">
        <f>VLOOKUP(tblSalaries[[#This Row],[Where do you work]],tblCountries[[Actual]:[Mapping]],2,FALSE)</f>
        <v>Australia</v>
      </c>
      <c r="L1246" t="s">
        <v>18</v>
      </c>
      <c r="M1246">
        <v>4</v>
      </c>
      <c r="N1246" s="8" t="str">
        <f>VLOOKUP(K1246,tblCountries[],3,0)</f>
        <v>Oceania</v>
      </c>
      <c r="O1246" s="8">
        <f>VLOOKUP(tblSalaries[[#This Row],[How many hours of a day you work on Excel]],tblHours,2,0)</f>
        <v>3</v>
      </c>
      <c r="P1246" s="8">
        <f>VLOOKUP(tblSalaries[[#This Row],[clean Country]],tblCountries[],5,0)</f>
        <v>1.2026395585822935</v>
      </c>
      <c r="Q1246" s="8">
        <f>IF($Q$1,tblSalaries[[#This Row],[PPP Factor]]*tblSalaries[[#This Row],[Salary in USD]],tblSalaries[[#This Row],[Salary in USD]])</f>
        <v>43000</v>
      </c>
    </row>
    <row r="1247" spans="2:17" ht="15" customHeight="1" x14ac:dyDescent="0.25">
      <c r="B1247" t="s">
        <v>3250</v>
      </c>
      <c r="C1247" s="1">
        <v>41058.401550925926</v>
      </c>
      <c r="D1247" s="4">
        <v>69000</v>
      </c>
      <c r="E1247">
        <v>69000</v>
      </c>
      <c r="F1247" t="s">
        <v>6</v>
      </c>
      <c r="G1247">
        <f>tblSalaries[[#This Row],[clean Salary (in local currency)]]*VLOOKUP(tblSalaries[[#This Row],[Currency]],tblXrate[],2,FALSE)</f>
        <v>69000</v>
      </c>
      <c r="H1247" t="s">
        <v>1422</v>
      </c>
      <c r="I1247" t="s">
        <v>488</v>
      </c>
      <c r="J1247" t="s">
        <v>15</v>
      </c>
      <c r="K1247" t="str">
        <f>VLOOKUP(tblSalaries[[#This Row],[Where do you work]],tblCountries[[Actual]:[Mapping]],2,FALSE)</f>
        <v>USA</v>
      </c>
      <c r="L1247" t="s">
        <v>9</v>
      </c>
      <c r="M1247">
        <v>20</v>
      </c>
      <c r="N1247" s="8" t="str">
        <f>VLOOKUP(K1247,tblCountries[],3,0)</f>
        <v>North Amer.</v>
      </c>
      <c r="O1247" s="8">
        <f>VLOOKUP(tblSalaries[[#This Row],[How many hours of a day you work on Excel]],tblHours,2,0)</f>
        <v>4</v>
      </c>
      <c r="P1247" s="8">
        <f>VLOOKUP(tblSalaries[[#This Row],[clean Country]],tblCountries[],5,0)</f>
        <v>1</v>
      </c>
      <c r="Q1247" s="8">
        <f>IF($Q$1,tblSalaries[[#This Row],[PPP Factor]]*tblSalaries[[#This Row],[Salary in USD]],tblSalaries[[#This Row],[Salary in USD]])</f>
        <v>69000</v>
      </c>
    </row>
    <row r="1248" spans="2:17" ht="15" customHeight="1" x14ac:dyDescent="0.25">
      <c r="B1248" t="s">
        <v>3251</v>
      </c>
      <c r="C1248" s="1">
        <v>41058.408182870371</v>
      </c>
      <c r="D1248" s="4">
        <v>30000</v>
      </c>
      <c r="E1248">
        <v>30000</v>
      </c>
      <c r="F1248" t="s">
        <v>6</v>
      </c>
      <c r="G1248">
        <f>tblSalaries[[#This Row],[clean Salary (in local currency)]]*VLOOKUP(tblSalaries[[#This Row],[Currency]],tblXrate[],2,FALSE)</f>
        <v>30000</v>
      </c>
      <c r="H1248" t="s">
        <v>1423</v>
      </c>
      <c r="I1248" t="s">
        <v>52</v>
      </c>
      <c r="J1248" t="s">
        <v>8</v>
      </c>
      <c r="K1248" t="str">
        <f>VLOOKUP(tblSalaries[[#This Row],[Where do you work]],tblCountries[[Actual]:[Mapping]],2,FALSE)</f>
        <v>India</v>
      </c>
      <c r="L1248" t="s">
        <v>18</v>
      </c>
      <c r="M1248">
        <v>3</v>
      </c>
      <c r="N1248" s="8" t="str">
        <f>VLOOKUP(K1248,tblCountries[],3,0)</f>
        <v>Asia</v>
      </c>
      <c r="O1248" s="8">
        <f>VLOOKUP(tblSalaries[[#This Row],[How many hours of a day you work on Excel]],tblHours,2,0)</f>
        <v>3</v>
      </c>
      <c r="P1248" s="8">
        <f>VLOOKUP(tblSalaries[[#This Row],[clean Country]],tblCountries[],5,0)</f>
        <v>13.098808879263672</v>
      </c>
      <c r="Q1248" s="8">
        <f>IF($Q$1,tblSalaries[[#This Row],[PPP Factor]]*tblSalaries[[#This Row],[Salary in USD]],tblSalaries[[#This Row],[Salary in USD]])</f>
        <v>30000</v>
      </c>
    </row>
    <row r="1249" spans="2:17" ht="15" customHeight="1" x14ac:dyDescent="0.25">
      <c r="B1249" t="s">
        <v>3252</v>
      </c>
      <c r="C1249" s="1">
        <v>41058.411134259259</v>
      </c>
      <c r="D1249" s="4" t="s">
        <v>1424</v>
      </c>
      <c r="E1249">
        <v>48000</v>
      </c>
      <c r="F1249" t="s">
        <v>82</v>
      </c>
      <c r="G1249">
        <f>tblSalaries[[#This Row],[clean Salary (in local currency)]]*VLOOKUP(tblSalaries[[#This Row],[Currency]],tblXrate[],2,FALSE)</f>
        <v>48955.663507326513</v>
      </c>
      <c r="H1249" t="s">
        <v>640</v>
      </c>
      <c r="I1249" t="s">
        <v>20</v>
      </c>
      <c r="J1249" t="s">
        <v>84</v>
      </c>
      <c r="K1249" t="str">
        <f>VLOOKUP(tblSalaries[[#This Row],[Where do you work]],tblCountries[[Actual]:[Mapping]],2,FALSE)</f>
        <v>Australia</v>
      </c>
      <c r="L1249" t="s">
        <v>25</v>
      </c>
      <c r="M1249">
        <v>2</v>
      </c>
      <c r="N1249" s="8" t="str">
        <f>VLOOKUP(K1249,tblCountries[],3,0)</f>
        <v>Oceania</v>
      </c>
      <c r="O1249" s="8">
        <f>VLOOKUP(tblSalaries[[#This Row],[How many hours of a day you work on Excel]],tblHours,2,0)</f>
        <v>2</v>
      </c>
      <c r="P1249" s="8">
        <f>VLOOKUP(tblSalaries[[#This Row],[clean Country]],tblCountries[],5,0)</f>
        <v>1.2026395585822935</v>
      </c>
      <c r="Q1249" s="8">
        <f>IF($Q$1,tblSalaries[[#This Row],[PPP Factor]]*tblSalaries[[#This Row],[Salary in USD]],tblSalaries[[#This Row],[Salary in USD]])</f>
        <v>48955.663507326513</v>
      </c>
    </row>
    <row r="1250" spans="2:17" ht="15" customHeight="1" x14ac:dyDescent="0.25">
      <c r="B1250" t="s">
        <v>3253</v>
      </c>
      <c r="C1250" s="1">
        <v>41058.422465277778</v>
      </c>
      <c r="D1250" s="4">
        <v>70000</v>
      </c>
      <c r="E1250">
        <v>70000</v>
      </c>
      <c r="F1250" t="s">
        <v>6</v>
      </c>
      <c r="G1250">
        <f>tblSalaries[[#This Row],[clean Salary (in local currency)]]*VLOOKUP(tblSalaries[[#This Row],[Currency]],tblXrate[],2,FALSE)</f>
        <v>70000</v>
      </c>
      <c r="H1250" t="s">
        <v>201</v>
      </c>
      <c r="I1250" t="s">
        <v>52</v>
      </c>
      <c r="J1250" t="s">
        <v>15</v>
      </c>
      <c r="K1250" t="str">
        <f>VLOOKUP(tblSalaries[[#This Row],[Where do you work]],tblCountries[[Actual]:[Mapping]],2,FALSE)</f>
        <v>USA</v>
      </c>
      <c r="L1250" t="s">
        <v>9</v>
      </c>
      <c r="M1250">
        <v>8</v>
      </c>
      <c r="N1250" s="8" t="str">
        <f>VLOOKUP(K1250,tblCountries[],3,0)</f>
        <v>North Amer.</v>
      </c>
      <c r="O1250" s="8">
        <f>VLOOKUP(tblSalaries[[#This Row],[How many hours of a day you work on Excel]],tblHours,2,0)</f>
        <v>4</v>
      </c>
      <c r="P1250" s="8">
        <f>VLOOKUP(tblSalaries[[#This Row],[clean Country]],tblCountries[],5,0)</f>
        <v>1</v>
      </c>
      <c r="Q1250" s="8">
        <f>IF($Q$1,tblSalaries[[#This Row],[PPP Factor]]*tblSalaries[[#This Row],[Salary in USD]],tblSalaries[[#This Row],[Salary in USD]])</f>
        <v>70000</v>
      </c>
    </row>
    <row r="1251" spans="2:17" ht="15" customHeight="1" x14ac:dyDescent="0.25">
      <c r="B1251" t="s">
        <v>3254</v>
      </c>
      <c r="C1251" s="1">
        <v>41058.423344907409</v>
      </c>
      <c r="D1251" s="4">
        <v>45000</v>
      </c>
      <c r="E1251">
        <v>45000</v>
      </c>
      <c r="F1251" t="s">
        <v>6</v>
      </c>
      <c r="G1251">
        <f>tblSalaries[[#This Row],[clean Salary (in local currency)]]*VLOOKUP(tblSalaries[[#This Row],[Currency]],tblXrate[],2,FALSE)</f>
        <v>45000</v>
      </c>
      <c r="H1251" t="s">
        <v>1425</v>
      </c>
      <c r="I1251" t="s">
        <v>20</v>
      </c>
      <c r="J1251" t="s">
        <v>15</v>
      </c>
      <c r="K1251" t="str">
        <f>VLOOKUP(tblSalaries[[#This Row],[Where do you work]],tblCountries[[Actual]:[Mapping]],2,FALSE)</f>
        <v>USA</v>
      </c>
      <c r="L1251" t="s">
        <v>9</v>
      </c>
      <c r="M1251">
        <v>7</v>
      </c>
      <c r="N1251" s="8" t="str">
        <f>VLOOKUP(K1251,tblCountries[],3,0)</f>
        <v>North Amer.</v>
      </c>
      <c r="O1251" s="8">
        <f>VLOOKUP(tblSalaries[[#This Row],[How many hours of a day you work on Excel]],tblHours,2,0)</f>
        <v>4</v>
      </c>
      <c r="P1251" s="8">
        <f>VLOOKUP(tblSalaries[[#This Row],[clean Country]],tblCountries[],5,0)</f>
        <v>1</v>
      </c>
      <c r="Q1251" s="8">
        <f>IF($Q$1,tblSalaries[[#This Row],[PPP Factor]]*tblSalaries[[#This Row],[Salary in USD]],tblSalaries[[#This Row],[Salary in USD]])</f>
        <v>45000</v>
      </c>
    </row>
    <row r="1252" spans="2:17" ht="15" customHeight="1" x14ac:dyDescent="0.25">
      <c r="B1252" t="s">
        <v>3255</v>
      </c>
      <c r="C1252" s="1">
        <v>41058.424629629626</v>
      </c>
      <c r="D1252" s="4">
        <v>35000</v>
      </c>
      <c r="E1252">
        <v>35000</v>
      </c>
      <c r="F1252" t="s">
        <v>6</v>
      </c>
      <c r="G1252">
        <f>tblSalaries[[#This Row],[clean Salary (in local currency)]]*VLOOKUP(tblSalaries[[#This Row],[Currency]],tblXrate[],2,FALSE)</f>
        <v>35000</v>
      </c>
      <c r="H1252" t="s">
        <v>1426</v>
      </c>
      <c r="I1252" t="s">
        <v>4001</v>
      </c>
      <c r="J1252" t="s">
        <v>1131</v>
      </c>
      <c r="K1252" t="str">
        <f>VLOOKUP(tblSalaries[[#This Row],[Where do you work]],tblCountries[[Actual]:[Mapping]],2,FALSE)</f>
        <v>Malaysia</v>
      </c>
      <c r="L1252" t="s">
        <v>13</v>
      </c>
      <c r="M1252">
        <v>12</v>
      </c>
      <c r="N1252" s="8" t="str">
        <f>VLOOKUP(K1252,tblCountries[],3,0)</f>
        <v>Asia</v>
      </c>
      <c r="O1252" s="8">
        <f>VLOOKUP(tblSalaries[[#This Row],[How many hours of a day you work on Excel]],tblHours,2,0)</f>
        <v>5</v>
      </c>
      <c r="P1252" s="8">
        <f>VLOOKUP(tblSalaries[[#This Row],[clean Country]],tblCountries[],5,0)</f>
        <v>3.1081063720452211</v>
      </c>
      <c r="Q1252" s="8">
        <f>IF($Q$1,tblSalaries[[#This Row],[PPP Factor]]*tblSalaries[[#This Row],[Salary in USD]],tblSalaries[[#This Row],[Salary in USD]])</f>
        <v>35000</v>
      </c>
    </row>
    <row r="1253" spans="2:17" ht="15" customHeight="1" x14ac:dyDescent="0.25">
      <c r="B1253" t="s">
        <v>3256</v>
      </c>
      <c r="C1253" s="1">
        <v>41058.447094907409</v>
      </c>
      <c r="D1253" s="4">
        <v>500000</v>
      </c>
      <c r="E1253">
        <v>500000</v>
      </c>
      <c r="F1253" t="s">
        <v>40</v>
      </c>
      <c r="G1253">
        <f>tblSalaries[[#This Row],[clean Salary (in local currency)]]*VLOOKUP(tblSalaries[[#This Row],[Currency]],tblXrate[],2,FALSE)</f>
        <v>8903.9583437212841</v>
      </c>
      <c r="H1253" t="s">
        <v>1427</v>
      </c>
      <c r="I1253" t="s">
        <v>52</v>
      </c>
      <c r="J1253" t="s">
        <v>8</v>
      </c>
      <c r="K1253" t="str">
        <f>VLOOKUP(tblSalaries[[#This Row],[Where do you work]],tblCountries[[Actual]:[Mapping]],2,FALSE)</f>
        <v>India</v>
      </c>
      <c r="L1253" t="s">
        <v>18</v>
      </c>
      <c r="M1253">
        <v>29</v>
      </c>
      <c r="N1253" s="8" t="str">
        <f>VLOOKUP(K1253,tblCountries[],3,0)</f>
        <v>Asia</v>
      </c>
      <c r="O1253" s="8">
        <f>VLOOKUP(tblSalaries[[#This Row],[How many hours of a day you work on Excel]],tblHours,2,0)</f>
        <v>3</v>
      </c>
      <c r="P1253" s="8">
        <f>VLOOKUP(tblSalaries[[#This Row],[clean Country]],tblCountries[],5,0)</f>
        <v>13.098808879263672</v>
      </c>
      <c r="Q1253" s="8">
        <f>IF($Q$1,tblSalaries[[#This Row],[PPP Factor]]*tblSalaries[[#This Row],[Salary in USD]],tblSalaries[[#This Row],[Salary in USD]])</f>
        <v>8903.9583437212841</v>
      </c>
    </row>
    <row r="1254" spans="2:17" ht="15" customHeight="1" x14ac:dyDescent="0.25">
      <c r="B1254" t="s">
        <v>3257</v>
      </c>
      <c r="C1254" s="1">
        <v>41058.448449074072</v>
      </c>
      <c r="D1254" s="4" t="s">
        <v>1428</v>
      </c>
      <c r="E1254">
        <v>89500</v>
      </c>
      <c r="F1254" t="s">
        <v>3939</v>
      </c>
      <c r="G1254">
        <f>tblSalaries[[#This Row],[clean Salary (in local currency)]]*VLOOKUP(tblSalaries[[#This Row],[Currency]],tblXrate[],2,FALSE)</f>
        <v>28353.650809742252</v>
      </c>
      <c r="H1254" t="s">
        <v>52</v>
      </c>
      <c r="I1254" t="s">
        <v>52</v>
      </c>
      <c r="J1254" t="s">
        <v>1131</v>
      </c>
      <c r="K1254" t="str">
        <f>VLOOKUP(tblSalaries[[#This Row],[Where do you work]],tblCountries[[Actual]:[Mapping]],2,FALSE)</f>
        <v>Malaysia</v>
      </c>
      <c r="L1254" t="s">
        <v>18</v>
      </c>
      <c r="M1254">
        <v>20</v>
      </c>
      <c r="N1254" s="8" t="str">
        <f>VLOOKUP(K1254,tblCountries[],3,0)</f>
        <v>Asia</v>
      </c>
      <c r="O1254" s="8">
        <f>VLOOKUP(tblSalaries[[#This Row],[How many hours of a day you work on Excel]],tblHours,2,0)</f>
        <v>3</v>
      </c>
      <c r="P1254" s="8">
        <f>VLOOKUP(tblSalaries[[#This Row],[clean Country]],tblCountries[],5,0)</f>
        <v>3.1081063720452211</v>
      </c>
      <c r="Q1254" s="8">
        <f>IF($Q$1,tblSalaries[[#This Row],[PPP Factor]]*tblSalaries[[#This Row],[Salary in USD]],tblSalaries[[#This Row],[Salary in USD]])</f>
        <v>28353.650809742252</v>
      </c>
    </row>
    <row r="1255" spans="2:17" ht="15" customHeight="1" x14ac:dyDescent="0.25">
      <c r="B1255" t="s">
        <v>3258</v>
      </c>
      <c r="C1255" s="1">
        <v>41058.450381944444</v>
      </c>
      <c r="D1255" s="4" t="s">
        <v>1429</v>
      </c>
      <c r="E1255">
        <v>11800</v>
      </c>
      <c r="F1255" t="s">
        <v>6</v>
      </c>
      <c r="G1255">
        <f>tblSalaries[[#This Row],[clean Salary (in local currency)]]*VLOOKUP(tblSalaries[[#This Row],[Currency]],tblXrate[],2,FALSE)</f>
        <v>11800</v>
      </c>
      <c r="H1255" t="s">
        <v>1430</v>
      </c>
      <c r="I1255" t="s">
        <v>20</v>
      </c>
      <c r="J1255" t="s">
        <v>8</v>
      </c>
      <c r="K1255" t="str">
        <f>VLOOKUP(tblSalaries[[#This Row],[Where do you work]],tblCountries[[Actual]:[Mapping]],2,FALSE)</f>
        <v>India</v>
      </c>
      <c r="L1255" t="s">
        <v>9</v>
      </c>
      <c r="M1255">
        <v>10</v>
      </c>
      <c r="N1255" s="8" t="str">
        <f>VLOOKUP(K1255,tblCountries[],3,0)</f>
        <v>Asia</v>
      </c>
      <c r="O1255" s="8">
        <f>VLOOKUP(tblSalaries[[#This Row],[How many hours of a day you work on Excel]],tblHours,2,0)</f>
        <v>4</v>
      </c>
      <c r="P1255" s="8">
        <f>VLOOKUP(tblSalaries[[#This Row],[clean Country]],tblCountries[],5,0)</f>
        <v>13.098808879263672</v>
      </c>
      <c r="Q1255" s="8">
        <f>IF($Q$1,tblSalaries[[#This Row],[PPP Factor]]*tblSalaries[[#This Row],[Salary in USD]],tblSalaries[[#This Row],[Salary in USD]])</f>
        <v>11800</v>
      </c>
    </row>
    <row r="1256" spans="2:17" ht="15" customHeight="1" x14ac:dyDescent="0.25">
      <c r="B1256" t="s">
        <v>3259</v>
      </c>
      <c r="C1256" s="1">
        <v>41058.452106481483</v>
      </c>
      <c r="D1256" s="4" t="s">
        <v>1431</v>
      </c>
      <c r="E1256">
        <v>360000</v>
      </c>
      <c r="F1256" t="s">
        <v>40</v>
      </c>
      <c r="G1256">
        <f>tblSalaries[[#This Row],[clean Salary (in local currency)]]*VLOOKUP(tblSalaries[[#This Row],[Currency]],tblXrate[],2,FALSE)</f>
        <v>6410.8500074793246</v>
      </c>
      <c r="H1256" t="s">
        <v>1432</v>
      </c>
      <c r="I1256" t="s">
        <v>52</v>
      </c>
      <c r="J1256" t="s">
        <v>8</v>
      </c>
      <c r="K1256" t="str">
        <f>VLOOKUP(tblSalaries[[#This Row],[Where do you work]],tblCountries[[Actual]:[Mapping]],2,FALSE)</f>
        <v>India</v>
      </c>
      <c r="L1256" t="s">
        <v>13</v>
      </c>
      <c r="M1256">
        <v>6</v>
      </c>
      <c r="N1256" s="8" t="str">
        <f>VLOOKUP(K1256,tblCountries[],3,0)</f>
        <v>Asia</v>
      </c>
      <c r="O1256" s="8">
        <f>VLOOKUP(tblSalaries[[#This Row],[How many hours of a day you work on Excel]],tblHours,2,0)</f>
        <v>5</v>
      </c>
      <c r="P1256" s="8">
        <f>VLOOKUP(tblSalaries[[#This Row],[clean Country]],tblCountries[],5,0)</f>
        <v>13.098808879263672</v>
      </c>
      <c r="Q1256" s="8">
        <f>IF($Q$1,tblSalaries[[#This Row],[PPP Factor]]*tblSalaries[[#This Row],[Salary in USD]],tblSalaries[[#This Row],[Salary in USD]])</f>
        <v>6410.8500074793246</v>
      </c>
    </row>
    <row r="1257" spans="2:17" ht="15" customHeight="1" x14ac:dyDescent="0.25">
      <c r="B1257" t="s">
        <v>3260</v>
      </c>
      <c r="C1257" s="1">
        <v>41058.45244212963</v>
      </c>
      <c r="D1257" s="4">
        <v>50000</v>
      </c>
      <c r="E1257">
        <v>50000</v>
      </c>
      <c r="F1257" t="s">
        <v>6</v>
      </c>
      <c r="G1257">
        <f>tblSalaries[[#This Row],[clean Salary (in local currency)]]*VLOOKUP(tblSalaries[[#This Row],[Currency]],tblXrate[],2,FALSE)</f>
        <v>50000</v>
      </c>
      <c r="H1257" t="s">
        <v>153</v>
      </c>
      <c r="I1257" t="s">
        <v>20</v>
      </c>
      <c r="J1257" t="s">
        <v>15</v>
      </c>
      <c r="K1257" t="str">
        <f>VLOOKUP(tblSalaries[[#This Row],[Where do you work]],tblCountries[[Actual]:[Mapping]],2,FALSE)</f>
        <v>USA</v>
      </c>
      <c r="L1257" t="s">
        <v>9</v>
      </c>
      <c r="M1257">
        <v>3</v>
      </c>
      <c r="N1257" s="8" t="str">
        <f>VLOOKUP(K1257,tblCountries[],3,0)</f>
        <v>North Amer.</v>
      </c>
      <c r="O1257" s="8">
        <f>VLOOKUP(tblSalaries[[#This Row],[How many hours of a day you work on Excel]],tblHours,2,0)</f>
        <v>4</v>
      </c>
      <c r="P1257" s="8">
        <f>VLOOKUP(tblSalaries[[#This Row],[clean Country]],tblCountries[],5,0)</f>
        <v>1</v>
      </c>
      <c r="Q1257" s="8">
        <f>IF($Q$1,tblSalaries[[#This Row],[PPP Factor]]*tblSalaries[[#This Row],[Salary in USD]],tblSalaries[[#This Row],[Salary in USD]])</f>
        <v>50000</v>
      </c>
    </row>
    <row r="1258" spans="2:17" ht="15" customHeight="1" x14ac:dyDescent="0.25">
      <c r="B1258" t="s">
        <v>3261</v>
      </c>
      <c r="C1258" s="1">
        <v>41058.458703703705</v>
      </c>
      <c r="D1258" s="4">
        <v>85000</v>
      </c>
      <c r="E1258">
        <v>85000</v>
      </c>
      <c r="F1258" t="s">
        <v>6</v>
      </c>
      <c r="G1258">
        <f>tblSalaries[[#This Row],[clean Salary (in local currency)]]*VLOOKUP(tblSalaries[[#This Row],[Currency]],tblXrate[],2,FALSE)</f>
        <v>85000</v>
      </c>
      <c r="H1258" t="s">
        <v>1433</v>
      </c>
      <c r="I1258" t="s">
        <v>52</v>
      </c>
      <c r="J1258" t="s">
        <v>1434</v>
      </c>
      <c r="K1258" t="str">
        <f>VLOOKUP(tblSalaries[[#This Row],[Where do you work]],tblCountries[[Actual]:[Mapping]],2,FALSE)</f>
        <v>Sri Lanka</v>
      </c>
      <c r="L1258" t="s">
        <v>13</v>
      </c>
      <c r="M1258">
        <v>10</v>
      </c>
      <c r="N1258" s="8" t="str">
        <f>VLOOKUP(K1258,tblCountries[],3,0)</f>
        <v>Asia</v>
      </c>
      <c r="O1258" s="8">
        <f>VLOOKUP(tblSalaries[[#This Row],[How many hours of a day you work on Excel]],tblHours,2,0)</f>
        <v>5</v>
      </c>
      <c r="P1258" s="8">
        <f>VLOOKUP(tblSalaries[[#This Row],[clean Country]],tblCountries[],5,0)</f>
        <v>8.5278463165315479</v>
      </c>
      <c r="Q1258" s="8">
        <f>IF($Q$1,tblSalaries[[#This Row],[PPP Factor]]*tblSalaries[[#This Row],[Salary in USD]],tblSalaries[[#This Row],[Salary in USD]])</f>
        <v>85000</v>
      </c>
    </row>
    <row r="1259" spans="2:17" ht="15" customHeight="1" x14ac:dyDescent="0.25">
      <c r="B1259" t="s">
        <v>3262</v>
      </c>
      <c r="C1259" s="1">
        <v>41058.483252314814</v>
      </c>
      <c r="D1259" s="4" t="s">
        <v>1435</v>
      </c>
      <c r="E1259">
        <v>1000000</v>
      </c>
      <c r="F1259" t="s">
        <v>40</v>
      </c>
      <c r="G1259">
        <f>tblSalaries[[#This Row],[clean Salary (in local currency)]]*VLOOKUP(tblSalaries[[#This Row],[Currency]],tblXrate[],2,FALSE)</f>
        <v>17807.916687442568</v>
      </c>
      <c r="H1259" t="s">
        <v>52</v>
      </c>
      <c r="I1259" t="s">
        <v>52</v>
      </c>
      <c r="J1259" t="s">
        <v>8</v>
      </c>
      <c r="K1259" t="str">
        <f>VLOOKUP(tblSalaries[[#This Row],[Where do you work]],tblCountries[[Actual]:[Mapping]],2,FALSE)</f>
        <v>India</v>
      </c>
      <c r="L1259" t="s">
        <v>18</v>
      </c>
      <c r="M1259">
        <v>10</v>
      </c>
      <c r="N1259" s="8" t="str">
        <f>VLOOKUP(K1259,tblCountries[],3,0)</f>
        <v>Asia</v>
      </c>
      <c r="O1259" s="8">
        <f>VLOOKUP(tblSalaries[[#This Row],[How many hours of a day you work on Excel]],tblHours,2,0)</f>
        <v>3</v>
      </c>
      <c r="P1259" s="8">
        <f>VLOOKUP(tblSalaries[[#This Row],[clean Country]],tblCountries[],5,0)</f>
        <v>13.098808879263672</v>
      </c>
      <c r="Q1259" s="8">
        <f>IF($Q$1,tblSalaries[[#This Row],[PPP Factor]]*tblSalaries[[#This Row],[Salary in USD]],tblSalaries[[#This Row],[Salary in USD]])</f>
        <v>17807.916687442568</v>
      </c>
    </row>
    <row r="1260" spans="2:17" ht="15" customHeight="1" x14ac:dyDescent="0.25">
      <c r="B1260" t="s">
        <v>3263</v>
      </c>
      <c r="C1260" s="1">
        <v>41058.49082175926</v>
      </c>
      <c r="D1260" s="4" t="s">
        <v>1436</v>
      </c>
      <c r="E1260">
        <v>900000</v>
      </c>
      <c r="F1260" t="s">
        <v>40</v>
      </c>
      <c r="G1260">
        <f>tblSalaries[[#This Row],[clean Salary (in local currency)]]*VLOOKUP(tblSalaries[[#This Row],[Currency]],tblXrate[],2,FALSE)</f>
        <v>16027.125018698311</v>
      </c>
      <c r="H1260" t="s">
        <v>1437</v>
      </c>
      <c r="I1260" t="s">
        <v>488</v>
      </c>
      <c r="J1260" t="s">
        <v>8</v>
      </c>
      <c r="K1260" t="str">
        <f>VLOOKUP(tblSalaries[[#This Row],[Where do you work]],tblCountries[[Actual]:[Mapping]],2,FALSE)</f>
        <v>India</v>
      </c>
      <c r="L1260" t="s">
        <v>13</v>
      </c>
      <c r="M1260">
        <v>8</v>
      </c>
      <c r="N1260" s="8" t="str">
        <f>VLOOKUP(K1260,tblCountries[],3,0)</f>
        <v>Asia</v>
      </c>
      <c r="O1260" s="8">
        <f>VLOOKUP(tblSalaries[[#This Row],[How many hours of a day you work on Excel]],tblHours,2,0)</f>
        <v>5</v>
      </c>
      <c r="P1260" s="8">
        <f>VLOOKUP(tblSalaries[[#This Row],[clean Country]],tblCountries[],5,0)</f>
        <v>13.098808879263672</v>
      </c>
      <c r="Q1260" s="8">
        <f>IF($Q$1,tblSalaries[[#This Row],[PPP Factor]]*tblSalaries[[#This Row],[Salary in USD]],tblSalaries[[#This Row],[Salary in USD]])</f>
        <v>16027.125018698311</v>
      </c>
    </row>
    <row r="1261" spans="2:17" ht="15" customHeight="1" x14ac:dyDescent="0.25">
      <c r="B1261" t="s">
        <v>3264</v>
      </c>
      <c r="C1261" s="1">
        <v>41058.494155092594</v>
      </c>
      <c r="D1261" s="4">
        <v>192000</v>
      </c>
      <c r="E1261">
        <v>192000</v>
      </c>
      <c r="F1261" t="s">
        <v>6</v>
      </c>
      <c r="G1261">
        <f>tblSalaries[[#This Row],[clean Salary (in local currency)]]*VLOOKUP(tblSalaries[[#This Row],[Currency]],tblXrate[],2,FALSE)</f>
        <v>192000</v>
      </c>
      <c r="H1261" t="s">
        <v>1438</v>
      </c>
      <c r="I1261" t="s">
        <v>4001</v>
      </c>
      <c r="J1261" t="s">
        <v>15</v>
      </c>
      <c r="K1261" t="str">
        <f>VLOOKUP(tblSalaries[[#This Row],[Where do you work]],tblCountries[[Actual]:[Mapping]],2,FALSE)</f>
        <v>USA</v>
      </c>
      <c r="L1261" t="s">
        <v>13</v>
      </c>
      <c r="M1261">
        <v>27</v>
      </c>
      <c r="N1261" s="8" t="str">
        <f>VLOOKUP(K1261,tblCountries[],3,0)</f>
        <v>North Amer.</v>
      </c>
      <c r="O1261" s="8">
        <f>VLOOKUP(tblSalaries[[#This Row],[How many hours of a day you work on Excel]],tblHours,2,0)</f>
        <v>5</v>
      </c>
      <c r="P1261" s="8">
        <f>VLOOKUP(tblSalaries[[#This Row],[clean Country]],tblCountries[],5,0)</f>
        <v>1</v>
      </c>
      <c r="Q1261" s="8">
        <f>IF($Q$1,tblSalaries[[#This Row],[PPP Factor]]*tblSalaries[[#This Row],[Salary in USD]],tblSalaries[[#This Row],[Salary in USD]])</f>
        <v>192000</v>
      </c>
    </row>
    <row r="1262" spans="2:17" ht="15" customHeight="1" x14ac:dyDescent="0.25">
      <c r="B1262" t="s">
        <v>3265</v>
      </c>
      <c r="C1262" s="1">
        <v>41058.509745370371</v>
      </c>
      <c r="D1262" s="4">
        <v>54000</v>
      </c>
      <c r="E1262">
        <v>54000</v>
      </c>
      <c r="F1262" t="s">
        <v>6</v>
      </c>
      <c r="G1262">
        <f>tblSalaries[[#This Row],[clean Salary (in local currency)]]*VLOOKUP(tblSalaries[[#This Row],[Currency]],tblXrate[],2,FALSE)</f>
        <v>54000</v>
      </c>
      <c r="H1262" t="s">
        <v>1439</v>
      </c>
      <c r="I1262" t="s">
        <v>20</v>
      </c>
      <c r="J1262" t="s">
        <v>15</v>
      </c>
      <c r="K1262" t="str">
        <f>VLOOKUP(tblSalaries[[#This Row],[Where do you work]],tblCountries[[Actual]:[Mapping]],2,FALSE)</f>
        <v>USA</v>
      </c>
      <c r="L1262" t="s">
        <v>13</v>
      </c>
      <c r="M1262">
        <v>6</v>
      </c>
      <c r="N1262" s="8" t="str">
        <f>VLOOKUP(K1262,tblCountries[],3,0)</f>
        <v>North Amer.</v>
      </c>
      <c r="O1262" s="8">
        <f>VLOOKUP(tblSalaries[[#This Row],[How many hours of a day you work on Excel]],tblHours,2,0)</f>
        <v>5</v>
      </c>
      <c r="P1262" s="8">
        <f>VLOOKUP(tblSalaries[[#This Row],[clean Country]],tblCountries[],5,0)</f>
        <v>1</v>
      </c>
      <c r="Q1262" s="8">
        <f>IF($Q$1,tblSalaries[[#This Row],[PPP Factor]]*tblSalaries[[#This Row],[Salary in USD]],tblSalaries[[#This Row],[Salary in USD]])</f>
        <v>54000</v>
      </c>
    </row>
    <row r="1263" spans="2:17" ht="15" customHeight="1" x14ac:dyDescent="0.25">
      <c r="B1263" t="s">
        <v>3266</v>
      </c>
      <c r="C1263" s="1">
        <v>41058.511886574073</v>
      </c>
      <c r="D1263" s="4">
        <v>18000</v>
      </c>
      <c r="E1263">
        <v>18000</v>
      </c>
      <c r="F1263" t="s">
        <v>6</v>
      </c>
      <c r="G1263">
        <f>tblSalaries[[#This Row],[clean Salary (in local currency)]]*VLOOKUP(tblSalaries[[#This Row],[Currency]],tblXrate[],2,FALSE)</f>
        <v>18000</v>
      </c>
      <c r="H1263" t="s">
        <v>52</v>
      </c>
      <c r="I1263" t="s">
        <v>52</v>
      </c>
      <c r="J1263" t="s">
        <v>8</v>
      </c>
      <c r="K1263" t="str">
        <f>VLOOKUP(tblSalaries[[#This Row],[Where do you work]],tblCountries[[Actual]:[Mapping]],2,FALSE)</f>
        <v>India</v>
      </c>
      <c r="L1263" t="s">
        <v>9</v>
      </c>
      <c r="M1263">
        <v>12</v>
      </c>
      <c r="N1263" s="8" t="str">
        <f>VLOOKUP(K1263,tblCountries[],3,0)</f>
        <v>Asia</v>
      </c>
      <c r="O1263" s="8">
        <f>VLOOKUP(tblSalaries[[#This Row],[How many hours of a day you work on Excel]],tblHours,2,0)</f>
        <v>4</v>
      </c>
      <c r="P1263" s="8">
        <f>VLOOKUP(tblSalaries[[#This Row],[clean Country]],tblCountries[],5,0)</f>
        <v>13.098808879263672</v>
      </c>
      <c r="Q1263" s="8">
        <f>IF($Q$1,tblSalaries[[#This Row],[PPP Factor]]*tblSalaries[[#This Row],[Salary in USD]],tblSalaries[[#This Row],[Salary in USD]])</f>
        <v>18000</v>
      </c>
    </row>
    <row r="1264" spans="2:17" ht="15" customHeight="1" x14ac:dyDescent="0.25">
      <c r="B1264" t="s">
        <v>3267</v>
      </c>
      <c r="C1264" s="1">
        <v>41058.513645833336</v>
      </c>
      <c r="D1264" s="4" t="s">
        <v>1440</v>
      </c>
      <c r="E1264">
        <v>300000</v>
      </c>
      <c r="F1264" t="s">
        <v>40</v>
      </c>
      <c r="G1264">
        <f>tblSalaries[[#This Row],[clean Salary (in local currency)]]*VLOOKUP(tblSalaries[[#This Row],[Currency]],tblXrate[],2,FALSE)</f>
        <v>5342.3750062327708</v>
      </c>
      <c r="H1264" t="s">
        <v>1441</v>
      </c>
      <c r="I1264" t="s">
        <v>3999</v>
      </c>
      <c r="J1264" t="s">
        <v>8</v>
      </c>
      <c r="K1264" t="str">
        <f>VLOOKUP(tblSalaries[[#This Row],[Where do you work]],tblCountries[[Actual]:[Mapping]],2,FALSE)</f>
        <v>India</v>
      </c>
      <c r="L1264" t="s">
        <v>18</v>
      </c>
      <c r="M1264">
        <v>5</v>
      </c>
      <c r="N1264" s="8" t="str">
        <f>VLOOKUP(K1264,tblCountries[],3,0)</f>
        <v>Asia</v>
      </c>
      <c r="O1264" s="8">
        <f>VLOOKUP(tblSalaries[[#This Row],[How many hours of a day you work on Excel]],tblHours,2,0)</f>
        <v>3</v>
      </c>
      <c r="P1264" s="8">
        <f>VLOOKUP(tblSalaries[[#This Row],[clean Country]],tblCountries[],5,0)</f>
        <v>13.098808879263672</v>
      </c>
      <c r="Q1264" s="8">
        <f>IF($Q$1,tblSalaries[[#This Row],[PPP Factor]]*tblSalaries[[#This Row],[Salary in USD]],tblSalaries[[#This Row],[Salary in USD]])</f>
        <v>5342.3750062327708</v>
      </c>
    </row>
    <row r="1265" spans="2:17" ht="15" customHeight="1" x14ac:dyDescent="0.25">
      <c r="B1265" t="s">
        <v>3268</v>
      </c>
      <c r="C1265" s="1">
        <v>41058.51425925926</v>
      </c>
      <c r="D1265" s="4" t="s">
        <v>1442</v>
      </c>
      <c r="E1265">
        <v>400000</v>
      </c>
      <c r="F1265" t="s">
        <v>40</v>
      </c>
      <c r="G1265">
        <f>tblSalaries[[#This Row],[clean Salary (in local currency)]]*VLOOKUP(tblSalaries[[#This Row],[Currency]],tblXrate[],2,FALSE)</f>
        <v>7123.1666749770275</v>
      </c>
      <c r="H1265" t="s">
        <v>767</v>
      </c>
      <c r="I1265" t="s">
        <v>52</v>
      </c>
      <c r="J1265" t="s">
        <v>8</v>
      </c>
      <c r="K1265" t="str">
        <f>VLOOKUP(tblSalaries[[#This Row],[Where do you work]],tblCountries[[Actual]:[Mapping]],2,FALSE)</f>
        <v>India</v>
      </c>
      <c r="L1265" t="s">
        <v>13</v>
      </c>
      <c r="M1265">
        <v>3</v>
      </c>
      <c r="N1265" s="8" t="str">
        <f>VLOOKUP(K1265,tblCountries[],3,0)</f>
        <v>Asia</v>
      </c>
      <c r="O1265" s="8">
        <f>VLOOKUP(tblSalaries[[#This Row],[How many hours of a day you work on Excel]],tblHours,2,0)</f>
        <v>5</v>
      </c>
      <c r="P1265" s="8">
        <f>VLOOKUP(tblSalaries[[#This Row],[clean Country]],tblCountries[],5,0)</f>
        <v>13.098808879263672</v>
      </c>
      <c r="Q1265" s="8">
        <f>IF($Q$1,tblSalaries[[#This Row],[PPP Factor]]*tblSalaries[[#This Row],[Salary in USD]],tblSalaries[[#This Row],[Salary in USD]])</f>
        <v>7123.1666749770275</v>
      </c>
    </row>
    <row r="1266" spans="2:17" ht="15" customHeight="1" x14ac:dyDescent="0.25">
      <c r="B1266" t="s">
        <v>3269</v>
      </c>
      <c r="C1266" s="1">
        <v>41058.519918981481</v>
      </c>
      <c r="D1266" s="4">
        <v>15000</v>
      </c>
      <c r="E1266">
        <v>15000</v>
      </c>
      <c r="F1266" t="s">
        <v>6</v>
      </c>
      <c r="G1266">
        <f>tblSalaries[[#This Row],[clean Salary (in local currency)]]*VLOOKUP(tblSalaries[[#This Row],[Currency]],tblXrate[],2,FALSE)</f>
        <v>15000</v>
      </c>
      <c r="H1266" t="s">
        <v>1443</v>
      </c>
      <c r="I1266" t="s">
        <v>52</v>
      </c>
      <c r="J1266" t="s">
        <v>1444</v>
      </c>
      <c r="K1266" t="str">
        <f>VLOOKUP(tblSalaries[[#This Row],[Where do you work]],tblCountries[[Actual]:[Mapping]],2,FALSE)</f>
        <v>Myanmar</v>
      </c>
      <c r="L1266" t="s">
        <v>9</v>
      </c>
      <c r="M1266">
        <v>10</v>
      </c>
      <c r="N1266" s="8" t="str">
        <f>VLOOKUP(K1266,tblCountries[],3,0)</f>
        <v>Asia</v>
      </c>
      <c r="O1266" s="8">
        <f>VLOOKUP(tblSalaries[[#This Row],[How many hours of a day you work on Excel]],tblHours,2,0)</f>
        <v>4</v>
      </c>
      <c r="P1266" s="8">
        <f>VLOOKUP(tblSalaries[[#This Row],[clean Country]],tblCountries[],5,0)</f>
        <v>1</v>
      </c>
      <c r="Q1266" s="8">
        <f>IF($Q$1,tblSalaries[[#This Row],[PPP Factor]]*tblSalaries[[#This Row],[Salary in USD]],tblSalaries[[#This Row],[Salary in USD]])</f>
        <v>15000</v>
      </c>
    </row>
    <row r="1267" spans="2:17" ht="15" customHeight="1" x14ac:dyDescent="0.25">
      <c r="B1267" t="s">
        <v>3270</v>
      </c>
      <c r="C1267" s="1">
        <v>41058.520277777781</v>
      </c>
      <c r="D1267" s="4" t="s">
        <v>1445</v>
      </c>
      <c r="E1267">
        <v>14000</v>
      </c>
      <c r="F1267" t="s">
        <v>6</v>
      </c>
      <c r="G1267">
        <f>tblSalaries[[#This Row],[clean Salary (in local currency)]]*VLOOKUP(tblSalaries[[#This Row],[Currency]],tblXrate[],2,FALSE)</f>
        <v>14000</v>
      </c>
      <c r="H1267" t="s">
        <v>1446</v>
      </c>
      <c r="I1267" t="s">
        <v>20</v>
      </c>
      <c r="J1267" t="s">
        <v>8</v>
      </c>
      <c r="K1267" t="str">
        <f>VLOOKUP(tblSalaries[[#This Row],[Where do you work]],tblCountries[[Actual]:[Mapping]],2,FALSE)</f>
        <v>India</v>
      </c>
      <c r="L1267" t="s">
        <v>9</v>
      </c>
      <c r="M1267">
        <v>12</v>
      </c>
      <c r="N1267" s="8" t="str">
        <f>VLOOKUP(K1267,tblCountries[],3,0)</f>
        <v>Asia</v>
      </c>
      <c r="O1267" s="8">
        <f>VLOOKUP(tblSalaries[[#This Row],[How many hours of a day you work on Excel]],tblHours,2,0)</f>
        <v>4</v>
      </c>
      <c r="P1267" s="8">
        <f>VLOOKUP(tblSalaries[[#This Row],[clean Country]],tblCountries[],5,0)</f>
        <v>13.098808879263672</v>
      </c>
      <c r="Q1267" s="8">
        <f>IF($Q$1,tblSalaries[[#This Row],[PPP Factor]]*tblSalaries[[#This Row],[Salary in USD]],tblSalaries[[#This Row],[Salary in USD]])</f>
        <v>14000</v>
      </c>
    </row>
    <row r="1268" spans="2:17" ht="15" customHeight="1" x14ac:dyDescent="0.25">
      <c r="B1268" t="s">
        <v>3271</v>
      </c>
      <c r="C1268" s="1">
        <v>41058.546180555553</v>
      </c>
      <c r="D1268" s="4">
        <v>8000</v>
      </c>
      <c r="E1268">
        <v>8000</v>
      </c>
      <c r="F1268" t="s">
        <v>6</v>
      </c>
      <c r="G1268">
        <f>tblSalaries[[#This Row],[clean Salary (in local currency)]]*VLOOKUP(tblSalaries[[#This Row],[Currency]],tblXrate[],2,FALSE)</f>
        <v>8000</v>
      </c>
      <c r="H1268" t="s">
        <v>153</v>
      </c>
      <c r="I1268" t="s">
        <v>20</v>
      </c>
      <c r="J1268" t="s">
        <v>8</v>
      </c>
      <c r="K1268" t="str">
        <f>VLOOKUP(tblSalaries[[#This Row],[Where do you work]],tblCountries[[Actual]:[Mapping]],2,FALSE)</f>
        <v>India</v>
      </c>
      <c r="L1268" t="s">
        <v>13</v>
      </c>
      <c r="M1268">
        <v>4</v>
      </c>
      <c r="N1268" s="8" t="str">
        <f>VLOOKUP(K1268,tblCountries[],3,0)</f>
        <v>Asia</v>
      </c>
      <c r="O1268" s="8">
        <f>VLOOKUP(tblSalaries[[#This Row],[How many hours of a day you work on Excel]],tblHours,2,0)</f>
        <v>5</v>
      </c>
      <c r="P1268" s="8">
        <f>VLOOKUP(tblSalaries[[#This Row],[clean Country]],tblCountries[],5,0)</f>
        <v>13.098808879263672</v>
      </c>
      <c r="Q1268" s="8">
        <f>IF($Q$1,tblSalaries[[#This Row],[PPP Factor]]*tblSalaries[[#This Row],[Salary in USD]],tblSalaries[[#This Row],[Salary in USD]])</f>
        <v>8000</v>
      </c>
    </row>
    <row r="1269" spans="2:17" ht="15" customHeight="1" x14ac:dyDescent="0.25">
      <c r="B1269" t="s">
        <v>3272</v>
      </c>
      <c r="C1269" s="1">
        <v>41058.551342592589</v>
      </c>
      <c r="D1269" s="4">
        <v>12500</v>
      </c>
      <c r="E1269">
        <v>12500</v>
      </c>
      <c r="F1269" t="s">
        <v>6</v>
      </c>
      <c r="G1269">
        <f>tblSalaries[[#This Row],[clean Salary (in local currency)]]*VLOOKUP(tblSalaries[[#This Row],[Currency]],tblXrate[],2,FALSE)</f>
        <v>12500</v>
      </c>
      <c r="H1269" t="s">
        <v>67</v>
      </c>
      <c r="I1269" t="s">
        <v>67</v>
      </c>
      <c r="J1269" t="s">
        <v>347</v>
      </c>
      <c r="K1269" t="str">
        <f>VLOOKUP(tblSalaries[[#This Row],[Where do you work]],tblCountries[[Actual]:[Mapping]],2,FALSE)</f>
        <v>Philippines</v>
      </c>
      <c r="L1269" t="s">
        <v>18</v>
      </c>
      <c r="M1269">
        <v>7</v>
      </c>
      <c r="N1269" s="8" t="str">
        <f>VLOOKUP(K1269,tblCountries[],3,0)</f>
        <v>Asia</v>
      </c>
      <c r="O1269" s="8">
        <f>VLOOKUP(tblSalaries[[#This Row],[How many hours of a day you work on Excel]],tblHours,2,0)</f>
        <v>3</v>
      </c>
      <c r="P1269" s="8">
        <f>VLOOKUP(tblSalaries[[#This Row],[clean Country]],tblCountries[],5,0)</f>
        <v>11.879941075374417</v>
      </c>
      <c r="Q1269" s="8">
        <f>IF($Q$1,tblSalaries[[#This Row],[PPP Factor]]*tblSalaries[[#This Row],[Salary in USD]],tblSalaries[[#This Row],[Salary in USD]])</f>
        <v>12500</v>
      </c>
    </row>
    <row r="1270" spans="2:17" ht="15" customHeight="1" x14ac:dyDescent="0.25">
      <c r="B1270" t="s">
        <v>3273</v>
      </c>
      <c r="C1270" s="1">
        <v>41058.55228009259</v>
      </c>
      <c r="D1270" s="4">
        <v>140000</v>
      </c>
      <c r="E1270">
        <v>140000</v>
      </c>
      <c r="F1270" t="s">
        <v>6</v>
      </c>
      <c r="G1270">
        <f>tblSalaries[[#This Row],[clean Salary (in local currency)]]*VLOOKUP(tblSalaries[[#This Row],[Currency]],tblXrate[],2,FALSE)</f>
        <v>140000</v>
      </c>
      <c r="H1270" t="s">
        <v>89</v>
      </c>
      <c r="I1270" t="s">
        <v>310</v>
      </c>
      <c r="J1270" t="s">
        <v>15</v>
      </c>
      <c r="K1270" t="str">
        <f>VLOOKUP(tblSalaries[[#This Row],[Where do you work]],tblCountries[[Actual]:[Mapping]],2,FALSE)</f>
        <v>USA</v>
      </c>
      <c r="L1270" t="s">
        <v>9</v>
      </c>
      <c r="M1270">
        <v>12</v>
      </c>
      <c r="N1270" s="8" t="str">
        <f>VLOOKUP(K1270,tblCountries[],3,0)</f>
        <v>North Amer.</v>
      </c>
      <c r="O1270" s="8">
        <f>VLOOKUP(tblSalaries[[#This Row],[How many hours of a day you work on Excel]],tblHours,2,0)</f>
        <v>4</v>
      </c>
      <c r="P1270" s="8">
        <f>VLOOKUP(tblSalaries[[#This Row],[clean Country]],tblCountries[],5,0)</f>
        <v>1</v>
      </c>
      <c r="Q1270" s="8">
        <f>IF($Q$1,tblSalaries[[#This Row],[PPP Factor]]*tblSalaries[[#This Row],[Salary in USD]],tblSalaries[[#This Row],[Salary in USD]])</f>
        <v>140000</v>
      </c>
    </row>
    <row r="1271" spans="2:17" ht="15" customHeight="1" x14ac:dyDescent="0.25">
      <c r="B1271" t="s">
        <v>3274</v>
      </c>
      <c r="C1271" s="1">
        <v>41058.553298611114</v>
      </c>
      <c r="D1271" s="4">
        <v>1000</v>
      </c>
      <c r="E1271">
        <v>12000</v>
      </c>
      <c r="F1271" t="s">
        <v>6</v>
      </c>
      <c r="G1271">
        <f>tblSalaries[[#This Row],[clean Salary (in local currency)]]*VLOOKUP(tblSalaries[[#This Row],[Currency]],tblXrate[],2,FALSE)</f>
        <v>12000</v>
      </c>
      <c r="H1271" t="s">
        <v>1447</v>
      </c>
      <c r="I1271" t="s">
        <v>356</v>
      </c>
      <c r="J1271" t="s">
        <v>1448</v>
      </c>
      <c r="K1271" t="str">
        <f>VLOOKUP(tblSalaries[[#This Row],[Where do you work]],tblCountries[[Actual]:[Mapping]],2,FALSE)</f>
        <v>Pakistan</v>
      </c>
      <c r="L1271" t="s">
        <v>9</v>
      </c>
      <c r="M1271">
        <v>1</v>
      </c>
      <c r="N1271" s="8" t="str">
        <f>VLOOKUP(K1271,tblCountries[],3,0)</f>
        <v>Asia</v>
      </c>
      <c r="O1271" s="8">
        <f>VLOOKUP(tblSalaries[[#This Row],[How many hours of a day you work on Excel]],tblHours,2,0)</f>
        <v>4</v>
      </c>
      <c r="P1271" s="8">
        <f>VLOOKUP(tblSalaries[[#This Row],[clean Country]],tblCountries[],5,0)</f>
        <v>17.361679224973088</v>
      </c>
      <c r="Q1271" s="8">
        <f>IF($Q$1,tblSalaries[[#This Row],[PPP Factor]]*tblSalaries[[#This Row],[Salary in USD]],tblSalaries[[#This Row],[Salary in USD]])</f>
        <v>12000</v>
      </c>
    </row>
    <row r="1272" spans="2:17" ht="15" customHeight="1" x14ac:dyDescent="0.25">
      <c r="B1272" t="s">
        <v>3275</v>
      </c>
      <c r="C1272" s="1">
        <v>41058.553460648145</v>
      </c>
      <c r="D1272" s="4" t="s">
        <v>1449</v>
      </c>
      <c r="E1272">
        <v>30000</v>
      </c>
      <c r="F1272" t="s">
        <v>22</v>
      </c>
      <c r="G1272">
        <f>tblSalaries[[#This Row],[clean Salary (in local currency)]]*VLOOKUP(tblSalaries[[#This Row],[Currency]],tblXrate[],2,FALSE)</f>
        <v>38111.983169748237</v>
      </c>
      <c r="H1272" t="s">
        <v>1450</v>
      </c>
      <c r="I1272" t="s">
        <v>20</v>
      </c>
      <c r="J1272" t="s">
        <v>59</v>
      </c>
      <c r="K1272" t="str">
        <f>VLOOKUP(tblSalaries[[#This Row],[Where do you work]],tblCountries[[Actual]:[Mapping]],2,FALSE)</f>
        <v>Belgium</v>
      </c>
      <c r="L1272" t="s">
        <v>18</v>
      </c>
      <c r="M1272">
        <v>15</v>
      </c>
      <c r="N1272" s="8" t="str">
        <f>VLOOKUP(K1272,tblCountries[],3,0)</f>
        <v>Europe</v>
      </c>
      <c r="O1272" s="8">
        <f>VLOOKUP(tblSalaries[[#This Row],[How many hours of a day you work on Excel]],tblHours,2,0)</f>
        <v>3</v>
      </c>
      <c r="P1272" s="8">
        <f>VLOOKUP(tblSalaries[[#This Row],[clean Country]],tblCountries[],5,0)</f>
        <v>1.2822163924000318</v>
      </c>
      <c r="Q1272" s="8">
        <f>IF($Q$1,tblSalaries[[#This Row],[PPP Factor]]*tblSalaries[[#This Row],[Salary in USD]],tblSalaries[[#This Row],[Salary in USD]])</f>
        <v>38111.983169748237</v>
      </c>
    </row>
    <row r="1273" spans="2:17" ht="15" customHeight="1" x14ac:dyDescent="0.25">
      <c r="B1273" t="s">
        <v>3276</v>
      </c>
      <c r="C1273" s="1">
        <v>41058.558159722219</v>
      </c>
      <c r="D1273" s="4" t="s">
        <v>1451</v>
      </c>
      <c r="E1273">
        <v>600000</v>
      </c>
      <c r="F1273" t="s">
        <v>40</v>
      </c>
      <c r="G1273">
        <f>tblSalaries[[#This Row],[clean Salary (in local currency)]]*VLOOKUP(tblSalaries[[#This Row],[Currency]],tblXrate[],2,FALSE)</f>
        <v>10684.750012465542</v>
      </c>
      <c r="H1273" t="s">
        <v>1452</v>
      </c>
      <c r="I1273" t="s">
        <v>52</v>
      </c>
      <c r="J1273" t="s">
        <v>8</v>
      </c>
      <c r="K1273" t="str">
        <f>VLOOKUP(tblSalaries[[#This Row],[Where do you work]],tblCountries[[Actual]:[Mapping]],2,FALSE)</f>
        <v>India</v>
      </c>
      <c r="L1273" t="s">
        <v>18</v>
      </c>
      <c r="M1273">
        <v>2</v>
      </c>
      <c r="N1273" s="8" t="str">
        <f>VLOOKUP(K1273,tblCountries[],3,0)</f>
        <v>Asia</v>
      </c>
      <c r="O1273" s="8">
        <f>VLOOKUP(tblSalaries[[#This Row],[How many hours of a day you work on Excel]],tblHours,2,0)</f>
        <v>3</v>
      </c>
      <c r="P1273" s="8">
        <f>VLOOKUP(tblSalaries[[#This Row],[clean Country]],tblCountries[],5,0)</f>
        <v>13.098808879263672</v>
      </c>
      <c r="Q1273" s="8">
        <f>IF($Q$1,tblSalaries[[#This Row],[PPP Factor]]*tblSalaries[[#This Row],[Salary in USD]],tblSalaries[[#This Row],[Salary in USD]])</f>
        <v>10684.750012465542</v>
      </c>
    </row>
    <row r="1274" spans="2:17" ht="15" customHeight="1" x14ac:dyDescent="0.25">
      <c r="B1274" t="s">
        <v>3277</v>
      </c>
      <c r="C1274" s="1">
        <v>41058.569548611114</v>
      </c>
      <c r="D1274" s="4" t="s">
        <v>1453</v>
      </c>
      <c r="E1274">
        <v>350000</v>
      </c>
      <c r="F1274" t="s">
        <v>40</v>
      </c>
      <c r="G1274">
        <f>tblSalaries[[#This Row],[clean Salary (in local currency)]]*VLOOKUP(tblSalaries[[#This Row],[Currency]],tblXrate[],2,FALSE)</f>
        <v>6232.7708406048987</v>
      </c>
      <c r="H1274" t="s">
        <v>1454</v>
      </c>
      <c r="I1274" t="s">
        <v>20</v>
      </c>
      <c r="J1274" t="s">
        <v>8</v>
      </c>
      <c r="K1274" t="str">
        <f>VLOOKUP(tblSalaries[[#This Row],[Where do you work]],tblCountries[[Actual]:[Mapping]],2,FALSE)</f>
        <v>India</v>
      </c>
      <c r="L1274" t="s">
        <v>9</v>
      </c>
      <c r="M1274">
        <v>1.5</v>
      </c>
      <c r="N1274" s="8" t="str">
        <f>VLOOKUP(K1274,tblCountries[],3,0)</f>
        <v>Asia</v>
      </c>
      <c r="O1274" s="8">
        <f>VLOOKUP(tblSalaries[[#This Row],[How many hours of a day you work on Excel]],tblHours,2,0)</f>
        <v>4</v>
      </c>
      <c r="P1274" s="8">
        <f>VLOOKUP(tblSalaries[[#This Row],[clean Country]],tblCountries[],5,0)</f>
        <v>13.098808879263672</v>
      </c>
      <c r="Q1274" s="8">
        <f>IF($Q$1,tblSalaries[[#This Row],[PPP Factor]]*tblSalaries[[#This Row],[Salary in USD]],tblSalaries[[#This Row],[Salary in USD]])</f>
        <v>6232.7708406048987</v>
      </c>
    </row>
    <row r="1275" spans="2:17" ht="15" customHeight="1" x14ac:dyDescent="0.25">
      <c r="B1275" t="s">
        <v>3278</v>
      </c>
      <c r="C1275" s="1">
        <v>41058.577928240738</v>
      </c>
      <c r="D1275" s="4">
        <v>45000</v>
      </c>
      <c r="E1275">
        <v>45000</v>
      </c>
      <c r="F1275" t="s">
        <v>6</v>
      </c>
      <c r="G1275">
        <f>tblSalaries[[#This Row],[clean Salary (in local currency)]]*VLOOKUP(tblSalaries[[#This Row],[Currency]],tblXrate[],2,FALSE)</f>
        <v>45000</v>
      </c>
      <c r="H1275" t="s">
        <v>1455</v>
      </c>
      <c r="I1275" t="s">
        <v>20</v>
      </c>
      <c r="J1275" t="s">
        <v>17</v>
      </c>
      <c r="K1275" t="str">
        <f>VLOOKUP(tblSalaries[[#This Row],[Where do you work]],tblCountries[[Actual]:[Mapping]],2,FALSE)</f>
        <v>Pakistan</v>
      </c>
      <c r="L1275" t="s">
        <v>13</v>
      </c>
      <c r="M1275">
        <v>8</v>
      </c>
      <c r="N1275" s="8" t="str">
        <f>VLOOKUP(K1275,tblCountries[],3,0)</f>
        <v>Asia</v>
      </c>
      <c r="O1275" s="8">
        <f>VLOOKUP(tblSalaries[[#This Row],[How many hours of a day you work on Excel]],tblHours,2,0)</f>
        <v>5</v>
      </c>
      <c r="P1275" s="8">
        <f>VLOOKUP(tblSalaries[[#This Row],[clean Country]],tblCountries[],5,0)</f>
        <v>17.361679224973088</v>
      </c>
      <c r="Q1275" s="8">
        <f>IF($Q$1,tblSalaries[[#This Row],[PPP Factor]]*tblSalaries[[#This Row],[Salary in USD]],tblSalaries[[#This Row],[Salary in USD]])</f>
        <v>45000</v>
      </c>
    </row>
    <row r="1276" spans="2:17" ht="15" customHeight="1" x14ac:dyDescent="0.25">
      <c r="B1276" t="s">
        <v>3279</v>
      </c>
      <c r="C1276" s="1">
        <v>41058.579155092593</v>
      </c>
      <c r="D1276" s="4">
        <v>80000</v>
      </c>
      <c r="E1276">
        <v>80000</v>
      </c>
      <c r="F1276" t="s">
        <v>6</v>
      </c>
      <c r="G1276">
        <f>tblSalaries[[#This Row],[clean Salary (in local currency)]]*VLOOKUP(tblSalaries[[#This Row],[Currency]],tblXrate[],2,FALSE)</f>
        <v>80000</v>
      </c>
      <c r="H1276" t="s">
        <v>52</v>
      </c>
      <c r="I1276" t="s">
        <v>52</v>
      </c>
      <c r="J1276" t="s">
        <v>15</v>
      </c>
      <c r="K1276" t="str">
        <f>VLOOKUP(tblSalaries[[#This Row],[Where do you work]],tblCountries[[Actual]:[Mapping]],2,FALSE)</f>
        <v>USA</v>
      </c>
      <c r="L1276" t="s">
        <v>25</v>
      </c>
      <c r="M1276">
        <v>6</v>
      </c>
      <c r="N1276" s="8" t="str">
        <f>VLOOKUP(K1276,tblCountries[],3,0)</f>
        <v>North Amer.</v>
      </c>
      <c r="O1276" s="8">
        <f>VLOOKUP(tblSalaries[[#This Row],[How many hours of a day you work on Excel]],tblHours,2,0)</f>
        <v>2</v>
      </c>
      <c r="P1276" s="8">
        <f>VLOOKUP(tblSalaries[[#This Row],[clean Country]],tblCountries[],5,0)</f>
        <v>1</v>
      </c>
      <c r="Q1276" s="8">
        <f>IF($Q$1,tblSalaries[[#This Row],[PPP Factor]]*tblSalaries[[#This Row],[Salary in USD]],tblSalaries[[#This Row],[Salary in USD]])</f>
        <v>80000</v>
      </c>
    </row>
    <row r="1277" spans="2:17" ht="15" customHeight="1" x14ac:dyDescent="0.25">
      <c r="B1277" t="s">
        <v>3280</v>
      </c>
      <c r="C1277" s="1">
        <v>41058.579606481479</v>
      </c>
      <c r="D1277" s="4" t="s">
        <v>1456</v>
      </c>
      <c r="E1277">
        <v>1500000</v>
      </c>
      <c r="F1277" t="s">
        <v>40</v>
      </c>
      <c r="G1277">
        <f>tblSalaries[[#This Row],[clean Salary (in local currency)]]*VLOOKUP(tblSalaries[[#This Row],[Currency]],tblXrate[],2,FALSE)</f>
        <v>26711.875031163851</v>
      </c>
      <c r="H1277" t="s">
        <v>20</v>
      </c>
      <c r="I1277" t="s">
        <v>20</v>
      </c>
      <c r="J1277" t="s">
        <v>8</v>
      </c>
      <c r="K1277" t="str">
        <f>VLOOKUP(tblSalaries[[#This Row],[Where do you work]],tblCountries[[Actual]:[Mapping]],2,FALSE)</f>
        <v>India</v>
      </c>
      <c r="L1277" t="s">
        <v>9</v>
      </c>
      <c r="M1277">
        <v>7</v>
      </c>
      <c r="N1277" s="8" t="str">
        <f>VLOOKUP(K1277,tblCountries[],3,0)</f>
        <v>Asia</v>
      </c>
      <c r="O1277" s="8">
        <f>VLOOKUP(tblSalaries[[#This Row],[How many hours of a day you work on Excel]],tblHours,2,0)</f>
        <v>4</v>
      </c>
      <c r="P1277" s="8">
        <f>VLOOKUP(tblSalaries[[#This Row],[clean Country]],tblCountries[],5,0)</f>
        <v>13.098808879263672</v>
      </c>
      <c r="Q1277" s="8">
        <f>IF($Q$1,tblSalaries[[#This Row],[PPP Factor]]*tblSalaries[[#This Row],[Salary in USD]],tblSalaries[[#This Row],[Salary in USD]])</f>
        <v>26711.875031163851</v>
      </c>
    </row>
    <row r="1278" spans="2:17" ht="15" customHeight="1" x14ac:dyDescent="0.25">
      <c r="B1278" t="s">
        <v>3281</v>
      </c>
      <c r="C1278" s="1">
        <v>41058.582291666666</v>
      </c>
      <c r="D1278" s="4" t="s">
        <v>1457</v>
      </c>
      <c r="E1278">
        <v>100000</v>
      </c>
      <c r="F1278" t="s">
        <v>6</v>
      </c>
      <c r="G1278">
        <f>tblSalaries[[#This Row],[clean Salary (in local currency)]]*VLOOKUP(tblSalaries[[#This Row],[Currency]],tblXrate[],2,FALSE)</f>
        <v>100000</v>
      </c>
      <c r="H1278" t="s">
        <v>207</v>
      </c>
      <c r="I1278" t="s">
        <v>20</v>
      </c>
      <c r="J1278" t="s">
        <v>1458</v>
      </c>
      <c r="K1278" t="str">
        <f>VLOOKUP(tblSalaries[[#This Row],[Where do you work]],tblCountries[[Actual]:[Mapping]],2,FALSE)</f>
        <v>Uganda</v>
      </c>
      <c r="L1278" t="s">
        <v>9</v>
      </c>
      <c r="M1278">
        <v>17</v>
      </c>
      <c r="N1278" s="8" t="str">
        <f>VLOOKUP(K1278,tblCountries[],3,0)</f>
        <v>Africa</v>
      </c>
      <c r="O1278" s="8">
        <f>VLOOKUP(tblSalaries[[#This Row],[How many hours of a day you work on Excel]],tblHours,2,0)</f>
        <v>4</v>
      </c>
      <c r="P1278" s="8">
        <f>VLOOKUP(tblSalaries[[#This Row],[clean Country]],tblCountries[],5,0)</f>
        <v>36.740318906605921</v>
      </c>
      <c r="Q1278" s="8">
        <f>IF($Q$1,tblSalaries[[#This Row],[PPP Factor]]*tblSalaries[[#This Row],[Salary in USD]],tblSalaries[[#This Row],[Salary in USD]])</f>
        <v>100000</v>
      </c>
    </row>
    <row r="1279" spans="2:17" ht="15" customHeight="1" x14ac:dyDescent="0.25">
      <c r="B1279" t="s">
        <v>3282</v>
      </c>
      <c r="C1279" s="1">
        <v>41058.582800925928</v>
      </c>
      <c r="D1279" s="4">
        <v>68000</v>
      </c>
      <c r="E1279">
        <v>68000</v>
      </c>
      <c r="F1279" t="s">
        <v>82</v>
      </c>
      <c r="G1279">
        <f>tblSalaries[[#This Row],[clean Salary (in local currency)]]*VLOOKUP(tblSalaries[[#This Row],[Currency]],tblXrate[],2,FALSE)</f>
        <v>69353.856635379227</v>
      </c>
      <c r="H1279" t="s">
        <v>1459</v>
      </c>
      <c r="I1279" t="s">
        <v>52</v>
      </c>
      <c r="J1279" t="s">
        <v>84</v>
      </c>
      <c r="K1279" t="str">
        <f>VLOOKUP(tblSalaries[[#This Row],[Where do you work]],tblCountries[[Actual]:[Mapping]],2,FALSE)</f>
        <v>Australia</v>
      </c>
      <c r="L1279" t="s">
        <v>9</v>
      </c>
      <c r="M1279">
        <v>10</v>
      </c>
      <c r="N1279" s="8" t="str">
        <f>VLOOKUP(K1279,tblCountries[],3,0)</f>
        <v>Oceania</v>
      </c>
      <c r="O1279" s="8">
        <f>VLOOKUP(tblSalaries[[#This Row],[How many hours of a day you work on Excel]],tblHours,2,0)</f>
        <v>4</v>
      </c>
      <c r="P1279" s="8">
        <f>VLOOKUP(tblSalaries[[#This Row],[clean Country]],tblCountries[],5,0)</f>
        <v>1.2026395585822935</v>
      </c>
      <c r="Q1279" s="8">
        <f>IF($Q$1,tblSalaries[[#This Row],[PPP Factor]]*tblSalaries[[#This Row],[Salary in USD]],tblSalaries[[#This Row],[Salary in USD]])</f>
        <v>69353.856635379227</v>
      </c>
    </row>
    <row r="1280" spans="2:17" ht="15" customHeight="1" x14ac:dyDescent="0.25">
      <c r="B1280" t="s">
        <v>3283</v>
      </c>
      <c r="C1280" s="1">
        <v>41058.590601851851</v>
      </c>
      <c r="D1280" s="4" t="s">
        <v>1460</v>
      </c>
      <c r="E1280">
        <v>49000</v>
      </c>
      <c r="F1280" t="s">
        <v>82</v>
      </c>
      <c r="G1280">
        <f>tblSalaries[[#This Row],[clean Salary (in local currency)]]*VLOOKUP(tblSalaries[[#This Row],[Currency]],tblXrate[],2,FALSE)</f>
        <v>49975.573163729154</v>
      </c>
      <c r="H1280" t="s">
        <v>1461</v>
      </c>
      <c r="I1280" t="s">
        <v>488</v>
      </c>
      <c r="J1280" t="s">
        <v>84</v>
      </c>
      <c r="K1280" t="str">
        <f>VLOOKUP(tblSalaries[[#This Row],[Where do you work]],tblCountries[[Actual]:[Mapping]],2,FALSE)</f>
        <v>Australia</v>
      </c>
      <c r="L1280" t="s">
        <v>9</v>
      </c>
      <c r="M1280">
        <v>30</v>
      </c>
      <c r="N1280" s="8" t="str">
        <f>VLOOKUP(K1280,tblCountries[],3,0)</f>
        <v>Oceania</v>
      </c>
      <c r="O1280" s="8">
        <f>VLOOKUP(tblSalaries[[#This Row],[How many hours of a day you work on Excel]],tblHours,2,0)</f>
        <v>4</v>
      </c>
      <c r="P1280" s="8">
        <f>VLOOKUP(tblSalaries[[#This Row],[clean Country]],tblCountries[],5,0)</f>
        <v>1.2026395585822935</v>
      </c>
      <c r="Q1280" s="8">
        <f>IF($Q$1,tblSalaries[[#This Row],[PPP Factor]]*tblSalaries[[#This Row],[Salary in USD]],tblSalaries[[#This Row],[Salary in USD]])</f>
        <v>49975.573163729154</v>
      </c>
    </row>
    <row r="1281" spans="2:17" ht="15" customHeight="1" x14ac:dyDescent="0.25">
      <c r="B1281" t="s">
        <v>3284</v>
      </c>
      <c r="C1281" s="1">
        <v>41058.594513888886</v>
      </c>
      <c r="D1281" s="4" t="s">
        <v>1462</v>
      </c>
      <c r="E1281">
        <v>575000</v>
      </c>
      <c r="F1281" t="s">
        <v>40</v>
      </c>
      <c r="G1281">
        <f>tblSalaries[[#This Row],[clean Salary (in local currency)]]*VLOOKUP(tblSalaries[[#This Row],[Currency]],tblXrate[],2,FALSE)</f>
        <v>10239.552095279476</v>
      </c>
      <c r="H1281" t="s">
        <v>1463</v>
      </c>
      <c r="I1281" t="s">
        <v>52</v>
      </c>
      <c r="J1281" t="s">
        <v>8</v>
      </c>
      <c r="K1281" t="str">
        <f>VLOOKUP(tblSalaries[[#This Row],[Where do you work]],tblCountries[[Actual]:[Mapping]],2,FALSE)</f>
        <v>India</v>
      </c>
      <c r="L1281" t="s">
        <v>18</v>
      </c>
      <c r="M1281">
        <v>5</v>
      </c>
      <c r="N1281" s="8" t="str">
        <f>VLOOKUP(K1281,tblCountries[],3,0)</f>
        <v>Asia</v>
      </c>
      <c r="O1281" s="8">
        <f>VLOOKUP(tblSalaries[[#This Row],[How many hours of a day you work on Excel]],tblHours,2,0)</f>
        <v>3</v>
      </c>
      <c r="P1281" s="8">
        <f>VLOOKUP(tblSalaries[[#This Row],[clean Country]],tblCountries[],5,0)</f>
        <v>13.098808879263672</v>
      </c>
      <c r="Q1281" s="8">
        <f>IF($Q$1,tblSalaries[[#This Row],[PPP Factor]]*tblSalaries[[#This Row],[Salary in USD]],tblSalaries[[#This Row],[Salary in USD]])</f>
        <v>10239.552095279476</v>
      </c>
    </row>
    <row r="1282" spans="2:17" ht="15" customHeight="1" x14ac:dyDescent="0.25">
      <c r="B1282" t="s">
        <v>3285</v>
      </c>
      <c r="C1282" s="1">
        <v>41058.607430555552</v>
      </c>
      <c r="D1282" s="4" t="s">
        <v>1464</v>
      </c>
      <c r="E1282">
        <v>500000</v>
      </c>
      <c r="F1282" t="s">
        <v>40</v>
      </c>
      <c r="G1282">
        <f>tblSalaries[[#This Row],[clean Salary (in local currency)]]*VLOOKUP(tblSalaries[[#This Row],[Currency]],tblXrate[],2,FALSE)</f>
        <v>8903.9583437212841</v>
      </c>
      <c r="H1282" t="s">
        <v>1465</v>
      </c>
      <c r="I1282" t="s">
        <v>279</v>
      </c>
      <c r="J1282" t="s">
        <v>8</v>
      </c>
      <c r="K1282" t="str">
        <f>VLOOKUP(tblSalaries[[#This Row],[Where do you work]],tblCountries[[Actual]:[Mapping]],2,FALSE)</f>
        <v>India</v>
      </c>
      <c r="L1282" t="s">
        <v>9</v>
      </c>
      <c r="M1282">
        <v>2</v>
      </c>
      <c r="N1282" s="8" t="str">
        <f>VLOOKUP(K1282,tblCountries[],3,0)</f>
        <v>Asia</v>
      </c>
      <c r="O1282" s="8">
        <f>VLOOKUP(tblSalaries[[#This Row],[How many hours of a day you work on Excel]],tblHours,2,0)</f>
        <v>4</v>
      </c>
      <c r="P1282" s="8">
        <f>VLOOKUP(tblSalaries[[#This Row],[clean Country]],tblCountries[],5,0)</f>
        <v>13.098808879263672</v>
      </c>
      <c r="Q1282" s="8">
        <f>IF($Q$1,tblSalaries[[#This Row],[PPP Factor]]*tblSalaries[[#This Row],[Salary in USD]],tblSalaries[[#This Row],[Salary in USD]])</f>
        <v>8903.9583437212841</v>
      </c>
    </row>
    <row r="1283" spans="2:17" ht="15" customHeight="1" x14ac:dyDescent="0.25">
      <c r="B1283" t="s">
        <v>3286</v>
      </c>
      <c r="C1283" s="1">
        <v>41058.621770833335</v>
      </c>
      <c r="D1283" s="4" t="s">
        <v>1466</v>
      </c>
      <c r="E1283">
        <v>36000</v>
      </c>
      <c r="F1283" t="s">
        <v>6</v>
      </c>
      <c r="G1283">
        <f>tblSalaries[[#This Row],[clean Salary (in local currency)]]*VLOOKUP(tblSalaries[[#This Row],[Currency]],tblXrate[],2,FALSE)</f>
        <v>36000</v>
      </c>
      <c r="H1283" t="s">
        <v>263</v>
      </c>
      <c r="I1283" t="s">
        <v>20</v>
      </c>
      <c r="J1283" t="s">
        <v>1176</v>
      </c>
      <c r="K1283" t="str">
        <f>VLOOKUP(tblSalaries[[#This Row],[Where do you work]],tblCountries[[Actual]:[Mapping]],2,FALSE)</f>
        <v>Kuwait</v>
      </c>
      <c r="L1283" t="s">
        <v>18</v>
      </c>
      <c r="M1283">
        <v>10</v>
      </c>
      <c r="N1283" s="8" t="str">
        <f>VLOOKUP(K1283,tblCountries[],3,0)</f>
        <v>Asia</v>
      </c>
      <c r="O1283" s="8">
        <f>VLOOKUP(tblSalaries[[#This Row],[How many hours of a day you work on Excel]],tblHours,2,0)</f>
        <v>3</v>
      </c>
      <c r="P1283" s="8">
        <f>VLOOKUP(tblSalaries[[#This Row],[clean Country]],tblCountries[],5,0)</f>
        <v>1.1606102036410737</v>
      </c>
      <c r="Q1283" s="8">
        <f>IF($Q$1,tblSalaries[[#This Row],[PPP Factor]]*tblSalaries[[#This Row],[Salary in USD]],tblSalaries[[#This Row],[Salary in USD]])</f>
        <v>36000</v>
      </c>
    </row>
    <row r="1284" spans="2:17" ht="15" customHeight="1" x14ac:dyDescent="0.25">
      <c r="B1284" t="s">
        <v>3287</v>
      </c>
      <c r="C1284" s="1">
        <v>41058.621863425928</v>
      </c>
      <c r="D1284" s="4" t="s">
        <v>1467</v>
      </c>
      <c r="E1284">
        <v>210000</v>
      </c>
      <c r="F1284" t="s">
        <v>40</v>
      </c>
      <c r="G1284">
        <f>tblSalaries[[#This Row],[clean Salary (in local currency)]]*VLOOKUP(tblSalaries[[#This Row],[Currency]],tblXrate[],2,FALSE)</f>
        <v>3739.6625043629392</v>
      </c>
      <c r="H1284" t="s">
        <v>1468</v>
      </c>
      <c r="I1284" t="s">
        <v>3999</v>
      </c>
      <c r="J1284" t="s">
        <v>8</v>
      </c>
      <c r="K1284" t="str">
        <f>VLOOKUP(tblSalaries[[#This Row],[Where do you work]],tblCountries[[Actual]:[Mapping]],2,FALSE)</f>
        <v>India</v>
      </c>
      <c r="L1284" t="s">
        <v>25</v>
      </c>
      <c r="M1284">
        <v>4.5</v>
      </c>
      <c r="N1284" s="8" t="str">
        <f>VLOOKUP(K1284,tblCountries[],3,0)</f>
        <v>Asia</v>
      </c>
      <c r="O1284" s="8">
        <f>VLOOKUP(tblSalaries[[#This Row],[How many hours of a day you work on Excel]],tblHours,2,0)</f>
        <v>2</v>
      </c>
      <c r="P1284" s="8">
        <f>VLOOKUP(tblSalaries[[#This Row],[clean Country]],tblCountries[],5,0)</f>
        <v>13.098808879263672</v>
      </c>
      <c r="Q1284" s="8">
        <f>IF($Q$1,tblSalaries[[#This Row],[PPP Factor]]*tblSalaries[[#This Row],[Salary in USD]],tblSalaries[[#This Row],[Salary in USD]])</f>
        <v>3739.6625043629392</v>
      </c>
    </row>
    <row r="1285" spans="2:17" ht="15" customHeight="1" x14ac:dyDescent="0.25">
      <c r="B1285" t="s">
        <v>3288</v>
      </c>
      <c r="C1285" s="1">
        <v>41058.624432870369</v>
      </c>
      <c r="D1285" s="4" t="s">
        <v>1469</v>
      </c>
      <c r="E1285">
        <v>48500</v>
      </c>
      <c r="F1285" t="s">
        <v>22</v>
      </c>
      <c r="G1285">
        <f>tblSalaries[[#This Row],[clean Salary (in local currency)]]*VLOOKUP(tblSalaries[[#This Row],[Currency]],tblXrate[],2,FALSE)</f>
        <v>61614.372791092981</v>
      </c>
      <c r="H1285" t="s">
        <v>1470</v>
      </c>
      <c r="I1285" t="s">
        <v>20</v>
      </c>
      <c r="J1285" t="s">
        <v>628</v>
      </c>
      <c r="K1285" t="str">
        <f>VLOOKUP(tblSalaries[[#This Row],[Where do you work]],tblCountries[[Actual]:[Mapping]],2,FALSE)</f>
        <v>Netherlands</v>
      </c>
      <c r="L1285" t="s">
        <v>9</v>
      </c>
      <c r="M1285">
        <v>8</v>
      </c>
      <c r="N1285" s="8" t="str">
        <f>VLOOKUP(K1285,tblCountries[],3,0)</f>
        <v>Europe</v>
      </c>
      <c r="O1285" s="8">
        <f>VLOOKUP(tblSalaries[[#This Row],[How many hours of a day you work on Excel]],tblHours,2,0)</f>
        <v>4</v>
      </c>
      <c r="P1285" s="8">
        <f>VLOOKUP(tblSalaries[[#This Row],[clean Country]],tblCountries[],5,0)</f>
        <v>1.1470734656141099</v>
      </c>
      <c r="Q1285" s="8">
        <f>IF($Q$1,tblSalaries[[#This Row],[PPP Factor]]*tblSalaries[[#This Row],[Salary in USD]],tblSalaries[[#This Row],[Salary in USD]])</f>
        <v>61614.372791092981</v>
      </c>
    </row>
    <row r="1286" spans="2:17" ht="15" customHeight="1" x14ac:dyDescent="0.25">
      <c r="B1286" t="s">
        <v>3289</v>
      </c>
      <c r="C1286" s="1">
        <v>41058.62703703704</v>
      </c>
      <c r="D1286" s="4" t="s">
        <v>1471</v>
      </c>
      <c r="E1286">
        <v>200000</v>
      </c>
      <c r="F1286" t="s">
        <v>40</v>
      </c>
      <c r="G1286">
        <f>tblSalaries[[#This Row],[clean Salary (in local currency)]]*VLOOKUP(tblSalaries[[#This Row],[Currency]],tblXrate[],2,FALSE)</f>
        <v>3561.5833374885137</v>
      </c>
      <c r="H1286" t="s">
        <v>360</v>
      </c>
      <c r="I1286" t="s">
        <v>3999</v>
      </c>
      <c r="J1286" t="s">
        <v>8</v>
      </c>
      <c r="K1286" t="str">
        <f>VLOOKUP(tblSalaries[[#This Row],[Where do you work]],tblCountries[[Actual]:[Mapping]],2,FALSE)</f>
        <v>India</v>
      </c>
      <c r="L1286" t="s">
        <v>18</v>
      </c>
      <c r="M1286">
        <v>3</v>
      </c>
      <c r="N1286" s="8" t="str">
        <f>VLOOKUP(K1286,tblCountries[],3,0)</f>
        <v>Asia</v>
      </c>
      <c r="O1286" s="8">
        <f>VLOOKUP(tblSalaries[[#This Row],[How many hours of a day you work on Excel]],tblHours,2,0)</f>
        <v>3</v>
      </c>
      <c r="P1286" s="8">
        <f>VLOOKUP(tblSalaries[[#This Row],[clean Country]],tblCountries[],5,0)</f>
        <v>13.098808879263672</v>
      </c>
      <c r="Q1286" s="8">
        <f>IF($Q$1,tblSalaries[[#This Row],[PPP Factor]]*tblSalaries[[#This Row],[Salary in USD]],tblSalaries[[#This Row],[Salary in USD]])</f>
        <v>3561.5833374885137</v>
      </c>
    </row>
    <row r="1287" spans="2:17" ht="15" customHeight="1" x14ac:dyDescent="0.25">
      <c r="B1287" t="s">
        <v>3290</v>
      </c>
      <c r="C1287" s="1">
        <v>41058.627905092595</v>
      </c>
      <c r="D1287" s="4" t="s">
        <v>1472</v>
      </c>
      <c r="E1287">
        <v>360000</v>
      </c>
      <c r="F1287" t="s">
        <v>40</v>
      </c>
      <c r="G1287">
        <f>tblSalaries[[#This Row],[clean Salary (in local currency)]]*VLOOKUP(tblSalaries[[#This Row],[Currency]],tblXrate[],2,FALSE)</f>
        <v>6410.8500074793246</v>
      </c>
      <c r="H1287" t="s">
        <v>1473</v>
      </c>
      <c r="I1287" t="s">
        <v>20</v>
      </c>
      <c r="J1287" t="s">
        <v>8</v>
      </c>
      <c r="K1287" t="str">
        <f>VLOOKUP(tblSalaries[[#This Row],[Where do you work]],tblCountries[[Actual]:[Mapping]],2,FALSE)</f>
        <v>India</v>
      </c>
      <c r="L1287" t="s">
        <v>13</v>
      </c>
      <c r="M1287">
        <v>6</v>
      </c>
      <c r="N1287" s="8" t="str">
        <f>VLOOKUP(K1287,tblCountries[],3,0)</f>
        <v>Asia</v>
      </c>
      <c r="O1287" s="8">
        <f>VLOOKUP(tblSalaries[[#This Row],[How many hours of a day you work on Excel]],tblHours,2,0)</f>
        <v>5</v>
      </c>
      <c r="P1287" s="8">
        <f>VLOOKUP(tblSalaries[[#This Row],[clean Country]],tblCountries[],5,0)</f>
        <v>13.098808879263672</v>
      </c>
      <c r="Q1287" s="8">
        <f>IF($Q$1,tblSalaries[[#This Row],[PPP Factor]]*tblSalaries[[#This Row],[Salary in USD]],tblSalaries[[#This Row],[Salary in USD]])</f>
        <v>6410.8500074793246</v>
      </c>
    </row>
    <row r="1288" spans="2:17" ht="15" customHeight="1" x14ac:dyDescent="0.25">
      <c r="B1288" t="s">
        <v>3291</v>
      </c>
      <c r="C1288" s="1">
        <v>41058.630694444444</v>
      </c>
      <c r="D1288" s="4" t="s">
        <v>1474</v>
      </c>
      <c r="E1288">
        <v>28500</v>
      </c>
      <c r="F1288" t="s">
        <v>22</v>
      </c>
      <c r="G1288">
        <f>tblSalaries[[#This Row],[clean Salary (in local currency)]]*VLOOKUP(tblSalaries[[#This Row],[Currency]],tblXrate[],2,FALSE)</f>
        <v>36206.384011260823</v>
      </c>
      <c r="H1288" t="s">
        <v>1475</v>
      </c>
      <c r="I1288" t="s">
        <v>20</v>
      </c>
      <c r="J1288" t="s">
        <v>628</v>
      </c>
      <c r="K1288" t="str">
        <f>VLOOKUP(tblSalaries[[#This Row],[Where do you work]],tblCountries[[Actual]:[Mapping]],2,FALSE)</f>
        <v>Netherlands</v>
      </c>
      <c r="L1288" t="s">
        <v>25</v>
      </c>
      <c r="M1288">
        <v>5</v>
      </c>
      <c r="N1288" s="8" t="str">
        <f>VLOOKUP(K1288,tblCountries[],3,0)</f>
        <v>Europe</v>
      </c>
      <c r="O1288" s="8">
        <f>VLOOKUP(tblSalaries[[#This Row],[How many hours of a day you work on Excel]],tblHours,2,0)</f>
        <v>2</v>
      </c>
      <c r="P1288" s="8">
        <f>VLOOKUP(tblSalaries[[#This Row],[clean Country]],tblCountries[],5,0)</f>
        <v>1.1470734656141099</v>
      </c>
      <c r="Q1288" s="8">
        <f>IF($Q$1,tblSalaries[[#This Row],[PPP Factor]]*tblSalaries[[#This Row],[Salary in USD]],tblSalaries[[#This Row],[Salary in USD]])</f>
        <v>36206.384011260823</v>
      </c>
    </row>
    <row r="1289" spans="2:17" ht="15" customHeight="1" x14ac:dyDescent="0.25">
      <c r="B1289" t="s">
        <v>3292</v>
      </c>
      <c r="C1289" s="1">
        <v>41058.632222222222</v>
      </c>
      <c r="D1289" s="4">
        <v>13500</v>
      </c>
      <c r="E1289">
        <v>13500</v>
      </c>
      <c r="F1289" t="s">
        <v>6</v>
      </c>
      <c r="G1289">
        <f>tblSalaries[[#This Row],[clean Salary (in local currency)]]*VLOOKUP(tblSalaries[[#This Row],[Currency]],tblXrate[],2,FALSE)</f>
        <v>13500</v>
      </c>
      <c r="H1289" t="s">
        <v>804</v>
      </c>
      <c r="I1289" t="s">
        <v>52</v>
      </c>
      <c r="J1289" t="s">
        <v>8</v>
      </c>
      <c r="K1289" t="str">
        <f>VLOOKUP(tblSalaries[[#This Row],[Where do you work]],tblCountries[[Actual]:[Mapping]],2,FALSE)</f>
        <v>India</v>
      </c>
      <c r="L1289" t="s">
        <v>18</v>
      </c>
      <c r="M1289">
        <v>20</v>
      </c>
      <c r="N1289" s="8" t="str">
        <f>VLOOKUP(K1289,tblCountries[],3,0)</f>
        <v>Asia</v>
      </c>
      <c r="O1289" s="8">
        <f>VLOOKUP(tblSalaries[[#This Row],[How many hours of a day you work on Excel]],tblHours,2,0)</f>
        <v>3</v>
      </c>
      <c r="P1289" s="8">
        <f>VLOOKUP(tblSalaries[[#This Row],[clean Country]],tblCountries[],5,0)</f>
        <v>13.098808879263672</v>
      </c>
      <c r="Q1289" s="8">
        <f>IF($Q$1,tblSalaries[[#This Row],[PPP Factor]]*tblSalaries[[#This Row],[Salary in USD]],tblSalaries[[#This Row],[Salary in USD]])</f>
        <v>13500</v>
      </c>
    </row>
    <row r="1290" spans="2:17" ht="15" customHeight="1" x14ac:dyDescent="0.25">
      <c r="B1290" t="s">
        <v>3293</v>
      </c>
      <c r="C1290" s="1">
        <v>41058.638020833336</v>
      </c>
      <c r="D1290" s="4">
        <v>250</v>
      </c>
      <c r="E1290">
        <v>3000</v>
      </c>
      <c r="F1290" t="s">
        <v>6</v>
      </c>
      <c r="G1290">
        <f>tblSalaries[[#This Row],[clean Salary (in local currency)]]*VLOOKUP(tblSalaries[[#This Row],[Currency]],tblXrate[],2,FALSE)</f>
        <v>3000</v>
      </c>
      <c r="H1290" t="s">
        <v>1476</v>
      </c>
      <c r="I1290" t="s">
        <v>310</v>
      </c>
      <c r="J1290" t="s">
        <v>1477</v>
      </c>
      <c r="K1290" t="str">
        <f>VLOOKUP(tblSalaries[[#This Row],[Where do you work]],tblCountries[[Actual]:[Mapping]],2,FALSE)</f>
        <v>Sri Lanka</v>
      </c>
      <c r="L1290" t="s">
        <v>9</v>
      </c>
      <c r="M1290">
        <v>2</v>
      </c>
      <c r="N1290" s="8" t="str">
        <f>VLOOKUP(K1290,tblCountries[],3,0)</f>
        <v>Asia</v>
      </c>
      <c r="O1290" s="8">
        <f>VLOOKUP(tblSalaries[[#This Row],[How many hours of a day you work on Excel]],tblHours,2,0)</f>
        <v>4</v>
      </c>
      <c r="P1290" s="8">
        <f>VLOOKUP(tblSalaries[[#This Row],[clean Country]],tblCountries[],5,0)</f>
        <v>8.5278463165315479</v>
      </c>
      <c r="Q1290" s="8">
        <f>IF($Q$1,tblSalaries[[#This Row],[PPP Factor]]*tblSalaries[[#This Row],[Salary in USD]],tblSalaries[[#This Row],[Salary in USD]])</f>
        <v>3000</v>
      </c>
    </row>
    <row r="1291" spans="2:17" ht="15" customHeight="1" x14ac:dyDescent="0.25">
      <c r="B1291" t="s">
        <v>3294</v>
      </c>
      <c r="C1291" s="1">
        <v>41058.642187500001</v>
      </c>
      <c r="D1291" s="4">
        <v>1200000</v>
      </c>
      <c r="E1291">
        <v>1200000</v>
      </c>
      <c r="F1291" t="s">
        <v>40</v>
      </c>
      <c r="G1291">
        <f>tblSalaries[[#This Row],[clean Salary (in local currency)]]*VLOOKUP(tblSalaries[[#This Row],[Currency]],tblXrate[],2,FALSE)</f>
        <v>21369.500024931083</v>
      </c>
      <c r="H1291" t="s">
        <v>1478</v>
      </c>
      <c r="I1291" t="s">
        <v>52</v>
      </c>
      <c r="J1291" t="s">
        <v>8</v>
      </c>
      <c r="K1291" t="str">
        <f>VLOOKUP(tblSalaries[[#This Row],[Where do you work]],tblCountries[[Actual]:[Mapping]],2,FALSE)</f>
        <v>India</v>
      </c>
      <c r="L1291" t="s">
        <v>9</v>
      </c>
      <c r="M1291">
        <v>9</v>
      </c>
      <c r="N1291" s="8" t="str">
        <f>VLOOKUP(K1291,tblCountries[],3,0)</f>
        <v>Asia</v>
      </c>
      <c r="O1291" s="8">
        <f>VLOOKUP(tblSalaries[[#This Row],[How many hours of a day you work on Excel]],tblHours,2,0)</f>
        <v>4</v>
      </c>
      <c r="P1291" s="8">
        <f>VLOOKUP(tblSalaries[[#This Row],[clean Country]],tblCountries[],5,0)</f>
        <v>13.098808879263672</v>
      </c>
      <c r="Q1291" s="8">
        <f>IF($Q$1,tblSalaries[[#This Row],[PPP Factor]]*tblSalaries[[#This Row],[Salary in USD]],tblSalaries[[#This Row],[Salary in USD]])</f>
        <v>21369.500024931083</v>
      </c>
    </row>
    <row r="1292" spans="2:17" ht="15" customHeight="1" x14ac:dyDescent="0.25">
      <c r="B1292" t="s">
        <v>3295</v>
      </c>
      <c r="C1292" s="1">
        <v>41058.650289351855</v>
      </c>
      <c r="D1292" s="4" t="s">
        <v>1479</v>
      </c>
      <c r="E1292">
        <v>600000</v>
      </c>
      <c r="F1292" t="s">
        <v>40</v>
      </c>
      <c r="G1292">
        <f>tblSalaries[[#This Row],[clean Salary (in local currency)]]*VLOOKUP(tblSalaries[[#This Row],[Currency]],tblXrate[],2,FALSE)</f>
        <v>10684.750012465542</v>
      </c>
      <c r="H1292" t="s">
        <v>432</v>
      </c>
      <c r="I1292" t="s">
        <v>52</v>
      </c>
      <c r="J1292" t="s">
        <v>8</v>
      </c>
      <c r="K1292" t="str">
        <f>VLOOKUP(tblSalaries[[#This Row],[Where do you work]],tblCountries[[Actual]:[Mapping]],2,FALSE)</f>
        <v>India</v>
      </c>
      <c r="L1292" t="s">
        <v>18</v>
      </c>
      <c r="M1292">
        <v>28</v>
      </c>
      <c r="N1292" s="8" t="str">
        <f>VLOOKUP(K1292,tblCountries[],3,0)</f>
        <v>Asia</v>
      </c>
      <c r="O1292" s="8">
        <f>VLOOKUP(tblSalaries[[#This Row],[How many hours of a day you work on Excel]],tblHours,2,0)</f>
        <v>3</v>
      </c>
      <c r="P1292" s="8">
        <f>VLOOKUP(tblSalaries[[#This Row],[clean Country]],tblCountries[],5,0)</f>
        <v>13.098808879263672</v>
      </c>
      <c r="Q1292" s="8">
        <f>IF($Q$1,tblSalaries[[#This Row],[PPP Factor]]*tblSalaries[[#This Row],[Salary in USD]],tblSalaries[[#This Row],[Salary in USD]])</f>
        <v>10684.750012465542</v>
      </c>
    </row>
    <row r="1293" spans="2:17" ht="15" customHeight="1" x14ac:dyDescent="0.25">
      <c r="B1293" t="s">
        <v>3296</v>
      </c>
      <c r="C1293" s="1">
        <v>41058.65048611111</v>
      </c>
      <c r="D1293" s="4">
        <v>139000</v>
      </c>
      <c r="E1293">
        <v>139000</v>
      </c>
      <c r="F1293" t="s">
        <v>22</v>
      </c>
      <c r="G1293">
        <f>tblSalaries[[#This Row],[clean Salary (in local currency)]]*VLOOKUP(tblSalaries[[#This Row],[Currency]],tblXrate[],2,FALSE)</f>
        <v>176585.52201983347</v>
      </c>
      <c r="H1293" t="s">
        <v>1480</v>
      </c>
      <c r="I1293" t="s">
        <v>52</v>
      </c>
      <c r="J1293" t="s">
        <v>24</v>
      </c>
      <c r="K1293" t="str">
        <f>VLOOKUP(tblSalaries[[#This Row],[Where do you work]],tblCountries[[Actual]:[Mapping]],2,FALSE)</f>
        <v>Germany</v>
      </c>
      <c r="L1293" t="s">
        <v>25</v>
      </c>
      <c r="M1293">
        <v>25</v>
      </c>
      <c r="N1293" s="8" t="str">
        <f>VLOOKUP(K1293,tblCountries[],3,0)</f>
        <v>Europe</v>
      </c>
      <c r="O1293" s="8">
        <f>VLOOKUP(tblSalaries[[#This Row],[How many hours of a day you work on Excel]],tblHours,2,0)</f>
        <v>2</v>
      </c>
      <c r="P1293" s="8">
        <f>VLOOKUP(tblSalaries[[#This Row],[clean Country]],tblCountries[],5,0)</f>
        <v>1.276802913159353</v>
      </c>
      <c r="Q1293" s="8">
        <f>IF($Q$1,tblSalaries[[#This Row],[PPP Factor]]*tblSalaries[[#This Row],[Salary in USD]],tblSalaries[[#This Row],[Salary in USD]])</f>
        <v>176585.52201983347</v>
      </c>
    </row>
    <row r="1294" spans="2:17" ht="15" customHeight="1" x14ac:dyDescent="0.25">
      <c r="B1294" t="s">
        <v>3297</v>
      </c>
      <c r="C1294" s="1">
        <v>41058.65185185185</v>
      </c>
      <c r="D1294" s="4" t="s">
        <v>1481</v>
      </c>
      <c r="E1294">
        <v>43000</v>
      </c>
      <c r="F1294" t="s">
        <v>22</v>
      </c>
      <c r="G1294">
        <f>tblSalaries[[#This Row],[clean Salary (in local currency)]]*VLOOKUP(tblSalaries[[#This Row],[Currency]],tblXrate[],2,FALSE)</f>
        <v>54627.175876639136</v>
      </c>
      <c r="H1294" t="s">
        <v>1482</v>
      </c>
      <c r="I1294" t="s">
        <v>52</v>
      </c>
      <c r="J1294" t="s">
        <v>106</v>
      </c>
      <c r="K1294" t="str">
        <f>VLOOKUP(tblSalaries[[#This Row],[Where do you work]],tblCountries[[Actual]:[Mapping]],2,FALSE)</f>
        <v>France</v>
      </c>
      <c r="L1294" t="s">
        <v>13</v>
      </c>
      <c r="M1294">
        <v>7</v>
      </c>
      <c r="N1294" s="8" t="str">
        <f>VLOOKUP(K1294,tblCountries[],3,0)</f>
        <v>Europe</v>
      </c>
      <c r="O1294" s="8">
        <f>VLOOKUP(tblSalaries[[#This Row],[How many hours of a day you work on Excel]],tblHours,2,0)</f>
        <v>5</v>
      </c>
      <c r="P1294" s="8">
        <f>VLOOKUP(tblSalaries[[#This Row],[clean Country]],tblCountries[],5,0)</f>
        <v>1.3763511207190806</v>
      </c>
      <c r="Q1294" s="8">
        <f>IF($Q$1,tblSalaries[[#This Row],[PPP Factor]]*tblSalaries[[#This Row],[Salary in USD]],tblSalaries[[#This Row],[Salary in USD]])</f>
        <v>54627.175876639136</v>
      </c>
    </row>
    <row r="1295" spans="2:17" ht="15" customHeight="1" x14ac:dyDescent="0.25">
      <c r="B1295" t="s">
        <v>3298</v>
      </c>
      <c r="C1295" s="1">
        <v>41058.657141203701</v>
      </c>
      <c r="D1295" s="4" t="s">
        <v>1483</v>
      </c>
      <c r="E1295">
        <v>24000</v>
      </c>
      <c r="F1295" t="s">
        <v>22</v>
      </c>
      <c r="G1295">
        <f>tblSalaries[[#This Row],[clean Salary (in local currency)]]*VLOOKUP(tblSalaries[[#This Row],[Currency]],tblXrate[],2,FALSE)</f>
        <v>30489.586535798586</v>
      </c>
      <c r="H1295" t="s">
        <v>488</v>
      </c>
      <c r="I1295" t="s">
        <v>488</v>
      </c>
      <c r="J1295" t="s">
        <v>1351</v>
      </c>
      <c r="K1295" t="str">
        <f>VLOOKUP(tblSalaries[[#This Row],[Where do you work]],tblCountries[[Actual]:[Mapping]],2,FALSE)</f>
        <v>italy</v>
      </c>
      <c r="L1295" t="s">
        <v>9</v>
      </c>
      <c r="M1295">
        <v>10</v>
      </c>
      <c r="N1295" s="8" t="str">
        <f>VLOOKUP(K1295,tblCountries[],3,0)</f>
        <v>Europe</v>
      </c>
      <c r="O1295" s="8">
        <f>VLOOKUP(tblSalaries[[#This Row],[How many hours of a day you work on Excel]],tblHours,2,0)</f>
        <v>4</v>
      </c>
      <c r="P1295" s="8">
        <f>VLOOKUP(tblSalaries[[#This Row],[clean Country]],tblCountries[],5,0)</f>
        <v>1.5883337710084033</v>
      </c>
      <c r="Q1295" s="8">
        <f>IF($Q$1,tblSalaries[[#This Row],[PPP Factor]]*tblSalaries[[#This Row],[Salary in USD]],tblSalaries[[#This Row],[Salary in USD]])</f>
        <v>30489.586535798586</v>
      </c>
    </row>
    <row r="1296" spans="2:17" ht="15" customHeight="1" x14ac:dyDescent="0.25">
      <c r="B1296" t="s">
        <v>3299</v>
      </c>
      <c r="C1296" s="1">
        <v>41058.659502314818</v>
      </c>
      <c r="D1296" s="4">
        <v>314000</v>
      </c>
      <c r="E1296">
        <v>314000</v>
      </c>
      <c r="F1296" t="s">
        <v>40</v>
      </c>
      <c r="G1296">
        <f>tblSalaries[[#This Row],[clean Salary (in local currency)]]*VLOOKUP(tblSalaries[[#This Row],[Currency]],tblXrate[],2,FALSE)</f>
        <v>5591.6858398569666</v>
      </c>
      <c r="H1296" t="s">
        <v>1484</v>
      </c>
      <c r="I1296" t="s">
        <v>52</v>
      </c>
      <c r="J1296" t="s">
        <v>8</v>
      </c>
      <c r="K1296" t="str">
        <f>VLOOKUP(tblSalaries[[#This Row],[Where do you work]],tblCountries[[Actual]:[Mapping]],2,FALSE)</f>
        <v>India</v>
      </c>
      <c r="L1296" t="s">
        <v>25</v>
      </c>
      <c r="M1296">
        <v>0.1</v>
      </c>
      <c r="N1296" s="8" t="str">
        <f>VLOOKUP(K1296,tblCountries[],3,0)</f>
        <v>Asia</v>
      </c>
      <c r="O1296" s="8">
        <f>VLOOKUP(tblSalaries[[#This Row],[How many hours of a day you work on Excel]],tblHours,2,0)</f>
        <v>2</v>
      </c>
      <c r="P1296" s="8">
        <f>VLOOKUP(tblSalaries[[#This Row],[clean Country]],tblCountries[],5,0)</f>
        <v>13.098808879263672</v>
      </c>
      <c r="Q1296" s="8">
        <f>IF($Q$1,tblSalaries[[#This Row],[PPP Factor]]*tblSalaries[[#This Row],[Salary in USD]],tblSalaries[[#This Row],[Salary in USD]])</f>
        <v>5591.6858398569666</v>
      </c>
    </row>
    <row r="1297" spans="2:17" ht="15" customHeight="1" x14ac:dyDescent="0.25">
      <c r="B1297" t="s">
        <v>3300</v>
      </c>
      <c r="C1297" s="1">
        <v>41058.66065972222</v>
      </c>
      <c r="D1297" s="4" t="s">
        <v>1485</v>
      </c>
      <c r="E1297">
        <v>82000</v>
      </c>
      <c r="F1297" t="s">
        <v>6</v>
      </c>
      <c r="G1297">
        <f>tblSalaries[[#This Row],[clean Salary (in local currency)]]*VLOOKUP(tblSalaries[[#This Row],[Currency]],tblXrate[],2,FALSE)</f>
        <v>82000</v>
      </c>
      <c r="H1297" t="s">
        <v>356</v>
      </c>
      <c r="I1297" t="s">
        <v>356</v>
      </c>
      <c r="J1297" t="s">
        <v>48</v>
      </c>
      <c r="K1297" t="str">
        <f>VLOOKUP(tblSalaries[[#This Row],[Where do you work]],tblCountries[[Actual]:[Mapping]],2,FALSE)</f>
        <v>South Africa</v>
      </c>
      <c r="L1297" t="s">
        <v>9</v>
      </c>
      <c r="M1297">
        <v>10</v>
      </c>
      <c r="N1297" s="8" t="str">
        <f>VLOOKUP(K1297,tblCountries[],3,0)</f>
        <v>Africa</v>
      </c>
      <c r="O1297" s="8">
        <f>VLOOKUP(tblSalaries[[#This Row],[How many hours of a day you work on Excel]],tblHours,2,0)</f>
        <v>4</v>
      </c>
      <c r="P1297" s="8">
        <f>VLOOKUP(tblSalaries[[#This Row],[clean Country]],tblCountries[],5,0)</f>
        <v>4.4096418481727877</v>
      </c>
      <c r="Q1297" s="8">
        <f>IF($Q$1,tblSalaries[[#This Row],[PPP Factor]]*tblSalaries[[#This Row],[Salary in USD]],tblSalaries[[#This Row],[Salary in USD]])</f>
        <v>82000</v>
      </c>
    </row>
    <row r="1298" spans="2:17" ht="15" customHeight="1" x14ac:dyDescent="0.25">
      <c r="B1298" t="s">
        <v>3301</v>
      </c>
      <c r="C1298" s="1">
        <v>41058.66196759259</v>
      </c>
      <c r="D1298" s="4">
        <v>10000</v>
      </c>
      <c r="E1298">
        <v>10000</v>
      </c>
      <c r="F1298" t="s">
        <v>6</v>
      </c>
      <c r="G1298">
        <f>tblSalaries[[#This Row],[clean Salary (in local currency)]]*VLOOKUP(tblSalaries[[#This Row],[Currency]],tblXrate[],2,FALSE)</f>
        <v>10000</v>
      </c>
      <c r="H1298" t="s">
        <v>360</v>
      </c>
      <c r="I1298" t="s">
        <v>3999</v>
      </c>
      <c r="J1298" t="s">
        <v>8</v>
      </c>
      <c r="K1298" t="str">
        <f>VLOOKUP(tblSalaries[[#This Row],[Where do you work]],tblCountries[[Actual]:[Mapping]],2,FALSE)</f>
        <v>India</v>
      </c>
      <c r="L1298" t="s">
        <v>25</v>
      </c>
      <c r="M1298">
        <v>0.5</v>
      </c>
      <c r="N1298" s="8" t="str">
        <f>VLOOKUP(K1298,tblCountries[],3,0)</f>
        <v>Asia</v>
      </c>
      <c r="O1298" s="8">
        <f>VLOOKUP(tblSalaries[[#This Row],[How many hours of a day you work on Excel]],tblHours,2,0)</f>
        <v>2</v>
      </c>
      <c r="P1298" s="8">
        <f>VLOOKUP(tblSalaries[[#This Row],[clean Country]],tblCountries[],5,0)</f>
        <v>13.098808879263672</v>
      </c>
      <c r="Q1298" s="8">
        <f>IF($Q$1,tblSalaries[[#This Row],[PPP Factor]]*tblSalaries[[#This Row],[Salary in USD]],tblSalaries[[#This Row],[Salary in USD]])</f>
        <v>10000</v>
      </c>
    </row>
    <row r="1299" spans="2:17" ht="15" customHeight="1" x14ac:dyDescent="0.25">
      <c r="B1299" t="s">
        <v>3302</v>
      </c>
      <c r="C1299" s="1">
        <v>41058.672210648147</v>
      </c>
      <c r="D1299" s="4">
        <v>9000</v>
      </c>
      <c r="E1299">
        <v>9000</v>
      </c>
      <c r="F1299" t="s">
        <v>6</v>
      </c>
      <c r="G1299">
        <f>tblSalaries[[#This Row],[clean Salary (in local currency)]]*VLOOKUP(tblSalaries[[#This Row],[Currency]],tblXrate[],2,FALSE)</f>
        <v>9000</v>
      </c>
      <c r="H1299" t="s">
        <v>153</v>
      </c>
      <c r="I1299" t="s">
        <v>20</v>
      </c>
      <c r="J1299" t="s">
        <v>8</v>
      </c>
      <c r="K1299" t="str">
        <f>VLOOKUP(tblSalaries[[#This Row],[Where do you work]],tblCountries[[Actual]:[Mapping]],2,FALSE)</f>
        <v>India</v>
      </c>
      <c r="L1299" t="s">
        <v>13</v>
      </c>
      <c r="M1299">
        <v>0.6</v>
      </c>
      <c r="N1299" s="8" t="str">
        <f>VLOOKUP(K1299,tblCountries[],3,0)</f>
        <v>Asia</v>
      </c>
      <c r="O1299" s="8">
        <f>VLOOKUP(tblSalaries[[#This Row],[How many hours of a day you work on Excel]],tblHours,2,0)</f>
        <v>5</v>
      </c>
      <c r="P1299" s="8">
        <f>VLOOKUP(tblSalaries[[#This Row],[clean Country]],tblCountries[],5,0)</f>
        <v>13.098808879263672</v>
      </c>
      <c r="Q1299" s="8">
        <f>IF($Q$1,tblSalaries[[#This Row],[PPP Factor]]*tblSalaries[[#This Row],[Salary in USD]],tblSalaries[[#This Row],[Salary in USD]])</f>
        <v>9000</v>
      </c>
    </row>
    <row r="1300" spans="2:17" ht="15" customHeight="1" x14ac:dyDescent="0.25">
      <c r="B1300" t="s">
        <v>3303</v>
      </c>
      <c r="C1300" s="1">
        <v>41058.672685185185</v>
      </c>
      <c r="D1300" s="4">
        <v>9000</v>
      </c>
      <c r="E1300">
        <v>9000</v>
      </c>
      <c r="F1300" t="s">
        <v>6</v>
      </c>
      <c r="G1300">
        <f>tblSalaries[[#This Row],[clean Salary (in local currency)]]*VLOOKUP(tblSalaries[[#This Row],[Currency]],tblXrate[],2,FALSE)</f>
        <v>9000</v>
      </c>
      <c r="H1300" t="s">
        <v>153</v>
      </c>
      <c r="I1300" t="s">
        <v>20</v>
      </c>
      <c r="J1300" t="s">
        <v>8</v>
      </c>
      <c r="K1300" t="str">
        <f>VLOOKUP(tblSalaries[[#This Row],[Where do you work]],tblCountries[[Actual]:[Mapping]],2,FALSE)</f>
        <v>India</v>
      </c>
      <c r="L1300" t="s">
        <v>9</v>
      </c>
      <c r="M1300">
        <v>1</v>
      </c>
      <c r="N1300" s="8" t="str">
        <f>VLOOKUP(K1300,tblCountries[],3,0)</f>
        <v>Asia</v>
      </c>
      <c r="O1300" s="8">
        <f>VLOOKUP(tblSalaries[[#This Row],[How many hours of a day you work on Excel]],tblHours,2,0)</f>
        <v>4</v>
      </c>
      <c r="P1300" s="8">
        <f>VLOOKUP(tblSalaries[[#This Row],[clean Country]],tblCountries[],5,0)</f>
        <v>13.098808879263672</v>
      </c>
      <c r="Q1300" s="8">
        <f>IF($Q$1,tblSalaries[[#This Row],[PPP Factor]]*tblSalaries[[#This Row],[Salary in USD]],tblSalaries[[#This Row],[Salary in USD]])</f>
        <v>9000</v>
      </c>
    </row>
    <row r="1301" spans="2:17" ht="15" customHeight="1" x14ac:dyDescent="0.25">
      <c r="B1301" t="s">
        <v>3304</v>
      </c>
      <c r="C1301" s="1">
        <v>41058.679849537039</v>
      </c>
      <c r="D1301" s="4" t="s">
        <v>1486</v>
      </c>
      <c r="E1301">
        <v>660000</v>
      </c>
      <c r="F1301" t="s">
        <v>40</v>
      </c>
      <c r="G1301">
        <f>tblSalaries[[#This Row],[clean Salary (in local currency)]]*VLOOKUP(tblSalaries[[#This Row],[Currency]],tblXrate[],2,FALSE)</f>
        <v>11753.225013712095</v>
      </c>
      <c r="H1301" t="s">
        <v>1487</v>
      </c>
      <c r="I1301" t="s">
        <v>52</v>
      </c>
      <c r="J1301" t="s">
        <v>8</v>
      </c>
      <c r="K1301" t="str">
        <f>VLOOKUP(tblSalaries[[#This Row],[Where do you work]],tblCountries[[Actual]:[Mapping]],2,FALSE)</f>
        <v>India</v>
      </c>
      <c r="L1301" t="s">
        <v>13</v>
      </c>
      <c r="M1301">
        <v>7</v>
      </c>
      <c r="N1301" s="8" t="str">
        <f>VLOOKUP(K1301,tblCountries[],3,0)</f>
        <v>Asia</v>
      </c>
      <c r="O1301" s="8">
        <f>VLOOKUP(tblSalaries[[#This Row],[How many hours of a day you work on Excel]],tblHours,2,0)</f>
        <v>5</v>
      </c>
      <c r="P1301" s="8">
        <f>VLOOKUP(tblSalaries[[#This Row],[clean Country]],tblCountries[],5,0)</f>
        <v>13.098808879263672</v>
      </c>
      <c r="Q1301" s="8">
        <f>IF($Q$1,tblSalaries[[#This Row],[PPP Factor]]*tblSalaries[[#This Row],[Salary in USD]],tblSalaries[[#This Row],[Salary in USD]])</f>
        <v>11753.225013712095</v>
      </c>
    </row>
    <row r="1302" spans="2:17" ht="15" customHeight="1" x14ac:dyDescent="0.25">
      <c r="B1302" t="s">
        <v>3305</v>
      </c>
      <c r="C1302" s="1">
        <v>41058.684895833336</v>
      </c>
      <c r="D1302" s="4" t="s">
        <v>1488</v>
      </c>
      <c r="E1302">
        <v>204000</v>
      </c>
      <c r="F1302" t="s">
        <v>40</v>
      </c>
      <c r="G1302">
        <f>tblSalaries[[#This Row],[clean Salary (in local currency)]]*VLOOKUP(tblSalaries[[#This Row],[Currency]],tblXrate[],2,FALSE)</f>
        <v>3632.815004238284</v>
      </c>
      <c r="H1302" t="s">
        <v>1489</v>
      </c>
      <c r="I1302" t="s">
        <v>3999</v>
      </c>
      <c r="J1302" t="s">
        <v>8</v>
      </c>
      <c r="K1302" t="str">
        <f>VLOOKUP(tblSalaries[[#This Row],[Where do you work]],tblCountries[[Actual]:[Mapping]],2,FALSE)</f>
        <v>India</v>
      </c>
      <c r="L1302" t="s">
        <v>13</v>
      </c>
      <c r="M1302">
        <v>2</v>
      </c>
      <c r="N1302" s="8" t="str">
        <f>VLOOKUP(K1302,tblCountries[],3,0)</f>
        <v>Asia</v>
      </c>
      <c r="O1302" s="8">
        <f>VLOOKUP(tblSalaries[[#This Row],[How many hours of a day you work on Excel]],tblHours,2,0)</f>
        <v>5</v>
      </c>
      <c r="P1302" s="8">
        <f>VLOOKUP(tblSalaries[[#This Row],[clean Country]],tblCountries[],5,0)</f>
        <v>13.098808879263672</v>
      </c>
      <c r="Q1302" s="8">
        <f>IF($Q$1,tblSalaries[[#This Row],[PPP Factor]]*tblSalaries[[#This Row],[Salary in USD]],tblSalaries[[#This Row],[Salary in USD]])</f>
        <v>3632.815004238284</v>
      </c>
    </row>
    <row r="1303" spans="2:17" ht="15" customHeight="1" x14ac:dyDescent="0.25">
      <c r="B1303" t="s">
        <v>3306</v>
      </c>
      <c r="C1303" s="1">
        <v>41058.688263888886</v>
      </c>
      <c r="D1303" s="4">
        <v>75000</v>
      </c>
      <c r="E1303">
        <v>75000</v>
      </c>
      <c r="F1303" t="s">
        <v>22</v>
      </c>
      <c r="G1303">
        <f>tblSalaries[[#This Row],[clean Salary (in local currency)]]*VLOOKUP(tblSalaries[[#This Row],[Currency]],tblXrate[],2,FALSE)</f>
        <v>95279.957924370581</v>
      </c>
      <c r="H1303" t="s">
        <v>14</v>
      </c>
      <c r="I1303" t="s">
        <v>20</v>
      </c>
      <c r="J1303" t="s">
        <v>628</v>
      </c>
      <c r="K1303" t="str">
        <f>VLOOKUP(tblSalaries[[#This Row],[Where do you work]],tblCountries[[Actual]:[Mapping]],2,FALSE)</f>
        <v>Netherlands</v>
      </c>
      <c r="L1303" t="s">
        <v>13</v>
      </c>
      <c r="M1303">
        <v>16</v>
      </c>
      <c r="N1303" s="8" t="str">
        <f>VLOOKUP(K1303,tblCountries[],3,0)</f>
        <v>Europe</v>
      </c>
      <c r="O1303" s="8">
        <f>VLOOKUP(tblSalaries[[#This Row],[How many hours of a day you work on Excel]],tblHours,2,0)</f>
        <v>5</v>
      </c>
      <c r="P1303" s="8">
        <f>VLOOKUP(tblSalaries[[#This Row],[clean Country]],tblCountries[],5,0)</f>
        <v>1.1470734656141099</v>
      </c>
      <c r="Q1303" s="8">
        <f>IF($Q$1,tblSalaries[[#This Row],[PPP Factor]]*tblSalaries[[#This Row],[Salary in USD]],tblSalaries[[#This Row],[Salary in USD]])</f>
        <v>95279.957924370581</v>
      </c>
    </row>
    <row r="1304" spans="2:17" ht="15" customHeight="1" x14ac:dyDescent="0.25">
      <c r="B1304" t="s">
        <v>3307</v>
      </c>
      <c r="C1304" s="1">
        <v>41058.693877314814</v>
      </c>
      <c r="D1304" s="4" t="s">
        <v>1249</v>
      </c>
      <c r="E1304">
        <v>45000</v>
      </c>
      <c r="F1304" t="s">
        <v>69</v>
      </c>
      <c r="G1304">
        <f>tblSalaries[[#This Row],[clean Salary (in local currency)]]*VLOOKUP(tblSalaries[[#This Row],[Currency]],tblXrate[],2,FALSE)</f>
        <v>70928.022243027779</v>
      </c>
      <c r="H1304" t="s">
        <v>76</v>
      </c>
      <c r="I1304" t="s">
        <v>356</v>
      </c>
      <c r="J1304" t="s">
        <v>71</v>
      </c>
      <c r="K1304" t="str">
        <f>VLOOKUP(tblSalaries[[#This Row],[Where do you work]],tblCountries[[Actual]:[Mapping]],2,FALSE)</f>
        <v>UK</v>
      </c>
      <c r="L1304" t="s">
        <v>18</v>
      </c>
      <c r="M1304">
        <v>4</v>
      </c>
      <c r="N1304" s="8" t="str">
        <f>VLOOKUP(K1304,tblCountries[],3,0)</f>
        <v>Europe</v>
      </c>
      <c r="O1304" s="8">
        <f>VLOOKUP(tblSalaries[[#This Row],[How many hours of a day you work on Excel]],tblHours,2,0)</f>
        <v>3</v>
      </c>
      <c r="P1304" s="8">
        <f>VLOOKUP(tblSalaries[[#This Row],[clean Country]],tblCountries[],5,0)</f>
        <v>1.3407315045719035</v>
      </c>
      <c r="Q1304" s="8">
        <f>IF($Q$1,tblSalaries[[#This Row],[PPP Factor]]*tblSalaries[[#This Row],[Salary in USD]],tblSalaries[[#This Row],[Salary in USD]])</f>
        <v>70928.022243027779</v>
      </c>
    </row>
    <row r="1305" spans="2:17" ht="15" customHeight="1" x14ac:dyDescent="0.25">
      <c r="B1305" t="s">
        <v>3308</v>
      </c>
      <c r="C1305" s="1">
        <v>41058.6953587963</v>
      </c>
      <c r="D1305" s="4" t="s">
        <v>1490</v>
      </c>
      <c r="E1305">
        <v>41000</v>
      </c>
      <c r="F1305" t="s">
        <v>22</v>
      </c>
      <c r="G1305">
        <f>tblSalaries[[#This Row],[clean Salary (in local currency)]]*VLOOKUP(tblSalaries[[#This Row],[Currency]],tblXrate[],2,FALSE)</f>
        <v>52086.37699865592</v>
      </c>
      <c r="H1305" t="s">
        <v>522</v>
      </c>
      <c r="I1305" t="s">
        <v>279</v>
      </c>
      <c r="J1305" t="s">
        <v>608</v>
      </c>
      <c r="K1305" t="str">
        <f>VLOOKUP(tblSalaries[[#This Row],[Where do you work]],tblCountries[[Actual]:[Mapping]],2,FALSE)</f>
        <v>Spain</v>
      </c>
      <c r="L1305" t="s">
        <v>9</v>
      </c>
      <c r="M1305">
        <v>12</v>
      </c>
      <c r="N1305" s="8" t="str">
        <f>VLOOKUP(K1305,tblCountries[],3,0)</f>
        <v>Europe</v>
      </c>
      <c r="O1305" s="8">
        <f>VLOOKUP(tblSalaries[[#This Row],[How many hours of a day you work on Excel]],tblHours,2,0)</f>
        <v>4</v>
      </c>
      <c r="P1305" s="8">
        <f>VLOOKUP(tblSalaries[[#This Row],[clean Country]],tblCountries[],5,0)</f>
        <v>1.5799320838503232</v>
      </c>
      <c r="Q1305" s="8">
        <f>IF($Q$1,tblSalaries[[#This Row],[PPP Factor]]*tblSalaries[[#This Row],[Salary in USD]],tblSalaries[[#This Row],[Salary in USD]])</f>
        <v>52086.37699865592</v>
      </c>
    </row>
    <row r="1306" spans="2:17" ht="15" customHeight="1" x14ac:dyDescent="0.25">
      <c r="B1306" t="s">
        <v>3309</v>
      </c>
      <c r="C1306" s="1">
        <v>41058.701203703706</v>
      </c>
      <c r="D1306" s="4">
        <v>275000</v>
      </c>
      <c r="E1306">
        <v>275000</v>
      </c>
      <c r="F1306" t="s">
        <v>40</v>
      </c>
      <c r="G1306">
        <f>tblSalaries[[#This Row],[clean Salary (in local currency)]]*VLOOKUP(tblSalaries[[#This Row],[Currency]],tblXrate[],2,FALSE)</f>
        <v>4897.177089046706</v>
      </c>
      <c r="H1306" t="s">
        <v>1491</v>
      </c>
      <c r="I1306" t="s">
        <v>52</v>
      </c>
      <c r="J1306" t="s">
        <v>8</v>
      </c>
      <c r="K1306" t="str">
        <f>VLOOKUP(tblSalaries[[#This Row],[Where do you work]],tblCountries[[Actual]:[Mapping]],2,FALSE)</f>
        <v>India</v>
      </c>
      <c r="L1306" t="s">
        <v>13</v>
      </c>
      <c r="M1306">
        <v>4</v>
      </c>
      <c r="N1306" s="8" t="str">
        <f>VLOOKUP(K1306,tblCountries[],3,0)</f>
        <v>Asia</v>
      </c>
      <c r="O1306" s="8">
        <f>VLOOKUP(tblSalaries[[#This Row],[How many hours of a day you work on Excel]],tblHours,2,0)</f>
        <v>5</v>
      </c>
      <c r="P1306" s="8">
        <f>VLOOKUP(tblSalaries[[#This Row],[clean Country]],tblCountries[],5,0)</f>
        <v>13.098808879263672</v>
      </c>
      <c r="Q1306" s="8">
        <f>IF($Q$1,tblSalaries[[#This Row],[PPP Factor]]*tblSalaries[[#This Row],[Salary in USD]],tblSalaries[[#This Row],[Salary in USD]])</f>
        <v>4897.177089046706</v>
      </c>
    </row>
    <row r="1307" spans="2:17" ht="15" customHeight="1" x14ac:dyDescent="0.25">
      <c r="B1307" t="s">
        <v>3310</v>
      </c>
      <c r="C1307" s="1">
        <v>41058.705358796295</v>
      </c>
      <c r="D1307" s="4">
        <v>80000</v>
      </c>
      <c r="E1307">
        <v>80000</v>
      </c>
      <c r="F1307" t="s">
        <v>670</v>
      </c>
      <c r="G1307">
        <f>tblSalaries[[#This Row],[clean Salary (in local currency)]]*VLOOKUP(tblSalaries[[#This Row],[Currency]],tblXrate[],2,FALSE)</f>
        <v>63807.047488395103</v>
      </c>
      <c r="H1307" t="s">
        <v>932</v>
      </c>
      <c r="I1307" t="s">
        <v>310</v>
      </c>
      <c r="J1307" t="s">
        <v>1492</v>
      </c>
      <c r="K1307" t="str">
        <f>VLOOKUP(tblSalaries[[#This Row],[Where do you work]],tblCountries[[Actual]:[Mapping]],2,FALSE)</f>
        <v>New Zealand</v>
      </c>
      <c r="L1307" t="s">
        <v>13</v>
      </c>
      <c r="M1307">
        <v>15</v>
      </c>
      <c r="N1307" s="8" t="str">
        <f>VLOOKUP(K1307,tblCountries[],3,0)</f>
        <v>Oceania</v>
      </c>
      <c r="O1307" s="8">
        <f>VLOOKUP(tblSalaries[[#This Row],[How many hours of a day you work on Excel]],tblHours,2,0)</f>
        <v>5</v>
      </c>
      <c r="P1307" s="8">
        <f>VLOOKUP(tblSalaries[[#This Row],[clean Country]],tblCountries[],5,0)</f>
        <v>1.7488434292323261</v>
      </c>
      <c r="Q1307" s="8">
        <f>IF($Q$1,tblSalaries[[#This Row],[PPP Factor]]*tblSalaries[[#This Row],[Salary in USD]],tblSalaries[[#This Row],[Salary in USD]])</f>
        <v>63807.047488395103</v>
      </c>
    </row>
    <row r="1308" spans="2:17" ht="15" customHeight="1" x14ac:dyDescent="0.25">
      <c r="B1308" t="s">
        <v>3311</v>
      </c>
      <c r="C1308" s="1">
        <v>41058.712164351855</v>
      </c>
      <c r="D1308" s="4">
        <v>24000</v>
      </c>
      <c r="E1308">
        <v>24000</v>
      </c>
      <c r="F1308" t="s">
        <v>6</v>
      </c>
      <c r="G1308">
        <f>tblSalaries[[#This Row],[clean Salary (in local currency)]]*VLOOKUP(tblSalaries[[#This Row],[Currency]],tblXrate[],2,FALSE)</f>
        <v>24000</v>
      </c>
      <c r="H1308" t="s">
        <v>1493</v>
      </c>
      <c r="I1308" t="s">
        <v>52</v>
      </c>
      <c r="J1308" t="s">
        <v>1494</v>
      </c>
      <c r="K1308" t="str">
        <f>VLOOKUP(tblSalaries[[#This Row],[Where do you work]],tblCountries[[Actual]:[Mapping]],2,FALSE)</f>
        <v>Saudi Arabia</v>
      </c>
      <c r="L1308" t="s">
        <v>9</v>
      </c>
      <c r="M1308">
        <v>5</v>
      </c>
      <c r="N1308" s="8" t="str">
        <f>VLOOKUP(K1308,tblCountries[],3,0)</f>
        <v>Asia</v>
      </c>
      <c r="O1308" s="8">
        <f>VLOOKUP(tblSalaries[[#This Row],[How many hours of a day you work on Excel]],tblHours,2,0)</f>
        <v>4</v>
      </c>
      <c r="P1308" s="8">
        <f>VLOOKUP(tblSalaries[[#This Row],[clean Country]],tblCountries[],5,0)</f>
        <v>1.9964104468374799</v>
      </c>
      <c r="Q1308" s="8">
        <f>IF($Q$1,tblSalaries[[#This Row],[PPP Factor]]*tblSalaries[[#This Row],[Salary in USD]],tblSalaries[[#This Row],[Salary in USD]])</f>
        <v>24000</v>
      </c>
    </row>
    <row r="1309" spans="2:17" ht="15" customHeight="1" x14ac:dyDescent="0.25">
      <c r="B1309" t="s">
        <v>3312</v>
      </c>
      <c r="C1309" s="1">
        <v>41058.714606481481</v>
      </c>
      <c r="D1309" s="4" t="s">
        <v>1495</v>
      </c>
      <c r="E1309">
        <v>60000</v>
      </c>
      <c r="F1309" t="s">
        <v>6</v>
      </c>
      <c r="G1309">
        <f>tblSalaries[[#This Row],[clean Salary (in local currency)]]*VLOOKUP(tblSalaries[[#This Row],[Currency]],tblXrate[],2,FALSE)</f>
        <v>60000</v>
      </c>
      <c r="H1309" t="s">
        <v>1496</v>
      </c>
      <c r="I1309" t="s">
        <v>52</v>
      </c>
      <c r="J1309" t="s">
        <v>1497</v>
      </c>
      <c r="K1309" t="str">
        <f>VLOOKUP(tblSalaries[[#This Row],[Where do you work]],tblCountries[[Actual]:[Mapping]],2,FALSE)</f>
        <v>CEE</v>
      </c>
      <c r="L1309" t="s">
        <v>13</v>
      </c>
      <c r="M1309">
        <v>20</v>
      </c>
      <c r="N1309" s="8" t="str">
        <f>VLOOKUP(K1309,tblCountries[],3,0)</f>
        <v>Europe</v>
      </c>
      <c r="O1309" s="8">
        <f>VLOOKUP(tblSalaries[[#This Row],[How many hours of a day you work on Excel]],tblHours,2,0)</f>
        <v>5</v>
      </c>
      <c r="P1309" s="8">
        <f>VLOOKUP(tblSalaries[[#This Row],[clean Country]],tblCountries[],5,0)</f>
        <v>1</v>
      </c>
      <c r="Q1309" s="8">
        <f>IF($Q$1,tblSalaries[[#This Row],[PPP Factor]]*tblSalaries[[#This Row],[Salary in USD]],tblSalaries[[#This Row],[Salary in USD]])</f>
        <v>60000</v>
      </c>
    </row>
    <row r="1310" spans="2:17" ht="15" customHeight="1" x14ac:dyDescent="0.25">
      <c r="B1310" t="s">
        <v>3313</v>
      </c>
      <c r="C1310" s="1">
        <v>41058.715185185189</v>
      </c>
      <c r="D1310" s="4">
        <v>300000</v>
      </c>
      <c r="E1310">
        <v>300000</v>
      </c>
      <c r="F1310" t="s">
        <v>40</v>
      </c>
      <c r="G1310">
        <f>tblSalaries[[#This Row],[clean Salary (in local currency)]]*VLOOKUP(tblSalaries[[#This Row],[Currency]],tblXrate[],2,FALSE)</f>
        <v>5342.3750062327708</v>
      </c>
      <c r="H1310" t="s">
        <v>1498</v>
      </c>
      <c r="I1310" t="s">
        <v>20</v>
      </c>
      <c r="J1310" t="s">
        <v>8</v>
      </c>
      <c r="K1310" t="str">
        <f>VLOOKUP(tblSalaries[[#This Row],[Where do you work]],tblCountries[[Actual]:[Mapping]],2,FALSE)</f>
        <v>India</v>
      </c>
      <c r="L1310" t="s">
        <v>13</v>
      </c>
      <c r="M1310">
        <v>3</v>
      </c>
      <c r="N1310" s="8" t="str">
        <f>VLOOKUP(K1310,tblCountries[],3,0)</f>
        <v>Asia</v>
      </c>
      <c r="O1310" s="8">
        <f>VLOOKUP(tblSalaries[[#This Row],[How many hours of a day you work on Excel]],tblHours,2,0)</f>
        <v>5</v>
      </c>
      <c r="P1310" s="8">
        <f>VLOOKUP(tblSalaries[[#This Row],[clean Country]],tblCountries[],5,0)</f>
        <v>13.098808879263672</v>
      </c>
      <c r="Q1310" s="8">
        <f>IF($Q$1,tblSalaries[[#This Row],[PPP Factor]]*tblSalaries[[#This Row],[Salary in USD]],tblSalaries[[#This Row],[Salary in USD]])</f>
        <v>5342.3750062327708</v>
      </c>
    </row>
    <row r="1311" spans="2:17" ht="15" customHeight="1" x14ac:dyDescent="0.25">
      <c r="B1311" t="s">
        <v>3314</v>
      </c>
      <c r="C1311" s="1">
        <v>41058.719675925924</v>
      </c>
      <c r="D1311" s="4">
        <v>500000</v>
      </c>
      <c r="E1311">
        <v>500000</v>
      </c>
      <c r="F1311" t="s">
        <v>40</v>
      </c>
      <c r="G1311">
        <f>tblSalaries[[#This Row],[clean Salary (in local currency)]]*VLOOKUP(tblSalaries[[#This Row],[Currency]],tblXrate[],2,FALSE)</f>
        <v>8903.9583437212841</v>
      </c>
      <c r="H1311" t="s">
        <v>1499</v>
      </c>
      <c r="I1311" t="s">
        <v>52</v>
      </c>
      <c r="J1311" t="s">
        <v>8</v>
      </c>
      <c r="K1311" t="str">
        <f>VLOOKUP(tblSalaries[[#This Row],[Where do you work]],tblCountries[[Actual]:[Mapping]],2,FALSE)</f>
        <v>India</v>
      </c>
      <c r="L1311" t="s">
        <v>18</v>
      </c>
      <c r="M1311">
        <v>5</v>
      </c>
      <c r="N1311" s="8" t="str">
        <f>VLOOKUP(K1311,tblCountries[],3,0)</f>
        <v>Asia</v>
      </c>
      <c r="O1311" s="8">
        <f>VLOOKUP(tblSalaries[[#This Row],[How many hours of a day you work on Excel]],tblHours,2,0)</f>
        <v>3</v>
      </c>
      <c r="P1311" s="8">
        <f>VLOOKUP(tblSalaries[[#This Row],[clean Country]],tblCountries[],5,0)</f>
        <v>13.098808879263672</v>
      </c>
      <c r="Q1311" s="8">
        <f>IF($Q$1,tblSalaries[[#This Row],[PPP Factor]]*tblSalaries[[#This Row],[Salary in USD]],tblSalaries[[#This Row],[Salary in USD]])</f>
        <v>8903.9583437212841</v>
      </c>
    </row>
    <row r="1312" spans="2:17" ht="15" customHeight="1" x14ac:dyDescent="0.25">
      <c r="B1312" t="s">
        <v>3315</v>
      </c>
      <c r="C1312" s="1">
        <v>41058.720289351855</v>
      </c>
      <c r="D1312" s="4" t="s">
        <v>1382</v>
      </c>
      <c r="E1312">
        <v>26000</v>
      </c>
      <c r="F1312" t="s">
        <v>69</v>
      </c>
      <c r="G1312">
        <f>tblSalaries[[#This Row],[clean Salary (in local currency)]]*VLOOKUP(tblSalaries[[#This Row],[Currency]],tblXrate[],2,FALSE)</f>
        <v>40980.635073749385</v>
      </c>
      <c r="H1312" t="s">
        <v>1500</v>
      </c>
      <c r="I1312" t="s">
        <v>20</v>
      </c>
      <c r="J1312" t="s">
        <v>71</v>
      </c>
      <c r="K1312" t="str">
        <f>VLOOKUP(tblSalaries[[#This Row],[Where do you work]],tblCountries[[Actual]:[Mapping]],2,FALSE)</f>
        <v>UK</v>
      </c>
      <c r="L1312" t="s">
        <v>9</v>
      </c>
      <c r="M1312">
        <v>2</v>
      </c>
      <c r="N1312" s="8" t="str">
        <f>VLOOKUP(K1312,tblCountries[],3,0)</f>
        <v>Europe</v>
      </c>
      <c r="O1312" s="8">
        <f>VLOOKUP(tblSalaries[[#This Row],[How many hours of a day you work on Excel]],tblHours,2,0)</f>
        <v>4</v>
      </c>
      <c r="P1312" s="8">
        <f>VLOOKUP(tblSalaries[[#This Row],[clean Country]],tblCountries[],5,0)</f>
        <v>1.3407315045719035</v>
      </c>
      <c r="Q1312" s="8">
        <f>IF($Q$1,tblSalaries[[#This Row],[PPP Factor]]*tblSalaries[[#This Row],[Salary in USD]],tblSalaries[[#This Row],[Salary in USD]])</f>
        <v>40980.635073749385</v>
      </c>
    </row>
    <row r="1313" spans="2:17" ht="15" customHeight="1" x14ac:dyDescent="0.25">
      <c r="B1313" t="s">
        <v>3316</v>
      </c>
      <c r="C1313" s="1">
        <v>41058.720671296294</v>
      </c>
      <c r="D1313" s="4" t="s">
        <v>1501</v>
      </c>
      <c r="E1313">
        <v>600000</v>
      </c>
      <c r="F1313" t="s">
        <v>40</v>
      </c>
      <c r="G1313">
        <f>tblSalaries[[#This Row],[clean Salary (in local currency)]]*VLOOKUP(tblSalaries[[#This Row],[Currency]],tblXrate[],2,FALSE)</f>
        <v>10684.750012465542</v>
      </c>
      <c r="H1313" t="s">
        <v>1022</v>
      </c>
      <c r="I1313" t="s">
        <v>52</v>
      </c>
      <c r="J1313" t="s">
        <v>8</v>
      </c>
      <c r="K1313" t="str">
        <f>VLOOKUP(tblSalaries[[#This Row],[Where do you work]],tblCountries[[Actual]:[Mapping]],2,FALSE)</f>
        <v>India</v>
      </c>
      <c r="L1313" t="s">
        <v>25</v>
      </c>
      <c r="M1313">
        <v>7</v>
      </c>
      <c r="N1313" s="8" t="str">
        <f>VLOOKUP(K1313,tblCountries[],3,0)</f>
        <v>Asia</v>
      </c>
      <c r="O1313" s="8">
        <f>VLOOKUP(tblSalaries[[#This Row],[How many hours of a day you work on Excel]],tblHours,2,0)</f>
        <v>2</v>
      </c>
      <c r="P1313" s="8">
        <f>VLOOKUP(tblSalaries[[#This Row],[clean Country]],tblCountries[],5,0)</f>
        <v>13.098808879263672</v>
      </c>
      <c r="Q1313" s="8">
        <f>IF($Q$1,tblSalaries[[#This Row],[PPP Factor]]*tblSalaries[[#This Row],[Salary in USD]],tblSalaries[[#This Row],[Salary in USD]])</f>
        <v>10684.750012465542</v>
      </c>
    </row>
    <row r="1314" spans="2:17" ht="15" customHeight="1" x14ac:dyDescent="0.25">
      <c r="B1314" t="s">
        <v>3317</v>
      </c>
      <c r="C1314" s="1">
        <v>41058.729664351849</v>
      </c>
      <c r="D1314" s="4">
        <v>1200000</v>
      </c>
      <c r="E1314">
        <v>1200000</v>
      </c>
      <c r="F1314" t="s">
        <v>40</v>
      </c>
      <c r="G1314">
        <f>tblSalaries[[#This Row],[clean Salary (in local currency)]]*VLOOKUP(tblSalaries[[#This Row],[Currency]],tblXrate[],2,FALSE)</f>
        <v>21369.500024931083</v>
      </c>
      <c r="H1314" t="s">
        <v>356</v>
      </c>
      <c r="I1314" t="s">
        <v>356</v>
      </c>
      <c r="J1314" t="s">
        <v>8</v>
      </c>
      <c r="K1314" t="str">
        <f>VLOOKUP(tblSalaries[[#This Row],[Where do you work]],tblCountries[[Actual]:[Mapping]],2,FALSE)</f>
        <v>India</v>
      </c>
      <c r="L1314" t="s">
        <v>18</v>
      </c>
      <c r="M1314">
        <v>21</v>
      </c>
      <c r="N1314" s="8" t="str">
        <f>VLOOKUP(K1314,tblCountries[],3,0)</f>
        <v>Asia</v>
      </c>
      <c r="O1314" s="8">
        <f>VLOOKUP(tblSalaries[[#This Row],[How many hours of a day you work on Excel]],tblHours,2,0)</f>
        <v>3</v>
      </c>
      <c r="P1314" s="8">
        <f>VLOOKUP(tblSalaries[[#This Row],[clean Country]],tblCountries[],5,0)</f>
        <v>13.098808879263672</v>
      </c>
      <c r="Q1314" s="8">
        <f>IF($Q$1,tblSalaries[[#This Row],[PPP Factor]]*tblSalaries[[#This Row],[Salary in USD]],tblSalaries[[#This Row],[Salary in USD]])</f>
        <v>21369.500024931083</v>
      </c>
    </row>
    <row r="1315" spans="2:17" ht="15" customHeight="1" x14ac:dyDescent="0.25">
      <c r="B1315" t="s">
        <v>3318</v>
      </c>
      <c r="C1315" s="1">
        <v>41058.733483796299</v>
      </c>
      <c r="D1315" s="4">
        <v>18000</v>
      </c>
      <c r="E1315">
        <v>18000</v>
      </c>
      <c r="F1315" t="s">
        <v>6</v>
      </c>
      <c r="G1315">
        <f>tblSalaries[[#This Row],[clean Salary (in local currency)]]*VLOOKUP(tblSalaries[[#This Row],[Currency]],tblXrate[],2,FALSE)</f>
        <v>18000</v>
      </c>
      <c r="H1315" t="s">
        <v>1502</v>
      </c>
      <c r="I1315" t="s">
        <v>52</v>
      </c>
      <c r="J1315" t="s">
        <v>1503</v>
      </c>
      <c r="K1315" t="str">
        <f>VLOOKUP(tblSalaries[[#This Row],[Where do you work]],tblCountries[[Actual]:[Mapping]],2,FALSE)</f>
        <v>Ghana</v>
      </c>
      <c r="L1315" t="s">
        <v>9</v>
      </c>
      <c r="M1315">
        <v>12</v>
      </c>
      <c r="N1315" s="8" t="str">
        <f>VLOOKUP(K1315,tblCountries[],3,0)</f>
        <v>Africa</v>
      </c>
      <c r="O1315" s="8">
        <f>VLOOKUP(tblSalaries[[#This Row],[How many hours of a day you work on Excel]],tblHours,2,0)</f>
        <v>4</v>
      </c>
      <c r="P1315" s="8">
        <f>VLOOKUP(tblSalaries[[#This Row],[clean Country]],tblCountries[],5,0)</f>
        <v>15.69477781381771</v>
      </c>
      <c r="Q1315" s="8">
        <f>IF($Q$1,tblSalaries[[#This Row],[PPP Factor]]*tblSalaries[[#This Row],[Salary in USD]],tblSalaries[[#This Row],[Salary in USD]])</f>
        <v>18000</v>
      </c>
    </row>
    <row r="1316" spans="2:17" ht="15" customHeight="1" x14ac:dyDescent="0.25">
      <c r="B1316" t="s">
        <v>3319</v>
      </c>
      <c r="C1316" s="1">
        <v>41058.73605324074</v>
      </c>
      <c r="D1316" s="4" t="s">
        <v>1504</v>
      </c>
      <c r="E1316">
        <v>41000</v>
      </c>
      <c r="F1316" t="s">
        <v>6</v>
      </c>
      <c r="G1316">
        <f>tblSalaries[[#This Row],[clean Salary (in local currency)]]*VLOOKUP(tblSalaries[[#This Row],[Currency]],tblXrate[],2,FALSE)</f>
        <v>41000</v>
      </c>
      <c r="H1316" t="s">
        <v>1505</v>
      </c>
      <c r="I1316" t="s">
        <v>52</v>
      </c>
      <c r="J1316" t="s">
        <v>416</v>
      </c>
      <c r="K1316" t="str">
        <f>VLOOKUP(tblSalaries[[#This Row],[Where do you work]],tblCountries[[Actual]:[Mapping]],2,FALSE)</f>
        <v>Israel</v>
      </c>
      <c r="L1316" t="s">
        <v>18</v>
      </c>
      <c r="M1316">
        <v>4</v>
      </c>
      <c r="N1316" s="8" t="str">
        <f>VLOOKUP(K1316,tblCountries[],3,0)</f>
        <v>Asia</v>
      </c>
      <c r="O1316" s="8">
        <f>VLOOKUP(tblSalaries[[#This Row],[How many hours of a day you work on Excel]],tblHours,2,0)</f>
        <v>3</v>
      </c>
      <c r="P1316" s="8">
        <f>VLOOKUP(tblSalaries[[#This Row],[clean Country]],tblCountries[],5,0)</f>
        <v>1.5621307506053268</v>
      </c>
      <c r="Q1316" s="8">
        <f>IF($Q$1,tblSalaries[[#This Row],[PPP Factor]]*tblSalaries[[#This Row],[Salary in USD]],tblSalaries[[#This Row],[Salary in USD]])</f>
        <v>41000</v>
      </c>
    </row>
    <row r="1317" spans="2:17" ht="15" customHeight="1" x14ac:dyDescent="0.25">
      <c r="B1317" t="s">
        <v>3320</v>
      </c>
      <c r="C1317" s="1">
        <v>41058.740266203706</v>
      </c>
      <c r="D1317" s="4" t="s">
        <v>1506</v>
      </c>
      <c r="E1317">
        <v>1600000</v>
      </c>
      <c r="F1317" t="s">
        <v>40</v>
      </c>
      <c r="G1317">
        <f>tblSalaries[[#This Row],[clean Salary (in local currency)]]*VLOOKUP(tblSalaries[[#This Row],[Currency]],tblXrate[],2,FALSE)</f>
        <v>28492.66669990811</v>
      </c>
      <c r="H1317" t="s">
        <v>1507</v>
      </c>
      <c r="I1317" t="s">
        <v>20</v>
      </c>
      <c r="J1317" t="s">
        <v>8</v>
      </c>
      <c r="K1317" t="str">
        <f>VLOOKUP(tblSalaries[[#This Row],[Where do you work]],tblCountries[[Actual]:[Mapping]],2,FALSE)</f>
        <v>India</v>
      </c>
      <c r="L1317" t="s">
        <v>18</v>
      </c>
      <c r="M1317">
        <v>4</v>
      </c>
      <c r="N1317" s="8" t="str">
        <f>VLOOKUP(K1317,tblCountries[],3,0)</f>
        <v>Asia</v>
      </c>
      <c r="O1317" s="8">
        <f>VLOOKUP(tblSalaries[[#This Row],[How many hours of a day you work on Excel]],tblHours,2,0)</f>
        <v>3</v>
      </c>
      <c r="P1317" s="8">
        <f>VLOOKUP(tblSalaries[[#This Row],[clean Country]],tblCountries[],5,0)</f>
        <v>13.098808879263672</v>
      </c>
      <c r="Q1317" s="8">
        <f>IF($Q$1,tblSalaries[[#This Row],[PPP Factor]]*tblSalaries[[#This Row],[Salary in USD]],tblSalaries[[#This Row],[Salary in USD]])</f>
        <v>28492.66669990811</v>
      </c>
    </row>
    <row r="1318" spans="2:17" ht="15" customHeight="1" x14ac:dyDescent="0.25">
      <c r="B1318" t="s">
        <v>3321</v>
      </c>
      <c r="C1318" s="1">
        <v>41058.741712962961</v>
      </c>
      <c r="D1318" s="4">
        <v>49500</v>
      </c>
      <c r="E1318">
        <v>49500</v>
      </c>
      <c r="F1318" t="s">
        <v>6</v>
      </c>
      <c r="G1318">
        <f>tblSalaries[[#This Row],[clean Salary (in local currency)]]*VLOOKUP(tblSalaries[[#This Row],[Currency]],tblXrate[],2,FALSE)</f>
        <v>49500</v>
      </c>
      <c r="H1318" t="s">
        <v>118</v>
      </c>
      <c r="I1318" t="s">
        <v>20</v>
      </c>
      <c r="J1318" t="s">
        <v>15</v>
      </c>
      <c r="K1318" t="str">
        <f>VLOOKUP(tblSalaries[[#This Row],[Where do you work]],tblCountries[[Actual]:[Mapping]],2,FALSE)</f>
        <v>USA</v>
      </c>
      <c r="L1318" t="s">
        <v>9</v>
      </c>
      <c r="M1318">
        <v>4.5</v>
      </c>
      <c r="N1318" s="8" t="str">
        <f>VLOOKUP(K1318,tblCountries[],3,0)</f>
        <v>North Amer.</v>
      </c>
      <c r="O1318" s="8">
        <f>VLOOKUP(tblSalaries[[#This Row],[How many hours of a day you work on Excel]],tblHours,2,0)</f>
        <v>4</v>
      </c>
      <c r="P1318" s="8">
        <f>VLOOKUP(tblSalaries[[#This Row],[clean Country]],tblCountries[],5,0)</f>
        <v>1</v>
      </c>
      <c r="Q1318" s="8">
        <f>IF($Q$1,tblSalaries[[#This Row],[PPP Factor]]*tblSalaries[[#This Row],[Salary in USD]],tblSalaries[[#This Row],[Salary in USD]])</f>
        <v>49500</v>
      </c>
    </row>
    <row r="1319" spans="2:17" ht="15" customHeight="1" x14ac:dyDescent="0.25">
      <c r="B1319" t="s">
        <v>3322</v>
      </c>
      <c r="C1319" s="1">
        <v>41058.750219907408</v>
      </c>
      <c r="D1319" s="4">
        <v>6600</v>
      </c>
      <c r="E1319">
        <v>6600</v>
      </c>
      <c r="F1319" t="s">
        <v>6</v>
      </c>
      <c r="G1319">
        <f>tblSalaries[[#This Row],[clean Salary (in local currency)]]*VLOOKUP(tblSalaries[[#This Row],[Currency]],tblXrate[],2,FALSE)</f>
        <v>6600</v>
      </c>
      <c r="H1319" t="s">
        <v>1508</v>
      </c>
      <c r="I1319" t="s">
        <v>3999</v>
      </c>
      <c r="J1319" t="s">
        <v>8</v>
      </c>
      <c r="K1319" t="str">
        <f>VLOOKUP(tblSalaries[[#This Row],[Where do you work]],tblCountries[[Actual]:[Mapping]],2,FALSE)</f>
        <v>India</v>
      </c>
      <c r="L1319" t="s">
        <v>18</v>
      </c>
      <c r="M1319">
        <v>6.4</v>
      </c>
      <c r="N1319" s="8" t="str">
        <f>VLOOKUP(K1319,tblCountries[],3,0)</f>
        <v>Asia</v>
      </c>
      <c r="O1319" s="8">
        <f>VLOOKUP(tblSalaries[[#This Row],[How many hours of a day you work on Excel]],tblHours,2,0)</f>
        <v>3</v>
      </c>
      <c r="P1319" s="8">
        <f>VLOOKUP(tblSalaries[[#This Row],[clean Country]],tblCountries[],5,0)</f>
        <v>13.098808879263672</v>
      </c>
      <c r="Q1319" s="8">
        <f>IF($Q$1,tblSalaries[[#This Row],[PPP Factor]]*tblSalaries[[#This Row],[Salary in USD]],tblSalaries[[#This Row],[Salary in USD]])</f>
        <v>6600</v>
      </c>
    </row>
    <row r="1320" spans="2:17" ht="15" customHeight="1" x14ac:dyDescent="0.25">
      <c r="B1320" t="s">
        <v>3323</v>
      </c>
      <c r="C1320" s="1">
        <v>41058.754050925927</v>
      </c>
      <c r="D1320" s="4" t="s">
        <v>1509</v>
      </c>
      <c r="E1320">
        <v>70000</v>
      </c>
      <c r="F1320" t="s">
        <v>69</v>
      </c>
      <c r="G1320">
        <f>tblSalaries[[#This Row],[clean Salary (in local currency)]]*VLOOKUP(tblSalaries[[#This Row],[Currency]],tblXrate[],2,FALSE)</f>
        <v>110332.47904470989</v>
      </c>
      <c r="H1320" t="s">
        <v>356</v>
      </c>
      <c r="I1320" t="s">
        <v>356</v>
      </c>
      <c r="J1320" t="s">
        <v>71</v>
      </c>
      <c r="K1320" t="str">
        <f>VLOOKUP(tblSalaries[[#This Row],[Where do you work]],tblCountries[[Actual]:[Mapping]],2,FALSE)</f>
        <v>UK</v>
      </c>
      <c r="L1320" t="s">
        <v>9</v>
      </c>
      <c r="M1320">
        <v>15</v>
      </c>
      <c r="N1320" s="8" t="str">
        <f>VLOOKUP(K1320,tblCountries[],3,0)</f>
        <v>Europe</v>
      </c>
      <c r="O1320" s="8">
        <f>VLOOKUP(tblSalaries[[#This Row],[How many hours of a day you work on Excel]],tblHours,2,0)</f>
        <v>4</v>
      </c>
      <c r="P1320" s="8">
        <f>VLOOKUP(tblSalaries[[#This Row],[clean Country]],tblCountries[],5,0)</f>
        <v>1.3407315045719035</v>
      </c>
      <c r="Q1320" s="8">
        <f>IF($Q$1,tblSalaries[[#This Row],[PPP Factor]]*tblSalaries[[#This Row],[Salary in USD]],tblSalaries[[#This Row],[Salary in USD]])</f>
        <v>110332.47904470989</v>
      </c>
    </row>
    <row r="1321" spans="2:17" ht="15" customHeight="1" x14ac:dyDescent="0.25">
      <c r="B1321" t="s">
        <v>3324</v>
      </c>
      <c r="C1321" s="1">
        <v>41058.760277777779</v>
      </c>
      <c r="D1321" s="4" t="s">
        <v>137</v>
      </c>
      <c r="E1321">
        <v>30000</v>
      </c>
      <c r="F1321" t="s">
        <v>69</v>
      </c>
      <c r="G1321">
        <f>tblSalaries[[#This Row],[clean Salary (in local currency)]]*VLOOKUP(tblSalaries[[#This Row],[Currency]],tblXrate[],2,FALSE)</f>
        <v>47285.348162018527</v>
      </c>
      <c r="H1321" t="s">
        <v>185</v>
      </c>
      <c r="I1321" t="s">
        <v>20</v>
      </c>
      <c r="J1321" t="s">
        <v>71</v>
      </c>
      <c r="K1321" t="str">
        <f>VLOOKUP(tblSalaries[[#This Row],[Where do you work]],tblCountries[[Actual]:[Mapping]],2,FALSE)</f>
        <v>UK</v>
      </c>
      <c r="L1321" t="s">
        <v>13</v>
      </c>
      <c r="M1321">
        <v>6</v>
      </c>
      <c r="N1321" s="8" t="str">
        <f>VLOOKUP(K1321,tblCountries[],3,0)</f>
        <v>Europe</v>
      </c>
      <c r="O1321" s="8">
        <f>VLOOKUP(tblSalaries[[#This Row],[How many hours of a day you work on Excel]],tblHours,2,0)</f>
        <v>5</v>
      </c>
      <c r="P1321" s="8">
        <f>VLOOKUP(tblSalaries[[#This Row],[clean Country]],tblCountries[],5,0)</f>
        <v>1.3407315045719035</v>
      </c>
      <c r="Q1321" s="8">
        <f>IF($Q$1,tblSalaries[[#This Row],[PPP Factor]]*tblSalaries[[#This Row],[Salary in USD]],tblSalaries[[#This Row],[Salary in USD]])</f>
        <v>47285.348162018527</v>
      </c>
    </row>
    <row r="1322" spans="2:17" ht="15" customHeight="1" x14ac:dyDescent="0.25">
      <c r="B1322" t="s">
        <v>3325</v>
      </c>
      <c r="C1322" s="1">
        <v>41058.760335648149</v>
      </c>
      <c r="D1322" s="4" t="s">
        <v>1510</v>
      </c>
      <c r="E1322">
        <v>5300</v>
      </c>
      <c r="F1322" t="s">
        <v>6</v>
      </c>
      <c r="G1322">
        <f>tblSalaries[[#This Row],[clean Salary (in local currency)]]*VLOOKUP(tblSalaries[[#This Row],[Currency]],tblXrate[],2,FALSE)</f>
        <v>5300</v>
      </c>
      <c r="H1322" t="s">
        <v>1511</v>
      </c>
      <c r="I1322" t="s">
        <v>52</v>
      </c>
      <c r="J1322" t="s">
        <v>17</v>
      </c>
      <c r="K1322" t="str">
        <f>VLOOKUP(tblSalaries[[#This Row],[Where do you work]],tblCountries[[Actual]:[Mapping]],2,FALSE)</f>
        <v>Pakistan</v>
      </c>
      <c r="L1322" t="s">
        <v>9</v>
      </c>
      <c r="M1322">
        <v>5</v>
      </c>
      <c r="N1322" s="8" t="str">
        <f>VLOOKUP(K1322,tblCountries[],3,0)</f>
        <v>Asia</v>
      </c>
      <c r="O1322" s="8">
        <f>VLOOKUP(tblSalaries[[#This Row],[How many hours of a day you work on Excel]],tblHours,2,0)</f>
        <v>4</v>
      </c>
      <c r="P1322" s="8">
        <f>VLOOKUP(tblSalaries[[#This Row],[clean Country]],tblCountries[],5,0)</f>
        <v>17.361679224973088</v>
      </c>
      <c r="Q1322" s="8">
        <f>IF($Q$1,tblSalaries[[#This Row],[PPP Factor]]*tblSalaries[[#This Row],[Salary in USD]],tblSalaries[[#This Row],[Salary in USD]])</f>
        <v>5300</v>
      </c>
    </row>
    <row r="1323" spans="2:17" ht="15" customHeight="1" x14ac:dyDescent="0.25">
      <c r="B1323" t="s">
        <v>3326</v>
      </c>
      <c r="C1323" s="1">
        <v>41058.764733796299</v>
      </c>
      <c r="D1323" s="4">
        <v>34500</v>
      </c>
      <c r="E1323">
        <v>34500</v>
      </c>
      <c r="F1323" t="s">
        <v>22</v>
      </c>
      <c r="G1323">
        <f>tblSalaries[[#This Row],[clean Salary (in local currency)]]*VLOOKUP(tblSalaries[[#This Row],[Currency]],tblXrate[],2,FALSE)</f>
        <v>43828.780645210471</v>
      </c>
      <c r="H1323" t="s">
        <v>20</v>
      </c>
      <c r="I1323" t="s">
        <v>20</v>
      </c>
      <c r="J1323" t="s">
        <v>628</v>
      </c>
      <c r="K1323" t="str">
        <f>VLOOKUP(tblSalaries[[#This Row],[Where do you work]],tblCountries[[Actual]:[Mapping]],2,FALSE)</f>
        <v>Netherlands</v>
      </c>
      <c r="L1323" t="s">
        <v>9</v>
      </c>
      <c r="M1323">
        <v>15</v>
      </c>
      <c r="N1323" s="8" t="str">
        <f>VLOOKUP(K1323,tblCountries[],3,0)</f>
        <v>Europe</v>
      </c>
      <c r="O1323" s="8">
        <f>VLOOKUP(tblSalaries[[#This Row],[How many hours of a day you work on Excel]],tblHours,2,0)</f>
        <v>4</v>
      </c>
      <c r="P1323" s="8">
        <f>VLOOKUP(tblSalaries[[#This Row],[clean Country]],tblCountries[],5,0)</f>
        <v>1.1470734656141099</v>
      </c>
      <c r="Q1323" s="8">
        <f>IF($Q$1,tblSalaries[[#This Row],[PPP Factor]]*tblSalaries[[#This Row],[Salary in USD]],tblSalaries[[#This Row],[Salary in USD]])</f>
        <v>43828.780645210471</v>
      </c>
    </row>
    <row r="1324" spans="2:17" ht="15" customHeight="1" x14ac:dyDescent="0.25">
      <c r="B1324" t="s">
        <v>3327</v>
      </c>
      <c r="C1324" s="1">
        <v>41058.773009259261</v>
      </c>
      <c r="D1324" s="4">
        <v>80000</v>
      </c>
      <c r="E1324">
        <v>80000</v>
      </c>
      <c r="F1324" t="s">
        <v>6</v>
      </c>
      <c r="G1324">
        <f>tblSalaries[[#This Row],[clean Salary (in local currency)]]*VLOOKUP(tblSalaries[[#This Row],[Currency]],tblXrate[],2,FALSE)</f>
        <v>80000</v>
      </c>
      <c r="H1324" t="s">
        <v>1252</v>
      </c>
      <c r="I1324" t="s">
        <v>20</v>
      </c>
      <c r="J1324" t="s">
        <v>15</v>
      </c>
      <c r="K1324" t="str">
        <f>VLOOKUP(tblSalaries[[#This Row],[Where do you work]],tblCountries[[Actual]:[Mapping]],2,FALSE)</f>
        <v>USA</v>
      </c>
      <c r="L1324" t="s">
        <v>25</v>
      </c>
      <c r="M1324">
        <v>14</v>
      </c>
      <c r="N1324" s="8" t="str">
        <f>VLOOKUP(K1324,tblCountries[],3,0)</f>
        <v>North Amer.</v>
      </c>
      <c r="O1324" s="8">
        <f>VLOOKUP(tblSalaries[[#This Row],[How many hours of a day you work on Excel]],tblHours,2,0)</f>
        <v>2</v>
      </c>
      <c r="P1324" s="8">
        <f>VLOOKUP(tblSalaries[[#This Row],[clean Country]],tblCountries[],5,0)</f>
        <v>1</v>
      </c>
      <c r="Q1324" s="8">
        <f>IF($Q$1,tblSalaries[[#This Row],[PPP Factor]]*tblSalaries[[#This Row],[Salary in USD]],tblSalaries[[#This Row],[Salary in USD]])</f>
        <v>80000</v>
      </c>
    </row>
    <row r="1325" spans="2:17" ht="15" customHeight="1" x14ac:dyDescent="0.25">
      <c r="B1325" t="s">
        <v>3328</v>
      </c>
      <c r="C1325" s="1">
        <v>41058.774421296293</v>
      </c>
      <c r="D1325" s="4" t="s">
        <v>1512</v>
      </c>
      <c r="E1325">
        <v>9067</v>
      </c>
      <c r="F1325" t="s">
        <v>22</v>
      </c>
      <c r="G1325">
        <f>tblSalaries[[#This Row],[clean Salary (in local currency)]]*VLOOKUP(tblSalaries[[#This Row],[Currency]],tblXrate[],2,FALSE)</f>
        <v>11518.711713336908</v>
      </c>
      <c r="H1325" t="s">
        <v>1513</v>
      </c>
      <c r="I1325" t="s">
        <v>20</v>
      </c>
      <c r="J1325" t="s">
        <v>38</v>
      </c>
      <c r="K1325" t="str">
        <f>VLOOKUP(tblSalaries[[#This Row],[Where do you work]],tblCountries[[Actual]:[Mapping]],2,FALSE)</f>
        <v>Hungary</v>
      </c>
      <c r="L1325" t="s">
        <v>18</v>
      </c>
      <c r="M1325">
        <v>3</v>
      </c>
      <c r="N1325" s="8" t="str">
        <f>VLOOKUP(K1325,tblCountries[],3,0)</f>
        <v>Europe</v>
      </c>
      <c r="O1325" s="8">
        <f>VLOOKUP(tblSalaries[[#This Row],[How many hours of a day you work on Excel]],tblHours,2,0)</f>
        <v>3</v>
      </c>
      <c r="P1325" s="8">
        <f>VLOOKUP(tblSalaries[[#This Row],[clean Country]],tblCountries[],5,0)</f>
        <v>2.4698586085447398</v>
      </c>
      <c r="Q1325" s="8">
        <f>IF($Q$1,tblSalaries[[#This Row],[PPP Factor]]*tblSalaries[[#This Row],[Salary in USD]],tblSalaries[[#This Row],[Salary in USD]])</f>
        <v>11518.711713336908</v>
      </c>
    </row>
    <row r="1326" spans="2:17" ht="15" customHeight="1" x14ac:dyDescent="0.25">
      <c r="B1326" t="s">
        <v>3329</v>
      </c>
      <c r="C1326" s="1">
        <v>41058.774664351855</v>
      </c>
      <c r="D1326" s="4" t="s">
        <v>1514</v>
      </c>
      <c r="E1326">
        <v>150000</v>
      </c>
      <c r="F1326" t="s">
        <v>82</v>
      </c>
      <c r="G1326">
        <f>tblSalaries[[#This Row],[clean Salary (in local currency)]]*VLOOKUP(tblSalaries[[#This Row],[Currency]],tblXrate[],2,FALSE)</f>
        <v>152986.44846039536</v>
      </c>
      <c r="H1326" t="s">
        <v>1515</v>
      </c>
      <c r="I1326" t="s">
        <v>20</v>
      </c>
      <c r="J1326" t="s">
        <v>84</v>
      </c>
      <c r="K1326" t="str">
        <f>VLOOKUP(tblSalaries[[#This Row],[Where do you work]],tblCountries[[Actual]:[Mapping]],2,FALSE)</f>
        <v>Australia</v>
      </c>
      <c r="L1326" t="s">
        <v>25</v>
      </c>
      <c r="M1326">
        <v>5.5</v>
      </c>
      <c r="N1326" s="8" t="str">
        <f>VLOOKUP(K1326,tblCountries[],3,0)</f>
        <v>Oceania</v>
      </c>
      <c r="O1326" s="8">
        <f>VLOOKUP(tblSalaries[[#This Row],[How many hours of a day you work on Excel]],tblHours,2,0)</f>
        <v>2</v>
      </c>
      <c r="P1326" s="8">
        <f>VLOOKUP(tblSalaries[[#This Row],[clean Country]],tblCountries[],5,0)</f>
        <v>1.2026395585822935</v>
      </c>
      <c r="Q1326" s="8">
        <f>IF($Q$1,tblSalaries[[#This Row],[PPP Factor]]*tblSalaries[[#This Row],[Salary in USD]],tblSalaries[[#This Row],[Salary in USD]])</f>
        <v>152986.44846039536</v>
      </c>
    </row>
    <row r="1327" spans="2:17" ht="15" customHeight="1" x14ac:dyDescent="0.25">
      <c r="B1327" t="s">
        <v>3330</v>
      </c>
      <c r="C1327" s="1">
        <v>41058.776979166665</v>
      </c>
      <c r="D1327" s="4">
        <v>125000</v>
      </c>
      <c r="E1327">
        <v>125000</v>
      </c>
      <c r="F1327" t="s">
        <v>6</v>
      </c>
      <c r="G1327">
        <f>tblSalaries[[#This Row],[clean Salary (in local currency)]]*VLOOKUP(tblSalaries[[#This Row],[Currency]],tblXrate[],2,FALSE)</f>
        <v>125000</v>
      </c>
      <c r="H1327" t="s">
        <v>1516</v>
      </c>
      <c r="I1327" t="s">
        <v>52</v>
      </c>
      <c r="J1327" t="s">
        <v>15</v>
      </c>
      <c r="K1327" t="str">
        <f>VLOOKUP(tblSalaries[[#This Row],[Where do you work]],tblCountries[[Actual]:[Mapping]],2,FALSE)</f>
        <v>USA</v>
      </c>
      <c r="L1327" t="s">
        <v>9</v>
      </c>
      <c r="M1327">
        <v>2</v>
      </c>
      <c r="N1327" s="8" t="str">
        <f>VLOOKUP(K1327,tblCountries[],3,0)</f>
        <v>North Amer.</v>
      </c>
      <c r="O1327" s="8">
        <f>VLOOKUP(tblSalaries[[#This Row],[How many hours of a day you work on Excel]],tblHours,2,0)</f>
        <v>4</v>
      </c>
      <c r="P1327" s="8">
        <f>VLOOKUP(tblSalaries[[#This Row],[clean Country]],tblCountries[],5,0)</f>
        <v>1</v>
      </c>
      <c r="Q1327" s="8">
        <f>IF($Q$1,tblSalaries[[#This Row],[PPP Factor]]*tblSalaries[[#This Row],[Salary in USD]],tblSalaries[[#This Row],[Salary in USD]])</f>
        <v>125000</v>
      </c>
    </row>
    <row r="1328" spans="2:17" ht="15" customHeight="1" x14ac:dyDescent="0.25">
      <c r="B1328" t="s">
        <v>3331</v>
      </c>
      <c r="C1328" s="1">
        <v>41058.788402777776</v>
      </c>
      <c r="D1328" s="4">
        <v>100000</v>
      </c>
      <c r="E1328">
        <v>100000</v>
      </c>
      <c r="F1328" t="s">
        <v>82</v>
      </c>
      <c r="G1328">
        <f>tblSalaries[[#This Row],[clean Salary (in local currency)]]*VLOOKUP(tblSalaries[[#This Row],[Currency]],tblXrate[],2,FALSE)</f>
        <v>101990.96564026357</v>
      </c>
      <c r="H1328" t="s">
        <v>1517</v>
      </c>
      <c r="I1328" t="s">
        <v>356</v>
      </c>
      <c r="J1328" t="s">
        <v>84</v>
      </c>
      <c r="K1328" t="str">
        <f>VLOOKUP(tblSalaries[[#This Row],[Where do you work]],tblCountries[[Actual]:[Mapping]],2,FALSE)</f>
        <v>Australia</v>
      </c>
      <c r="L1328" t="s">
        <v>25</v>
      </c>
      <c r="M1328">
        <v>30</v>
      </c>
      <c r="N1328" s="8" t="str">
        <f>VLOOKUP(K1328,tblCountries[],3,0)</f>
        <v>Oceania</v>
      </c>
      <c r="O1328" s="8">
        <f>VLOOKUP(tblSalaries[[#This Row],[How many hours of a day you work on Excel]],tblHours,2,0)</f>
        <v>2</v>
      </c>
      <c r="P1328" s="8">
        <f>VLOOKUP(tblSalaries[[#This Row],[clean Country]],tblCountries[],5,0)</f>
        <v>1.2026395585822935</v>
      </c>
      <c r="Q1328" s="8">
        <f>IF($Q$1,tblSalaries[[#This Row],[PPP Factor]]*tblSalaries[[#This Row],[Salary in USD]],tblSalaries[[#This Row],[Salary in USD]])</f>
        <v>101990.96564026357</v>
      </c>
    </row>
    <row r="1329" spans="2:17" ht="15" customHeight="1" x14ac:dyDescent="0.25">
      <c r="B1329" t="s">
        <v>3332</v>
      </c>
      <c r="C1329" s="1">
        <v>41058.788425925923</v>
      </c>
      <c r="D1329" s="4">
        <v>105000</v>
      </c>
      <c r="E1329">
        <v>105000</v>
      </c>
      <c r="F1329" t="s">
        <v>6</v>
      </c>
      <c r="G1329">
        <f>tblSalaries[[#This Row],[clean Salary (in local currency)]]*VLOOKUP(tblSalaries[[#This Row],[Currency]],tblXrate[],2,FALSE)</f>
        <v>105000</v>
      </c>
      <c r="H1329" t="s">
        <v>1518</v>
      </c>
      <c r="I1329" t="s">
        <v>4001</v>
      </c>
      <c r="J1329" t="s">
        <v>15</v>
      </c>
      <c r="K1329" t="str">
        <f>VLOOKUP(tblSalaries[[#This Row],[Where do you work]],tblCountries[[Actual]:[Mapping]],2,FALSE)</f>
        <v>USA</v>
      </c>
      <c r="L1329" t="s">
        <v>25</v>
      </c>
      <c r="M1329">
        <v>15</v>
      </c>
      <c r="N1329" s="8" t="str">
        <f>VLOOKUP(K1329,tblCountries[],3,0)</f>
        <v>North Amer.</v>
      </c>
      <c r="O1329" s="8">
        <f>VLOOKUP(tblSalaries[[#This Row],[How many hours of a day you work on Excel]],tblHours,2,0)</f>
        <v>2</v>
      </c>
      <c r="P1329" s="8">
        <f>VLOOKUP(tblSalaries[[#This Row],[clean Country]],tblCountries[],5,0)</f>
        <v>1</v>
      </c>
      <c r="Q1329" s="8">
        <f>IF($Q$1,tblSalaries[[#This Row],[PPP Factor]]*tblSalaries[[#This Row],[Salary in USD]],tblSalaries[[#This Row],[Salary in USD]])</f>
        <v>105000</v>
      </c>
    </row>
    <row r="1330" spans="2:17" ht="15" customHeight="1" x14ac:dyDescent="0.25">
      <c r="B1330" t="s">
        <v>3333</v>
      </c>
      <c r="C1330" s="1">
        <v>41058.79241898148</v>
      </c>
      <c r="D1330" s="4">
        <v>40000</v>
      </c>
      <c r="E1330">
        <v>40000</v>
      </c>
      <c r="F1330" t="s">
        <v>22</v>
      </c>
      <c r="G1330">
        <f>tblSalaries[[#This Row],[clean Salary (in local currency)]]*VLOOKUP(tblSalaries[[#This Row],[Currency]],tblXrate[],2,FALSE)</f>
        <v>50815.977559664309</v>
      </c>
      <c r="H1330" t="s">
        <v>1264</v>
      </c>
      <c r="I1330" t="s">
        <v>52</v>
      </c>
      <c r="J1330" t="s">
        <v>1519</v>
      </c>
      <c r="K1330" t="str">
        <f>VLOOKUP(tblSalaries[[#This Row],[Where do you work]],tblCountries[[Actual]:[Mapping]],2,FALSE)</f>
        <v>Austria</v>
      </c>
      <c r="L1330" t="s">
        <v>9</v>
      </c>
      <c r="M1330">
        <v>20</v>
      </c>
      <c r="N1330" s="8" t="str">
        <f>VLOOKUP(K1330,tblCountries[],3,0)</f>
        <v>Europe</v>
      </c>
      <c r="O1330" s="8">
        <f>VLOOKUP(tblSalaries[[#This Row],[How many hours of a day you work on Excel]],tblHours,2,0)</f>
        <v>4</v>
      </c>
      <c r="P1330" s="8">
        <f>VLOOKUP(tblSalaries[[#This Row],[clean Country]],tblCountries[],5,0)</f>
        <v>1.1569747979532303</v>
      </c>
      <c r="Q1330" s="8">
        <f>IF($Q$1,tblSalaries[[#This Row],[PPP Factor]]*tblSalaries[[#This Row],[Salary in USD]],tblSalaries[[#This Row],[Salary in USD]])</f>
        <v>50815.977559664309</v>
      </c>
    </row>
    <row r="1331" spans="2:17" ht="15" customHeight="1" x14ac:dyDescent="0.25">
      <c r="B1331" t="s">
        <v>3334</v>
      </c>
      <c r="C1331" s="1">
        <v>41058.792916666665</v>
      </c>
      <c r="D1331" s="4">
        <v>75000</v>
      </c>
      <c r="E1331">
        <v>75000</v>
      </c>
      <c r="F1331" t="s">
        <v>6</v>
      </c>
      <c r="G1331">
        <f>tblSalaries[[#This Row],[clean Salary (in local currency)]]*VLOOKUP(tblSalaries[[#This Row],[Currency]],tblXrate[],2,FALSE)</f>
        <v>75000</v>
      </c>
      <c r="H1331" t="s">
        <v>14</v>
      </c>
      <c r="I1331" t="s">
        <v>20</v>
      </c>
      <c r="J1331" t="s">
        <v>15</v>
      </c>
      <c r="K1331" t="str">
        <f>VLOOKUP(tblSalaries[[#This Row],[Where do you work]],tblCountries[[Actual]:[Mapping]],2,FALSE)</f>
        <v>USA</v>
      </c>
      <c r="L1331" t="s">
        <v>9</v>
      </c>
      <c r="M1331">
        <v>7</v>
      </c>
      <c r="N1331" s="8" t="str">
        <f>VLOOKUP(K1331,tblCountries[],3,0)</f>
        <v>North Amer.</v>
      </c>
      <c r="O1331" s="8">
        <f>VLOOKUP(tblSalaries[[#This Row],[How many hours of a day you work on Excel]],tblHours,2,0)</f>
        <v>4</v>
      </c>
      <c r="P1331" s="8">
        <f>VLOOKUP(tblSalaries[[#This Row],[clean Country]],tblCountries[],5,0)</f>
        <v>1</v>
      </c>
      <c r="Q1331" s="8">
        <f>IF($Q$1,tblSalaries[[#This Row],[PPP Factor]]*tblSalaries[[#This Row],[Salary in USD]],tblSalaries[[#This Row],[Salary in USD]])</f>
        <v>75000</v>
      </c>
    </row>
    <row r="1332" spans="2:17" ht="15" customHeight="1" x14ac:dyDescent="0.25">
      <c r="B1332" t="s">
        <v>3335</v>
      </c>
      <c r="C1332" s="1">
        <v>41058.795995370368</v>
      </c>
      <c r="D1332" s="4" t="s">
        <v>1520</v>
      </c>
      <c r="E1332">
        <v>250000</v>
      </c>
      <c r="F1332" t="s">
        <v>40</v>
      </c>
      <c r="G1332">
        <f>tblSalaries[[#This Row],[clean Salary (in local currency)]]*VLOOKUP(tblSalaries[[#This Row],[Currency]],tblXrate[],2,FALSE)</f>
        <v>4451.9791718606421</v>
      </c>
      <c r="H1332" t="s">
        <v>1521</v>
      </c>
      <c r="I1332" t="s">
        <v>20</v>
      </c>
      <c r="J1332" t="s">
        <v>8</v>
      </c>
      <c r="K1332" t="str">
        <f>VLOOKUP(tblSalaries[[#This Row],[Where do you work]],tblCountries[[Actual]:[Mapping]],2,FALSE)</f>
        <v>India</v>
      </c>
      <c r="L1332" t="s">
        <v>13</v>
      </c>
      <c r="M1332">
        <v>8</v>
      </c>
      <c r="N1332" s="8" t="str">
        <f>VLOOKUP(K1332,tblCountries[],3,0)</f>
        <v>Asia</v>
      </c>
      <c r="O1332" s="8">
        <f>VLOOKUP(tblSalaries[[#This Row],[How many hours of a day you work on Excel]],tblHours,2,0)</f>
        <v>5</v>
      </c>
      <c r="P1332" s="8">
        <f>VLOOKUP(tblSalaries[[#This Row],[clean Country]],tblCountries[],5,0)</f>
        <v>13.098808879263672</v>
      </c>
      <c r="Q1332" s="8">
        <f>IF($Q$1,tblSalaries[[#This Row],[PPP Factor]]*tblSalaries[[#This Row],[Salary in USD]],tblSalaries[[#This Row],[Salary in USD]])</f>
        <v>4451.9791718606421</v>
      </c>
    </row>
    <row r="1333" spans="2:17" ht="15" customHeight="1" x14ac:dyDescent="0.25">
      <c r="B1333" t="s">
        <v>3336</v>
      </c>
      <c r="C1333" s="1">
        <v>41058.797650462962</v>
      </c>
      <c r="D1333" s="4">
        <v>110000</v>
      </c>
      <c r="E1333">
        <v>110000</v>
      </c>
      <c r="F1333" t="s">
        <v>6</v>
      </c>
      <c r="G1333">
        <f>tblSalaries[[#This Row],[clean Salary (in local currency)]]*VLOOKUP(tblSalaries[[#This Row],[Currency]],tblXrate[],2,FALSE)</f>
        <v>110000</v>
      </c>
      <c r="H1333" t="s">
        <v>1522</v>
      </c>
      <c r="I1333" t="s">
        <v>20</v>
      </c>
      <c r="J1333" t="s">
        <v>15</v>
      </c>
      <c r="K1333" t="str">
        <f>VLOOKUP(tblSalaries[[#This Row],[Where do you work]],tblCountries[[Actual]:[Mapping]],2,FALSE)</f>
        <v>USA</v>
      </c>
      <c r="L1333" t="s">
        <v>25</v>
      </c>
      <c r="M1333">
        <v>10</v>
      </c>
      <c r="N1333" s="8" t="str">
        <f>VLOOKUP(K1333,tblCountries[],3,0)</f>
        <v>North Amer.</v>
      </c>
      <c r="O1333" s="8">
        <f>VLOOKUP(tblSalaries[[#This Row],[How many hours of a day you work on Excel]],tblHours,2,0)</f>
        <v>2</v>
      </c>
      <c r="P1333" s="8">
        <f>VLOOKUP(tblSalaries[[#This Row],[clean Country]],tblCountries[],5,0)</f>
        <v>1</v>
      </c>
      <c r="Q1333" s="8">
        <f>IF($Q$1,tblSalaries[[#This Row],[PPP Factor]]*tblSalaries[[#This Row],[Salary in USD]],tblSalaries[[#This Row],[Salary in USD]])</f>
        <v>110000</v>
      </c>
    </row>
    <row r="1334" spans="2:17" ht="15" customHeight="1" x14ac:dyDescent="0.25">
      <c r="B1334" t="s">
        <v>3337</v>
      </c>
      <c r="C1334" s="1">
        <v>41058.798668981479</v>
      </c>
      <c r="D1334" s="4" t="s">
        <v>1523</v>
      </c>
      <c r="E1334">
        <v>27000</v>
      </c>
      <c r="F1334" t="s">
        <v>69</v>
      </c>
      <c r="G1334">
        <f>tblSalaries[[#This Row],[clean Salary (in local currency)]]*VLOOKUP(tblSalaries[[#This Row],[Currency]],tblXrate[],2,FALSE)</f>
        <v>42556.81334581667</v>
      </c>
      <c r="H1334" t="s">
        <v>1524</v>
      </c>
      <c r="I1334" t="s">
        <v>279</v>
      </c>
      <c r="J1334" t="s">
        <v>71</v>
      </c>
      <c r="K1334" t="str">
        <f>VLOOKUP(tblSalaries[[#This Row],[Where do you work]],tblCountries[[Actual]:[Mapping]],2,FALSE)</f>
        <v>UK</v>
      </c>
      <c r="L1334" t="s">
        <v>9</v>
      </c>
      <c r="M1334">
        <v>1</v>
      </c>
      <c r="N1334" s="8" t="str">
        <f>VLOOKUP(K1334,tblCountries[],3,0)</f>
        <v>Europe</v>
      </c>
      <c r="O1334" s="8">
        <f>VLOOKUP(tblSalaries[[#This Row],[How many hours of a day you work on Excel]],tblHours,2,0)</f>
        <v>4</v>
      </c>
      <c r="P1334" s="8">
        <f>VLOOKUP(tblSalaries[[#This Row],[clean Country]],tblCountries[],5,0)</f>
        <v>1.3407315045719035</v>
      </c>
      <c r="Q1334" s="8">
        <f>IF($Q$1,tblSalaries[[#This Row],[PPP Factor]]*tblSalaries[[#This Row],[Salary in USD]],tblSalaries[[#This Row],[Salary in USD]])</f>
        <v>42556.81334581667</v>
      </c>
    </row>
    <row r="1335" spans="2:17" ht="15" customHeight="1" x14ac:dyDescent="0.25">
      <c r="B1335" t="s">
        <v>3338</v>
      </c>
      <c r="C1335" s="1">
        <v>41058.799664351849</v>
      </c>
      <c r="D1335" s="4" t="s">
        <v>1525</v>
      </c>
      <c r="E1335">
        <v>450000</v>
      </c>
      <c r="F1335" t="s">
        <v>40</v>
      </c>
      <c r="G1335">
        <f>tblSalaries[[#This Row],[clean Salary (in local currency)]]*VLOOKUP(tblSalaries[[#This Row],[Currency]],tblXrate[],2,FALSE)</f>
        <v>8013.5625093491553</v>
      </c>
      <c r="H1335" t="s">
        <v>1526</v>
      </c>
      <c r="I1335" t="s">
        <v>279</v>
      </c>
      <c r="J1335" t="s">
        <v>8</v>
      </c>
      <c r="K1335" t="str">
        <f>VLOOKUP(tblSalaries[[#This Row],[Where do you work]],tblCountries[[Actual]:[Mapping]],2,FALSE)</f>
        <v>India</v>
      </c>
      <c r="L1335" t="s">
        <v>25</v>
      </c>
      <c r="M1335">
        <v>7</v>
      </c>
      <c r="N1335" s="8" t="str">
        <f>VLOOKUP(K1335,tblCountries[],3,0)</f>
        <v>Asia</v>
      </c>
      <c r="O1335" s="8">
        <f>VLOOKUP(tblSalaries[[#This Row],[How many hours of a day you work on Excel]],tblHours,2,0)</f>
        <v>2</v>
      </c>
      <c r="P1335" s="8">
        <f>VLOOKUP(tblSalaries[[#This Row],[clean Country]],tblCountries[],5,0)</f>
        <v>13.098808879263672</v>
      </c>
      <c r="Q1335" s="8">
        <f>IF($Q$1,tblSalaries[[#This Row],[PPP Factor]]*tblSalaries[[#This Row],[Salary in USD]],tblSalaries[[#This Row],[Salary in USD]])</f>
        <v>8013.5625093491553</v>
      </c>
    </row>
    <row r="1336" spans="2:17" ht="15" customHeight="1" x14ac:dyDescent="0.25">
      <c r="B1336" t="s">
        <v>3339</v>
      </c>
      <c r="C1336" s="1">
        <v>41058.800219907411</v>
      </c>
      <c r="D1336" s="4">
        <v>125000</v>
      </c>
      <c r="E1336">
        <v>125000</v>
      </c>
      <c r="F1336" t="s">
        <v>6</v>
      </c>
      <c r="G1336">
        <f>tblSalaries[[#This Row],[clean Salary (in local currency)]]*VLOOKUP(tblSalaries[[#This Row],[Currency]],tblXrate[],2,FALSE)</f>
        <v>125000</v>
      </c>
      <c r="H1336" t="s">
        <v>642</v>
      </c>
      <c r="I1336" t="s">
        <v>52</v>
      </c>
      <c r="J1336" t="s">
        <v>15</v>
      </c>
      <c r="K1336" t="str">
        <f>VLOOKUP(tblSalaries[[#This Row],[Where do you work]],tblCountries[[Actual]:[Mapping]],2,FALSE)</f>
        <v>USA</v>
      </c>
      <c r="L1336" t="s">
        <v>9</v>
      </c>
      <c r="M1336">
        <v>25</v>
      </c>
      <c r="N1336" s="8" t="str">
        <f>VLOOKUP(K1336,tblCountries[],3,0)</f>
        <v>North Amer.</v>
      </c>
      <c r="O1336" s="8">
        <f>VLOOKUP(tblSalaries[[#This Row],[How many hours of a day you work on Excel]],tblHours,2,0)</f>
        <v>4</v>
      </c>
      <c r="P1336" s="8">
        <f>VLOOKUP(tblSalaries[[#This Row],[clean Country]],tblCountries[],5,0)</f>
        <v>1</v>
      </c>
      <c r="Q1336" s="8">
        <f>IF($Q$1,tblSalaries[[#This Row],[PPP Factor]]*tblSalaries[[#This Row],[Salary in USD]],tblSalaries[[#This Row],[Salary in USD]])</f>
        <v>125000</v>
      </c>
    </row>
    <row r="1337" spans="2:17" ht="15" customHeight="1" x14ac:dyDescent="0.25">
      <c r="B1337" t="s">
        <v>3340</v>
      </c>
      <c r="C1337" s="1">
        <v>41058.808009259257</v>
      </c>
      <c r="D1337" s="4">
        <v>60000</v>
      </c>
      <c r="E1337">
        <v>60000</v>
      </c>
      <c r="F1337" t="s">
        <v>6</v>
      </c>
      <c r="G1337">
        <f>tblSalaries[[#This Row],[clean Salary (in local currency)]]*VLOOKUP(tblSalaries[[#This Row],[Currency]],tblXrate[],2,FALSE)</f>
        <v>60000</v>
      </c>
      <c r="H1337" t="s">
        <v>1527</v>
      </c>
      <c r="I1337" t="s">
        <v>20</v>
      </c>
      <c r="J1337" t="s">
        <v>15</v>
      </c>
      <c r="K1337" t="str">
        <f>VLOOKUP(tblSalaries[[#This Row],[Where do you work]],tblCountries[[Actual]:[Mapping]],2,FALSE)</f>
        <v>USA</v>
      </c>
      <c r="L1337" t="s">
        <v>13</v>
      </c>
      <c r="M1337">
        <v>12</v>
      </c>
      <c r="N1337" s="8" t="str">
        <f>VLOOKUP(K1337,tblCountries[],3,0)</f>
        <v>North Amer.</v>
      </c>
      <c r="O1337" s="8">
        <f>VLOOKUP(tblSalaries[[#This Row],[How many hours of a day you work on Excel]],tblHours,2,0)</f>
        <v>5</v>
      </c>
      <c r="P1337" s="8">
        <f>VLOOKUP(tblSalaries[[#This Row],[clean Country]],tblCountries[],5,0)</f>
        <v>1</v>
      </c>
      <c r="Q1337" s="8">
        <f>IF($Q$1,tblSalaries[[#This Row],[PPP Factor]]*tblSalaries[[#This Row],[Salary in USD]],tblSalaries[[#This Row],[Salary in USD]])</f>
        <v>60000</v>
      </c>
    </row>
    <row r="1338" spans="2:17" ht="15" customHeight="1" x14ac:dyDescent="0.25">
      <c r="B1338" t="s">
        <v>3341</v>
      </c>
      <c r="C1338" s="1">
        <v>41058.813564814816</v>
      </c>
      <c r="D1338" s="4" t="s">
        <v>1528</v>
      </c>
      <c r="E1338">
        <v>2210000</v>
      </c>
      <c r="F1338" t="s">
        <v>40</v>
      </c>
      <c r="G1338">
        <f>tblSalaries[[#This Row],[clean Salary (in local currency)]]*VLOOKUP(tblSalaries[[#This Row],[Currency]],tblXrate[],2,FALSE)</f>
        <v>39355.495879248076</v>
      </c>
      <c r="H1338" t="s">
        <v>387</v>
      </c>
      <c r="I1338" t="s">
        <v>20</v>
      </c>
      <c r="J1338" t="s">
        <v>8</v>
      </c>
      <c r="K1338" t="str">
        <f>VLOOKUP(tblSalaries[[#This Row],[Where do you work]],tblCountries[[Actual]:[Mapping]],2,FALSE)</f>
        <v>India</v>
      </c>
      <c r="L1338" t="s">
        <v>25</v>
      </c>
      <c r="M1338">
        <v>5.6</v>
      </c>
      <c r="N1338" s="8" t="str">
        <f>VLOOKUP(K1338,tblCountries[],3,0)</f>
        <v>Asia</v>
      </c>
      <c r="O1338" s="8">
        <f>VLOOKUP(tblSalaries[[#This Row],[How many hours of a day you work on Excel]],tblHours,2,0)</f>
        <v>2</v>
      </c>
      <c r="P1338" s="8">
        <f>VLOOKUP(tblSalaries[[#This Row],[clean Country]],tblCountries[],5,0)</f>
        <v>13.098808879263672</v>
      </c>
      <c r="Q1338" s="8">
        <f>IF($Q$1,tblSalaries[[#This Row],[PPP Factor]]*tblSalaries[[#This Row],[Salary in USD]],tblSalaries[[#This Row],[Salary in USD]])</f>
        <v>39355.495879248076</v>
      </c>
    </row>
    <row r="1339" spans="2:17" ht="15" customHeight="1" x14ac:dyDescent="0.25">
      <c r="B1339" t="s">
        <v>3342</v>
      </c>
      <c r="C1339" s="1">
        <v>41058.814664351848</v>
      </c>
      <c r="D1339" s="4">
        <v>45000</v>
      </c>
      <c r="E1339">
        <v>45000</v>
      </c>
      <c r="F1339" t="s">
        <v>22</v>
      </c>
      <c r="G1339">
        <f>tblSalaries[[#This Row],[clean Salary (in local currency)]]*VLOOKUP(tblSalaries[[#This Row],[Currency]],tblXrate[],2,FALSE)</f>
        <v>57167.974754622352</v>
      </c>
      <c r="H1339" t="s">
        <v>1529</v>
      </c>
      <c r="I1339" t="s">
        <v>488</v>
      </c>
      <c r="J1339" t="s">
        <v>24</v>
      </c>
      <c r="K1339" t="str">
        <f>VLOOKUP(tblSalaries[[#This Row],[Where do you work]],tblCountries[[Actual]:[Mapping]],2,FALSE)</f>
        <v>Germany</v>
      </c>
      <c r="L1339" t="s">
        <v>9</v>
      </c>
      <c r="M1339">
        <v>12</v>
      </c>
      <c r="N1339" s="8" t="str">
        <f>VLOOKUP(K1339,tblCountries[],3,0)</f>
        <v>Europe</v>
      </c>
      <c r="O1339" s="8">
        <f>VLOOKUP(tblSalaries[[#This Row],[How many hours of a day you work on Excel]],tblHours,2,0)</f>
        <v>4</v>
      </c>
      <c r="P1339" s="8">
        <f>VLOOKUP(tblSalaries[[#This Row],[clean Country]],tblCountries[],5,0)</f>
        <v>1.276802913159353</v>
      </c>
      <c r="Q1339" s="8">
        <f>IF($Q$1,tblSalaries[[#This Row],[PPP Factor]]*tblSalaries[[#This Row],[Salary in USD]],tblSalaries[[#This Row],[Salary in USD]])</f>
        <v>57167.974754622352</v>
      </c>
    </row>
    <row r="1340" spans="2:17" ht="15" customHeight="1" x14ac:dyDescent="0.25">
      <c r="B1340" t="s">
        <v>3343</v>
      </c>
      <c r="C1340" s="1">
        <v>41058.819155092591</v>
      </c>
      <c r="D1340" s="4" t="s">
        <v>1530</v>
      </c>
      <c r="E1340">
        <v>4000000</v>
      </c>
      <c r="F1340" t="s">
        <v>1531</v>
      </c>
      <c r="G1340">
        <f>tblSalaries[[#This Row],[clean Salary (in local currency)]]*VLOOKUP(tblSalaries[[#This Row],[Currency]],tblXrate[],2,FALSE)</f>
        <v>50694.322109187968</v>
      </c>
      <c r="H1340" t="s">
        <v>1532</v>
      </c>
      <c r="I1340" t="s">
        <v>20</v>
      </c>
      <c r="J1340" t="s">
        <v>654</v>
      </c>
      <c r="K1340" t="str">
        <f>VLOOKUP(tblSalaries[[#This Row],[Where do you work]],tblCountries[[Actual]:[Mapping]],2,FALSE)</f>
        <v>Japan</v>
      </c>
      <c r="L1340" t="s">
        <v>9</v>
      </c>
      <c r="M1340">
        <v>8</v>
      </c>
      <c r="N1340" s="8" t="str">
        <f>VLOOKUP(K1340,tblCountries[],3,0)</f>
        <v>Asia</v>
      </c>
      <c r="O1340" s="8">
        <f>VLOOKUP(tblSalaries[[#This Row],[How many hours of a day you work on Excel]],tblHours,2,0)</f>
        <v>4</v>
      </c>
      <c r="P1340" s="8">
        <f>VLOOKUP(tblSalaries[[#This Row],[clean Country]],tblCountries[],5,0)</f>
        <v>1.392832469775475</v>
      </c>
      <c r="Q1340" s="8">
        <f>IF($Q$1,tblSalaries[[#This Row],[PPP Factor]]*tblSalaries[[#This Row],[Salary in USD]],tblSalaries[[#This Row],[Salary in USD]])</f>
        <v>50694.322109187968</v>
      </c>
    </row>
    <row r="1341" spans="2:17" ht="15" customHeight="1" x14ac:dyDescent="0.25">
      <c r="B1341" t="s">
        <v>3344</v>
      </c>
      <c r="C1341" s="1">
        <v>41058.824513888889</v>
      </c>
      <c r="D1341" s="4">
        <v>57500</v>
      </c>
      <c r="E1341">
        <v>57500</v>
      </c>
      <c r="F1341" t="s">
        <v>6</v>
      </c>
      <c r="G1341">
        <f>tblSalaries[[#This Row],[clean Salary (in local currency)]]*VLOOKUP(tblSalaries[[#This Row],[Currency]],tblXrate[],2,FALSE)</f>
        <v>57500</v>
      </c>
      <c r="H1341" t="s">
        <v>1533</v>
      </c>
      <c r="I1341" t="s">
        <v>52</v>
      </c>
      <c r="J1341" t="s">
        <v>15</v>
      </c>
      <c r="K1341" t="str">
        <f>VLOOKUP(tblSalaries[[#This Row],[Where do you work]],tblCountries[[Actual]:[Mapping]],2,FALSE)</f>
        <v>USA</v>
      </c>
      <c r="L1341" t="s">
        <v>9</v>
      </c>
      <c r="M1341">
        <v>30</v>
      </c>
      <c r="N1341" s="8" t="str">
        <f>VLOOKUP(K1341,tblCountries[],3,0)</f>
        <v>North Amer.</v>
      </c>
      <c r="O1341" s="8">
        <f>VLOOKUP(tblSalaries[[#This Row],[How many hours of a day you work on Excel]],tblHours,2,0)</f>
        <v>4</v>
      </c>
      <c r="P1341" s="8">
        <f>VLOOKUP(tblSalaries[[#This Row],[clean Country]],tblCountries[],5,0)</f>
        <v>1</v>
      </c>
      <c r="Q1341" s="8">
        <f>IF($Q$1,tblSalaries[[#This Row],[PPP Factor]]*tblSalaries[[#This Row],[Salary in USD]],tblSalaries[[#This Row],[Salary in USD]])</f>
        <v>57500</v>
      </c>
    </row>
    <row r="1342" spans="2:17" ht="15" customHeight="1" x14ac:dyDescent="0.25">
      <c r="B1342" t="s">
        <v>3345</v>
      </c>
      <c r="C1342" s="1">
        <v>41058.826678240737</v>
      </c>
      <c r="D1342" s="4">
        <v>62000</v>
      </c>
      <c r="E1342">
        <v>62000</v>
      </c>
      <c r="F1342" t="s">
        <v>22</v>
      </c>
      <c r="G1342">
        <f>tblSalaries[[#This Row],[clean Salary (in local currency)]]*VLOOKUP(tblSalaries[[#This Row],[Currency]],tblXrate[],2,FALSE)</f>
        <v>78764.765217479682</v>
      </c>
      <c r="H1342" t="s">
        <v>488</v>
      </c>
      <c r="I1342" t="s">
        <v>488</v>
      </c>
      <c r="J1342" t="s">
        <v>628</v>
      </c>
      <c r="K1342" t="str">
        <f>VLOOKUP(tblSalaries[[#This Row],[Where do you work]],tblCountries[[Actual]:[Mapping]],2,FALSE)</f>
        <v>Netherlands</v>
      </c>
      <c r="L1342" t="s">
        <v>9</v>
      </c>
      <c r="M1342">
        <v>15</v>
      </c>
      <c r="N1342" s="8" t="str">
        <f>VLOOKUP(K1342,tblCountries[],3,0)</f>
        <v>Europe</v>
      </c>
      <c r="O1342" s="8">
        <f>VLOOKUP(tblSalaries[[#This Row],[How many hours of a day you work on Excel]],tblHours,2,0)</f>
        <v>4</v>
      </c>
      <c r="P1342" s="8">
        <f>VLOOKUP(tblSalaries[[#This Row],[clean Country]],tblCountries[],5,0)</f>
        <v>1.1470734656141099</v>
      </c>
      <c r="Q1342" s="8">
        <f>IF($Q$1,tblSalaries[[#This Row],[PPP Factor]]*tblSalaries[[#This Row],[Salary in USD]],tblSalaries[[#This Row],[Salary in USD]])</f>
        <v>78764.765217479682</v>
      </c>
    </row>
    <row r="1343" spans="2:17" ht="15" customHeight="1" x14ac:dyDescent="0.25">
      <c r="B1343" t="s">
        <v>3346</v>
      </c>
      <c r="C1343" s="1">
        <v>41058.828182870369</v>
      </c>
      <c r="D1343" s="4" t="s">
        <v>1534</v>
      </c>
      <c r="E1343">
        <v>80000</v>
      </c>
      <c r="F1343" t="s">
        <v>6</v>
      </c>
      <c r="G1343">
        <f>tblSalaries[[#This Row],[clean Salary (in local currency)]]*VLOOKUP(tblSalaries[[#This Row],[Currency]],tblXrate[],2,FALSE)</f>
        <v>80000</v>
      </c>
      <c r="H1343" t="s">
        <v>1535</v>
      </c>
      <c r="I1343" t="s">
        <v>52</v>
      </c>
      <c r="J1343" t="s">
        <v>15</v>
      </c>
      <c r="K1343" t="str">
        <f>VLOOKUP(tblSalaries[[#This Row],[Where do you work]],tblCountries[[Actual]:[Mapping]],2,FALSE)</f>
        <v>USA</v>
      </c>
      <c r="L1343" t="s">
        <v>9</v>
      </c>
      <c r="M1343">
        <v>10</v>
      </c>
      <c r="N1343" s="8" t="str">
        <f>VLOOKUP(K1343,tblCountries[],3,0)</f>
        <v>North Amer.</v>
      </c>
      <c r="O1343" s="8">
        <f>VLOOKUP(tblSalaries[[#This Row],[How many hours of a day you work on Excel]],tblHours,2,0)</f>
        <v>4</v>
      </c>
      <c r="P1343" s="8">
        <f>VLOOKUP(tblSalaries[[#This Row],[clean Country]],tblCountries[],5,0)</f>
        <v>1</v>
      </c>
      <c r="Q1343" s="8">
        <f>IF($Q$1,tblSalaries[[#This Row],[PPP Factor]]*tblSalaries[[#This Row],[Salary in USD]],tblSalaries[[#This Row],[Salary in USD]])</f>
        <v>80000</v>
      </c>
    </row>
    <row r="1344" spans="2:17" ht="15" customHeight="1" x14ac:dyDescent="0.25">
      <c r="B1344" t="s">
        <v>3347</v>
      </c>
      <c r="C1344" s="1">
        <v>41058.829606481479</v>
      </c>
      <c r="D1344" s="4" t="s">
        <v>1249</v>
      </c>
      <c r="E1344">
        <v>45000</v>
      </c>
      <c r="F1344" t="s">
        <v>69</v>
      </c>
      <c r="G1344">
        <f>tblSalaries[[#This Row],[clean Salary (in local currency)]]*VLOOKUP(tblSalaries[[#This Row],[Currency]],tblXrate[],2,FALSE)</f>
        <v>70928.022243027779</v>
      </c>
      <c r="H1344" t="s">
        <v>772</v>
      </c>
      <c r="I1344" t="s">
        <v>52</v>
      </c>
      <c r="J1344" t="s">
        <v>71</v>
      </c>
      <c r="K1344" t="str">
        <f>VLOOKUP(tblSalaries[[#This Row],[Where do you work]],tblCountries[[Actual]:[Mapping]],2,FALSE)</f>
        <v>UK</v>
      </c>
      <c r="L1344" t="s">
        <v>18</v>
      </c>
      <c r="M1344">
        <v>15</v>
      </c>
      <c r="N1344" s="8" t="str">
        <f>VLOOKUP(K1344,tblCountries[],3,0)</f>
        <v>Europe</v>
      </c>
      <c r="O1344" s="8">
        <f>VLOOKUP(tblSalaries[[#This Row],[How many hours of a day you work on Excel]],tblHours,2,0)</f>
        <v>3</v>
      </c>
      <c r="P1344" s="8">
        <f>VLOOKUP(tblSalaries[[#This Row],[clean Country]],tblCountries[],5,0)</f>
        <v>1.3407315045719035</v>
      </c>
      <c r="Q1344" s="8">
        <f>IF($Q$1,tblSalaries[[#This Row],[PPP Factor]]*tblSalaries[[#This Row],[Salary in USD]],tblSalaries[[#This Row],[Salary in USD]])</f>
        <v>70928.022243027779</v>
      </c>
    </row>
    <row r="1345" spans="2:17" ht="15" customHeight="1" x14ac:dyDescent="0.25">
      <c r="B1345" t="s">
        <v>3348</v>
      </c>
      <c r="C1345" s="1">
        <v>41058.835497685184</v>
      </c>
      <c r="D1345" s="4">
        <v>33000</v>
      </c>
      <c r="E1345">
        <v>33000</v>
      </c>
      <c r="F1345" t="s">
        <v>6</v>
      </c>
      <c r="G1345">
        <f>tblSalaries[[#This Row],[clean Salary (in local currency)]]*VLOOKUP(tblSalaries[[#This Row],[Currency]],tblXrate[],2,FALSE)</f>
        <v>33000</v>
      </c>
      <c r="H1345" t="s">
        <v>1536</v>
      </c>
      <c r="I1345" t="s">
        <v>488</v>
      </c>
      <c r="J1345" t="s">
        <v>15</v>
      </c>
      <c r="K1345" t="str">
        <f>VLOOKUP(tblSalaries[[#This Row],[Where do you work]],tblCountries[[Actual]:[Mapping]],2,FALSE)</f>
        <v>USA</v>
      </c>
      <c r="L1345" t="s">
        <v>9</v>
      </c>
      <c r="M1345">
        <v>3</v>
      </c>
      <c r="N1345" s="8" t="str">
        <f>VLOOKUP(K1345,tblCountries[],3,0)</f>
        <v>North Amer.</v>
      </c>
      <c r="O1345" s="8">
        <f>VLOOKUP(tblSalaries[[#This Row],[How many hours of a day you work on Excel]],tblHours,2,0)</f>
        <v>4</v>
      </c>
      <c r="P1345" s="8">
        <f>VLOOKUP(tblSalaries[[#This Row],[clean Country]],tblCountries[],5,0)</f>
        <v>1</v>
      </c>
      <c r="Q1345" s="8">
        <f>IF($Q$1,tblSalaries[[#This Row],[PPP Factor]]*tblSalaries[[#This Row],[Salary in USD]],tblSalaries[[#This Row],[Salary in USD]])</f>
        <v>33000</v>
      </c>
    </row>
    <row r="1346" spans="2:17" ht="15" customHeight="1" x14ac:dyDescent="0.25">
      <c r="B1346" t="s">
        <v>3349</v>
      </c>
      <c r="C1346" s="1">
        <v>41058.84746527778</v>
      </c>
      <c r="D1346" s="4" t="s">
        <v>1537</v>
      </c>
      <c r="E1346">
        <v>100000</v>
      </c>
      <c r="F1346" t="s">
        <v>6</v>
      </c>
      <c r="G1346">
        <f>tblSalaries[[#This Row],[clean Salary (in local currency)]]*VLOOKUP(tblSalaries[[#This Row],[Currency]],tblXrate[],2,FALSE)</f>
        <v>100000</v>
      </c>
      <c r="H1346" t="s">
        <v>424</v>
      </c>
      <c r="I1346" t="s">
        <v>20</v>
      </c>
      <c r="J1346" t="s">
        <v>15</v>
      </c>
      <c r="K1346" t="str">
        <f>VLOOKUP(tblSalaries[[#This Row],[Where do you work]],tblCountries[[Actual]:[Mapping]],2,FALSE)</f>
        <v>USA</v>
      </c>
      <c r="L1346" t="s">
        <v>9</v>
      </c>
      <c r="M1346">
        <v>1</v>
      </c>
      <c r="N1346" s="8" t="str">
        <f>VLOOKUP(K1346,tblCountries[],3,0)</f>
        <v>North Amer.</v>
      </c>
      <c r="O1346" s="8">
        <f>VLOOKUP(tblSalaries[[#This Row],[How many hours of a day you work on Excel]],tblHours,2,0)</f>
        <v>4</v>
      </c>
      <c r="P1346" s="8">
        <f>VLOOKUP(tblSalaries[[#This Row],[clean Country]],tblCountries[],5,0)</f>
        <v>1</v>
      </c>
      <c r="Q1346" s="8">
        <f>IF($Q$1,tblSalaries[[#This Row],[PPP Factor]]*tblSalaries[[#This Row],[Salary in USD]],tblSalaries[[#This Row],[Salary in USD]])</f>
        <v>100000</v>
      </c>
    </row>
    <row r="1347" spans="2:17" ht="15" customHeight="1" x14ac:dyDescent="0.25">
      <c r="B1347" t="s">
        <v>3350</v>
      </c>
      <c r="C1347" s="1">
        <v>41058.861250000002</v>
      </c>
      <c r="D1347" s="4" t="s">
        <v>1538</v>
      </c>
      <c r="E1347">
        <v>60000</v>
      </c>
      <c r="F1347" t="s">
        <v>6</v>
      </c>
      <c r="G1347">
        <f>tblSalaries[[#This Row],[clean Salary (in local currency)]]*VLOOKUP(tblSalaries[[#This Row],[Currency]],tblXrate[],2,FALSE)</f>
        <v>60000</v>
      </c>
      <c r="H1347" t="s">
        <v>204</v>
      </c>
      <c r="I1347" t="s">
        <v>52</v>
      </c>
      <c r="J1347" t="s">
        <v>15</v>
      </c>
      <c r="K1347" t="str">
        <f>VLOOKUP(tblSalaries[[#This Row],[Where do you work]],tblCountries[[Actual]:[Mapping]],2,FALSE)</f>
        <v>USA</v>
      </c>
      <c r="L1347" t="s">
        <v>18</v>
      </c>
      <c r="M1347">
        <v>20</v>
      </c>
      <c r="N1347" s="8" t="str">
        <f>VLOOKUP(K1347,tblCountries[],3,0)</f>
        <v>North Amer.</v>
      </c>
      <c r="O1347" s="8">
        <f>VLOOKUP(tblSalaries[[#This Row],[How many hours of a day you work on Excel]],tblHours,2,0)</f>
        <v>3</v>
      </c>
      <c r="P1347" s="8">
        <f>VLOOKUP(tblSalaries[[#This Row],[clean Country]],tblCountries[],5,0)</f>
        <v>1</v>
      </c>
      <c r="Q1347" s="8">
        <f>IF($Q$1,tblSalaries[[#This Row],[PPP Factor]]*tblSalaries[[#This Row],[Salary in USD]],tblSalaries[[#This Row],[Salary in USD]])</f>
        <v>60000</v>
      </c>
    </row>
    <row r="1348" spans="2:17" ht="15" customHeight="1" x14ac:dyDescent="0.25">
      <c r="B1348" t="s">
        <v>3351</v>
      </c>
      <c r="C1348" s="1">
        <v>41058.870636574073</v>
      </c>
      <c r="D1348" s="4">
        <v>95000</v>
      </c>
      <c r="E1348">
        <v>95000</v>
      </c>
      <c r="F1348" t="s">
        <v>6</v>
      </c>
      <c r="G1348">
        <f>tblSalaries[[#This Row],[clean Salary (in local currency)]]*VLOOKUP(tblSalaries[[#This Row],[Currency]],tblXrate[],2,FALSE)</f>
        <v>95000</v>
      </c>
      <c r="H1348" t="s">
        <v>653</v>
      </c>
      <c r="I1348" t="s">
        <v>20</v>
      </c>
      <c r="J1348" t="s">
        <v>15</v>
      </c>
      <c r="K1348" t="str">
        <f>VLOOKUP(tblSalaries[[#This Row],[Where do you work]],tblCountries[[Actual]:[Mapping]],2,FALSE)</f>
        <v>USA</v>
      </c>
      <c r="L1348" t="s">
        <v>18</v>
      </c>
      <c r="M1348">
        <v>7</v>
      </c>
      <c r="N1348" s="8" t="str">
        <f>VLOOKUP(K1348,tblCountries[],3,0)</f>
        <v>North Amer.</v>
      </c>
      <c r="O1348" s="8">
        <f>VLOOKUP(tblSalaries[[#This Row],[How many hours of a day you work on Excel]],tblHours,2,0)</f>
        <v>3</v>
      </c>
      <c r="P1348" s="8">
        <f>VLOOKUP(tblSalaries[[#This Row],[clean Country]],tblCountries[],5,0)</f>
        <v>1</v>
      </c>
      <c r="Q1348" s="8">
        <f>IF($Q$1,tblSalaries[[#This Row],[PPP Factor]]*tblSalaries[[#This Row],[Salary in USD]],tblSalaries[[#This Row],[Salary in USD]])</f>
        <v>95000</v>
      </c>
    </row>
    <row r="1349" spans="2:17" ht="15" customHeight="1" x14ac:dyDescent="0.25">
      <c r="B1349" t="s">
        <v>3352</v>
      </c>
      <c r="C1349" s="1">
        <v>41058.880173611113</v>
      </c>
      <c r="D1349" s="4">
        <v>24000</v>
      </c>
      <c r="E1349">
        <v>24000</v>
      </c>
      <c r="F1349" t="s">
        <v>6</v>
      </c>
      <c r="G1349">
        <f>tblSalaries[[#This Row],[clean Salary (in local currency)]]*VLOOKUP(tblSalaries[[#This Row],[Currency]],tblXrate[],2,FALSE)</f>
        <v>24000</v>
      </c>
      <c r="H1349" t="s">
        <v>1539</v>
      </c>
      <c r="I1349" t="s">
        <v>20</v>
      </c>
      <c r="J1349" t="s">
        <v>15</v>
      </c>
      <c r="K1349" t="str">
        <f>VLOOKUP(tblSalaries[[#This Row],[Where do you work]],tblCountries[[Actual]:[Mapping]],2,FALSE)</f>
        <v>USA</v>
      </c>
      <c r="L1349" t="s">
        <v>25</v>
      </c>
      <c r="M1349">
        <v>33</v>
      </c>
      <c r="N1349" s="8" t="str">
        <f>VLOOKUP(K1349,tblCountries[],3,0)</f>
        <v>North Amer.</v>
      </c>
      <c r="O1349" s="8">
        <f>VLOOKUP(tblSalaries[[#This Row],[How many hours of a day you work on Excel]],tblHours,2,0)</f>
        <v>2</v>
      </c>
      <c r="P1349" s="8">
        <f>VLOOKUP(tblSalaries[[#This Row],[clean Country]],tblCountries[],5,0)</f>
        <v>1</v>
      </c>
      <c r="Q1349" s="8">
        <f>IF($Q$1,tblSalaries[[#This Row],[PPP Factor]]*tblSalaries[[#This Row],[Salary in USD]],tblSalaries[[#This Row],[Salary in USD]])</f>
        <v>24000</v>
      </c>
    </row>
    <row r="1350" spans="2:17" ht="15" customHeight="1" x14ac:dyDescent="0.25">
      <c r="B1350" t="s">
        <v>3353</v>
      </c>
      <c r="C1350" s="1">
        <v>41058.887106481481</v>
      </c>
      <c r="D1350" s="4">
        <v>50000</v>
      </c>
      <c r="E1350">
        <v>50000</v>
      </c>
      <c r="F1350" t="s">
        <v>6</v>
      </c>
      <c r="G1350">
        <f>tblSalaries[[#This Row],[clean Salary (in local currency)]]*VLOOKUP(tblSalaries[[#This Row],[Currency]],tblXrate[],2,FALSE)</f>
        <v>50000</v>
      </c>
      <c r="H1350" t="s">
        <v>1540</v>
      </c>
      <c r="I1350" t="s">
        <v>279</v>
      </c>
      <c r="J1350" t="s">
        <v>15</v>
      </c>
      <c r="K1350" t="str">
        <f>VLOOKUP(tblSalaries[[#This Row],[Where do you work]],tblCountries[[Actual]:[Mapping]],2,FALSE)</f>
        <v>USA</v>
      </c>
      <c r="L1350" t="s">
        <v>9</v>
      </c>
      <c r="M1350">
        <v>0.5</v>
      </c>
      <c r="N1350" s="8" t="str">
        <f>VLOOKUP(K1350,tblCountries[],3,0)</f>
        <v>North Amer.</v>
      </c>
      <c r="O1350" s="8">
        <f>VLOOKUP(tblSalaries[[#This Row],[How many hours of a day you work on Excel]],tblHours,2,0)</f>
        <v>4</v>
      </c>
      <c r="P1350" s="8">
        <f>VLOOKUP(tblSalaries[[#This Row],[clean Country]],tblCountries[],5,0)</f>
        <v>1</v>
      </c>
      <c r="Q1350" s="8">
        <f>IF($Q$1,tblSalaries[[#This Row],[PPP Factor]]*tblSalaries[[#This Row],[Salary in USD]],tblSalaries[[#This Row],[Salary in USD]])</f>
        <v>50000</v>
      </c>
    </row>
    <row r="1351" spans="2:17" ht="15" customHeight="1" x14ac:dyDescent="0.25">
      <c r="B1351" t="s">
        <v>3354</v>
      </c>
      <c r="C1351" s="1">
        <v>41058.892395833333</v>
      </c>
      <c r="D1351" s="4">
        <v>103000</v>
      </c>
      <c r="E1351">
        <v>103000</v>
      </c>
      <c r="F1351" t="s">
        <v>6</v>
      </c>
      <c r="G1351">
        <f>tblSalaries[[#This Row],[clean Salary (in local currency)]]*VLOOKUP(tblSalaries[[#This Row],[Currency]],tblXrate[],2,FALSE)</f>
        <v>103000</v>
      </c>
      <c r="H1351" t="s">
        <v>488</v>
      </c>
      <c r="I1351" t="s">
        <v>488</v>
      </c>
      <c r="J1351" t="s">
        <v>15</v>
      </c>
      <c r="K1351" t="str">
        <f>VLOOKUP(tblSalaries[[#This Row],[Where do you work]],tblCountries[[Actual]:[Mapping]],2,FALSE)</f>
        <v>USA</v>
      </c>
      <c r="L1351" t="s">
        <v>9</v>
      </c>
      <c r="M1351">
        <v>22</v>
      </c>
      <c r="N1351" s="8" t="str">
        <f>VLOOKUP(K1351,tblCountries[],3,0)</f>
        <v>North Amer.</v>
      </c>
      <c r="O1351" s="8">
        <f>VLOOKUP(tblSalaries[[#This Row],[How many hours of a day you work on Excel]],tblHours,2,0)</f>
        <v>4</v>
      </c>
      <c r="P1351" s="8">
        <f>VLOOKUP(tblSalaries[[#This Row],[clean Country]],tblCountries[],5,0)</f>
        <v>1</v>
      </c>
      <c r="Q1351" s="8">
        <f>IF($Q$1,tblSalaries[[#This Row],[PPP Factor]]*tblSalaries[[#This Row],[Salary in USD]],tblSalaries[[#This Row],[Salary in USD]])</f>
        <v>103000</v>
      </c>
    </row>
    <row r="1352" spans="2:17" ht="15" customHeight="1" x14ac:dyDescent="0.25">
      <c r="B1352" t="s">
        <v>3355</v>
      </c>
      <c r="C1352" s="1">
        <v>41058.894016203703</v>
      </c>
      <c r="D1352" s="4">
        <v>36000</v>
      </c>
      <c r="E1352">
        <v>36000</v>
      </c>
      <c r="F1352" t="s">
        <v>6</v>
      </c>
      <c r="G1352">
        <f>tblSalaries[[#This Row],[clean Salary (in local currency)]]*VLOOKUP(tblSalaries[[#This Row],[Currency]],tblXrate[],2,FALSE)</f>
        <v>36000</v>
      </c>
      <c r="H1352" t="s">
        <v>1144</v>
      </c>
      <c r="I1352" t="s">
        <v>67</v>
      </c>
      <c r="J1352" t="s">
        <v>15</v>
      </c>
      <c r="K1352" t="str">
        <f>VLOOKUP(tblSalaries[[#This Row],[Where do you work]],tblCountries[[Actual]:[Mapping]],2,FALSE)</f>
        <v>USA</v>
      </c>
      <c r="L1352" t="s">
        <v>13</v>
      </c>
      <c r="M1352">
        <v>8</v>
      </c>
      <c r="N1352" s="8" t="str">
        <f>VLOOKUP(K1352,tblCountries[],3,0)</f>
        <v>North Amer.</v>
      </c>
      <c r="O1352" s="8">
        <f>VLOOKUP(tblSalaries[[#This Row],[How many hours of a day you work on Excel]],tblHours,2,0)</f>
        <v>5</v>
      </c>
      <c r="P1352" s="8">
        <f>VLOOKUP(tblSalaries[[#This Row],[clean Country]],tblCountries[],5,0)</f>
        <v>1</v>
      </c>
      <c r="Q1352" s="8">
        <f>IF($Q$1,tblSalaries[[#This Row],[PPP Factor]]*tblSalaries[[#This Row],[Salary in USD]],tblSalaries[[#This Row],[Salary in USD]])</f>
        <v>36000</v>
      </c>
    </row>
    <row r="1353" spans="2:17" ht="15" customHeight="1" x14ac:dyDescent="0.25">
      <c r="B1353" t="s">
        <v>3356</v>
      </c>
      <c r="C1353" s="1">
        <v>41058.894525462965</v>
      </c>
      <c r="D1353" s="4">
        <v>85000</v>
      </c>
      <c r="E1353">
        <v>85000</v>
      </c>
      <c r="F1353" t="s">
        <v>6</v>
      </c>
      <c r="G1353">
        <f>tblSalaries[[#This Row],[clean Salary (in local currency)]]*VLOOKUP(tblSalaries[[#This Row],[Currency]],tblXrate[],2,FALSE)</f>
        <v>85000</v>
      </c>
      <c r="H1353" t="s">
        <v>72</v>
      </c>
      <c r="I1353" t="s">
        <v>20</v>
      </c>
      <c r="J1353" t="s">
        <v>15</v>
      </c>
      <c r="K1353" t="str">
        <f>VLOOKUP(tblSalaries[[#This Row],[Where do you work]],tblCountries[[Actual]:[Mapping]],2,FALSE)</f>
        <v>USA</v>
      </c>
      <c r="L1353" t="s">
        <v>9</v>
      </c>
      <c r="M1353">
        <v>17</v>
      </c>
      <c r="N1353" s="8" t="str">
        <f>VLOOKUP(K1353,tblCountries[],3,0)</f>
        <v>North Amer.</v>
      </c>
      <c r="O1353" s="8">
        <f>VLOOKUP(tblSalaries[[#This Row],[How many hours of a day you work on Excel]],tblHours,2,0)</f>
        <v>4</v>
      </c>
      <c r="P1353" s="8">
        <f>VLOOKUP(tblSalaries[[#This Row],[clean Country]],tblCountries[],5,0)</f>
        <v>1</v>
      </c>
      <c r="Q1353" s="8">
        <f>IF($Q$1,tblSalaries[[#This Row],[PPP Factor]]*tblSalaries[[#This Row],[Salary in USD]],tblSalaries[[#This Row],[Salary in USD]])</f>
        <v>85000</v>
      </c>
    </row>
    <row r="1354" spans="2:17" ht="15" customHeight="1" x14ac:dyDescent="0.25">
      <c r="B1354" t="s">
        <v>3357</v>
      </c>
      <c r="C1354" s="1">
        <v>41058.895555555559</v>
      </c>
      <c r="D1354" s="4">
        <v>100000</v>
      </c>
      <c r="E1354">
        <v>100000</v>
      </c>
      <c r="F1354" t="s">
        <v>6</v>
      </c>
      <c r="G1354">
        <f>tblSalaries[[#This Row],[clean Salary (in local currency)]]*VLOOKUP(tblSalaries[[#This Row],[Currency]],tblXrate[],2,FALSE)</f>
        <v>100000</v>
      </c>
      <c r="H1354" t="s">
        <v>1541</v>
      </c>
      <c r="I1354" t="s">
        <v>4001</v>
      </c>
      <c r="J1354" t="s">
        <v>447</v>
      </c>
      <c r="K1354" t="str">
        <f>VLOOKUP(tblSalaries[[#This Row],[Where do you work]],tblCountries[[Actual]:[Mapping]],2,FALSE)</f>
        <v>Sweden</v>
      </c>
      <c r="L1354" t="s">
        <v>18</v>
      </c>
      <c r="M1354">
        <v>20</v>
      </c>
      <c r="N1354" s="8" t="str">
        <f>VLOOKUP(K1354,tblCountries[],3,0)</f>
        <v>Europe</v>
      </c>
      <c r="O1354" s="8">
        <f>VLOOKUP(tblSalaries[[#This Row],[How many hours of a day you work on Excel]],tblHours,2,0)</f>
        <v>3</v>
      </c>
      <c r="P1354" s="8">
        <f>VLOOKUP(tblSalaries[[#This Row],[clean Country]],tblCountries[],5,0)</f>
        <v>1.1978759221666584</v>
      </c>
      <c r="Q1354" s="8">
        <f>IF($Q$1,tblSalaries[[#This Row],[PPP Factor]]*tblSalaries[[#This Row],[Salary in USD]],tblSalaries[[#This Row],[Salary in USD]])</f>
        <v>100000</v>
      </c>
    </row>
    <row r="1355" spans="2:17" ht="15" customHeight="1" x14ac:dyDescent="0.25">
      <c r="B1355" t="s">
        <v>3358</v>
      </c>
      <c r="C1355" s="1">
        <v>41058.898402777777</v>
      </c>
      <c r="D1355" s="4" t="s">
        <v>1542</v>
      </c>
      <c r="E1355">
        <v>83000</v>
      </c>
      <c r="F1355" t="s">
        <v>6</v>
      </c>
      <c r="G1355">
        <f>tblSalaries[[#This Row],[clean Salary (in local currency)]]*VLOOKUP(tblSalaries[[#This Row],[Currency]],tblXrate[],2,FALSE)</f>
        <v>83000</v>
      </c>
      <c r="H1355" t="s">
        <v>1543</v>
      </c>
      <c r="I1355" t="s">
        <v>20</v>
      </c>
      <c r="J1355" t="s">
        <v>88</v>
      </c>
      <c r="K1355" t="str">
        <f>VLOOKUP(tblSalaries[[#This Row],[Where do you work]],tblCountries[[Actual]:[Mapping]],2,FALSE)</f>
        <v>Canada</v>
      </c>
      <c r="L1355" t="s">
        <v>9</v>
      </c>
      <c r="M1355">
        <v>12</v>
      </c>
      <c r="N1355" s="8" t="str">
        <f>VLOOKUP(K1355,tblCountries[],3,0)</f>
        <v>North Amer.</v>
      </c>
      <c r="O1355" s="8">
        <f>VLOOKUP(tblSalaries[[#This Row],[How many hours of a day you work on Excel]],tblHours,2,0)</f>
        <v>4</v>
      </c>
      <c r="P1355" s="8">
        <f>VLOOKUP(tblSalaries[[#This Row],[clean Country]],tblCountries[],5,0)</f>
        <v>1.1935324732986359</v>
      </c>
      <c r="Q1355" s="8">
        <f>IF($Q$1,tblSalaries[[#This Row],[PPP Factor]]*tblSalaries[[#This Row],[Salary in USD]],tblSalaries[[#This Row],[Salary in USD]])</f>
        <v>83000</v>
      </c>
    </row>
    <row r="1356" spans="2:17" ht="15" customHeight="1" x14ac:dyDescent="0.25">
      <c r="B1356" t="s">
        <v>3359</v>
      </c>
      <c r="C1356" s="1">
        <v>41058.901504629626</v>
      </c>
      <c r="D1356" s="4">
        <v>85000</v>
      </c>
      <c r="E1356">
        <v>85000</v>
      </c>
      <c r="F1356" t="s">
        <v>6</v>
      </c>
      <c r="G1356">
        <f>tblSalaries[[#This Row],[clean Salary (in local currency)]]*VLOOKUP(tblSalaries[[#This Row],[Currency]],tblXrate[],2,FALSE)</f>
        <v>85000</v>
      </c>
      <c r="H1356" t="s">
        <v>1544</v>
      </c>
      <c r="I1356" t="s">
        <v>279</v>
      </c>
      <c r="J1356" t="s">
        <v>15</v>
      </c>
      <c r="K1356" t="str">
        <f>VLOOKUP(tblSalaries[[#This Row],[Where do you work]],tblCountries[[Actual]:[Mapping]],2,FALSE)</f>
        <v>USA</v>
      </c>
      <c r="L1356" t="s">
        <v>18</v>
      </c>
      <c r="M1356">
        <v>25</v>
      </c>
      <c r="N1356" s="8" t="str">
        <f>VLOOKUP(K1356,tblCountries[],3,0)</f>
        <v>North Amer.</v>
      </c>
      <c r="O1356" s="8">
        <f>VLOOKUP(tblSalaries[[#This Row],[How many hours of a day you work on Excel]],tblHours,2,0)</f>
        <v>3</v>
      </c>
      <c r="P1356" s="8">
        <f>VLOOKUP(tblSalaries[[#This Row],[clean Country]],tblCountries[],5,0)</f>
        <v>1</v>
      </c>
      <c r="Q1356" s="8">
        <f>IF($Q$1,tblSalaries[[#This Row],[PPP Factor]]*tblSalaries[[#This Row],[Salary in USD]],tblSalaries[[#This Row],[Salary in USD]])</f>
        <v>85000</v>
      </c>
    </row>
    <row r="1357" spans="2:17" ht="15" customHeight="1" x14ac:dyDescent="0.25">
      <c r="B1357" t="s">
        <v>3360</v>
      </c>
      <c r="C1357" s="1">
        <v>41058.904675925929</v>
      </c>
      <c r="D1357" s="4">
        <v>120000</v>
      </c>
      <c r="E1357">
        <v>120000</v>
      </c>
      <c r="F1357" t="s">
        <v>6</v>
      </c>
      <c r="G1357">
        <f>tblSalaries[[#This Row],[clean Salary (in local currency)]]*VLOOKUP(tblSalaries[[#This Row],[Currency]],tblXrate[],2,FALSE)</f>
        <v>120000</v>
      </c>
      <c r="H1357" t="s">
        <v>642</v>
      </c>
      <c r="I1357" t="s">
        <v>52</v>
      </c>
      <c r="J1357" t="s">
        <v>15</v>
      </c>
      <c r="K1357" t="str">
        <f>VLOOKUP(tblSalaries[[#This Row],[Where do you work]],tblCountries[[Actual]:[Mapping]],2,FALSE)</f>
        <v>USA</v>
      </c>
      <c r="L1357" t="s">
        <v>18</v>
      </c>
      <c r="M1357">
        <v>5</v>
      </c>
      <c r="N1357" s="8" t="str">
        <f>VLOOKUP(K1357,tblCountries[],3,0)</f>
        <v>North Amer.</v>
      </c>
      <c r="O1357" s="8">
        <f>VLOOKUP(tblSalaries[[#This Row],[How many hours of a day you work on Excel]],tblHours,2,0)</f>
        <v>3</v>
      </c>
      <c r="P1357" s="8">
        <f>VLOOKUP(tblSalaries[[#This Row],[clean Country]],tblCountries[],5,0)</f>
        <v>1</v>
      </c>
      <c r="Q1357" s="8">
        <f>IF($Q$1,tblSalaries[[#This Row],[PPP Factor]]*tblSalaries[[#This Row],[Salary in USD]],tblSalaries[[#This Row],[Salary in USD]])</f>
        <v>120000</v>
      </c>
    </row>
    <row r="1358" spans="2:17" ht="15" customHeight="1" x14ac:dyDescent="0.25">
      <c r="B1358" t="s">
        <v>3361</v>
      </c>
      <c r="C1358" s="1">
        <v>41058.905555555553</v>
      </c>
      <c r="D1358" s="4">
        <v>69960</v>
      </c>
      <c r="E1358">
        <v>69960</v>
      </c>
      <c r="F1358" t="s">
        <v>6</v>
      </c>
      <c r="G1358">
        <f>tblSalaries[[#This Row],[clean Salary (in local currency)]]*VLOOKUP(tblSalaries[[#This Row],[Currency]],tblXrate[],2,FALSE)</f>
        <v>69960</v>
      </c>
      <c r="H1358" t="s">
        <v>1545</v>
      </c>
      <c r="I1358" t="s">
        <v>279</v>
      </c>
      <c r="J1358" t="s">
        <v>15</v>
      </c>
      <c r="K1358" t="str">
        <f>VLOOKUP(tblSalaries[[#This Row],[Where do you work]],tblCountries[[Actual]:[Mapping]],2,FALSE)</f>
        <v>USA</v>
      </c>
      <c r="L1358" t="s">
        <v>18</v>
      </c>
      <c r="M1358">
        <v>22</v>
      </c>
      <c r="N1358" s="8" t="str">
        <f>VLOOKUP(K1358,tblCountries[],3,0)</f>
        <v>North Amer.</v>
      </c>
      <c r="O1358" s="8">
        <f>VLOOKUP(tblSalaries[[#This Row],[How many hours of a day you work on Excel]],tblHours,2,0)</f>
        <v>3</v>
      </c>
      <c r="P1358" s="8">
        <f>VLOOKUP(tblSalaries[[#This Row],[clean Country]],tblCountries[],5,0)</f>
        <v>1</v>
      </c>
      <c r="Q1358" s="8">
        <f>IF($Q$1,tblSalaries[[#This Row],[PPP Factor]]*tblSalaries[[#This Row],[Salary in USD]],tblSalaries[[#This Row],[Salary in USD]])</f>
        <v>69960</v>
      </c>
    </row>
    <row r="1359" spans="2:17" ht="15" customHeight="1" x14ac:dyDescent="0.25">
      <c r="B1359" t="s">
        <v>3362</v>
      </c>
      <c r="C1359" s="1">
        <v>41058.907268518517</v>
      </c>
      <c r="D1359" s="4" t="s">
        <v>1546</v>
      </c>
      <c r="E1359">
        <v>97000</v>
      </c>
      <c r="F1359" t="s">
        <v>6</v>
      </c>
      <c r="G1359">
        <f>tblSalaries[[#This Row],[clean Salary (in local currency)]]*VLOOKUP(tblSalaries[[#This Row],[Currency]],tblXrate[],2,FALSE)</f>
        <v>97000</v>
      </c>
      <c r="H1359" t="s">
        <v>1547</v>
      </c>
      <c r="I1359" t="s">
        <v>52</v>
      </c>
      <c r="J1359" t="s">
        <v>15</v>
      </c>
      <c r="K1359" t="str">
        <f>VLOOKUP(tblSalaries[[#This Row],[Where do you work]],tblCountries[[Actual]:[Mapping]],2,FALSE)</f>
        <v>USA</v>
      </c>
      <c r="L1359" t="s">
        <v>9</v>
      </c>
      <c r="M1359">
        <v>14</v>
      </c>
      <c r="N1359" s="8" t="str">
        <f>VLOOKUP(K1359,tblCountries[],3,0)</f>
        <v>North Amer.</v>
      </c>
      <c r="O1359" s="8">
        <f>VLOOKUP(tblSalaries[[#This Row],[How many hours of a day you work on Excel]],tblHours,2,0)</f>
        <v>4</v>
      </c>
      <c r="P1359" s="8">
        <f>VLOOKUP(tblSalaries[[#This Row],[clean Country]],tblCountries[],5,0)</f>
        <v>1</v>
      </c>
      <c r="Q1359" s="8">
        <f>IF($Q$1,tblSalaries[[#This Row],[PPP Factor]]*tblSalaries[[#This Row],[Salary in USD]],tblSalaries[[#This Row],[Salary in USD]])</f>
        <v>97000</v>
      </c>
    </row>
    <row r="1360" spans="2:17" ht="15" customHeight="1" x14ac:dyDescent="0.25">
      <c r="B1360" t="s">
        <v>3363</v>
      </c>
      <c r="C1360" s="1">
        <v>41058.908483796295</v>
      </c>
      <c r="D1360" s="4" t="s">
        <v>1548</v>
      </c>
      <c r="E1360">
        <v>60000</v>
      </c>
      <c r="F1360" t="s">
        <v>69</v>
      </c>
      <c r="G1360">
        <f>tblSalaries[[#This Row],[clean Salary (in local currency)]]*VLOOKUP(tblSalaries[[#This Row],[Currency]],tblXrate[],2,FALSE)</f>
        <v>94570.696324037053</v>
      </c>
      <c r="H1360" t="s">
        <v>20</v>
      </c>
      <c r="I1360" t="s">
        <v>20</v>
      </c>
      <c r="J1360" t="s">
        <v>71</v>
      </c>
      <c r="K1360" t="str">
        <f>VLOOKUP(tblSalaries[[#This Row],[Where do you work]],tblCountries[[Actual]:[Mapping]],2,FALSE)</f>
        <v>UK</v>
      </c>
      <c r="L1360" t="s">
        <v>9</v>
      </c>
      <c r="M1360">
        <v>7</v>
      </c>
      <c r="N1360" s="8" t="str">
        <f>VLOOKUP(K1360,tblCountries[],3,0)</f>
        <v>Europe</v>
      </c>
      <c r="O1360" s="8">
        <f>VLOOKUP(tblSalaries[[#This Row],[How many hours of a day you work on Excel]],tblHours,2,0)</f>
        <v>4</v>
      </c>
      <c r="P1360" s="8">
        <f>VLOOKUP(tblSalaries[[#This Row],[clean Country]],tblCountries[],5,0)</f>
        <v>1.3407315045719035</v>
      </c>
      <c r="Q1360" s="8">
        <f>IF($Q$1,tblSalaries[[#This Row],[PPP Factor]]*tblSalaries[[#This Row],[Salary in USD]],tblSalaries[[#This Row],[Salary in USD]])</f>
        <v>94570.696324037053</v>
      </c>
    </row>
    <row r="1361" spans="2:17" ht="15" customHeight="1" x14ac:dyDescent="0.25">
      <c r="B1361" t="s">
        <v>3364</v>
      </c>
      <c r="C1361" s="1">
        <v>41058.910069444442</v>
      </c>
      <c r="D1361" s="4">
        <v>39000</v>
      </c>
      <c r="E1361">
        <v>39000</v>
      </c>
      <c r="F1361" t="s">
        <v>6</v>
      </c>
      <c r="G1361">
        <f>tblSalaries[[#This Row],[clean Salary (in local currency)]]*VLOOKUP(tblSalaries[[#This Row],[Currency]],tblXrate[],2,FALSE)</f>
        <v>39000</v>
      </c>
      <c r="H1361" t="s">
        <v>1549</v>
      </c>
      <c r="I1361" t="s">
        <v>52</v>
      </c>
      <c r="J1361" t="s">
        <v>48</v>
      </c>
      <c r="K1361" t="str">
        <f>VLOOKUP(tblSalaries[[#This Row],[Where do you work]],tblCountries[[Actual]:[Mapping]],2,FALSE)</f>
        <v>South Africa</v>
      </c>
      <c r="L1361" t="s">
        <v>13</v>
      </c>
      <c r="M1361">
        <v>6</v>
      </c>
      <c r="N1361" s="8" t="str">
        <f>VLOOKUP(K1361,tblCountries[],3,0)</f>
        <v>Africa</v>
      </c>
      <c r="O1361" s="8">
        <f>VLOOKUP(tblSalaries[[#This Row],[How many hours of a day you work on Excel]],tblHours,2,0)</f>
        <v>5</v>
      </c>
      <c r="P1361" s="8">
        <f>VLOOKUP(tblSalaries[[#This Row],[clean Country]],tblCountries[],5,0)</f>
        <v>4.4096418481727877</v>
      </c>
      <c r="Q1361" s="8">
        <f>IF($Q$1,tblSalaries[[#This Row],[PPP Factor]]*tblSalaries[[#This Row],[Salary in USD]],tblSalaries[[#This Row],[Salary in USD]])</f>
        <v>39000</v>
      </c>
    </row>
    <row r="1362" spans="2:17" ht="15" customHeight="1" x14ac:dyDescent="0.25">
      <c r="B1362" t="s">
        <v>3365</v>
      </c>
      <c r="C1362" s="1">
        <v>41058.910243055558</v>
      </c>
      <c r="D1362" s="4" t="s">
        <v>1550</v>
      </c>
      <c r="E1362">
        <v>250000</v>
      </c>
      <c r="F1362" t="s">
        <v>40</v>
      </c>
      <c r="G1362">
        <f>tblSalaries[[#This Row],[clean Salary (in local currency)]]*VLOOKUP(tblSalaries[[#This Row],[Currency]],tblXrate[],2,FALSE)</f>
        <v>4451.9791718606421</v>
      </c>
      <c r="H1362" t="s">
        <v>52</v>
      </c>
      <c r="I1362" t="s">
        <v>52</v>
      </c>
      <c r="J1362" t="s">
        <v>8</v>
      </c>
      <c r="K1362" t="str">
        <f>VLOOKUP(tblSalaries[[#This Row],[Where do you work]],tblCountries[[Actual]:[Mapping]],2,FALSE)</f>
        <v>India</v>
      </c>
      <c r="L1362" t="s">
        <v>25</v>
      </c>
      <c r="M1362">
        <v>15</v>
      </c>
      <c r="N1362" s="8" t="str">
        <f>VLOOKUP(K1362,tblCountries[],3,0)</f>
        <v>Asia</v>
      </c>
      <c r="O1362" s="8">
        <f>VLOOKUP(tblSalaries[[#This Row],[How many hours of a day you work on Excel]],tblHours,2,0)</f>
        <v>2</v>
      </c>
      <c r="P1362" s="8">
        <f>VLOOKUP(tblSalaries[[#This Row],[clean Country]],tblCountries[],5,0)</f>
        <v>13.098808879263672</v>
      </c>
      <c r="Q1362" s="8">
        <f>IF($Q$1,tblSalaries[[#This Row],[PPP Factor]]*tblSalaries[[#This Row],[Salary in USD]],tblSalaries[[#This Row],[Salary in USD]])</f>
        <v>4451.9791718606421</v>
      </c>
    </row>
    <row r="1363" spans="2:17" ht="15" customHeight="1" x14ac:dyDescent="0.25">
      <c r="B1363" t="s">
        <v>3366</v>
      </c>
      <c r="C1363" s="1">
        <v>41058.912881944445</v>
      </c>
      <c r="D1363" s="4">
        <v>62000</v>
      </c>
      <c r="E1363">
        <v>62000</v>
      </c>
      <c r="F1363" t="s">
        <v>6</v>
      </c>
      <c r="G1363">
        <f>tblSalaries[[#This Row],[clean Salary (in local currency)]]*VLOOKUP(tblSalaries[[#This Row],[Currency]],tblXrate[],2,FALSE)</f>
        <v>62000</v>
      </c>
      <c r="H1363" t="s">
        <v>1551</v>
      </c>
      <c r="I1363" t="s">
        <v>67</v>
      </c>
      <c r="J1363" t="s">
        <v>15</v>
      </c>
      <c r="K1363" t="str">
        <f>VLOOKUP(tblSalaries[[#This Row],[Where do you work]],tblCountries[[Actual]:[Mapping]],2,FALSE)</f>
        <v>USA</v>
      </c>
      <c r="L1363" t="s">
        <v>13</v>
      </c>
      <c r="M1363">
        <v>25</v>
      </c>
      <c r="N1363" s="8" t="str">
        <f>VLOOKUP(K1363,tblCountries[],3,0)</f>
        <v>North Amer.</v>
      </c>
      <c r="O1363" s="8">
        <f>VLOOKUP(tblSalaries[[#This Row],[How many hours of a day you work on Excel]],tblHours,2,0)</f>
        <v>5</v>
      </c>
      <c r="P1363" s="8">
        <f>VLOOKUP(tblSalaries[[#This Row],[clean Country]],tblCountries[],5,0)</f>
        <v>1</v>
      </c>
      <c r="Q1363" s="8">
        <f>IF($Q$1,tblSalaries[[#This Row],[PPP Factor]]*tblSalaries[[#This Row],[Salary in USD]],tblSalaries[[#This Row],[Salary in USD]])</f>
        <v>62000</v>
      </c>
    </row>
    <row r="1364" spans="2:17" ht="15" customHeight="1" x14ac:dyDescent="0.25">
      <c r="B1364" t="s">
        <v>3367</v>
      </c>
      <c r="C1364" s="1">
        <v>41058.916377314818</v>
      </c>
      <c r="D1364" s="4">
        <v>44000</v>
      </c>
      <c r="E1364">
        <v>44000</v>
      </c>
      <c r="F1364" t="s">
        <v>6</v>
      </c>
      <c r="G1364">
        <f>tblSalaries[[#This Row],[clean Salary (in local currency)]]*VLOOKUP(tblSalaries[[#This Row],[Currency]],tblXrate[],2,FALSE)</f>
        <v>44000</v>
      </c>
      <c r="H1364" t="s">
        <v>1552</v>
      </c>
      <c r="I1364" t="s">
        <v>279</v>
      </c>
      <c r="J1364" t="s">
        <v>15</v>
      </c>
      <c r="K1364" t="str">
        <f>VLOOKUP(tblSalaries[[#This Row],[Where do you work]],tblCountries[[Actual]:[Mapping]],2,FALSE)</f>
        <v>USA</v>
      </c>
      <c r="L1364" t="s">
        <v>9</v>
      </c>
      <c r="M1364">
        <v>15</v>
      </c>
      <c r="N1364" s="8" t="str">
        <f>VLOOKUP(K1364,tblCountries[],3,0)</f>
        <v>North Amer.</v>
      </c>
      <c r="O1364" s="8">
        <f>VLOOKUP(tblSalaries[[#This Row],[How many hours of a day you work on Excel]],tblHours,2,0)</f>
        <v>4</v>
      </c>
      <c r="P1364" s="8">
        <f>VLOOKUP(tblSalaries[[#This Row],[clean Country]],tblCountries[],5,0)</f>
        <v>1</v>
      </c>
      <c r="Q1364" s="8">
        <f>IF($Q$1,tblSalaries[[#This Row],[PPP Factor]]*tblSalaries[[#This Row],[Salary in USD]],tblSalaries[[#This Row],[Salary in USD]])</f>
        <v>44000</v>
      </c>
    </row>
    <row r="1365" spans="2:17" ht="15" customHeight="1" x14ac:dyDescent="0.25">
      <c r="B1365" t="s">
        <v>3368</v>
      </c>
      <c r="C1365" s="1">
        <v>41058.918414351851</v>
      </c>
      <c r="D1365" s="4">
        <v>150000</v>
      </c>
      <c r="E1365">
        <v>150000</v>
      </c>
      <c r="F1365" t="s">
        <v>6</v>
      </c>
      <c r="G1365">
        <f>tblSalaries[[#This Row],[clean Salary (in local currency)]]*VLOOKUP(tblSalaries[[#This Row],[Currency]],tblXrate[],2,FALSE)</f>
        <v>150000</v>
      </c>
      <c r="H1365" t="s">
        <v>1553</v>
      </c>
      <c r="I1365" t="s">
        <v>52</v>
      </c>
      <c r="J1365" t="s">
        <v>15</v>
      </c>
      <c r="K1365" t="str">
        <f>VLOOKUP(tblSalaries[[#This Row],[Where do you work]],tblCountries[[Actual]:[Mapping]],2,FALSE)</f>
        <v>USA</v>
      </c>
      <c r="L1365" t="s">
        <v>18</v>
      </c>
      <c r="M1365">
        <v>30</v>
      </c>
      <c r="N1365" s="8" t="str">
        <f>VLOOKUP(K1365,tblCountries[],3,0)</f>
        <v>North Amer.</v>
      </c>
      <c r="O1365" s="8">
        <f>VLOOKUP(tblSalaries[[#This Row],[How many hours of a day you work on Excel]],tblHours,2,0)</f>
        <v>3</v>
      </c>
      <c r="P1365" s="8">
        <f>VLOOKUP(tblSalaries[[#This Row],[clean Country]],tblCountries[],5,0)</f>
        <v>1</v>
      </c>
      <c r="Q1365" s="8">
        <f>IF($Q$1,tblSalaries[[#This Row],[PPP Factor]]*tblSalaries[[#This Row],[Salary in USD]],tblSalaries[[#This Row],[Salary in USD]])</f>
        <v>150000</v>
      </c>
    </row>
    <row r="1366" spans="2:17" ht="15" customHeight="1" x14ac:dyDescent="0.25">
      <c r="B1366" t="s">
        <v>3369</v>
      </c>
      <c r="C1366" s="1">
        <v>41058.919548611113</v>
      </c>
      <c r="D1366" s="4">
        <v>180000</v>
      </c>
      <c r="E1366">
        <v>180000</v>
      </c>
      <c r="F1366" t="s">
        <v>22</v>
      </c>
      <c r="G1366">
        <f>tblSalaries[[#This Row],[clean Salary (in local currency)]]*VLOOKUP(tblSalaries[[#This Row],[Currency]],tblXrate[],2,FALSE)</f>
        <v>228671.89901848941</v>
      </c>
      <c r="H1366" t="s">
        <v>1554</v>
      </c>
      <c r="I1366" t="s">
        <v>488</v>
      </c>
      <c r="J1366" t="s">
        <v>983</v>
      </c>
      <c r="K1366" t="str">
        <f>VLOOKUP(tblSalaries[[#This Row],[Where do you work]],tblCountries[[Actual]:[Mapping]],2,FALSE)</f>
        <v>Europe</v>
      </c>
      <c r="L1366" t="s">
        <v>9</v>
      </c>
      <c r="M1366">
        <v>15</v>
      </c>
      <c r="N1366" s="8" t="str">
        <f>VLOOKUP(K1366,tblCountries[],3,0)</f>
        <v>Europe</v>
      </c>
      <c r="O1366" s="8">
        <f>VLOOKUP(tblSalaries[[#This Row],[How many hours of a day you work on Excel]],tblHours,2,0)</f>
        <v>4</v>
      </c>
      <c r="P1366" s="8">
        <f>VLOOKUP(tblSalaries[[#This Row],[clean Country]],tblCountries[],5,0)</f>
        <v>1</v>
      </c>
      <c r="Q1366" s="8">
        <f>IF($Q$1,tblSalaries[[#This Row],[PPP Factor]]*tblSalaries[[#This Row],[Salary in USD]],tblSalaries[[#This Row],[Salary in USD]])</f>
        <v>228671.89901848941</v>
      </c>
    </row>
    <row r="1367" spans="2:17" ht="15" customHeight="1" x14ac:dyDescent="0.25">
      <c r="B1367" t="s">
        <v>3370</v>
      </c>
      <c r="C1367" s="1">
        <v>41058.925787037035</v>
      </c>
      <c r="D1367" s="4">
        <v>73500</v>
      </c>
      <c r="E1367">
        <v>73500</v>
      </c>
      <c r="F1367" t="s">
        <v>6</v>
      </c>
      <c r="G1367">
        <f>tblSalaries[[#This Row],[clean Salary (in local currency)]]*VLOOKUP(tblSalaries[[#This Row],[Currency]],tblXrate[],2,FALSE)</f>
        <v>73500</v>
      </c>
      <c r="H1367" t="s">
        <v>1555</v>
      </c>
      <c r="I1367" t="s">
        <v>20</v>
      </c>
      <c r="J1367" t="s">
        <v>15</v>
      </c>
      <c r="K1367" t="str">
        <f>VLOOKUP(tblSalaries[[#This Row],[Where do you work]],tblCountries[[Actual]:[Mapping]],2,FALSE)</f>
        <v>USA</v>
      </c>
      <c r="L1367" t="s">
        <v>13</v>
      </c>
      <c r="M1367">
        <v>6</v>
      </c>
      <c r="N1367" s="8" t="str">
        <f>VLOOKUP(K1367,tblCountries[],3,0)</f>
        <v>North Amer.</v>
      </c>
      <c r="O1367" s="8">
        <f>VLOOKUP(tblSalaries[[#This Row],[How many hours of a day you work on Excel]],tblHours,2,0)</f>
        <v>5</v>
      </c>
      <c r="P1367" s="8">
        <f>VLOOKUP(tblSalaries[[#This Row],[clean Country]],tblCountries[],5,0)</f>
        <v>1</v>
      </c>
      <c r="Q1367" s="8">
        <f>IF($Q$1,tblSalaries[[#This Row],[PPP Factor]]*tblSalaries[[#This Row],[Salary in USD]],tblSalaries[[#This Row],[Salary in USD]])</f>
        <v>73500</v>
      </c>
    </row>
    <row r="1368" spans="2:17" ht="15" customHeight="1" x14ac:dyDescent="0.25">
      <c r="B1368" t="s">
        <v>3371</v>
      </c>
      <c r="C1368" s="1">
        <v>41058.926608796297</v>
      </c>
      <c r="D1368" s="4">
        <v>77500</v>
      </c>
      <c r="E1368">
        <v>77500</v>
      </c>
      <c r="F1368" t="s">
        <v>6</v>
      </c>
      <c r="G1368">
        <f>tblSalaries[[#This Row],[clean Salary (in local currency)]]*VLOOKUP(tblSalaries[[#This Row],[Currency]],tblXrate[],2,FALSE)</f>
        <v>77500</v>
      </c>
      <c r="H1368" t="s">
        <v>266</v>
      </c>
      <c r="I1368" t="s">
        <v>20</v>
      </c>
      <c r="J1368" t="s">
        <v>15</v>
      </c>
      <c r="K1368" t="str">
        <f>VLOOKUP(tblSalaries[[#This Row],[Where do you work]],tblCountries[[Actual]:[Mapping]],2,FALSE)</f>
        <v>USA</v>
      </c>
      <c r="L1368" t="s">
        <v>9</v>
      </c>
      <c r="M1368">
        <v>7</v>
      </c>
      <c r="N1368" s="8" t="str">
        <f>VLOOKUP(K1368,tblCountries[],3,0)</f>
        <v>North Amer.</v>
      </c>
      <c r="O1368" s="8">
        <f>VLOOKUP(tblSalaries[[#This Row],[How many hours of a day you work on Excel]],tblHours,2,0)</f>
        <v>4</v>
      </c>
      <c r="P1368" s="8">
        <f>VLOOKUP(tblSalaries[[#This Row],[clean Country]],tblCountries[],5,0)</f>
        <v>1</v>
      </c>
      <c r="Q1368" s="8">
        <f>IF($Q$1,tblSalaries[[#This Row],[PPP Factor]]*tblSalaries[[#This Row],[Salary in USD]],tblSalaries[[#This Row],[Salary in USD]])</f>
        <v>77500</v>
      </c>
    </row>
    <row r="1369" spans="2:17" ht="15" customHeight="1" x14ac:dyDescent="0.25">
      <c r="B1369" t="s">
        <v>3372</v>
      </c>
      <c r="C1369" s="1">
        <v>41058.929722222223</v>
      </c>
      <c r="D1369" s="4">
        <v>60800</v>
      </c>
      <c r="E1369">
        <v>60800</v>
      </c>
      <c r="F1369" t="s">
        <v>6</v>
      </c>
      <c r="G1369">
        <f>tblSalaries[[#This Row],[clean Salary (in local currency)]]*VLOOKUP(tblSalaries[[#This Row],[Currency]],tblXrate[],2,FALSE)</f>
        <v>60800</v>
      </c>
      <c r="H1369" t="s">
        <v>1556</v>
      </c>
      <c r="I1369" t="s">
        <v>20</v>
      </c>
      <c r="J1369" t="s">
        <v>15</v>
      </c>
      <c r="K1369" t="str">
        <f>VLOOKUP(tblSalaries[[#This Row],[Where do you work]],tblCountries[[Actual]:[Mapping]],2,FALSE)</f>
        <v>USA</v>
      </c>
      <c r="L1369" t="s">
        <v>13</v>
      </c>
      <c r="M1369">
        <v>10</v>
      </c>
      <c r="N1369" s="8" t="str">
        <f>VLOOKUP(K1369,tblCountries[],3,0)</f>
        <v>North Amer.</v>
      </c>
      <c r="O1369" s="8">
        <f>VLOOKUP(tblSalaries[[#This Row],[How many hours of a day you work on Excel]],tblHours,2,0)</f>
        <v>5</v>
      </c>
      <c r="P1369" s="8">
        <f>VLOOKUP(tblSalaries[[#This Row],[clean Country]],tblCountries[],5,0)</f>
        <v>1</v>
      </c>
      <c r="Q1369" s="8">
        <f>IF($Q$1,tblSalaries[[#This Row],[PPP Factor]]*tblSalaries[[#This Row],[Salary in USD]],tblSalaries[[#This Row],[Salary in USD]])</f>
        <v>60800</v>
      </c>
    </row>
    <row r="1370" spans="2:17" ht="15" customHeight="1" x14ac:dyDescent="0.25">
      <c r="B1370" t="s">
        <v>3373</v>
      </c>
      <c r="C1370" s="1">
        <v>41058.933657407404</v>
      </c>
      <c r="D1370" s="4">
        <v>136000</v>
      </c>
      <c r="E1370">
        <v>136000</v>
      </c>
      <c r="F1370" t="s">
        <v>6</v>
      </c>
      <c r="G1370">
        <f>tblSalaries[[#This Row],[clean Salary (in local currency)]]*VLOOKUP(tblSalaries[[#This Row],[Currency]],tblXrate[],2,FALSE)</f>
        <v>136000</v>
      </c>
      <c r="H1370" t="s">
        <v>1557</v>
      </c>
      <c r="I1370" t="s">
        <v>52</v>
      </c>
      <c r="J1370" t="s">
        <v>15</v>
      </c>
      <c r="K1370" t="str">
        <f>VLOOKUP(tblSalaries[[#This Row],[Where do you work]],tblCountries[[Actual]:[Mapping]],2,FALSE)</f>
        <v>USA</v>
      </c>
      <c r="L1370" t="s">
        <v>9</v>
      </c>
      <c r="M1370">
        <v>10</v>
      </c>
      <c r="N1370" s="8" t="str">
        <f>VLOOKUP(K1370,tblCountries[],3,0)</f>
        <v>North Amer.</v>
      </c>
      <c r="O1370" s="8">
        <f>VLOOKUP(tblSalaries[[#This Row],[How many hours of a day you work on Excel]],tblHours,2,0)</f>
        <v>4</v>
      </c>
      <c r="P1370" s="8">
        <f>VLOOKUP(tblSalaries[[#This Row],[clean Country]],tblCountries[],5,0)</f>
        <v>1</v>
      </c>
      <c r="Q1370" s="8">
        <f>IF($Q$1,tblSalaries[[#This Row],[PPP Factor]]*tblSalaries[[#This Row],[Salary in USD]],tblSalaries[[#This Row],[Salary in USD]])</f>
        <v>136000</v>
      </c>
    </row>
    <row r="1371" spans="2:17" ht="15" customHeight="1" x14ac:dyDescent="0.25">
      <c r="B1371" t="s">
        <v>3374</v>
      </c>
      <c r="C1371" s="1">
        <v>41058.939074074071</v>
      </c>
      <c r="D1371" s="4">
        <v>20000</v>
      </c>
      <c r="E1371">
        <v>20000</v>
      </c>
      <c r="F1371" t="s">
        <v>6</v>
      </c>
      <c r="G1371">
        <f>tblSalaries[[#This Row],[clean Salary (in local currency)]]*VLOOKUP(tblSalaries[[#This Row],[Currency]],tblXrate[],2,FALSE)</f>
        <v>20000</v>
      </c>
      <c r="H1371" t="s">
        <v>1558</v>
      </c>
      <c r="I1371" t="s">
        <v>67</v>
      </c>
      <c r="J1371" t="s">
        <v>8</v>
      </c>
      <c r="K1371" t="str">
        <f>VLOOKUP(tblSalaries[[#This Row],[Where do you work]],tblCountries[[Actual]:[Mapping]],2,FALSE)</f>
        <v>India</v>
      </c>
      <c r="L1371" t="s">
        <v>9</v>
      </c>
      <c r="M1371">
        <v>6</v>
      </c>
      <c r="N1371" s="8" t="str">
        <f>VLOOKUP(K1371,tblCountries[],3,0)</f>
        <v>Asia</v>
      </c>
      <c r="O1371" s="8">
        <f>VLOOKUP(tblSalaries[[#This Row],[How many hours of a day you work on Excel]],tblHours,2,0)</f>
        <v>4</v>
      </c>
      <c r="P1371" s="8">
        <f>VLOOKUP(tblSalaries[[#This Row],[clean Country]],tblCountries[],5,0)</f>
        <v>13.098808879263672</v>
      </c>
      <c r="Q1371" s="8">
        <f>IF($Q$1,tblSalaries[[#This Row],[PPP Factor]]*tblSalaries[[#This Row],[Salary in USD]],tblSalaries[[#This Row],[Salary in USD]])</f>
        <v>20000</v>
      </c>
    </row>
    <row r="1372" spans="2:17" ht="15" customHeight="1" x14ac:dyDescent="0.25">
      <c r="B1372" t="s">
        <v>3375</v>
      </c>
      <c r="C1372" s="1">
        <v>41058.941168981481</v>
      </c>
      <c r="D1372" s="4">
        <v>95000</v>
      </c>
      <c r="E1372">
        <v>95000</v>
      </c>
      <c r="F1372" t="s">
        <v>6</v>
      </c>
      <c r="G1372">
        <f>tblSalaries[[#This Row],[clean Salary (in local currency)]]*VLOOKUP(tblSalaries[[#This Row],[Currency]],tblXrate[],2,FALSE)</f>
        <v>95000</v>
      </c>
      <c r="H1372" t="s">
        <v>1559</v>
      </c>
      <c r="I1372" t="s">
        <v>279</v>
      </c>
      <c r="J1372" t="s">
        <v>15</v>
      </c>
      <c r="K1372" t="str">
        <f>VLOOKUP(tblSalaries[[#This Row],[Where do you work]],tblCountries[[Actual]:[Mapping]],2,FALSE)</f>
        <v>USA</v>
      </c>
      <c r="L1372" t="s">
        <v>9</v>
      </c>
      <c r="M1372">
        <v>14</v>
      </c>
      <c r="N1372" s="8" t="str">
        <f>VLOOKUP(K1372,tblCountries[],3,0)</f>
        <v>North Amer.</v>
      </c>
      <c r="O1372" s="8">
        <f>VLOOKUP(tblSalaries[[#This Row],[How many hours of a day you work on Excel]],tblHours,2,0)</f>
        <v>4</v>
      </c>
      <c r="P1372" s="8">
        <f>VLOOKUP(tblSalaries[[#This Row],[clean Country]],tblCountries[],5,0)</f>
        <v>1</v>
      </c>
      <c r="Q1372" s="8">
        <f>IF($Q$1,tblSalaries[[#This Row],[PPP Factor]]*tblSalaries[[#This Row],[Salary in USD]],tblSalaries[[#This Row],[Salary in USD]])</f>
        <v>95000</v>
      </c>
    </row>
    <row r="1373" spans="2:17" ht="15" customHeight="1" x14ac:dyDescent="0.25">
      <c r="B1373" t="s">
        <v>3376</v>
      </c>
      <c r="C1373" s="1">
        <v>41058.949421296296</v>
      </c>
      <c r="D1373" s="4">
        <v>130000</v>
      </c>
      <c r="E1373">
        <v>130000</v>
      </c>
      <c r="F1373" t="s">
        <v>6</v>
      </c>
      <c r="G1373">
        <f>tblSalaries[[#This Row],[clean Salary (in local currency)]]*VLOOKUP(tblSalaries[[#This Row],[Currency]],tblXrate[],2,FALSE)</f>
        <v>130000</v>
      </c>
      <c r="H1373" t="s">
        <v>52</v>
      </c>
      <c r="I1373" t="s">
        <v>52</v>
      </c>
      <c r="J1373" t="s">
        <v>15</v>
      </c>
      <c r="K1373" t="str">
        <f>VLOOKUP(tblSalaries[[#This Row],[Where do you work]],tblCountries[[Actual]:[Mapping]],2,FALSE)</f>
        <v>USA</v>
      </c>
      <c r="L1373" t="s">
        <v>25</v>
      </c>
      <c r="M1373">
        <v>25</v>
      </c>
      <c r="N1373" s="8" t="str">
        <f>VLOOKUP(K1373,tblCountries[],3,0)</f>
        <v>North Amer.</v>
      </c>
      <c r="O1373" s="8">
        <f>VLOOKUP(tblSalaries[[#This Row],[How many hours of a day you work on Excel]],tblHours,2,0)</f>
        <v>2</v>
      </c>
      <c r="P1373" s="8">
        <f>VLOOKUP(tblSalaries[[#This Row],[clean Country]],tblCountries[],5,0)</f>
        <v>1</v>
      </c>
      <c r="Q1373" s="8">
        <f>IF($Q$1,tblSalaries[[#This Row],[PPP Factor]]*tblSalaries[[#This Row],[Salary in USD]],tblSalaries[[#This Row],[Salary in USD]])</f>
        <v>130000</v>
      </c>
    </row>
    <row r="1374" spans="2:17" ht="15" customHeight="1" x14ac:dyDescent="0.25">
      <c r="B1374" t="s">
        <v>3377</v>
      </c>
      <c r="C1374" s="1">
        <v>41058.951574074075</v>
      </c>
      <c r="D1374" s="4">
        <v>65000</v>
      </c>
      <c r="E1374">
        <v>65000</v>
      </c>
      <c r="F1374" t="s">
        <v>6</v>
      </c>
      <c r="G1374">
        <f>tblSalaries[[#This Row],[clean Salary (in local currency)]]*VLOOKUP(tblSalaries[[#This Row],[Currency]],tblXrate[],2,FALSE)</f>
        <v>65000</v>
      </c>
      <c r="H1374" t="s">
        <v>1560</v>
      </c>
      <c r="I1374" t="s">
        <v>20</v>
      </c>
      <c r="J1374" t="s">
        <v>15</v>
      </c>
      <c r="K1374" t="str">
        <f>VLOOKUP(tblSalaries[[#This Row],[Where do you work]],tblCountries[[Actual]:[Mapping]],2,FALSE)</f>
        <v>USA</v>
      </c>
      <c r="L1374" t="s">
        <v>18</v>
      </c>
      <c r="M1374">
        <v>10</v>
      </c>
      <c r="N1374" s="8" t="str">
        <f>VLOOKUP(K1374,tblCountries[],3,0)</f>
        <v>North Amer.</v>
      </c>
      <c r="O1374" s="8">
        <f>VLOOKUP(tblSalaries[[#This Row],[How many hours of a day you work on Excel]],tblHours,2,0)</f>
        <v>3</v>
      </c>
      <c r="P1374" s="8">
        <f>VLOOKUP(tblSalaries[[#This Row],[clean Country]],tblCountries[],5,0)</f>
        <v>1</v>
      </c>
      <c r="Q1374" s="8">
        <f>IF($Q$1,tblSalaries[[#This Row],[PPP Factor]]*tblSalaries[[#This Row],[Salary in USD]],tblSalaries[[#This Row],[Salary in USD]])</f>
        <v>65000</v>
      </c>
    </row>
    <row r="1375" spans="2:17" ht="15" customHeight="1" x14ac:dyDescent="0.25">
      <c r="B1375" t="s">
        <v>3378</v>
      </c>
      <c r="C1375" s="1">
        <v>41058.951620370368</v>
      </c>
      <c r="D1375" s="4">
        <v>80000</v>
      </c>
      <c r="E1375">
        <v>80000</v>
      </c>
      <c r="F1375" t="s">
        <v>6</v>
      </c>
      <c r="G1375">
        <f>tblSalaries[[#This Row],[clean Salary (in local currency)]]*VLOOKUP(tblSalaries[[#This Row],[Currency]],tblXrate[],2,FALSE)</f>
        <v>80000</v>
      </c>
      <c r="H1375" t="s">
        <v>1561</v>
      </c>
      <c r="I1375" t="s">
        <v>356</v>
      </c>
      <c r="J1375" t="s">
        <v>15</v>
      </c>
      <c r="K1375" t="str">
        <f>VLOOKUP(tblSalaries[[#This Row],[Where do you work]],tblCountries[[Actual]:[Mapping]],2,FALSE)</f>
        <v>USA</v>
      </c>
      <c r="L1375" t="s">
        <v>18</v>
      </c>
      <c r="M1375">
        <v>8</v>
      </c>
      <c r="N1375" s="8" t="str">
        <f>VLOOKUP(K1375,tblCountries[],3,0)</f>
        <v>North Amer.</v>
      </c>
      <c r="O1375" s="8">
        <f>VLOOKUP(tblSalaries[[#This Row],[How many hours of a day you work on Excel]],tblHours,2,0)</f>
        <v>3</v>
      </c>
      <c r="P1375" s="8">
        <f>VLOOKUP(tblSalaries[[#This Row],[clean Country]],tblCountries[],5,0)</f>
        <v>1</v>
      </c>
      <c r="Q1375" s="8">
        <f>IF($Q$1,tblSalaries[[#This Row],[PPP Factor]]*tblSalaries[[#This Row],[Salary in USD]],tblSalaries[[#This Row],[Salary in USD]])</f>
        <v>80000</v>
      </c>
    </row>
    <row r="1376" spans="2:17" ht="15" customHeight="1" x14ac:dyDescent="0.25">
      <c r="B1376" t="s">
        <v>3379</v>
      </c>
      <c r="C1376" s="1">
        <v>41058.955833333333</v>
      </c>
      <c r="D1376" s="4" t="s">
        <v>1562</v>
      </c>
      <c r="E1376">
        <v>37000</v>
      </c>
      <c r="F1376" t="s">
        <v>6</v>
      </c>
      <c r="G1376">
        <f>tblSalaries[[#This Row],[clean Salary (in local currency)]]*VLOOKUP(tblSalaries[[#This Row],[Currency]],tblXrate[],2,FALSE)</f>
        <v>37000</v>
      </c>
      <c r="H1376" t="s">
        <v>1563</v>
      </c>
      <c r="I1376" t="s">
        <v>3999</v>
      </c>
      <c r="J1376" t="s">
        <v>15</v>
      </c>
      <c r="K1376" t="str">
        <f>VLOOKUP(tblSalaries[[#This Row],[Where do you work]],tblCountries[[Actual]:[Mapping]],2,FALSE)</f>
        <v>USA</v>
      </c>
      <c r="L1376" t="s">
        <v>18</v>
      </c>
      <c r="M1376">
        <v>30</v>
      </c>
      <c r="N1376" s="8" t="str">
        <f>VLOOKUP(K1376,tblCountries[],3,0)</f>
        <v>North Amer.</v>
      </c>
      <c r="O1376" s="8">
        <f>VLOOKUP(tblSalaries[[#This Row],[How many hours of a day you work on Excel]],tblHours,2,0)</f>
        <v>3</v>
      </c>
      <c r="P1376" s="8">
        <f>VLOOKUP(tblSalaries[[#This Row],[clean Country]],tblCountries[],5,0)</f>
        <v>1</v>
      </c>
      <c r="Q1376" s="8">
        <f>IF($Q$1,tblSalaries[[#This Row],[PPP Factor]]*tblSalaries[[#This Row],[Salary in USD]],tblSalaries[[#This Row],[Salary in USD]])</f>
        <v>37000</v>
      </c>
    </row>
    <row r="1377" spans="2:17" ht="15" customHeight="1" x14ac:dyDescent="0.25">
      <c r="B1377" t="s">
        <v>3380</v>
      </c>
      <c r="C1377" s="1">
        <v>41058.962500000001</v>
      </c>
      <c r="D1377" s="4">
        <v>40000</v>
      </c>
      <c r="E1377">
        <v>40000</v>
      </c>
      <c r="F1377" t="s">
        <v>6</v>
      </c>
      <c r="G1377">
        <f>tblSalaries[[#This Row],[clean Salary (in local currency)]]*VLOOKUP(tblSalaries[[#This Row],[Currency]],tblXrate[],2,FALSE)</f>
        <v>40000</v>
      </c>
      <c r="H1377" t="s">
        <v>1564</v>
      </c>
      <c r="I1377" t="s">
        <v>52</v>
      </c>
      <c r="J1377" t="s">
        <v>15</v>
      </c>
      <c r="K1377" t="str">
        <f>VLOOKUP(tblSalaries[[#This Row],[Where do you work]],tblCountries[[Actual]:[Mapping]],2,FALSE)</f>
        <v>USA</v>
      </c>
      <c r="L1377" t="s">
        <v>25</v>
      </c>
      <c r="M1377">
        <v>8</v>
      </c>
      <c r="N1377" s="8" t="str">
        <f>VLOOKUP(K1377,tblCountries[],3,0)</f>
        <v>North Amer.</v>
      </c>
      <c r="O1377" s="8">
        <f>VLOOKUP(tblSalaries[[#This Row],[How many hours of a day you work on Excel]],tblHours,2,0)</f>
        <v>2</v>
      </c>
      <c r="P1377" s="8">
        <f>VLOOKUP(tblSalaries[[#This Row],[clean Country]],tblCountries[],5,0)</f>
        <v>1</v>
      </c>
      <c r="Q1377" s="8">
        <f>IF($Q$1,tblSalaries[[#This Row],[PPP Factor]]*tblSalaries[[#This Row],[Salary in USD]],tblSalaries[[#This Row],[Salary in USD]])</f>
        <v>40000</v>
      </c>
    </row>
    <row r="1378" spans="2:17" ht="15" customHeight="1" x14ac:dyDescent="0.25">
      <c r="B1378" t="s">
        <v>3381</v>
      </c>
      <c r="C1378" s="1">
        <v>41058.964409722219</v>
      </c>
      <c r="D1378" s="4">
        <v>49000</v>
      </c>
      <c r="E1378">
        <v>49000</v>
      </c>
      <c r="F1378" t="s">
        <v>6</v>
      </c>
      <c r="G1378">
        <f>tblSalaries[[#This Row],[clean Salary (in local currency)]]*VLOOKUP(tblSalaries[[#This Row],[Currency]],tblXrate[],2,FALSE)</f>
        <v>49000</v>
      </c>
      <c r="H1378" t="s">
        <v>200</v>
      </c>
      <c r="I1378" t="s">
        <v>20</v>
      </c>
      <c r="J1378" t="s">
        <v>15</v>
      </c>
      <c r="K1378" t="str">
        <f>VLOOKUP(tblSalaries[[#This Row],[Where do you work]],tblCountries[[Actual]:[Mapping]],2,FALSE)</f>
        <v>USA</v>
      </c>
      <c r="L1378" t="s">
        <v>9</v>
      </c>
      <c r="M1378">
        <v>10</v>
      </c>
      <c r="N1378" s="8" t="str">
        <f>VLOOKUP(K1378,tblCountries[],3,0)</f>
        <v>North Amer.</v>
      </c>
      <c r="O1378" s="8">
        <f>VLOOKUP(tblSalaries[[#This Row],[How many hours of a day you work on Excel]],tblHours,2,0)</f>
        <v>4</v>
      </c>
      <c r="P1378" s="8">
        <f>VLOOKUP(tblSalaries[[#This Row],[clean Country]],tblCountries[],5,0)</f>
        <v>1</v>
      </c>
      <c r="Q1378" s="8">
        <f>IF($Q$1,tblSalaries[[#This Row],[PPP Factor]]*tblSalaries[[#This Row],[Salary in USD]],tblSalaries[[#This Row],[Salary in USD]])</f>
        <v>49000</v>
      </c>
    </row>
    <row r="1379" spans="2:17" ht="15" customHeight="1" x14ac:dyDescent="0.25">
      <c r="B1379" t="s">
        <v>3382</v>
      </c>
      <c r="C1379" s="1">
        <v>41058.964918981481</v>
      </c>
      <c r="D1379" s="4">
        <v>65000</v>
      </c>
      <c r="E1379">
        <v>65000</v>
      </c>
      <c r="F1379" t="s">
        <v>6</v>
      </c>
      <c r="G1379">
        <f>tblSalaries[[#This Row],[clean Salary (in local currency)]]*VLOOKUP(tblSalaries[[#This Row],[Currency]],tblXrate[],2,FALSE)</f>
        <v>65000</v>
      </c>
      <c r="H1379" t="s">
        <v>153</v>
      </c>
      <c r="I1379" t="s">
        <v>20</v>
      </c>
      <c r="J1379" t="s">
        <v>15</v>
      </c>
      <c r="K1379" t="str">
        <f>VLOOKUP(tblSalaries[[#This Row],[Where do you work]],tblCountries[[Actual]:[Mapping]],2,FALSE)</f>
        <v>USA</v>
      </c>
      <c r="L1379" t="s">
        <v>13</v>
      </c>
      <c r="M1379">
        <v>14</v>
      </c>
      <c r="N1379" s="8" t="str">
        <f>VLOOKUP(K1379,tblCountries[],3,0)</f>
        <v>North Amer.</v>
      </c>
      <c r="O1379" s="8">
        <f>VLOOKUP(tblSalaries[[#This Row],[How many hours of a day you work on Excel]],tblHours,2,0)</f>
        <v>5</v>
      </c>
      <c r="P1379" s="8">
        <f>VLOOKUP(tblSalaries[[#This Row],[clean Country]],tblCountries[],5,0)</f>
        <v>1</v>
      </c>
      <c r="Q1379" s="8">
        <f>IF($Q$1,tblSalaries[[#This Row],[PPP Factor]]*tblSalaries[[#This Row],[Salary in USD]],tblSalaries[[#This Row],[Salary in USD]])</f>
        <v>65000</v>
      </c>
    </row>
    <row r="1380" spans="2:17" ht="15" customHeight="1" x14ac:dyDescent="0.25">
      <c r="B1380" t="s">
        <v>3383</v>
      </c>
      <c r="C1380" s="1">
        <v>41058.967731481483</v>
      </c>
      <c r="D1380" s="4">
        <v>55000</v>
      </c>
      <c r="E1380">
        <v>55000</v>
      </c>
      <c r="F1380" t="s">
        <v>6</v>
      </c>
      <c r="G1380">
        <f>tblSalaries[[#This Row],[clean Salary (in local currency)]]*VLOOKUP(tblSalaries[[#This Row],[Currency]],tblXrate[],2,FALSE)</f>
        <v>55000</v>
      </c>
      <c r="H1380" t="s">
        <v>1565</v>
      </c>
      <c r="I1380" t="s">
        <v>20</v>
      </c>
      <c r="J1380" t="s">
        <v>15</v>
      </c>
      <c r="K1380" t="str">
        <f>VLOOKUP(tblSalaries[[#This Row],[Where do you work]],tblCountries[[Actual]:[Mapping]],2,FALSE)</f>
        <v>USA</v>
      </c>
      <c r="L1380" t="s">
        <v>13</v>
      </c>
      <c r="M1380">
        <v>1</v>
      </c>
      <c r="N1380" s="8" t="str">
        <f>VLOOKUP(K1380,tblCountries[],3,0)</f>
        <v>North Amer.</v>
      </c>
      <c r="O1380" s="8">
        <f>VLOOKUP(tblSalaries[[#This Row],[How many hours of a day you work on Excel]],tblHours,2,0)</f>
        <v>5</v>
      </c>
      <c r="P1380" s="8">
        <f>VLOOKUP(tblSalaries[[#This Row],[clean Country]],tblCountries[],5,0)</f>
        <v>1</v>
      </c>
      <c r="Q1380" s="8">
        <f>IF($Q$1,tblSalaries[[#This Row],[PPP Factor]]*tblSalaries[[#This Row],[Salary in USD]],tblSalaries[[#This Row],[Salary in USD]])</f>
        <v>55000</v>
      </c>
    </row>
    <row r="1381" spans="2:17" ht="15" customHeight="1" x14ac:dyDescent="0.25">
      <c r="B1381" t="s">
        <v>3384</v>
      </c>
      <c r="C1381" s="1">
        <v>41058.972696759258</v>
      </c>
      <c r="D1381" s="4">
        <v>40000</v>
      </c>
      <c r="E1381">
        <v>40000</v>
      </c>
      <c r="F1381" t="s">
        <v>6</v>
      </c>
      <c r="G1381">
        <f>tblSalaries[[#This Row],[clean Salary (in local currency)]]*VLOOKUP(tblSalaries[[#This Row],[Currency]],tblXrate[],2,FALSE)</f>
        <v>40000</v>
      </c>
      <c r="H1381" t="s">
        <v>1566</v>
      </c>
      <c r="I1381" t="s">
        <v>52</v>
      </c>
      <c r="J1381" t="s">
        <v>15</v>
      </c>
      <c r="K1381" t="str">
        <f>VLOOKUP(tblSalaries[[#This Row],[Where do you work]],tblCountries[[Actual]:[Mapping]],2,FALSE)</f>
        <v>USA</v>
      </c>
      <c r="L1381" t="s">
        <v>9</v>
      </c>
      <c r="M1381">
        <v>1</v>
      </c>
      <c r="N1381" s="8" t="str">
        <f>VLOOKUP(K1381,tblCountries[],3,0)</f>
        <v>North Amer.</v>
      </c>
      <c r="O1381" s="8">
        <f>VLOOKUP(tblSalaries[[#This Row],[How many hours of a day you work on Excel]],tblHours,2,0)</f>
        <v>4</v>
      </c>
      <c r="P1381" s="8">
        <f>VLOOKUP(tblSalaries[[#This Row],[clean Country]],tblCountries[],5,0)</f>
        <v>1</v>
      </c>
      <c r="Q1381" s="8">
        <f>IF($Q$1,tblSalaries[[#This Row],[PPP Factor]]*tblSalaries[[#This Row],[Salary in USD]],tblSalaries[[#This Row],[Salary in USD]])</f>
        <v>40000</v>
      </c>
    </row>
    <row r="1382" spans="2:17" ht="15" customHeight="1" x14ac:dyDescent="0.25">
      <c r="B1382" t="s">
        <v>3385</v>
      </c>
      <c r="C1382" s="1">
        <v>41058.97320601852</v>
      </c>
      <c r="D1382" s="4">
        <v>60000</v>
      </c>
      <c r="E1382">
        <v>60000</v>
      </c>
      <c r="F1382" t="s">
        <v>6</v>
      </c>
      <c r="G1382">
        <f>tblSalaries[[#This Row],[clean Salary (in local currency)]]*VLOOKUP(tblSalaries[[#This Row],[Currency]],tblXrate[],2,FALSE)</f>
        <v>60000</v>
      </c>
      <c r="H1382" t="s">
        <v>42</v>
      </c>
      <c r="I1382" t="s">
        <v>20</v>
      </c>
      <c r="J1382" t="s">
        <v>15</v>
      </c>
      <c r="K1382" t="str">
        <f>VLOOKUP(tblSalaries[[#This Row],[Where do you work]],tblCountries[[Actual]:[Mapping]],2,FALSE)</f>
        <v>USA</v>
      </c>
      <c r="L1382" t="s">
        <v>9</v>
      </c>
      <c r="M1382">
        <v>15</v>
      </c>
      <c r="N1382" s="8" t="str">
        <f>VLOOKUP(K1382,tblCountries[],3,0)</f>
        <v>North Amer.</v>
      </c>
      <c r="O1382" s="8">
        <f>VLOOKUP(tblSalaries[[#This Row],[How many hours of a day you work on Excel]],tblHours,2,0)</f>
        <v>4</v>
      </c>
      <c r="P1382" s="8">
        <f>VLOOKUP(tblSalaries[[#This Row],[clean Country]],tblCountries[],5,0)</f>
        <v>1</v>
      </c>
      <c r="Q1382" s="8">
        <f>IF($Q$1,tblSalaries[[#This Row],[PPP Factor]]*tblSalaries[[#This Row],[Salary in USD]],tblSalaries[[#This Row],[Salary in USD]])</f>
        <v>60000</v>
      </c>
    </row>
    <row r="1383" spans="2:17" ht="15" customHeight="1" x14ac:dyDescent="0.25">
      <c r="B1383" t="s">
        <v>3386</v>
      </c>
      <c r="C1383" s="1">
        <v>41058.979895833334</v>
      </c>
      <c r="D1383" s="4" t="s">
        <v>1567</v>
      </c>
      <c r="E1383">
        <v>36000</v>
      </c>
      <c r="F1383" t="s">
        <v>22</v>
      </c>
      <c r="G1383">
        <f>tblSalaries[[#This Row],[clean Salary (in local currency)]]*VLOOKUP(tblSalaries[[#This Row],[Currency]],tblXrate[],2,FALSE)</f>
        <v>45734.379803697877</v>
      </c>
      <c r="H1383" t="s">
        <v>1568</v>
      </c>
      <c r="I1383" t="s">
        <v>20</v>
      </c>
      <c r="J1383" t="s">
        <v>36</v>
      </c>
      <c r="K1383" t="str">
        <f>VLOOKUP(tblSalaries[[#This Row],[Where do you work]],tblCountries[[Actual]:[Mapping]],2,FALSE)</f>
        <v>Ireland</v>
      </c>
      <c r="L1383" t="s">
        <v>18</v>
      </c>
      <c r="M1383">
        <v>4</v>
      </c>
      <c r="N1383" s="8" t="str">
        <f>VLOOKUP(K1383,tblCountries[],3,0)</f>
        <v>Europe</v>
      </c>
      <c r="O1383" s="8">
        <f>VLOOKUP(tblSalaries[[#This Row],[How many hours of a day you work on Excel]],tblHours,2,0)</f>
        <v>3</v>
      </c>
      <c r="P1383" s="8">
        <f>VLOOKUP(tblSalaries[[#This Row],[clean Country]],tblCountries[],5,0)</f>
        <v>1.2206917429803981</v>
      </c>
      <c r="Q1383" s="8">
        <f>IF($Q$1,tblSalaries[[#This Row],[PPP Factor]]*tblSalaries[[#This Row],[Salary in USD]],tblSalaries[[#This Row],[Salary in USD]])</f>
        <v>45734.379803697877</v>
      </c>
    </row>
    <row r="1384" spans="2:17" ht="15" customHeight="1" x14ac:dyDescent="0.25">
      <c r="B1384" t="s">
        <v>3387</v>
      </c>
      <c r="C1384" s="1">
        <v>41058.985567129632</v>
      </c>
      <c r="D1384" s="4">
        <v>150000</v>
      </c>
      <c r="E1384">
        <v>150000</v>
      </c>
      <c r="F1384" t="s">
        <v>6</v>
      </c>
      <c r="G1384">
        <f>tblSalaries[[#This Row],[clean Salary (in local currency)]]*VLOOKUP(tblSalaries[[#This Row],[Currency]],tblXrate[],2,FALSE)</f>
        <v>150000</v>
      </c>
      <c r="H1384" t="s">
        <v>72</v>
      </c>
      <c r="I1384" t="s">
        <v>20</v>
      </c>
      <c r="J1384" t="s">
        <v>15</v>
      </c>
      <c r="K1384" t="str">
        <f>VLOOKUP(tblSalaries[[#This Row],[Where do you work]],tblCountries[[Actual]:[Mapping]],2,FALSE)</f>
        <v>USA</v>
      </c>
      <c r="L1384" t="s">
        <v>18</v>
      </c>
      <c r="M1384">
        <v>30</v>
      </c>
      <c r="N1384" s="8" t="str">
        <f>VLOOKUP(K1384,tblCountries[],3,0)</f>
        <v>North Amer.</v>
      </c>
      <c r="O1384" s="8">
        <f>VLOOKUP(tblSalaries[[#This Row],[How many hours of a day you work on Excel]],tblHours,2,0)</f>
        <v>3</v>
      </c>
      <c r="P1384" s="8">
        <f>VLOOKUP(tblSalaries[[#This Row],[clean Country]],tblCountries[],5,0)</f>
        <v>1</v>
      </c>
      <c r="Q1384" s="8">
        <f>IF($Q$1,tblSalaries[[#This Row],[PPP Factor]]*tblSalaries[[#This Row],[Salary in USD]],tblSalaries[[#This Row],[Salary in USD]])</f>
        <v>150000</v>
      </c>
    </row>
    <row r="1385" spans="2:17" ht="15" customHeight="1" x14ac:dyDescent="0.25">
      <c r="B1385" t="s">
        <v>3388</v>
      </c>
      <c r="C1385" s="1">
        <v>41058.989189814813</v>
      </c>
      <c r="D1385" s="4">
        <v>88000</v>
      </c>
      <c r="E1385">
        <v>88000</v>
      </c>
      <c r="F1385" t="s">
        <v>6</v>
      </c>
      <c r="G1385">
        <f>tblSalaries[[#This Row],[clean Salary (in local currency)]]*VLOOKUP(tblSalaries[[#This Row],[Currency]],tblXrate[],2,FALSE)</f>
        <v>88000</v>
      </c>
      <c r="H1385" t="s">
        <v>1569</v>
      </c>
      <c r="I1385" t="s">
        <v>52</v>
      </c>
      <c r="J1385" t="s">
        <v>15</v>
      </c>
      <c r="K1385" t="str">
        <f>VLOOKUP(tblSalaries[[#This Row],[Where do you work]],tblCountries[[Actual]:[Mapping]],2,FALSE)</f>
        <v>USA</v>
      </c>
      <c r="L1385" t="s">
        <v>9</v>
      </c>
      <c r="M1385">
        <v>21</v>
      </c>
      <c r="N1385" s="8" t="str">
        <f>VLOOKUP(K1385,tblCountries[],3,0)</f>
        <v>North Amer.</v>
      </c>
      <c r="O1385" s="8">
        <f>VLOOKUP(tblSalaries[[#This Row],[How many hours of a day you work on Excel]],tblHours,2,0)</f>
        <v>4</v>
      </c>
      <c r="P1385" s="8">
        <f>VLOOKUP(tblSalaries[[#This Row],[clean Country]],tblCountries[],5,0)</f>
        <v>1</v>
      </c>
      <c r="Q1385" s="8">
        <f>IF($Q$1,tblSalaries[[#This Row],[PPP Factor]]*tblSalaries[[#This Row],[Salary in USD]],tblSalaries[[#This Row],[Salary in USD]])</f>
        <v>88000</v>
      </c>
    </row>
    <row r="1386" spans="2:17" ht="15" customHeight="1" x14ac:dyDescent="0.25">
      <c r="B1386" t="s">
        <v>3389</v>
      </c>
      <c r="C1386" s="1">
        <v>41059.001481481479</v>
      </c>
      <c r="D1386" s="4">
        <v>64500</v>
      </c>
      <c r="E1386">
        <v>64500</v>
      </c>
      <c r="F1386" t="s">
        <v>6</v>
      </c>
      <c r="G1386">
        <f>tblSalaries[[#This Row],[clean Salary (in local currency)]]*VLOOKUP(tblSalaries[[#This Row],[Currency]],tblXrate[],2,FALSE)</f>
        <v>64500</v>
      </c>
      <c r="H1386" t="s">
        <v>1570</v>
      </c>
      <c r="I1386" t="s">
        <v>20</v>
      </c>
      <c r="J1386" t="s">
        <v>15</v>
      </c>
      <c r="K1386" t="str">
        <f>VLOOKUP(tblSalaries[[#This Row],[Where do you work]],tblCountries[[Actual]:[Mapping]],2,FALSE)</f>
        <v>USA</v>
      </c>
      <c r="L1386" t="s">
        <v>9</v>
      </c>
      <c r="M1386">
        <v>13</v>
      </c>
      <c r="N1386" s="8" t="str">
        <f>VLOOKUP(K1386,tblCountries[],3,0)</f>
        <v>North Amer.</v>
      </c>
      <c r="O1386" s="8">
        <f>VLOOKUP(tblSalaries[[#This Row],[How many hours of a day you work on Excel]],tblHours,2,0)</f>
        <v>4</v>
      </c>
      <c r="P1386" s="8">
        <f>VLOOKUP(tblSalaries[[#This Row],[clean Country]],tblCountries[],5,0)</f>
        <v>1</v>
      </c>
      <c r="Q1386" s="8">
        <f>IF($Q$1,tblSalaries[[#This Row],[PPP Factor]]*tblSalaries[[#This Row],[Salary in USD]],tblSalaries[[#This Row],[Salary in USD]])</f>
        <v>64500</v>
      </c>
    </row>
    <row r="1387" spans="2:17" ht="15" customHeight="1" x14ac:dyDescent="0.25">
      <c r="B1387" t="s">
        <v>3390</v>
      </c>
      <c r="C1387" s="1">
        <v>41059.009108796294</v>
      </c>
      <c r="D1387" s="4" t="s">
        <v>1571</v>
      </c>
      <c r="E1387">
        <v>216000</v>
      </c>
      <c r="F1387" t="s">
        <v>3958</v>
      </c>
      <c r="G1387">
        <f>tblSalaries[[#This Row],[clean Salary (in local currency)]]*VLOOKUP(tblSalaries[[#This Row],[Currency]],tblXrate[],2,FALSE)</f>
        <v>57600</v>
      </c>
      <c r="H1387" t="s">
        <v>1572</v>
      </c>
      <c r="I1387" t="s">
        <v>279</v>
      </c>
      <c r="J1387" t="s">
        <v>133</v>
      </c>
      <c r="K1387" t="str">
        <f>VLOOKUP(tblSalaries[[#This Row],[Where do you work]],tblCountries[[Actual]:[Mapping]],2,FALSE)</f>
        <v>Saudi Arabia</v>
      </c>
      <c r="L1387" t="s">
        <v>9</v>
      </c>
      <c r="M1387">
        <v>20</v>
      </c>
      <c r="N1387" s="8" t="str">
        <f>VLOOKUP(K1387,tblCountries[],3,0)</f>
        <v>Asia</v>
      </c>
      <c r="O1387" s="8">
        <f>VLOOKUP(tblSalaries[[#This Row],[How many hours of a day you work on Excel]],tblHours,2,0)</f>
        <v>4</v>
      </c>
      <c r="P1387" s="8">
        <f>VLOOKUP(tblSalaries[[#This Row],[clean Country]],tblCountries[],5,0)</f>
        <v>1.9964104468374799</v>
      </c>
      <c r="Q1387" s="8">
        <f>IF($Q$1,tblSalaries[[#This Row],[PPP Factor]]*tblSalaries[[#This Row],[Salary in USD]],tblSalaries[[#This Row],[Salary in USD]])</f>
        <v>57600</v>
      </c>
    </row>
    <row r="1388" spans="2:17" ht="15" customHeight="1" x14ac:dyDescent="0.25">
      <c r="B1388" t="s">
        <v>3391</v>
      </c>
      <c r="C1388" s="1">
        <v>41059.015601851854</v>
      </c>
      <c r="D1388" s="4">
        <v>50000</v>
      </c>
      <c r="E1388">
        <v>50000</v>
      </c>
      <c r="F1388" t="s">
        <v>6</v>
      </c>
      <c r="G1388">
        <f>tblSalaries[[#This Row],[clean Salary (in local currency)]]*VLOOKUP(tblSalaries[[#This Row],[Currency]],tblXrate[],2,FALSE)</f>
        <v>50000</v>
      </c>
      <c r="H1388" t="s">
        <v>1573</v>
      </c>
      <c r="I1388" t="s">
        <v>310</v>
      </c>
      <c r="J1388" t="s">
        <v>15</v>
      </c>
      <c r="K1388" t="str">
        <f>VLOOKUP(tblSalaries[[#This Row],[Where do you work]],tblCountries[[Actual]:[Mapping]],2,FALSE)</f>
        <v>USA</v>
      </c>
      <c r="L1388" t="s">
        <v>9</v>
      </c>
      <c r="M1388">
        <v>15</v>
      </c>
      <c r="N1388" s="8" t="str">
        <f>VLOOKUP(K1388,tblCountries[],3,0)</f>
        <v>North Amer.</v>
      </c>
      <c r="O1388" s="8">
        <f>VLOOKUP(tblSalaries[[#This Row],[How many hours of a day you work on Excel]],tblHours,2,0)</f>
        <v>4</v>
      </c>
      <c r="P1388" s="8">
        <f>VLOOKUP(tblSalaries[[#This Row],[clean Country]],tblCountries[],5,0)</f>
        <v>1</v>
      </c>
      <c r="Q1388" s="8">
        <f>IF($Q$1,tblSalaries[[#This Row],[PPP Factor]]*tblSalaries[[#This Row],[Salary in USD]],tblSalaries[[#This Row],[Salary in USD]])</f>
        <v>50000</v>
      </c>
    </row>
    <row r="1389" spans="2:17" ht="15" customHeight="1" x14ac:dyDescent="0.25">
      <c r="B1389" t="s">
        <v>3392</v>
      </c>
      <c r="C1389" s="1">
        <v>41059.017858796295</v>
      </c>
      <c r="D1389" s="4">
        <v>120000</v>
      </c>
      <c r="E1389">
        <v>120000</v>
      </c>
      <c r="F1389" t="s">
        <v>6</v>
      </c>
      <c r="G1389">
        <f>tblSalaries[[#This Row],[clean Salary (in local currency)]]*VLOOKUP(tblSalaries[[#This Row],[Currency]],tblXrate[],2,FALSE)</f>
        <v>120000</v>
      </c>
      <c r="H1389" t="s">
        <v>642</v>
      </c>
      <c r="I1389" t="s">
        <v>52</v>
      </c>
      <c r="J1389" t="s">
        <v>15</v>
      </c>
      <c r="K1389" t="str">
        <f>VLOOKUP(tblSalaries[[#This Row],[Where do you work]],tblCountries[[Actual]:[Mapping]],2,FALSE)</f>
        <v>USA</v>
      </c>
      <c r="L1389" t="s">
        <v>18</v>
      </c>
      <c r="M1389">
        <v>10</v>
      </c>
      <c r="N1389" s="8" t="str">
        <f>VLOOKUP(K1389,tblCountries[],3,0)</f>
        <v>North Amer.</v>
      </c>
      <c r="O1389" s="8">
        <f>VLOOKUP(tblSalaries[[#This Row],[How many hours of a day you work on Excel]],tblHours,2,0)</f>
        <v>3</v>
      </c>
      <c r="P1389" s="8">
        <f>VLOOKUP(tblSalaries[[#This Row],[clean Country]],tblCountries[],5,0)</f>
        <v>1</v>
      </c>
      <c r="Q1389" s="8">
        <f>IF($Q$1,tblSalaries[[#This Row],[PPP Factor]]*tblSalaries[[#This Row],[Salary in USD]],tblSalaries[[#This Row],[Salary in USD]])</f>
        <v>120000</v>
      </c>
    </row>
    <row r="1390" spans="2:17" ht="15" customHeight="1" x14ac:dyDescent="0.25">
      <c r="B1390" t="s">
        <v>3393</v>
      </c>
      <c r="C1390" s="1">
        <v>41059.024224537039</v>
      </c>
      <c r="D1390" s="4">
        <v>107000</v>
      </c>
      <c r="E1390">
        <v>107000</v>
      </c>
      <c r="F1390" t="s">
        <v>6</v>
      </c>
      <c r="G1390">
        <f>tblSalaries[[#This Row],[clean Salary (in local currency)]]*VLOOKUP(tblSalaries[[#This Row],[Currency]],tblXrate[],2,FALSE)</f>
        <v>107000</v>
      </c>
      <c r="H1390" t="s">
        <v>1574</v>
      </c>
      <c r="I1390" t="s">
        <v>52</v>
      </c>
      <c r="J1390" t="s">
        <v>15</v>
      </c>
      <c r="K1390" t="str">
        <f>VLOOKUP(tblSalaries[[#This Row],[Where do you work]],tblCountries[[Actual]:[Mapping]],2,FALSE)</f>
        <v>USA</v>
      </c>
      <c r="L1390" t="s">
        <v>13</v>
      </c>
      <c r="M1390">
        <v>29</v>
      </c>
      <c r="N1390" s="8" t="str">
        <f>VLOOKUP(K1390,tblCountries[],3,0)</f>
        <v>North Amer.</v>
      </c>
      <c r="O1390" s="8">
        <f>VLOOKUP(tblSalaries[[#This Row],[How many hours of a day you work on Excel]],tblHours,2,0)</f>
        <v>5</v>
      </c>
      <c r="P1390" s="8">
        <f>VLOOKUP(tblSalaries[[#This Row],[clean Country]],tblCountries[],5,0)</f>
        <v>1</v>
      </c>
      <c r="Q1390" s="8">
        <f>IF($Q$1,tblSalaries[[#This Row],[PPP Factor]]*tblSalaries[[#This Row],[Salary in USD]],tblSalaries[[#This Row],[Salary in USD]])</f>
        <v>107000</v>
      </c>
    </row>
    <row r="1391" spans="2:17" ht="15" customHeight="1" x14ac:dyDescent="0.25">
      <c r="B1391" t="s">
        <v>3394</v>
      </c>
      <c r="C1391" s="1">
        <v>41059.029745370368</v>
      </c>
      <c r="D1391" s="4">
        <v>40000</v>
      </c>
      <c r="E1391">
        <v>40000</v>
      </c>
      <c r="F1391" t="s">
        <v>6</v>
      </c>
      <c r="G1391">
        <f>tblSalaries[[#This Row],[clean Salary (in local currency)]]*VLOOKUP(tblSalaries[[#This Row],[Currency]],tblXrate[],2,FALSE)</f>
        <v>40000</v>
      </c>
      <c r="H1391" t="s">
        <v>621</v>
      </c>
      <c r="I1391" t="s">
        <v>20</v>
      </c>
      <c r="J1391" t="s">
        <v>15</v>
      </c>
      <c r="K1391" t="str">
        <f>VLOOKUP(tblSalaries[[#This Row],[Where do you work]],tblCountries[[Actual]:[Mapping]],2,FALSE)</f>
        <v>USA</v>
      </c>
      <c r="L1391" t="s">
        <v>18</v>
      </c>
      <c r="M1391">
        <v>6</v>
      </c>
      <c r="N1391" s="8" t="str">
        <f>VLOOKUP(K1391,tblCountries[],3,0)</f>
        <v>North Amer.</v>
      </c>
      <c r="O1391" s="8">
        <f>VLOOKUP(tblSalaries[[#This Row],[How many hours of a day you work on Excel]],tblHours,2,0)</f>
        <v>3</v>
      </c>
      <c r="P1391" s="8">
        <f>VLOOKUP(tblSalaries[[#This Row],[clean Country]],tblCountries[],5,0)</f>
        <v>1</v>
      </c>
      <c r="Q1391" s="8">
        <f>IF($Q$1,tblSalaries[[#This Row],[PPP Factor]]*tblSalaries[[#This Row],[Salary in USD]],tblSalaries[[#This Row],[Salary in USD]])</f>
        <v>40000</v>
      </c>
    </row>
    <row r="1392" spans="2:17" ht="15" customHeight="1" x14ac:dyDescent="0.25">
      <c r="B1392" t="s">
        <v>3395</v>
      </c>
      <c r="C1392" s="1">
        <v>41059.034756944442</v>
      </c>
      <c r="D1392" s="4">
        <v>81000</v>
      </c>
      <c r="E1392">
        <v>81000</v>
      </c>
      <c r="F1392" t="s">
        <v>6</v>
      </c>
      <c r="G1392">
        <f>tblSalaries[[#This Row],[clean Salary (in local currency)]]*VLOOKUP(tblSalaries[[#This Row],[Currency]],tblXrate[],2,FALSE)</f>
        <v>81000</v>
      </c>
      <c r="H1392" t="s">
        <v>1575</v>
      </c>
      <c r="I1392" t="s">
        <v>52</v>
      </c>
      <c r="J1392" t="s">
        <v>15</v>
      </c>
      <c r="K1392" t="str">
        <f>VLOOKUP(tblSalaries[[#This Row],[Where do you work]],tblCountries[[Actual]:[Mapping]],2,FALSE)</f>
        <v>USA</v>
      </c>
      <c r="L1392" t="s">
        <v>25</v>
      </c>
      <c r="M1392">
        <v>12</v>
      </c>
      <c r="N1392" s="8" t="str">
        <f>VLOOKUP(K1392,tblCountries[],3,0)</f>
        <v>North Amer.</v>
      </c>
      <c r="O1392" s="8">
        <f>VLOOKUP(tblSalaries[[#This Row],[How many hours of a day you work on Excel]],tblHours,2,0)</f>
        <v>2</v>
      </c>
      <c r="P1392" s="8">
        <f>VLOOKUP(tblSalaries[[#This Row],[clean Country]],tblCountries[],5,0)</f>
        <v>1</v>
      </c>
      <c r="Q1392" s="8">
        <f>IF($Q$1,tblSalaries[[#This Row],[PPP Factor]]*tblSalaries[[#This Row],[Salary in USD]],tblSalaries[[#This Row],[Salary in USD]])</f>
        <v>81000</v>
      </c>
    </row>
    <row r="1393" spans="2:17" ht="15" customHeight="1" x14ac:dyDescent="0.25">
      <c r="B1393" t="s">
        <v>3396</v>
      </c>
      <c r="C1393" s="1">
        <v>41059.045439814814</v>
      </c>
      <c r="D1393" s="4">
        <v>45000</v>
      </c>
      <c r="E1393">
        <v>45000</v>
      </c>
      <c r="F1393" t="s">
        <v>6</v>
      </c>
      <c r="G1393">
        <f>tblSalaries[[#This Row],[clean Salary (in local currency)]]*VLOOKUP(tblSalaries[[#This Row],[Currency]],tblXrate[],2,FALSE)</f>
        <v>45000</v>
      </c>
      <c r="H1393" t="s">
        <v>1576</v>
      </c>
      <c r="I1393" t="s">
        <v>67</v>
      </c>
      <c r="J1393" t="s">
        <v>15</v>
      </c>
      <c r="K1393" t="str">
        <f>VLOOKUP(tblSalaries[[#This Row],[Where do you work]],tblCountries[[Actual]:[Mapping]],2,FALSE)</f>
        <v>USA</v>
      </c>
      <c r="L1393" t="s">
        <v>9</v>
      </c>
      <c r="M1393">
        <v>20</v>
      </c>
      <c r="N1393" s="8" t="str">
        <f>VLOOKUP(K1393,tblCountries[],3,0)</f>
        <v>North Amer.</v>
      </c>
      <c r="O1393" s="8">
        <f>VLOOKUP(tblSalaries[[#This Row],[How many hours of a day you work on Excel]],tblHours,2,0)</f>
        <v>4</v>
      </c>
      <c r="P1393" s="8">
        <f>VLOOKUP(tblSalaries[[#This Row],[clean Country]],tblCountries[],5,0)</f>
        <v>1</v>
      </c>
      <c r="Q1393" s="8">
        <f>IF($Q$1,tblSalaries[[#This Row],[PPP Factor]]*tblSalaries[[#This Row],[Salary in USD]],tblSalaries[[#This Row],[Salary in USD]])</f>
        <v>45000</v>
      </c>
    </row>
    <row r="1394" spans="2:17" ht="15" customHeight="1" x14ac:dyDescent="0.25">
      <c r="B1394" t="s">
        <v>3397</v>
      </c>
      <c r="C1394" s="1">
        <v>41059.050046296295</v>
      </c>
      <c r="D1394" s="4">
        <v>49000</v>
      </c>
      <c r="E1394">
        <v>49000</v>
      </c>
      <c r="F1394" t="s">
        <v>6</v>
      </c>
      <c r="G1394">
        <f>tblSalaries[[#This Row],[clean Salary (in local currency)]]*VLOOKUP(tblSalaries[[#This Row],[Currency]],tblXrate[],2,FALSE)</f>
        <v>49000</v>
      </c>
      <c r="H1394" t="s">
        <v>1577</v>
      </c>
      <c r="I1394" t="s">
        <v>67</v>
      </c>
      <c r="J1394" t="s">
        <v>15</v>
      </c>
      <c r="K1394" t="str">
        <f>VLOOKUP(tblSalaries[[#This Row],[Where do you work]],tblCountries[[Actual]:[Mapping]],2,FALSE)</f>
        <v>USA</v>
      </c>
      <c r="L1394" t="s">
        <v>9</v>
      </c>
      <c r="M1394">
        <v>5</v>
      </c>
      <c r="N1394" s="8" t="str">
        <f>VLOOKUP(K1394,tblCountries[],3,0)</f>
        <v>North Amer.</v>
      </c>
      <c r="O1394" s="8">
        <f>VLOOKUP(tblSalaries[[#This Row],[How many hours of a day you work on Excel]],tblHours,2,0)</f>
        <v>4</v>
      </c>
      <c r="P1394" s="8">
        <f>VLOOKUP(tblSalaries[[#This Row],[clean Country]],tblCountries[],5,0)</f>
        <v>1</v>
      </c>
      <c r="Q1394" s="8">
        <f>IF($Q$1,tblSalaries[[#This Row],[PPP Factor]]*tblSalaries[[#This Row],[Salary in USD]],tblSalaries[[#This Row],[Salary in USD]])</f>
        <v>49000</v>
      </c>
    </row>
    <row r="1395" spans="2:17" ht="15" customHeight="1" x14ac:dyDescent="0.25">
      <c r="B1395" t="s">
        <v>3398</v>
      </c>
      <c r="C1395" s="1">
        <v>41059.050405092596</v>
      </c>
      <c r="D1395" s="4" t="s">
        <v>1578</v>
      </c>
      <c r="E1395">
        <v>750000</v>
      </c>
      <c r="F1395" t="s">
        <v>40</v>
      </c>
      <c r="G1395">
        <f>tblSalaries[[#This Row],[clean Salary (in local currency)]]*VLOOKUP(tblSalaries[[#This Row],[Currency]],tblXrate[],2,FALSE)</f>
        <v>13355.937515581925</v>
      </c>
      <c r="H1395" t="s">
        <v>1579</v>
      </c>
      <c r="I1395" t="s">
        <v>4001</v>
      </c>
      <c r="J1395" t="s">
        <v>8</v>
      </c>
      <c r="K1395" t="str">
        <f>VLOOKUP(tblSalaries[[#This Row],[Where do you work]],tblCountries[[Actual]:[Mapping]],2,FALSE)</f>
        <v>India</v>
      </c>
      <c r="L1395" t="s">
        <v>25</v>
      </c>
      <c r="M1395">
        <v>1</v>
      </c>
      <c r="N1395" s="8" t="str">
        <f>VLOOKUP(K1395,tblCountries[],3,0)</f>
        <v>Asia</v>
      </c>
      <c r="O1395" s="8">
        <f>VLOOKUP(tblSalaries[[#This Row],[How many hours of a day you work on Excel]],tblHours,2,0)</f>
        <v>2</v>
      </c>
      <c r="P1395" s="8">
        <f>VLOOKUP(tblSalaries[[#This Row],[clean Country]],tblCountries[],5,0)</f>
        <v>13.098808879263672</v>
      </c>
      <c r="Q1395" s="8">
        <f>IF($Q$1,tblSalaries[[#This Row],[PPP Factor]]*tblSalaries[[#This Row],[Salary in USD]],tblSalaries[[#This Row],[Salary in USD]])</f>
        <v>13355.937515581925</v>
      </c>
    </row>
    <row r="1396" spans="2:17" ht="15" customHeight="1" x14ac:dyDescent="0.25">
      <c r="B1396" t="s">
        <v>3399</v>
      </c>
      <c r="C1396" s="1">
        <v>41059.052453703705</v>
      </c>
      <c r="D1396" s="4">
        <v>72000</v>
      </c>
      <c r="E1396">
        <v>72000</v>
      </c>
      <c r="F1396" t="s">
        <v>6</v>
      </c>
      <c r="G1396">
        <f>tblSalaries[[#This Row],[clean Salary (in local currency)]]*VLOOKUP(tblSalaries[[#This Row],[Currency]],tblXrate[],2,FALSE)</f>
        <v>72000</v>
      </c>
      <c r="H1396" t="s">
        <v>52</v>
      </c>
      <c r="I1396" t="s">
        <v>52</v>
      </c>
      <c r="J1396" t="s">
        <v>15</v>
      </c>
      <c r="K1396" t="str">
        <f>VLOOKUP(tblSalaries[[#This Row],[Where do you work]],tblCountries[[Actual]:[Mapping]],2,FALSE)</f>
        <v>USA</v>
      </c>
      <c r="L1396" t="s">
        <v>25</v>
      </c>
      <c r="M1396">
        <v>20</v>
      </c>
      <c r="N1396" s="8" t="str">
        <f>VLOOKUP(K1396,tblCountries[],3,0)</f>
        <v>North Amer.</v>
      </c>
      <c r="O1396" s="8">
        <f>VLOOKUP(tblSalaries[[#This Row],[How many hours of a day you work on Excel]],tblHours,2,0)</f>
        <v>2</v>
      </c>
      <c r="P1396" s="8">
        <f>VLOOKUP(tblSalaries[[#This Row],[clean Country]],tblCountries[],5,0)</f>
        <v>1</v>
      </c>
      <c r="Q1396" s="8">
        <f>IF($Q$1,tblSalaries[[#This Row],[PPP Factor]]*tblSalaries[[#This Row],[Salary in USD]],tblSalaries[[#This Row],[Salary in USD]])</f>
        <v>72000</v>
      </c>
    </row>
    <row r="1397" spans="2:17" ht="15" customHeight="1" x14ac:dyDescent="0.25">
      <c r="B1397" t="s">
        <v>3400</v>
      </c>
      <c r="C1397" s="1">
        <v>41059.059224537035</v>
      </c>
      <c r="D1397" s="4">
        <v>50000</v>
      </c>
      <c r="E1397">
        <v>50000</v>
      </c>
      <c r="F1397" t="s">
        <v>6</v>
      </c>
      <c r="G1397">
        <f>tblSalaries[[#This Row],[clean Salary (in local currency)]]*VLOOKUP(tblSalaries[[#This Row],[Currency]],tblXrate[],2,FALSE)</f>
        <v>50000</v>
      </c>
      <c r="H1397" t="s">
        <v>1580</v>
      </c>
      <c r="I1397" t="s">
        <v>20</v>
      </c>
      <c r="J1397" t="s">
        <v>15</v>
      </c>
      <c r="K1397" t="str">
        <f>VLOOKUP(tblSalaries[[#This Row],[Where do you work]],tblCountries[[Actual]:[Mapping]],2,FALSE)</f>
        <v>USA</v>
      </c>
      <c r="L1397" t="s">
        <v>9</v>
      </c>
      <c r="M1397">
        <v>7</v>
      </c>
      <c r="N1397" s="8" t="str">
        <f>VLOOKUP(K1397,tblCountries[],3,0)</f>
        <v>North Amer.</v>
      </c>
      <c r="O1397" s="8">
        <f>VLOOKUP(tblSalaries[[#This Row],[How many hours of a day you work on Excel]],tblHours,2,0)</f>
        <v>4</v>
      </c>
      <c r="P1397" s="8">
        <f>VLOOKUP(tblSalaries[[#This Row],[clean Country]],tblCountries[],5,0)</f>
        <v>1</v>
      </c>
      <c r="Q1397" s="8">
        <f>IF($Q$1,tblSalaries[[#This Row],[PPP Factor]]*tblSalaries[[#This Row],[Salary in USD]],tblSalaries[[#This Row],[Salary in USD]])</f>
        <v>50000</v>
      </c>
    </row>
    <row r="1398" spans="2:17" ht="15" customHeight="1" x14ac:dyDescent="0.25">
      <c r="B1398" t="s">
        <v>3401</v>
      </c>
      <c r="C1398" s="1">
        <v>41059.059328703705</v>
      </c>
      <c r="D1398" s="4">
        <v>57678.400000000001</v>
      </c>
      <c r="E1398">
        <v>57678</v>
      </c>
      <c r="F1398" t="s">
        <v>6</v>
      </c>
      <c r="G1398">
        <f>tblSalaries[[#This Row],[clean Salary (in local currency)]]*VLOOKUP(tblSalaries[[#This Row],[Currency]],tblXrate[],2,FALSE)</f>
        <v>57678</v>
      </c>
      <c r="H1398" t="s">
        <v>14</v>
      </c>
      <c r="I1398" t="s">
        <v>20</v>
      </c>
      <c r="J1398" t="s">
        <v>15</v>
      </c>
      <c r="K1398" t="str">
        <f>VLOOKUP(tblSalaries[[#This Row],[Where do you work]],tblCountries[[Actual]:[Mapping]],2,FALSE)</f>
        <v>USA</v>
      </c>
      <c r="L1398" t="s">
        <v>9</v>
      </c>
      <c r="M1398">
        <v>2</v>
      </c>
      <c r="N1398" s="8" t="str">
        <f>VLOOKUP(K1398,tblCountries[],3,0)</f>
        <v>North Amer.</v>
      </c>
      <c r="O1398" s="8">
        <f>VLOOKUP(tblSalaries[[#This Row],[How many hours of a day you work on Excel]],tblHours,2,0)</f>
        <v>4</v>
      </c>
      <c r="P1398" s="8">
        <f>VLOOKUP(tblSalaries[[#This Row],[clean Country]],tblCountries[],5,0)</f>
        <v>1</v>
      </c>
      <c r="Q1398" s="8">
        <f>IF($Q$1,tblSalaries[[#This Row],[PPP Factor]]*tblSalaries[[#This Row],[Salary in USD]],tblSalaries[[#This Row],[Salary in USD]])</f>
        <v>57678</v>
      </c>
    </row>
    <row r="1399" spans="2:17" ht="15" customHeight="1" x14ac:dyDescent="0.25">
      <c r="B1399" t="s">
        <v>3402</v>
      </c>
      <c r="C1399" s="1">
        <v>41059.062395833331</v>
      </c>
      <c r="D1399" s="4">
        <v>80442</v>
      </c>
      <c r="E1399">
        <v>80442</v>
      </c>
      <c r="F1399" t="s">
        <v>6</v>
      </c>
      <c r="G1399">
        <f>tblSalaries[[#This Row],[clean Salary (in local currency)]]*VLOOKUP(tblSalaries[[#This Row],[Currency]],tblXrate[],2,FALSE)</f>
        <v>80442</v>
      </c>
      <c r="H1399" t="s">
        <v>1581</v>
      </c>
      <c r="I1399" t="s">
        <v>20</v>
      </c>
      <c r="J1399" t="s">
        <v>15</v>
      </c>
      <c r="K1399" t="str">
        <f>VLOOKUP(tblSalaries[[#This Row],[Where do you work]],tblCountries[[Actual]:[Mapping]],2,FALSE)</f>
        <v>USA</v>
      </c>
      <c r="L1399" t="s">
        <v>9</v>
      </c>
      <c r="M1399">
        <v>16</v>
      </c>
      <c r="N1399" s="8" t="str">
        <f>VLOOKUP(K1399,tblCountries[],3,0)</f>
        <v>North Amer.</v>
      </c>
      <c r="O1399" s="8">
        <f>VLOOKUP(tblSalaries[[#This Row],[How many hours of a day you work on Excel]],tblHours,2,0)</f>
        <v>4</v>
      </c>
      <c r="P1399" s="8">
        <f>VLOOKUP(tblSalaries[[#This Row],[clean Country]],tblCountries[],5,0)</f>
        <v>1</v>
      </c>
      <c r="Q1399" s="8">
        <f>IF($Q$1,tblSalaries[[#This Row],[PPP Factor]]*tblSalaries[[#This Row],[Salary in USD]],tblSalaries[[#This Row],[Salary in USD]])</f>
        <v>80442</v>
      </c>
    </row>
    <row r="1400" spans="2:17" ht="15" customHeight="1" x14ac:dyDescent="0.25">
      <c r="B1400" t="s">
        <v>3403</v>
      </c>
      <c r="C1400" s="1">
        <v>41059.075208333335</v>
      </c>
      <c r="D1400" s="4">
        <v>75000</v>
      </c>
      <c r="E1400">
        <v>75000</v>
      </c>
      <c r="F1400" t="s">
        <v>6</v>
      </c>
      <c r="G1400">
        <f>tblSalaries[[#This Row],[clean Salary (in local currency)]]*VLOOKUP(tblSalaries[[#This Row],[Currency]],tblXrate[],2,FALSE)</f>
        <v>75000</v>
      </c>
      <c r="H1400" t="s">
        <v>1582</v>
      </c>
      <c r="I1400" t="s">
        <v>52</v>
      </c>
      <c r="J1400" t="s">
        <v>15</v>
      </c>
      <c r="K1400" t="str">
        <f>VLOOKUP(tblSalaries[[#This Row],[Where do you work]],tblCountries[[Actual]:[Mapping]],2,FALSE)</f>
        <v>USA</v>
      </c>
      <c r="L1400" t="s">
        <v>25</v>
      </c>
      <c r="M1400">
        <v>9</v>
      </c>
      <c r="N1400" s="8" t="str">
        <f>VLOOKUP(K1400,tblCountries[],3,0)</f>
        <v>North Amer.</v>
      </c>
      <c r="O1400" s="8">
        <f>VLOOKUP(tblSalaries[[#This Row],[How many hours of a day you work on Excel]],tblHours,2,0)</f>
        <v>2</v>
      </c>
      <c r="P1400" s="8">
        <f>VLOOKUP(tblSalaries[[#This Row],[clean Country]],tblCountries[],5,0)</f>
        <v>1</v>
      </c>
      <c r="Q1400" s="8">
        <f>IF($Q$1,tblSalaries[[#This Row],[PPP Factor]]*tblSalaries[[#This Row],[Salary in USD]],tblSalaries[[#This Row],[Salary in USD]])</f>
        <v>75000</v>
      </c>
    </row>
    <row r="1401" spans="2:17" ht="15" customHeight="1" x14ac:dyDescent="0.25">
      <c r="B1401" t="s">
        <v>3404</v>
      </c>
      <c r="C1401" s="1">
        <v>41059.078159722223</v>
      </c>
      <c r="D1401" s="4">
        <v>61000</v>
      </c>
      <c r="E1401">
        <v>61000</v>
      </c>
      <c r="F1401" t="s">
        <v>6</v>
      </c>
      <c r="G1401">
        <f>tblSalaries[[#This Row],[clean Salary (in local currency)]]*VLOOKUP(tblSalaries[[#This Row],[Currency]],tblXrate[],2,FALSE)</f>
        <v>61000</v>
      </c>
      <c r="H1401" t="s">
        <v>1583</v>
      </c>
      <c r="I1401" t="s">
        <v>20</v>
      </c>
      <c r="J1401" t="s">
        <v>15</v>
      </c>
      <c r="K1401" t="str">
        <f>VLOOKUP(tblSalaries[[#This Row],[Where do you work]],tblCountries[[Actual]:[Mapping]],2,FALSE)</f>
        <v>USA</v>
      </c>
      <c r="L1401" t="s">
        <v>9</v>
      </c>
      <c r="M1401">
        <v>12</v>
      </c>
      <c r="N1401" s="8" t="str">
        <f>VLOOKUP(K1401,tblCountries[],3,0)</f>
        <v>North Amer.</v>
      </c>
      <c r="O1401" s="8">
        <f>VLOOKUP(tblSalaries[[#This Row],[How many hours of a day you work on Excel]],tblHours,2,0)</f>
        <v>4</v>
      </c>
      <c r="P1401" s="8">
        <f>VLOOKUP(tblSalaries[[#This Row],[clean Country]],tblCountries[],5,0)</f>
        <v>1</v>
      </c>
      <c r="Q1401" s="8">
        <f>IF($Q$1,tblSalaries[[#This Row],[PPP Factor]]*tblSalaries[[#This Row],[Salary in USD]],tblSalaries[[#This Row],[Salary in USD]])</f>
        <v>61000</v>
      </c>
    </row>
    <row r="1402" spans="2:17" ht="15" customHeight="1" x14ac:dyDescent="0.25">
      <c r="B1402" t="s">
        <v>3405</v>
      </c>
      <c r="C1402" s="1">
        <v>41059.081921296296</v>
      </c>
      <c r="D1402" s="4">
        <v>77000</v>
      </c>
      <c r="E1402">
        <v>77000</v>
      </c>
      <c r="F1402" t="s">
        <v>6</v>
      </c>
      <c r="G1402">
        <f>tblSalaries[[#This Row],[clean Salary (in local currency)]]*VLOOKUP(tblSalaries[[#This Row],[Currency]],tblXrate[],2,FALSE)</f>
        <v>77000</v>
      </c>
      <c r="H1402" t="s">
        <v>1584</v>
      </c>
      <c r="I1402" t="s">
        <v>279</v>
      </c>
      <c r="J1402" t="s">
        <v>15</v>
      </c>
      <c r="K1402" t="str">
        <f>VLOOKUP(tblSalaries[[#This Row],[Where do you work]],tblCountries[[Actual]:[Mapping]],2,FALSE)</f>
        <v>USA</v>
      </c>
      <c r="L1402" t="s">
        <v>9</v>
      </c>
      <c r="M1402">
        <v>10</v>
      </c>
      <c r="N1402" s="8" t="str">
        <f>VLOOKUP(K1402,tblCountries[],3,0)</f>
        <v>North Amer.</v>
      </c>
      <c r="O1402" s="8">
        <f>VLOOKUP(tblSalaries[[#This Row],[How many hours of a day you work on Excel]],tblHours,2,0)</f>
        <v>4</v>
      </c>
      <c r="P1402" s="8">
        <f>VLOOKUP(tblSalaries[[#This Row],[clean Country]],tblCountries[],5,0)</f>
        <v>1</v>
      </c>
      <c r="Q1402" s="8">
        <f>IF($Q$1,tblSalaries[[#This Row],[PPP Factor]]*tblSalaries[[#This Row],[Salary in USD]],tblSalaries[[#This Row],[Salary in USD]])</f>
        <v>77000</v>
      </c>
    </row>
    <row r="1403" spans="2:17" ht="15" customHeight="1" x14ac:dyDescent="0.25">
      <c r="B1403" t="s">
        <v>3406</v>
      </c>
      <c r="C1403" s="1">
        <v>41059.095856481479</v>
      </c>
      <c r="D1403" s="4" t="s">
        <v>1585</v>
      </c>
      <c r="E1403">
        <v>92000</v>
      </c>
      <c r="F1403" t="s">
        <v>6</v>
      </c>
      <c r="G1403">
        <f>tblSalaries[[#This Row],[clean Salary (in local currency)]]*VLOOKUP(tblSalaries[[#This Row],[Currency]],tblXrate[],2,FALSE)</f>
        <v>92000</v>
      </c>
      <c r="H1403" t="s">
        <v>488</v>
      </c>
      <c r="I1403" t="s">
        <v>488</v>
      </c>
      <c r="J1403" t="s">
        <v>15</v>
      </c>
      <c r="K1403" t="str">
        <f>VLOOKUP(tblSalaries[[#This Row],[Where do you work]],tblCountries[[Actual]:[Mapping]],2,FALSE)</f>
        <v>USA</v>
      </c>
      <c r="L1403" t="s">
        <v>18</v>
      </c>
      <c r="M1403">
        <v>9</v>
      </c>
      <c r="N1403" s="8" t="str">
        <f>VLOOKUP(K1403,tblCountries[],3,0)</f>
        <v>North Amer.</v>
      </c>
      <c r="O1403" s="8">
        <f>VLOOKUP(tblSalaries[[#This Row],[How many hours of a day you work on Excel]],tblHours,2,0)</f>
        <v>3</v>
      </c>
      <c r="P1403" s="8">
        <f>VLOOKUP(tblSalaries[[#This Row],[clean Country]],tblCountries[],5,0)</f>
        <v>1</v>
      </c>
      <c r="Q1403" s="8">
        <f>IF($Q$1,tblSalaries[[#This Row],[PPP Factor]]*tblSalaries[[#This Row],[Salary in USD]],tblSalaries[[#This Row],[Salary in USD]])</f>
        <v>92000</v>
      </c>
    </row>
    <row r="1404" spans="2:17" ht="15" customHeight="1" x14ac:dyDescent="0.25">
      <c r="B1404" t="s">
        <v>3407</v>
      </c>
      <c r="C1404" s="1">
        <v>41059.096180555556</v>
      </c>
      <c r="D1404" s="4">
        <v>72000</v>
      </c>
      <c r="E1404">
        <v>72000</v>
      </c>
      <c r="F1404" t="s">
        <v>6</v>
      </c>
      <c r="G1404">
        <f>tblSalaries[[#This Row],[clean Salary (in local currency)]]*VLOOKUP(tblSalaries[[#This Row],[Currency]],tblXrate[],2,FALSE)</f>
        <v>72000</v>
      </c>
      <c r="H1404" t="s">
        <v>1586</v>
      </c>
      <c r="I1404" t="s">
        <v>20</v>
      </c>
      <c r="J1404" t="s">
        <v>15</v>
      </c>
      <c r="K1404" t="str">
        <f>VLOOKUP(tblSalaries[[#This Row],[Where do you work]],tblCountries[[Actual]:[Mapping]],2,FALSE)</f>
        <v>USA</v>
      </c>
      <c r="L1404" t="s">
        <v>13</v>
      </c>
      <c r="M1404">
        <v>10</v>
      </c>
      <c r="N1404" s="8" t="str">
        <f>VLOOKUP(K1404,tblCountries[],3,0)</f>
        <v>North Amer.</v>
      </c>
      <c r="O1404" s="8">
        <f>VLOOKUP(tblSalaries[[#This Row],[How many hours of a day you work on Excel]],tblHours,2,0)</f>
        <v>5</v>
      </c>
      <c r="P1404" s="8">
        <f>VLOOKUP(tblSalaries[[#This Row],[clean Country]],tblCountries[],5,0)</f>
        <v>1</v>
      </c>
      <c r="Q1404" s="8">
        <f>IF($Q$1,tblSalaries[[#This Row],[PPP Factor]]*tblSalaries[[#This Row],[Salary in USD]],tblSalaries[[#This Row],[Salary in USD]])</f>
        <v>72000</v>
      </c>
    </row>
    <row r="1405" spans="2:17" ht="15" customHeight="1" x14ac:dyDescent="0.25">
      <c r="B1405" t="s">
        <v>3408</v>
      </c>
      <c r="C1405" s="1">
        <v>41059.099062499998</v>
      </c>
      <c r="D1405" s="4">
        <v>14000</v>
      </c>
      <c r="E1405">
        <v>14000</v>
      </c>
      <c r="F1405" t="s">
        <v>6</v>
      </c>
      <c r="G1405">
        <f>tblSalaries[[#This Row],[clean Salary (in local currency)]]*VLOOKUP(tblSalaries[[#This Row],[Currency]],tblXrate[],2,FALSE)</f>
        <v>14000</v>
      </c>
      <c r="H1405" t="s">
        <v>356</v>
      </c>
      <c r="I1405" t="s">
        <v>356</v>
      </c>
      <c r="J1405" t="s">
        <v>8</v>
      </c>
      <c r="K1405" t="str">
        <f>VLOOKUP(tblSalaries[[#This Row],[Where do you work]],tblCountries[[Actual]:[Mapping]],2,FALSE)</f>
        <v>India</v>
      </c>
      <c r="L1405" t="s">
        <v>9</v>
      </c>
      <c r="M1405">
        <v>3</v>
      </c>
      <c r="N1405" s="8" t="str">
        <f>VLOOKUP(K1405,tblCountries[],3,0)</f>
        <v>Asia</v>
      </c>
      <c r="O1405" s="8">
        <f>VLOOKUP(tblSalaries[[#This Row],[How many hours of a day you work on Excel]],tblHours,2,0)</f>
        <v>4</v>
      </c>
      <c r="P1405" s="8">
        <f>VLOOKUP(tblSalaries[[#This Row],[clean Country]],tblCountries[],5,0)</f>
        <v>13.098808879263672</v>
      </c>
      <c r="Q1405" s="8">
        <f>IF($Q$1,tblSalaries[[#This Row],[PPP Factor]]*tblSalaries[[#This Row],[Salary in USD]],tblSalaries[[#This Row],[Salary in USD]])</f>
        <v>14000</v>
      </c>
    </row>
    <row r="1406" spans="2:17" ht="15" customHeight="1" x14ac:dyDescent="0.25">
      <c r="B1406" t="s">
        <v>3409</v>
      </c>
      <c r="C1406" s="1">
        <v>41059.099293981482</v>
      </c>
      <c r="D1406" s="4">
        <v>111000</v>
      </c>
      <c r="E1406">
        <v>111000</v>
      </c>
      <c r="F1406" t="s">
        <v>6</v>
      </c>
      <c r="G1406">
        <f>tblSalaries[[#This Row],[clean Salary (in local currency)]]*VLOOKUP(tblSalaries[[#This Row],[Currency]],tblXrate[],2,FALSE)</f>
        <v>111000</v>
      </c>
      <c r="H1406" t="s">
        <v>1587</v>
      </c>
      <c r="I1406" t="s">
        <v>52</v>
      </c>
      <c r="J1406" t="s">
        <v>15</v>
      </c>
      <c r="K1406" t="str">
        <f>VLOOKUP(tblSalaries[[#This Row],[Where do you work]],tblCountries[[Actual]:[Mapping]],2,FALSE)</f>
        <v>USA</v>
      </c>
      <c r="L1406" t="s">
        <v>18</v>
      </c>
      <c r="M1406">
        <v>10</v>
      </c>
      <c r="N1406" s="8" t="str">
        <f>VLOOKUP(K1406,tblCountries[],3,0)</f>
        <v>North Amer.</v>
      </c>
      <c r="O1406" s="8">
        <f>VLOOKUP(tblSalaries[[#This Row],[How many hours of a day you work on Excel]],tblHours,2,0)</f>
        <v>3</v>
      </c>
      <c r="P1406" s="8">
        <f>VLOOKUP(tblSalaries[[#This Row],[clean Country]],tblCountries[],5,0)</f>
        <v>1</v>
      </c>
      <c r="Q1406" s="8">
        <f>IF($Q$1,tblSalaries[[#This Row],[PPP Factor]]*tblSalaries[[#This Row],[Salary in USD]],tblSalaries[[#This Row],[Salary in USD]])</f>
        <v>111000</v>
      </c>
    </row>
    <row r="1407" spans="2:17" ht="15" customHeight="1" x14ac:dyDescent="0.25">
      <c r="B1407" t="s">
        <v>3410</v>
      </c>
      <c r="C1407" s="1">
        <v>41059.105752314812</v>
      </c>
      <c r="D1407" s="4">
        <v>80000</v>
      </c>
      <c r="E1407">
        <v>80000</v>
      </c>
      <c r="F1407" t="s">
        <v>6</v>
      </c>
      <c r="G1407">
        <f>tblSalaries[[#This Row],[clean Salary (in local currency)]]*VLOOKUP(tblSalaries[[#This Row],[Currency]],tblXrate[],2,FALSE)</f>
        <v>80000</v>
      </c>
      <c r="H1407" t="s">
        <v>1588</v>
      </c>
      <c r="I1407" t="s">
        <v>20</v>
      </c>
      <c r="J1407" t="s">
        <v>15</v>
      </c>
      <c r="K1407" t="str">
        <f>VLOOKUP(tblSalaries[[#This Row],[Where do you work]],tblCountries[[Actual]:[Mapping]],2,FALSE)</f>
        <v>USA</v>
      </c>
      <c r="L1407" t="s">
        <v>9</v>
      </c>
      <c r="M1407">
        <v>20</v>
      </c>
      <c r="N1407" s="8" t="str">
        <f>VLOOKUP(K1407,tblCountries[],3,0)</f>
        <v>North Amer.</v>
      </c>
      <c r="O1407" s="8">
        <f>VLOOKUP(tblSalaries[[#This Row],[How many hours of a day you work on Excel]],tblHours,2,0)</f>
        <v>4</v>
      </c>
      <c r="P1407" s="8">
        <f>VLOOKUP(tblSalaries[[#This Row],[clean Country]],tblCountries[],5,0)</f>
        <v>1</v>
      </c>
      <c r="Q1407" s="8">
        <f>IF($Q$1,tblSalaries[[#This Row],[PPP Factor]]*tblSalaries[[#This Row],[Salary in USD]],tblSalaries[[#This Row],[Salary in USD]])</f>
        <v>80000</v>
      </c>
    </row>
    <row r="1408" spans="2:17" ht="15" customHeight="1" x14ac:dyDescent="0.25">
      <c r="B1408" t="s">
        <v>3411</v>
      </c>
      <c r="C1408" s="1">
        <v>41059.108101851853</v>
      </c>
      <c r="D1408" s="4" t="s">
        <v>1589</v>
      </c>
      <c r="E1408">
        <v>3250000</v>
      </c>
      <c r="F1408" t="s">
        <v>40</v>
      </c>
      <c r="G1408">
        <f>tblSalaries[[#This Row],[clean Salary (in local currency)]]*VLOOKUP(tblSalaries[[#This Row],[Currency]],tblXrate[],2,FALSE)</f>
        <v>57875.729234188344</v>
      </c>
      <c r="H1408" t="s">
        <v>1590</v>
      </c>
      <c r="I1408" t="s">
        <v>20</v>
      </c>
      <c r="J1408" t="s">
        <v>8</v>
      </c>
      <c r="K1408" t="str">
        <f>VLOOKUP(tblSalaries[[#This Row],[Where do you work]],tblCountries[[Actual]:[Mapping]],2,FALSE)</f>
        <v>India</v>
      </c>
      <c r="L1408" t="s">
        <v>9</v>
      </c>
      <c r="M1408">
        <v>5.5</v>
      </c>
      <c r="N1408" s="8" t="str">
        <f>VLOOKUP(K1408,tblCountries[],3,0)</f>
        <v>Asia</v>
      </c>
      <c r="O1408" s="8">
        <f>VLOOKUP(tblSalaries[[#This Row],[How many hours of a day you work on Excel]],tblHours,2,0)</f>
        <v>4</v>
      </c>
      <c r="P1408" s="8">
        <f>VLOOKUP(tblSalaries[[#This Row],[clean Country]],tblCountries[],5,0)</f>
        <v>13.098808879263672</v>
      </c>
      <c r="Q1408" s="8">
        <f>IF($Q$1,tblSalaries[[#This Row],[PPP Factor]]*tblSalaries[[#This Row],[Salary in USD]],tblSalaries[[#This Row],[Salary in USD]])</f>
        <v>57875.729234188344</v>
      </c>
    </row>
    <row r="1409" spans="2:17" ht="15" customHeight="1" x14ac:dyDescent="0.25">
      <c r="B1409" t="s">
        <v>3412</v>
      </c>
      <c r="C1409" s="1">
        <v>41059.110995370371</v>
      </c>
      <c r="D1409" s="4">
        <v>25000</v>
      </c>
      <c r="E1409">
        <v>25000</v>
      </c>
      <c r="F1409" t="s">
        <v>6</v>
      </c>
      <c r="G1409">
        <f>tblSalaries[[#This Row],[clean Salary (in local currency)]]*VLOOKUP(tblSalaries[[#This Row],[Currency]],tblXrate[],2,FALSE)</f>
        <v>25000</v>
      </c>
      <c r="H1409" t="s">
        <v>310</v>
      </c>
      <c r="I1409" t="s">
        <v>310</v>
      </c>
      <c r="J1409" t="s">
        <v>8</v>
      </c>
      <c r="K1409" t="str">
        <f>VLOOKUP(tblSalaries[[#This Row],[Where do you work]],tblCountries[[Actual]:[Mapping]],2,FALSE)</f>
        <v>India</v>
      </c>
      <c r="L1409" t="s">
        <v>18</v>
      </c>
      <c r="M1409">
        <v>8</v>
      </c>
      <c r="N1409" s="8" t="str">
        <f>VLOOKUP(K1409,tblCountries[],3,0)</f>
        <v>Asia</v>
      </c>
      <c r="O1409" s="8">
        <f>VLOOKUP(tblSalaries[[#This Row],[How many hours of a day you work on Excel]],tblHours,2,0)</f>
        <v>3</v>
      </c>
      <c r="P1409" s="8">
        <f>VLOOKUP(tblSalaries[[#This Row],[clean Country]],tblCountries[],5,0)</f>
        <v>13.098808879263672</v>
      </c>
      <c r="Q1409" s="8">
        <f>IF($Q$1,tblSalaries[[#This Row],[PPP Factor]]*tblSalaries[[#This Row],[Salary in USD]],tblSalaries[[#This Row],[Salary in USD]])</f>
        <v>25000</v>
      </c>
    </row>
    <row r="1410" spans="2:17" ht="15" customHeight="1" x14ac:dyDescent="0.25">
      <c r="B1410" t="s">
        <v>3413</v>
      </c>
      <c r="C1410" s="1">
        <v>41059.139085648145</v>
      </c>
      <c r="D1410" s="4" t="s">
        <v>1591</v>
      </c>
      <c r="E1410">
        <v>24000</v>
      </c>
      <c r="F1410" t="s">
        <v>6</v>
      </c>
      <c r="G1410">
        <f>tblSalaries[[#This Row],[clean Salary (in local currency)]]*VLOOKUP(tblSalaries[[#This Row],[Currency]],tblXrate[],2,FALSE)</f>
        <v>24000</v>
      </c>
      <c r="H1410" t="s">
        <v>1592</v>
      </c>
      <c r="I1410" t="s">
        <v>488</v>
      </c>
      <c r="J1410" t="s">
        <v>15</v>
      </c>
      <c r="K1410" t="str">
        <f>VLOOKUP(tblSalaries[[#This Row],[Where do you work]],tblCountries[[Actual]:[Mapping]],2,FALSE)</f>
        <v>USA</v>
      </c>
      <c r="L1410" t="s">
        <v>25</v>
      </c>
      <c r="M1410">
        <v>2</v>
      </c>
      <c r="N1410" s="8" t="str">
        <f>VLOOKUP(K1410,tblCountries[],3,0)</f>
        <v>North Amer.</v>
      </c>
      <c r="O1410" s="8">
        <f>VLOOKUP(tblSalaries[[#This Row],[How many hours of a day you work on Excel]],tblHours,2,0)</f>
        <v>2</v>
      </c>
      <c r="P1410" s="8">
        <f>VLOOKUP(tblSalaries[[#This Row],[clean Country]],tblCountries[],5,0)</f>
        <v>1</v>
      </c>
      <c r="Q1410" s="8">
        <f>IF($Q$1,tblSalaries[[#This Row],[PPP Factor]]*tblSalaries[[#This Row],[Salary in USD]],tblSalaries[[#This Row],[Salary in USD]])</f>
        <v>24000</v>
      </c>
    </row>
    <row r="1411" spans="2:17" ht="15" customHeight="1" x14ac:dyDescent="0.25">
      <c r="B1411" t="s">
        <v>3414</v>
      </c>
      <c r="C1411" s="1">
        <v>41059.17627314815</v>
      </c>
      <c r="D1411" s="4">
        <v>61000</v>
      </c>
      <c r="E1411">
        <v>61000</v>
      </c>
      <c r="F1411" t="s">
        <v>6</v>
      </c>
      <c r="G1411">
        <f>tblSalaries[[#This Row],[clean Salary (in local currency)]]*VLOOKUP(tblSalaries[[#This Row],[Currency]],tblXrate[],2,FALSE)</f>
        <v>61000</v>
      </c>
      <c r="H1411" t="s">
        <v>1593</v>
      </c>
      <c r="I1411" t="s">
        <v>52</v>
      </c>
      <c r="J1411" t="s">
        <v>15</v>
      </c>
      <c r="K1411" t="str">
        <f>VLOOKUP(tblSalaries[[#This Row],[Where do you work]],tblCountries[[Actual]:[Mapping]],2,FALSE)</f>
        <v>USA</v>
      </c>
      <c r="L1411" t="s">
        <v>18</v>
      </c>
      <c r="M1411">
        <v>25</v>
      </c>
      <c r="N1411" s="8" t="str">
        <f>VLOOKUP(K1411,tblCountries[],3,0)</f>
        <v>North Amer.</v>
      </c>
      <c r="O1411" s="8">
        <f>VLOOKUP(tblSalaries[[#This Row],[How many hours of a day you work on Excel]],tblHours,2,0)</f>
        <v>3</v>
      </c>
      <c r="P1411" s="8">
        <f>VLOOKUP(tblSalaries[[#This Row],[clean Country]],tblCountries[],5,0)</f>
        <v>1</v>
      </c>
      <c r="Q1411" s="8">
        <f>IF($Q$1,tblSalaries[[#This Row],[PPP Factor]]*tblSalaries[[#This Row],[Salary in USD]],tblSalaries[[#This Row],[Salary in USD]])</f>
        <v>61000</v>
      </c>
    </row>
    <row r="1412" spans="2:17" ht="15" customHeight="1" x14ac:dyDescent="0.25">
      <c r="B1412" t="s">
        <v>3415</v>
      </c>
      <c r="C1412" s="1">
        <v>41059.33699074074</v>
      </c>
      <c r="D1412" s="4" t="s">
        <v>1594</v>
      </c>
      <c r="E1412">
        <v>55000</v>
      </c>
      <c r="F1412" t="s">
        <v>82</v>
      </c>
      <c r="G1412">
        <f>tblSalaries[[#This Row],[clean Salary (in local currency)]]*VLOOKUP(tblSalaries[[#This Row],[Currency]],tblXrate[],2,FALSE)</f>
        <v>56095.031102144967</v>
      </c>
      <c r="H1412" t="s">
        <v>1595</v>
      </c>
      <c r="I1412" t="s">
        <v>20</v>
      </c>
      <c r="J1412" t="s">
        <v>84</v>
      </c>
      <c r="K1412" t="str">
        <f>VLOOKUP(tblSalaries[[#This Row],[Where do you work]],tblCountries[[Actual]:[Mapping]],2,FALSE)</f>
        <v>Australia</v>
      </c>
      <c r="L1412" t="s">
        <v>18</v>
      </c>
      <c r="M1412">
        <v>11</v>
      </c>
      <c r="N1412" s="8" t="str">
        <f>VLOOKUP(K1412,tblCountries[],3,0)</f>
        <v>Oceania</v>
      </c>
      <c r="O1412" s="8">
        <f>VLOOKUP(tblSalaries[[#This Row],[How many hours of a day you work on Excel]],tblHours,2,0)</f>
        <v>3</v>
      </c>
      <c r="P1412" s="8">
        <f>VLOOKUP(tblSalaries[[#This Row],[clean Country]],tblCountries[],5,0)</f>
        <v>1.2026395585822935</v>
      </c>
      <c r="Q1412" s="8">
        <f>IF($Q$1,tblSalaries[[#This Row],[PPP Factor]]*tblSalaries[[#This Row],[Salary in USD]],tblSalaries[[#This Row],[Salary in USD]])</f>
        <v>56095.031102144967</v>
      </c>
    </row>
    <row r="1413" spans="2:17" ht="15" customHeight="1" x14ac:dyDescent="0.25">
      <c r="B1413" t="s">
        <v>3416</v>
      </c>
      <c r="C1413" s="1">
        <v>41059.404178240744</v>
      </c>
      <c r="D1413" s="4">
        <v>70000</v>
      </c>
      <c r="E1413">
        <v>70000</v>
      </c>
      <c r="F1413" t="s">
        <v>82</v>
      </c>
      <c r="G1413">
        <f>tblSalaries[[#This Row],[clean Salary (in local currency)]]*VLOOKUP(tblSalaries[[#This Row],[Currency]],tblXrate[],2,FALSE)</f>
        <v>71393.675948184507</v>
      </c>
      <c r="H1413" t="s">
        <v>1287</v>
      </c>
      <c r="I1413" t="s">
        <v>310</v>
      </c>
      <c r="J1413" t="s">
        <v>84</v>
      </c>
      <c r="K1413" t="str">
        <f>VLOOKUP(tblSalaries[[#This Row],[Where do you work]],tblCountries[[Actual]:[Mapping]],2,FALSE)</f>
        <v>Australia</v>
      </c>
      <c r="L1413" t="s">
        <v>18</v>
      </c>
      <c r="M1413">
        <v>5</v>
      </c>
      <c r="N1413" s="8" t="str">
        <f>VLOOKUP(K1413,tblCountries[],3,0)</f>
        <v>Oceania</v>
      </c>
      <c r="O1413" s="8">
        <f>VLOOKUP(tblSalaries[[#This Row],[How many hours of a day you work on Excel]],tblHours,2,0)</f>
        <v>3</v>
      </c>
      <c r="P1413" s="8">
        <f>VLOOKUP(tblSalaries[[#This Row],[clean Country]],tblCountries[],5,0)</f>
        <v>1.2026395585822935</v>
      </c>
      <c r="Q1413" s="8">
        <f>IF($Q$1,tblSalaries[[#This Row],[PPP Factor]]*tblSalaries[[#This Row],[Salary in USD]],tblSalaries[[#This Row],[Salary in USD]])</f>
        <v>71393.675948184507</v>
      </c>
    </row>
    <row r="1414" spans="2:17" ht="15" customHeight="1" x14ac:dyDescent="0.25">
      <c r="B1414" t="s">
        <v>3417</v>
      </c>
      <c r="C1414" s="1">
        <v>41059.424525462964</v>
      </c>
      <c r="D1414" s="4">
        <v>96230</v>
      </c>
      <c r="E1414">
        <v>96230</v>
      </c>
      <c r="F1414" t="s">
        <v>6</v>
      </c>
      <c r="G1414">
        <f>tblSalaries[[#This Row],[clean Salary (in local currency)]]*VLOOKUP(tblSalaries[[#This Row],[Currency]],tblXrate[],2,FALSE)</f>
        <v>96230</v>
      </c>
      <c r="H1414" t="s">
        <v>1596</v>
      </c>
      <c r="I1414" t="s">
        <v>52</v>
      </c>
      <c r="J1414" t="s">
        <v>15</v>
      </c>
      <c r="K1414" t="str">
        <f>VLOOKUP(tblSalaries[[#This Row],[Where do you work]],tblCountries[[Actual]:[Mapping]],2,FALSE)</f>
        <v>USA</v>
      </c>
      <c r="L1414" t="s">
        <v>9</v>
      </c>
      <c r="M1414">
        <v>18</v>
      </c>
      <c r="N1414" s="8" t="str">
        <f>VLOOKUP(K1414,tblCountries[],3,0)</f>
        <v>North Amer.</v>
      </c>
      <c r="O1414" s="8">
        <f>VLOOKUP(tblSalaries[[#This Row],[How many hours of a day you work on Excel]],tblHours,2,0)</f>
        <v>4</v>
      </c>
      <c r="P1414" s="8">
        <f>VLOOKUP(tblSalaries[[#This Row],[clean Country]],tblCountries[],5,0)</f>
        <v>1</v>
      </c>
      <c r="Q1414" s="8">
        <f>IF($Q$1,tblSalaries[[#This Row],[PPP Factor]]*tblSalaries[[#This Row],[Salary in USD]],tblSalaries[[#This Row],[Salary in USD]])</f>
        <v>96230</v>
      </c>
    </row>
    <row r="1415" spans="2:17" ht="15" customHeight="1" x14ac:dyDescent="0.25">
      <c r="B1415" t="s">
        <v>3418</v>
      </c>
      <c r="C1415" s="1">
        <v>41059.444722222222</v>
      </c>
      <c r="D1415" s="4">
        <v>75000</v>
      </c>
      <c r="E1415">
        <v>75000</v>
      </c>
      <c r="F1415" t="s">
        <v>6</v>
      </c>
      <c r="G1415">
        <f>tblSalaries[[#This Row],[clean Salary (in local currency)]]*VLOOKUP(tblSalaries[[#This Row],[Currency]],tblXrate[],2,FALSE)</f>
        <v>75000</v>
      </c>
      <c r="H1415" t="s">
        <v>207</v>
      </c>
      <c r="I1415" t="s">
        <v>20</v>
      </c>
      <c r="J1415" t="s">
        <v>15</v>
      </c>
      <c r="K1415" t="str">
        <f>VLOOKUP(tblSalaries[[#This Row],[Where do you work]],tblCountries[[Actual]:[Mapping]],2,FALSE)</f>
        <v>USA</v>
      </c>
      <c r="L1415" t="s">
        <v>18</v>
      </c>
      <c r="M1415">
        <v>1.5</v>
      </c>
      <c r="N1415" s="8" t="str">
        <f>VLOOKUP(K1415,tblCountries[],3,0)</f>
        <v>North Amer.</v>
      </c>
      <c r="O1415" s="8">
        <f>VLOOKUP(tblSalaries[[#This Row],[How many hours of a day you work on Excel]],tblHours,2,0)</f>
        <v>3</v>
      </c>
      <c r="P1415" s="8">
        <f>VLOOKUP(tblSalaries[[#This Row],[clean Country]],tblCountries[],5,0)</f>
        <v>1</v>
      </c>
      <c r="Q1415" s="8">
        <f>IF($Q$1,tblSalaries[[#This Row],[PPP Factor]]*tblSalaries[[#This Row],[Salary in USD]],tblSalaries[[#This Row],[Salary in USD]])</f>
        <v>75000</v>
      </c>
    </row>
    <row r="1416" spans="2:17" ht="15" customHeight="1" x14ac:dyDescent="0.25">
      <c r="B1416" t="s">
        <v>3419</v>
      </c>
      <c r="C1416" s="1">
        <v>41059.456689814811</v>
      </c>
      <c r="D1416" s="4">
        <v>8500</v>
      </c>
      <c r="E1416">
        <v>102000</v>
      </c>
      <c r="F1416" t="s">
        <v>6</v>
      </c>
      <c r="G1416">
        <f>tblSalaries[[#This Row],[clean Salary (in local currency)]]*VLOOKUP(tblSalaries[[#This Row],[Currency]],tblXrate[],2,FALSE)</f>
        <v>102000</v>
      </c>
      <c r="H1416" t="s">
        <v>108</v>
      </c>
      <c r="I1416" t="s">
        <v>20</v>
      </c>
      <c r="J1416" t="s">
        <v>15</v>
      </c>
      <c r="K1416" t="str">
        <f>VLOOKUP(tblSalaries[[#This Row],[Where do you work]],tblCountries[[Actual]:[Mapping]],2,FALSE)</f>
        <v>USA</v>
      </c>
      <c r="L1416" t="s">
        <v>9</v>
      </c>
      <c r="M1416">
        <v>5</v>
      </c>
      <c r="N1416" s="8" t="str">
        <f>VLOOKUP(K1416,tblCountries[],3,0)</f>
        <v>North Amer.</v>
      </c>
      <c r="O1416" s="8">
        <f>VLOOKUP(tblSalaries[[#This Row],[How many hours of a day you work on Excel]],tblHours,2,0)</f>
        <v>4</v>
      </c>
      <c r="P1416" s="8">
        <f>VLOOKUP(tblSalaries[[#This Row],[clean Country]],tblCountries[],5,0)</f>
        <v>1</v>
      </c>
      <c r="Q1416" s="8">
        <f>IF($Q$1,tblSalaries[[#This Row],[PPP Factor]]*tblSalaries[[#This Row],[Salary in USD]],tblSalaries[[#This Row],[Salary in USD]])</f>
        <v>102000</v>
      </c>
    </row>
    <row r="1417" spans="2:17" ht="15" customHeight="1" x14ac:dyDescent="0.25">
      <c r="B1417" t="s">
        <v>3420</v>
      </c>
      <c r="C1417" s="1">
        <v>41059.472604166665</v>
      </c>
      <c r="D1417" s="4" t="s">
        <v>1597</v>
      </c>
      <c r="E1417">
        <v>60000</v>
      </c>
      <c r="F1417" t="s">
        <v>3939</v>
      </c>
      <c r="G1417">
        <f>tblSalaries[[#This Row],[clean Salary (in local currency)]]*VLOOKUP(tblSalaries[[#This Row],[Currency]],tblXrate[],2,FALSE)</f>
        <v>19008.034062397041</v>
      </c>
      <c r="H1417" t="s">
        <v>1598</v>
      </c>
      <c r="I1417" t="s">
        <v>52</v>
      </c>
      <c r="J1417" t="s">
        <v>1131</v>
      </c>
      <c r="K1417" t="str">
        <f>VLOOKUP(tblSalaries[[#This Row],[Where do you work]],tblCountries[[Actual]:[Mapping]],2,FALSE)</f>
        <v>Malaysia</v>
      </c>
      <c r="L1417" t="s">
        <v>9</v>
      </c>
      <c r="M1417">
        <v>3</v>
      </c>
      <c r="N1417" s="8" t="str">
        <f>VLOOKUP(K1417,tblCountries[],3,0)</f>
        <v>Asia</v>
      </c>
      <c r="O1417" s="8">
        <f>VLOOKUP(tblSalaries[[#This Row],[How many hours of a day you work on Excel]],tblHours,2,0)</f>
        <v>4</v>
      </c>
      <c r="P1417" s="8">
        <f>VLOOKUP(tblSalaries[[#This Row],[clean Country]],tblCountries[],5,0)</f>
        <v>3.1081063720452211</v>
      </c>
      <c r="Q1417" s="8">
        <f>IF($Q$1,tblSalaries[[#This Row],[PPP Factor]]*tblSalaries[[#This Row],[Salary in USD]],tblSalaries[[#This Row],[Salary in USD]])</f>
        <v>19008.034062397041</v>
      </c>
    </row>
    <row r="1418" spans="2:17" ht="15" customHeight="1" x14ac:dyDescent="0.25">
      <c r="B1418" t="s">
        <v>3421</v>
      </c>
      <c r="C1418" s="1">
        <v>41059.485335648147</v>
      </c>
      <c r="D1418" s="4">
        <v>363</v>
      </c>
      <c r="E1418">
        <v>4356</v>
      </c>
      <c r="F1418" t="s">
        <v>6</v>
      </c>
      <c r="G1418">
        <f>tblSalaries[[#This Row],[clean Salary (in local currency)]]*VLOOKUP(tblSalaries[[#This Row],[Currency]],tblXrate[],2,FALSE)</f>
        <v>4356</v>
      </c>
      <c r="H1418" t="s">
        <v>207</v>
      </c>
      <c r="I1418" t="s">
        <v>20</v>
      </c>
      <c r="J1418" t="s">
        <v>8</v>
      </c>
      <c r="K1418" t="str">
        <f>VLOOKUP(tblSalaries[[#This Row],[Where do you work]],tblCountries[[Actual]:[Mapping]],2,FALSE)</f>
        <v>India</v>
      </c>
      <c r="L1418" t="s">
        <v>9</v>
      </c>
      <c r="M1418">
        <v>5</v>
      </c>
      <c r="N1418" s="8" t="str">
        <f>VLOOKUP(K1418,tblCountries[],3,0)</f>
        <v>Asia</v>
      </c>
      <c r="O1418" s="8">
        <f>VLOOKUP(tblSalaries[[#This Row],[How many hours of a day you work on Excel]],tblHours,2,0)</f>
        <v>4</v>
      </c>
      <c r="P1418" s="8">
        <f>VLOOKUP(tblSalaries[[#This Row],[clean Country]],tblCountries[],5,0)</f>
        <v>13.098808879263672</v>
      </c>
      <c r="Q1418" s="8">
        <f>IF($Q$1,tblSalaries[[#This Row],[PPP Factor]]*tblSalaries[[#This Row],[Salary in USD]],tblSalaries[[#This Row],[Salary in USD]])</f>
        <v>4356</v>
      </c>
    </row>
    <row r="1419" spans="2:17" ht="15" customHeight="1" x14ac:dyDescent="0.25">
      <c r="B1419" t="s">
        <v>3422</v>
      </c>
      <c r="C1419" s="1">
        <v>41059.48877314815</v>
      </c>
      <c r="D1419" s="4">
        <v>300000</v>
      </c>
      <c r="E1419">
        <v>300000</v>
      </c>
      <c r="F1419" t="s">
        <v>40</v>
      </c>
      <c r="G1419">
        <f>tblSalaries[[#This Row],[clean Salary (in local currency)]]*VLOOKUP(tblSalaries[[#This Row],[Currency]],tblXrate[],2,FALSE)</f>
        <v>5342.3750062327708</v>
      </c>
      <c r="H1419" t="s">
        <v>932</v>
      </c>
      <c r="I1419" t="s">
        <v>310</v>
      </c>
      <c r="J1419" t="s">
        <v>8</v>
      </c>
      <c r="K1419" t="str">
        <f>VLOOKUP(tblSalaries[[#This Row],[Where do you work]],tblCountries[[Actual]:[Mapping]],2,FALSE)</f>
        <v>India</v>
      </c>
      <c r="L1419" t="s">
        <v>9</v>
      </c>
      <c r="M1419">
        <v>4</v>
      </c>
      <c r="N1419" s="8" t="str">
        <f>VLOOKUP(K1419,tblCountries[],3,0)</f>
        <v>Asia</v>
      </c>
      <c r="O1419" s="8">
        <f>VLOOKUP(tblSalaries[[#This Row],[How many hours of a day you work on Excel]],tblHours,2,0)</f>
        <v>4</v>
      </c>
      <c r="P1419" s="8">
        <f>VLOOKUP(tblSalaries[[#This Row],[clean Country]],tblCountries[],5,0)</f>
        <v>13.098808879263672</v>
      </c>
      <c r="Q1419" s="8">
        <f>IF($Q$1,tblSalaries[[#This Row],[PPP Factor]]*tblSalaries[[#This Row],[Salary in USD]],tblSalaries[[#This Row],[Salary in USD]])</f>
        <v>5342.3750062327708</v>
      </c>
    </row>
    <row r="1420" spans="2:17" ht="15" customHeight="1" x14ac:dyDescent="0.25">
      <c r="B1420" t="s">
        <v>3423</v>
      </c>
      <c r="C1420" s="1">
        <v>41059.508773148147</v>
      </c>
      <c r="D1420" s="4">
        <v>67000</v>
      </c>
      <c r="E1420">
        <v>67000</v>
      </c>
      <c r="F1420" t="s">
        <v>6</v>
      </c>
      <c r="G1420">
        <f>tblSalaries[[#This Row],[clean Salary (in local currency)]]*VLOOKUP(tblSalaries[[#This Row],[Currency]],tblXrate[],2,FALSE)</f>
        <v>67000</v>
      </c>
      <c r="H1420" t="s">
        <v>1599</v>
      </c>
      <c r="I1420" t="s">
        <v>52</v>
      </c>
      <c r="J1420" t="s">
        <v>15</v>
      </c>
      <c r="K1420" t="str">
        <f>VLOOKUP(tblSalaries[[#This Row],[Where do you work]],tblCountries[[Actual]:[Mapping]],2,FALSE)</f>
        <v>USA</v>
      </c>
      <c r="L1420" t="s">
        <v>18</v>
      </c>
      <c r="M1420">
        <v>20</v>
      </c>
      <c r="N1420" s="8" t="str">
        <f>VLOOKUP(K1420,tblCountries[],3,0)</f>
        <v>North Amer.</v>
      </c>
      <c r="O1420" s="8">
        <f>VLOOKUP(tblSalaries[[#This Row],[How many hours of a day you work on Excel]],tblHours,2,0)</f>
        <v>3</v>
      </c>
      <c r="P1420" s="8">
        <f>VLOOKUP(tblSalaries[[#This Row],[clean Country]],tblCountries[],5,0)</f>
        <v>1</v>
      </c>
      <c r="Q1420" s="8">
        <f>IF($Q$1,tblSalaries[[#This Row],[PPP Factor]]*tblSalaries[[#This Row],[Salary in USD]],tblSalaries[[#This Row],[Salary in USD]])</f>
        <v>67000</v>
      </c>
    </row>
    <row r="1421" spans="2:17" ht="15" customHeight="1" x14ac:dyDescent="0.25">
      <c r="B1421" t="s">
        <v>3424</v>
      </c>
      <c r="C1421" s="1">
        <v>41059.517627314817</v>
      </c>
      <c r="D1421" s="4">
        <v>480000</v>
      </c>
      <c r="E1421">
        <v>480000</v>
      </c>
      <c r="F1421" t="s">
        <v>40</v>
      </c>
      <c r="G1421">
        <f>tblSalaries[[#This Row],[clean Salary (in local currency)]]*VLOOKUP(tblSalaries[[#This Row],[Currency]],tblXrate[],2,FALSE)</f>
        <v>8547.8000099724322</v>
      </c>
      <c r="H1421" t="s">
        <v>1324</v>
      </c>
      <c r="I1421" t="s">
        <v>20</v>
      </c>
      <c r="J1421" t="s">
        <v>8</v>
      </c>
      <c r="K1421" t="str">
        <f>VLOOKUP(tblSalaries[[#This Row],[Where do you work]],tblCountries[[Actual]:[Mapping]],2,FALSE)</f>
        <v>India</v>
      </c>
      <c r="L1421" t="s">
        <v>9</v>
      </c>
      <c r="M1421">
        <v>7</v>
      </c>
      <c r="N1421" s="8" t="str">
        <f>VLOOKUP(K1421,tblCountries[],3,0)</f>
        <v>Asia</v>
      </c>
      <c r="O1421" s="8">
        <f>VLOOKUP(tblSalaries[[#This Row],[How many hours of a day you work on Excel]],tblHours,2,0)</f>
        <v>4</v>
      </c>
      <c r="P1421" s="8">
        <f>VLOOKUP(tblSalaries[[#This Row],[clean Country]],tblCountries[],5,0)</f>
        <v>13.098808879263672</v>
      </c>
      <c r="Q1421" s="8">
        <f>IF($Q$1,tblSalaries[[#This Row],[PPP Factor]]*tblSalaries[[#This Row],[Salary in USD]],tblSalaries[[#This Row],[Salary in USD]])</f>
        <v>8547.8000099724322</v>
      </c>
    </row>
    <row r="1422" spans="2:17" ht="15" customHeight="1" x14ac:dyDescent="0.25">
      <c r="B1422" t="s">
        <v>3425</v>
      </c>
      <c r="C1422" s="1">
        <v>41059.524398148147</v>
      </c>
      <c r="D1422" s="4" t="s">
        <v>1600</v>
      </c>
      <c r="E1422">
        <v>900000</v>
      </c>
      <c r="F1422" t="s">
        <v>40</v>
      </c>
      <c r="G1422">
        <f>tblSalaries[[#This Row],[clean Salary (in local currency)]]*VLOOKUP(tblSalaries[[#This Row],[Currency]],tblXrate[],2,FALSE)</f>
        <v>16027.125018698311</v>
      </c>
      <c r="H1422" t="s">
        <v>153</v>
      </c>
      <c r="I1422" t="s">
        <v>20</v>
      </c>
      <c r="J1422" t="s">
        <v>8</v>
      </c>
      <c r="K1422" t="str">
        <f>VLOOKUP(tblSalaries[[#This Row],[Where do you work]],tblCountries[[Actual]:[Mapping]],2,FALSE)</f>
        <v>India</v>
      </c>
      <c r="L1422" t="s">
        <v>9</v>
      </c>
      <c r="M1422">
        <v>4</v>
      </c>
      <c r="N1422" s="8" t="str">
        <f>VLOOKUP(K1422,tblCountries[],3,0)</f>
        <v>Asia</v>
      </c>
      <c r="O1422" s="8">
        <f>VLOOKUP(tblSalaries[[#This Row],[How many hours of a day you work on Excel]],tblHours,2,0)</f>
        <v>4</v>
      </c>
      <c r="P1422" s="8">
        <f>VLOOKUP(tblSalaries[[#This Row],[clean Country]],tblCountries[],5,0)</f>
        <v>13.098808879263672</v>
      </c>
      <c r="Q1422" s="8">
        <f>IF($Q$1,tblSalaries[[#This Row],[PPP Factor]]*tblSalaries[[#This Row],[Salary in USD]],tblSalaries[[#This Row],[Salary in USD]])</f>
        <v>16027.125018698311</v>
      </c>
    </row>
    <row r="1423" spans="2:17" ht="15" customHeight="1" x14ac:dyDescent="0.25">
      <c r="B1423" t="s">
        <v>3426</v>
      </c>
      <c r="C1423" s="1">
        <v>41059.5393287037</v>
      </c>
      <c r="D1423" s="4" t="s">
        <v>1601</v>
      </c>
      <c r="E1423">
        <v>600000</v>
      </c>
      <c r="F1423" t="s">
        <v>40</v>
      </c>
      <c r="G1423">
        <f>tblSalaries[[#This Row],[clean Salary (in local currency)]]*VLOOKUP(tblSalaries[[#This Row],[Currency]],tblXrate[],2,FALSE)</f>
        <v>10684.750012465542</v>
      </c>
      <c r="H1423" t="s">
        <v>83</v>
      </c>
      <c r="I1423" t="s">
        <v>356</v>
      </c>
      <c r="J1423" t="s">
        <v>8</v>
      </c>
      <c r="K1423" t="str">
        <f>VLOOKUP(tblSalaries[[#This Row],[Where do you work]],tblCountries[[Actual]:[Mapping]],2,FALSE)</f>
        <v>India</v>
      </c>
      <c r="L1423" t="s">
        <v>18</v>
      </c>
      <c r="M1423">
        <v>36</v>
      </c>
      <c r="N1423" s="8" t="str">
        <f>VLOOKUP(K1423,tblCountries[],3,0)</f>
        <v>Asia</v>
      </c>
      <c r="O1423" s="8">
        <f>VLOOKUP(tblSalaries[[#This Row],[How many hours of a day you work on Excel]],tblHours,2,0)</f>
        <v>3</v>
      </c>
      <c r="P1423" s="8">
        <f>VLOOKUP(tblSalaries[[#This Row],[clean Country]],tblCountries[],5,0)</f>
        <v>13.098808879263672</v>
      </c>
      <c r="Q1423" s="8">
        <f>IF($Q$1,tblSalaries[[#This Row],[PPP Factor]]*tblSalaries[[#This Row],[Salary in USD]],tblSalaries[[#This Row],[Salary in USD]])</f>
        <v>10684.750012465542</v>
      </c>
    </row>
    <row r="1424" spans="2:17" ht="15" customHeight="1" x14ac:dyDescent="0.25">
      <c r="B1424" t="s">
        <v>3427</v>
      </c>
      <c r="C1424" s="1">
        <v>41059.545972222222</v>
      </c>
      <c r="D1424" s="4">
        <v>30000</v>
      </c>
      <c r="E1424">
        <v>30000</v>
      </c>
      <c r="F1424" t="s">
        <v>6</v>
      </c>
      <c r="G1424">
        <f>tblSalaries[[#This Row],[clean Salary (in local currency)]]*VLOOKUP(tblSalaries[[#This Row],[Currency]],tblXrate[],2,FALSE)</f>
        <v>30000</v>
      </c>
      <c r="H1424" t="s">
        <v>1602</v>
      </c>
      <c r="I1424" t="s">
        <v>310</v>
      </c>
      <c r="J1424" t="s">
        <v>179</v>
      </c>
      <c r="K1424" t="str">
        <f>VLOOKUP(tblSalaries[[#This Row],[Where do you work]],tblCountries[[Actual]:[Mapping]],2,FALSE)</f>
        <v>UAE</v>
      </c>
      <c r="L1424" t="s">
        <v>9</v>
      </c>
      <c r="M1424">
        <v>8</v>
      </c>
      <c r="N1424" s="8" t="str">
        <f>VLOOKUP(K1424,tblCountries[],3,0)</f>
        <v>Asia</v>
      </c>
      <c r="O1424" s="8">
        <f>VLOOKUP(tblSalaries[[#This Row],[How many hours of a day you work on Excel]],tblHours,2,0)</f>
        <v>4</v>
      </c>
      <c r="P1424" s="8">
        <f>VLOOKUP(tblSalaries[[#This Row],[clean Country]],tblCountries[],5,0)</f>
        <v>1.0047551808629926</v>
      </c>
      <c r="Q1424" s="8">
        <f>IF($Q$1,tblSalaries[[#This Row],[PPP Factor]]*tblSalaries[[#This Row],[Salary in USD]],tblSalaries[[#This Row],[Salary in USD]])</f>
        <v>30000</v>
      </c>
    </row>
    <row r="1425" spans="2:17" ht="15" customHeight="1" x14ac:dyDescent="0.25">
      <c r="B1425" t="s">
        <v>3428</v>
      </c>
      <c r="C1425" s="1">
        <v>41059.556319444448</v>
      </c>
      <c r="D1425" s="4">
        <v>500000</v>
      </c>
      <c r="E1425">
        <v>500000</v>
      </c>
      <c r="F1425" t="s">
        <v>40</v>
      </c>
      <c r="G1425">
        <f>tblSalaries[[#This Row],[clean Salary (in local currency)]]*VLOOKUP(tblSalaries[[#This Row],[Currency]],tblXrate[],2,FALSE)</f>
        <v>8903.9583437212841</v>
      </c>
      <c r="H1425" t="s">
        <v>1603</v>
      </c>
      <c r="I1425" t="s">
        <v>52</v>
      </c>
      <c r="J1425" t="s">
        <v>8</v>
      </c>
      <c r="K1425" t="str">
        <f>VLOOKUP(tblSalaries[[#This Row],[Where do you work]],tblCountries[[Actual]:[Mapping]],2,FALSE)</f>
        <v>India</v>
      </c>
      <c r="L1425" t="s">
        <v>18</v>
      </c>
      <c r="M1425">
        <v>0</v>
      </c>
      <c r="N1425" s="8" t="str">
        <f>VLOOKUP(K1425,tblCountries[],3,0)</f>
        <v>Asia</v>
      </c>
      <c r="O1425" s="8">
        <f>VLOOKUP(tblSalaries[[#This Row],[How many hours of a day you work on Excel]],tblHours,2,0)</f>
        <v>3</v>
      </c>
      <c r="P1425" s="8">
        <f>VLOOKUP(tblSalaries[[#This Row],[clean Country]],tblCountries[],5,0)</f>
        <v>13.098808879263672</v>
      </c>
      <c r="Q1425" s="8">
        <f>IF($Q$1,tblSalaries[[#This Row],[PPP Factor]]*tblSalaries[[#This Row],[Salary in USD]],tblSalaries[[#This Row],[Salary in USD]])</f>
        <v>8903.9583437212841</v>
      </c>
    </row>
    <row r="1426" spans="2:17" ht="15" customHeight="1" x14ac:dyDescent="0.25">
      <c r="B1426" t="s">
        <v>3429</v>
      </c>
      <c r="C1426" s="1">
        <v>41059.559166666666</v>
      </c>
      <c r="D1426" s="4">
        <v>20000</v>
      </c>
      <c r="E1426">
        <v>20000</v>
      </c>
      <c r="F1426" t="s">
        <v>6</v>
      </c>
      <c r="G1426">
        <f>tblSalaries[[#This Row],[clean Salary (in local currency)]]*VLOOKUP(tblSalaries[[#This Row],[Currency]],tblXrate[],2,FALSE)</f>
        <v>20000</v>
      </c>
      <c r="H1426" t="s">
        <v>635</v>
      </c>
      <c r="I1426" t="s">
        <v>52</v>
      </c>
      <c r="J1426" t="s">
        <v>8</v>
      </c>
      <c r="K1426" t="str">
        <f>VLOOKUP(tblSalaries[[#This Row],[Where do you work]],tblCountries[[Actual]:[Mapping]],2,FALSE)</f>
        <v>India</v>
      </c>
      <c r="L1426" t="s">
        <v>186</v>
      </c>
      <c r="M1426">
        <v>10</v>
      </c>
      <c r="N1426" s="8" t="str">
        <f>VLOOKUP(K1426,tblCountries[],3,0)</f>
        <v>Asia</v>
      </c>
      <c r="O1426" s="8">
        <f>VLOOKUP(tblSalaries[[#This Row],[How many hours of a day you work on Excel]],tblHours,2,0)</f>
        <v>1</v>
      </c>
      <c r="P1426" s="8">
        <f>VLOOKUP(tblSalaries[[#This Row],[clean Country]],tblCountries[],5,0)</f>
        <v>13.098808879263672</v>
      </c>
      <c r="Q1426" s="8">
        <f>IF($Q$1,tblSalaries[[#This Row],[PPP Factor]]*tblSalaries[[#This Row],[Salary in USD]],tblSalaries[[#This Row],[Salary in USD]])</f>
        <v>20000</v>
      </c>
    </row>
    <row r="1427" spans="2:17" ht="15" customHeight="1" x14ac:dyDescent="0.25">
      <c r="B1427" t="s">
        <v>3430</v>
      </c>
      <c r="C1427" s="1">
        <v>41059.563599537039</v>
      </c>
      <c r="D1427" s="4">
        <v>86000</v>
      </c>
      <c r="E1427">
        <v>86000</v>
      </c>
      <c r="F1427" t="s">
        <v>82</v>
      </c>
      <c r="G1427">
        <f>tblSalaries[[#This Row],[clean Salary (in local currency)]]*VLOOKUP(tblSalaries[[#This Row],[Currency]],tblXrate[],2,FALSE)</f>
        <v>87712.230450626681</v>
      </c>
      <c r="H1427" t="s">
        <v>214</v>
      </c>
      <c r="I1427" t="s">
        <v>20</v>
      </c>
      <c r="J1427" t="s">
        <v>84</v>
      </c>
      <c r="K1427" t="str">
        <f>VLOOKUP(tblSalaries[[#This Row],[Where do you work]],tblCountries[[Actual]:[Mapping]],2,FALSE)</f>
        <v>Australia</v>
      </c>
      <c r="L1427" t="s">
        <v>9</v>
      </c>
      <c r="M1427">
        <v>10</v>
      </c>
      <c r="N1427" s="8" t="str">
        <f>VLOOKUP(K1427,tblCountries[],3,0)</f>
        <v>Oceania</v>
      </c>
      <c r="O1427" s="8">
        <f>VLOOKUP(tblSalaries[[#This Row],[How many hours of a day you work on Excel]],tblHours,2,0)</f>
        <v>4</v>
      </c>
      <c r="P1427" s="8">
        <f>VLOOKUP(tblSalaries[[#This Row],[clean Country]],tblCountries[],5,0)</f>
        <v>1.2026395585822935</v>
      </c>
      <c r="Q1427" s="8">
        <f>IF($Q$1,tblSalaries[[#This Row],[PPP Factor]]*tblSalaries[[#This Row],[Salary in USD]],tblSalaries[[#This Row],[Salary in USD]])</f>
        <v>87712.230450626681</v>
      </c>
    </row>
    <row r="1428" spans="2:17" ht="15" customHeight="1" x14ac:dyDescent="0.25">
      <c r="B1428" t="s">
        <v>3431</v>
      </c>
      <c r="C1428" s="1">
        <v>41059.567152777781</v>
      </c>
      <c r="D1428" s="4">
        <v>1000000</v>
      </c>
      <c r="E1428">
        <v>1000000</v>
      </c>
      <c r="F1428" t="s">
        <v>40</v>
      </c>
      <c r="G1428">
        <f>tblSalaries[[#This Row],[clean Salary (in local currency)]]*VLOOKUP(tblSalaries[[#This Row],[Currency]],tblXrate[],2,FALSE)</f>
        <v>17807.916687442568</v>
      </c>
      <c r="H1428" t="s">
        <v>1604</v>
      </c>
      <c r="I1428" t="s">
        <v>52</v>
      </c>
      <c r="J1428" t="s">
        <v>8</v>
      </c>
      <c r="K1428" t="str">
        <f>VLOOKUP(tblSalaries[[#This Row],[Where do you work]],tblCountries[[Actual]:[Mapping]],2,FALSE)</f>
        <v>India</v>
      </c>
      <c r="L1428" t="s">
        <v>13</v>
      </c>
      <c r="M1428">
        <v>6</v>
      </c>
      <c r="N1428" s="8" t="str">
        <f>VLOOKUP(K1428,tblCountries[],3,0)</f>
        <v>Asia</v>
      </c>
      <c r="O1428" s="8">
        <f>VLOOKUP(tblSalaries[[#This Row],[How many hours of a day you work on Excel]],tblHours,2,0)</f>
        <v>5</v>
      </c>
      <c r="P1428" s="8">
        <f>VLOOKUP(tblSalaries[[#This Row],[clean Country]],tblCountries[],5,0)</f>
        <v>13.098808879263672</v>
      </c>
      <c r="Q1428" s="8">
        <f>IF($Q$1,tblSalaries[[#This Row],[PPP Factor]]*tblSalaries[[#This Row],[Salary in USD]],tblSalaries[[#This Row],[Salary in USD]])</f>
        <v>17807.916687442568</v>
      </c>
    </row>
    <row r="1429" spans="2:17" ht="15" customHeight="1" x14ac:dyDescent="0.25">
      <c r="B1429" t="s">
        <v>3432</v>
      </c>
      <c r="C1429" s="1">
        <v>41059.56722222222</v>
      </c>
      <c r="D1429" s="4">
        <v>41000</v>
      </c>
      <c r="E1429">
        <v>41000</v>
      </c>
      <c r="F1429" t="s">
        <v>6</v>
      </c>
      <c r="G1429">
        <f>tblSalaries[[#This Row],[clean Salary (in local currency)]]*VLOOKUP(tblSalaries[[#This Row],[Currency]],tblXrate[],2,FALSE)</f>
        <v>41000</v>
      </c>
      <c r="H1429" t="s">
        <v>135</v>
      </c>
      <c r="I1429" t="s">
        <v>20</v>
      </c>
      <c r="J1429" t="s">
        <v>654</v>
      </c>
      <c r="K1429" t="str">
        <f>VLOOKUP(tblSalaries[[#This Row],[Where do you work]],tblCountries[[Actual]:[Mapping]],2,FALSE)</f>
        <v>Japan</v>
      </c>
      <c r="L1429" t="s">
        <v>18</v>
      </c>
      <c r="M1429">
        <v>2</v>
      </c>
      <c r="N1429" s="8" t="str">
        <f>VLOOKUP(K1429,tblCountries[],3,0)</f>
        <v>Asia</v>
      </c>
      <c r="O1429" s="8">
        <f>VLOOKUP(tblSalaries[[#This Row],[How many hours of a day you work on Excel]],tblHours,2,0)</f>
        <v>3</v>
      </c>
      <c r="P1429" s="8">
        <f>VLOOKUP(tblSalaries[[#This Row],[clean Country]],tblCountries[],5,0)</f>
        <v>1.392832469775475</v>
      </c>
      <c r="Q1429" s="8">
        <f>IF($Q$1,tblSalaries[[#This Row],[PPP Factor]]*tblSalaries[[#This Row],[Salary in USD]],tblSalaries[[#This Row],[Salary in USD]])</f>
        <v>41000</v>
      </c>
    </row>
    <row r="1430" spans="2:17" ht="15" customHeight="1" x14ac:dyDescent="0.25">
      <c r="B1430" t="s">
        <v>3433</v>
      </c>
      <c r="C1430" s="1">
        <v>41059.570613425924</v>
      </c>
      <c r="D1430" s="4">
        <v>60000</v>
      </c>
      <c r="E1430">
        <v>60000</v>
      </c>
      <c r="F1430" t="s">
        <v>6</v>
      </c>
      <c r="G1430">
        <f>tblSalaries[[#This Row],[clean Salary (in local currency)]]*VLOOKUP(tblSalaries[[#This Row],[Currency]],tblXrate[],2,FALSE)</f>
        <v>60000</v>
      </c>
      <c r="H1430" t="s">
        <v>1605</v>
      </c>
      <c r="I1430" t="s">
        <v>52</v>
      </c>
      <c r="J1430" t="s">
        <v>15</v>
      </c>
      <c r="K1430" t="str">
        <f>VLOOKUP(tblSalaries[[#This Row],[Where do you work]],tblCountries[[Actual]:[Mapping]],2,FALSE)</f>
        <v>USA</v>
      </c>
      <c r="L1430" t="s">
        <v>18</v>
      </c>
      <c r="M1430">
        <v>4</v>
      </c>
      <c r="N1430" s="8" t="str">
        <f>VLOOKUP(K1430,tblCountries[],3,0)</f>
        <v>North Amer.</v>
      </c>
      <c r="O1430" s="8">
        <f>VLOOKUP(tblSalaries[[#This Row],[How many hours of a day you work on Excel]],tblHours,2,0)</f>
        <v>3</v>
      </c>
      <c r="P1430" s="8">
        <f>VLOOKUP(tblSalaries[[#This Row],[clean Country]],tblCountries[],5,0)</f>
        <v>1</v>
      </c>
      <c r="Q1430" s="8">
        <f>IF($Q$1,tblSalaries[[#This Row],[PPP Factor]]*tblSalaries[[#This Row],[Salary in USD]],tblSalaries[[#This Row],[Salary in USD]])</f>
        <v>60000</v>
      </c>
    </row>
    <row r="1431" spans="2:17" ht="15" customHeight="1" x14ac:dyDescent="0.25">
      <c r="B1431" t="s">
        <v>3434</v>
      </c>
      <c r="C1431" s="1">
        <v>41059.574895833335</v>
      </c>
      <c r="D1431" s="4" t="s">
        <v>1606</v>
      </c>
      <c r="E1431">
        <v>264000</v>
      </c>
      <c r="F1431" t="s">
        <v>585</v>
      </c>
      <c r="G1431">
        <f>tblSalaries[[#This Row],[clean Salary (in local currency)]]*VLOOKUP(tblSalaries[[#This Row],[Currency]],tblXrate[],2,FALSE)</f>
        <v>32187.34988380854</v>
      </c>
      <c r="H1431" t="s">
        <v>20</v>
      </c>
      <c r="I1431" t="s">
        <v>20</v>
      </c>
      <c r="J1431" t="s">
        <v>1607</v>
      </c>
      <c r="K1431" t="str">
        <f>VLOOKUP(tblSalaries[[#This Row],[Where do you work]],tblCountries[[Actual]:[Mapping]],2,FALSE)</f>
        <v>South Africa</v>
      </c>
      <c r="L1431" t="s">
        <v>13</v>
      </c>
      <c r="M1431">
        <v>2</v>
      </c>
      <c r="N1431" s="8" t="str">
        <f>VLOOKUP(K1431,tblCountries[],3,0)</f>
        <v>Africa</v>
      </c>
      <c r="O1431" s="8">
        <f>VLOOKUP(tblSalaries[[#This Row],[How many hours of a day you work on Excel]],tblHours,2,0)</f>
        <v>5</v>
      </c>
      <c r="P1431" s="8">
        <f>VLOOKUP(tblSalaries[[#This Row],[clean Country]],tblCountries[],5,0)</f>
        <v>4.4096418481727877</v>
      </c>
      <c r="Q1431" s="8">
        <f>IF($Q$1,tblSalaries[[#This Row],[PPP Factor]]*tblSalaries[[#This Row],[Salary in USD]],tblSalaries[[#This Row],[Salary in USD]])</f>
        <v>32187.34988380854</v>
      </c>
    </row>
    <row r="1432" spans="2:17" ht="15" customHeight="1" x14ac:dyDescent="0.25">
      <c r="B1432" t="s">
        <v>3435</v>
      </c>
      <c r="C1432" s="1">
        <v>41059.580868055556</v>
      </c>
      <c r="D1432" s="4">
        <v>50000</v>
      </c>
      <c r="E1432">
        <v>50000</v>
      </c>
      <c r="F1432" t="s">
        <v>670</v>
      </c>
      <c r="G1432">
        <f>tblSalaries[[#This Row],[clean Salary (in local currency)]]*VLOOKUP(tblSalaries[[#This Row],[Currency]],tblXrate[],2,FALSE)</f>
        <v>39879.404680246938</v>
      </c>
      <c r="H1432" t="s">
        <v>1608</v>
      </c>
      <c r="I1432" t="s">
        <v>279</v>
      </c>
      <c r="J1432" t="s">
        <v>1609</v>
      </c>
      <c r="K1432" t="str">
        <f>VLOOKUP(tblSalaries[[#This Row],[Where do you work]],tblCountries[[Actual]:[Mapping]],2,FALSE)</f>
        <v>New Zealand</v>
      </c>
      <c r="L1432" t="s">
        <v>9</v>
      </c>
      <c r="M1432">
        <v>5</v>
      </c>
      <c r="N1432" s="8" t="str">
        <f>VLOOKUP(K1432,tblCountries[],3,0)</f>
        <v>Oceania</v>
      </c>
      <c r="O1432" s="8">
        <f>VLOOKUP(tblSalaries[[#This Row],[How many hours of a day you work on Excel]],tblHours,2,0)</f>
        <v>4</v>
      </c>
      <c r="P1432" s="8">
        <f>VLOOKUP(tblSalaries[[#This Row],[clean Country]],tblCountries[],5,0)</f>
        <v>1.7488434292323261</v>
      </c>
      <c r="Q1432" s="8">
        <f>IF($Q$1,tblSalaries[[#This Row],[PPP Factor]]*tblSalaries[[#This Row],[Salary in USD]],tblSalaries[[#This Row],[Salary in USD]])</f>
        <v>39879.404680246938</v>
      </c>
    </row>
    <row r="1433" spans="2:17" ht="15" customHeight="1" x14ac:dyDescent="0.25">
      <c r="B1433" t="s">
        <v>3436</v>
      </c>
      <c r="C1433" s="1">
        <v>41059.581111111111</v>
      </c>
      <c r="D1433" s="4" t="s">
        <v>1610</v>
      </c>
      <c r="E1433">
        <v>320000</v>
      </c>
      <c r="F1433" t="s">
        <v>40</v>
      </c>
      <c r="G1433">
        <f>tblSalaries[[#This Row],[clean Salary (in local currency)]]*VLOOKUP(tblSalaries[[#This Row],[Currency]],tblXrate[],2,FALSE)</f>
        <v>5698.5333399816218</v>
      </c>
      <c r="H1433" t="s">
        <v>20</v>
      </c>
      <c r="I1433" t="s">
        <v>20</v>
      </c>
      <c r="J1433" t="s">
        <v>8</v>
      </c>
      <c r="K1433" t="str">
        <f>VLOOKUP(tblSalaries[[#This Row],[Where do you work]],tblCountries[[Actual]:[Mapping]],2,FALSE)</f>
        <v>India</v>
      </c>
      <c r="L1433" t="s">
        <v>18</v>
      </c>
      <c r="M1433">
        <v>2</v>
      </c>
      <c r="N1433" s="8" t="str">
        <f>VLOOKUP(K1433,tblCountries[],3,0)</f>
        <v>Asia</v>
      </c>
      <c r="O1433" s="8">
        <f>VLOOKUP(tblSalaries[[#This Row],[How many hours of a day you work on Excel]],tblHours,2,0)</f>
        <v>3</v>
      </c>
      <c r="P1433" s="8">
        <f>VLOOKUP(tblSalaries[[#This Row],[clean Country]],tblCountries[],5,0)</f>
        <v>13.098808879263672</v>
      </c>
      <c r="Q1433" s="8">
        <f>IF($Q$1,tblSalaries[[#This Row],[PPP Factor]]*tblSalaries[[#This Row],[Salary in USD]],tblSalaries[[#This Row],[Salary in USD]])</f>
        <v>5698.5333399816218</v>
      </c>
    </row>
    <row r="1434" spans="2:17" ht="15" customHeight="1" x14ac:dyDescent="0.25">
      <c r="B1434" t="s">
        <v>3437</v>
      </c>
      <c r="C1434" s="1">
        <v>41059.589699074073</v>
      </c>
      <c r="D1434" s="4" t="s">
        <v>1611</v>
      </c>
      <c r="E1434">
        <v>400000</v>
      </c>
      <c r="F1434" t="s">
        <v>40</v>
      </c>
      <c r="G1434">
        <f>tblSalaries[[#This Row],[clean Salary (in local currency)]]*VLOOKUP(tblSalaries[[#This Row],[Currency]],tblXrate[],2,FALSE)</f>
        <v>7123.1666749770275</v>
      </c>
      <c r="H1434" t="s">
        <v>986</v>
      </c>
      <c r="I1434" t="s">
        <v>52</v>
      </c>
      <c r="J1434" t="s">
        <v>8</v>
      </c>
      <c r="K1434" t="str">
        <f>VLOOKUP(tblSalaries[[#This Row],[Where do you work]],tblCountries[[Actual]:[Mapping]],2,FALSE)</f>
        <v>India</v>
      </c>
      <c r="L1434" t="s">
        <v>9</v>
      </c>
      <c r="M1434">
        <v>6</v>
      </c>
      <c r="N1434" s="8" t="str">
        <f>VLOOKUP(K1434,tblCountries[],3,0)</f>
        <v>Asia</v>
      </c>
      <c r="O1434" s="8">
        <f>VLOOKUP(tblSalaries[[#This Row],[How many hours of a day you work on Excel]],tblHours,2,0)</f>
        <v>4</v>
      </c>
      <c r="P1434" s="8">
        <f>VLOOKUP(tblSalaries[[#This Row],[clean Country]],tblCountries[],5,0)</f>
        <v>13.098808879263672</v>
      </c>
      <c r="Q1434" s="8">
        <f>IF($Q$1,tblSalaries[[#This Row],[PPP Factor]]*tblSalaries[[#This Row],[Salary in USD]],tblSalaries[[#This Row],[Salary in USD]])</f>
        <v>7123.1666749770275</v>
      </c>
    </row>
    <row r="1435" spans="2:17" ht="15" customHeight="1" x14ac:dyDescent="0.25">
      <c r="B1435" t="s">
        <v>3438</v>
      </c>
      <c r="C1435" s="1">
        <v>41059.596608796295</v>
      </c>
      <c r="D1435" s="4" t="s">
        <v>1612</v>
      </c>
      <c r="E1435">
        <v>250000</v>
      </c>
      <c r="F1435" t="s">
        <v>40</v>
      </c>
      <c r="G1435">
        <f>tblSalaries[[#This Row],[clean Salary (in local currency)]]*VLOOKUP(tblSalaries[[#This Row],[Currency]],tblXrate[],2,FALSE)</f>
        <v>4451.9791718606421</v>
      </c>
      <c r="H1435" t="s">
        <v>1613</v>
      </c>
      <c r="I1435" t="s">
        <v>52</v>
      </c>
      <c r="J1435" t="s">
        <v>8</v>
      </c>
      <c r="K1435" t="str">
        <f>VLOOKUP(tblSalaries[[#This Row],[Where do you work]],tblCountries[[Actual]:[Mapping]],2,FALSE)</f>
        <v>India</v>
      </c>
      <c r="L1435" t="s">
        <v>18</v>
      </c>
      <c r="M1435">
        <v>15</v>
      </c>
      <c r="N1435" s="8" t="str">
        <f>VLOOKUP(K1435,tblCountries[],3,0)</f>
        <v>Asia</v>
      </c>
      <c r="O1435" s="8">
        <f>VLOOKUP(tblSalaries[[#This Row],[How many hours of a day you work on Excel]],tblHours,2,0)</f>
        <v>3</v>
      </c>
      <c r="P1435" s="8">
        <f>VLOOKUP(tblSalaries[[#This Row],[clean Country]],tblCountries[],5,0)</f>
        <v>13.098808879263672</v>
      </c>
      <c r="Q1435" s="8">
        <f>IF($Q$1,tblSalaries[[#This Row],[PPP Factor]]*tblSalaries[[#This Row],[Salary in USD]],tblSalaries[[#This Row],[Salary in USD]])</f>
        <v>4451.9791718606421</v>
      </c>
    </row>
    <row r="1436" spans="2:17" ht="15" customHeight="1" x14ac:dyDescent="0.25">
      <c r="B1436" t="s">
        <v>3439</v>
      </c>
      <c r="C1436" s="1">
        <v>41059.598576388889</v>
      </c>
      <c r="D1436" s="4">
        <v>360000</v>
      </c>
      <c r="E1436">
        <v>360000</v>
      </c>
      <c r="F1436" t="s">
        <v>40</v>
      </c>
      <c r="G1436">
        <f>tblSalaries[[#This Row],[clean Salary (in local currency)]]*VLOOKUP(tblSalaries[[#This Row],[Currency]],tblXrate[],2,FALSE)</f>
        <v>6410.8500074793246</v>
      </c>
      <c r="H1436" t="s">
        <v>256</v>
      </c>
      <c r="I1436" t="s">
        <v>20</v>
      </c>
      <c r="J1436" t="s">
        <v>8</v>
      </c>
      <c r="K1436" t="str">
        <f>VLOOKUP(tblSalaries[[#This Row],[Where do you work]],tblCountries[[Actual]:[Mapping]],2,FALSE)</f>
        <v>India</v>
      </c>
      <c r="L1436" t="s">
        <v>18</v>
      </c>
      <c r="M1436">
        <v>6</v>
      </c>
      <c r="N1436" s="8" t="str">
        <f>VLOOKUP(K1436,tblCountries[],3,0)</f>
        <v>Asia</v>
      </c>
      <c r="O1436" s="8">
        <f>VLOOKUP(tblSalaries[[#This Row],[How many hours of a day you work on Excel]],tblHours,2,0)</f>
        <v>3</v>
      </c>
      <c r="P1436" s="8">
        <f>VLOOKUP(tblSalaries[[#This Row],[clean Country]],tblCountries[],5,0)</f>
        <v>13.098808879263672</v>
      </c>
      <c r="Q1436" s="8">
        <f>IF($Q$1,tblSalaries[[#This Row],[PPP Factor]]*tblSalaries[[#This Row],[Salary in USD]],tblSalaries[[#This Row],[Salary in USD]])</f>
        <v>6410.8500074793246</v>
      </c>
    </row>
    <row r="1437" spans="2:17" ht="15" customHeight="1" x14ac:dyDescent="0.25">
      <c r="B1437" t="s">
        <v>3440</v>
      </c>
      <c r="C1437" s="1">
        <v>41059.603437500002</v>
      </c>
      <c r="D1437" s="4" t="s">
        <v>1614</v>
      </c>
      <c r="E1437">
        <v>1150000</v>
      </c>
      <c r="F1437" t="s">
        <v>40</v>
      </c>
      <c r="G1437">
        <f>tblSalaries[[#This Row],[clean Salary (in local currency)]]*VLOOKUP(tblSalaries[[#This Row],[Currency]],tblXrate[],2,FALSE)</f>
        <v>20479.104190558952</v>
      </c>
      <c r="H1437" t="s">
        <v>201</v>
      </c>
      <c r="I1437" t="s">
        <v>52</v>
      </c>
      <c r="J1437" t="s">
        <v>8</v>
      </c>
      <c r="K1437" t="str">
        <f>VLOOKUP(tblSalaries[[#This Row],[Where do you work]],tblCountries[[Actual]:[Mapping]],2,FALSE)</f>
        <v>India</v>
      </c>
      <c r="L1437" t="s">
        <v>13</v>
      </c>
      <c r="M1437">
        <v>12</v>
      </c>
      <c r="N1437" s="8" t="str">
        <f>VLOOKUP(K1437,tblCountries[],3,0)</f>
        <v>Asia</v>
      </c>
      <c r="O1437" s="8">
        <f>VLOOKUP(tblSalaries[[#This Row],[How many hours of a day you work on Excel]],tblHours,2,0)</f>
        <v>5</v>
      </c>
      <c r="P1437" s="8">
        <f>VLOOKUP(tblSalaries[[#This Row],[clean Country]],tblCountries[],5,0)</f>
        <v>13.098808879263672</v>
      </c>
      <c r="Q1437" s="8">
        <f>IF($Q$1,tblSalaries[[#This Row],[PPP Factor]]*tblSalaries[[#This Row],[Salary in USD]],tblSalaries[[#This Row],[Salary in USD]])</f>
        <v>20479.104190558952</v>
      </c>
    </row>
    <row r="1438" spans="2:17" ht="15" customHeight="1" x14ac:dyDescent="0.25">
      <c r="B1438" t="s">
        <v>3441</v>
      </c>
      <c r="C1438" s="1">
        <v>41059.605243055557</v>
      </c>
      <c r="D1438" s="4">
        <v>620000</v>
      </c>
      <c r="E1438">
        <v>620000</v>
      </c>
      <c r="F1438" t="s">
        <v>40</v>
      </c>
      <c r="G1438">
        <f>tblSalaries[[#This Row],[clean Salary (in local currency)]]*VLOOKUP(tblSalaries[[#This Row],[Currency]],tblXrate[],2,FALSE)</f>
        <v>11040.908346214392</v>
      </c>
      <c r="H1438" t="s">
        <v>1615</v>
      </c>
      <c r="I1438" t="s">
        <v>20</v>
      </c>
      <c r="J1438" t="s">
        <v>8</v>
      </c>
      <c r="K1438" t="str">
        <f>VLOOKUP(tblSalaries[[#This Row],[Where do you work]],tblCountries[[Actual]:[Mapping]],2,FALSE)</f>
        <v>India</v>
      </c>
      <c r="L1438" t="s">
        <v>25</v>
      </c>
      <c r="M1438">
        <v>5</v>
      </c>
      <c r="N1438" s="8" t="str">
        <f>VLOOKUP(K1438,tblCountries[],3,0)</f>
        <v>Asia</v>
      </c>
      <c r="O1438" s="8">
        <f>VLOOKUP(tblSalaries[[#This Row],[How many hours of a day you work on Excel]],tblHours,2,0)</f>
        <v>2</v>
      </c>
      <c r="P1438" s="8">
        <f>VLOOKUP(tblSalaries[[#This Row],[clean Country]],tblCountries[],5,0)</f>
        <v>13.098808879263672</v>
      </c>
      <c r="Q1438" s="8">
        <f>IF($Q$1,tblSalaries[[#This Row],[PPP Factor]]*tblSalaries[[#This Row],[Salary in USD]],tblSalaries[[#This Row],[Salary in USD]])</f>
        <v>11040.908346214392</v>
      </c>
    </row>
    <row r="1439" spans="2:17" ht="15" customHeight="1" x14ac:dyDescent="0.25">
      <c r="B1439" t="s">
        <v>3442</v>
      </c>
      <c r="C1439" s="1">
        <v>41059.665983796294</v>
      </c>
      <c r="D1439" s="4" t="s">
        <v>1616</v>
      </c>
      <c r="E1439">
        <v>1000000</v>
      </c>
      <c r="F1439" t="s">
        <v>40</v>
      </c>
      <c r="G1439">
        <f>tblSalaries[[#This Row],[clean Salary (in local currency)]]*VLOOKUP(tblSalaries[[#This Row],[Currency]],tblXrate[],2,FALSE)</f>
        <v>17807.916687442568</v>
      </c>
      <c r="H1439" t="s">
        <v>658</v>
      </c>
      <c r="I1439" t="s">
        <v>67</v>
      </c>
      <c r="J1439" t="s">
        <v>8</v>
      </c>
      <c r="K1439" t="str">
        <f>VLOOKUP(tblSalaries[[#This Row],[Where do you work]],tblCountries[[Actual]:[Mapping]],2,FALSE)</f>
        <v>India</v>
      </c>
      <c r="L1439" t="s">
        <v>18</v>
      </c>
      <c r="M1439">
        <v>7</v>
      </c>
      <c r="N1439" s="8" t="str">
        <f>VLOOKUP(K1439,tblCountries[],3,0)</f>
        <v>Asia</v>
      </c>
      <c r="O1439" s="8">
        <f>VLOOKUP(tblSalaries[[#This Row],[How many hours of a day you work on Excel]],tblHours,2,0)</f>
        <v>3</v>
      </c>
      <c r="P1439" s="8">
        <f>VLOOKUP(tblSalaries[[#This Row],[clean Country]],tblCountries[],5,0)</f>
        <v>13.098808879263672</v>
      </c>
      <c r="Q1439" s="8">
        <f>IF($Q$1,tblSalaries[[#This Row],[PPP Factor]]*tblSalaries[[#This Row],[Salary in USD]],tblSalaries[[#This Row],[Salary in USD]])</f>
        <v>17807.916687442568</v>
      </c>
    </row>
    <row r="1440" spans="2:17" ht="15" customHeight="1" x14ac:dyDescent="0.25">
      <c r="B1440" t="s">
        <v>3443</v>
      </c>
      <c r="C1440" s="1">
        <v>41059.675393518519</v>
      </c>
      <c r="D1440" s="4" t="s">
        <v>733</v>
      </c>
      <c r="E1440">
        <v>200000</v>
      </c>
      <c r="F1440" t="s">
        <v>40</v>
      </c>
      <c r="G1440">
        <f>tblSalaries[[#This Row],[clean Salary (in local currency)]]*VLOOKUP(tblSalaries[[#This Row],[Currency]],tblXrate[],2,FALSE)</f>
        <v>3561.5833374885137</v>
      </c>
      <c r="H1440" t="s">
        <v>749</v>
      </c>
      <c r="I1440" t="s">
        <v>20</v>
      </c>
      <c r="J1440" t="s">
        <v>8</v>
      </c>
      <c r="K1440" t="str">
        <f>VLOOKUP(tblSalaries[[#This Row],[Where do you work]],tblCountries[[Actual]:[Mapping]],2,FALSE)</f>
        <v>India</v>
      </c>
      <c r="L1440" t="s">
        <v>9</v>
      </c>
      <c r="M1440">
        <v>11</v>
      </c>
      <c r="N1440" s="8" t="str">
        <f>VLOOKUP(K1440,tblCountries[],3,0)</f>
        <v>Asia</v>
      </c>
      <c r="O1440" s="8">
        <f>VLOOKUP(tblSalaries[[#This Row],[How many hours of a day you work on Excel]],tblHours,2,0)</f>
        <v>4</v>
      </c>
      <c r="P1440" s="8">
        <f>VLOOKUP(tblSalaries[[#This Row],[clean Country]],tblCountries[],5,0)</f>
        <v>13.098808879263672</v>
      </c>
      <c r="Q1440" s="8">
        <f>IF($Q$1,tblSalaries[[#This Row],[PPP Factor]]*tblSalaries[[#This Row],[Salary in USD]],tblSalaries[[#This Row],[Salary in USD]])</f>
        <v>3561.5833374885137</v>
      </c>
    </row>
    <row r="1441" spans="2:17" ht="15" customHeight="1" x14ac:dyDescent="0.25">
      <c r="B1441" t="s">
        <v>3444</v>
      </c>
      <c r="C1441" s="1">
        <v>41059.682164351849</v>
      </c>
      <c r="D1441" s="4" t="s">
        <v>1617</v>
      </c>
      <c r="E1441">
        <v>17000</v>
      </c>
      <c r="F1441" t="s">
        <v>69</v>
      </c>
      <c r="G1441">
        <f>tblSalaries[[#This Row],[clean Salary (in local currency)]]*VLOOKUP(tblSalaries[[#This Row],[Currency]],tblXrate[],2,FALSE)</f>
        <v>26795.030625143831</v>
      </c>
      <c r="H1441" t="s">
        <v>1618</v>
      </c>
      <c r="I1441" t="s">
        <v>20</v>
      </c>
      <c r="J1441" t="s">
        <v>71</v>
      </c>
      <c r="K1441" t="str">
        <f>VLOOKUP(tblSalaries[[#This Row],[Where do you work]],tblCountries[[Actual]:[Mapping]],2,FALSE)</f>
        <v>UK</v>
      </c>
      <c r="L1441" t="s">
        <v>18</v>
      </c>
      <c r="M1441">
        <v>5</v>
      </c>
      <c r="N1441" s="8" t="str">
        <f>VLOOKUP(K1441,tblCountries[],3,0)</f>
        <v>Europe</v>
      </c>
      <c r="O1441" s="8">
        <f>VLOOKUP(tblSalaries[[#This Row],[How many hours of a day you work on Excel]],tblHours,2,0)</f>
        <v>3</v>
      </c>
      <c r="P1441" s="8">
        <f>VLOOKUP(tblSalaries[[#This Row],[clean Country]],tblCountries[],5,0)</f>
        <v>1.3407315045719035</v>
      </c>
      <c r="Q1441" s="8">
        <f>IF($Q$1,tblSalaries[[#This Row],[PPP Factor]]*tblSalaries[[#This Row],[Salary in USD]],tblSalaries[[#This Row],[Salary in USD]])</f>
        <v>26795.030625143831</v>
      </c>
    </row>
    <row r="1442" spans="2:17" ht="15" customHeight="1" x14ac:dyDescent="0.25">
      <c r="B1442" t="s">
        <v>3445</v>
      </c>
      <c r="C1442" s="1">
        <v>41059.700370370374</v>
      </c>
      <c r="D1442" s="4">
        <v>1700</v>
      </c>
      <c r="E1442">
        <v>20400</v>
      </c>
      <c r="F1442" t="s">
        <v>6</v>
      </c>
      <c r="G1442">
        <f>tblSalaries[[#This Row],[clean Salary (in local currency)]]*VLOOKUP(tblSalaries[[#This Row],[Currency]],tblXrate[],2,FALSE)</f>
        <v>20400</v>
      </c>
      <c r="H1442" t="s">
        <v>1619</v>
      </c>
      <c r="I1442" t="s">
        <v>52</v>
      </c>
      <c r="J1442" t="s">
        <v>1620</v>
      </c>
      <c r="K1442" t="str">
        <f>VLOOKUP(tblSalaries[[#This Row],[Where do you work]],tblCountries[[Actual]:[Mapping]],2,FALSE)</f>
        <v>Myanmar</v>
      </c>
      <c r="L1442" t="s">
        <v>25</v>
      </c>
      <c r="M1442">
        <v>10</v>
      </c>
      <c r="N1442" s="8" t="str">
        <f>VLOOKUP(K1442,tblCountries[],3,0)</f>
        <v>Asia</v>
      </c>
      <c r="O1442" s="8">
        <f>VLOOKUP(tblSalaries[[#This Row],[How many hours of a day you work on Excel]],tblHours,2,0)</f>
        <v>2</v>
      </c>
      <c r="P1442" s="8">
        <f>VLOOKUP(tblSalaries[[#This Row],[clean Country]],tblCountries[],5,0)</f>
        <v>1</v>
      </c>
      <c r="Q1442" s="8">
        <f>IF($Q$1,tblSalaries[[#This Row],[PPP Factor]]*tblSalaries[[#This Row],[Salary in USD]],tblSalaries[[#This Row],[Salary in USD]])</f>
        <v>20400</v>
      </c>
    </row>
    <row r="1443" spans="2:17" ht="15" customHeight="1" x14ac:dyDescent="0.25">
      <c r="B1443" t="s">
        <v>3446</v>
      </c>
      <c r="C1443" s="1">
        <v>41059.700868055559</v>
      </c>
      <c r="D1443" s="4" t="s">
        <v>1251</v>
      </c>
      <c r="E1443">
        <v>25000</v>
      </c>
      <c r="F1443" t="s">
        <v>69</v>
      </c>
      <c r="G1443">
        <f>tblSalaries[[#This Row],[clean Salary (in local currency)]]*VLOOKUP(tblSalaries[[#This Row],[Currency]],tblXrate[],2,FALSE)</f>
        <v>39404.456801682099</v>
      </c>
      <c r="H1443" t="s">
        <v>1621</v>
      </c>
      <c r="I1443" t="s">
        <v>310</v>
      </c>
      <c r="J1443" t="s">
        <v>71</v>
      </c>
      <c r="K1443" t="str">
        <f>VLOOKUP(tblSalaries[[#This Row],[Where do you work]],tblCountries[[Actual]:[Mapping]],2,FALSE)</f>
        <v>UK</v>
      </c>
      <c r="L1443" t="s">
        <v>9</v>
      </c>
      <c r="M1443">
        <v>35</v>
      </c>
      <c r="N1443" s="8" t="str">
        <f>VLOOKUP(K1443,tblCountries[],3,0)</f>
        <v>Europe</v>
      </c>
      <c r="O1443" s="8">
        <f>VLOOKUP(tblSalaries[[#This Row],[How many hours of a day you work on Excel]],tblHours,2,0)</f>
        <v>4</v>
      </c>
      <c r="P1443" s="8">
        <f>VLOOKUP(tblSalaries[[#This Row],[clean Country]],tblCountries[],5,0)</f>
        <v>1.3407315045719035</v>
      </c>
      <c r="Q1443" s="8">
        <f>IF($Q$1,tblSalaries[[#This Row],[PPP Factor]]*tblSalaries[[#This Row],[Salary in USD]],tblSalaries[[#This Row],[Salary in USD]])</f>
        <v>39404.456801682099</v>
      </c>
    </row>
    <row r="1444" spans="2:17" ht="15" customHeight="1" x14ac:dyDescent="0.25">
      <c r="B1444" t="s">
        <v>3447</v>
      </c>
      <c r="C1444" s="1">
        <v>41059.705451388887</v>
      </c>
      <c r="D1444" s="4">
        <v>118000</v>
      </c>
      <c r="E1444">
        <v>118000</v>
      </c>
      <c r="F1444" t="s">
        <v>22</v>
      </c>
      <c r="G1444">
        <f>tblSalaries[[#This Row],[clean Salary (in local currency)]]*VLOOKUP(tblSalaries[[#This Row],[Currency]],tblXrate[],2,FALSE)</f>
        <v>149907.13380100971</v>
      </c>
      <c r="H1444" t="s">
        <v>1622</v>
      </c>
      <c r="I1444" t="s">
        <v>20</v>
      </c>
      <c r="J1444" t="s">
        <v>1623</v>
      </c>
      <c r="K1444" t="str">
        <f>VLOOKUP(tblSalaries[[#This Row],[Where do you work]],tblCountries[[Actual]:[Mapping]],2,FALSE)</f>
        <v>Europe</v>
      </c>
      <c r="L1444" t="s">
        <v>9</v>
      </c>
      <c r="M1444">
        <v>7</v>
      </c>
      <c r="N1444" s="8" t="str">
        <f>VLOOKUP(K1444,tblCountries[],3,0)</f>
        <v>Europe</v>
      </c>
      <c r="O1444" s="8">
        <f>VLOOKUP(tblSalaries[[#This Row],[How many hours of a day you work on Excel]],tblHours,2,0)</f>
        <v>4</v>
      </c>
      <c r="P1444" s="8">
        <f>VLOOKUP(tblSalaries[[#This Row],[clean Country]],tblCountries[],5,0)</f>
        <v>1</v>
      </c>
      <c r="Q1444" s="8">
        <f>IF($Q$1,tblSalaries[[#This Row],[PPP Factor]]*tblSalaries[[#This Row],[Salary in USD]],tblSalaries[[#This Row],[Salary in USD]])</f>
        <v>149907.13380100971</v>
      </c>
    </row>
    <row r="1445" spans="2:17" ht="15" customHeight="1" x14ac:dyDescent="0.25">
      <c r="B1445" t="s">
        <v>3448</v>
      </c>
      <c r="C1445" s="1">
        <v>41059.709143518521</v>
      </c>
      <c r="D1445" s="4">
        <v>230000</v>
      </c>
      <c r="E1445">
        <v>230000</v>
      </c>
      <c r="F1445" t="s">
        <v>40</v>
      </c>
      <c r="G1445">
        <f>tblSalaries[[#This Row],[clean Salary (in local currency)]]*VLOOKUP(tblSalaries[[#This Row],[Currency]],tblXrate[],2,FALSE)</f>
        <v>4095.8208381117906</v>
      </c>
      <c r="H1445" t="s">
        <v>1624</v>
      </c>
      <c r="I1445" t="s">
        <v>20</v>
      </c>
      <c r="J1445" t="s">
        <v>8</v>
      </c>
      <c r="K1445" t="str">
        <f>VLOOKUP(tblSalaries[[#This Row],[Where do you work]],tblCountries[[Actual]:[Mapping]],2,FALSE)</f>
        <v>India</v>
      </c>
      <c r="L1445" t="s">
        <v>9</v>
      </c>
      <c r="M1445">
        <v>1.6</v>
      </c>
      <c r="N1445" s="8" t="str">
        <f>VLOOKUP(K1445,tblCountries[],3,0)</f>
        <v>Asia</v>
      </c>
      <c r="O1445" s="8">
        <f>VLOOKUP(tblSalaries[[#This Row],[How many hours of a day you work on Excel]],tblHours,2,0)</f>
        <v>4</v>
      </c>
      <c r="P1445" s="8">
        <f>VLOOKUP(tblSalaries[[#This Row],[clean Country]],tblCountries[],5,0)</f>
        <v>13.098808879263672</v>
      </c>
      <c r="Q1445" s="8">
        <f>IF($Q$1,tblSalaries[[#This Row],[PPP Factor]]*tblSalaries[[#This Row],[Salary in USD]],tblSalaries[[#This Row],[Salary in USD]])</f>
        <v>4095.8208381117906</v>
      </c>
    </row>
    <row r="1446" spans="2:17" ht="15" customHeight="1" x14ac:dyDescent="0.25">
      <c r="B1446" t="s">
        <v>3449</v>
      </c>
      <c r="C1446" s="1">
        <v>41059.711724537039</v>
      </c>
      <c r="D1446" s="4" t="s">
        <v>1625</v>
      </c>
      <c r="E1446">
        <v>125000</v>
      </c>
      <c r="F1446" t="s">
        <v>82</v>
      </c>
      <c r="G1446">
        <f>tblSalaries[[#This Row],[clean Salary (in local currency)]]*VLOOKUP(tblSalaries[[#This Row],[Currency]],tblXrate[],2,FALSE)</f>
        <v>127488.70705032947</v>
      </c>
      <c r="H1446" t="s">
        <v>1626</v>
      </c>
      <c r="I1446" t="s">
        <v>310</v>
      </c>
      <c r="J1446" t="s">
        <v>84</v>
      </c>
      <c r="K1446" t="str">
        <f>VLOOKUP(tblSalaries[[#This Row],[Where do you work]],tblCountries[[Actual]:[Mapping]],2,FALSE)</f>
        <v>Australia</v>
      </c>
      <c r="L1446" t="s">
        <v>9</v>
      </c>
      <c r="M1446">
        <v>7</v>
      </c>
      <c r="N1446" s="8" t="str">
        <f>VLOOKUP(K1446,tblCountries[],3,0)</f>
        <v>Oceania</v>
      </c>
      <c r="O1446" s="8">
        <f>VLOOKUP(tblSalaries[[#This Row],[How many hours of a day you work on Excel]],tblHours,2,0)</f>
        <v>4</v>
      </c>
      <c r="P1446" s="8">
        <f>VLOOKUP(tblSalaries[[#This Row],[clean Country]],tblCountries[],5,0)</f>
        <v>1.2026395585822935</v>
      </c>
      <c r="Q1446" s="8">
        <f>IF($Q$1,tblSalaries[[#This Row],[PPP Factor]]*tblSalaries[[#This Row],[Salary in USD]],tblSalaries[[#This Row],[Salary in USD]])</f>
        <v>127488.70705032947</v>
      </c>
    </row>
    <row r="1447" spans="2:17" ht="15" customHeight="1" x14ac:dyDescent="0.25">
      <c r="B1447" t="s">
        <v>3450</v>
      </c>
      <c r="C1447" s="1">
        <v>41059.713738425926</v>
      </c>
      <c r="D1447" s="4" t="s">
        <v>1627</v>
      </c>
      <c r="E1447">
        <v>37000</v>
      </c>
      <c r="F1447" t="s">
        <v>69</v>
      </c>
      <c r="G1447">
        <f>tblSalaries[[#This Row],[clean Salary (in local currency)]]*VLOOKUP(tblSalaries[[#This Row],[Currency]],tblXrate[],2,FALSE)</f>
        <v>58318.59606648951</v>
      </c>
      <c r="H1447" t="s">
        <v>1628</v>
      </c>
      <c r="I1447" t="s">
        <v>52</v>
      </c>
      <c r="J1447" t="s">
        <v>71</v>
      </c>
      <c r="K1447" t="str">
        <f>VLOOKUP(tblSalaries[[#This Row],[Where do you work]],tblCountries[[Actual]:[Mapping]],2,FALSE)</f>
        <v>UK</v>
      </c>
      <c r="L1447" t="s">
        <v>13</v>
      </c>
      <c r="M1447">
        <v>20</v>
      </c>
      <c r="N1447" s="8" t="str">
        <f>VLOOKUP(K1447,tblCountries[],3,0)</f>
        <v>Europe</v>
      </c>
      <c r="O1447" s="8">
        <f>VLOOKUP(tblSalaries[[#This Row],[How many hours of a day you work on Excel]],tblHours,2,0)</f>
        <v>5</v>
      </c>
      <c r="P1447" s="8">
        <f>VLOOKUP(tblSalaries[[#This Row],[clean Country]],tblCountries[],5,0)</f>
        <v>1.3407315045719035</v>
      </c>
      <c r="Q1447" s="8">
        <f>IF($Q$1,tblSalaries[[#This Row],[PPP Factor]]*tblSalaries[[#This Row],[Salary in USD]],tblSalaries[[#This Row],[Salary in USD]])</f>
        <v>58318.59606648951</v>
      </c>
    </row>
    <row r="1448" spans="2:17" ht="15" customHeight="1" x14ac:dyDescent="0.25">
      <c r="B1448" t="s">
        <v>3451</v>
      </c>
      <c r="C1448" s="1">
        <v>41059.718368055554</v>
      </c>
      <c r="D1448" s="4" t="s">
        <v>1629</v>
      </c>
      <c r="E1448">
        <v>78000</v>
      </c>
      <c r="F1448" t="s">
        <v>585</v>
      </c>
      <c r="G1448">
        <f>tblSalaries[[#This Row],[clean Salary (in local currency)]]*VLOOKUP(tblSalaries[[#This Row],[Currency]],tblXrate[],2,FALSE)</f>
        <v>9509.8988293070688</v>
      </c>
      <c r="H1448" t="s">
        <v>1630</v>
      </c>
      <c r="I1448" t="s">
        <v>488</v>
      </c>
      <c r="J1448" t="s">
        <v>48</v>
      </c>
      <c r="K1448" t="str">
        <f>VLOOKUP(tblSalaries[[#This Row],[Where do you work]],tblCountries[[Actual]:[Mapping]],2,FALSE)</f>
        <v>South Africa</v>
      </c>
      <c r="L1448" t="s">
        <v>9</v>
      </c>
      <c r="M1448">
        <v>2</v>
      </c>
      <c r="N1448" s="8" t="str">
        <f>VLOOKUP(K1448,tblCountries[],3,0)</f>
        <v>Africa</v>
      </c>
      <c r="O1448" s="8">
        <f>VLOOKUP(tblSalaries[[#This Row],[How many hours of a day you work on Excel]],tblHours,2,0)</f>
        <v>4</v>
      </c>
      <c r="P1448" s="8">
        <f>VLOOKUP(tblSalaries[[#This Row],[clean Country]],tblCountries[],5,0)</f>
        <v>4.4096418481727877</v>
      </c>
      <c r="Q1448" s="8">
        <f>IF($Q$1,tblSalaries[[#This Row],[PPP Factor]]*tblSalaries[[#This Row],[Salary in USD]],tblSalaries[[#This Row],[Salary in USD]])</f>
        <v>9509.8988293070688</v>
      </c>
    </row>
    <row r="1449" spans="2:17" ht="15" customHeight="1" x14ac:dyDescent="0.25">
      <c r="B1449" t="s">
        <v>3452</v>
      </c>
      <c r="C1449" s="1">
        <v>41059.721273148149</v>
      </c>
      <c r="D1449" s="4" t="s">
        <v>1631</v>
      </c>
      <c r="E1449">
        <v>720000</v>
      </c>
      <c r="F1449" t="s">
        <v>40</v>
      </c>
      <c r="G1449">
        <f>tblSalaries[[#This Row],[clean Salary (in local currency)]]*VLOOKUP(tblSalaries[[#This Row],[Currency]],tblXrate[],2,FALSE)</f>
        <v>12821.700014958649</v>
      </c>
      <c r="H1449" t="s">
        <v>1632</v>
      </c>
      <c r="I1449" t="s">
        <v>20</v>
      </c>
      <c r="J1449" t="s">
        <v>8</v>
      </c>
      <c r="K1449" t="str">
        <f>VLOOKUP(tblSalaries[[#This Row],[Where do you work]],tblCountries[[Actual]:[Mapping]],2,FALSE)</f>
        <v>India</v>
      </c>
      <c r="L1449" t="s">
        <v>9</v>
      </c>
      <c r="M1449">
        <v>3</v>
      </c>
      <c r="N1449" s="8" t="str">
        <f>VLOOKUP(K1449,tblCountries[],3,0)</f>
        <v>Asia</v>
      </c>
      <c r="O1449" s="8">
        <f>VLOOKUP(tblSalaries[[#This Row],[How many hours of a day you work on Excel]],tblHours,2,0)</f>
        <v>4</v>
      </c>
      <c r="P1449" s="8">
        <f>VLOOKUP(tblSalaries[[#This Row],[clean Country]],tblCountries[],5,0)</f>
        <v>13.098808879263672</v>
      </c>
      <c r="Q1449" s="8">
        <f>IF($Q$1,tblSalaries[[#This Row],[PPP Factor]]*tblSalaries[[#This Row],[Salary in USD]],tblSalaries[[#This Row],[Salary in USD]])</f>
        <v>12821.700014958649</v>
      </c>
    </row>
    <row r="1450" spans="2:17" ht="15" customHeight="1" x14ac:dyDescent="0.25">
      <c r="B1450" t="s">
        <v>3453</v>
      </c>
      <c r="C1450" s="1">
        <v>41059.760740740741</v>
      </c>
      <c r="D1450" s="4">
        <v>4000</v>
      </c>
      <c r="E1450">
        <v>4000</v>
      </c>
      <c r="F1450" t="s">
        <v>6</v>
      </c>
      <c r="G1450">
        <f>tblSalaries[[#This Row],[clean Salary (in local currency)]]*VLOOKUP(tblSalaries[[#This Row],[Currency]],tblXrate[],2,FALSE)</f>
        <v>4000</v>
      </c>
      <c r="H1450" t="s">
        <v>1633</v>
      </c>
      <c r="I1450" t="s">
        <v>20</v>
      </c>
      <c r="J1450" t="s">
        <v>8</v>
      </c>
      <c r="K1450" t="str">
        <f>VLOOKUP(tblSalaries[[#This Row],[Where do you work]],tblCountries[[Actual]:[Mapping]],2,FALSE)</f>
        <v>India</v>
      </c>
      <c r="L1450" t="s">
        <v>13</v>
      </c>
      <c r="M1450">
        <v>6</v>
      </c>
      <c r="N1450" s="8" t="str">
        <f>VLOOKUP(K1450,tblCountries[],3,0)</f>
        <v>Asia</v>
      </c>
      <c r="O1450" s="8">
        <f>VLOOKUP(tblSalaries[[#This Row],[How many hours of a day you work on Excel]],tblHours,2,0)</f>
        <v>5</v>
      </c>
      <c r="P1450" s="8">
        <f>VLOOKUP(tblSalaries[[#This Row],[clean Country]],tblCountries[],5,0)</f>
        <v>13.098808879263672</v>
      </c>
      <c r="Q1450" s="8">
        <f>IF($Q$1,tblSalaries[[#This Row],[PPP Factor]]*tblSalaries[[#This Row],[Salary in USD]],tblSalaries[[#This Row],[Salary in USD]])</f>
        <v>4000</v>
      </c>
    </row>
    <row r="1451" spans="2:17" ht="15" customHeight="1" x14ac:dyDescent="0.25">
      <c r="B1451" t="s">
        <v>3454</v>
      </c>
      <c r="C1451" s="1">
        <v>41059.76116898148</v>
      </c>
      <c r="D1451" s="4">
        <v>42000</v>
      </c>
      <c r="E1451">
        <v>42000</v>
      </c>
      <c r="F1451" t="s">
        <v>6</v>
      </c>
      <c r="G1451">
        <f>tblSalaries[[#This Row],[clean Salary (in local currency)]]*VLOOKUP(tblSalaries[[#This Row],[Currency]],tblXrate[],2,FALSE)</f>
        <v>42000</v>
      </c>
      <c r="H1451" t="s">
        <v>1634</v>
      </c>
      <c r="I1451" t="s">
        <v>20</v>
      </c>
      <c r="J1451" t="s">
        <v>15</v>
      </c>
      <c r="K1451" t="str">
        <f>VLOOKUP(tblSalaries[[#This Row],[Where do you work]],tblCountries[[Actual]:[Mapping]],2,FALSE)</f>
        <v>USA</v>
      </c>
      <c r="L1451" t="s">
        <v>13</v>
      </c>
      <c r="M1451">
        <v>2</v>
      </c>
      <c r="N1451" s="8" t="str">
        <f>VLOOKUP(K1451,tblCountries[],3,0)</f>
        <v>North Amer.</v>
      </c>
      <c r="O1451" s="8">
        <f>VLOOKUP(tblSalaries[[#This Row],[How many hours of a day you work on Excel]],tblHours,2,0)</f>
        <v>5</v>
      </c>
      <c r="P1451" s="8">
        <f>VLOOKUP(tblSalaries[[#This Row],[clean Country]],tblCountries[],5,0)</f>
        <v>1</v>
      </c>
      <c r="Q1451" s="8">
        <f>IF($Q$1,tblSalaries[[#This Row],[PPP Factor]]*tblSalaries[[#This Row],[Salary in USD]],tblSalaries[[#This Row],[Salary in USD]])</f>
        <v>42000</v>
      </c>
    </row>
    <row r="1452" spans="2:17" ht="15" customHeight="1" x14ac:dyDescent="0.25">
      <c r="B1452" t="s">
        <v>3455</v>
      </c>
      <c r="C1452" s="1">
        <v>41059.782835648148</v>
      </c>
      <c r="D1452" s="4" t="s">
        <v>1635</v>
      </c>
      <c r="E1452">
        <v>3200</v>
      </c>
      <c r="F1452" t="s">
        <v>6</v>
      </c>
      <c r="G1452">
        <f>tblSalaries[[#This Row],[clean Salary (in local currency)]]*VLOOKUP(tblSalaries[[#This Row],[Currency]],tblXrate[],2,FALSE)</f>
        <v>3200</v>
      </c>
      <c r="H1452" t="s">
        <v>1636</v>
      </c>
      <c r="I1452" t="s">
        <v>52</v>
      </c>
      <c r="J1452" t="s">
        <v>8</v>
      </c>
      <c r="K1452" t="str">
        <f>VLOOKUP(tblSalaries[[#This Row],[Where do you work]],tblCountries[[Actual]:[Mapping]],2,FALSE)</f>
        <v>India</v>
      </c>
      <c r="L1452" t="s">
        <v>13</v>
      </c>
      <c r="M1452">
        <v>19</v>
      </c>
      <c r="N1452" s="8" t="str">
        <f>VLOOKUP(K1452,tblCountries[],3,0)</f>
        <v>Asia</v>
      </c>
      <c r="O1452" s="8">
        <f>VLOOKUP(tblSalaries[[#This Row],[How many hours of a day you work on Excel]],tblHours,2,0)</f>
        <v>5</v>
      </c>
      <c r="P1452" s="8">
        <f>VLOOKUP(tblSalaries[[#This Row],[clean Country]],tblCountries[],5,0)</f>
        <v>13.098808879263672</v>
      </c>
      <c r="Q1452" s="8">
        <f>IF($Q$1,tblSalaries[[#This Row],[PPP Factor]]*tblSalaries[[#This Row],[Salary in USD]],tblSalaries[[#This Row],[Salary in USD]])</f>
        <v>3200</v>
      </c>
    </row>
    <row r="1453" spans="2:17" ht="15" customHeight="1" x14ac:dyDescent="0.25">
      <c r="B1453" t="s">
        <v>3456</v>
      </c>
      <c r="C1453" s="1">
        <v>41059.786076388889</v>
      </c>
      <c r="D1453" s="4">
        <v>60000</v>
      </c>
      <c r="E1453">
        <v>60000</v>
      </c>
      <c r="F1453" t="s">
        <v>6</v>
      </c>
      <c r="G1453">
        <f>tblSalaries[[#This Row],[clean Salary (in local currency)]]*VLOOKUP(tblSalaries[[#This Row],[Currency]],tblXrate[],2,FALSE)</f>
        <v>60000</v>
      </c>
      <c r="H1453" t="s">
        <v>1637</v>
      </c>
      <c r="I1453" t="s">
        <v>20</v>
      </c>
      <c r="J1453" t="s">
        <v>1638</v>
      </c>
      <c r="K1453" t="str">
        <f>VLOOKUP(tblSalaries[[#This Row],[Where do you work]],tblCountries[[Actual]:[Mapping]],2,FALSE)</f>
        <v>Turkey</v>
      </c>
      <c r="L1453" t="s">
        <v>18</v>
      </c>
      <c r="M1453">
        <v>10</v>
      </c>
      <c r="N1453" s="8" t="str">
        <f>VLOOKUP(K1453,tblCountries[],3,0)</f>
        <v>Asia</v>
      </c>
      <c r="O1453" s="8">
        <f>VLOOKUP(tblSalaries[[#This Row],[How many hours of a day you work on Excel]],tblHours,2,0)</f>
        <v>3</v>
      </c>
      <c r="P1453" s="8">
        <f>VLOOKUP(tblSalaries[[#This Row],[clean Country]],tblCountries[],5,0)</f>
        <v>3.3331266790659226</v>
      </c>
      <c r="Q1453" s="8">
        <f>IF($Q$1,tblSalaries[[#This Row],[PPP Factor]]*tblSalaries[[#This Row],[Salary in USD]],tblSalaries[[#This Row],[Salary in USD]])</f>
        <v>60000</v>
      </c>
    </row>
    <row r="1454" spans="2:17" ht="15" customHeight="1" x14ac:dyDescent="0.25">
      <c r="B1454" t="s">
        <v>3457</v>
      </c>
      <c r="C1454" s="1">
        <v>41059.792592592596</v>
      </c>
      <c r="D1454" s="4">
        <v>85000</v>
      </c>
      <c r="E1454">
        <v>85000</v>
      </c>
      <c r="F1454" t="s">
        <v>6</v>
      </c>
      <c r="G1454">
        <f>tblSalaries[[#This Row],[clean Salary (in local currency)]]*VLOOKUP(tblSalaries[[#This Row],[Currency]],tblXrate[],2,FALSE)</f>
        <v>85000</v>
      </c>
      <c r="H1454" t="s">
        <v>1639</v>
      </c>
      <c r="I1454" t="s">
        <v>20</v>
      </c>
      <c r="J1454" t="s">
        <v>15</v>
      </c>
      <c r="K1454" t="str">
        <f>VLOOKUP(tblSalaries[[#This Row],[Where do you work]],tblCountries[[Actual]:[Mapping]],2,FALSE)</f>
        <v>USA</v>
      </c>
      <c r="L1454" t="s">
        <v>9</v>
      </c>
      <c r="M1454">
        <v>9</v>
      </c>
      <c r="N1454" s="8" t="str">
        <f>VLOOKUP(K1454,tblCountries[],3,0)</f>
        <v>North Amer.</v>
      </c>
      <c r="O1454" s="8">
        <f>VLOOKUP(tblSalaries[[#This Row],[How many hours of a day you work on Excel]],tblHours,2,0)</f>
        <v>4</v>
      </c>
      <c r="P1454" s="8">
        <f>VLOOKUP(tblSalaries[[#This Row],[clean Country]],tblCountries[],5,0)</f>
        <v>1</v>
      </c>
      <c r="Q1454" s="8">
        <f>IF($Q$1,tblSalaries[[#This Row],[PPP Factor]]*tblSalaries[[#This Row],[Salary in USD]],tblSalaries[[#This Row],[Salary in USD]])</f>
        <v>85000</v>
      </c>
    </row>
    <row r="1455" spans="2:17" ht="15" customHeight="1" x14ac:dyDescent="0.25">
      <c r="B1455" t="s">
        <v>3458</v>
      </c>
      <c r="C1455" s="1">
        <v>41059.794953703706</v>
      </c>
      <c r="D1455" s="4">
        <v>109000</v>
      </c>
      <c r="E1455">
        <v>109000</v>
      </c>
      <c r="F1455" t="s">
        <v>6</v>
      </c>
      <c r="G1455">
        <f>tblSalaries[[#This Row],[clean Salary (in local currency)]]*VLOOKUP(tblSalaries[[#This Row],[Currency]],tblXrate[],2,FALSE)</f>
        <v>109000</v>
      </c>
      <c r="H1455" t="s">
        <v>1640</v>
      </c>
      <c r="I1455" t="s">
        <v>52</v>
      </c>
      <c r="J1455" t="s">
        <v>15</v>
      </c>
      <c r="K1455" t="str">
        <f>VLOOKUP(tblSalaries[[#This Row],[Where do you work]],tblCountries[[Actual]:[Mapping]],2,FALSE)</f>
        <v>USA</v>
      </c>
      <c r="L1455" t="s">
        <v>9</v>
      </c>
      <c r="M1455">
        <v>15</v>
      </c>
      <c r="N1455" s="8" t="str">
        <f>VLOOKUP(K1455,tblCountries[],3,0)</f>
        <v>North Amer.</v>
      </c>
      <c r="O1455" s="8">
        <f>VLOOKUP(tblSalaries[[#This Row],[How many hours of a day you work on Excel]],tblHours,2,0)</f>
        <v>4</v>
      </c>
      <c r="P1455" s="8">
        <f>VLOOKUP(tblSalaries[[#This Row],[clean Country]],tblCountries[],5,0)</f>
        <v>1</v>
      </c>
      <c r="Q1455" s="8">
        <f>IF($Q$1,tblSalaries[[#This Row],[PPP Factor]]*tblSalaries[[#This Row],[Salary in USD]],tblSalaries[[#This Row],[Salary in USD]])</f>
        <v>109000</v>
      </c>
    </row>
    <row r="1456" spans="2:17" ht="15" customHeight="1" x14ac:dyDescent="0.25">
      <c r="B1456" t="s">
        <v>3459</v>
      </c>
      <c r="C1456" s="1">
        <v>41059.81082175926</v>
      </c>
      <c r="D1456" s="4" t="s">
        <v>1641</v>
      </c>
      <c r="E1456">
        <v>60000</v>
      </c>
      <c r="F1456" t="s">
        <v>22</v>
      </c>
      <c r="G1456">
        <f>tblSalaries[[#This Row],[clean Salary (in local currency)]]*VLOOKUP(tblSalaries[[#This Row],[Currency]],tblXrate[],2,FALSE)</f>
        <v>76223.966339496474</v>
      </c>
      <c r="H1456" t="s">
        <v>108</v>
      </c>
      <c r="I1456" t="s">
        <v>20</v>
      </c>
      <c r="J1456" t="s">
        <v>1351</v>
      </c>
      <c r="K1456" t="str">
        <f>VLOOKUP(tblSalaries[[#This Row],[Where do you work]],tblCountries[[Actual]:[Mapping]],2,FALSE)</f>
        <v>italy</v>
      </c>
      <c r="L1456" t="s">
        <v>13</v>
      </c>
      <c r="M1456">
        <v>14</v>
      </c>
      <c r="N1456" s="8" t="str">
        <f>VLOOKUP(K1456,tblCountries[],3,0)</f>
        <v>Europe</v>
      </c>
      <c r="O1456" s="8">
        <f>VLOOKUP(tblSalaries[[#This Row],[How many hours of a day you work on Excel]],tblHours,2,0)</f>
        <v>5</v>
      </c>
      <c r="P1456" s="8">
        <f>VLOOKUP(tblSalaries[[#This Row],[clean Country]],tblCountries[],5,0)</f>
        <v>1.5883337710084033</v>
      </c>
      <c r="Q1456" s="8">
        <f>IF($Q$1,tblSalaries[[#This Row],[PPP Factor]]*tblSalaries[[#This Row],[Salary in USD]],tblSalaries[[#This Row],[Salary in USD]])</f>
        <v>76223.966339496474</v>
      </c>
    </row>
    <row r="1457" spans="2:17" ht="15" customHeight="1" x14ac:dyDescent="0.25">
      <c r="B1457" t="s">
        <v>3460</v>
      </c>
      <c r="C1457" s="1">
        <v>41059.821412037039</v>
      </c>
      <c r="D1457" s="4">
        <v>77000</v>
      </c>
      <c r="E1457">
        <v>77000</v>
      </c>
      <c r="F1457" t="s">
        <v>6</v>
      </c>
      <c r="G1457">
        <f>tblSalaries[[#This Row],[clean Salary (in local currency)]]*VLOOKUP(tblSalaries[[#This Row],[Currency]],tblXrate[],2,FALSE)</f>
        <v>77000</v>
      </c>
      <c r="H1457" t="s">
        <v>1642</v>
      </c>
      <c r="I1457" t="s">
        <v>279</v>
      </c>
      <c r="J1457" t="s">
        <v>15</v>
      </c>
      <c r="K1457" t="str">
        <f>VLOOKUP(tblSalaries[[#This Row],[Where do you work]],tblCountries[[Actual]:[Mapping]],2,FALSE)</f>
        <v>USA</v>
      </c>
      <c r="L1457" t="s">
        <v>18</v>
      </c>
      <c r="M1457">
        <v>13</v>
      </c>
      <c r="N1457" s="8" t="str">
        <f>VLOOKUP(K1457,tblCountries[],3,0)</f>
        <v>North Amer.</v>
      </c>
      <c r="O1457" s="8">
        <f>VLOOKUP(tblSalaries[[#This Row],[How many hours of a day you work on Excel]],tblHours,2,0)</f>
        <v>3</v>
      </c>
      <c r="P1457" s="8">
        <f>VLOOKUP(tblSalaries[[#This Row],[clean Country]],tblCountries[],5,0)</f>
        <v>1</v>
      </c>
      <c r="Q1457" s="8">
        <f>IF($Q$1,tblSalaries[[#This Row],[PPP Factor]]*tblSalaries[[#This Row],[Salary in USD]],tblSalaries[[#This Row],[Salary in USD]])</f>
        <v>77000</v>
      </c>
    </row>
    <row r="1458" spans="2:17" ht="15" customHeight="1" x14ac:dyDescent="0.25">
      <c r="B1458" t="s">
        <v>3461</v>
      </c>
      <c r="C1458" s="1">
        <v>41059.822025462963</v>
      </c>
      <c r="D1458" s="4">
        <v>25000</v>
      </c>
      <c r="E1458">
        <v>25000</v>
      </c>
      <c r="F1458" t="s">
        <v>6</v>
      </c>
      <c r="G1458">
        <f>tblSalaries[[#This Row],[clean Salary (in local currency)]]*VLOOKUP(tblSalaries[[#This Row],[Currency]],tblXrate[],2,FALSE)</f>
        <v>25000</v>
      </c>
      <c r="H1458" t="s">
        <v>214</v>
      </c>
      <c r="I1458" t="s">
        <v>20</v>
      </c>
      <c r="J1458" t="s">
        <v>8</v>
      </c>
      <c r="K1458" t="str">
        <f>VLOOKUP(tblSalaries[[#This Row],[Where do you work]],tblCountries[[Actual]:[Mapping]],2,FALSE)</f>
        <v>India</v>
      </c>
      <c r="L1458" t="s">
        <v>13</v>
      </c>
      <c r="M1458">
        <v>4</v>
      </c>
      <c r="N1458" s="8" t="str">
        <f>VLOOKUP(K1458,tblCountries[],3,0)</f>
        <v>Asia</v>
      </c>
      <c r="O1458" s="8">
        <f>VLOOKUP(tblSalaries[[#This Row],[How many hours of a day you work on Excel]],tblHours,2,0)</f>
        <v>5</v>
      </c>
      <c r="P1458" s="8">
        <f>VLOOKUP(tblSalaries[[#This Row],[clean Country]],tblCountries[],5,0)</f>
        <v>13.098808879263672</v>
      </c>
      <c r="Q1458" s="8">
        <f>IF($Q$1,tblSalaries[[#This Row],[PPP Factor]]*tblSalaries[[#This Row],[Salary in USD]],tblSalaries[[#This Row],[Salary in USD]])</f>
        <v>25000</v>
      </c>
    </row>
    <row r="1459" spans="2:17" ht="15" customHeight="1" x14ac:dyDescent="0.25">
      <c r="B1459" t="s">
        <v>3462</v>
      </c>
      <c r="C1459" s="1">
        <v>41059.847118055557</v>
      </c>
      <c r="D1459" s="4">
        <v>64000</v>
      </c>
      <c r="E1459">
        <v>64000</v>
      </c>
      <c r="F1459" t="s">
        <v>6</v>
      </c>
      <c r="G1459">
        <f>tblSalaries[[#This Row],[clean Salary (in local currency)]]*VLOOKUP(tblSalaries[[#This Row],[Currency]],tblXrate[],2,FALSE)</f>
        <v>64000</v>
      </c>
      <c r="H1459" t="s">
        <v>564</v>
      </c>
      <c r="I1459" t="s">
        <v>52</v>
      </c>
      <c r="J1459" t="s">
        <v>15</v>
      </c>
      <c r="K1459" t="str">
        <f>VLOOKUP(tblSalaries[[#This Row],[Where do you work]],tblCountries[[Actual]:[Mapping]],2,FALSE)</f>
        <v>USA</v>
      </c>
      <c r="L1459" t="s">
        <v>18</v>
      </c>
      <c r="M1459">
        <v>12</v>
      </c>
      <c r="N1459" s="8" t="str">
        <f>VLOOKUP(K1459,tblCountries[],3,0)</f>
        <v>North Amer.</v>
      </c>
      <c r="O1459" s="8">
        <f>VLOOKUP(tblSalaries[[#This Row],[How many hours of a day you work on Excel]],tblHours,2,0)</f>
        <v>3</v>
      </c>
      <c r="P1459" s="8">
        <f>VLOOKUP(tblSalaries[[#This Row],[clean Country]],tblCountries[],5,0)</f>
        <v>1</v>
      </c>
      <c r="Q1459" s="8">
        <f>IF($Q$1,tblSalaries[[#This Row],[PPP Factor]]*tblSalaries[[#This Row],[Salary in USD]],tblSalaries[[#This Row],[Salary in USD]])</f>
        <v>64000</v>
      </c>
    </row>
    <row r="1460" spans="2:17" ht="15" customHeight="1" x14ac:dyDescent="0.25">
      <c r="B1460" t="s">
        <v>3463</v>
      </c>
      <c r="C1460" s="1">
        <v>41059.851504629631</v>
      </c>
      <c r="D1460" s="4">
        <v>146633</v>
      </c>
      <c r="E1460">
        <v>146633</v>
      </c>
      <c r="F1460" t="s">
        <v>69</v>
      </c>
      <c r="G1460">
        <f>tblSalaries[[#This Row],[clean Salary (in local currency)]]*VLOOKUP(tblSalaries[[#This Row],[Currency]],tblXrate[],2,FALSE)</f>
        <v>231119.74856804207</v>
      </c>
      <c r="H1460" t="s">
        <v>1643</v>
      </c>
      <c r="I1460" t="s">
        <v>279</v>
      </c>
      <c r="J1460" t="s">
        <v>71</v>
      </c>
      <c r="K1460" t="str">
        <f>VLOOKUP(tblSalaries[[#This Row],[Where do you work]],tblCountries[[Actual]:[Mapping]],2,FALSE)</f>
        <v>UK</v>
      </c>
      <c r="L1460" t="s">
        <v>18</v>
      </c>
      <c r="M1460">
        <v>10</v>
      </c>
      <c r="N1460" s="8" t="str">
        <f>VLOOKUP(K1460,tblCountries[],3,0)</f>
        <v>Europe</v>
      </c>
      <c r="O1460" s="8">
        <f>VLOOKUP(tblSalaries[[#This Row],[How many hours of a day you work on Excel]],tblHours,2,0)</f>
        <v>3</v>
      </c>
      <c r="P1460" s="8">
        <f>VLOOKUP(tblSalaries[[#This Row],[clean Country]],tblCountries[],5,0)</f>
        <v>1.3407315045719035</v>
      </c>
      <c r="Q1460" s="8">
        <f>IF($Q$1,tblSalaries[[#This Row],[PPP Factor]]*tblSalaries[[#This Row],[Salary in USD]],tblSalaries[[#This Row],[Salary in USD]])</f>
        <v>231119.74856804207</v>
      </c>
    </row>
    <row r="1461" spans="2:17" ht="15" customHeight="1" x14ac:dyDescent="0.25">
      <c r="B1461" t="s">
        <v>3464</v>
      </c>
      <c r="C1461" s="1">
        <v>41059.861631944441</v>
      </c>
      <c r="D1461" s="4">
        <v>76000</v>
      </c>
      <c r="E1461">
        <v>76000</v>
      </c>
      <c r="F1461" t="s">
        <v>6</v>
      </c>
      <c r="G1461">
        <f>tblSalaries[[#This Row],[clean Salary (in local currency)]]*VLOOKUP(tblSalaries[[#This Row],[Currency]],tblXrate[],2,FALSE)</f>
        <v>76000</v>
      </c>
      <c r="H1461" t="s">
        <v>688</v>
      </c>
      <c r="I1461" t="s">
        <v>20</v>
      </c>
      <c r="J1461" t="s">
        <v>15</v>
      </c>
      <c r="K1461" t="str">
        <f>VLOOKUP(tblSalaries[[#This Row],[Where do you work]],tblCountries[[Actual]:[Mapping]],2,FALSE)</f>
        <v>USA</v>
      </c>
      <c r="L1461" t="s">
        <v>13</v>
      </c>
      <c r="M1461">
        <v>10</v>
      </c>
      <c r="N1461" s="8" t="str">
        <f>VLOOKUP(K1461,tblCountries[],3,0)</f>
        <v>North Amer.</v>
      </c>
      <c r="O1461" s="8">
        <f>VLOOKUP(tblSalaries[[#This Row],[How many hours of a day you work on Excel]],tblHours,2,0)</f>
        <v>5</v>
      </c>
      <c r="P1461" s="8">
        <f>VLOOKUP(tblSalaries[[#This Row],[clean Country]],tblCountries[],5,0)</f>
        <v>1</v>
      </c>
      <c r="Q1461" s="8">
        <f>IF($Q$1,tblSalaries[[#This Row],[PPP Factor]]*tblSalaries[[#This Row],[Salary in USD]],tblSalaries[[#This Row],[Salary in USD]])</f>
        <v>76000</v>
      </c>
    </row>
    <row r="1462" spans="2:17" ht="15" customHeight="1" x14ac:dyDescent="0.25">
      <c r="B1462" t="s">
        <v>3465</v>
      </c>
      <c r="C1462" s="1">
        <v>41059.862812500003</v>
      </c>
      <c r="D1462" s="4">
        <v>10000</v>
      </c>
      <c r="E1462">
        <v>10000</v>
      </c>
      <c r="F1462" t="s">
        <v>69</v>
      </c>
      <c r="G1462">
        <f>tblSalaries[[#This Row],[clean Salary (in local currency)]]*VLOOKUP(tblSalaries[[#This Row],[Currency]],tblXrate[],2,FALSE)</f>
        <v>15761.782720672842</v>
      </c>
      <c r="H1462" t="s">
        <v>20</v>
      </c>
      <c r="I1462" t="s">
        <v>20</v>
      </c>
      <c r="J1462" t="s">
        <v>71</v>
      </c>
      <c r="K1462" t="str">
        <f>VLOOKUP(tblSalaries[[#This Row],[Where do you work]],tblCountries[[Actual]:[Mapping]],2,FALSE)</f>
        <v>UK</v>
      </c>
      <c r="L1462" t="s">
        <v>18</v>
      </c>
      <c r="M1462">
        <v>8</v>
      </c>
      <c r="N1462" s="8" t="str">
        <f>VLOOKUP(K1462,tblCountries[],3,0)</f>
        <v>Europe</v>
      </c>
      <c r="O1462" s="8">
        <f>VLOOKUP(tblSalaries[[#This Row],[How many hours of a day you work on Excel]],tblHours,2,0)</f>
        <v>3</v>
      </c>
      <c r="P1462" s="8">
        <f>VLOOKUP(tblSalaries[[#This Row],[clean Country]],tblCountries[],5,0)</f>
        <v>1.3407315045719035</v>
      </c>
      <c r="Q1462" s="8">
        <f>IF($Q$1,tblSalaries[[#This Row],[PPP Factor]]*tblSalaries[[#This Row],[Salary in USD]],tblSalaries[[#This Row],[Salary in USD]])</f>
        <v>15761.782720672842</v>
      </c>
    </row>
    <row r="1463" spans="2:17" ht="15" customHeight="1" x14ac:dyDescent="0.25">
      <c r="B1463" t="s">
        <v>3466</v>
      </c>
      <c r="C1463" s="1">
        <v>41059.863043981481</v>
      </c>
      <c r="D1463" s="4" t="s">
        <v>1644</v>
      </c>
      <c r="E1463">
        <v>165000</v>
      </c>
      <c r="F1463" t="s">
        <v>82</v>
      </c>
      <c r="G1463">
        <f>tblSalaries[[#This Row],[clean Salary (in local currency)]]*VLOOKUP(tblSalaries[[#This Row],[Currency]],tblXrate[],2,FALSE)</f>
        <v>168285.09330643489</v>
      </c>
      <c r="H1463" t="s">
        <v>279</v>
      </c>
      <c r="I1463" t="s">
        <v>279</v>
      </c>
      <c r="J1463" t="s">
        <v>84</v>
      </c>
      <c r="K1463" t="str">
        <f>VLOOKUP(tblSalaries[[#This Row],[Where do you work]],tblCountries[[Actual]:[Mapping]],2,FALSE)</f>
        <v>Australia</v>
      </c>
      <c r="L1463" t="s">
        <v>18</v>
      </c>
      <c r="M1463">
        <v>17</v>
      </c>
      <c r="N1463" s="8" t="str">
        <f>VLOOKUP(K1463,tblCountries[],3,0)</f>
        <v>Oceania</v>
      </c>
      <c r="O1463" s="8">
        <f>VLOOKUP(tblSalaries[[#This Row],[How many hours of a day you work on Excel]],tblHours,2,0)</f>
        <v>3</v>
      </c>
      <c r="P1463" s="8">
        <f>VLOOKUP(tblSalaries[[#This Row],[clean Country]],tblCountries[],5,0)</f>
        <v>1.2026395585822935</v>
      </c>
      <c r="Q1463" s="8">
        <f>IF($Q$1,tblSalaries[[#This Row],[PPP Factor]]*tblSalaries[[#This Row],[Salary in USD]],tblSalaries[[#This Row],[Salary in USD]])</f>
        <v>168285.09330643489</v>
      </c>
    </row>
    <row r="1464" spans="2:17" ht="15" customHeight="1" x14ac:dyDescent="0.25">
      <c r="B1464" t="s">
        <v>3467</v>
      </c>
      <c r="C1464" s="1">
        <v>41059.866608796299</v>
      </c>
      <c r="D1464" s="4" t="s">
        <v>1645</v>
      </c>
      <c r="E1464">
        <v>50000</v>
      </c>
      <c r="F1464" t="s">
        <v>6</v>
      </c>
      <c r="G1464">
        <f>tblSalaries[[#This Row],[clean Salary (in local currency)]]*VLOOKUP(tblSalaries[[#This Row],[Currency]],tblXrate[],2,FALSE)</f>
        <v>50000</v>
      </c>
      <c r="H1464" t="s">
        <v>282</v>
      </c>
      <c r="I1464" t="s">
        <v>20</v>
      </c>
      <c r="J1464" t="s">
        <v>1176</v>
      </c>
      <c r="K1464" t="str">
        <f>VLOOKUP(tblSalaries[[#This Row],[Where do you work]],tblCountries[[Actual]:[Mapping]],2,FALSE)</f>
        <v>Kuwait</v>
      </c>
      <c r="L1464" t="s">
        <v>9</v>
      </c>
      <c r="M1464">
        <v>13</v>
      </c>
      <c r="N1464" s="8" t="str">
        <f>VLOOKUP(K1464,tblCountries[],3,0)</f>
        <v>Asia</v>
      </c>
      <c r="O1464" s="8">
        <f>VLOOKUP(tblSalaries[[#This Row],[How many hours of a day you work on Excel]],tblHours,2,0)</f>
        <v>4</v>
      </c>
      <c r="P1464" s="8">
        <f>VLOOKUP(tblSalaries[[#This Row],[clean Country]],tblCountries[],5,0)</f>
        <v>1.1606102036410737</v>
      </c>
      <c r="Q1464" s="8">
        <f>IF($Q$1,tblSalaries[[#This Row],[PPP Factor]]*tblSalaries[[#This Row],[Salary in USD]],tblSalaries[[#This Row],[Salary in USD]])</f>
        <v>50000</v>
      </c>
    </row>
    <row r="1465" spans="2:17" ht="15" customHeight="1" x14ac:dyDescent="0.25">
      <c r="B1465" t="s">
        <v>3468</v>
      </c>
      <c r="C1465" s="1">
        <v>41059.87027777778</v>
      </c>
      <c r="D1465" s="4" t="s">
        <v>1646</v>
      </c>
      <c r="E1465">
        <v>7200</v>
      </c>
      <c r="F1465" t="s">
        <v>6</v>
      </c>
      <c r="G1465">
        <f>tblSalaries[[#This Row],[clean Salary (in local currency)]]*VLOOKUP(tblSalaries[[#This Row],[Currency]],tblXrate[],2,FALSE)</f>
        <v>7200</v>
      </c>
      <c r="H1465" t="s">
        <v>1647</v>
      </c>
      <c r="I1465" t="s">
        <v>488</v>
      </c>
      <c r="J1465" t="s">
        <v>184</v>
      </c>
      <c r="K1465" t="str">
        <f>VLOOKUP(tblSalaries[[#This Row],[Where do you work]],tblCountries[[Actual]:[Mapping]],2,FALSE)</f>
        <v>Colombia</v>
      </c>
      <c r="L1465" t="s">
        <v>9</v>
      </c>
      <c r="M1465">
        <v>8</v>
      </c>
      <c r="N1465" s="8" t="str">
        <f>VLOOKUP(K1465,tblCountries[],3,0)</f>
        <v>South Amer.</v>
      </c>
      <c r="O1465" s="8">
        <f>VLOOKUP(tblSalaries[[#This Row],[How many hours of a day you work on Excel]],tblHours,2,0)</f>
        <v>4</v>
      </c>
      <c r="P1465" s="8">
        <f>VLOOKUP(tblSalaries[[#This Row],[clean Country]],tblCountries[],5,0)</f>
        <v>4.721143526197678</v>
      </c>
      <c r="Q1465" s="8">
        <f>IF($Q$1,tblSalaries[[#This Row],[PPP Factor]]*tblSalaries[[#This Row],[Salary in USD]],tblSalaries[[#This Row],[Salary in USD]])</f>
        <v>7200</v>
      </c>
    </row>
    <row r="1466" spans="2:17" ht="15" customHeight="1" x14ac:dyDescent="0.25">
      <c r="B1466" t="s">
        <v>3469</v>
      </c>
      <c r="C1466" s="1">
        <v>41059.880486111113</v>
      </c>
      <c r="D1466" s="4">
        <v>42000</v>
      </c>
      <c r="E1466">
        <v>42000</v>
      </c>
      <c r="F1466" t="s">
        <v>22</v>
      </c>
      <c r="G1466">
        <f>tblSalaries[[#This Row],[clean Salary (in local currency)]]*VLOOKUP(tblSalaries[[#This Row],[Currency]],tblXrate[],2,FALSE)</f>
        <v>53356.776437647524</v>
      </c>
      <c r="H1466" t="s">
        <v>1648</v>
      </c>
      <c r="I1466" t="s">
        <v>356</v>
      </c>
      <c r="J1466" t="s">
        <v>24</v>
      </c>
      <c r="K1466" t="str">
        <f>VLOOKUP(tblSalaries[[#This Row],[Where do you work]],tblCountries[[Actual]:[Mapping]],2,FALSE)</f>
        <v>Germany</v>
      </c>
      <c r="L1466" t="s">
        <v>13</v>
      </c>
      <c r="M1466">
        <v>7</v>
      </c>
      <c r="N1466" s="8" t="str">
        <f>VLOOKUP(K1466,tblCountries[],3,0)</f>
        <v>Europe</v>
      </c>
      <c r="O1466" s="8">
        <f>VLOOKUP(tblSalaries[[#This Row],[How many hours of a day you work on Excel]],tblHours,2,0)</f>
        <v>5</v>
      </c>
      <c r="P1466" s="8">
        <f>VLOOKUP(tblSalaries[[#This Row],[clean Country]],tblCountries[],5,0)</f>
        <v>1.276802913159353</v>
      </c>
      <c r="Q1466" s="8">
        <f>IF($Q$1,tblSalaries[[#This Row],[PPP Factor]]*tblSalaries[[#This Row],[Salary in USD]],tblSalaries[[#This Row],[Salary in USD]])</f>
        <v>53356.776437647524</v>
      </c>
    </row>
    <row r="1467" spans="2:17" ht="15" customHeight="1" x14ac:dyDescent="0.25">
      <c r="B1467" t="s">
        <v>3470</v>
      </c>
      <c r="C1467" s="1">
        <v>41059.888553240744</v>
      </c>
      <c r="D1467" s="4">
        <v>45000</v>
      </c>
      <c r="E1467">
        <v>45000</v>
      </c>
      <c r="F1467" t="s">
        <v>6</v>
      </c>
      <c r="G1467">
        <f>tblSalaries[[#This Row],[clean Salary (in local currency)]]*VLOOKUP(tblSalaries[[#This Row],[Currency]],tblXrate[],2,FALSE)</f>
        <v>45000</v>
      </c>
      <c r="H1467" t="s">
        <v>1144</v>
      </c>
      <c r="I1467" t="s">
        <v>67</v>
      </c>
      <c r="J1467" t="s">
        <v>15</v>
      </c>
      <c r="K1467" t="str">
        <f>VLOOKUP(tblSalaries[[#This Row],[Where do you work]],tblCountries[[Actual]:[Mapping]],2,FALSE)</f>
        <v>USA</v>
      </c>
      <c r="L1467" t="s">
        <v>18</v>
      </c>
      <c r="M1467">
        <v>10</v>
      </c>
      <c r="N1467" s="8" t="str">
        <f>VLOOKUP(K1467,tblCountries[],3,0)</f>
        <v>North Amer.</v>
      </c>
      <c r="O1467" s="8">
        <f>VLOOKUP(tblSalaries[[#This Row],[How many hours of a day you work on Excel]],tblHours,2,0)</f>
        <v>3</v>
      </c>
      <c r="P1467" s="8">
        <f>VLOOKUP(tblSalaries[[#This Row],[clean Country]],tblCountries[],5,0)</f>
        <v>1</v>
      </c>
      <c r="Q1467" s="8">
        <f>IF($Q$1,tblSalaries[[#This Row],[PPP Factor]]*tblSalaries[[#This Row],[Salary in USD]],tblSalaries[[#This Row],[Salary in USD]])</f>
        <v>45000</v>
      </c>
    </row>
    <row r="1468" spans="2:17" ht="15" customHeight="1" x14ac:dyDescent="0.25">
      <c r="B1468" t="s">
        <v>3471</v>
      </c>
      <c r="C1468" s="1">
        <v>41059.893101851849</v>
      </c>
      <c r="D1468" s="4">
        <v>5000</v>
      </c>
      <c r="E1468">
        <v>5000</v>
      </c>
      <c r="F1468" t="s">
        <v>6</v>
      </c>
      <c r="G1468">
        <f>tblSalaries[[#This Row],[clean Salary (in local currency)]]*VLOOKUP(tblSalaries[[#This Row],[Currency]],tblXrate[],2,FALSE)</f>
        <v>5000</v>
      </c>
      <c r="H1468" t="s">
        <v>1649</v>
      </c>
      <c r="I1468" t="s">
        <v>52</v>
      </c>
      <c r="J1468" t="s">
        <v>8</v>
      </c>
      <c r="K1468" t="str">
        <f>VLOOKUP(tblSalaries[[#This Row],[Where do you work]],tblCountries[[Actual]:[Mapping]],2,FALSE)</f>
        <v>India</v>
      </c>
      <c r="L1468" t="s">
        <v>13</v>
      </c>
      <c r="M1468">
        <v>4</v>
      </c>
      <c r="N1468" s="8" t="str">
        <f>VLOOKUP(K1468,tblCountries[],3,0)</f>
        <v>Asia</v>
      </c>
      <c r="O1468" s="8">
        <f>VLOOKUP(tblSalaries[[#This Row],[How many hours of a day you work on Excel]],tblHours,2,0)</f>
        <v>5</v>
      </c>
      <c r="P1468" s="8">
        <f>VLOOKUP(tblSalaries[[#This Row],[clean Country]],tblCountries[],5,0)</f>
        <v>13.098808879263672</v>
      </c>
      <c r="Q1468" s="8">
        <f>IF($Q$1,tblSalaries[[#This Row],[PPP Factor]]*tblSalaries[[#This Row],[Salary in USD]],tblSalaries[[#This Row],[Salary in USD]])</f>
        <v>5000</v>
      </c>
    </row>
    <row r="1469" spans="2:17" ht="15" customHeight="1" x14ac:dyDescent="0.25">
      <c r="B1469" t="s">
        <v>3472</v>
      </c>
      <c r="C1469" s="1">
        <v>41059.906319444446</v>
      </c>
      <c r="D1469" s="4">
        <v>74000</v>
      </c>
      <c r="E1469">
        <v>74000</v>
      </c>
      <c r="F1469" t="s">
        <v>82</v>
      </c>
      <c r="G1469">
        <f>tblSalaries[[#This Row],[clean Salary (in local currency)]]*VLOOKUP(tblSalaries[[#This Row],[Currency]],tblXrate[],2,FALSE)</f>
        <v>75473.31457379504</v>
      </c>
      <c r="H1469" t="s">
        <v>1650</v>
      </c>
      <c r="I1469" t="s">
        <v>20</v>
      </c>
      <c r="J1469" t="s">
        <v>84</v>
      </c>
      <c r="K1469" t="str">
        <f>VLOOKUP(tblSalaries[[#This Row],[Where do you work]],tblCountries[[Actual]:[Mapping]],2,FALSE)</f>
        <v>Australia</v>
      </c>
      <c r="L1469" t="s">
        <v>13</v>
      </c>
      <c r="M1469">
        <v>20</v>
      </c>
      <c r="N1469" s="8" t="str">
        <f>VLOOKUP(K1469,tblCountries[],3,0)</f>
        <v>Oceania</v>
      </c>
      <c r="O1469" s="8">
        <f>VLOOKUP(tblSalaries[[#This Row],[How many hours of a day you work on Excel]],tblHours,2,0)</f>
        <v>5</v>
      </c>
      <c r="P1469" s="8">
        <f>VLOOKUP(tblSalaries[[#This Row],[clean Country]],tblCountries[],5,0)</f>
        <v>1.2026395585822935</v>
      </c>
      <c r="Q1469" s="8">
        <f>IF($Q$1,tblSalaries[[#This Row],[PPP Factor]]*tblSalaries[[#This Row],[Salary in USD]],tblSalaries[[#This Row],[Salary in USD]])</f>
        <v>75473.31457379504</v>
      </c>
    </row>
    <row r="1470" spans="2:17" ht="15" customHeight="1" x14ac:dyDescent="0.25">
      <c r="B1470" t="s">
        <v>3473</v>
      </c>
      <c r="C1470" s="1">
        <v>41059.92454861111</v>
      </c>
      <c r="D1470" s="4" t="s">
        <v>816</v>
      </c>
      <c r="E1470">
        <v>15000</v>
      </c>
      <c r="F1470" t="s">
        <v>6</v>
      </c>
      <c r="G1470">
        <f>tblSalaries[[#This Row],[clean Salary (in local currency)]]*VLOOKUP(tblSalaries[[#This Row],[Currency]],tblXrate[],2,FALSE)</f>
        <v>15000</v>
      </c>
      <c r="H1470" t="s">
        <v>52</v>
      </c>
      <c r="I1470" t="s">
        <v>52</v>
      </c>
      <c r="J1470" t="s">
        <v>73</v>
      </c>
      <c r="K1470" t="str">
        <f>VLOOKUP(tblSalaries[[#This Row],[Where do you work]],tblCountries[[Actual]:[Mapping]],2,FALSE)</f>
        <v>Romania</v>
      </c>
      <c r="L1470" t="s">
        <v>18</v>
      </c>
      <c r="M1470">
        <v>5</v>
      </c>
      <c r="N1470" s="8" t="str">
        <f>VLOOKUP(K1470,tblCountries[],3,0)</f>
        <v>Europe</v>
      </c>
      <c r="O1470" s="8">
        <f>VLOOKUP(tblSalaries[[#This Row],[How many hours of a day you work on Excel]],tblHours,2,0)</f>
        <v>3</v>
      </c>
      <c r="P1470" s="8">
        <f>VLOOKUP(tblSalaries[[#This Row],[clean Country]],tblCountries[],5,0)</f>
        <v>3.8784065405578709</v>
      </c>
      <c r="Q1470" s="8">
        <f>IF($Q$1,tblSalaries[[#This Row],[PPP Factor]]*tblSalaries[[#This Row],[Salary in USD]],tblSalaries[[#This Row],[Salary in USD]])</f>
        <v>15000</v>
      </c>
    </row>
    <row r="1471" spans="2:17" ht="15" customHeight="1" x14ac:dyDescent="0.25">
      <c r="B1471" t="s">
        <v>3474</v>
      </c>
      <c r="C1471" s="1">
        <v>41059.938576388886</v>
      </c>
      <c r="D1471" s="4" t="s">
        <v>1651</v>
      </c>
      <c r="E1471">
        <v>33500</v>
      </c>
      <c r="F1471" t="s">
        <v>22</v>
      </c>
      <c r="G1471">
        <f>tblSalaries[[#This Row],[clean Salary (in local currency)]]*VLOOKUP(tblSalaries[[#This Row],[Currency]],tblXrate[],2,FALSE)</f>
        <v>42558.381206218859</v>
      </c>
      <c r="H1471" t="s">
        <v>1652</v>
      </c>
      <c r="I1471" t="s">
        <v>488</v>
      </c>
      <c r="J1471" t="s">
        <v>24</v>
      </c>
      <c r="K1471" t="str">
        <f>VLOOKUP(tblSalaries[[#This Row],[Where do you work]],tblCountries[[Actual]:[Mapping]],2,FALSE)</f>
        <v>Germany</v>
      </c>
      <c r="L1471" t="s">
        <v>13</v>
      </c>
      <c r="M1471">
        <v>8</v>
      </c>
      <c r="N1471" s="8" t="str">
        <f>VLOOKUP(K1471,tblCountries[],3,0)</f>
        <v>Europe</v>
      </c>
      <c r="O1471" s="8">
        <f>VLOOKUP(tblSalaries[[#This Row],[How many hours of a day you work on Excel]],tblHours,2,0)</f>
        <v>5</v>
      </c>
      <c r="P1471" s="8">
        <f>VLOOKUP(tblSalaries[[#This Row],[clean Country]],tblCountries[],5,0)</f>
        <v>1.276802913159353</v>
      </c>
      <c r="Q1471" s="8">
        <f>IF($Q$1,tblSalaries[[#This Row],[PPP Factor]]*tblSalaries[[#This Row],[Salary in USD]],tblSalaries[[#This Row],[Salary in USD]])</f>
        <v>42558.381206218859</v>
      </c>
    </row>
    <row r="1472" spans="2:17" ht="15" customHeight="1" x14ac:dyDescent="0.25">
      <c r="B1472" t="s">
        <v>3475</v>
      </c>
      <c r="C1472" s="1">
        <v>41059.938599537039</v>
      </c>
      <c r="D1472" s="4" t="s">
        <v>1653</v>
      </c>
      <c r="E1472">
        <v>61000</v>
      </c>
      <c r="F1472" t="s">
        <v>6</v>
      </c>
      <c r="G1472">
        <f>tblSalaries[[#This Row],[clean Salary (in local currency)]]*VLOOKUP(tblSalaries[[#This Row],[Currency]],tblXrate[],2,FALSE)</f>
        <v>61000</v>
      </c>
      <c r="H1472" t="s">
        <v>14</v>
      </c>
      <c r="I1472" t="s">
        <v>20</v>
      </c>
      <c r="J1472" t="s">
        <v>15</v>
      </c>
      <c r="K1472" t="str">
        <f>VLOOKUP(tblSalaries[[#This Row],[Where do you work]],tblCountries[[Actual]:[Mapping]],2,FALSE)</f>
        <v>USA</v>
      </c>
      <c r="L1472" t="s">
        <v>9</v>
      </c>
      <c r="M1472">
        <v>5</v>
      </c>
      <c r="N1472" s="8" t="str">
        <f>VLOOKUP(K1472,tblCountries[],3,0)</f>
        <v>North Amer.</v>
      </c>
      <c r="O1472" s="8">
        <f>VLOOKUP(tblSalaries[[#This Row],[How many hours of a day you work on Excel]],tblHours,2,0)</f>
        <v>4</v>
      </c>
      <c r="P1472" s="8">
        <f>VLOOKUP(tblSalaries[[#This Row],[clean Country]],tblCountries[],5,0)</f>
        <v>1</v>
      </c>
      <c r="Q1472" s="8">
        <f>IF($Q$1,tblSalaries[[#This Row],[PPP Factor]]*tblSalaries[[#This Row],[Salary in USD]],tblSalaries[[#This Row],[Salary in USD]])</f>
        <v>61000</v>
      </c>
    </row>
    <row r="1473" spans="2:17" ht="15" customHeight="1" x14ac:dyDescent="0.25">
      <c r="B1473" t="s">
        <v>3476</v>
      </c>
      <c r="C1473" s="1">
        <v>41059.939131944448</v>
      </c>
      <c r="D1473" s="4">
        <v>66000</v>
      </c>
      <c r="E1473">
        <v>66000</v>
      </c>
      <c r="F1473" t="s">
        <v>6</v>
      </c>
      <c r="G1473">
        <f>tblSalaries[[#This Row],[clean Salary (in local currency)]]*VLOOKUP(tblSalaries[[#This Row],[Currency]],tblXrate[],2,FALSE)</f>
        <v>66000</v>
      </c>
      <c r="H1473" t="s">
        <v>1654</v>
      </c>
      <c r="I1473" t="s">
        <v>20</v>
      </c>
      <c r="J1473" t="s">
        <v>15</v>
      </c>
      <c r="K1473" t="str">
        <f>VLOOKUP(tblSalaries[[#This Row],[Where do you work]],tblCountries[[Actual]:[Mapping]],2,FALSE)</f>
        <v>USA</v>
      </c>
      <c r="L1473" t="s">
        <v>9</v>
      </c>
      <c r="M1473">
        <v>2</v>
      </c>
      <c r="N1473" s="8" t="str">
        <f>VLOOKUP(K1473,tblCountries[],3,0)</f>
        <v>North Amer.</v>
      </c>
      <c r="O1473" s="8">
        <f>VLOOKUP(tblSalaries[[#This Row],[How many hours of a day you work on Excel]],tblHours,2,0)</f>
        <v>4</v>
      </c>
      <c r="P1473" s="8">
        <f>VLOOKUP(tblSalaries[[#This Row],[clean Country]],tblCountries[],5,0)</f>
        <v>1</v>
      </c>
      <c r="Q1473" s="8">
        <f>IF($Q$1,tblSalaries[[#This Row],[PPP Factor]]*tblSalaries[[#This Row],[Salary in USD]],tblSalaries[[#This Row],[Salary in USD]])</f>
        <v>66000</v>
      </c>
    </row>
    <row r="1474" spans="2:17" ht="15" customHeight="1" x14ac:dyDescent="0.25">
      <c r="B1474" t="s">
        <v>3477</v>
      </c>
      <c r="C1474" s="1">
        <v>41059.958148148151</v>
      </c>
      <c r="D1474" s="4" t="s">
        <v>1655</v>
      </c>
      <c r="E1474">
        <v>278000</v>
      </c>
      <c r="F1474" t="s">
        <v>40</v>
      </c>
      <c r="G1474">
        <f>tblSalaries[[#This Row],[clean Salary (in local currency)]]*VLOOKUP(tblSalaries[[#This Row],[Currency]],tblXrate[],2,FALSE)</f>
        <v>4950.6008391090336</v>
      </c>
      <c r="H1474" t="s">
        <v>721</v>
      </c>
      <c r="I1474" t="s">
        <v>3999</v>
      </c>
      <c r="J1474" t="s">
        <v>8</v>
      </c>
      <c r="K1474" t="str">
        <f>VLOOKUP(tblSalaries[[#This Row],[Where do you work]],tblCountries[[Actual]:[Mapping]],2,FALSE)</f>
        <v>India</v>
      </c>
      <c r="L1474" t="s">
        <v>13</v>
      </c>
      <c r="M1474">
        <v>8</v>
      </c>
      <c r="N1474" s="8" t="str">
        <f>VLOOKUP(K1474,tblCountries[],3,0)</f>
        <v>Asia</v>
      </c>
      <c r="O1474" s="8">
        <f>VLOOKUP(tblSalaries[[#This Row],[How many hours of a day you work on Excel]],tblHours,2,0)</f>
        <v>5</v>
      </c>
      <c r="P1474" s="8">
        <f>VLOOKUP(tblSalaries[[#This Row],[clean Country]],tblCountries[],5,0)</f>
        <v>13.098808879263672</v>
      </c>
      <c r="Q1474" s="8">
        <f>IF($Q$1,tblSalaries[[#This Row],[PPP Factor]]*tblSalaries[[#This Row],[Salary in USD]],tblSalaries[[#This Row],[Salary in USD]])</f>
        <v>4950.6008391090336</v>
      </c>
    </row>
    <row r="1475" spans="2:17" ht="15" customHeight="1" x14ac:dyDescent="0.25">
      <c r="B1475" t="s">
        <v>3478</v>
      </c>
      <c r="C1475" s="1">
        <v>41059.959583333337</v>
      </c>
      <c r="D1475" s="4">
        <v>55000</v>
      </c>
      <c r="E1475">
        <v>55000</v>
      </c>
      <c r="F1475" t="s">
        <v>6</v>
      </c>
      <c r="G1475">
        <f>tblSalaries[[#This Row],[clean Salary (in local currency)]]*VLOOKUP(tblSalaries[[#This Row],[Currency]],tblXrate[],2,FALSE)</f>
        <v>55000</v>
      </c>
      <c r="H1475" t="s">
        <v>1656</v>
      </c>
      <c r="I1475" t="s">
        <v>52</v>
      </c>
      <c r="J1475" t="s">
        <v>15</v>
      </c>
      <c r="K1475" t="str">
        <f>VLOOKUP(tblSalaries[[#This Row],[Where do you work]],tblCountries[[Actual]:[Mapping]],2,FALSE)</f>
        <v>USA</v>
      </c>
      <c r="L1475" t="s">
        <v>18</v>
      </c>
      <c r="M1475">
        <v>14</v>
      </c>
      <c r="N1475" s="8" t="str">
        <f>VLOOKUP(K1475,tblCountries[],3,0)</f>
        <v>North Amer.</v>
      </c>
      <c r="O1475" s="8">
        <f>VLOOKUP(tblSalaries[[#This Row],[How many hours of a day you work on Excel]],tblHours,2,0)</f>
        <v>3</v>
      </c>
      <c r="P1475" s="8">
        <f>VLOOKUP(tblSalaries[[#This Row],[clean Country]],tblCountries[],5,0)</f>
        <v>1</v>
      </c>
      <c r="Q1475" s="8">
        <f>IF($Q$1,tblSalaries[[#This Row],[PPP Factor]]*tblSalaries[[#This Row],[Salary in USD]],tblSalaries[[#This Row],[Salary in USD]])</f>
        <v>55000</v>
      </c>
    </row>
    <row r="1476" spans="2:17" ht="15" customHeight="1" x14ac:dyDescent="0.25">
      <c r="B1476" t="s">
        <v>3479</v>
      </c>
      <c r="C1476" s="1">
        <v>41059.976388888892</v>
      </c>
      <c r="D1476" s="4">
        <v>32000</v>
      </c>
      <c r="E1476">
        <v>32000</v>
      </c>
      <c r="F1476" t="s">
        <v>6</v>
      </c>
      <c r="G1476">
        <f>tblSalaries[[#This Row],[clean Salary (in local currency)]]*VLOOKUP(tblSalaries[[#This Row],[Currency]],tblXrate[],2,FALSE)</f>
        <v>32000</v>
      </c>
      <c r="H1476" t="s">
        <v>1657</v>
      </c>
      <c r="I1476" t="s">
        <v>3999</v>
      </c>
      <c r="J1476" t="s">
        <v>15</v>
      </c>
      <c r="K1476" t="str">
        <f>VLOOKUP(tblSalaries[[#This Row],[Where do you work]],tblCountries[[Actual]:[Mapping]],2,FALSE)</f>
        <v>USA</v>
      </c>
      <c r="L1476" t="s">
        <v>9</v>
      </c>
      <c r="M1476">
        <v>10</v>
      </c>
      <c r="N1476" s="8" t="str">
        <f>VLOOKUP(K1476,tblCountries[],3,0)</f>
        <v>North Amer.</v>
      </c>
      <c r="O1476" s="8">
        <f>VLOOKUP(tblSalaries[[#This Row],[How many hours of a day you work on Excel]],tblHours,2,0)</f>
        <v>4</v>
      </c>
      <c r="P1476" s="8">
        <f>VLOOKUP(tblSalaries[[#This Row],[clean Country]],tblCountries[],5,0)</f>
        <v>1</v>
      </c>
      <c r="Q1476" s="8">
        <f>IF($Q$1,tblSalaries[[#This Row],[PPP Factor]]*tblSalaries[[#This Row],[Salary in USD]],tblSalaries[[#This Row],[Salary in USD]])</f>
        <v>32000</v>
      </c>
    </row>
    <row r="1477" spans="2:17" ht="15" customHeight="1" x14ac:dyDescent="0.25">
      <c r="B1477" t="s">
        <v>3480</v>
      </c>
      <c r="C1477" s="1">
        <v>41059.979143518518</v>
      </c>
      <c r="D1477" s="4">
        <v>18000</v>
      </c>
      <c r="E1477">
        <v>18000</v>
      </c>
      <c r="F1477" t="s">
        <v>6</v>
      </c>
      <c r="G1477">
        <f>tblSalaries[[#This Row],[clean Salary (in local currency)]]*VLOOKUP(tblSalaries[[#This Row],[Currency]],tblXrate[],2,FALSE)</f>
        <v>18000</v>
      </c>
      <c r="H1477" t="s">
        <v>1658</v>
      </c>
      <c r="I1477" t="s">
        <v>20</v>
      </c>
      <c r="J1477" t="s">
        <v>8</v>
      </c>
      <c r="K1477" t="str">
        <f>VLOOKUP(tblSalaries[[#This Row],[Where do you work]],tblCountries[[Actual]:[Mapping]],2,FALSE)</f>
        <v>India</v>
      </c>
      <c r="L1477" t="s">
        <v>13</v>
      </c>
      <c r="M1477">
        <v>6</v>
      </c>
      <c r="N1477" s="8" t="str">
        <f>VLOOKUP(K1477,tblCountries[],3,0)</f>
        <v>Asia</v>
      </c>
      <c r="O1477" s="8">
        <f>VLOOKUP(tblSalaries[[#This Row],[How many hours of a day you work on Excel]],tblHours,2,0)</f>
        <v>5</v>
      </c>
      <c r="P1477" s="8">
        <f>VLOOKUP(tblSalaries[[#This Row],[clean Country]],tblCountries[],5,0)</f>
        <v>13.098808879263672</v>
      </c>
      <c r="Q1477" s="8">
        <f>IF($Q$1,tblSalaries[[#This Row],[PPP Factor]]*tblSalaries[[#This Row],[Salary in USD]],tblSalaries[[#This Row],[Salary in USD]])</f>
        <v>18000</v>
      </c>
    </row>
    <row r="1478" spans="2:17" ht="15" customHeight="1" x14ac:dyDescent="0.25">
      <c r="B1478" t="s">
        <v>3481</v>
      </c>
      <c r="C1478" s="1">
        <v>41059.999560185184</v>
      </c>
      <c r="D1478" s="4" t="s">
        <v>1659</v>
      </c>
      <c r="E1478">
        <v>650000</v>
      </c>
      <c r="F1478" t="s">
        <v>40</v>
      </c>
      <c r="G1478">
        <f>tblSalaries[[#This Row],[clean Salary (in local currency)]]*VLOOKUP(tblSalaries[[#This Row],[Currency]],tblXrate[],2,FALSE)</f>
        <v>11575.14584683767</v>
      </c>
      <c r="H1478" t="s">
        <v>1660</v>
      </c>
      <c r="I1478" t="s">
        <v>20</v>
      </c>
      <c r="J1478" t="s">
        <v>8</v>
      </c>
      <c r="K1478" t="str">
        <f>VLOOKUP(tblSalaries[[#This Row],[Where do you work]],tblCountries[[Actual]:[Mapping]],2,FALSE)</f>
        <v>India</v>
      </c>
      <c r="L1478" t="s">
        <v>9</v>
      </c>
      <c r="M1478">
        <v>21</v>
      </c>
      <c r="N1478" s="8" t="str">
        <f>VLOOKUP(K1478,tblCountries[],3,0)</f>
        <v>Asia</v>
      </c>
      <c r="O1478" s="8">
        <f>VLOOKUP(tblSalaries[[#This Row],[How many hours of a day you work on Excel]],tblHours,2,0)</f>
        <v>4</v>
      </c>
      <c r="P1478" s="8">
        <f>VLOOKUP(tblSalaries[[#This Row],[clean Country]],tblCountries[],5,0)</f>
        <v>13.098808879263672</v>
      </c>
      <c r="Q1478" s="8">
        <f>IF($Q$1,tblSalaries[[#This Row],[PPP Factor]]*tblSalaries[[#This Row],[Salary in USD]],tblSalaries[[#This Row],[Salary in USD]])</f>
        <v>11575.14584683767</v>
      </c>
    </row>
    <row r="1479" spans="2:17" ht="15" customHeight="1" x14ac:dyDescent="0.25">
      <c r="B1479" t="s">
        <v>3482</v>
      </c>
      <c r="C1479" s="1">
        <v>41060.025347222225</v>
      </c>
      <c r="D1479" s="4">
        <v>50000</v>
      </c>
      <c r="E1479">
        <v>50000</v>
      </c>
      <c r="F1479" t="s">
        <v>22</v>
      </c>
      <c r="G1479">
        <f>tblSalaries[[#This Row],[clean Salary (in local currency)]]*VLOOKUP(tblSalaries[[#This Row],[Currency]],tblXrate[],2,FALSE)</f>
        <v>63519.971949580387</v>
      </c>
      <c r="H1479" t="s">
        <v>932</v>
      </c>
      <c r="I1479" t="s">
        <v>310</v>
      </c>
      <c r="J1479" t="s">
        <v>895</v>
      </c>
      <c r="K1479" t="str">
        <f>VLOOKUP(tblSalaries[[#This Row],[Where do you work]],tblCountries[[Actual]:[Mapping]],2,FALSE)</f>
        <v>italy</v>
      </c>
      <c r="L1479" t="s">
        <v>13</v>
      </c>
      <c r="M1479">
        <v>15</v>
      </c>
      <c r="N1479" s="8" t="str">
        <f>VLOOKUP(K1479,tblCountries[],3,0)</f>
        <v>Europe</v>
      </c>
      <c r="O1479" s="8">
        <f>VLOOKUP(tblSalaries[[#This Row],[How many hours of a day you work on Excel]],tblHours,2,0)</f>
        <v>5</v>
      </c>
      <c r="P1479" s="8">
        <f>VLOOKUP(tblSalaries[[#This Row],[clean Country]],tblCountries[],5,0)</f>
        <v>1.5883337710084033</v>
      </c>
      <c r="Q1479" s="8">
        <f>IF($Q$1,tblSalaries[[#This Row],[PPP Factor]]*tblSalaries[[#This Row],[Salary in USD]],tblSalaries[[#This Row],[Salary in USD]])</f>
        <v>63519.971949580387</v>
      </c>
    </row>
    <row r="1480" spans="2:17" ht="15" customHeight="1" x14ac:dyDescent="0.25">
      <c r="B1480" t="s">
        <v>3483</v>
      </c>
      <c r="C1480" s="1">
        <v>41060.032581018517</v>
      </c>
      <c r="D1480" s="4" t="s">
        <v>1661</v>
      </c>
      <c r="E1480">
        <v>4000000</v>
      </c>
      <c r="F1480" t="s">
        <v>40</v>
      </c>
      <c r="G1480">
        <f>tblSalaries[[#This Row],[clean Salary (in local currency)]]*VLOOKUP(tblSalaries[[#This Row],[Currency]],tblXrate[],2,FALSE)</f>
        <v>71231.666749770273</v>
      </c>
      <c r="H1480" t="s">
        <v>1662</v>
      </c>
      <c r="I1480" t="s">
        <v>67</v>
      </c>
      <c r="J1480" t="s">
        <v>8</v>
      </c>
      <c r="K1480" t="str">
        <f>VLOOKUP(tblSalaries[[#This Row],[Where do you work]],tblCountries[[Actual]:[Mapping]],2,FALSE)</f>
        <v>India</v>
      </c>
      <c r="L1480" t="s">
        <v>13</v>
      </c>
      <c r="M1480">
        <v>5</v>
      </c>
      <c r="N1480" s="8" t="str">
        <f>VLOOKUP(K1480,tblCountries[],3,0)</f>
        <v>Asia</v>
      </c>
      <c r="O1480" s="8">
        <f>VLOOKUP(tblSalaries[[#This Row],[How many hours of a day you work on Excel]],tblHours,2,0)</f>
        <v>5</v>
      </c>
      <c r="P1480" s="8">
        <f>VLOOKUP(tblSalaries[[#This Row],[clean Country]],tblCountries[],5,0)</f>
        <v>13.098808879263672</v>
      </c>
      <c r="Q1480" s="8">
        <f>IF($Q$1,tblSalaries[[#This Row],[PPP Factor]]*tblSalaries[[#This Row],[Salary in USD]],tblSalaries[[#This Row],[Salary in USD]])</f>
        <v>71231.666749770273</v>
      </c>
    </row>
    <row r="1481" spans="2:17" ht="15" customHeight="1" x14ac:dyDescent="0.25">
      <c r="B1481" t="s">
        <v>3484</v>
      </c>
      <c r="C1481" s="1">
        <v>41060.047986111109</v>
      </c>
      <c r="D1481" s="4" t="s">
        <v>1663</v>
      </c>
      <c r="E1481">
        <v>10000</v>
      </c>
      <c r="F1481" t="s">
        <v>6</v>
      </c>
      <c r="G1481">
        <f>tblSalaries[[#This Row],[clean Salary (in local currency)]]*VLOOKUP(tblSalaries[[#This Row],[Currency]],tblXrate[],2,FALSE)</f>
        <v>10000</v>
      </c>
      <c r="H1481" t="s">
        <v>1664</v>
      </c>
      <c r="I1481" t="s">
        <v>20</v>
      </c>
      <c r="J1481" t="s">
        <v>143</v>
      </c>
      <c r="K1481" t="str">
        <f>VLOOKUP(tblSalaries[[#This Row],[Where do you work]],tblCountries[[Actual]:[Mapping]],2,FALSE)</f>
        <v>Brazil</v>
      </c>
      <c r="L1481" t="s">
        <v>9</v>
      </c>
      <c r="M1481">
        <v>1</v>
      </c>
      <c r="N1481" s="8" t="str">
        <f>VLOOKUP(K1481,tblCountries[],3,0)</f>
        <v>South Amer.</v>
      </c>
      <c r="O1481" s="8">
        <f>VLOOKUP(tblSalaries[[#This Row],[How many hours of a day you work on Excel]],tblHours,2,0)</f>
        <v>4</v>
      </c>
      <c r="P1481" s="8">
        <f>VLOOKUP(tblSalaries[[#This Row],[clean Country]],tblCountries[],5,0)</f>
        <v>4.1113943410655107</v>
      </c>
      <c r="Q1481" s="8">
        <f>IF($Q$1,tblSalaries[[#This Row],[PPP Factor]]*tblSalaries[[#This Row],[Salary in USD]],tblSalaries[[#This Row],[Salary in USD]])</f>
        <v>10000</v>
      </c>
    </row>
    <row r="1482" spans="2:17" ht="15" customHeight="1" x14ac:dyDescent="0.25">
      <c r="B1482" t="s">
        <v>3485</v>
      </c>
      <c r="C1482" s="1">
        <v>41060.053657407407</v>
      </c>
      <c r="D1482" s="4">
        <v>74300</v>
      </c>
      <c r="E1482">
        <v>74300</v>
      </c>
      <c r="F1482" t="s">
        <v>6</v>
      </c>
      <c r="G1482">
        <f>tblSalaries[[#This Row],[clean Salary (in local currency)]]*VLOOKUP(tblSalaries[[#This Row],[Currency]],tblXrate[],2,FALSE)</f>
        <v>74300</v>
      </c>
      <c r="H1482" t="s">
        <v>1665</v>
      </c>
      <c r="I1482" t="s">
        <v>20</v>
      </c>
      <c r="J1482" t="s">
        <v>15</v>
      </c>
      <c r="K1482" t="str">
        <f>VLOOKUP(tblSalaries[[#This Row],[Where do you work]],tblCountries[[Actual]:[Mapping]],2,FALSE)</f>
        <v>USA</v>
      </c>
      <c r="L1482" t="s">
        <v>9</v>
      </c>
      <c r="M1482">
        <v>3</v>
      </c>
      <c r="N1482" s="8" t="str">
        <f>VLOOKUP(K1482,tblCountries[],3,0)</f>
        <v>North Amer.</v>
      </c>
      <c r="O1482" s="8">
        <f>VLOOKUP(tblSalaries[[#This Row],[How many hours of a day you work on Excel]],tblHours,2,0)</f>
        <v>4</v>
      </c>
      <c r="P1482" s="8">
        <f>VLOOKUP(tblSalaries[[#This Row],[clean Country]],tblCountries[],5,0)</f>
        <v>1</v>
      </c>
      <c r="Q1482" s="8">
        <f>IF($Q$1,tblSalaries[[#This Row],[PPP Factor]]*tblSalaries[[#This Row],[Salary in USD]],tblSalaries[[#This Row],[Salary in USD]])</f>
        <v>74300</v>
      </c>
    </row>
    <row r="1483" spans="2:17" ht="15" customHeight="1" x14ac:dyDescent="0.25">
      <c r="B1483" t="s">
        <v>3486</v>
      </c>
      <c r="C1483" s="1">
        <v>41060.054027777776</v>
      </c>
      <c r="D1483" s="4">
        <v>1500000</v>
      </c>
      <c r="E1483">
        <v>1500000</v>
      </c>
      <c r="F1483" t="s">
        <v>40</v>
      </c>
      <c r="G1483">
        <f>tblSalaries[[#This Row],[clean Salary (in local currency)]]*VLOOKUP(tblSalaries[[#This Row],[Currency]],tblXrate[],2,FALSE)</f>
        <v>26711.875031163851</v>
      </c>
      <c r="H1483" t="s">
        <v>1666</v>
      </c>
      <c r="I1483" t="s">
        <v>356</v>
      </c>
      <c r="J1483" t="s">
        <v>8</v>
      </c>
      <c r="K1483" t="str">
        <f>VLOOKUP(tblSalaries[[#This Row],[Where do you work]],tblCountries[[Actual]:[Mapping]],2,FALSE)</f>
        <v>India</v>
      </c>
      <c r="L1483" t="s">
        <v>9</v>
      </c>
      <c r="M1483">
        <v>10</v>
      </c>
      <c r="N1483" s="8" t="str">
        <f>VLOOKUP(K1483,tblCountries[],3,0)</f>
        <v>Asia</v>
      </c>
      <c r="O1483" s="8">
        <f>VLOOKUP(tblSalaries[[#This Row],[How many hours of a day you work on Excel]],tblHours,2,0)</f>
        <v>4</v>
      </c>
      <c r="P1483" s="8">
        <f>VLOOKUP(tblSalaries[[#This Row],[clean Country]],tblCountries[],5,0)</f>
        <v>13.098808879263672</v>
      </c>
      <c r="Q1483" s="8">
        <f>IF($Q$1,tblSalaries[[#This Row],[PPP Factor]]*tblSalaries[[#This Row],[Salary in USD]],tblSalaries[[#This Row],[Salary in USD]])</f>
        <v>26711.875031163851</v>
      </c>
    </row>
    <row r="1484" spans="2:17" ht="15" customHeight="1" x14ac:dyDescent="0.25">
      <c r="B1484" t="s">
        <v>3487</v>
      </c>
      <c r="C1484" s="1">
        <v>41060.073472222219</v>
      </c>
      <c r="D1484" s="4" t="s">
        <v>1667</v>
      </c>
      <c r="E1484">
        <v>536000</v>
      </c>
      <c r="F1484" t="s">
        <v>40</v>
      </c>
      <c r="G1484">
        <f>tblSalaries[[#This Row],[clean Salary (in local currency)]]*VLOOKUP(tblSalaries[[#This Row],[Currency]],tblXrate[],2,FALSE)</f>
        <v>9545.0433444692171</v>
      </c>
      <c r="H1484" t="s">
        <v>91</v>
      </c>
      <c r="I1484" t="s">
        <v>52</v>
      </c>
      <c r="J1484" t="s">
        <v>8</v>
      </c>
      <c r="K1484" t="str">
        <f>VLOOKUP(tblSalaries[[#This Row],[Where do you work]],tblCountries[[Actual]:[Mapping]],2,FALSE)</f>
        <v>India</v>
      </c>
      <c r="L1484" t="s">
        <v>9</v>
      </c>
      <c r="M1484">
        <v>4</v>
      </c>
      <c r="N1484" s="8" t="str">
        <f>VLOOKUP(K1484,tblCountries[],3,0)</f>
        <v>Asia</v>
      </c>
      <c r="O1484" s="8">
        <f>VLOOKUP(tblSalaries[[#This Row],[How many hours of a day you work on Excel]],tblHours,2,0)</f>
        <v>4</v>
      </c>
      <c r="P1484" s="8">
        <f>VLOOKUP(tblSalaries[[#This Row],[clean Country]],tblCountries[],5,0)</f>
        <v>13.098808879263672</v>
      </c>
      <c r="Q1484" s="8">
        <f>IF($Q$1,tblSalaries[[#This Row],[PPP Factor]]*tblSalaries[[#This Row],[Salary in USD]],tblSalaries[[#This Row],[Salary in USD]])</f>
        <v>9545.0433444692171</v>
      </c>
    </row>
    <row r="1485" spans="2:17" ht="15" customHeight="1" x14ac:dyDescent="0.25">
      <c r="B1485" t="s">
        <v>3488</v>
      </c>
      <c r="C1485" s="1">
        <v>41060.076689814814</v>
      </c>
      <c r="D1485" s="4">
        <v>95000</v>
      </c>
      <c r="E1485">
        <v>95000</v>
      </c>
      <c r="F1485" t="s">
        <v>6</v>
      </c>
      <c r="G1485">
        <f>tblSalaries[[#This Row],[clean Salary (in local currency)]]*VLOOKUP(tblSalaries[[#This Row],[Currency]],tblXrate[],2,FALSE)</f>
        <v>95000</v>
      </c>
      <c r="H1485" t="s">
        <v>266</v>
      </c>
      <c r="I1485" t="s">
        <v>20</v>
      </c>
      <c r="J1485" t="s">
        <v>15</v>
      </c>
      <c r="K1485" t="str">
        <f>VLOOKUP(tblSalaries[[#This Row],[Where do you work]],tblCountries[[Actual]:[Mapping]],2,FALSE)</f>
        <v>USA</v>
      </c>
      <c r="L1485" t="s">
        <v>9</v>
      </c>
      <c r="M1485">
        <v>15</v>
      </c>
      <c r="N1485" s="8" t="str">
        <f>VLOOKUP(K1485,tblCountries[],3,0)</f>
        <v>North Amer.</v>
      </c>
      <c r="O1485" s="8">
        <f>VLOOKUP(tblSalaries[[#This Row],[How many hours of a day you work on Excel]],tblHours,2,0)</f>
        <v>4</v>
      </c>
      <c r="P1485" s="8">
        <f>VLOOKUP(tblSalaries[[#This Row],[clean Country]],tblCountries[],5,0)</f>
        <v>1</v>
      </c>
      <c r="Q1485" s="8">
        <f>IF($Q$1,tblSalaries[[#This Row],[PPP Factor]]*tblSalaries[[#This Row],[Salary in USD]],tblSalaries[[#This Row],[Salary in USD]])</f>
        <v>95000</v>
      </c>
    </row>
    <row r="1486" spans="2:17" ht="15" customHeight="1" x14ac:dyDescent="0.25">
      <c r="B1486" t="s">
        <v>3489</v>
      </c>
      <c r="C1486" s="1">
        <v>41060.100428240738</v>
      </c>
      <c r="D1486" s="4">
        <v>64300</v>
      </c>
      <c r="E1486">
        <v>64300</v>
      </c>
      <c r="F1486" t="s">
        <v>6</v>
      </c>
      <c r="G1486">
        <f>tblSalaries[[#This Row],[clean Salary (in local currency)]]*VLOOKUP(tblSalaries[[#This Row],[Currency]],tblXrate[],2,FALSE)</f>
        <v>64300</v>
      </c>
      <c r="H1486" t="s">
        <v>1668</v>
      </c>
      <c r="I1486" t="s">
        <v>310</v>
      </c>
      <c r="J1486" t="s">
        <v>15</v>
      </c>
      <c r="K1486" t="str">
        <f>VLOOKUP(tblSalaries[[#This Row],[Where do you work]],tblCountries[[Actual]:[Mapping]],2,FALSE)</f>
        <v>USA</v>
      </c>
      <c r="L1486" t="s">
        <v>9</v>
      </c>
      <c r="M1486">
        <v>15</v>
      </c>
      <c r="N1486" s="8" t="str">
        <f>VLOOKUP(K1486,tblCountries[],3,0)</f>
        <v>North Amer.</v>
      </c>
      <c r="O1486" s="8">
        <f>VLOOKUP(tblSalaries[[#This Row],[How many hours of a day you work on Excel]],tblHours,2,0)</f>
        <v>4</v>
      </c>
      <c r="P1486" s="8">
        <f>VLOOKUP(tblSalaries[[#This Row],[clean Country]],tblCountries[],5,0)</f>
        <v>1</v>
      </c>
      <c r="Q1486" s="8">
        <f>IF($Q$1,tblSalaries[[#This Row],[PPP Factor]]*tblSalaries[[#This Row],[Salary in USD]],tblSalaries[[#This Row],[Salary in USD]])</f>
        <v>64300</v>
      </c>
    </row>
    <row r="1487" spans="2:17" ht="15" customHeight="1" x14ac:dyDescent="0.25">
      <c r="B1487" t="s">
        <v>3490</v>
      </c>
      <c r="C1487" s="1">
        <v>41060.109131944446</v>
      </c>
      <c r="D1487" s="4">
        <v>250000</v>
      </c>
      <c r="E1487">
        <v>250000</v>
      </c>
      <c r="F1487" t="s">
        <v>6</v>
      </c>
      <c r="G1487">
        <f>tblSalaries[[#This Row],[clean Salary (in local currency)]]*VLOOKUP(tblSalaries[[#This Row],[Currency]],tblXrate[],2,FALSE)</f>
        <v>250000</v>
      </c>
      <c r="H1487" t="s">
        <v>83</v>
      </c>
      <c r="I1487" t="s">
        <v>356</v>
      </c>
      <c r="J1487" t="s">
        <v>15</v>
      </c>
      <c r="K1487" t="str">
        <f>VLOOKUP(tblSalaries[[#This Row],[Where do you work]],tblCountries[[Actual]:[Mapping]],2,FALSE)</f>
        <v>USA</v>
      </c>
      <c r="L1487" t="s">
        <v>13</v>
      </c>
      <c r="M1487">
        <v>20</v>
      </c>
      <c r="N1487" s="8" t="str">
        <f>VLOOKUP(K1487,tblCountries[],3,0)</f>
        <v>North Amer.</v>
      </c>
      <c r="O1487" s="8">
        <f>VLOOKUP(tblSalaries[[#This Row],[How many hours of a day you work on Excel]],tblHours,2,0)</f>
        <v>5</v>
      </c>
      <c r="P1487" s="8">
        <f>VLOOKUP(tblSalaries[[#This Row],[clean Country]],tblCountries[],5,0)</f>
        <v>1</v>
      </c>
      <c r="Q1487" s="8">
        <f>IF($Q$1,tblSalaries[[#This Row],[PPP Factor]]*tblSalaries[[#This Row],[Salary in USD]],tblSalaries[[#This Row],[Salary in USD]])</f>
        <v>250000</v>
      </c>
    </row>
    <row r="1488" spans="2:17" ht="15" customHeight="1" x14ac:dyDescent="0.25">
      <c r="B1488" t="s">
        <v>3491</v>
      </c>
      <c r="C1488" s="1">
        <v>41060.129965277774</v>
      </c>
      <c r="D1488" s="4">
        <v>89000</v>
      </c>
      <c r="E1488">
        <v>89000</v>
      </c>
      <c r="F1488" t="s">
        <v>6</v>
      </c>
      <c r="G1488">
        <f>tblSalaries[[#This Row],[clean Salary (in local currency)]]*VLOOKUP(tblSalaries[[#This Row],[Currency]],tblXrate[],2,FALSE)</f>
        <v>89000</v>
      </c>
      <c r="H1488" t="s">
        <v>642</v>
      </c>
      <c r="I1488" t="s">
        <v>52</v>
      </c>
      <c r="J1488" t="s">
        <v>15</v>
      </c>
      <c r="K1488" t="str">
        <f>VLOOKUP(tblSalaries[[#This Row],[Where do you work]],tblCountries[[Actual]:[Mapping]],2,FALSE)</f>
        <v>USA</v>
      </c>
      <c r="L1488" t="s">
        <v>18</v>
      </c>
      <c r="M1488">
        <v>10</v>
      </c>
      <c r="N1488" s="8" t="str">
        <f>VLOOKUP(K1488,tblCountries[],3,0)</f>
        <v>North Amer.</v>
      </c>
      <c r="O1488" s="8">
        <f>VLOOKUP(tblSalaries[[#This Row],[How many hours of a day you work on Excel]],tblHours,2,0)</f>
        <v>3</v>
      </c>
      <c r="P1488" s="8">
        <f>VLOOKUP(tblSalaries[[#This Row],[clean Country]],tblCountries[],5,0)</f>
        <v>1</v>
      </c>
      <c r="Q1488" s="8">
        <f>IF($Q$1,tblSalaries[[#This Row],[PPP Factor]]*tblSalaries[[#This Row],[Salary in USD]],tblSalaries[[#This Row],[Salary in USD]])</f>
        <v>89000</v>
      </c>
    </row>
    <row r="1489" spans="2:17" ht="15" customHeight="1" x14ac:dyDescent="0.25">
      <c r="B1489" t="s">
        <v>3492</v>
      </c>
      <c r="C1489" s="1">
        <v>41060.175219907411</v>
      </c>
      <c r="D1489" s="4">
        <v>75000</v>
      </c>
      <c r="E1489">
        <v>75000</v>
      </c>
      <c r="F1489" t="s">
        <v>6</v>
      </c>
      <c r="G1489">
        <f>tblSalaries[[#This Row],[clean Salary (in local currency)]]*VLOOKUP(tblSalaries[[#This Row],[Currency]],tblXrate[],2,FALSE)</f>
        <v>75000</v>
      </c>
      <c r="H1489" t="s">
        <v>14</v>
      </c>
      <c r="I1489" t="s">
        <v>20</v>
      </c>
      <c r="J1489" t="s">
        <v>15</v>
      </c>
      <c r="K1489" t="str">
        <f>VLOOKUP(tblSalaries[[#This Row],[Where do you work]],tblCountries[[Actual]:[Mapping]],2,FALSE)</f>
        <v>USA</v>
      </c>
      <c r="L1489" t="s">
        <v>13</v>
      </c>
      <c r="M1489">
        <v>1.5</v>
      </c>
      <c r="N1489" s="8" t="str">
        <f>VLOOKUP(K1489,tblCountries[],3,0)</f>
        <v>North Amer.</v>
      </c>
      <c r="O1489" s="8">
        <f>VLOOKUP(tblSalaries[[#This Row],[How many hours of a day you work on Excel]],tblHours,2,0)</f>
        <v>5</v>
      </c>
      <c r="P1489" s="8">
        <f>VLOOKUP(tblSalaries[[#This Row],[clean Country]],tblCountries[],5,0)</f>
        <v>1</v>
      </c>
      <c r="Q1489" s="8">
        <f>IF($Q$1,tblSalaries[[#This Row],[PPP Factor]]*tblSalaries[[#This Row],[Salary in USD]],tblSalaries[[#This Row],[Salary in USD]])</f>
        <v>75000</v>
      </c>
    </row>
    <row r="1490" spans="2:17" ht="15" customHeight="1" x14ac:dyDescent="0.25">
      <c r="B1490" t="s">
        <v>3493</v>
      </c>
      <c r="C1490" s="1">
        <v>41060.210405092592</v>
      </c>
      <c r="D1490" s="4">
        <v>45000</v>
      </c>
      <c r="E1490">
        <v>45000</v>
      </c>
      <c r="F1490" t="s">
        <v>6</v>
      </c>
      <c r="G1490">
        <f>tblSalaries[[#This Row],[clean Salary (in local currency)]]*VLOOKUP(tblSalaries[[#This Row],[Currency]],tblXrate[],2,FALSE)</f>
        <v>45000</v>
      </c>
      <c r="H1490" t="s">
        <v>1669</v>
      </c>
      <c r="I1490" t="s">
        <v>20</v>
      </c>
      <c r="J1490" t="s">
        <v>15</v>
      </c>
      <c r="K1490" t="str">
        <f>VLOOKUP(tblSalaries[[#This Row],[Where do you work]],tblCountries[[Actual]:[Mapping]],2,FALSE)</f>
        <v>USA</v>
      </c>
      <c r="L1490" t="s">
        <v>13</v>
      </c>
      <c r="M1490">
        <v>5</v>
      </c>
      <c r="N1490" s="8" t="str">
        <f>VLOOKUP(K1490,tblCountries[],3,0)</f>
        <v>North Amer.</v>
      </c>
      <c r="O1490" s="8">
        <f>VLOOKUP(tblSalaries[[#This Row],[How many hours of a day you work on Excel]],tblHours,2,0)</f>
        <v>5</v>
      </c>
      <c r="P1490" s="8">
        <f>VLOOKUP(tblSalaries[[#This Row],[clean Country]],tblCountries[],5,0)</f>
        <v>1</v>
      </c>
      <c r="Q1490" s="8">
        <f>IF($Q$1,tblSalaries[[#This Row],[PPP Factor]]*tblSalaries[[#This Row],[Salary in USD]],tblSalaries[[#This Row],[Salary in USD]])</f>
        <v>45000</v>
      </c>
    </row>
    <row r="1491" spans="2:17" ht="15" customHeight="1" x14ac:dyDescent="0.25">
      <c r="B1491" t="s">
        <v>3494</v>
      </c>
      <c r="C1491" s="1">
        <v>41060.224976851852</v>
      </c>
      <c r="D1491" s="4">
        <v>127500</v>
      </c>
      <c r="E1491">
        <v>127500</v>
      </c>
      <c r="F1491" t="s">
        <v>6</v>
      </c>
      <c r="G1491">
        <f>tblSalaries[[#This Row],[clean Salary (in local currency)]]*VLOOKUP(tblSalaries[[#This Row],[Currency]],tblXrate[],2,FALSE)</f>
        <v>127500</v>
      </c>
      <c r="H1491" t="s">
        <v>1670</v>
      </c>
      <c r="I1491" t="s">
        <v>4001</v>
      </c>
      <c r="J1491" t="s">
        <v>15</v>
      </c>
      <c r="K1491" t="str">
        <f>VLOOKUP(tblSalaries[[#This Row],[Where do you work]],tblCountries[[Actual]:[Mapping]],2,FALSE)</f>
        <v>USA</v>
      </c>
      <c r="L1491" t="s">
        <v>13</v>
      </c>
      <c r="M1491">
        <v>22</v>
      </c>
      <c r="N1491" s="8" t="str">
        <f>VLOOKUP(K1491,tblCountries[],3,0)</f>
        <v>North Amer.</v>
      </c>
      <c r="O1491" s="8">
        <f>VLOOKUP(tblSalaries[[#This Row],[How many hours of a day you work on Excel]],tblHours,2,0)</f>
        <v>5</v>
      </c>
      <c r="P1491" s="8">
        <f>VLOOKUP(tblSalaries[[#This Row],[clean Country]],tblCountries[],5,0)</f>
        <v>1</v>
      </c>
      <c r="Q1491" s="8">
        <f>IF($Q$1,tblSalaries[[#This Row],[PPP Factor]]*tblSalaries[[#This Row],[Salary in USD]],tblSalaries[[#This Row],[Salary in USD]])</f>
        <v>127500</v>
      </c>
    </row>
    <row r="1492" spans="2:17" ht="15" customHeight="1" x14ac:dyDescent="0.25">
      <c r="B1492" t="s">
        <v>3495</v>
      </c>
      <c r="C1492" s="1">
        <v>41060.230486111112</v>
      </c>
      <c r="D1492" s="4">
        <v>170000</v>
      </c>
      <c r="E1492">
        <v>170000</v>
      </c>
      <c r="F1492" t="s">
        <v>6</v>
      </c>
      <c r="G1492">
        <f>tblSalaries[[#This Row],[clean Salary (in local currency)]]*VLOOKUP(tblSalaries[[#This Row],[Currency]],tblXrate[],2,FALSE)</f>
        <v>170000</v>
      </c>
      <c r="H1492" t="s">
        <v>29</v>
      </c>
      <c r="I1492" t="s">
        <v>4001</v>
      </c>
      <c r="J1492" t="s">
        <v>15</v>
      </c>
      <c r="K1492" t="str">
        <f>VLOOKUP(tblSalaries[[#This Row],[Where do you work]],tblCountries[[Actual]:[Mapping]],2,FALSE)</f>
        <v>USA</v>
      </c>
      <c r="L1492" t="s">
        <v>18</v>
      </c>
      <c r="M1492">
        <v>18</v>
      </c>
      <c r="N1492" s="8" t="str">
        <f>VLOOKUP(K1492,tblCountries[],3,0)</f>
        <v>North Amer.</v>
      </c>
      <c r="O1492" s="8">
        <f>VLOOKUP(tblSalaries[[#This Row],[How many hours of a day you work on Excel]],tblHours,2,0)</f>
        <v>3</v>
      </c>
      <c r="P1492" s="8">
        <f>VLOOKUP(tblSalaries[[#This Row],[clean Country]],tblCountries[],5,0)</f>
        <v>1</v>
      </c>
      <c r="Q1492" s="8">
        <f>IF($Q$1,tblSalaries[[#This Row],[PPP Factor]]*tblSalaries[[#This Row],[Salary in USD]],tblSalaries[[#This Row],[Salary in USD]])</f>
        <v>170000</v>
      </c>
    </row>
    <row r="1493" spans="2:17" ht="15" customHeight="1" x14ac:dyDescent="0.25">
      <c r="B1493" t="s">
        <v>3496</v>
      </c>
      <c r="C1493" s="1">
        <v>41060.234363425923</v>
      </c>
      <c r="D1493" s="4">
        <v>800</v>
      </c>
      <c r="E1493">
        <v>9600</v>
      </c>
      <c r="F1493" t="s">
        <v>6</v>
      </c>
      <c r="G1493">
        <f>tblSalaries[[#This Row],[clean Salary (in local currency)]]*VLOOKUP(tblSalaries[[#This Row],[Currency]],tblXrate[],2,FALSE)</f>
        <v>9600</v>
      </c>
      <c r="H1493" t="s">
        <v>855</v>
      </c>
      <c r="I1493" t="s">
        <v>20</v>
      </c>
      <c r="J1493" t="s">
        <v>1671</v>
      </c>
      <c r="K1493" t="str">
        <f>VLOOKUP(tblSalaries[[#This Row],[Where do you work]],tblCountries[[Actual]:[Mapping]],2,FALSE)</f>
        <v>Bolivia</v>
      </c>
      <c r="L1493" t="s">
        <v>13</v>
      </c>
      <c r="M1493">
        <v>2</v>
      </c>
      <c r="N1493" s="8" t="str">
        <f>VLOOKUP(K1493,tblCountries[],3,0)</f>
        <v>South Amer.</v>
      </c>
      <c r="O1493" s="8">
        <f>VLOOKUP(tblSalaries[[#This Row],[How many hours of a day you work on Excel]],tblHours,2,0)</f>
        <v>5</v>
      </c>
      <c r="P1493" s="8">
        <f>VLOOKUP(tblSalaries[[#This Row],[clean Country]],tblCountries[],5,0)</f>
        <v>10.103779494675297</v>
      </c>
      <c r="Q1493" s="8">
        <f>IF($Q$1,tblSalaries[[#This Row],[PPP Factor]]*tblSalaries[[#This Row],[Salary in USD]],tblSalaries[[#This Row],[Salary in USD]])</f>
        <v>9600</v>
      </c>
    </row>
    <row r="1494" spans="2:17" ht="15" customHeight="1" x14ac:dyDescent="0.25">
      <c r="B1494" t="s">
        <v>3497</v>
      </c>
      <c r="C1494" s="1">
        <v>41060.259513888886</v>
      </c>
      <c r="D1494" s="4">
        <v>62000</v>
      </c>
      <c r="E1494">
        <v>62000</v>
      </c>
      <c r="F1494" t="s">
        <v>6</v>
      </c>
      <c r="G1494">
        <f>tblSalaries[[#This Row],[clean Salary (in local currency)]]*VLOOKUP(tblSalaries[[#This Row],[Currency]],tblXrate[],2,FALSE)</f>
        <v>62000</v>
      </c>
      <c r="H1494" t="s">
        <v>1672</v>
      </c>
      <c r="I1494" t="s">
        <v>20</v>
      </c>
      <c r="J1494" t="s">
        <v>15</v>
      </c>
      <c r="K1494" t="str">
        <f>VLOOKUP(tblSalaries[[#This Row],[Where do you work]],tblCountries[[Actual]:[Mapping]],2,FALSE)</f>
        <v>USA</v>
      </c>
      <c r="L1494" t="s">
        <v>13</v>
      </c>
      <c r="M1494">
        <v>27</v>
      </c>
      <c r="N1494" s="8" t="str">
        <f>VLOOKUP(K1494,tblCountries[],3,0)</f>
        <v>North Amer.</v>
      </c>
      <c r="O1494" s="8">
        <f>VLOOKUP(tblSalaries[[#This Row],[How many hours of a day you work on Excel]],tblHours,2,0)</f>
        <v>5</v>
      </c>
      <c r="P1494" s="8">
        <f>VLOOKUP(tblSalaries[[#This Row],[clean Country]],tblCountries[],5,0)</f>
        <v>1</v>
      </c>
      <c r="Q1494" s="8">
        <f>IF($Q$1,tblSalaries[[#This Row],[PPP Factor]]*tblSalaries[[#This Row],[Salary in USD]],tblSalaries[[#This Row],[Salary in USD]])</f>
        <v>62000</v>
      </c>
    </row>
    <row r="1495" spans="2:17" ht="15" customHeight="1" x14ac:dyDescent="0.25">
      <c r="B1495" t="s">
        <v>3498</v>
      </c>
      <c r="C1495" s="1">
        <v>41060.266076388885</v>
      </c>
      <c r="D1495" s="4">
        <v>22000</v>
      </c>
      <c r="E1495">
        <v>22000</v>
      </c>
      <c r="F1495" t="s">
        <v>6</v>
      </c>
      <c r="G1495">
        <f>tblSalaries[[#This Row],[clean Salary (in local currency)]]*VLOOKUP(tblSalaries[[#This Row],[Currency]],tblXrate[],2,FALSE)</f>
        <v>22000</v>
      </c>
      <c r="H1495" t="s">
        <v>1673</v>
      </c>
      <c r="I1495" t="s">
        <v>52</v>
      </c>
      <c r="J1495" t="s">
        <v>15</v>
      </c>
      <c r="K1495" t="str">
        <f>VLOOKUP(tblSalaries[[#This Row],[Where do you work]],tblCountries[[Actual]:[Mapping]],2,FALSE)</f>
        <v>USA</v>
      </c>
      <c r="L1495" t="s">
        <v>9</v>
      </c>
      <c r="M1495">
        <v>3</v>
      </c>
      <c r="N1495" s="8" t="str">
        <f>VLOOKUP(K1495,tblCountries[],3,0)</f>
        <v>North Amer.</v>
      </c>
      <c r="O1495" s="8">
        <f>VLOOKUP(tblSalaries[[#This Row],[How many hours of a day you work on Excel]],tblHours,2,0)</f>
        <v>4</v>
      </c>
      <c r="P1495" s="8">
        <f>VLOOKUP(tblSalaries[[#This Row],[clean Country]],tblCountries[],5,0)</f>
        <v>1</v>
      </c>
      <c r="Q1495" s="8">
        <f>IF($Q$1,tblSalaries[[#This Row],[PPP Factor]]*tblSalaries[[#This Row],[Salary in USD]],tblSalaries[[#This Row],[Salary in USD]])</f>
        <v>22000</v>
      </c>
    </row>
    <row r="1496" spans="2:17" ht="15" customHeight="1" x14ac:dyDescent="0.25">
      <c r="B1496" t="s">
        <v>3499</v>
      </c>
      <c r="C1496" s="1">
        <v>41060.266608796293</v>
      </c>
      <c r="D1496" s="4">
        <v>45000</v>
      </c>
      <c r="E1496">
        <v>45000</v>
      </c>
      <c r="F1496" t="s">
        <v>6</v>
      </c>
      <c r="G1496">
        <f>tblSalaries[[#This Row],[clean Salary (in local currency)]]*VLOOKUP(tblSalaries[[#This Row],[Currency]],tblXrate[],2,FALSE)</f>
        <v>45000</v>
      </c>
      <c r="H1496" t="s">
        <v>207</v>
      </c>
      <c r="I1496" t="s">
        <v>20</v>
      </c>
      <c r="J1496" t="s">
        <v>15</v>
      </c>
      <c r="K1496" t="str">
        <f>VLOOKUP(tblSalaries[[#This Row],[Where do you work]],tblCountries[[Actual]:[Mapping]],2,FALSE)</f>
        <v>USA</v>
      </c>
      <c r="L1496" t="s">
        <v>9</v>
      </c>
      <c r="M1496">
        <v>8</v>
      </c>
      <c r="N1496" s="8" t="str">
        <f>VLOOKUP(K1496,tblCountries[],3,0)</f>
        <v>North Amer.</v>
      </c>
      <c r="O1496" s="8">
        <f>VLOOKUP(tblSalaries[[#This Row],[How many hours of a day you work on Excel]],tblHours,2,0)</f>
        <v>4</v>
      </c>
      <c r="P1496" s="8">
        <f>VLOOKUP(tblSalaries[[#This Row],[clean Country]],tblCountries[],5,0)</f>
        <v>1</v>
      </c>
      <c r="Q1496" s="8">
        <f>IF($Q$1,tblSalaries[[#This Row],[PPP Factor]]*tblSalaries[[#This Row],[Salary in USD]],tblSalaries[[#This Row],[Salary in USD]])</f>
        <v>45000</v>
      </c>
    </row>
    <row r="1497" spans="2:17" ht="15" customHeight="1" x14ac:dyDescent="0.25">
      <c r="B1497" t="s">
        <v>3500</v>
      </c>
      <c r="C1497" s="1">
        <v>41060.303888888891</v>
      </c>
      <c r="D1497" s="4">
        <v>145000</v>
      </c>
      <c r="E1497">
        <v>145000</v>
      </c>
      <c r="F1497" t="s">
        <v>6</v>
      </c>
      <c r="G1497">
        <f>tblSalaries[[#This Row],[clean Salary (in local currency)]]*VLOOKUP(tblSalaries[[#This Row],[Currency]],tblXrate[],2,FALSE)</f>
        <v>145000</v>
      </c>
      <c r="H1497" t="s">
        <v>616</v>
      </c>
      <c r="I1497" t="s">
        <v>20</v>
      </c>
      <c r="J1497" t="s">
        <v>15</v>
      </c>
      <c r="K1497" t="str">
        <f>VLOOKUP(tblSalaries[[#This Row],[Where do you work]],tblCountries[[Actual]:[Mapping]],2,FALSE)</f>
        <v>USA</v>
      </c>
      <c r="L1497" t="s">
        <v>9</v>
      </c>
      <c r="M1497">
        <v>6</v>
      </c>
      <c r="N1497" s="8" t="str">
        <f>VLOOKUP(K1497,tblCountries[],3,0)</f>
        <v>North Amer.</v>
      </c>
      <c r="O1497" s="8">
        <f>VLOOKUP(tblSalaries[[#This Row],[How many hours of a day you work on Excel]],tblHours,2,0)</f>
        <v>4</v>
      </c>
      <c r="P1497" s="8">
        <f>VLOOKUP(tblSalaries[[#This Row],[clean Country]],tblCountries[],5,0)</f>
        <v>1</v>
      </c>
      <c r="Q1497" s="8">
        <f>IF($Q$1,tblSalaries[[#This Row],[PPP Factor]]*tblSalaries[[#This Row],[Salary in USD]],tblSalaries[[#This Row],[Salary in USD]])</f>
        <v>145000</v>
      </c>
    </row>
    <row r="1498" spans="2:17" ht="15" customHeight="1" x14ac:dyDescent="0.25">
      <c r="B1498" t="s">
        <v>3501</v>
      </c>
      <c r="C1498" s="1">
        <v>41060.347256944442</v>
      </c>
      <c r="D1498" s="4">
        <v>89000</v>
      </c>
      <c r="E1498">
        <v>89000</v>
      </c>
      <c r="F1498" t="s">
        <v>6</v>
      </c>
      <c r="G1498">
        <f>tblSalaries[[#This Row],[clean Salary (in local currency)]]*VLOOKUP(tblSalaries[[#This Row],[Currency]],tblXrate[],2,FALSE)</f>
        <v>89000</v>
      </c>
      <c r="H1498" t="s">
        <v>1288</v>
      </c>
      <c r="I1498" t="s">
        <v>20</v>
      </c>
      <c r="J1498" t="s">
        <v>15</v>
      </c>
      <c r="K1498" t="str">
        <f>VLOOKUP(tblSalaries[[#This Row],[Where do you work]],tblCountries[[Actual]:[Mapping]],2,FALSE)</f>
        <v>USA</v>
      </c>
      <c r="L1498" t="s">
        <v>13</v>
      </c>
      <c r="M1498">
        <v>14</v>
      </c>
      <c r="N1498" s="8" t="str">
        <f>VLOOKUP(K1498,tblCountries[],3,0)</f>
        <v>North Amer.</v>
      </c>
      <c r="O1498" s="8">
        <f>VLOOKUP(tblSalaries[[#This Row],[How many hours of a day you work on Excel]],tblHours,2,0)</f>
        <v>5</v>
      </c>
      <c r="P1498" s="8">
        <f>VLOOKUP(tblSalaries[[#This Row],[clean Country]],tblCountries[],5,0)</f>
        <v>1</v>
      </c>
      <c r="Q1498" s="8">
        <f>IF($Q$1,tblSalaries[[#This Row],[PPP Factor]]*tblSalaries[[#This Row],[Salary in USD]],tblSalaries[[#This Row],[Salary in USD]])</f>
        <v>89000</v>
      </c>
    </row>
    <row r="1499" spans="2:17" ht="15" customHeight="1" x14ac:dyDescent="0.25">
      <c r="B1499" t="s">
        <v>3502</v>
      </c>
      <c r="C1499" s="1">
        <v>41060.394502314812</v>
      </c>
      <c r="D1499" s="4">
        <v>38000</v>
      </c>
      <c r="E1499">
        <v>38000</v>
      </c>
      <c r="F1499" t="s">
        <v>6</v>
      </c>
      <c r="G1499">
        <f>tblSalaries[[#This Row],[clean Salary (in local currency)]]*VLOOKUP(tblSalaries[[#This Row],[Currency]],tblXrate[],2,FALSE)</f>
        <v>38000</v>
      </c>
      <c r="H1499" t="s">
        <v>310</v>
      </c>
      <c r="I1499" t="s">
        <v>310</v>
      </c>
      <c r="J1499" t="s">
        <v>15</v>
      </c>
      <c r="K1499" t="str">
        <f>VLOOKUP(tblSalaries[[#This Row],[Where do you work]],tblCountries[[Actual]:[Mapping]],2,FALSE)</f>
        <v>USA</v>
      </c>
      <c r="L1499" t="s">
        <v>9</v>
      </c>
      <c r="M1499">
        <v>11</v>
      </c>
      <c r="N1499" s="8" t="str">
        <f>VLOOKUP(K1499,tblCountries[],3,0)</f>
        <v>North Amer.</v>
      </c>
      <c r="O1499" s="8">
        <f>VLOOKUP(tblSalaries[[#This Row],[How many hours of a day you work on Excel]],tblHours,2,0)</f>
        <v>4</v>
      </c>
      <c r="P1499" s="8">
        <f>VLOOKUP(tblSalaries[[#This Row],[clean Country]],tblCountries[],5,0)</f>
        <v>1</v>
      </c>
      <c r="Q1499" s="8">
        <f>IF($Q$1,tblSalaries[[#This Row],[PPP Factor]]*tblSalaries[[#This Row],[Salary in USD]],tblSalaries[[#This Row],[Salary in USD]])</f>
        <v>38000</v>
      </c>
    </row>
    <row r="1500" spans="2:17" ht="15" customHeight="1" x14ac:dyDescent="0.25">
      <c r="B1500" t="s">
        <v>3503</v>
      </c>
      <c r="C1500" s="1">
        <v>41060.406354166669</v>
      </c>
      <c r="D1500" s="4">
        <v>50000</v>
      </c>
      <c r="E1500">
        <v>50000</v>
      </c>
      <c r="F1500" t="s">
        <v>86</v>
      </c>
      <c r="G1500">
        <f>tblSalaries[[#This Row],[clean Salary (in local currency)]]*VLOOKUP(tblSalaries[[#This Row],[Currency]],tblXrate[],2,FALSE)</f>
        <v>49168.076151516347</v>
      </c>
      <c r="H1500" t="s">
        <v>207</v>
      </c>
      <c r="I1500" t="s">
        <v>20</v>
      </c>
      <c r="J1500" t="s">
        <v>88</v>
      </c>
      <c r="K1500" t="str">
        <f>VLOOKUP(tblSalaries[[#This Row],[Where do you work]],tblCountries[[Actual]:[Mapping]],2,FALSE)</f>
        <v>Canada</v>
      </c>
      <c r="L1500" t="s">
        <v>9</v>
      </c>
      <c r="M1500">
        <v>3</v>
      </c>
      <c r="N1500" s="8" t="str">
        <f>VLOOKUP(K1500,tblCountries[],3,0)</f>
        <v>North Amer.</v>
      </c>
      <c r="O1500" s="8">
        <f>VLOOKUP(tblSalaries[[#This Row],[How many hours of a day you work on Excel]],tblHours,2,0)</f>
        <v>4</v>
      </c>
      <c r="P1500" s="8">
        <f>VLOOKUP(tblSalaries[[#This Row],[clean Country]],tblCountries[],5,0)</f>
        <v>1.1935324732986359</v>
      </c>
      <c r="Q1500" s="8">
        <f>IF($Q$1,tblSalaries[[#This Row],[PPP Factor]]*tblSalaries[[#This Row],[Salary in USD]],tblSalaries[[#This Row],[Salary in USD]])</f>
        <v>49168.076151516347</v>
      </c>
    </row>
    <row r="1501" spans="2:17" ht="15" customHeight="1" x14ac:dyDescent="0.25">
      <c r="B1501" t="s">
        <v>3504</v>
      </c>
      <c r="C1501" s="1">
        <v>41060.437291666669</v>
      </c>
      <c r="D1501" s="4">
        <v>500000</v>
      </c>
      <c r="E1501">
        <v>500000</v>
      </c>
      <c r="F1501" t="s">
        <v>40</v>
      </c>
      <c r="G1501">
        <f>tblSalaries[[#This Row],[clean Salary (in local currency)]]*VLOOKUP(tblSalaries[[#This Row],[Currency]],tblXrate[],2,FALSE)</f>
        <v>8903.9583437212841</v>
      </c>
      <c r="H1501" t="s">
        <v>1252</v>
      </c>
      <c r="I1501" t="s">
        <v>20</v>
      </c>
      <c r="J1501" t="s">
        <v>8</v>
      </c>
      <c r="K1501" t="str">
        <f>VLOOKUP(tblSalaries[[#This Row],[Where do you work]],tblCountries[[Actual]:[Mapping]],2,FALSE)</f>
        <v>India</v>
      </c>
      <c r="L1501" t="s">
        <v>9</v>
      </c>
      <c r="M1501">
        <v>8</v>
      </c>
      <c r="N1501" s="8" t="str">
        <f>VLOOKUP(K1501,tblCountries[],3,0)</f>
        <v>Asia</v>
      </c>
      <c r="O1501" s="8">
        <f>VLOOKUP(tblSalaries[[#This Row],[How many hours of a day you work on Excel]],tblHours,2,0)</f>
        <v>4</v>
      </c>
      <c r="P1501" s="8">
        <f>VLOOKUP(tblSalaries[[#This Row],[clean Country]],tblCountries[],5,0)</f>
        <v>13.098808879263672</v>
      </c>
      <c r="Q1501" s="8">
        <f>IF($Q$1,tblSalaries[[#This Row],[PPP Factor]]*tblSalaries[[#This Row],[Salary in USD]],tblSalaries[[#This Row],[Salary in USD]])</f>
        <v>8903.9583437212841</v>
      </c>
    </row>
    <row r="1502" spans="2:17" ht="15" customHeight="1" x14ac:dyDescent="0.25">
      <c r="B1502" t="s">
        <v>3505</v>
      </c>
      <c r="C1502" s="1">
        <v>41060.439664351848</v>
      </c>
      <c r="D1502" s="4" t="s">
        <v>1674</v>
      </c>
      <c r="E1502">
        <v>10000</v>
      </c>
      <c r="F1502" t="s">
        <v>6</v>
      </c>
      <c r="G1502">
        <f>tblSalaries[[#This Row],[clean Salary (in local currency)]]*VLOOKUP(tblSalaries[[#This Row],[Currency]],tblXrate[],2,FALSE)</f>
        <v>10000</v>
      </c>
      <c r="H1502" t="s">
        <v>1675</v>
      </c>
      <c r="I1502" t="s">
        <v>52</v>
      </c>
      <c r="J1502" t="s">
        <v>1676</v>
      </c>
      <c r="K1502" t="str">
        <f>VLOOKUP(tblSalaries[[#This Row],[Where do you work]],tblCountries[[Actual]:[Mapping]],2,FALSE)</f>
        <v>Vietnam</v>
      </c>
      <c r="L1502" t="s">
        <v>18</v>
      </c>
      <c r="M1502">
        <v>8</v>
      </c>
      <c r="N1502" s="8" t="str">
        <f>VLOOKUP(K1502,tblCountries[],3,0)</f>
        <v>Asia</v>
      </c>
      <c r="O1502" s="8">
        <f>VLOOKUP(tblSalaries[[#This Row],[How many hours of a day you work on Excel]],tblHours,2,0)</f>
        <v>3</v>
      </c>
      <c r="P1502" s="8">
        <f>VLOOKUP(tblSalaries[[#This Row],[clean Country]],tblCountries[],5,0)</f>
        <v>14.405180113128907</v>
      </c>
      <c r="Q1502" s="8">
        <f>IF($Q$1,tblSalaries[[#This Row],[PPP Factor]]*tblSalaries[[#This Row],[Salary in USD]],tblSalaries[[#This Row],[Salary in USD]])</f>
        <v>10000</v>
      </c>
    </row>
    <row r="1503" spans="2:17" ht="15" customHeight="1" x14ac:dyDescent="0.25">
      <c r="B1503" t="s">
        <v>3506</v>
      </c>
      <c r="C1503" s="1">
        <v>41060.442800925928</v>
      </c>
      <c r="D1503" s="4">
        <v>105000</v>
      </c>
      <c r="E1503">
        <v>105000</v>
      </c>
      <c r="F1503" t="s">
        <v>6</v>
      </c>
      <c r="G1503">
        <f>tblSalaries[[#This Row],[clean Salary (in local currency)]]*VLOOKUP(tblSalaries[[#This Row],[Currency]],tblXrate[],2,FALSE)</f>
        <v>105000</v>
      </c>
      <c r="H1503" t="s">
        <v>1677</v>
      </c>
      <c r="I1503" t="s">
        <v>52</v>
      </c>
      <c r="J1503" t="s">
        <v>15</v>
      </c>
      <c r="K1503" t="str">
        <f>VLOOKUP(tblSalaries[[#This Row],[Where do you work]],tblCountries[[Actual]:[Mapping]],2,FALSE)</f>
        <v>USA</v>
      </c>
      <c r="L1503" t="s">
        <v>25</v>
      </c>
      <c r="M1503">
        <v>30</v>
      </c>
      <c r="N1503" s="8" t="str">
        <f>VLOOKUP(K1503,tblCountries[],3,0)</f>
        <v>North Amer.</v>
      </c>
      <c r="O1503" s="8">
        <f>VLOOKUP(tblSalaries[[#This Row],[How many hours of a day you work on Excel]],tblHours,2,0)</f>
        <v>2</v>
      </c>
      <c r="P1503" s="8">
        <f>VLOOKUP(tblSalaries[[#This Row],[clean Country]],tblCountries[],5,0)</f>
        <v>1</v>
      </c>
      <c r="Q1503" s="8">
        <f>IF($Q$1,tblSalaries[[#This Row],[PPP Factor]]*tblSalaries[[#This Row],[Salary in USD]],tblSalaries[[#This Row],[Salary in USD]])</f>
        <v>105000</v>
      </c>
    </row>
    <row r="1504" spans="2:17" ht="15" customHeight="1" x14ac:dyDescent="0.25">
      <c r="B1504" t="s">
        <v>3507</v>
      </c>
      <c r="C1504" s="1">
        <v>41060.454722222225</v>
      </c>
      <c r="D1504" s="4">
        <v>1000</v>
      </c>
      <c r="E1504">
        <v>12000</v>
      </c>
      <c r="F1504" t="s">
        <v>6</v>
      </c>
      <c r="G1504">
        <f>tblSalaries[[#This Row],[clean Salary (in local currency)]]*VLOOKUP(tblSalaries[[#This Row],[Currency]],tblXrate[],2,FALSE)</f>
        <v>12000</v>
      </c>
      <c r="H1504" t="s">
        <v>1678</v>
      </c>
      <c r="I1504" t="s">
        <v>20</v>
      </c>
      <c r="J1504" t="s">
        <v>1679</v>
      </c>
      <c r="K1504" t="str">
        <f>VLOOKUP(tblSalaries[[#This Row],[Where do you work]],tblCountries[[Actual]:[Mapping]],2,FALSE)</f>
        <v>Malaysia</v>
      </c>
      <c r="L1504" t="s">
        <v>18</v>
      </c>
      <c r="M1504">
        <v>0</v>
      </c>
      <c r="N1504" s="8" t="str">
        <f>VLOOKUP(K1504,tblCountries[],3,0)</f>
        <v>Asia</v>
      </c>
      <c r="O1504" s="8">
        <f>VLOOKUP(tblSalaries[[#This Row],[How many hours of a day you work on Excel]],tblHours,2,0)</f>
        <v>3</v>
      </c>
      <c r="P1504" s="8">
        <f>VLOOKUP(tblSalaries[[#This Row],[clean Country]],tblCountries[],5,0)</f>
        <v>3.1081063720452211</v>
      </c>
      <c r="Q1504" s="8">
        <f>IF($Q$1,tblSalaries[[#This Row],[PPP Factor]]*tblSalaries[[#This Row],[Salary in USD]],tblSalaries[[#This Row],[Salary in USD]])</f>
        <v>12000</v>
      </c>
    </row>
    <row r="1505" spans="2:17" ht="15" customHeight="1" x14ac:dyDescent="0.25">
      <c r="B1505" t="s">
        <v>3508</v>
      </c>
      <c r="C1505" s="1">
        <v>41060.464328703703</v>
      </c>
      <c r="D1505" s="4" t="s">
        <v>1680</v>
      </c>
      <c r="E1505">
        <v>200000</v>
      </c>
      <c r="F1505" t="s">
        <v>40</v>
      </c>
      <c r="G1505">
        <f>tblSalaries[[#This Row],[clean Salary (in local currency)]]*VLOOKUP(tblSalaries[[#This Row],[Currency]],tblXrate[],2,FALSE)</f>
        <v>3561.5833374885137</v>
      </c>
      <c r="H1505" t="s">
        <v>1681</v>
      </c>
      <c r="I1505" t="s">
        <v>310</v>
      </c>
      <c r="J1505" t="s">
        <v>8</v>
      </c>
      <c r="K1505" t="str">
        <f>VLOOKUP(tblSalaries[[#This Row],[Where do you work]],tblCountries[[Actual]:[Mapping]],2,FALSE)</f>
        <v>India</v>
      </c>
      <c r="L1505" t="s">
        <v>13</v>
      </c>
      <c r="M1505">
        <v>3</v>
      </c>
      <c r="N1505" s="8" t="str">
        <f>VLOOKUP(K1505,tblCountries[],3,0)</f>
        <v>Asia</v>
      </c>
      <c r="O1505" s="8">
        <f>VLOOKUP(tblSalaries[[#This Row],[How many hours of a day you work on Excel]],tblHours,2,0)</f>
        <v>5</v>
      </c>
      <c r="P1505" s="8">
        <f>VLOOKUP(tblSalaries[[#This Row],[clean Country]],tblCountries[],5,0)</f>
        <v>13.098808879263672</v>
      </c>
      <c r="Q1505" s="8">
        <f>IF($Q$1,tblSalaries[[#This Row],[PPP Factor]]*tblSalaries[[#This Row],[Salary in USD]],tblSalaries[[#This Row],[Salary in USD]])</f>
        <v>3561.5833374885137</v>
      </c>
    </row>
    <row r="1506" spans="2:17" ht="15" customHeight="1" x14ac:dyDescent="0.25">
      <c r="B1506" t="s">
        <v>3509</v>
      </c>
      <c r="C1506" s="1">
        <v>41060.559594907405</v>
      </c>
      <c r="D1506" s="4" t="s">
        <v>1682</v>
      </c>
      <c r="E1506">
        <v>85000</v>
      </c>
      <c r="F1506" t="s">
        <v>82</v>
      </c>
      <c r="G1506">
        <f>tblSalaries[[#This Row],[clean Salary (in local currency)]]*VLOOKUP(tblSalaries[[#This Row],[Currency]],tblXrate[],2,FALSE)</f>
        <v>86692.320794224041</v>
      </c>
      <c r="H1506" t="s">
        <v>1683</v>
      </c>
      <c r="I1506" t="s">
        <v>20</v>
      </c>
      <c r="J1506" t="s">
        <v>84</v>
      </c>
      <c r="K1506" t="str">
        <f>VLOOKUP(tblSalaries[[#This Row],[Where do you work]],tblCountries[[Actual]:[Mapping]],2,FALSE)</f>
        <v>Australia</v>
      </c>
      <c r="L1506" t="s">
        <v>25</v>
      </c>
      <c r="M1506">
        <v>5</v>
      </c>
      <c r="N1506" s="8" t="str">
        <f>VLOOKUP(K1506,tblCountries[],3,0)</f>
        <v>Oceania</v>
      </c>
      <c r="O1506" s="8">
        <f>VLOOKUP(tblSalaries[[#This Row],[How many hours of a day you work on Excel]],tblHours,2,0)</f>
        <v>2</v>
      </c>
      <c r="P1506" s="8">
        <f>VLOOKUP(tblSalaries[[#This Row],[clean Country]],tblCountries[],5,0)</f>
        <v>1.2026395585822935</v>
      </c>
      <c r="Q1506" s="8">
        <f>IF($Q$1,tblSalaries[[#This Row],[PPP Factor]]*tblSalaries[[#This Row],[Salary in USD]],tblSalaries[[#This Row],[Salary in USD]])</f>
        <v>86692.320794224041</v>
      </c>
    </row>
    <row r="1507" spans="2:17" ht="15" customHeight="1" x14ac:dyDescent="0.25">
      <c r="B1507" t="s">
        <v>3510</v>
      </c>
      <c r="C1507" s="1">
        <v>41060.666851851849</v>
      </c>
      <c r="D1507" s="4">
        <v>8000</v>
      </c>
      <c r="E1507">
        <v>8000</v>
      </c>
      <c r="F1507" t="s">
        <v>6</v>
      </c>
      <c r="G1507">
        <f>tblSalaries[[#This Row],[clean Salary (in local currency)]]*VLOOKUP(tblSalaries[[#This Row],[Currency]],tblXrate[],2,FALSE)</f>
        <v>8000</v>
      </c>
      <c r="H1507" t="s">
        <v>458</v>
      </c>
      <c r="I1507" t="s">
        <v>4001</v>
      </c>
      <c r="J1507" t="s">
        <v>8</v>
      </c>
      <c r="K1507" t="str">
        <f>VLOOKUP(tblSalaries[[#This Row],[Where do you work]],tblCountries[[Actual]:[Mapping]],2,FALSE)</f>
        <v>India</v>
      </c>
      <c r="L1507" t="s">
        <v>9</v>
      </c>
      <c r="M1507">
        <v>18</v>
      </c>
      <c r="N1507" s="8" t="str">
        <f>VLOOKUP(K1507,tblCountries[],3,0)</f>
        <v>Asia</v>
      </c>
      <c r="O1507" s="8">
        <f>VLOOKUP(tblSalaries[[#This Row],[How many hours of a day you work on Excel]],tblHours,2,0)</f>
        <v>4</v>
      </c>
      <c r="P1507" s="8">
        <f>VLOOKUP(tblSalaries[[#This Row],[clean Country]],tblCountries[],5,0)</f>
        <v>13.098808879263672</v>
      </c>
      <c r="Q1507" s="8">
        <f>IF($Q$1,tblSalaries[[#This Row],[PPP Factor]]*tblSalaries[[#This Row],[Salary in USD]],tblSalaries[[#This Row],[Salary in USD]])</f>
        <v>8000</v>
      </c>
    </row>
    <row r="1508" spans="2:17" ht="15" customHeight="1" x14ac:dyDescent="0.25">
      <c r="B1508" t="s">
        <v>3511</v>
      </c>
      <c r="C1508" s="1">
        <v>41060.673935185187</v>
      </c>
      <c r="D1508" s="4" t="s">
        <v>1684</v>
      </c>
      <c r="E1508">
        <v>380000</v>
      </c>
      <c r="F1508" t="s">
        <v>40</v>
      </c>
      <c r="G1508">
        <f>tblSalaries[[#This Row],[clean Salary (in local currency)]]*VLOOKUP(tblSalaries[[#This Row],[Currency]],tblXrate[],2,FALSE)</f>
        <v>6767.0083412281756</v>
      </c>
      <c r="H1508" t="s">
        <v>1685</v>
      </c>
      <c r="I1508" t="s">
        <v>20</v>
      </c>
      <c r="J1508" t="s">
        <v>8</v>
      </c>
      <c r="K1508" t="str">
        <f>VLOOKUP(tblSalaries[[#This Row],[Where do you work]],tblCountries[[Actual]:[Mapping]],2,FALSE)</f>
        <v>India</v>
      </c>
      <c r="L1508" t="s">
        <v>18</v>
      </c>
      <c r="M1508">
        <v>6</v>
      </c>
      <c r="N1508" s="8" t="str">
        <f>VLOOKUP(K1508,tblCountries[],3,0)</f>
        <v>Asia</v>
      </c>
      <c r="O1508" s="8">
        <f>VLOOKUP(tblSalaries[[#This Row],[How many hours of a day you work on Excel]],tblHours,2,0)</f>
        <v>3</v>
      </c>
      <c r="P1508" s="8">
        <f>VLOOKUP(tblSalaries[[#This Row],[clean Country]],tblCountries[],5,0)</f>
        <v>13.098808879263672</v>
      </c>
      <c r="Q1508" s="8">
        <f>IF($Q$1,tblSalaries[[#This Row],[PPP Factor]]*tblSalaries[[#This Row],[Salary in USD]],tblSalaries[[#This Row],[Salary in USD]])</f>
        <v>6767.0083412281756</v>
      </c>
    </row>
    <row r="1509" spans="2:17" ht="15" customHeight="1" x14ac:dyDescent="0.25">
      <c r="B1509" t="s">
        <v>3512</v>
      </c>
      <c r="C1509" s="1">
        <v>41060.677905092591</v>
      </c>
      <c r="D1509" s="4" t="s">
        <v>1686</v>
      </c>
      <c r="E1509">
        <v>30500</v>
      </c>
      <c r="F1509" t="s">
        <v>69</v>
      </c>
      <c r="G1509">
        <f>tblSalaries[[#This Row],[clean Salary (in local currency)]]*VLOOKUP(tblSalaries[[#This Row],[Currency]],tblXrate[],2,FALSE)</f>
        <v>48073.437298052166</v>
      </c>
      <c r="H1509" t="s">
        <v>1687</v>
      </c>
      <c r="I1509" t="s">
        <v>356</v>
      </c>
      <c r="J1509" t="s">
        <v>71</v>
      </c>
      <c r="K1509" t="str">
        <f>VLOOKUP(tblSalaries[[#This Row],[Where do you work]],tblCountries[[Actual]:[Mapping]],2,FALSE)</f>
        <v>UK</v>
      </c>
      <c r="L1509" t="s">
        <v>9</v>
      </c>
      <c r="M1509">
        <v>14</v>
      </c>
      <c r="N1509" s="8" t="str">
        <f>VLOOKUP(K1509,tblCountries[],3,0)</f>
        <v>Europe</v>
      </c>
      <c r="O1509" s="8">
        <f>VLOOKUP(tblSalaries[[#This Row],[How many hours of a day you work on Excel]],tblHours,2,0)</f>
        <v>4</v>
      </c>
      <c r="P1509" s="8">
        <f>VLOOKUP(tblSalaries[[#This Row],[clean Country]],tblCountries[],5,0)</f>
        <v>1.3407315045719035</v>
      </c>
      <c r="Q1509" s="8">
        <f>IF($Q$1,tblSalaries[[#This Row],[PPP Factor]]*tblSalaries[[#This Row],[Salary in USD]],tblSalaries[[#This Row],[Salary in USD]])</f>
        <v>48073.437298052166</v>
      </c>
    </row>
    <row r="1510" spans="2:17" ht="15" customHeight="1" x14ac:dyDescent="0.25">
      <c r="B1510" t="s">
        <v>3513</v>
      </c>
      <c r="C1510" s="1">
        <v>41060.684293981481</v>
      </c>
      <c r="D1510" s="4" t="s">
        <v>1688</v>
      </c>
      <c r="E1510">
        <v>60000</v>
      </c>
      <c r="F1510" t="s">
        <v>22</v>
      </c>
      <c r="G1510">
        <f>tblSalaries[[#This Row],[clean Salary (in local currency)]]*VLOOKUP(tblSalaries[[#This Row],[Currency]],tblXrate[],2,FALSE)</f>
        <v>76223.966339496474</v>
      </c>
      <c r="H1510" t="s">
        <v>1689</v>
      </c>
      <c r="I1510" t="s">
        <v>52</v>
      </c>
      <c r="J1510" t="s">
        <v>1690</v>
      </c>
      <c r="K1510" t="str">
        <f>VLOOKUP(tblSalaries[[#This Row],[Where do you work]],tblCountries[[Actual]:[Mapping]],2,FALSE)</f>
        <v>Netherlands</v>
      </c>
      <c r="L1510" t="s">
        <v>18</v>
      </c>
      <c r="M1510">
        <v>15</v>
      </c>
      <c r="N1510" s="8" t="str">
        <f>VLOOKUP(K1510,tblCountries[],3,0)</f>
        <v>Europe</v>
      </c>
      <c r="O1510" s="8">
        <f>VLOOKUP(tblSalaries[[#This Row],[How many hours of a day you work on Excel]],tblHours,2,0)</f>
        <v>3</v>
      </c>
      <c r="P1510" s="8">
        <f>VLOOKUP(tblSalaries[[#This Row],[clean Country]],tblCountries[],5,0)</f>
        <v>1.1470734656141099</v>
      </c>
      <c r="Q1510" s="8">
        <f>IF($Q$1,tblSalaries[[#This Row],[PPP Factor]]*tblSalaries[[#This Row],[Salary in USD]],tblSalaries[[#This Row],[Salary in USD]])</f>
        <v>76223.966339496474</v>
      </c>
    </row>
    <row r="1511" spans="2:17" ht="15" customHeight="1" x14ac:dyDescent="0.25">
      <c r="B1511" t="s">
        <v>3514</v>
      </c>
      <c r="C1511" s="1">
        <v>41060.684305555558</v>
      </c>
      <c r="D1511" s="4">
        <v>320000</v>
      </c>
      <c r="E1511">
        <v>320000</v>
      </c>
      <c r="F1511" t="s">
        <v>3958</v>
      </c>
      <c r="G1511">
        <f>tblSalaries[[#This Row],[clean Salary (in local currency)]]*VLOOKUP(tblSalaries[[#This Row],[Currency]],tblXrate[],2,FALSE)</f>
        <v>85333.333333333328</v>
      </c>
      <c r="H1511" t="s">
        <v>1691</v>
      </c>
      <c r="I1511" t="s">
        <v>52</v>
      </c>
      <c r="J1511" t="s">
        <v>133</v>
      </c>
      <c r="K1511" t="str">
        <f>VLOOKUP(tblSalaries[[#This Row],[Where do you work]],tblCountries[[Actual]:[Mapping]],2,FALSE)</f>
        <v>Saudi Arabia</v>
      </c>
      <c r="L1511" t="s">
        <v>18</v>
      </c>
      <c r="M1511">
        <v>15</v>
      </c>
      <c r="N1511" s="8" t="str">
        <f>VLOOKUP(K1511,tblCountries[],3,0)</f>
        <v>Asia</v>
      </c>
      <c r="O1511" s="8">
        <f>VLOOKUP(tblSalaries[[#This Row],[How many hours of a day you work on Excel]],tblHours,2,0)</f>
        <v>3</v>
      </c>
      <c r="P1511" s="8">
        <f>VLOOKUP(tblSalaries[[#This Row],[clean Country]],tblCountries[],5,0)</f>
        <v>1.9964104468374799</v>
      </c>
      <c r="Q1511" s="8">
        <f>IF($Q$1,tblSalaries[[#This Row],[PPP Factor]]*tblSalaries[[#This Row],[Salary in USD]],tblSalaries[[#This Row],[Salary in USD]])</f>
        <v>85333.333333333328</v>
      </c>
    </row>
    <row r="1512" spans="2:17" ht="15" customHeight="1" x14ac:dyDescent="0.25">
      <c r="B1512" t="s">
        <v>3515</v>
      </c>
      <c r="C1512" s="1">
        <v>41060.687604166669</v>
      </c>
      <c r="D1512" s="4">
        <v>48360</v>
      </c>
      <c r="E1512">
        <v>48360</v>
      </c>
      <c r="F1512" t="s">
        <v>69</v>
      </c>
      <c r="G1512">
        <f>tblSalaries[[#This Row],[clean Salary (in local currency)]]*VLOOKUP(tblSalaries[[#This Row],[Currency]],tblXrate[],2,FALSE)</f>
        <v>76223.981237173866</v>
      </c>
      <c r="H1512" t="s">
        <v>1692</v>
      </c>
      <c r="I1512" t="s">
        <v>52</v>
      </c>
      <c r="J1512" t="s">
        <v>71</v>
      </c>
      <c r="K1512" t="str">
        <f>VLOOKUP(tblSalaries[[#This Row],[Where do you work]],tblCountries[[Actual]:[Mapping]],2,FALSE)</f>
        <v>UK</v>
      </c>
      <c r="L1512" t="s">
        <v>13</v>
      </c>
      <c r="M1512">
        <v>8</v>
      </c>
      <c r="N1512" s="8" t="str">
        <f>VLOOKUP(K1512,tblCountries[],3,0)</f>
        <v>Europe</v>
      </c>
      <c r="O1512" s="8">
        <f>VLOOKUP(tblSalaries[[#This Row],[How many hours of a day you work on Excel]],tblHours,2,0)</f>
        <v>5</v>
      </c>
      <c r="P1512" s="8">
        <f>VLOOKUP(tblSalaries[[#This Row],[clean Country]],tblCountries[],5,0)</f>
        <v>1.3407315045719035</v>
      </c>
      <c r="Q1512" s="8">
        <f>IF($Q$1,tblSalaries[[#This Row],[PPP Factor]]*tblSalaries[[#This Row],[Salary in USD]],tblSalaries[[#This Row],[Salary in USD]])</f>
        <v>76223.981237173866</v>
      </c>
    </row>
    <row r="1513" spans="2:17" ht="15" customHeight="1" x14ac:dyDescent="0.25">
      <c r="B1513" t="s">
        <v>3516</v>
      </c>
      <c r="C1513" s="1">
        <v>41060.714571759258</v>
      </c>
      <c r="D1513" s="4">
        <v>30000</v>
      </c>
      <c r="E1513">
        <v>30000</v>
      </c>
      <c r="F1513" t="s">
        <v>6</v>
      </c>
      <c r="G1513">
        <f>tblSalaries[[#This Row],[clean Salary (in local currency)]]*VLOOKUP(tblSalaries[[#This Row],[Currency]],tblXrate[],2,FALSE)</f>
        <v>30000</v>
      </c>
      <c r="H1513" t="s">
        <v>1693</v>
      </c>
      <c r="I1513" t="s">
        <v>52</v>
      </c>
      <c r="J1513" t="s">
        <v>17</v>
      </c>
      <c r="K1513" t="str">
        <f>VLOOKUP(tblSalaries[[#This Row],[Where do you work]],tblCountries[[Actual]:[Mapping]],2,FALSE)</f>
        <v>Pakistan</v>
      </c>
      <c r="L1513" t="s">
        <v>9</v>
      </c>
      <c r="M1513">
        <v>5</v>
      </c>
      <c r="N1513" s="8" t="str">
        <f>VLOOKUP(K1513,tblCountries[],3,0)</f>
        <v>Asia</v>
      </c>
      <c r="O1513" s="8">
        <f>VLOOKUP(tblSalaries[[#This Row],[How many hours of a day you work on Excel]],tblHours,2,0)</f>
        <v>4</v>
      </c>
      <c r="P1513" s="8">
        <f>VLOOKUP(tblSalaries[[#This Row],[clean Country]],tblCountries[],5,0)</f>
        <v>17.361679224973088</v>
      </c>
      <c r="Q1513" s="8">
        <f>IF($Q$1,tblSalaries[[#This Row],[PPP Factor]]*tblSalaries[[#This Row],[Salary in USD]],tblSalaries[[#This Row],[Salary in USD]])</f>
        <v>30000</v>
      </c>
    </row>
    <row r="1514" spans="2:17" ht="15" customHeight="1" x14ac:dyDescent="0.25">
      <c r="B1514" t="s">
        <v>3517</v>
      </c>
      <c r="C1514" s="1">
        <v>41060.723437499997</v>
      </c>
      <c r="D1514" s="4">
        <v>34000</v>
      </c>
      <c r="E1514">
        <v>34000</v>
      </c>
      <c r="F1514" t="s">
        <v>6</v>
      </c>
      <c r="G1514">
        <f>tblSalaries[[#This Row],[clean Salary (in local currency)]]*VLOOKUP(tblSalaries[[#This Row],[Currency]],tblXrate[],2,FALSE)</f>
        <v>34000</v>
      </c>
      <c r="H1514" t="s">
        <v>1694</v>
      </c>
      <c r="I1514" t="s">
        <v>20</v>
      </c>
      <c r="J1514" t="s">
        <v>8</v>
      </c>
      <c r="K1514" t="str">
        <f>VLOOKUP(tblSalaries[[#This Row],[Where do you work]],tblCountries[[Actual]:[Mapping]],2,FALSE)</f>
        <v>India</v>
      </c>
      <c r="L1514" t="s">
        <v>13</v>
      </c>
      <c r="M1514">
        <v>4</v>
      </c>
      <c r="N1514" s="8" t="str">
        <f>VLOOKUP(K1514,tblCountries[],3,0)</f>
        <v>Asia</v>
      </c>
      <c r="O1514" s="8">
        <f>VLOOKUP(tblSalaries[[#This Row],[How many hours of a day you work on Excel]],tblHours,2,0)</f>
        <v>5</v>
      </c>
      <c r="P1514" s="8">
        <f>VLOOKUP(tblSalaries[[#This Row],[clean Country]],tblCountries[],5,0)</f>
        <v>13.098808879263672</v>
      </c>
      <c r="Q1514" s="8">
        <f>IF($Q$1,tblSalaries[[#This Row],[PPP Factor]]*tblSalaries[[#This Row],[Salary in USD]],tblSalaries[[#This Row],[Salary in USD]])</f>
        <v>34000</v>
      </c>
    </row>
    <row r="1515" spans="2:17" ht="15" customHeight="1" x14ac:dyDescent="0.25">
      <c r="B1515" t="s">
        <v>3518</v>
      </c>
      <c r="C1515" s="1">
        <v>41060.73233796296</v>
      </c>
      <c r="D1515" s="4" t="s">
        <v>1695</v>
      </c>
      <c r="E1515">
        <v>180000</v>
      </c>
      <c r="F1515" t="s">
        <v>40</v>
      </c>
      <c r="G1515">
        <f>tblSalaries[[#This Row],[clean Salary (in local currency)]]*VLOOKUP(tblSalaries[[#This Row],[Currency]],tblXrate[],2,FALSE)</f>
        <v>3205.4250037396623</v>
      </c>
      <c r="H1515" t="s">
        <v>1696</v>
      </c>
      <c r="I1515" t="s">
        <v>52</v>
      </c>
      <c r="J1515" t="s">
        <v>8</v>
      </c>
      <c r="K1515" t="str">
        <f>VLOOKUP(tblSalaries[[#This Row],[Where do you work]],tblCountries[[Actual]:[Mapping]],2,FALSE)</f>
        <v>India</v>
      </c>
      <c r="L1515" t="s">
        <v>9</v>
      </c>
      <c r="M1515">
        <v>5</v>
      </c>
      <c r="N1515" s="8" t="str">
        <f>VLOOKUP(K1515,tblCountries[],3,0)</f>
        <v>Asia</v>
      </c>
      <c r="O1515" s="8">
        <f>VLOOKUP(tblSalaries[[#This Row],[How many hours of a day you work on Excel]],tblHours,2,0)</f>
        <v>4</v>
      </c>
      <c r="P1515" s="8">
        <f>VLOOKUP(tblSalaries[[#This Row],[clean Country]],tblCountries[],5,0)</f>
        <v>13.098808879263672</v>
      </c>
      <c r="Q1515" s="8">
        <f>IF($Q$1,tblSalaries[[#This Row],[PPP Factor]]*tblSalaries[[#This Row],[Salary in USD]],tblSalaries[[#This Row],[Salary in USD]])</f>
        <v>3205.4250037396623</v>
      </c>
    </row>
    <row r="1516" spans="2:17" ht="15" customHeight="1" x14ac:dyDescent="0.25">
      <c r="B1516" t="s">
        <v>3519</v>
      </c>
      <c r="C1516" s="1">
        <v>41060.733020833337</v>
      </c>
      <c r="D1516" s="4" t="s">
        <v>1697</v>
      </c>
      <c r="E1516">
        <v>45000</v>
      </c>
      <c r="F1516" t="s">
        <v>6</v>
      </c>
      <c r="G1516">
        <f>tblSalaries[[#This Row],[clean Salary (in local currency)]]*VLOOKUP(tblSalaries[[#This Row],[Currency]],tblXrate[],2,FALSE)</f>
        <v>45000</v>
      </c>
      <c r="H1516" t="s">
        <v>1698</v>
      </c>
      <c r="I1516" t="s">
        <v>52</v>
      </c>
      <c r="J1516" t="s">
        <v>24</v>
      </c>
      <c r="K1516" t="str">
        <f>VLOOKUP(tblSalaries[[#This Row],[Where do you work]],tblCountries[[Actual]:[Mapping]],2,FALSE)</f>
        <v>Germany</v>
      </c>
      <c r="L1516" t="s">
        <v>18</v>
      </c>
      <c r="M1516">
        <v>5</v>
      </c>
      <c r="N1516" s="8" t="str">
        <f>VLOOKUP(K1516,tblCountries[],3,0)</f>
        <v>Europe</v>
      </c>
      <c r="O1516" s="8">
        <f>VLOOKUP(tblSalaries[[#This Row],[How many hours of a day you work on Excel]],tblHours,2,0)</f>
        <v>3</v>
      </c>
      <c r="P1516" s="8">
        <f>VLOOKUP(tblSalaries[[#This Row],[clean Country]],tblCountries[],5,0)</f>
        <v>1.276802913159353</v>
      </c>
      <c r="Q1516" s="8">
        <f>IF($Q$1,tblSalaries[[#This Row],[PPP Factor]]*tblSalaries[[#This Row],[Salary in USD]],tblSalaries[[#This Row],[Salary in USD]])</f>
        <v>45000</v>
      </c>
    </row>
    <row r="1517" spans="2:17" ht="15" customHeight="1" x14ac:dyDescent="0.25">
      <c r="B1517" t="s">
        <v>3520</v>
      </c>
      <c r="C1517" s="1">
        <v>41060.774652777778</v>
      </c>
      <c r="D1517" s="4">
        <v>24864</v>
      </c>
      <c r="E1517">
        <v>24864</v>
      </c>
      <c r="F1517" t="s">
        <v>6</v>
      </c>
      <c r="G1517">
        <f>tblSalaries[[#This Row],[clean Salary (in local currency)]]*VLOOKUP(tblSalaries[[#This Row],[Currency]],tblXrate[],2,FALSE)</f>
        <v>24864</v>
      </c>
      <c r="H1517" t="s">
        <v>1699</v>
      </c>
      <c r="I1517" t="s">
        <v>52</v>
      </c>
      <c r="J1517" t="s">
        <v>1700</v>
      </c>
      <c r="K1517" t="str">
        <f>VLOOKUP(tblSalaries[[#This Row],[Where do you work]],tblCountries[[Actual]:[Mapping]],2,FALSE)</f>
        <v>Libya</v>
      </c>
      <c r="L1517" t="s">
        <v>13</v>
      </c>
      <c r="M1517">
        <v>8</v>
      </c>
      <c r="N1517" s="8" t="str">
        <f>VLOOKUP(K1517,tblCountries[],3,0)</f>
        <v>Africa</v>
      </c>
      <c r="O1517" s="8">
        <f>VLOOKUP(tblSalaries[[#This Row],[How many hours of a day you work on Excel]],tblHours,2,0)</f>
        <v>5</v>
      </c>
      <c r="P1517" s="8">
        <f>VLOOKUP(tblSalaries[[#This Row],[clean Country]],tblCountries[],5,0)</f>
        <v>8.3613271124935196</v>
      </c>
      <c r="Q1517" s="8">
        <f>IF($Q$1,tblSalaries[[#This Row],[PPP Factor]]*tblSalaries[[#This Row],[Salary in USD]],tblSalaries[[#This Row],[Salary in USD]])</f>
        <v>24864</v>
      </c>
    </row>
    <row r="1518" spans="2:17" ht="15" customHeight="1" x14ac:dyDescent="0.25">
      <c r="B1518" t="s">
        <v>3521</v>
      </c>
      <c r="C1518" s="1">
        <v>41060.827418981484</v>
      </c>
      <c r="D1518" s="4" t="s">
        <v>137</v>
      </c>
      <c r="E1518">
        <v>30000</v>
      </c>
      <c r="F1518" t="s">
        <v>69</v>
      </c>
      <c r="G1518">
        <f>tblSalaries[[#This Row],[clean Salary (in local currency)]]*VLOOKUP(tblSalaries[[#This Row],[Currency]],tblXrate[],2,FALSE)</f>
        <v>47285.348162018527</v>
      </c>
      <c r="H1518" t="s">
        <v>653</v>
      </c>
      <c r="I1518" t="s">
        <v>20</v>
      </c>
      <c r="J1518" t="s">
        <v>71</v>
      </c>
      <c r="K1518" t="str">
        <f>VLOOKUP(tblSalaries[[#This Row],[Where do you work]],tblCountries[[Actual]:[Mapping]],2,FALSE)</f>
        <v>UK</v>
      </c>
      <c r="L1518" t="s">
        <v>9</v>
      </c>
      <c r="M1518">
        <v>7</v>
      </c>
      <c r="N1518" s="8" t="str">
        <f>VLOOKUP(K1518,tblCountries[],3,0)</f>
        <v>Europe</v>
      </c>
      <c r="O1518" s="8">
        <f>VLOOKUP(tblSalaries[[#This Row],[How many hours of a day you work on Excel]],tblHours,2,0)</f>
        <v>4</v>
      </c>
      <c r="P1518" s="8">
        <f>VLOOKUP(tblSalaries[[#This Row],[clean Country]],tblCountries[],5,0)</f>
        <v>1.3407315045719035</v>
      </c>
      <c r="Q1518" s="8">
        <f>IF($Q$1,tblSalaries[[#This Row],[PPP Factor]]*tblSalaries[[#This Row],[Salary in USD]],tblSalaries[[#This Row],[Salary in USD]])</f>
        <v>47285.348162018527</v>
      </c>
    </row>
    <row r="1519" spans="2:17" ht="15" customHeight="1" x14ac:dyDescent="0.25">
      <c r="B1519" t="s">
        <v>3522</v>
      </c>
      <c r="C1519" s="1">
        <v>41060.842673611114</v>
      </c>
      <c r="D1519" s="4">
        <v>1000000</v>
      </c>
      <c r="E1519">
        <v>1000000</v>
      </c>
      <c r="F1519" t="s">
        <v>40</v>
      </c>
      <c r="G1519">
        <f>tblSalaries[[#This Row],[clean Salary (in local currency)]]*VLOOKUP(tblSalaries[[#This Row],[Currency]],tblXrate[],2,FALSE)</f>
        <v>17807.916687442568</v>
      </c>
      <c r="H1519" t="s">
        <v>466</v>
      </c>
      <c r="I1519" t="s">
        <v>20</v>
      </c>
      <c r="J1519" t="s">
        <v>8</v>
      </c>
      <c r="K1519" t="str">
        <f>VLOOKUP(tblSalaries[[#This Row],[Where do you work]],tblCountries[[Actual]:[Mapping]],2,FALSE)</f>
        <v>India</v>
      </c>
      <c r="L1519" t="s">
        <v>13</v>
      </c>
      <c r="M1519">
        <v>10</v>
      </c>
      <c r="N1519" s="8" t="str">
        <f>VLOOKUP(K1519,tblCountries[],3,0)</f>
        <v>Asia</v>
      </c>
      <c r="O1519" s="8">
        <f>VLOOKUP(tblSalaries[[#This Row],[How many hours of a day you work on Excel]],tblHours,2,0)</f>
        <v>5</v>
      </c>
      <c r="P1519" s="8">
        <f>VLOOKUP(tblSalaries[[#This Row],[clean Country]],tblCountries[],5,0)</f>
        <v>13.098808879263672</v>
      </c>
      <c r="Q1519" s="8">
        <f>IF($Q$1,tblSalaries[[#This Row],[PPP Factor]]*tblSalaries[[#This Row],[Salary in USD]],tblSalaries[[#This Row],[Salary in USD]])</f>
        <v>17807.916687442568</v>
      </c>
    </row>
    <row r="1520" spans="2:17" ht="15" customHeight="1" x14ac:dyDescent="0.25">
      <c r="B1520" t="s">
        <v>3523</v>
      </c>
      <c r="C1520" s="1">
        <v>41060.843287037038</v>
      </c>
      <c r="D1520" s="4" t="s">
        <v>68</v>
      </c>
      <c r="E1520">
        <v>35000</v>
      </c>
      <c r="F1520" t="s">
        <v>69</v>
      </c>
      <c r="G1520">
        <f>tblSalaries[[#This Row],[clean Salary (in local currency)]]*VLOOKUP(tblSalaries[[#This Row],[Currency]],tblXrate[],2,FALSE)</f>
        <v>55166.239522354947</v>
      </c>
      <c r="H1520" t="s">
        <v>200</v>
      </c>
      <c r="I1520" t="s">
        <v>20</v>
      </c>
      <c r="J1520" t="s">
        <v>71</v>
      </c>
      <c r="K1520" t="str">
        <f>VLOOKUP(tblSalaries[[#This Row],[Where do you work]],tblCountries[[Actual]:[Mapping]],2,FALSE)</f>
        <v>UK</v>
      </c>
      <c r="L1520" t="s">
        <v>9</v>
      </c>
      <c r="M1520">
        <v>3</v>
      </c>
      <c r="N1520" s="8" t="str">
        <f>VLOOKUP(K1520,tblCountries[],3,0)</f>
        <v>Europe</v>
      </c>
      <c r="O1520" s="8">
        <f>VLOOKUP(tblSalaries[[#This Row],[How many hours of a day you work on Excel]],tblHours,2,0)</f>
        <v>4</v>
      </c>
      <c r="P1520" s="8">
        <f>VLOOKUP(tblSalaries[[#This Row],[clean Country]],tblCountries[],5,0)</f>
        <v>1.3407315045719035</v>
      </c>
      <c r="Q1520" s="8">
        <f>IF($Q$1,tblSalaries[[#This Row],[PPP Factor]]*tblSalaries[[#This Row],[Salary in USD]],tblSalaries[[#This Row],[Salary in USD]])</f>
        <v>55166.239522354947</v>
      </c>
    </row>
    <row r="1521" spans="2:17" ht="15" customHeight="1" x14ac:dyDescent="0.25">
      <c r="B1521" t="s">
        <v>3524</v>
      </c>
      <c r="C1521" s="1">
        <v>41060.878495370373</v>
      </c>
      <c r="D1521" s="4" t="s">
        <v>1701</v>
      </c>
      <c r="E1521">
        <v>55000</v>
      </c>
      <c r="F1521" t="s">
        <v>22</v>
      </c>
      <c r="G1521">
        <f>tblSalaries[[#This Row],[clean Salary (in local currency)]]*VLOOKUP(tblSalaries[[#This Row],[Currency]],tblXrate[],2,FALSE)</f>
        <v>69871.969144538423</v>
      </c>
      <c r="H1521" t="s">
        <v>1702</v>
      </c>
      <c r="I1521" t="s">
        <v>52</v>
      </c>
      <c r="J1521" t="s">
        <v>96</v>
      </c>
      <c r="K1521" t="str">
        <f>VLOOKUP(tblSalaries[[#This Row],[Where do you work]],tblCountries[[Actual]:[Mapping]],2,FALSE)</f>
        <v>Netherlands</v>
      </c>
      <c r="L1521" t="s">
        <v>25</v>
      </c>
      <c r="M1521">
        <v>5</v>
      </c>
      <c r="N1521" s="8" t="str">
        <f>VLOOKUP(K1521,tblCountries[],3,0)</f>
        <v>Europe</v>
      </c>
      <c r="O1521" s="8">
        <f>VLOOKUP(tblSalaries[[#This Row],[How many hours of a day you work on Excel]],tblHours,2,0)</f>
        <v>2</v>
      </c>
      <c r="P1521" s="8">
        <f>VLOOKUP(tblSalaries[[#This Row],[clean Country]],tblCountries[],5,0)</f>
        <v>1.1470734656141099</v>
      </c>
      <c r="Q1521" s="8">
        <f>IF($Q$1,tblSalaries[[#This Row],[PPP Factor]]*tblSalaries[[#This Row],[Salary in USD]],tblSalaries[[#This Row],[Salary in USD]])</f>
        <v>69871.969144538423</v>
      </c>
    </row>
    <row r="1522" spans="2:17" ht="15" customHeight="1" x14ac:dyDescent="0.25">
      <c r="B1522" t="s">
        <v>3525</v>
      </c>
      <c r="C1522" s="1">
        <v>41060.879687499997</v>
      </c>
      <c r="D1522" s="4">
        <v>70970</v>
      </c>
      <c r="E1522">
        <v>70970</v>
      </c>
      <c r="F1522" t="s">
        <v>6</v>
      </c>
      <c r="G1522">
        <f>tblSalaries[[#This Row],[clean Salary (in local currency)]]*VLOOKUP(tblSalaries[[#This Row],[Currency]],tblXrate[],2,FALSE)</f>
        <v>70970</v>
      </c>
      <c r="H1522" t="s">
        <v>1703</v>
      </c>
      <c r="I1522" t="s">
        <v>20</v>
      </c>
      <c r="J1522" t="s">
        <v>15</v>
      </c>
      <c r="K1522" t="str">
        <f>VLOOKUP(tblSalaries[[#This Row],[Where do you work]],tblCountries[[Actual]:[Mapping]],2,FALSE)</f>
        <v>USA</v>
      </c>
      <c r="L1522" t="s">
        <v>9</v>
      </c>
      <c r="M1522">
        <v>17</v>
      </c>
      <c r="N1522" s="8" t="str">
        <f>VLOOKUP(K1522,tblCountries[],3,0)</f>
        <v>North Amer.</v>
      </c>
      <c r="O1522" s="8">
        <f>VLOOKUP(tblSalaries[[#This Row],[How many hours of a day you work on Excel]],tblHours,2,0)</f>
        <v>4</v>
      </c>
      <c r="P1522" s="8">
        <f>VLOOKUP(tblSalaries[[#This Row],[clean Country]],tblCountries[],5,0)</f>
        <v>1</v>
      </c>
      <c r="Q1522" s="8">
        <f>IF($Q$1,tblSalaries[[#This Row],[PPP Factor]]*tblSalaries[[#This Row],[Salary in USD]],tblSalaries[[#This Row],[Salary in USD]])</f>
        <v>70970</v>
      </c>
    </row>
    <row r="1523" spans="2:17" ht="15" customHeight="1" x14ac:dyDescent="0.25">
      <c r="B1523" t="s">
        <v>3526</v>
      </c>
      <c r="C1523" s="1">
        <v>41060.906284722223</v>
      </c>
      <c r="D1523" s="4" t="s">
        <v>1704</v>
      </c>
      <c r="E1523">
        <v>60000</v>
      </c>
      <c r="F1523" t="s">
        <v>22</v>
      </c>
      <c r="G1523">
        <f>tblSalaries[[#This Row],[clean Salary (in local currency)]]*VLOOKUP(tblSalaries[[#This Row],[Currency]],tblXrate[],2,FALSE)</f>
        <v>76223.966339496474</v>
      </c>
      <c r="H1523" t="s">
        <v>1705</v>
      </c>
      <c r="I1523" t="s">
        <v>279</v>
      </c>
      <c r="J1523" t="s">
        <v>628</v>
      </c>
      <c r="K1523" t="str">
        <f>VLOOKUP(tblSalaries[[#This Row],[Where do you work]],tblCountries[[Actual]:[Mapping]],2,FALSE)</f>
        <v>Netherlands</v>
      </c>
      <c r="L1523" t="s">
        <v>9</v>
      </c>
      <c r="M1523">
        <v>7</v>
      </c>
      <c r="N1523" s="8" t="str">
        <f>VLOOKUP(K1523,tblCountries[],3,0)</f>
        <v>Europe</v>
      </c>
      <c r="O1523" s="8">
        <f>VLOOKUP(tblSalaries[[#This Row],[How many hours of a day you work on Excel]],tblHours,2,0)</f>
        <v>4</v>
      </c>
      <c r="P1523" s="8">
        <f>VLOOKUP(tblSalaries[[#This Row],[clean Country]],tblCountries[],5,0)</f>
        <v>1.1470734656141099</v>
      </c>
      <c r="Q1523" s="8">
        <f>IF($Q$1,tblSalaries[[#This Row],[PPP Factor]]*tblSalaries[[#This Row],[Salary in USD]],tblSalaries[[#This Row],[Salary in USD]])</f>
        <v>76223.966339496474</v>
      </c>
    </row>
    <row r="1524" spans="2:17" ht="15" customHeight="1" x14ac:dyDescent="0.25">
      <c r="B1524" t="s">
        <v>3527</v>
      </c>
      <c r="C1524" s="1">
        <v>41060.908067129632</v>
      </c>
      <c r="D1524" s="4">
        <v>110000</v>
      </c>
      <c r="E1524">
        <v>110000</v>
      </c>
      <c r="F1524" t="s">
        <v>6</v>
      </c>
      <c r="G1524">
        <f>tblSalaries[[#This Row],[clean Salary (in local currency)]]*VLOOKUP(tblSalaries[[#This Row],[Currency]],tblXrate[],2,FALSE)</f>
        <v>110000</v>
      </c>
      <c r="H1524" t="s">
        <v>269</v>
      </c>
      <c r="I1524" t="s">
        <v>488</v>
      </c>
      <c r="J1524" t="s">
        <v>583</v>
      </c>
      <c r="K1524" t="str">
        <f>VLOOKUP(tblSalaries[[#This Row],[Where do you work]],tblCountries[[Actual]:[Mapping]],2,FALSE)</f>
        <v>Norway</v>
      </c>
      <c r="L1524" t="s">
        <v>13</v>
      </c>
      <c r="M1524">
        <v>5</v>
      </c>
      <c r="N1524" s="8" t="str">
        <f>VLOOKUP(K1524,tblCountries[],3,0)</f>
        <v>Europe</v>
      </c>
      <c r="O1524" s="8">
        <f>VLOOKUP(tblSalaries[[#This Row],[How many hours of a day you work on Excel]],tblHours,2,0)</f>
        <v>5</v>
      </c>
      <c r="P1524" s="8">
        <f>VLOOKUP(tblSalaries[[#This Row],[clean Country]],tblCountries[],5,0)</f>
        <v>0.90492042415514951</v>
      </c>
      <c r="Q1524" s="8">
        <f>IF($Q$1,tblSalaries[[#This Row],[PPP Factor]]*tblSalaries[[#This Row],[Salary in USD]],tblSalaries[[#This Row],[Salary in USD]])</f>
        <v>110000</v>
      </c>
    </row>
    <row r="1525" spans="2:17" ht="15" customHeight="1" x14ac:dyDescent="0.25">
      <c r="B1525" t="s">
        <v>3528</v>
      </c>
      <c r="C1525" s="1">
        <v>41060.908738425926</v>
      </c>
      <c r="D1525" s="4">
        <v>1200</v>
      </c>
      <c r="E1525">
        <v>14400</v>
      </c>
      <c r="F1525" t="s">
        <v>6</v>
      </c>
      <c r="G1525">
        <f>tblSalaries[[#This Row],[clean Salary (in local currency)]]*VLOOKUP(tblSalaries[[#This Row],[Currency]],tblXrate[],2,FALSE)</f>
        <v>14400</v>
      </c>
      <c r="H1525" t="s">
        <v>1706</v>
      </c>
      <c r="I1525" t="s">
        <v>20</v>
      </c>
      <c r="J1525" t="s">
        <v>1707</v>
      </c>
      <c r="K1525" t="str">
        <f>VLOOKUP(tblSalaries[[#This Row],[Where do you work]],tblCountries[[Actual]:[Mapping]],2,FALSE)</f>
        <v>Bulgaria</v>
      </c>
      <c r="L1525" t="s">
        <v>13</v>
      </c>
      <c r="M1525">
        <v>15</v>
      </c>
      <c r="N1525" s="8" t="str">
        <f>VLOOKUP(K1525,tblCountries[],3,0)</f>
        <v>Europe</v>
      </c>
      <c r="O1525" s="8">
        <f>VLOOKUP(tblSalaries[[#This Row],[How many hours of a day you work on Excel]],tblHours,2,0)</f>
        <v>5</v>
      </c>
      <c r="P1525" s="8">
        <f>VLOOKUP(tblSalaries[[#This Row],[clean Country]],tblCountries[],5,0)</f>
        <v>3.5586526439655808</v>
      </c>
      <c r="Q1525" s="8">
        <f>IF($Q$1,tblSalaries[[#This Row],[PPP Factor]]*tblSalaries[[#This Row],[Salary in USD]],tblSalaries[[#This Row],[Salary in USD]])</f>
        <v>14400</v>
      </c>
    </row>
    <row r="1526" spans="2:17" ht="15" customHeight="1" x14ac:dyDescent="0.25">
      <c r="B1526" t="s">
        <v>3529</v>
      </c>
      <c r="C1526" s="1">
        <v>41060.920173611114</v>
      </c>
      <c r="D1526" s="4">
        <v>125000</v>
      </c>
      <c r="E1526">
        <v>125000</v>
      </c>
      <c r="F1526" t="s">
        <v>6</v>
      </c>
      <c r="G1526">
        <f>tblSalaries[[#This Row],[clean Salary (in local currency)]]*VLOOKUP(tblSalaries[[#This Row],[Currency]],tblXrate[],2,FALSE)</f>
        <v>125000</v>
      </c>
      <c r="H1526" t="s">
        <v>356</v>
      </c>
      <c r="I1526" t="s">
        <v>356</v>
      </c>
      <c r="J1526" t="s">
        <v>15</v>
      </c>
      <c r="K1526" t="str">
        <f>VLOOKUP(tblSalaries[[#This Row],[Where do you work]],tblCountries[[Actual]:[Mapping]],2,FALSE)</f>
        <v>USA</v>
      </c>
      <c r="L1526" t="s">
        <v>13</v>
      </c>
      <c r="M1526">
        <v>8</v>
      </c>
      <c r="N1526" s="8" t="str">
        <f>VLOOKUP(K1526,tblCountries[],3,0)</f>
        <v>North Amer.</v>
      </c>
      <c r="O1526" s="8">
        <f>VLOOKUP(tblSalaries[[#This Row],[How many hours of a day you work on Excel]],tblHours,2,0)</f>
        <v>5</v>
      </c>
      <c r="P1526" s="8">
        <f>VLOOKUP(tblSalaries[[#This Row],[clean Country]],tblCountries[],5,0)</f>
        <v>1</v>
      </c>
      <c r="Q1526" s="8">
        <f>IF($Q$1,tblSalaries[[#This Row],[PPP Factor]]*tblSalaries[[#This Row],[Salary in USD]],tblSalaries[[#This Row],[Salary in USD]])</f>
        <v>125000</v>
      </c>
    </row>
    <row r="1527" spans="2:17" ht="15" customHeight="1" x14ac:dyDescent="0.25">
      <c r="B1527" t="s">
        <v>3530</v>
      </c>
      <c r="C1527" s="1">
        <v>41060.921516203707</v>
      </c>
      <c r="D1527" s="4">
        <v>74000</v>
      </c>
      <c r="E1527">
        <v>74000</v>
      </c>
      <c r="F1527" t="s">
        <v>86</v>
      </c>
      <c r="G1527">
        <f>tblSalaries[[#This Row],[clean Salary (in local currency)]]*VLOOKUP(tblSalaries[[#This Row],[Currency]],tblXrate[],2,FALSE)</f>
        <v>72768.752704244194</v>
      </c>
      <c r="H1527" t="s">
        <v>386</v>
      </c>
      <c r="I1527" t="s">
        <v>20</v>
      </c>
      <c r="J1527" t="s">
        <v>88</v>
      </c>
      <c r="K1527" t="str">
        <f>VLOOKUP(tblSalaries[[#This Row],[Where do you work]],tblCountries[[Actual]:[Mapping]],2,FALSE)</f>
        <v>Canada</v>
      </c>
      <c r="L1527" t="s">
        <v>9</v>
      </c>
      <c r="M1527">
        <v>10</v>
      </c>
      <c r="N1527" s="8" t="str">
        <f>VLOOKUP(K1527,tblCountries[],3,0)</f>
        <v>North Amer.</v>
      </c>
      <c r="O1527" s="8">
        <f>VLOOKUP(tblSalaries[[#This Row],[How many hours of a day you work on Excel]],tblHours,2,0)</f>
        <v>4</v>
      </c>
      <c r="P1527" s="8">
        <f>VLOOKUP(tblSalaries[[#This Row],[clean Country]],tblCountries[],5,0)</f>
        <v>1.1935324732986359</v>
      </c>
      <c r="Q1527" s="8">
        <f>IF($Q$1,tblSalaries[[#This Row],[PPP Factor]]*tblSalaries[[#This Row],[Salary in USD]],tblSalaries[[#This Row],[Salary in USD]])</f>
        <v>72768.752704244194</v>
      </c>
    </row>
    <row r="1528" spans="2:17" ht="15" customHeight="1" x14ac:dyDescent="0.25">
      <c r="B1528" t="s">
        <v>3531</v>
      </c>
      <c r="C1528" s="1">
        <v>41060.95579861111</v>
      </c>
      <c r="D1528" s="4" t="s">
        <v>1708</v>
      </c>
      <c r="E1528">
        <v>59000</v>
      </c>
      <c r="F1528" t="s">
        <v>6</v>
      </c>
      <c r="G1528">
        <f>tblSalaries[[#This Row],[clean Salary (in local currency)]]*VLOOKUP(tblSalaries[[#This Row],[Currency]],tblXrate[],2,FALSE)</f>
        <v>59000</v>
      </c>
      <c r="H1528" t="s">
        <v>1709</v>
      </c>
      <c r="I1528" t="s">
        <v>52</v>
      </c>
      <c r="J1528" t="s">
        <v>15</v>
      </c>
      <c r="K1528" t="str">
        <f>VLOOKUP(tblSalaries[[#This Row],[Where do you work]],tblCountries[[Actual]:[Mapping]],2,FALSE)</f>
        <v>USA</v>
      </c>
      <c r="L1528" t="s">
        <v>9</v>
      </c>
      <c r="M1528">
        <v>15</v>
      </c>
      <c r="N1528" s="8" t="str">
        <f>VLOOKUP(K1528,tblCountries[],3,0)</f>
        <v>North Amer.</v>
      </c>
      <c r="O1528" s="8">
        <f>VLOOKUP(tblSalaries[[#This Row],[How many hours of a day you work on Excel]],tblHours,2,0)</f>
        <v>4</v>
      </c>
      <c r="P1528" s="8">
        <f>VLOOKUP(tblSalaries[[#This Row],[clean Country]],tblCountries[],5,0)</f>
        <v>1</v>
      </c>
      <c r="Q1528" s="8">
        <f>IF($Q$1,tblSalaries[[#This Row],[PPP Factor]]*tblSalaries[[#This Row],[Salary in USD]],tblSalaries[[#This Row],[Salary in USD]])</f>
        <v>59000</v>
      </c>
    </row>
    <row r="1529" spans="2:17" ht="15" customHeight="1" x14ac:dyDescent="0.25">
      <c r="B1529" t="s">
        <v>3532</v>
      </c>
      <c r="C1529" s="1">
        <v>41060.96402777778</v>
      </c>
      <c r="D1529" s="4">
        <v>71500</v>
      </c>
      <c r="E1529">
        <v>71500</v>
      </c>
      <c r="F1529" t="s">
        <v>6</v>
      </c>
      <c r="G1529">
        <f>tblSalaries[[#This Row],[clean Salary (in local currency)]]*VLOOKUP(tblSalaries[[#This Row],[Currency]],tblXrate[],2,FALSE)</f>
        <v>71500</v>
      </c>
      <c r="H1529" t="s">
        <v>1710</v>
      </c>
      <c r="I1529" t="s">
        <v>20</v>
      </c>
      <c r="J1529" t="s">
        <v>15</v>
      </c>
      <c r="K1529" t="str">
        <f>VLOOKUP(tblSalaries[[#This Row],[Where do you work]],tblCountries[[Actual]:[Mapping]],2,FALSE)</f>
        <v>USA</v>
      </c>
      <c r="L1529" t="s">
        <v>9</v>
      </c>
      <c r="M1529">
        <v>5</v>
      </c>
      <c r="N1529" s="8" t="str">
        <f>VLOOKUP(K1529,tblCountries[],3,0)</f>
        <v>North Amer.</v>
      </c>
      <c r="O1529" s="8">
        <f>VLOOKUP(tblSalaries[[#This Row],[How many hours of a day you work on Excel]],tblHours,2,0)</f>
        <v>4</v>
      </c>
      <c r="P1529" s="8">
        <f>VLOOKUP(tblSalaries[[#This Row],[clean Country]],tblCountries[],5,0)</f>
        <v>1</v>
      </c>
      <c r="Q1529" s="8">
        <f>IF($Q$1,tblSalaries[[#This Row],[PPP Factor]]*tblSalaries[[#This Row],[Salary in USD]],tblSalaries[[#This Row],[Salary in USD]])</f>
        <v>71500</v>
      </c>
    </row>
    <row r="1530" spans="2:17" ht="15" customHeight="1" x14ac:dyDescent="0.25">
      <c r="B1530" t="s">
        <v>3533</v>
      </c>
      <c r="C1530" s="1">
        <v>41060.964675925927</v>
      </c>
      <c r="D1530" s="4" t="s">
        <v>1251</v>
      </c>
      <c r="E1530">
        <v>25000</v>
      </c>
      <c r="F1530" t="s">
        <v>69</v>
      </c>
      <c r="G1530">
        <f>tblSalaries[[#This Row],[clean Salary (in local currency)]]*VLOOKUP(tblSalaries[[#This Row],[Currency]],tblXrate[],2,FALSE)</f>
        <v>39404.456801682099</v>
      </c>
      <c r="H1530" t="s">
        <v>1711</v>
      </c>
      <c r="I1530" t="s">
        <v>3999</v>
      </c>
      <c r="J1530" t="s">
        <v>71</v>
      </c>
      <c r="K1530" t="str">
        <f>VLOOKUP(tblSalaries[[#This Row],[Where do you work]],tblCountries[[Actual]:[Mapping]],2,FALSE)</f>
        <v>UK</v>
      </c>
      <c r="L1530" t="s">
        <v>9</v>
      </c>
      <c r="M1530">
        <v>2</v>
      </c>
      <c r="N1530" s="8" t="str">
        <f>VLOOKUP(K1530,tblCountries[],3,0)</f>
        <v>Europe</v>
      </c>
      <c r="O1530" s="8">
        <f>VLOOKUP(tblSalaries[[#This Row],[How many hours of a day you work on Excel]],tblHours,2,0)</f>
        <v>4</v>
      </c>
      <c r="P1530" s="8">
        <f>VLOOKUP(tblSalaries[[#This Row],[clean Country]],tblCountries[],5,0)</f>
        <v>1.3407315045719035</v>
      </c>
      <c r="Q1530" s="8">
        <f>IF($Q$1,tblSalaries[[#This Row],[PPP Factor]]*tblSalaries[[#This Row],[Salary in USD]],tblSalaries[[#This Row],[Salary in USD]])</f>
        <v>39404.456801682099</v>
      </c>
    </row>
    <row r="1531" spans="2:17" ht="15" customHeight="1" x14ac:dyDescent="0.25">
      <c r="B1531" t="s">
        <v>3534</v>
      </c>
      <c r="C1531" s="1">
        <v>41060.965787037036</v>
      </c>
      <c r="D1531" s="4" t="s">
        <v>1712</v>
      </c>
      <c r="E1531">
        <v>70000</v>
      </c>
      <c r="F1531" t="s">
        <v>22</v>
      </c>
      <c r="G1531">
        <f>tblSalaries[[#This Row],[clean Salary (in local currency)]]*VLOOKUP(tblSalaries[[#This Row],[Currency]],tblXrate[],2,FALSE)</f>
        <v>88927.960729412545</v>
      </c>
      <c r="H1531" t="s">
        <v>1713</v>
      </c>
      <c r="I1531" t="s">
        <v>67</v>
      </c>
      <c r="J1531" t="s">
        <v>24</v>
      </c>
      <c r="K1531" t="str">
        <f>VLOOKUP(tblSalaries[[#This Row],[Where do you work]],tblCountries[[Actual]:[Mapping]],2,FALSE)</f>
        <v>Germany</v>
      </c>
      <c r="L1531" t="s">
        <v>25</v>
      </c>
      <c r="M1531">
        <v>5</v>
      </c>
      <c r="N1531" s="8" t="str">
        <f>VLOOKUP(K1531,tblCountries[],3,0)</f>
        <v>Europe</v>
      </c>
      <c r="O1531" s="8">
        <f>VLOOKUP(tblSalaries[[#This Row],[How many hours of a day you work on Excel]],tblHours,2,0)</f>
        <v>2</v>
      </c>
      <c r="P1531" s="8">
        <f>VLOOKUP(tblSalaries[[#This Row],[clean Country]],tblCountries[],5,0)</f>
        <v>1.276802913159353</v>
      </c>
      <c r="Q1531" s="8">
        <f>IF($Q$1,tblSalaries[[#This Row],[PPP Factor]]*tblSalaries[[#This Row],[Salary in USD]],tblSalaries[[#This Row],[Salary in USD]])</f>
        <v>88927.960729412545</v>
      </c>
    </row>
    <row r="1532" spans="2:17" ht="15" customHeight="1" x14ac:dyDescent="0.25">
      <c r="B1532" t="s">
        <v>3535</v>
      </c>
      <c r="C1532" s="1">
        <v>41060.992083333331</v>
      </c>
      <c r="D1532" s="4" t="s">
        <v>1714</v>
      </c>
      <c r="E1532">
        <v>90000</v>
      </c>
      <c r="F1532" t="s">
        <v>6</v>
      </c>
      <c r="G1532">
        <f>tblSalaries[[#This Row],[clean Salary (in local currency)]]*VLOOKUP(tblSalaries[[#This Row],[Currency]],tblXrate[],2,FALSE)</f>
        <v>90000</v>
      </c>
      <c r="H1532" t="s">
        <v>1715</v>
      </c>
      <c r="I1532" t="s">
        <v>52</v>
      </c>
      <c r="J1532" t="s">
        <v>15</v>
      </c>
      <c r="K1532" t="str">
        <f>VLOOKUP(tblSalaries[[#This Row],[Where do you work]],tblCountries[[Actual]:[Mapping]],2,FALSE)</f>
        <v>USA</v>
      </c>
      <c r="L1532" t="s">
        <v>9</v>
      </c>
      <c r="M1532">
        <v>25</v>
      </c>
      <c r="N1532" s="8" t="str">
        <f>VLOOKUP(K1532,tblCountries[],3,0)</f>
        <v>North Amer.</v>
      </c>
      <c r="O1532" s="8">
        <f>VLOOKUP(tblSalaries[[#This Row],[How many hours of a day you work on Excel]],tblHours,2,0)</f>
        <v>4</v>
      </c>
      <c r="P1532" s="8">
        <f>VLOOKUP(tblSalaries[[#This Row],[clean Country]],tblCountries[],5,0)</f>
        <v>1</v>
      </c>
      <c r="Q1532" s="8">
        <f>IF($Q$1,tblSalaries[[#This Row],[PPP Factor]]*tblSalaries[[#This Row],[Salary in USD]],tblSalaries[[#This Row],[Salary in USD]])</f>
        <v>90000</v>
      </c>
    </row>
    <row r="1533" spans="2:17" ht="15" customHeight="1" x14ac:dyDescent="0.25">
      <c r="B1533" t="s">
        <v>3536</v>
      </c>
      <c r="C1533" s="1">
        <v>41061.001782407409</v>
      </c>
      <c r="D1533" s="4" t="s">
        <v>1186</v>
      </c>
      <c r="E1533">
        <v>700000</v>
      </c>
      <c r="F1533" t="s">
        <v>40</v>
      </c>
      <c r="G1533">
        <f>tblSalaries[[#This Row],[clean Salary (in local currency)]]*VLOOKUP(tblSalaries[[#This Row],[Currency]],tblXrate[],2,FALSE)</f>
        <v>12465.541681209797</v>
      </c>
      <c r="H1533" t="s">
        <v>1716</v>
      </c>
      <c r="I1533" t="s">
        <v>52</v>
      </c>
      <c r="J1533" t="s">
        <v>8</v>
      </c>
      <c r="K1533" t="str">
        <f>VLOOKUP(tblSalaries[[#This Row],[Where do you work]],tblCountries[[Actual]:[Mapping]],2,FALSE)</f>
        <v>India</v>
      </c>
      <c r="L1533" t="s">
        <v>13</v>
      </c>
      <c r="M1533">
        <v>30</v>
      </c>
      <c r="N1533" s="8" t="str">
        <f>VLOOKUP(K1533,tblCountries[],3,0)</f>
        <v>Asia</v>
      </c>
      <c r="O1533" s="8">
        <f>VLOOKUP(tblSalaries[[#This Row],[How many hours of a day you work on Excel]],tblHours,2,0)</f>
        <v>5</v>
      </c>
      <c r="P1533" s="8">
        <f>VLOOKUP(tblSalaries[[#This Row],[clean Country]],tblCountries[],5,0)</f>
        <v>13.098808879263672</v>
      </c>
      <c r="Q1533" s="8">
        <f>IF($Q$1,tblSalaries[[#This Row],[PPP Factor]]*tblSalaries[[#This Row],[Salary in USD]],tblSalaries[[#This Row],[Salary in USD]])</f>
        <v>12465.541681209797</v>
      </c>
    </row>
    <row r="1534" spans="2:17" ht="15" customHeight="1" x14ac:dyDescent="0.25">
      <c r="B1534" t="s">
        <v>3537</v>
      </c>
      <c r="C1534" s="1">
        <v>41061.01290509259</v>
      </c>
      <c r="D1534" s="4" t="s">
        <v>1717</v>
      </c>
      <c r="E1534">
        <v>40000</v>
      </c>
      <c r="F1534" t="s">
        <v>6</v>
      </c>
      <c r="G1534">
        <f>tblSalaries[[#This Row],[clean Salary (in local currency)]]*VLOOKUP(tblSalaries[[#This Row],[Currency]],tblXrate[],2,FALSE)</f>
        <v>40000</v>
      </c>
      <c r="H1534" t="s">
        <v>1718</v>
      </c>
      <c r="I1534" t="s">
        <v>20</v>
      </c>
      <c r="J1534" t="s">
        <v>15</v>
      </c>
      <c r="K1534" t="str">
        <f>VLOOKUP(tblSalaries[[#This Row],[Where do you work]],tblCountries[[Actual]:[Mapping]],2,FALSE)</f>
        <v>USA</v>
      </c>
      <c r="L1534" t="s">
        <v>9</v>
      </c>
      <c r="M1534">
        <v>8</v>
      </c>
      <c r="N1534" s="8" t="str">
        <f>VLOOKUP(K1534,tblCountries[],3,0)</f>
        <v>North Amer.</v>
      </c>
      <c r="O1534" s="8">
        <f>VLOOKUP(tblSalaries[[#This Row],[How many hours of a day you work on Excel]],tblHours,2,0)</f>
        <v>4</v>
      </c>
      <c r="P1534" s="8">
        <f>VLOOKUP(tblSalaries[[#This Row],[clean Country]],tblCountries[],5,0)</f>
        <v>1</v>
      </c>
      <c r="Q1534" s="8">
        <f>IF($Q$1,tblSalaries[[#This Row],[PPP Factor]]*tblSalaries[[#This Row],[Salary in USD]],tblSalaries[[#This Row],[Salary in USD]])</f>
        <v>40000</v>
      </c>
    </row>
    <row r="1535" spans="2:17" ht="15" customHeight="1" x14ac:dyDescent="0.25">
      <c r="B1535" t="s">
        <v>3538</v>
      </c>
      <c r="C1535" s="1">
        <v>41061.016597222224</v>
      </c>
      <c r="D1535" s="4">
        <v>30000</v>
      </c>
      <c r="E1535">
        <v>30000</v>
      </c>
      <c r="F1535" t="s">
        <v>6</v>
      </c>
      <c r="G1535">
        <f>tblSalaries[[#This Row],[clean Salary (in local currency)]]*VLOOKUP(tblSalaries[[#This Row],[Currency]],tblXrate[],2,FALSE)</f>
        <v>30000</v>
      </c>
      <c r="H1535" t="s">
        <v>1719</v>
      </c>
      <c r="I1535" t="s">
        <v>20</v>
      </c>
      <c r="J1535" t="s">
        <v>8</v>
      </c>
      <c r="K1535" t="str">
        <f>VLOOKUP(tblSalaries[[#This Row],[Where do you work]],tblCountries[[Actual]:[Mapping]],2,FALSE)</f>
        <v>India</v>
      </c>
      <c r="L1535" t="s">
        <v>13</v>
      </c>
      <c r="M1535">
        <v>4</v>
      </c>
      <c r="N1535" s="8" t="str">
        <f>VLOOKUP(K1535,tblCountries[],3,0)</f>
        <v>Asia</v>
      </c>
      <c r="O1535" s="8">
        <f>VLOOKUP(tblSalaries[[#This Row],[How many hours of a day you work on Excel]],tblHours,2,0)</f>
        <v>5</v>
      </c>
      <c r="P1535" s="8">
        <f>VLOOKUP(tblSalaries[[#This Row],[clean Country]],tblCountries[],5,0)</f>
        <v>13.098808879263672</v>
      </c>
      <c r="Q1535" s="8">
        <f>IF($Q$1,tblSalaries[[#This Row],[PPP Factor]]*tblSalaries[[#This Row],[Salary in USD]],tblSalaries[[#This Row],[Salary in USD]])</f>
        <v>30000</v>
      </c>
    </row>
    <row r="1536" spans="2:17" ht="15" customHeight="1" x14ac:dyDescent="0.25">
      <c r="B1536" t="s">
        <v>3539</v>
      </c>
      <c r="C1536" s="1">
        <v>41061.061828703707</v>
      </c>
      <c r="D1536" s="4">
        <v>46325</v>
      </c>
      <c r="E1536">
        <v>46325</v>
      </c>
      <c r="F1536" t="s">
        <v>6</v>
      </c>
      <c r="G1536">
        <f>tblSalaries[[#This Row],[clean Salary (in local currency)]]*VLOOKUP(tblSalaries[[#This Row],[Currency]],tblXrate[],2,FALSE)</f>
        <v>46325</v>
      </c>
      <c r="H1536" t="s">
        <v>1720</v>
      </c>
      <c r="I1536" t="s">
        <v>488</v>
      </c>
      <c r="J1536" t="s">
        <v>15</v>
      </c>
      <c r="K1536" t="str">
        <f>VLOOKUP(tblSalaries[[#This Row],[Where do you work]],tblCountries[[Actual]:[Mapping]],2,FALSE)</f>
        <v>USA</v>
      </c>
      <c r="L1536" t="s">
        <v>9</v>
      </c>
      <c r="M1536">
        <v>1</v>
      </c>
      <c r="N1536" s="8" t="str">
        <f>VLOOKUP(K1536,tblCountries[],3,0)</f>
        <v>North Amer.</v>
      </c>
      <c r="O1536" s="8">
        <f>VLOOKUP(tblSalaries[[#This Row],[How many hours of a day you work on Excel]],tblHours,2,0)</f>
        <v>4</v>
      </c>
      <c r="P1536" s="8">
        <f>VLOOKUP(tblSalaries[[#This Row],[clean Country]],tblCountries[],5,0)</f>
        <v>1</v>
      </c>
      <c r="Q1536" s="8">
        <f>IF($Q$1,tblSalaries[[#This Row],[PPP Factor]]*tblSalaries[[#This Row],[Salary in USD]],tblSalaries[[#This Row],[Salary in USD]])</f>
        <v>46325</v>
      </c>
    </row>
    <row r="1537" spans="2:17" ht="15" customHeight="1" x14ac:dyDescent="0.25">
      <c r="B1537" t="s">
        <v>3540</v>
      </c>
      <c r="C1537" s="1">
        <v>41061.074803240743</v>
      </c>
      <c r="D1537" s="4">
        <v>15000</v>
      </c>
      <c r="E1537">
        <v>15000</v>
      </c>
      <c r="F1537" t="s">
        <v>6</v>
      </c>
      <c r="G1537">
        <f>tblSalaries[[#This Row],[clean Salary (in local currency)]]*VLOOKUP(tblSalaries[[#This Row],[Currency]],tblXrate[],2,FALSE)</f>
        <v>15000</v>
      </c>
      <c r="H1537" t="s">
        <v>955</v>
      </c>
      <c r="I1537" t="s">
        <v>20</v>
      </c>
      <c r="J1537" t="s">
        <v>15</v>
      </c>
      <c r="K1537" t="str">
        <f>VLOOKUP(tblSalaries[[#This Row],[Where do you work]],tblCountries[[Actual]:[Mapping]],2,FALSE)</f>
        <v>USA</v>
      </c>
      <c r="L1537" t="s">
        <v>13</v>
      </c>
      <c r="M1537">
        <v>8</v>
      </c>
      <c r="N1537" s="8" t="str">
        <f>VLOOKUP(K1537,tblCountries[],3,0)</f>
        <v>North Amer.</v>
      </c>
      <c r="O1537" s="8">
        <f>VLOOKUP(tblSalaries[[#This Row],[How many hours of a day you work on Excel]],tblHours,2,0)</f>
        <v>5</v>
      </c>
      <c r="P1537" s="8">
        <f>VLOOKUP(tblSalaries[[#This Row],[clean Country]],tblCountries[],5,0)</f>
        <v>1</v>
      </c>
      <c r="Q1537" s="8">
        <f>IF($Q$1,tblSalaries[[#This Row],[PPP Factor]]*tblSalaries[[#This Row],[Salary in USD]],tblSalaries[[#This Row],[Salary in USD]])</f>
        <v>15000</v>
      </c>
    </row>
    <row r="1538" spans="2:17" ht="15" customHeight="1" x14ac:dyDescent="0.25">
      <c r="B1538" t="s">
        <v>3541</v>
      </c>
      <c r="C1538" s="1">
        <v>41061.106273148151</v>
      </c>
      <c r="D1538" s="4">
        <v>31200</v>
      </c>
      <c r="E1538">
        <v>31200</v>
      </c>
      <c r="F1538" t="s">
        <v>6</v>
      </c>
      <c r="G1538">
        <f>tblSalaries[[#This Row],[clean Salary (in local currency)]]*VLOOKUP(tblSalaries[[#This Row],[Currency]],tblXrate[],2,FALSE)</f>
        <v>31200</v>
      </c>
      <c r="H1538" t="s">
        <v>153</v>
      </c>
      <c r="I1538" t="s">
        <v>20</v>
      </c>
      <c r="J1538" t="s">
        <v>15</v>
      </c>
      <c r="K1538" t="str">
        <f>VLOOKUP(tblSalaries[[#This Row],[Where do you work]],tblCountries[[Actual]:[Mapping]],2,FALSE)</f>
        <v>USA</v>
      </c>
      <c r="L1538" t="s">
        <v>9</v>
      </c>
      <c r="M1538">
        <v>15</v>
      </c>
      <c r="N1538" s="8" t="str">
        <f>VLOOKUP(K1538,tblCountries[],3,0)</f>
        <v>North Amer.</v>
      </c>
      <c r="O1538" s="8">
        <f>VLOOKUP(tblSalaries[[#This Row],[How many hours of a day you work on Excel]],tblHours,2,0)</f>
        <v>4</v>
      </c>
      <c r="P1538" s="8">
        <f>VLOOKUP(tblSalaries[[#This Row],[clean Country]],tblCountries[],5,0)</f>
        <v>1</v>
      </c>
      <c r="Q1538" s="8">
        <f>IF($Q$1,tblSalaries[[#This Row],[PPP Factor]]*tblSalaries[[#This Row],[Salary in USD]],tblSalaries[[#This Row],[Salary in USD]])</f>
        <v>31200</v>
      </c>
    </row>
    <row r="1539" spans="2:17" ht="15" customHeight="1" x14ac:dyDescent="0.25">
      <c r="B1539" t="s">
        <v>3542</v>
      </c>
      <c r="C1539" s="1">
        <v>41061.115520833337</v>
      </c>
      <c r="D1539" s="4" t="s">
        <v>457</v>
      </c>
      <c r="E1539">
        <v>500000</v>
      </c>
      <c r="F1539" t="s">
        <v>40</v>
      </c>
      <c r="G1539">
        <f>tblSalaries[[#This Row],[clean Salary (in local currency)]]*VLOOKUP(tblSalaries[[#This Row],[Currency]],tblXrate[],2,FALSE)</f>
        <v>8903.9583437212841</v>
      </c>
      <c r="H1539" t="s">
        <v>243</v>
      </c>
      <c r="I1539" t="s">
        <v>20</v>
      </c>
      <c r="J1539" t="s">
        <v>8</v>
      </c>
      <c r="K1539" t="str">
        <f>VLOOKUP(tblSalaries[[#This Row],[Where do you work]],tblCountries[[Actual]:[Mapping]],2,FALSE)</f>
        <v>India</v>
      </c>
      <c r="L1539" t="s">
        <v>9</v>
      </c>
      <c r="M1539">
        <v>9</v>
      </c>
      <c r="N1539" s="8" t="str">
        <f>VLOOKUP(K1539,tblCountries[],3,0)</f>
        <v>Asia</v>
      </c>
      <c r="O1539" s="8">
        <f>VLOOKUP(tblSalaries[[#This Row],[How many hours of a day you work on Excel]],tblHours,2,0)</f>
        <v>4</v>
      </c>
      <c r="P1539" s="8">
        <f>VLOOKUP(tblSalaries[[#This Row],[clean Country]],tblCountries[],5,0)</f>
        <v>13.098808879263672</v>
      </c>
      <c r="Q1539" s="8">
        <f>IF($Q$1,tblSalaries[[#This Row],[PPP Factor]]*tblSalaries[[#This Row],[Salary in USD]],tblSalaries[[#This Row],[Salary in USD]])</f>
        <v>8903.9583437212841</v>
      </c>
    </row>
    <row r="1540" spans="2:17" ht="15" customHeight="1" x14ac:dyDescent="0.25">
      <c r="B1540" t="s">
        <v>3543</v>
      </c>
      <c r="C1540" s="1">
        <v>41061.125740740739</v>
      </c>
      <c r="D1540" s="4">
        <v>1320</v>
      </c>
      <c r="E1540">
        <v>15840</v>
      </c>
      <c r="F1540" t="s">
        <v>6</v>
      </c>
      <c r="G1540">
        <f>tblSalaries[[#This Row],[clean Salary (in local currency)]]*VLOOKUP(tblSalaries[[#This Row],[Currency]],tblXrate[],2,FALSE)</f>
        <v>15840</v>
      </c>
      <c r="H1540" t="s">
        <v>1721</v>
      </c>
      <c r="I1540" t="s">
        <v>20</v>
      </c>
      <c r="J1540" t="s">
        <v>1722</v>
      </c>
      <c r="K1540" t="str">
        <f>VLOOKUP(tblSalaries[[#This Row],[Where do you work]],tblCountries[[Actual]:[Mapping]],2,FALSE)</f>
        <v>Peru</v>
      </c>
      <c r="L1540" t="s">
        <v>13</v>
      </c>
      <c r="M1540">
        <v>8</v>
      </c>
      <c r="N1540" s="8" t="str">
        <f>VLOOKUP(K1540,tblCountries[],3,0)</f>
        <v>South Amer.</v>
      </c>
      <c r="O1540" s="8">
        <f>VLOOKUP(tblSalaries[[#This Row],[How many hours of a day you work on Excel]],tblHours,2,0)</f>
        <v>5</v>
      </c>
      <c r="P1540" s="8">
        <f>VLOOKUP(tblSalaries[[#This Row],[clean Country]],tblCountries[],5,0)</f>
        <v>4.8088849135360761</v>
      </c>
      <c r="Q1540" s="8">
        <f>IF($Q$1,tblSalaries[[#This Row],[PPP Factor]]*tblSalaries[[#This Row],[Salary in USD]],tblSalaries[[#This Row],[Salary in USD]])</f>
        <v>15840</v>
      </c>
    </row>
    <row r="1541" spans="2:17" ht="15" customHeight="1" x14ac:dyDescent="0.25">
      <c r="B1541" t="s">
        <v>3544</v>
      </c>
      <c r="C1541" s="1">
        <v>41061.130219907405</v>
      </c>
      <c r="D1541" s="4" t="s">
        <v>1723</v>
      </c>
      <c r="E1541">
        <v>850000</v>
      </c>
      <c r="F1541" t="s">
        <v>40</v>
      </c>
      <c r="G1541">
        <f>tblSalaries[[#This Row],[clean Salary (in local currency)]]*VLOOKUP(tblSalaries[[#This Row],[Currency]],tblXrate[],2,FALSE)</f>
        <v>15136.729184326183</v>
      </c>
      <c r="H1541" t="s">
        <v>1724</v>
      </c>
      <c r="I1541" t="s">
        <v>20</v>
      </c>
      <c r="J1541" t="s">
        <v>8</v>
      </c>
      <c r="K1541" t="str">
        <f>VLOOKUP(tblSalaries[[#This Row],[Where do you work]],tblCountries[[Actual]:[Mapping]],2,FALSE)</f>
        <v>India</v>
      </c>
      <c r="L1541" t="s">
        <v>9</v>
      </c>
      <c r="M1541">
        <v>5</v>
      </c>
      <c r="N1541" s="8" t="str">
        <f>VLOOKUP(K1541,tblCountries[],3,0)</f>
        <v>Asia</v>
      </c>
      <c r="O1541" s="8">
        <f>VLOOKUP(tblSalaries[[#This Row],[How many hours of a day you work on Excel]],tblHours,2,0)</f>
        <v>4</v>
      </c>
      <c r="P1541" s="8">
        <f>VLOOKUP(tblSalaries[[#This Row],[clean Country]],tblCountries[],5,0)</f>
        <v>13.098808879263672</v>
      </c>
      <c r="Q1541" s="8">
        <f>IF($Q$1,tblSalaries[[#This Row],[PPP Factor]]*tblSalaries[[#This Row],[Salary in USD]],tblSalaries[[#This Row],[Salary in USD]])</f>
        <v>15136.729184326183</v>
      </c>
    </row>
    <row r="1542" spans="2:17" ht="15" customHeight="1" x14ac:dyDescent="0.25">
      <c r="B1542" t="s">
        <v>3545</v>
      </c>
      <c r="C1542" s="1">
        <v>41061.174212962964</v>
      </c>
      <c r="D1542" s="4">
        <v>41000</v>
      </c>
      <c r="E1542">
        <v>41000</v>
      </c>
      <c r="F1542" t="s">
        <v>6</v>
      </c>
      <c r="G1542">
        <f>tblSalaries[[#This Row],[clean Salary (in local currency)]]*VLOOKUP(tblSalaries[[#This Row],[Currency]],tblXrate[],2,FALSE)</f>
        <v>41000</v>
      </c>
      <c r="H1542" t="s">
        <v>1180</v>
      </c>
      <c r="I1542" t="s">
        <v>356</v>
      </c>
      <c r="J1542" t="s">
        <v>15</v>
      </c>
      <c r="K1542" t="str">
        <f>VLOOKUP(tblSalaries[[#This Row],[Where do you work]],tblCountries[[Actual]:[Mapping]],2,FALSE)</f>
        <v>USA</v>
      </c>
      <c r="L1542" t="s">
        <v>9</v>
      </c>
      <c r="M1542">
        <v>10</v>
      </c>
      <c r="N1542" s="8" t="str">
        <f>VLOOKUP(K1542,tblCountries[],3,0)</f>
        <v>North Amer.</v>
      </c>
      <c r="O1542" s="8">
        <f>VLOOKUP(tblSalaries[[#This Row],[How many hours of a day you work on Excel]],tblHours,2,0)</f>
        <v>4</v>
      </c>
      <c r="P1542" s="8">
        <f>VLOOKUP(tblSalaries[[#This Row],[clean Country]],tblCountries[],5,0)</f>
        <v>1</v>
      </c>
      <c r="Q1542" s="8">
        <f>IF($Q$1,tblSalaries[[#This Row],[PPP Factor]]*tblSalaries[[#This Row],[Salary in USD]],tblSalaries[[#This Row],[Salary in USD]])</f>
        <v>41000</v>
      </c>
    </row>
    <row r="1543" spans="2:17" ht="15" customHeight="1" x14ac:dyDescent="0.25">
      <c r="B1543" t="s">
        <v>3546</v>
      </c>
      <c r="C1543" s="1">
        <v>41061.197557870371</v>
      </c>
      <c r="D1543" s="4">
        <v>11000</v>
      </c>
      <c r="E1543">
        <v>11000</v>
      </c>
      <c r="F1543" t="s">
        <v>6</v>
      </c>
      <c r="G1543">
        <f>tblSalaries[[#This Row],[clean Salary (in local currency)]]*VLOOKUP(tblSalaries[[#This Row],[Currency]],tblXrate[],2,FALSE)</f>
        <v>11000</v>
      </c>
      <c r="H1543" t="s">
        <v>754</v>
      </c>
      <c r="I1543" t="s">
        <v>52</v>
      </c>
      <c r="J1543" t="s">
        <v>1031</v>
      </c>
      <c r="K1543" t="str">
        <f>VLOOKUP(tblSalaries[[#This Row],[Where do you work]],tblCountries[[Actual]:[Mapping]],2,FALSE)</f>
        <v>Mexico</v>
      </c>
      <c r="L1543" t="s">
        <v>9</v>
      </c>
      <c r="M1543">
        <v>2</v>
      </c>
      <c r="N1543" s="8" t="str">
        <f>VLOOKUP(K1543,tblCountries[],3,0)</f>
        <v>North Amer.</v>
      </c>
      <c r="O1543" s="8">
        <f>VLOOKUP(tblSalaries[[#This Row],[How many hours of a day you work on Excel]],tblHours,2,0)</f>
        <v>4</v>
      </c>
      <c r="P1543" s="8">
        <f>VLOOKUP(tblSalaries[[#This Row],[clean Country]],tblCountries[],5,0)</f>
        <v>3.3119096509240245</v>
      </c>
      <c r="Q1543" s="8">
        <f>IF($Q$1,tblSalaries[[#This Row],[PPP Factor]]*tblSalaries[[#This Row],[Salary in USD]],tblSalaries[[#This Row],[Salary in USD]])</f>
        <v>11000</v>
      </c>
    </row>
    <row r="1544" spans="2:17" ht="15" customHeight="1" x14ac:dyDescent="0.25">
      <c r="B1544" t="s">
        <v>3547</v>
      </c>
      <c r="C1544" s="1">
        <v>41061.230914351851</v>
      </c>
      <c r="D1544" s="4" t="s">
        <v>1725</v>
      </c>
      <c r="E1544">
        <v>35000</v>
      </c>
      <c r="F1544" t="s">
        <v>69</v>
      </c>
      <c r="G1544">
        <f>tblSalaries[[#This Row],[clean Salary (in local currency)]]*VLOOKUP(tblSalaries[[#This Row],[Currency]],tblXrate[],2,FALSE)</f>
        <v>55166.239522354947</v>
      </c>
      <c r="H1544" t="s">
        <v>1726</v>
      </c>
      <c r="I1544" t="s">
        <v>4001</v>
      </c>
      <c r="J1544" t="s">
        <v>71</v>
      </c>
      <c r="K1544" t="str">
        <f>VLOOKUP(tblSalaries[[#This Row],[Where do you work]],tblCountries[[Actual]:[Mapping]],2,FALSE)</f>
        <v>UK</v>
      </c>
      <c r="L1544" t="s">
        <v>18</v>
      </c>
      <c r="M1544">
        <v>30</v>
      </c>
      <c r="N1544" s="8" t="str">
        <f>VLOOKUP(K1544,tblCountries[],3,0)</f>
        <v>Europe</v>
      </c>
      <c r="O1544" s="8">
        <f>VLOOKUP(tblSalaries[[#This Row],[How many hours of a day you work on Excel]],tblHours,2,0)</f>
        <v>3</v>
      </c>
      <c r="P1544" s="8">
        <f>VLOOKUP(tblSalaries[[#This Row],[clean Country]],tblCountries[],5,0)</f>
        <v>1.3407315045719035</v>
      </c>
      <c r="Q1544" s="8">
        <f>IF($Q$1,tblSalaries[[#This Row],[PPP Factor]]*tblSalaries[[#This Row],[Salary in USD]],tblSalaries[[#This Row],[Salary in USD]])</f>
        <v>55166.239522354947</v>
      </c>
    </row>
    <row r="1545" spans="2:17" ht="15" customHeight="1" x14ac:dyDescent="0.25">
      <c r="B1545" t="s">
        <v>3548</v>
      </c>
      <c r="C1545" s="1">
        <v>41061.234398148146</v>
      </c>
      <c r="D1545" s="4">
        <v>240000</v>
      </c>
      <c r="E1545">
        <v>240000</v>
      </c>
      <c r="F1545" t="s">
        <v>3951</v>
      </c>
      <c r="G1545">
        <f>tblSalaries[[#This Row],[clean Salary (in local currency)]]*VLOOKUP(tblSalaries[[#This Row],[Currency]],tblXrate[],2,FALSE)</f>
        <v>5689.2125418690484</v>
      </c>
      <c r="H1545" t="s">
        <v>1727</v>
      </c>
      <c r="I1545" t="s">
        <v>52</v>
      </c>
      <c r="J1545" t="s">
        <v>347</v>
      </c>
      <c r="K1545" t="str">
        <f>VLOOKUP(tblSalaries[[#This Row],[Where do you work]],tblCountries[[Actual]:[Mapping]],2,FALSE)</f>
        <v>Philippines</v>
      </c>
      <c r="L1545" t="s">
        <v>9</v>
      </c>
      <c r="M1545">
        <v>15</v>
      </c>
      <c r="N1545" s="8" t="str">
        <f>VLOOKUP(K1545,tblCountries[],3,0)</f>
        <v>Asia</v>
      </c>
      <c r="O1545" s="8">
        <f>VLOOKUP(tblSalaries[[#This Row],[How many hours of a day you work on Excel]],tblHours,2,0)</f>
        <v>4</v>
      </c>
      <c r="P1545" s="8">
        <f>VLOOKUP(tblSalaries[[#This Row],[clean Country]],tblCountries[],5,0)</f>
        <v>11.879941075374417</v>
      </c>
      <c r="Q1545" s="8">
        <f>IF($Q$1,tblSalaries[[#This Row],[PPP Factor]]*tblSalaries[[#This Row],[Salary in USD]],tblSalaries[[#This Row],[Salary in USD]])</f>
        <v>5689.2125418690484</v>
      </c>
    </row>
    <row r="1546" spans="2:17" ht="15" customHeight="1" x14ac:dyDescent="0.25">
      <c r="B1546" t="s">
        <v>3549</v>
      </c>
      <c r="C1546" s="1">
        <v>41061.244571759256</v>
      </c>
      <c r="D1546" s="4">
        <v>17728.57</v>
      </c>
      <c r="E1546">
        <v>17728</v>
      </c>
      <c r="F1546" t="s">
        <v>6</v>
      </c>
      <c r="G1546">
        <f>tblSalaries[[#This Row],[clean Salary (in local currency)]]*VLOOKUP(tblSalaries[[#This Row],[Currency]],tblXrate[],2,FALSE)</f>
        <v>17728</v>
      </c>
      <c r="H1546" t="s">
        <v>466</v>
      </c>
      <c r="I1546" t="s">
        <v>20</v>
      </c>
      <c r="J1546" t="s">
        <v>166</v>
      </c>
      <c r="K1546" t="str">
        <f>VLOOKUP(tblSalaries[[#This Row],[Where do you work]],tblCountries[[Actual]:[Mapping]],2,FALSE)</f>
        <v>Mexico</v>
      </c>
      <c r="L1546" t="s">
        <v>9</v>
      </c>
      <c r="M1546">
        <v>3</v>
      </c>
      <c r="N1546" s="8" t="str">
        <f>VLOOKUP(K1546,tblCountries[],3,0)</f>
        <v>North Amer.</v>
      </c>
      <c r="O1546" s="8">
        <f>VLOOKUP(tblSalaries[[#This Row],[How many hours of a day you work on Excel]],tblHours,2,0)</f>
        <v>4</v>
      </c>
      <c r="P1546" s="8">
        <f>VLOOKUP(tblSalaries[[#This Row],[clean Country]],tblCountries[],5,0)</f>
        <v>3.3119096509240245</v>
      </c>
      <c r="Q1546" s="8">
        <f>IF($Q$1,tblSalaries[[#This Row],[PPP Factor]]*tblSalaries[[#This Row],[Salary in USD]],tblSalaries[[#This Row],[Salary in USD]])</f>
        <v>17728</v>
      </c>
    </row>
    <row r="1547" spans="2:17" ht="15" customHeight="1" x14ac:dyDescent="0.25">
      <c r="B1547" t="s">
        <v>3550</v>
      </c>
      <c r="C1547" s="1">
        <v>41061.247453703705</v>
      </c>
      <c r="D1547" s="4" t="s">
        <v>1728</v>
      </c>
      <c r="E1547">
        <v>120000</v>
      </c>
      <c r="F1547" t="s">
        <v>1729</v>
      </c>
      <c r="G1547">
        <f>tblSalaries[[#This Row],[clean Salary (in local currency)]]*VLOOKUP(tblSalaries[[#This Row],[Currency]],tblXrate[],2,FALSE)</f>
        <v>13745.704467353951</v>
      </c>
      <c r="H1547" t="s">
        <v>1730</v>
      </c>
      <c r="I1547" t="s">
        <v>488</v>
      </c>
      <c r="J1547" t="s">
        <v>1731</v>
      </c>
      <c r="K1547" t="str">
        <f>VLOOKUP(tblSalaries[[#This Row],[Where do you work]],tblCountries[[Actual]:[Mapping]],2,FALSE)</f>
        <v>Morocco</v>
      </c>
      <c r="L1547" t="s">
        <v>13</v>
      </c>
      <c r="M1547">
        <v>8</v>
      </c>
      <c r="N1547" s="8" t="str">
        <f>VLOOKUP(K1547,tblCountries[],3,0)</f>
        <v>Africa</v>
      </c>
      <c r="O1547" s="8">
        <f>VLOOKUP(tblSalaries[[#This Row],[How many hours of a day you work on Excel]],tblHours,2,0)</f>
        <v>5</v>
      </c>
      <c r="P1547" s="8">
        <f>VLOOKUP(tblSalaries[[#This Row],[clean Country]],tblCountries[],5,0)</f>
        <v>9.5777909738717337</v>
      </c>
      <c r="Q1547" s="8">
        <f>IF($Q$1,tblSalaries[[#This Row],[PPP Factor]]*tblSalaries[[#This Row],[Salary in USD]],tblSalaries[[#This Row],[Salary in USD]])</f>
        <v>13745.704467353951</v>
      </c>
    </row>
    <row r="1548" spans="2:17" ht="15" customHeight="1" x14ac:dyDescent="0.25">
      <c r="B1548" t="s">
        <v>3551</v>
      </c>
      <c r="C1548" s="1">
        <v>41061.262025462966</v>
      </c>
      <c r="D1548" s="4">
        <v>50000</v>
      </c>
      <c r="E1548">
        <v>50000</v>
      </c>
      <c r="F1548" t="s">
        <v>6</v>
      </c>
      <c r="G1548">
        <f>tblSalaries[[#This Row],[clean Salary (in local currency)]]*VLOOKUP(tblSalaries[[#This Row],[Currency]],tblXrate[],2,FALSE)</f>
        <v>50000</v>
      </c>
      <c r="H1548" t="s">
        <v>1369</v>
      </c>
      <c r="I1548" t="s">
        <v>310</v>
      </c>
      <c r="J1548" t="s">
        <v>15</v>
      </c>
      <c r="K1548" t="str">
        <f>VLOOKUP(tblSalaries[[#This Row],[Where do you work]],tblCountries[[Actual]:[Mapping]],2,FALSE)</f>
        <v>USA</v>
      </c>
      <c r="L1548" t="s">
        <v>9</v>
      </c>
      <c r="M1548">
        <v>15</v>
      </c>
      <c r="N1548" s="8" t="str">
        <f>VLOOKUP(K1548,tblCountries[],3,0)</f>
        <v>North Amer.</v>
      </c>
      <c r="O1548" s="8">
        <f>VLOOKUP(tblSalaries[[#This Row],[How many hours of a day you work on Excel]],tblHours,2,0)</f>
        <v>4</v>
      </c>
      <c r="P1548" s="8">
        <f>VLOOKUP(tblSalaries[[#This Row],[clean Country]],tblCountries[],5,0)</f>
        <v>1</v>
      </c>
      <c r="Q1548" s="8">
        <f>IF($Q$1,tblSalaries[[#This Row],[PPP Factor]]*tblSalaries[[#This Row],[Salary in USD]],tblSalaries[[#This Row],[Salary in USD]])</f>
        <v>50000</v>
      </c>
    </row>
    <row r="1549" spans="2:17" ht="15" customHeight="1" x14ac:dyDescent="0.25">
      <c r="B1549" t="s">
        <v>3552</v>
      </c>
      <c r="C1549" s="1">
        <v>41061.272094907406</v>
      </c>
      <c r="D1549" s="4">
        <v>80000</v>
      </c>
      <c r="E1549">
        <v>80000</v>
      </c>
      <c r="F1549" t="s">
        <v>86</v>
      </c>
      <c r="G1549">
        <f>tblSalaries[[#This Row],[clean Salary (in local currency)]]*VLOOKUP(tblSalaries[[#This Row],[Currency]],tblXrate[],2,FALSE)</f>
        <v>78668.921842426149</v>
      </c>
      <c r="H1549" t="s">
        <v>1732</v>
      </c>
      <c r="I1549" t="s">
        <v>20</v>
      </c>
      <c r="J1549" t="s">
        <v>88</v>
      </c>
      <c r="K1549" t="str">
        <f>VLOOKUP(tblSalaries[[#This Row],[Where do you work]],tblCountries[[Actual]:[Mapping]],2,FALSE)</f>
        <v>Canada</v>
      </c>
      <c r="L1549" t="s">
        <v>9</v>
      </c>
      <c r="M1549">
        <v>7</v>
      </c>
      <c r="N1549" s="8" t="str">
        <f>VLOOKUP(K1549,tblCountries[],3,0)</f>
        <v>North Amer.</v>
      </c>
      <c r="O1549" s="8">
        <f>VLOOKUP(tblSalaries[[#This Row],[How many hours of a day you work on Excel]],tblHours,2,0)</f>
        <v>4</v>
      </c>
      <c r="P1549" s="8">
        <f>VLOOKUP(tblSalaries[[#This Row],[clean Country]],tblCountries[],5,0)</f>
        <v>1.1935324732986359</v>
      </c>
      <c r="Q1549" s="8">
        <f>IF($Q$1,tblSalaries[[#This Row],[PPP Factor]]*tblSalaries[[#This Row],[Salary in USD]],tblSalaries[[#This Row],[Salary in USD]])</f>
        <v>78668.921842426149</v>
      </c>
    </row>
    <row r="1550" spans="2:17" ht="15" customHeight="1" x14ac:dyDescent="0.25">
      <c r="B1550" t="s">
        <v>3553</v>
      </c>
      <c r="C1550" s="1">
        <v>41061.287407407406</v>
      </c>
      <c r="D1550" s="4">
        <v>85000</v>
      </c>
      <c r="E1550">
        <v>85000</v>
      </c>
      <c r="F1550" t="s">
        <v>6</v>
      </c>
      <c r="G1550">
        <f>tblSalaries[[#This Row],[clean Salary (in local currency)]]*VLOOKUP(tblSalaries[[#This Row],[Currency]],tblXrate[],2,FALSE)</f>
        <v>85000</v>
      </c>
      <c r="H1550" t="s">
        <v>1733</v>
      </c>
      <c r="I1550" t="s">
        <v>3999</v>
      </c>
      <c r="J1550" t="s">
        <v>15</v>
      </c>
      <c r="K1550" t="str">
        <f>VLOOKUP(tblSalaries[[#This Row],[Where do you work]],tblCountries[[Actual]:[Mapping]],2,FALSE)</f>
        <v>USA</v>
      </c>
      <c r="L1550" t="s">
        <v>9</v>
      </c>
      <c r="M1550">
        <v>10</v>
      </c>
      <c r="N1550" s="8" t="str">
        <f>VLOOKUP(K1550,tblCountries[],3,0)</f>
        <v>North Amer.</v>
      </c>
      <c r="O1550" s="8">
        <f>VLOOKUP(tblSalaries[[#This Row],[How many hours of a day you work on Excel]],tblHours,2,0)</f>
        <v>4</v>
      </c>
      <c r="P1550" s="8">
        <f>VLOOKUP(tblSalaries[[#This Row],[clean Country]],tblCountries[],5,0)</f>
        <v>1</v>
      </c>
      <c r="Q1550" s="8">
        <f>IF($Q$1,tblSalaries[[#This Row],[PPP Factor]]*tblSalaries[[#This Row],[Salary in USD]],tblSalaries[[#This Row],[Salary in USD]])</f>
        <v>85000</v>
      </c>
    </row>
    <row r="1551" spans="2:17" ht="15" customHeight="1" x14ac:dyDescent="0.25">
      <c r="B1551" t="s">
        <v>3554</v>
      </c>
      <c r="C1551" s="1">
        <v>41061.30736111111</v>
      </c>
      <c r="D1551" s="4">
        <v>100000</v>
      </c>
      <c r="E1551">
        <v>100000</v>
      </c>
      <c r="F1551" t="s">
        <v>82</v>
      </c>
      <c r="G1551">
        <f>tblSalaries[[#This Row],[clean Salary (in local currency)]]*VLOOKUP(tblSalaries[[#This Row],[Currency]],tblXrate[],2,FALSE)</f>
        <v>101990.96564026357</v>
      </c>
      <c r="H1551" t="s">
        <v>772</v>
      </c>
      <c r="I1551" t="s">
        <v>52</v>
      </c>
      <c r="J1551" t="s">
        <v>84</v>
      </c>
      <c r="K1551" t="str">
        <f>VLOOKUP(tblSalaries[[#This Row],[Where do you work]],tblCountries[[Actual]:[Mapping]],2,FALSE)</f>
        <v>Australia</v>
      </c>
      <c r="L1551" t="s">
        <v>9</v>
      </c>
      <c r="M1551">
        <v>20</v>
      </c>
      <c r="N1551" s="8" t="str">
        <f>VLOOKUP(K1551,tblCountries[],3,0)</f>
        <v>Oceania</v>
      </c>
      <c r="O1551" s="8">
        <f>VLOOKUP(tblSalaries[[#This Row],[How many hours of a day you work on Excel]],tblHours,2,0)</f>
        <v>4</v>
      </c>
      <c r="P1551" s="8">
        <f>VLOOKUP(tblSalaries[[#This Row],[clean Country]],tblCountries[],5,0)</f>
        <v>1.2026395585822935</v>
      </c>
      <c r="Q1551" s="8">
        <f>IF($Q$1,tblSalaries[[#This Row],[PPP Factor]]*tblSalaries[[#This Row],[Salary in USD]],tblSalaries[[#This Row],[Salary in USD]])</f>
        <v>101990.96564026357</v>
      </c>
    </row>
    <row r="1552" spans="2:17" ht="15" customHeight="1" x14ac:dyDescent="0.25">
      <c r="B1552" t="s">
        <v>3555</v>
      </c>
      <c r="C1552" s="1">
        <v>41061.337893518517</v>
      </c>
      <c r="D1552" s="4" t="s">
        <v>1734</v>
      </c>
      <c r="E1552">
        <v>5650000</v>
      </c>
      <c r="F1552" t="s">
        <v>40</v>
      </c>
      <c r="G1552">
        <f>tblSalaries[[#This Row],[clean Salary (in local currency)]]*VLOOKUP(tblSalaries[[#This Row],[Currency]],tblXrate[],2,FALSE)</f>
        <v>100614.72928405051</v>
      </c>
      <c r="H1552" t="s">
        <v>360</v>
      </c>
      <c r="I1552" t="s">
        <v>3999</v>
      </c>
      <c r="J1552" t="s">
        <v>8</v>
      </c>
      <c r="K1552" t="str">
        <f>VLOOKUP(tblSalaries[[#This Row],[Where do you work]],tblCountries[[Actual]:[Mapping]],2,FALSE)</f>
        <v>India</v>
      </c>
      <c r="L1552" t="s">
        <v>18</v>
      </c>
      <c r="M1552">
        <v>6</v>
      </c>
      <c r="N1552" s="8" t="str">
        <f>VLOOKUP(K1552,tblCountries[],3,0)</f>
        <v>Asia</v>
      </c>
      <c r="O1552" s="8">
        <f>VLOOKUP(tblSalaries[[#This Row],[How many hours of a day you work on Excel]],tblHours,2,0)</f>
        <v>3</v>
      </c>
      <c r="P1552" s="8">
        <f>VLOOKUP(tblSalaries[[#This Row],[clean Country]],tblCountries[],5,0)</f>
        <v>13.098808879263672</v>
      </c>
      <c r="Q1552" s="8">
        <f>IF($Q$1,tblSalaries[[#This Row],[PPP Factor]]*tblSalaries[[#This Row],[Salary in USD]],tblSalaries[[#This Row],[Salary in USD]])</f>
        <v>100614.72928405051</v>
      </c>
    </row>
    <row r="1553" spans="2:17" ht="15" customHeight="1" x14ac:dyDescent="0.25">
      <c r="B1553" t="s">
        <v>3556</v>
      </c>
      <c r="C1553" s="1">
        <v>41061.369803240741</v>
      </c>
      <c r="D1553" s="4">
        <v>85000</v>
      </c>
      <c r="E1553">
        <v>85000</v>
      </c>
      <c r="F1553" t="s">
        <v>82</v>
      </c>
      <c r="G1553">
        <f>tblSalaries[[#This Row],[clean Salary (in local currency)]]*VLOOKUP(tblSalaries[[#This Row],[Currency]],tblXrate[],2,FALSE)</f>
        <v>86692.320794224041</v>
      </c>
      <c r="H1553" t="s">
        <v>1735</v>
      </c>
      <c r="I1553" t="s">
        <v>20</v>
      </c>
      <c r="J1553" t="s">
        <v>84</v>
      </c>
      <c r="K1553" t="str">
        <f>VLOOKUP(tblSalaries[[#This Row],[Where do you work]],tblCountries[[Actual]:[Mapping]],2,FALSE)</f>
        <v>Australia</v>
      </c>
      <c r="L1553" t="s">
        <v>9</v>
      </c>
      <c r="M1553">
        <v>30</v>
      </c>
      <c r="N1553" s="8" t="str">
        <f>VLOOKUP(K1553,tblCountries[],3,0)</f>
        <v>Oceania</v>
      </c>
      <c r="O1553" s="8">
        <f>VLOOKUP(tblSalaries[[#This Row],[How many hours of a day you work on Excel]],tblHours,2,0)</f>
        <v>4</v>
      </c>
      <c r="P1553" s="8">
        <f>VLOOKUP(tblSalaries[[#This Row],[clean Country]],tblCountries[],5,0)</f>
        <v>1.2026395585822935</v>
      </c>
      <c r="Q1553" s="8">
        <f>IF($Q$1,tblSalaries[[#This Row],[PPP Factor]]*tblSalaries[[#This Row],[Salary in USD]],tblSalaries[[#This Row],[Salary in USD]])</f>
        <v>86692.320794224041</v>
      </c>
    </row>
    <row r="1554" spans="2:17" ht="15" customHeight="1" x14ac:dyDescent="0.25">
      <c r="B1554" t="s">
        <v>3557</v>
      </c>
      <c r="C1554" s="1">
        <v>41061.45517361111</v>
      </c>
      <c r="D1554" s="4" t="s">
        <v>1736</v>
      </c>
      <c r="E1554">
        <v>120000</v>
      </c>
      <c r="F1554" t="s">
        <v>82</v>
      </c>
      <c r="G1554">
        <f>tblSalaries[[#This Row],[clean Salary (in local currency)]]*VLOOKUP(tblSalaries[[#This Row],[Currency]],tblXrate[],2,FALSE)</f>
        <v>122389.15876831629</v>
      </c>
      <c r="H1554" t="s">
        <v>855</v>
      </c>
      <c r="I1554" t="s">
        <v>20</v>
      </c>
      <c r="J1554" t="s">
        <v>84</v>
      </c>
      <c r="K1554" t="str">
        <f>VLOOKUP(tblSalaries[[#This Row],[Where do you work]],tblCountries[[Actual]:[Mapping]],2,FALSE)</f>
        <v>Australia</v>
      </c>
      <c r="L1554" t="s">
        <v>18</v>
      </c>
      <c r="M1554">
        <v>5</v>
      </c>
      <c r="N1554" s="8" t="str">
        <f>VLOOKUP(K1554,tblCountries[],3,0)</f>
        <v>Oceania</v>
      </c>
      <c r="O1554" s="8">
        <f>VLOOKUP(tblSalaries[[#This Row],[How many hours of a day you work on Excel]],tblHours,2,0)</f>
        <v>3</v>
      </c>
      <c r="P1554" s="8">
        <f>VLOOKUP(tblSalaries[[#This Row],[clean Country]],tblCountries[],5,0)</f>
        <v>1.2026395585822935</v>
      </c>
      <c r="Q1554" s="8">
        <f>IF($Q$1,tblSalaries[[#This Row],[PPP Factor]]*tblSalaries[[#This Row],[Salary in USD]],tblSalaries[[#This Row],[Salary in USD]])</f>
        <v>122389.15876831629</v>
      </c>
    </row>
    <row r="1555" spans="2:17" ht="15" customHeight="1" x14ac:dyDescent="0.25">
      <c r="B1555" t="s">
        <v>3558</v>
      </c>
      <c r="C1555" s="1">
        <v>41061.456932870373</v>
      </c>
      <c r="D1555" s="4" t="s">
        <v>419</v>
      </c>
      <c r="E1555">
        <v>360000</v>
      </c>
      <c r="F1555" t="s">
        <v>40</v>
      </c>
      <c r="G1555">
        <f>tblSalaries[[#This Row],[clean Salary (in local currency)]]*VLOOKUP(tblSalaries[[#This Row],[Currency]],tblXrate[],2,FALSE)</f>
        <v>6410.8500074793246</v>
      </c>
      <c r="H1555" t="s">
        <v>1737</v>
      </c>
      <c r="I1555" t="s">
        <v>52</v>
      </c>
      <c r="J1555" t="s">
        <v>8</v>
      </c>
      <c r="K1555" t="str">
        <f>VLOOKUP(tblSalaries[[#This Row],[Where do you work]],tblCountries[[Actual]:[Mapping]],2,FALSE)</f>
        <v>India</v>
      </c>
      <c r="L1555" t="s">
        <v>18</v>
      </c>
      <c r="M1555">
        <v>8</v>
      </c>
      <c r="N1555" s="8" t="str">
        <f>VLOOKUP(K1555,tblCountries[],3,0)</f>
        <v>Asia</v>
      </c>
      <c r="O1555" s="8">
        <f>VLOOKUP(tblSalaries[[#This Row],[How many hours of a day you work on Excel]],tblHours,2,0)</f>
        <v>3</v>
      </c>
      <c r="P1555" s="8">
        <f>VLOOKUP(tblSalaries[[#This Row],[clean Country]],tblCountries[],5,0)</f>
        <v>13.098808879263672</v>
      </c>
      <c r="Q1555" s="8">
        <f>IF($Q$1,tblSalaries[[#This Row],[PPP Factor]]*tblSalaries[[#This Row],[Salary in USD]],tblSalaries[[#This Row],[Salary in USD]])</f>
        <v>6410.8500074793246</v>
      </c>
    </row>
    <row r="1556" spans="2:17" ht="15" customHeight="1" x14ac:dyDescent="0.25">
      <c r="B1556" t="s">
        <v>3559</v>
      </c>
      <c r="C1556" s="1">
        <v>41061.543958333335</v>
      </c>
      <c r="D1556" s="4">
        <v>44000</v>
      </c>
      <c r="E1556">
        <v>44000</v>
      </c>
      <c r="F1556" t="s">
        <v>6</v>
      </c>
      <c r="G1556">
        <f>tblSalaries[[#This Row],[clean Salary (in local currency)]]*VLOOKUP(tblSalaries[[#This Row],[Currency]],tblXrate[],2,FALSE)</f>
        <v>44000</v>
      </c>
      <c r="H1556" t="s">
        <v>1738</v>
      </c>
      <c r="I1556" t="s">
        <v>20</v>
      </c>
      <c r="J1556" t="s">
        <v>15</v>
      </c>
      <c r="K1556" t="str">
        <f>VLOOKUP(tblSalaries[[#This Row],[Where do you work]],tblCountries[[Actual]:[Mapping]],2,FALSE)</f>
        <v>USA</v>
      </c>
      <c r="L1556" t="s">
        <v>9</v>
      </c>
      <c r="M1556">
        <v>3.5</v>
      </c>
      <c r="N1556" s="8" t="str">
        <f>VLOOKUP(K1556,tblCountries[],3,0)</f>
        <v>North Amer.</v>
      </c>
      <c r="O1556" s="8">
        <f>VLOOKUP(tblSalaries[[#This Row],[How many hours of a day you work on Excel]],tblHours,2,0)</f>
        <v>4</v>
      </c>
      <c r="P1556" s="8">
        <f>VLOOKUP(tblSalaries[[#This Row],[clean Country]],tblCountries[],5,0)</f>
        <v>1</v>
      </c>
      <c r="Q1556" s="8">
        <f>IF($Q$1,tblSalaries[[#This Row],[PPP Factor]]*tblSalaries[[#This Row],[Salary in USD]],tblSalaries[[#This Row],[Salary in USD]])</f>
        <v>44000</v>
      </c>
    </row>
    <row r="1557" spans="2:17" ht="15" customHeight="1" x14ac:dyDescent="0.25">
      <c r="B1557" t="s">
        <v>3560</v>
      </c>
      <c r="C1557" s="1">
        <v>41061.606030092589</v>
      </c>
      <c r="D1557" s="4">
        <v>250000</v>
      </c>
      <c r="E1557">
        <v>250000</v>
      </c>
      <c r="F1557" t="s">
        <v>40</v>
      </c>
      <c r="G1557">
        <f>tblSalaries[[#This Row],[clean Salary (in local currency)]]*VLOOKUP(tblSalaries[[#This Row],[Currency]],tblXrate[],2,FALSE)</f>
        <v>4451.9791718606421</v>
      </c>
      <c r="H1557" t="s">
        <v>1739</v>
      </c>
      <c r="I1557" t="s">
        <v>279</v>
      </c>
      <c r="J1557" t="s">
        <v>8</v>
      </c>
      <c r="K1557" t="str">
        <f>VLOOKUP(tblSalaries[[#This Row],[Where do you work]],tblCountries[[Actual]:[Mapping]],2,FALSE)</f>
        <v>India</v>
      </c>
      <c r="L1557" t="s">
        <v>9</v>
      </c>
      <c r="M1557">
        <v>2.5</v>
      </c>
      <c r="N1557" s="8" t="str">
        <f>VLOOKUP(K1557,tblCountries[],3,0)</f>
        <v>Asia</v>
      </c>
      <c r="O1557" s="8">
        <f>VLOOKUP(tblSalaries[[#This Row],[How many hours of a day you work on Excel]],tblHours,2,0)</f>
        <v>4</v>
      </c>
      <c r="P1557" s="8">
        <f>VLOOKUP(tblSalaries[[#This Row],[clean Country]],tblCountries[],5,0)</f>
        <v>13.098808879263672</v>
      </c>
      <c r="Q1557" s="8">
        <f>IF($Q$1,tblSalaries[[#This Row],[PPP Factor]]*tblSalaries[[#This Row],[Salary in USD]],tblSalaries[[#This Row],[Salary in USD]])</f>
        <v>4451.9791718606421</v>
      </c>
    </row>
    <row r="1558" spans="2:17" ht="15" customHeight="1" x14ac:dyDescent="0.25">
      <c r="B1558" t="s">
        <v>3561</v>
      </c>
      <c r="C1558" s="1">
        <v>41061.618530092594</v>
      </c>
      <c r="D1558" s="4">
        <v>4500</v>
      </c>
      <c r="E1558">
        <v>4500</v>
      </c>
      <c r="F1558" t="s">
        <v>6</v>
      </c>
      <c r="G1558">
        <f>tblSalaries[[#This Row],[clean Salary (in local currency)]]*VLOOKUP(tblSalaries[[#This Row],[Currency]],tblXrate[],2,FALSE)</f>
        <v>4500</v>
      </c>
      <c r="H1558" t="s">
        <v>1740</v>
      </c>
      <c r="I1558" t="s">
        <v>20</v>
      </c>
      <c r="J1558" t="s">
        <v>17</v>
      </c>
      <c r="K1558" t="str">
        <f>VLOOKUP(tblSalaries[[#This Row],[Where do you work]],tblCountries[[Actual]:[Mapping]],2,FALSE)</f>
        <v>Pakistan</v>
      </c>
      <c r="L1558" t="s">
        <v>9</v>
      </c>
      <c r="M1558">
        <v>6</v>
      </c>
      <c r="N1558" s="8" t="str">
        <f>VLOOKUP(K1558,tblCountries[],3,0)</f>
        <v>Asia</v>
      </c>
      <c r="O1558" s="8">
        <f>VLOOKUP(tblSalaries[[#This Row],[How many hours of a day you work on Excel]],tblHours,2,0)</f>
        <v>4</v>
      </c>
      <c r="P1558" s="8">
        <f>VLOOKUP(tblSalaries[[#This Row],[clean Country]],tblCountries[],5,0)</f>
        <v>17.361679224973088</v>
      </c>
      <c r="Q1558" s="8">
        <f>IF($Q$1,tblSalaries[[#This Row],[PPP Factor]]*tblSalaries[[#This Row],[Salary in USD]],tblSalaries[[#This Row],[Salary in USD]])</f>
        <v>4500</v>
      </c>
    </row>
    <row r="1559" spans="2:17" ht="15" customHeight="1" x14ac:dyDescent="0.25">
      <c r="B1559" t="s">
        <v>3562</v>
      </c>
      <c r="C1559" s="1">
        <v>41061.631562499999</v>
      </c>
      <c r="D1559" s="4">
        <v>1700000</v>
      </c>
      <c r="E1559">
        <v>1700000</v>
      </c>
      <c r="F1559" t="s">
        <v>40</v>
      </c>
      <c r="G1559">
        <f>tblSalaries[[#This Row],[clean Salary (in local currency)]]*VLOOKUP(tblSalaries[[#This Row],[Currency]],tblXrate[],2,FALSE)</f>
        <v>30273.458368652366</v>
      </c>
      <c r="H1559" t="s">
        <v>1741</v>
      </c>
      <c r="I1559" t="s">
        <v>4001</v>
      </c>
      <c r="J1559" t="s">
        <v>8</v>
      </c>
      <c r="K1559" t="str">
        <f>VLOOKUP(tblSalaries[[#This Row],[Where do you work]],tblCountries[[Actual]:[Mapping]],2,FALSE)</f>
        <v>India</v>
      </c>
      <c r="L1559" t="s">
        <v>9</v>
      </c>
      <c r="M1559">
        <v>6</v>
      </c>
      <c r="N1559" s="8" t="str">
        <f>VLOOKUP(K1559,tblCountries[],3,0)</f>
        <v>Asia</v>
      </c>
      <c r="O1559" s="8">
        <f>VLOOKUP(tblSalaries[[#This Row],[How many hours of a day you work on Excel]],tblHours,2,0)</f>
        <v>4</v>
      </c>
      <c r="P1559" s="8">
        <f>VLOOKUP(tblSalaries[[#This Row],[clean Country]],tblCountries[],5,0)</f>
        <v>13.098808879263672</v>
      </c>
      <c r="Q1559" s="8">
        <f>IF($Q$1,tblSalaries[[#This Row],[PPP Factor]]*tblSalaries[[#This Row],[Salary in USD]],tblSalaries[[#This Row],[Salary in USD]])</f>
        <v>30273.458368652366</v>
      </c>
    </row>
    <row r="1560" spans="2:17" ht="15" customHeight="1" x14ac:dyDescent="0.25">
      <c r="B1560" t="s">
        <v>3563</v>
      </c>
      <c r="C1560" s="1">
        <v>41061.652314814812</v>
      </c>
      <c r="D1560" s="4" t="s">
        <v>1742</v>
      </c>
      <c r="E1560">
        <v>52000</v>
      </c>
      <c r="F1560" t="s">
        <v>6</v>
      </c>
      <c r="G1560">
        <f>tblSalaries[[#This Row],[clean Salary (in local currency)]]*VLOOKUP(tblSalaries[[#This Row],[Currency]],tblXrate[],2,FALSE)</f>
        <v>52000</v>
      </c>
      <c r="H1560" t="s">
        <v>523</v>
      </c>
      <c r="I1560" t="s">
        <v>20</v>
      </c>
      <c r="J1560" t="s">
        <v>15</v>
      </c>
      <c r="K1560" t="str">
        <f>VLOOKUP(tblSalaries[[#This Row],[Where do you work]],tblCountries[[Actual]:[Mapping]],2,FALSE)</f>
        <v>USA</v>
      </c>
      <c r="L1560" t="s">
        <v>13</v>
      </c>
      <c r="M1560">
        <v>5</v>
      </c>
      <c r="N1560" s="8" t="str">
        <f>VLOOKUP(K1560,tblCountries[],3,0)</f>
        <v>North Amer.</v>
      </c>
      <c r="O1560" s="8">
        <f>VLOOKUP(tblSalaries[[#This Row],[How many hours of a day you work on Excel]],tblHours,2,0)</f>
        <v>5</v>
      </c>
      <c r="P1560" s="8">
        <f>VLOOKUP(tblSalaries[[#This Row],[clean Country]],tblCountries[],5,0)</f>
        <v>1</v>
      </c>
      <c r="Q1560" s="8">
        <f>IF($Q$1,tblSalaries[[#This Row],[PPP Factor]]*tblSalaries[[#This Row],[Salary in USD]],tblSalaries[[#This Row],[Salary in USD]])</f>
        <v>52000</v>
      </c>
    </row>
    <row r="1561" spans="2:17" ht="15" customHeight="1" x14ac:dyDescent="0.25">
      <c r="B1561" t="s">
        <v>3564</v>
      </c>
      <c r="C1561" s="1">
        <v>41061.755636574075</v>
      </c>
      <c r="D1561" s="4" t="s">
        <v>1743</v>
      </c>
      <c r="E1561">
        <v>75000</v>
      </c>
      <c r="F1561" t="s">
        <v>6</v>
      </c>
      <c r="G1561">
        <f>tblSalaries[[#This Row],[clean Salary (in local currency)]]*VLOOKUP(tblSalaries[[#This Row],[Currency]],tblXrate[],2,FALSE)</f>
        <v>75000</v>
      </c>
      <c r="H1561" t="s">
        <v>356</v>
      </c>
      <c r="I1561" t="s">
        <v>356</v>
      </c>
      <c r="J1561" t="s">
        <v>24</v>
      </c>
      <c r="K1561" t="str">
        <f>VLOOKUP(tblSalaries[[#This Row],[Where do you work]],tblCountries[[Actual]:[Mapping]],2,FALSE)</f>
        <v>Germany</v>
      </c>
      <c r="L1561" t="s">
        <v>18</v>
      </c>
      <c r="M1561">
        <v>9</v>
      </c>
      <c r="N1561" s="8" t="str">
        <f>VLOOKUP(K1561,tblCountries[],3,0)</f>
        <v>Europe</v>
      </c>
      <c r="O1561" s="8">
        <f>VLOOKUP(tblSalaries[[#This Row],[How many hours of a day you work on Excel]],tblHours,2,0)</f>
        <v>3</v>
      </c>
      <c r="P1561" s="8">
        <f>VLOOKUP(tblSalaries[[#This Row],[clean Country]],tblCountries[],5,0)</f>
        <v>1.276802913159353</v>
      </c>
      <c r="Q1561" s="8">
        <f>IF($Q$1,tblSalaries[[#This Row],[PPP Factor]]*tblSalaries[[#This Row],[Salary in USD]],tblSalaries[[#This Row],[Salary in USD]])</f>
        <v>75000</v>
      </c>
    </row>
    <row r="1562" spans="2:17" ht="15" customHeight="1" x14ac:dyDescent="0.25">
      <c r="B1562" t="s">
        <v>3565</v>
      </c>
      <c r="C1562" s="1">
        <v>41061.762858796297</v>
      </c>
      <c r="D1562" s="4" t="s">
        <v>1744</v>
      </c>
      <c r="E1562">
        <v>1000000</v>
      </c>
      <c r="F1562" t="s">
        <v>40</v>
      </c>
      <c r="G1562">
        <f>tblSalaries[[#This Row],[clean Salary (in local currency)]]*VLOOKUP(tblSalaries[[#This Row],[Currency]],tblXrate[],2,FALSE)</f>
        <v>17807.916687442568</v>
      </c>
      <c r="H1562" t="s">
        <v>72</v>
      </c>
      <c r="I1562" t="s">
        <v>20</v>
      </c>
      <c r="J1562" t="s">
        <v>8</v>
      </c>
      <c r="K1562" t="str">
        <f>VLOOKUP(tblSalaries[[#This Row],[Where do you work]],tblCountries[[Actual]:[Mapping]],2,FALSE)</f>
        <v>India</v>
      </c>
      <c r="L1562" t="s">
        <v>13</v>
      </c>
      <c r="M1562">
        <v>4</v>
      </c>
      <c r="N1562" s="8" t="str">
        <f>VLOOKUP(K1562,tblCountries[],3,0)</f>
        <v>Asia</v>
      </c>
      <c r="O1562" s="8">
        <f>VLOOKUP(tblSalaries[[#This Row],[How many hours of a day you work on Excel]],tblHours,2,0)</f>
        <v>5</v>
      </c>
      <c r="P1562" s="8">
        <f>VLOOKUP(tblSalaries[[#This Row],[clean Country]],tblCountries[],5,0)</f>
        <v>13.098808879263672</v>
      </c>
      <c r="Q1562" s="8">
        <f>IF($Q$1,tblSalaries[[#This Row],[PPP Factor]]*tblSalaries[[#This Row],[Salary in USD]],tblSalaries[[#This Row],[Salary in USD]])</f>
        <v>17807.916687442568</v>
      </c>
    </row>
    <row r="1563" spans="2:17" ht="15" customHeight="1" x14ac:dyDescent="0.25">
      <c r="B1563" t="s">
        <v>3566</v>
      </c>
      <c r="C1563" s="1">
        <v>41061.790763888886</v>
      </c>
      <c r="D1563" s="4">
        <v>177600</v>
      </c>
      <c r="E1563">
        <v>177600</v>
      </c>
      <c r="F1563" t="s">
        <v>6</v>
      </c>
      <c r="G1563">
        <f>tblSalaries[[#This Row],[clean Salary (in local currency)]]*VLOOKUP(tblSalaries[[#This Row],[Currency]],tblXrate[],2,FALSE)</f>
        <v>177600</v>
      </c>
      <c r="H1563" t="s">
        <v>310</v>
      </c>
      <c r="I1563" t="s">
        <v>310</v>
      </c>
      <c r="J1563" t="s">
        <v>1745</v>
      </c>
      <c r="K1563" t="str">
        <f>VLOOKUP(tblSalaries[[#This Row],[Where do you work]],tblCountries[[Actual]:[Mapping]],2,FALSE)</f>
        <v>Lesotho</v>
      </c>
      <c r="L1563" t="s">
        <v>9</v>
      </c>
      <c r="M1563">
        <v>6</v>
      </c>
      <c r="N1563" s="8" t="str">
        <f>VLOOKUP(K1563,tblCountries[],3,0)</f>
        <v>Africa</v>
      </c>
      <c r="O1563" s="8">
        <f>VLOOKUP(tblSalaries[[#This Row],[How many hours of a day you work on Excel]],tblHours,2,0)</f>
        <v>4</v>
      </c>
      <c r="P1563" s="8">
        <f>VLOOKUP(tblSalaries[[#This Row],[clean Country]],tblCountries[],5,0)</f>
        <v>24.687244897959182</v>
      </c>
      <c r="Q1563" s="8">
        <f>IF($Q$1,tblSalaries[[#This Row],[PPP Factor]]*tblSalaries[[#This Row],[Salary in USD]],tblSalaries[[#This Row],[Salary in USD]])</f>
        <v>177600</v>
      </c>
    </row>
    <row r="1564" spans="2:17" ht="15" customHeight="1" x14ac:dyDescent="0.25">
      <c r="B1564" t="s">
        <v>3567</v>
      </c>
      <c r="C1564" s="1">
        <v>41061.82136574074</v>
      </c>
      <c r="D1564" s="4">
        <v>650000</v>
      </c>
      <c r="E1564">
        <v>650000</v>
      </c>
      <c r="F1564" t="s">
        <v>40</v>
      </c>
      <c r="G1564">
        <f>tblSalaries[[#This Row],[clean Salary (in local currency)]]*VLOOKUP(tblSalaries[[#This Row],[Currency]],tblXrate[],2,FALSE)</f>
        <v>11575.14584683767</v>
      </c>
      <c r="H1564" t="s">
        <v>616</v>
      </c>
      <c r="I1564" t="s">
        <v>20</v>
      </c>
      <c r="J1564" t="s">
        <v>8</v>
      </c>
      <c r="K1564" t="str">
        <f>VLOOKUP(tblSalaries[[#This Row],[Where do you work]],tblCountries[[Actual]:[Mapping]],2,FALSE)</f>
        <v>India</v>
      </c>
      <c r="L1564" t="s">
        <v>9</v>
      </c>
      <c r="M1564">
        <v>5</v>
      </c>
      <c r="N1564" s="8" t="str">
        <f>VLOOKUP(K1564,tblCountries[],3,0)</f>
        <v>Asia</v>
      </c>
      <c r="O1564" s="8">
        <f>VLOOKUP(tblSalaries[[#This Row],[How many hours of a day you work on Excel]],tblHours,2,0)</f>
        <v>4</v>
      </c>
      <c r="P1564" s="8">
        <f>VLOOKUP(tblSalaries[[#This Row],[clean Country]],tblCountries[],5,0)</f>
        <v>13.098808879263672</v>
      </c>
      <c r="Q1564" s="8">
        <f>IF($Q$1,tblSalaries[[#This Row],[PPP Factor]]*tblSalaries[[#This Row],[Salary in USD]],tblSalaries[[#This Row],[Salary in USD]])</f>
        <v>11575.14584683767</v>
      </c>
    </row>
    <row r="1565" spans="2:17" ht="15" customHeight="1" x14ac:dyDescent="0.25">
      <c r="B1565" t="s">
        <v>3568</v>
      </c>
      <c r="C1565" s="1">
        <v>41061.823993055557</v>
      </c>
      <c r="D1565" s="4" t="s">
        <v>1746</v>
      </c>
      <c r="E1565">
        <v>21000</v>
      </c>
      <c r="F1565" t="s">
        <v>22</v>
      </c>
      <c r="G1565">
        <f>tblSalaries[[#This Row],[clean Salary (in local currency)]]*VLOOKUP(tblSalaries[[#This Row],[Currency]],tblXrate[],2,FALSE)</f>
        <v>26678.388218823762</v>
      </c>
      <c r="H1565" t="s">
        <v>1747</v>
      </c>
      <c r="I1565" t="s">
        <v>52</v>
      </c>
      <c r="J1565" t="s">
        <v>30</v>
      </c>
      <c r="K1565" t="str">
        <f>VLOOKUP(tblSalaries[[#This Row],[Where do you work]],tblCountries[[Actual]:[Mapping]],2,FALSE)</f>
        <v>Portugal</v>
      </c>
      <c r="L1565" t="s">
        <v>9</v>
      </c>
      <c r="M1565">
        <v>10</v>
      </c>
      <c r="N1565" s="8" t="str">
        <f>VLOOKUP(K1565,tblCountries[],3,0)</f>
        <v>Europe</v>
      </c>
      <c r="O1565" s="8">
        <f>VLOOKUP(tblSalaries[[#This Row],[How many hours of a day you work on Excel]],tblHours,2,0)</f>
        <v>4</v>
      </c>
      <c r="P1565" s="8">
        <f>VLOOKUP(tblSalaries[[#This Row],[clean Country]],tblCountries[],5,0)</f>
        <v>2.0712726338769745</v>
      </c>
      <c r="Q1565" s="8">
        <f>IF($Q$1,tblSalaries[[#This Row],[PPP Factor]]*tblSalaries[[#This Row],[Salary in USD]],tblSalaries[[#This Row],[Salary in USD]])</f>
        <v>26678.388218823762</v>
      </c>
    </row>
    <row r="1566" spans="2:17" ht="15" customHeight="1" x14ac:dyDescent="0.25">
      <c r="B1566" t="s">
        <v>3569</v>
      </c>
      <c r="C1566" s="1">
        <v>41061.831770833334</v>
      </c>
      <c r="D1566" s="4" t="s">
        <v>1310</v>
      </c>
      <c r="E1566">
        <v>80000</v>
      </c>
      <c r="F1566" t="s">
        <v>69</v>
      </c>
      <c r="G1566">
        <f>tblSalaries[[#This Row],[clean Salary (in local currency)]]*VLOOKUP(tblSalaries[[#This Row],[Currency]],tblXrate[],2,FALSE)</f>
        <v>126094.26176538273</v>
      </c>
      <c r="H1566" t="s">
        <v>1748</v>
      </c>
      <c r="I1566" t="s">
        <v>356</v>
      </c>
      <c r="J1566" t="s">
        <v>71</v>
      </c>
      <c r="K1566" t="str">
        <f>VLOOKUP(tblSalaries[[#This Row],[Where do you work]],tblCountries[[Actual]:[Mapping]],2,FALSE)</f>
        <v>UK</v>
      </c>
      <c r="L1566" t="s">
        <v>9</v>
      </c>
      <c r="M1566">
        <v>12</v>
      </c>
      <c r="N1566" s="8" t="str">
        <f>VLOOKUP(K1566,tblCountries[],3,0)</f>
        <v>Europe</v>
      </c>
      <c r="O1566" s="8">
        <f>VLOOKUP(tblSalaries[[#This Row],[How many hours of a day you work on Excel]],tblHours,2,0)</f>
        <v>4</v>
      </c>
      <c r="P1566" s="8">
        <f>VLOOKUP(tblSalaries[[#This Row],[clean Country]],tblCountries[],5,0)</f>
        <v>1.3407315045719035</v>
      </c>
      <c r="Q1566" s="8">
        <f>IF($Q$1,tblSalaries[[#This Row],[PPP Factor]]*tblSalaries[[#This Row],[Salary in USD]],tblSalaries[[#This Row],[Salary in USD]])</f>
        <v>126094.26176538273</v>
      </c>
    </row>
    <row r="1567" spans="2:17" ht="15" customHeight="1" x14ac:dyDescent="0.25">
      <c r="B1567" t="s">
        <v>3570</v>
      </c>
      <c r="C1567" s="1">
        <v>41061.841921296298</v>
      </c>
      <c r="D1567" s="4" t="s">
        <v>1749</v>
      </c>
      <c r="E1567">
        <v>6000</v>
      </c>
      <c r="F1567" t="s">
        <v>6</v>
      </c>
      <c r="G1567">
        <f>tblSalaries[[#This Row],[clean Salary (in local currency)]]*VLOOKUP(tblSalaries[[#This Row],[Currency]],tblXrate[],2,FALSE)</f>
        <v>6000</v>
      </c>
      <c r="H1567" t="s">
        <v>207</v>
      </c>
      <c r="I1567" t="s">
        <v>20</v>
      </c>
      <c r="J1567" t="s">
        <v>8</v>
      </c>
      <c r="K1567" t="str">
        <f>VLOOKUP(tblSalaries[[#This Row],[Where do you work]],tblCountries[[Actual]:[Mapping]],2,FALSE)</f>
        <v>India</v>
      </c>
      <c r="L1567" t="s">
        <v>9</v>
      </c>
      <c r="M1567">
        <v>2</v>
      </c>
      <c r="N1567" s="8" t="str">
        <f>VLOOKUP(K1567,tblCountries[],3,0)</f>
        <v>Asia</v>
      </c>
      <c r="O1567" s="8">
        <f>VLOOKUP(tblSalaries[[#This Row],[How many hours of a day you work on Excel]],tblHours,2,0)</f>
        <v>4</v>
      </c>
      <c r="P1567" s="8">
        <f>VLOOKUP(tblSalaries[[#This Row],[clean Country]],tblCountries[],5,0)</f>
        <v>13.098808879263672</v>
      </c>
      <c r="Q1567" s="8">
        <f>IF($Q$1,tblSalaries[[#This Row],[PPP Factor]]*tblSalaries[[#This Row],[Salary in USD]],tblSalaries[[#This Row],[Salary in USD]])</f>
        <v>6000</v>
      </c>
    </row>
    <row r="1568" spans="2:17" ht="15" customHeight="1" x14ac:dyDescent="0.25">
      <c r="B1568" t="s">
        <v>3571</v>
      </c>
      <c r="C1568" s="1">
        <v>41061.852349537039</v>
      </c>
      <c r="D1568" s="4">
        <v>10000</v>
      </c>
      <c r="E1568">
        <v>10000</v>
      </c>
      <c r="F1568" t="s">
        <v>6</v>
      </c>
      <c r="G1568">
        <f>tblSalaries[[#This Row],[clean Salary (in local currency)]]*VLOOKUP(tblSalaries[[#This Row],[Currency]],tblXrate[],2,FALSE)</f>
        <v>10000</v>
      </c>
      <c r="H1568" t="s">
        <v>360</v>
      </c>
      <c r="I1568" t="s">
        <v>3999</v>
      </c>
      <c r="J1568" t="s">
        <v>8</v>
      </c>
      <c r="K1568" t="str">
        <f>VLOOKUP(tblSalaries[[#This Row],[Where do you work]],tblCountries[[Actual]:[Mapping]],2,FALSE)</f>
        <v>India</v>
      </c>
      <c r="L1568" t="s">
        <v>13</v>
      </c>
      <c r="M1568">
        <v>6</v>
      </c>
      <c r="N1568" s="8" t="str">
        <f>VLOOKUP(K1568,tblCountries[],3,0)</f>
        <v>Asia</v>
      </c>
      <c r="O1568" s="8">
        <f>VLOOKUP(tblSalaries[[#This Row],[How many hours of a day you work on Excel]],tblHours,2,0)</f>
        <v>5</v>
      </c>
      <c r="P1568" s="8">
        <f>VLOOKUP(tblSalaries[[#This Row],[clean Country]],tblCountries[],5,0)</f>
        <v>13.098808879263672</v>
      </c>
      <c r="Q1568" s="8">
        <f>IF($Q$1,tblSalaries[[#This Row],[PPP Factor]]*tblSalaries[[#This Row],[Salary in USD]],tblSalaries[[#This Row],[Salary in USD]])</f>
        <v>10000</v>
      </c>
    </row>
    <row r="1569" spans="2:17" ht="15" customHeight="1" x14ac:dyDescent="0.25">
      <c r="B1569" t="s">
        <v>3572</v>
      </c>
      <c r="C1569" s="1">
        <v>41061.8596412037</v>
      </c>
      <c r="D1569" s="4">
        <v>50000</v>
      </c>
      <c r="E1569">
        <v>50000</v>
      </c>
      <c r="F1569" t="s">
        <v>6</v>
      </c>
      <c r="G1569">
        <f>tblSalaries[[#This Row],[clean Salary (in local currency)]]*VLOOKUP(tblSalaries[[#This Row],[Currency]],tblXrate[],2,FALSE)</f>
        <v>50000</v>
      </c>
      <c r="H1569" t="s">
        <v>481</v>
      </c>
      <c r="I1569" t="s">
        <v>20</v>
      </c>
      <c r="J1569" t="s">
        <v>15</v>
      </c>
      <c r="K1569" t="str">
        <f>VLOOKUP(tblSalaries[[#This Row],[Where do you work]],tblCountries[[Actual]:[Mapping]],2,FALSE)</f>
        <v>USA</v>
      </c>
      <c r="L1569" t="s">
        <v>13</v>
      </c>
      <c r="M1569">
        <v>2</v>
      </c>
      <c r="N1569" s="8" t="str">
        <f>VLOOKUP(K1569,tblCountries[],3,0)</f>
        <v>North Amer.</v>
      </c>
      <c r="O1569" s="8">
        <f>VLOOKUP(tblSalaries[[#This Row],[How many hours of a day you work on Excel]],tblHours,2,0)</f>
        <v>5</v>
      </c>
      <c r="P1569" s="8">
        <f>VLOOKUP(tblSalaries[[#This Row],[clean Country]],tblCountries[],5,0)</f>
        <v>1</v>
      </c>
      <c r="Q1569" s="8">
        <f>IF($Q$1,tblSalaries[[#This Row],[PPP Factor]]*tblSalaries[[#This Row],[Salary in USD]],tblSalaries[[#This Row],[Salary in USD]])</f>
        <v>50000</v>
      </c>
    </row>
    <row r="1570" spans="2:17" ht="15" customHeight="1" x14ac:dyDescent="0.25">
      <c r="B1570" t="s">
        <v>3573</v>
      </c>
      <c r="C1570" s="1">
        <v>41061.860381944447</v>
      </c>
      <c r="D1570" s="4">
        <v>10000</v>
      </c>
      <c r="E1570">
        <v>10000</v>
      </c>
      <c r="F1570" t="s">
        <v>6</v>
      </c>
      <c r="G1570">
        <f>tblSalaries[[#This Row],[clean Salary (in local currency)]]*VLOOKUP(tblSalaries[[#This Row],[Currency]],tblXrate[],2,FALSE)</f>
        <v>10000</v>
      </c>
      <c r="H1570" t="s">
        <v>1750</v>
      </c>
      <c r="I1570" t="s">
        <v>52</v>
      </c>
      <c r="J1570" t="s">
        <v>8</v>
      </c>
      <c r="K1570" t="str">
        <f>VLOOKUP(tblSalaries[[#This Row],[Where do you work]],tblCountries[[Actual]:[Mapping]],2,FALSE)</f>
        <v>India</v>
      </c>
      <c r="L1570" t="s">
        <v>13</v>
      </c>
      <c r="M1570">
        <v>12</v>
      </c>
      <c r="N1570" s="8" t="str">
        <f>VLOOKUP(K1570,tblCountries[],3,0)</f>
        <v>Asia</v>
      </c>
      <c r="O1570" s="8">
        <f>VLOOKUP(tblSalaries[[#This Row],[How many hours of a day you work on Excel]],tblHours,2,0)</f>
        <v>5</v>
      </c>
      <c r="P1570" s="8">
        <f>VLOOKUP(tblSalaries[[#This Row],[clean Country]],tblCountries[],5,0)</f>
        <v>13.098808879263672</v>
      </c>
      <c r="Q1570" s="8">
        <f>IF($Q$1,tblSalaries[[#This Row],[PPP Factor]]*tblSalaries[[#This Row],[Salary in USD]],tblSalaries[[#This Row],[Salary in USD]])</f>
        <v>10000</v>
      </c>
    </row>
    <row r="1571" spans="2:17" ht="15" customHeight="1" x14ac:dyDescent="0.25">
      <c r="B1571" t="s">
        <v>3574</v>
      </c>
      <c r="C1571" s="1">
        <v>41061.87023148148</v>
      </c>
      <c r="D1571" s="4">
        <v>50000</v>
      </c>
      <c r="E1571">
        <v>50000</v>
      </c>
      <c r="F1571" t="s">
        <v>6</v>
      </c>
      <c r="G1571">
        <f>tblSalaries[[#This Row],[clean Salary (in local currency)]]*VLOOKUP(tblSalaries[[#This Row],[Currency]],tblXrate[],2,FALSE)</f>
        <v>50000</v>
      </c>
      <c r="H1571" t="s">
        <v>1751</v>
      </c>
      <c r="I1571" t="s">
        <v>20</v>
      </c>
      <c r="J1571" t="s">
        <v>15</v>
      </c>
      <c r="K1571" t="str">
        <f>VLOOKUP(tblSalaries[[#This Row],[Where do you work]],tblCountries[[Actual]:[Mapping]],2,FALSE)</f>
        <v>USA</v>
      </c>
      <c r="L1571" t="s">
        <v>13</v>
      </c>
      <c r="M1571">
        <v>12</v>
      </c>
      <c r="N1571" s="8" t="str">
        <f>VLOOKUP(K1571,tblCountries[],3,0)</f>
        <v>North Amer.</v>
      </c>
      <c r="O1571" s="8">
        <f>VLOOKUP(tblSalaries[[#This Row],[How many hours of a day you work on Excel]],tblHours,2,0)</f>
        <v>5</v>
      </c>
      <c r="P1571" s="8">
        <f>VLOOKUP(tblSalaries[[#This Row],[clean Country]],tblCountries[],5,0)</f>
        <v>1</v>
      </c>
      <c r="Q1571" s="8">
        <f>IF($Q$1,tblSalaries[[#This Row],[PPP Factor]]*tblSalaries[[#This Row],[Salary in USD]],tblSalaries[[#This Row],[Salary in USD]])</f>
        <v>50000</v>
      </c>
    </row>
    <row r="1572" spans="2:17" ht="15" customHeight="1" x14ac:dyDescent="0.25">
      <c r="B1572" t="s">
        <v>3575</v>
      </c>
      <c r="C1572" s="1">
        <v>41061.930856481478</v>
      </c>
      <c r="D1572" s="4" t="s">
        <v>1752</v>
      </c>
      <c r="E1572">
        <v>20000</v>
      </c>
      <c r="F1572" t="s">
        <v>6</v>
      </c>
      <c r="G1572">
        <f>tblSalaries[[#This Row],[clean Salary (in local currency)]]*VLOOKUP(tblSalaries[[#This Row],[Currency]],tblXrate[],2,FALSE)</f>
        <v>20000</v>
      </c>
      <c r="H1572" t="s">
        <v>52</v>
      </c>
      <c r="I1572" t="s">
        <v>52</v>
      </c>
      <c r="J1572" t="s">
        <v>8</v>
      </c>
      <c r="K1572" t="str">
        <f>VLOOKUP(tblSalaries[[#This Row],[Where do you work]],tblCountries[[Actual]:[Mapping]],2,FALSE)</f>
        <v>India</v>
      </c>
      <c r="L1572" t="s">
        <v>9</v>
      </c>
      <c r="M1572">
        <v>1</v>
      </c>
      <c r="N1572" s="8" t="str">
        <f>VLOOKUP(K1572,tblCountries[],3,0)</f>
        <v>Asia</v>
      </c>
      <c r="O1572" s="8">
        <f>VLOOKUP(tblSalaries[[#This Row],[How many hours of a day you work on Excel]],tblHours,2,0)</f>
        <v>4</v>
      </c>
      <c r="P1572" s="8">
        <f>VLOOKUP(tblSalaries[[#This Row],[clean Country]],tblCountries[],5,0)</f>
        <v>13.098808879263672</v>
      </c>
      <c r="Q1572" s="8">
        <f>IF($Q$1,tblSalaries[[#This Row],[PPP Factor]]*tblSalaries[[#This Row],[Salary in USD]],tblSalaries[[#This Row],[Salary in USD]])</f>
        <v>20000</v>
      </c>
    </row>
    <row r="1573" spans="2:17" ht="15" customHeight="1" x14ac:dyDescent="0.25">
      <c r="B1573" t="s">
        <v>3576</v>
      </c>
      <c r="C1573" s="1">
        <v>41061.97896990741</v>
      </c>
      <c r="D1573" s="4" t="s">
        <v>655</v>
      </c>
      <c r="E1573">
        <v>20000</v>
      </c>
      <c r="F1573" t="s">
        <v>69</v>
      </c>
      <c r="G1573">
        <f>tblSalaries[[#This Row],[clean Salary (in local currency)]]*VLOOKUP(tblSalaries[[#This Row],[Currency]],tblXrate[],2,FALSE)</f>
        <v>31523.565441345683</v>
      </c>
      <c r="H1573" t="s">
        <v>386</v>
      </c>
      <c r="I1573" t="s">
        <v>20</v>
      </c>
      <c r="J1573" t="s">
        <v>71</v>
      </c>
      <c r="K1573" t="str">
        <f>VLOOKUP(tblSalaries[[#This Row],[Where do you work]],tblCountries[[Actual]:[Mapping]],2,FALSE)</f>
        <v>UK</v>
      </c>
      <c r="L1573" t="s">
        <v>13</v>
      </c>
      <c r="M1573">
        <v>3</v>
      </c>
      <c r="N1573" s="8" t="str">
        <f>VLOOKUP(K1573,tblCountries[],3,0)</f>
        <v>Europe</v>
      </c>
      <c r="O1573" s="8">
        <f>VLOOKUP(tblSalaries[[#This Row],[How many hours of a day you work on Excel]],tblHours,2,0)</f>
        <v>5</v>
      </c>
      <c r="P1573" s="8">
        <f>VLOOKUP(tblSalaries[[#This Row],[clean Country]],tblCountries[],5,0)</f>
        <v>1.3407315045719035</v>
      </c>
      <c r="Q1573" s="8">
        <f>IF($Q$1,tblSalaries[[#This Row],[PPP Factor]]*tblSalaries[[#This Row],[Salary in USD]],tblSalaries[[#This Row],[Salary in USD]])</f>
        <v>31523.565441345683</v>
      </c>
    </row>
    <row r="1574" spans="2:17" ht="15" customHeight="1" x14ac:dyDescent="0.25">
      <c r="B1574" t="s">
        <v>3577</v>
      </c>
      <c r="C1574" s="1">
        <v>41062.061851851853</v>
      </c>
      <c r="D1574" s="4" t="s">
        <v>1753</v>
      </c>
      <c r="E1574">
        <v>50000</v>
      </c>
      <c r="F1574" t="s">
        <v>22</v>
      </c>
      <c r="G1574">
        <f>tblSalaries[[#This Row],[clean Salary (in local currency)]]*VLOOKUP(tblSalaries[[#This Row],[Currency]],tblXrate[],2,FALSE)</f>
        <v>63519.971949580387</v>
      </c>
      <c r="H1574" t="s">
        <v>488</v>
      </c>
      <c r="I1574" t="s">
        <v>488</v>
      </c>
      <c r="J1574" t="s">
        <v>628</v>
      </c>
      <c r="K1574" t="str">
        <f>VLOOKUP(tblSalaries[[#This Row],[Where do you work]],tblCountries[[Actual]:[Mapping]],2,FALSE)</f>
        <v>Netherlands</v>
      </c>
      <c r="L1574" t="s">
        <v>9</v>
      </c>
      <c r="M1574">
        <v>10</v>
      </c>
      <c r="N1574" s="8" t="str">
        <f>VLOOKUP(K1574,tblCountries[],3,0)</f>
        <v>Europe</v>
      </c>
      <c r="O1574" s="8">
        <f>VLOOKUP(tblSalaries[[#This Row],[How many hours of a day you work on Excel]],tblHours,2,0)</f>
        <v>4</v>
      </c>
      <c r="P1574" s="8">
        <f>VLOOKUP(tblSalaries[[#This Row],[clean Country]],tblCountries[],5,0)</f>
        <v>1.1470734656141099</v>
      </c>
      <c r="Q1574" s="8">
        <f>IF($Q$1,tblSalaries[[#This Row],[PPP Factor]]*tblSalaries[[#This Row],[Salary in USD]],tblSalaries[[#This Row],[Salary in USD]])</f>
        <v>63519.971949580387</v>
      </c>
    </row>
    <row r="1575" spans="2:17" ht="15" customHeight="1" x14ac:dyDescent="0.25">
      <c r="B1575" t="s">
        <v>3578</v>
      </c>
      <c r="C1575" s="1">
        <v>41062.071805555555</v>
      </c>
      <c r="D1575" s="4">
        <v>2300</v>
      </c>
      <c r="E1575">
        <v>27600</v>
      </c>
      <c r="F1575" t="s">
        <v>22</v>
      </c>
      <c r="G1575">
        <f>tblSalaries[[#This Row],[clean Salary (in local currency)]]*VLOOKUP(tblSalaries[[#This Row],[Currency]],tblXrate[],2,FALSE)</f>
        <v>35063.024516168378</v>
      </c>
      <c r="H1575" t="s">
        <v>270</v>
      </c>
      <c r="I1575" t="s">
        <v>488</v>
      </c>
      <c r="J1575" t="s">
        <v>38</v>
      </c>
      <c r="K1575" t="str">
        <f>VLOOKUP(tblSalaries[[#This Row],[Where do you work]],tblCountries[[Actual]:[Mapping]],2,FALSE)</f>
        <v>Hungary</v>
      </c>
      <c r="L1575" t="s">
        <v>13</v>
      </c>
      <c r="M1575">
        <v>15</v>
      </c>
      <c r="N1575" s="8" t="str">
        <f>VLOOKUP(K1575,tblCountries[],3,0)</f>
        <v>Europe</v>
      </c>
      <c r="O1575" s="8">
        <f>VLOOKUP(tblSalaries[[#This Row],[How many hours of a day you work on Excel]],tblHours,2,0)</f>
        <v>5</v>
      </c>
      <c r="P1575" s="8">
        <f>VLOOKUP(tblSalaries[[#This Row],[clean Country]],tblCountries[],5,0)</f>
        <v>2.4698586085447398</v>
      </c>
      <c r="Q1575" s="8">
        <f>IF($Q$1,tblSalaries[[#This Row],[PPP Factor]]*tblSalaries[[#This Row],[Salary in USD]],tblSalaries[[#This Row],[Salary in USD]])</f>
        <v>35063.024516168378</v>
      </c>
    </row>
    <row r="1576" spans="2:17" ht="15" customHeight="1" x14ac:dyDescent="0.25">
      <c r="B1576" t="s">
        <v>3579</v>
      </c>
      <c r="C1576" s="1">
        <v>41062.100451388891</v>
      </c>
      <c r="D1576" s="4">
        <v>55000</v>
      </c>
      <c r="E1576">
        <v>55000</v>
      </c>
      <c r="F1576" t="s">
        <v>6</v>
      </c>
      <c r="G1576">
        <f>tblSalaries[[#This Row],[clean Salary (in local currency)]]*VLOOKUP(tblSalaries[[#This Row],[Currency]],tblXrate[],2,FALSE)</f>
        <v>55000</v>
      </c>
      <c r="H1576" t="s">
        <v>207</v>
      </c>
      <c r="I1576" t="s">
        <v>20</v>
      </c>
      <c r="J1576" t="s">
        <v>15</v>
      </c>
      <c r="K1576" t="str">
        <f>VLOOKUP(tblSalaries[[#This Row],[Where do you work]],tblCountries[[Actual]:[Mapping]],2,FALSE)</f>
        <v>USA</v>
      </c>
      <c r="L1576" t="s">
        <v>9</v>
      </c>
      <c r="M1576">
        <v>2</v>
      </c>
      <c r="N1576" s="8" t="str">
        <f>VLOOKUP(K1576,tblCountries[],3,0)</f>
        <v>North Amer.</v>
      </c>
      <c r="O1576" s="8">
        <f>VLOOKUP(tblSalaries[[#This Row],[How many hours of a day you work on Excel]],tblHours,2,0)</f>
        <v>4</v>
      </c>
      <c r="P1576" s="8">
        <f>VLOOKUP(tblSalaries[[#This Row],[clean Country]],tblCountries[],5,0)</f>
        <v>1</v>
      </c>
      <c r="Q1576" s="8">
        <f>IF($Q$1,tblSalaries[[#This Row],[PPP Factor]]*tblSalaries[[#This Row],[Salary in USD]],tblSalaries[[#This Row],[Salary in USD]])</f>
        <v>55000</v>
      </c>
    </row>
    <row r="1577" spans="2:17" ht="15" customHeight="1" x14ac:dyDescent="0.25">
      <c r="B1577" t="s">
        <v>3580</v>
      </c>
      <c r="C1577" s="1">
        <v>41062.103125000001</v>
      </c>
      <c r="D1577" s="4">
        <v>38000</v>
      </c>
      <c r="E1577">
        <v>38000</v>
      </c>
      <c r="F1577" t="s">
        <v>6</v>
      </c>
      <c r="G1577">
        <f>tblSalaries[[#This Row],[clean Salary (in local currency)]]*VLOOKUP(tblSalaries[[#This Row],[Currency]],tblXrate[],2,FALSE)</f>
        <v>38000</v>
      </c>
      <c r="H1577" t="s">
        <v>207</v>
      </c>
      <c r="I1577" t="s">
        <v>20</v>
      </c>
      <c r="J1577" t="s">
        <v>15</v>
      </c>
      <c r="K1577" t="str">
        <f>VLOOKUP(tblSalaries[[#This Row],[Where do you work]],tblCountries[[Actual]:[Mapping]],2,FALSE)</f>
        <v>USA</v>
      </c>
      <c r="L1577" t="s">
        <v>13</v>
      </c>
      <c r="M1577">
        <v>1</v>
      </c>
      <c r="N1577" s="8" t="str">
        <f>VLOOKUP(K1577,tblCountries[],3,0)</f>
        <v>North Amer.</v>
      </c>
      <c r="O1577" s="8">
        <f>VLOOKUP(tblSalaries[[#This Row],[How many hours of a day you work on Excel]],tblHours,2,0)</f>
        <v>5</v>
      </c>
      <c r="P1577" s="8">
        <f>VLOOKUP(tblSalaries[[#This Row],[clean Country]],tblCountries[],5,0)</f>
        <v>1</v>
      </c>
      <c r="Q1577" s="8">
        <f>IF($Q$1,tblSalaries[[#This Row],[PPP Factor]]*tblSalaries[[#This Row],[Salary in USD]],tblSalaries[[#This Row],[Salary in USD]])</f>
        <v>38000</v>
      </c>
    </row>
    <row r="1578" spans="2:17" ht="15" customHeight="1" x14ac:dyDescent="0.25">
      <c r="B1578" t="s">
        <v>3581</v>
      </c>
      <c r="C1578" s="1">
        <v>41062.13113425926</v>
      </c>
      <c r="D1578" s="4">
        <v>1800000</v>
      </c>
      <c r="E1578">
        <v>1800000</v>
      </c>
      <c r="F1578" t="s">
        <v>40</v>
      </c>
      <c r="G1578">
        <f>tblSalaries[[#This Row],[clean Salary (in local currency)]]*VLOOKUP(tblSalaries[[#This Row],[Currency]],tblXrate[],2,FALSE)</f>
        <v>32054.250037396621</v>
      </c>
      <c r="H1578" t="s">
        <v>256</v>
      </c>
      <c r="I1578" t="s">
        <v>20</v>
      </c>
      <c r="J1578" t="s">
        <v>8</v>
      </c>
      <c r="K1578" t="str">
        <f>VLOOKUP(tblSalaries[[#This Row],[Where do you work]],tblCountries[[Actual]:[Mapping]],2,FALSE)</f>
        <v>India</v>
      </c>
      <c r="L1578" t="s">
        <v>13</v>
      </c>
      <c r="M1578">
        <v>1</v>
      </c>
      <c r="N1578" s="8" t="str">
        <f>VLOOKUP(K1578,tblCountries[],3,0)</f>
        <v>Asia</v>
      </c>
      <c r="O1578" s="8">
        <f>VLOOKUP(tblSalaries[[#This Row],[How many hours of a day you work on Excel]],tblHours,2,0)</f>
        <v>5</v>
      </c>
      <c r="P1578" s="8">
        <f>VLOOKUP(tblSalaries[[#This Row],[clean Country]],tblCountries[],5,0)</f>
        <v>13.098808879263672</v>
      </c>
      <c r="Q1578" s="8">
        <f>IF($Q$1,tblSalaries[[#This Row],[PPP Factor]]*tblSalaries[[#This Row],[Salary in USD]],tblSalaries[[#This Row],[Salary in USD]])</f>
        <v>32054.250037396621</v>
      </c>
    </row>
    <row r="1579" spans="2:17" ht="15" customHeight="1" x14ac:dyDescent="0.25">
      <c r="B1579" t="s">
        <v>3582</v>
      </c>
      <c r="C1579" s="1">
        <v>41062.134687500002</v>
      </c>
      <c r="D1579" s="4">
        <v>35500</v>
      </c>
      <c r="E1579">
        <v>35500</v>
      </c>
      <c r="F1579" t="s">
        <v>6</v>
      </c>
      <c r="G1579">
        <f>tblSalaries[[#This Row],[clean Salary (in local currency)]]*VLOOKUP(tblSalaries[[#This Row],[Currency]],tblXrate[],2,FALSE)</f>
        <v>35500</v>
      </c>
      <c r="H1579" t="s">
        <v>1754</v>
      </c>
      <c r="I1579" t="s">
        <v>20</v>
      </c>
      <c r="J1579" t="s">
        <v>15</v>
      </c>
      <c r="K1579" t="str">
        <f>VLOOKUP(tblSalaries[[#This Row],[Where do you work]],tblCountries[[Actual]:[Mapping]],2,FALSE)</f>
        <v>USA</v>
      </c>
      <c r="L1579" t="s">
        <v>9</v>
      </c>
      <c r="M1579">
        <v>20</v>
      </c>
      <c r="N1579" s="8" t="str">
        <f>VLOOKUP(K1579,tblCountries[],3,0)</f>
        <v>North Amer.</v>
      </c>
      <c r="O1579" s="8">
        <f>VLOOKUP(tblSalaries[[#This Row],[How many hours of a day you work on Excel]],tblHours,2,0)</f>
        <v>4</v>
      </c>
      <c r="P1579" s="8">
        <f>VLOOKUP(tblSalaries[[#This Row],[clean Country]],tblCountries[],5,0)</f>
        <v>1</v>
      </c>
      <c r="Q1579" s="8">
        <f>IF($Q$1,tblSalaries[[#This Row],[PPP Factor]]*tblSalaries[[#This Row],[Salary in USD]],tblSalaries[[#This Row],[Salary in USD]])</f>
        <v>35500</v>
      </c>
    </row>
    <row r="1580" spans="2:17" ht="15" customHeight="1" x14ac:dyDescent="0.25">
      <c r="B1580" t="s">
        <v>3583</v>
      </c>
      <c r="C1580" s="1">
        <v>41062.141076388885</v>
      </c>
      <c r="D1580" s="4">
        <v>62000</v>
      </c>
      <c r="E1580">
        <v>62000</v>
      </c>
      <c r="F1580" t="s">
        <v>6</v>
      </c>
      <c r="G1580">
        <f>tblSalaries[[#This Row],[clean Salary (in local currency)]]*VLOOKUP(tblSalaries[[#This Row],[Currency]],tblXrate[],2,FALSE)</f>
        <v>62000</v>
      </c>
      <c r="H1580" t="s">
        <v>14</v>
      </c>
      <c r="I1580" t="s">
        <v>20</v>
      </c>
      <c r="J1580" t="s">
        <v>15</v>
      </c>
      <c r="K1580" t="str">
        <f>VLOOKUP(tblSalaries[[#This Row],[Where do you work]],tblCountries[[Actual]:[Mapping]],2,FALSE)</f>
        <v>USA</v>
      </c>
      <c r="L1580" t="s">
        <v>18</v>
      </c>
      <c r="M1580">
        <v>5</v>
      </c>
      <c r="N1580" s="8" t="str">
        <f>VLOOKUP(K1580,tblCountries[],3,0)</f>
        <v>North Amer.</v>
      </c>
      <c r="O1580" s="8">
        <f>VLOOKUP(tblSalaries[[#This Row],[How many hours of a day you work on Excel]],tblHours,2,0)</f>
        <v>3</v>
      </c>
      <c r="P1580" s="8">
        <f>VLOOKUP(tblSalaries[[#This Row],[clean Country]],tblCountries[],5,0)</f>
        <v>1</v>
      </c>
      <c r="Q1580" s="8">
        <f>IF($Q$1,tblSalaries[[#This Row],[PPP Factor]]*tblSalaries[[#This Row],[Salary in USD]],tblSalaries[[#This Row],[Salary in USD]])</f>
        <v>62000</v>
      </c>
    </row>
    <row r="1581" spans="2:17" ht="15" customHeight="1" x14ac:dyDescent="0.25">
      <c r="B1581" t="s">
        <v>3584</v>
      </c>
      <c r="C1581" s="1">
        <v>41062.145358796297</v>
      </c>
      <c r="D1581" s="4" t="s">
        <v>1755</v>
      </c>
      <c r="E1581">
        <v>21500</v>
      </c>
      <c r="F1581" t="s">
        <v>69</v>
      </c>
      <c r="G1581">
        <f>tblSalaries[[#This Row],[clean Salary (in local currency)]]*VLOOKUP(tblSalaries[[#This Row],[Currency]],tblXrate[],2,FALSE)</f>
        <v>33887.832849446611</v>
      </c>
      <c r="H1581" t="s">
        <v>153</v>
      </c>
      <c r="I1581" t="s">
        <v>20</v>
      </c>
      <c r="J1581" t="s">
        <v>71</v>
      </c>
      <c r="K1581" t="str">
        <f>VLOOKUP(tblSalaries[[#This Row],[Where do you work]],tblCountries[[Actual]:[Mapping]],2,FALSE)</f>
        <v>UK</v>
      </c>
      <c r="L1581" t="s">
        <v>13</v>
      </c>
      <c r="M1581">
        <v>1</v>
      </c>
      <c r="N1581" s="8" t="str">
        <f>VLOOKUP(K1581,tblCountries[],3,0)</f>
        <v>Europe</v>
      </c>
      <c r="O1581" s="8">
        <f>VLOOKUP(tblSalaries[[#This Row],[How many hours of a day you work on Excel]],tblHours,2,0)</f>
        <v>5</v>
      </c>
      <c r="P1581" s="8">
        <f>VLOOKUP(tblSalaries[[#This Row],[clean Country]],tblCountries[],5,0)</f>
        <v>1.3407315045719035</v>
      </c>
      <c r="Q1581" s="8">
        <f>IF($Q$1,tblSalaries[[#This Row],[PPP Factor]]*tblSalaries[[#This Row],[Salary in USD]],tblSalaries[[#This Row],[Salary in USD]])</f>
        <v>33887.832849446611</v>
      </c>
    </row>
    <row r="1582" spans="2:17" ht="15" customHeight="1" x14ac:dyDescent="0.25">
      <c r="B1582" t="s">
        <v>3585</v>
      </c>
      <c r="C1582" s="1">
        <v>41062.201180555552</v>
      </c>
      <c r="D1582" s="4">
        <v>60000</v>
      </c>
      <c r="E1582">
        <v>60000</v>
      </c>
      <c r="F1582" t="s">
        <v>6</v>
      </c>
      <c r="G1582">
        <f>tblSalaries[[#This Row],[clean Salary (in local currency)]]*VLOOKUP(tblSalaries[[#This Row],[Currency]],tblXrate[],2,FALSE)</f>
        <v>60000</v>
      </c>
      <c r="H1582" t="s">
        <v>153</v>
      </c>
      <c r="I1582" t="s">
        <v>20</v>
      </c>
      <c r="J1582" t="s">
        <v>15</v>
      </c>
      <c r="K1582" t="str">
        <f>VLOOKUP(tblSalaries[[#This Row],[Where do you work]],tblCountries[[Actual]:[Mapping]],2,FALSE)</f>
        <v>USA</v>
      </c>
      <c r="L1582" t="s">
        <v>18</v>
      </c>
      <c r="M1582">
        <v>1</v>
      </c>
      <c r="N1582" s="8" t="str">
        <f>VLOOKUP(K1582,tblCountries[],3,0)</f>
        <v>North Amer.</v>
      </c>
      <c r="O1582" s="8">
        <f>VLOOKUP(tblSalaries[[#This Row],[How many hours of a day you work on Excel]],tblHours,2,0)</f>
        <v>3</v>
      </c>
      <c r="P1582" s="8">
        <f>VLOOKUP(tblSalaries[[#This Row],[clean Country]],tblCountries[],5,0)</f>
        <v>1</v>
      </c>
      <c r="Q1582" s="8">
        <f>IF($Q$1,tblSalaries[[#This Row],[PPP Factor]]*tblSalaries[[#This Row],[Salary in USD]],tblSalaries[[#This Row],[Salary in USD]])</f>
        <v>60000</v>
      </c>
    </row>
    <row r="1583" spans="2:17" ht="15" customHeight="1" x14ac:dyDescent="0.25">
      <c r="B1583" t="s">
        <v>3586</v>
      </c>
      <c r="C1583" s="1">
        <v>41062.265104166669</v>
      </c>
      <c r="D1583" s="4">
        <v>32884.800000000003</v>
      </c>
      <c r="E1583">
        <v>32884</v>
      </c>
      <c r="F1583" t="s">
        <v>6</v>
      </c>
      <c r="G1583">
        <f>tblSalaries[[#This Row],[clean Salary (in local currency)]]*VLOOKUP(tblSalaries[[#This Row],[Currency]],tblXrate[],2,FALSE)</f>
        <v>32884</v>
      </c>
      <c r="H1583" t="s">
        <v>263</v>
      </c>
      <c r="I1583" t="s">
        <v>20</v>
      </c>
      <c r="J1583" t="s">
        <v>15</v>
      </c>
      <c r="K1583" t="str">
        <f>VLOOKUP(tblSalaries[[#This Row],[Where do you work]],tblCountries[[Actual]:[Mapping]],2,FALSE)</f>
        <v>USA</v>
      </c>
      <c r="L1583" t="s">
        <v>13</v>
      </c>
      <c r="M1583">
        <v>10</v>
      </c>
      <c r="N1583" s="8" t="str">
        <f>VLOOKUP(K1583,tblCountries[],3,0)</f>
        <v>North Amer.</v>
      </c>
      <c r="O1583" s="8">
        <f>VLOOKUP(tblSalaries[[#This Row],[How many hours of a day you work on Excel]],tblHours,2,0)</f>
        <v>5</v>
      </c>
      <c r="P1583" s="8">
        <f>VLOOKUP(tblSalaries[[#This Row],[clean Country]],tblCountries[],5,0)</f>
        <v>1</v>
      </c>
      <c r="Q1583" s="8">
        <f>IF($Q$1,tblSalaries[[#This Row],[PPP Factor]]*tblSalaries[[#This Row],[Salary in USD]],tblSalaries[[#This Row],[Salary in USD]])</f>
        <v>32884</v>
      </c>
    </row>
    <row r="1584" spans="2:17" ht="15" customHeight="1" x14ac:dyDescent="0.25">
      <c r="B1584" t="s">
        <v>3587</v>
      </c>
      <c r="C1584" s="1">
        <v>41062.271770833337</v>
      </c>
      <c r="D1584" s="4" t="s">
        <v>1756</v>
      </c>
      <c r="E1584">
        <v>42000</v>
      </c>
      <c r="F1584" t="s">
        <v>6</v>
      </c>
      <c r="G1584">
        <f>tblSalaries[[#This Row],[clean Salary (in local currency)]]*VLOOKUP(tblSalaries[[#This Row],[Currency]],tblXrate[],2,FALSE)</f>
        <v>42000</v>
      </c>
      <c r="H1584" t="s">
        <v>1757</v>
      </c>
      <c r="I1584" t="s">
        <v>20</v>
      </c>
      <c r="J1584" t="s">
        <v>15</v>
      </c>
      <c r="K1584" t="str">
        <f>VLOOKUP(tblSalaries[[#This Row],[Where do you work]],tblCountries[[Actual]:[Mapping]],2,FALSE)</f>
        <v>USA</v>
      </c>
      <c r="L1584" t="s">
        <v>9</v>
      </c>
      <c r="M1584">
        <v>2</v>
      </c>
      <c r="N1584" s="8" t="str">
        <f>VLOOKUP(K1584,tblCountries[],3,0)</f>
        <v>North Amer.</v>
      </c>
      <c r="O1584" s="8">
        <f>VLOOKUP(tblSalaries[[#This Row],[How many hours of a day you work on Excel]],tblHours,2,0)</f>
        <v>4</v>
      </c>
      <c r="P1584" s="8">
        <f>VLOOKUP(tblSalaries[[#This Row],[clean Country]],tblCountries[],5,0)</f>
        <v>1</v>
      </c>
      <c r="Q1584" s="8">
        <f>IF($Q$1,tblSalaries[[#This Row],[PPP Factor]]*tblSalaries[[#This Row],[Salary in USD]],tblSalaries[[#This Row],[Salary in USD]])</f>
        <v>42000</v>
      </c>
    </row>
    <row r="1585" spans="2:17" ht="15" customHeight="1" x14ac:dyDescent="0.25">
      <c r="B1585" t="s">
        <v>3588</v>
      </c>
      <c r="C1585" s="1">
        <v>41062.280150462961</v>
      </c>
      <c r="D1585" s="4">
        <v>68000</v>
      </c>
      <c r="E1585">
        <v>68000</v>
      </c>
      <c r="F1585" t="s">
        <v>6</v>
      </c>
      <c r="G1585">
        <f>tblSalaries[[#This Row],[clean Salary (in local currency)]]*VLOOKUP(tblSalaries[[#This Row],[Currency]],tblXrate[],2,FALSE)</f>
        <v>68000</v>
      </c>
      <c r="H1585" t="s">
        <v>411</v>
      </c>
      <c r="I1585" t="s">
        <v>20</v>
      </c>
      <c r="J1585" t="s">
        <v>15</v>
      </c>
      <c r="K1585" t="str">
        <f>VLOOKUP(tblSalaries[[#This Row],[Where do you work]],tblCountries[[Actual]:[Mapping]],2,FALSE)</f>
        <v>USA</v>
      </c>
      <c r="L1585" t="s">
        <v>9</v>
      </c>
      <c r="M1585">
        <v>12</v>
      </c>
      <c r="N1585" s="8" t="str">
        <f>VLOOKUP(K1585,tblCountries[],3,0)</f>
        <v>North Amer.</v>
      </c>
      <c r="O1585" s="8">
        <f>VLOOKUP(tblSalaries[[#This Row],[How many hours of a day you work on Excel]],tblHours,2,0)</f>
        <v>4</v>
      </c>
      <c r="P1585" s="8">
        <f>VLOOKUP(tblSalaries[[#This Row],[clean Country]],tblCountries[],5,0)</f>
        <v>1</v>
      </c>
      <c r="Q1585" s="8">
        <f>IF($Q$1,tblSalaries[[#This Row],[PPP Factor]]*tblSalaries[[#This Row],[Salary in USD]],tblSalaries[[#This Row],[Salary in USD]])</f>
        <v>68000</v>
      </c>
    </row>
    <row r="1586" spans="2:17" ht="15" customHeight="1" x14ac:dyDescent="0.25">
      <c r="B1586" t="s">
        <v>3589</v>
      </c>
      <c r="C1586" s="1">
        <v>41062.320856481485</v>
      </c>
      <c r="D1586" s="4">
        <v>85000</v>
      </c>
      <c r="E1586">
        <v>85000</v>
      </c>
      <c r="F1586" t="s">
        <v>6</v>
      </c>
      <c r="G1586">
        <f>tblSalaries[[#This Row],[clean Salary (in local currency)]]*VLOOKUP(tblSalaries[[#This Row],[Currency]],tblXrate[],2,FALSE)</f>
        <v>85000</v>
      </c>
      <c r="H1586" t="s">
        <v>89</v>
      </c>
      <c r="I1586" t="s">
        <v>310</v>
      </c>
      <c r="J1586" t="s">
        <v>15</v>
      </c>
      <c r="K1586" t="str">
        <f>VLOOKUP(tblSalaries[[#This Row],[Where do you work]],tblCountries[[Actual]:[Mapping]],2,FALSE)</f>
        <v>USA</v>
      </c>
      <c r="L1586" t="s">
        <v>18</v>
      </c>
      <c r="M1586">
        <v>8</v>
      </c>
      <c r="N1586" s="8" t="str">
        <f>VLOOKUP(K1586,tblCountries[],3,0)</f>
        <v>North Amer.</v>
      </c>
      <c r="O1586" s="8">
        <f>VLOOKUP(tblSalaries[[#This Row],[How many hours of a day you work on Excel]],tblHours,2,0)</f>
        <v>3</v>
      </c>
      <c r="P1586" s="8">
        <f>VLOOKUP(tblSalaries[[#This Row],[clean Country]],tblCountries[],5,0)</f>
        <v>1</v>
      </c>
      <c r="Q1586" s="8">
        <f>IF($Q$1,tblSalaries[[#This Row],[PPP Factor]]*tblSalaries[[#This Row],[Salary in USD]],tblSalaries[[#This Row],[Salary in USD]])</f>
        <v>85000</v>
      </c>
    </row>
    <row r="1587" spans="2:17" ht="15" customHeight="1" x14ac:dyDescent="0.25">
      <c r="B1587" t="s">
        <v>3590</v>
      </c>
      <c r="C1587" s="1">
        <v>41062.466180555559</v>
      </c>
      <c r="D1587" s="4" t="s">
        <v>1758</v>
      </c>
      <c r="E1587">
        <v>13000</v>
      </c>
      <c r="F1587" t="s">
        <v>6</v>
      </c>
      <c r="G1587">
        <f>tblSalaries[[#This Row],[clean Salary (in local currency)]]*VLOOKUP(tblSalaries[[#This Row],[Currency]],tblXrate[],2,FALSE)</f>
        <v>13000</v>
      </c>
      <c r="H1587" t="s">
        <v>1759</v>
      </c>
      <c r="I1587" t="s">
        <v>20</v>
      </c>
      <c r="J1587" t="s">
        <v>143</v>
      </c>
      <c r="K1587" t="str">
        <f>VLOOKUP(tblSalaries[[#This Row],[Where do you work]],tblCountries[[Actual]:[Mapping]],2,FALSE)</f>
        <v>Brazil</v>
      </c>
      <c r="L1587" t="s">
        <v>13</v>
      </c>
      <c r="M1587">
        <v>4</v>
      </c>
      <c r="N1587" s="8" t="str">
        <f>VLOOKUP(K1587,tblCountries[],3,0)</f>
        <v>South Amer.</v>
      </c>
      <c r="O1587" s="8">
        <f>VLOOKUP(tblSalaries[[#This Row],[How many hours of a day you work on Excel]],tblHours,2,0)</f>
        <v>5</v>
      </c>
      <c r="P1587" s="8">
        <f>VLOOKUP(tblSalaries[[#This Row],[clean Country]],tblCountries[],5,0)</f>
        <v>4.1113943410655107</v>
      </c>
      <c r="Q1587" s="8">
        <f>IF($Q$1,tblSalaries[[#This Row],[PPP Factor]]*tblSalaries[[#This Row],[Salary in USD]],tblSalaries[[#This Row],[Salary in USD]])</f>
        <v>13000</v>
      </c>
    </row>
    <row r="1588" spans="2:17" ht="15" customHeight="1" x14ac:dyDescent="0.25">
      <c r="B1588" t="s">
        <v>3591</v>
      </c>
      <c r="C1588" s="1">
        <v>41062.582476851851</v>
      </c>
      <c r="D1588" s="4">
        <v>15000</v>
      </c>
      <c r="E1588">
        <v>15000</v>
      </c>
      <c r="F1588" t="s">
        <v>6</v>
      </c>
      <c r="G1588">
        <f>tblSalaries[[#This Row],[clean Salary (in local currency)]]*VLOOKUP(tblSalaries[[#This Row],[Currency]],tblXrate[],2,FALSE)</f>
        <v>15000</v>
      </c>
      <c r="H1588" t="s">
        <v>1760</v>
      </c>
      <c r="I1588" t="s">
        <v>20</v>
      </c>
      <c r="J1588" t="s">
        <v>8</v>
      </c>
      <c r="K1588" t="str">
        <f>VLOOKUP(tblSalaries[[#This Row],[Where do you work]],tblCountries[[Actual]:[Mapping]],2,FALSE)</f>
        <v>India</v>
      </c>
      <c r="L1588" t="s">
        <v>9</v>
      </c>
      <c r="M1588">
        <v>5</v>
      </c>
      <c r="N1588" s="8" t="str">
        <f>VLOOKUP(K1588,tblCountries[],3,0)</f>
        <v>Asia</v>
      </c>
      <c r="O1588" s="8">
        <f>VLOOKUP(tblSalaries[[#This Row],[How many hours of a day you work on Excel]],tblHours,2,0)</f>
        <v>4</v>
      </c>
      <c r="P1588" s="8">
        <f>VLOOKUP(tblSalaries[[#This Row],[clean Country]],tblCountries[],5,0)</f>
        <v>13.098808879263672</v>
      </c>
      <c r="Q1588" s="8">
        <f>IF($Q$1,tblSalaries[[#This Row],[PPP Factor]]*tblSalaries[[#This Row],[Salary in USD]],tblSalaries[[#This Row],[Salary in USD]])</f>
        <v>15000</v>
      </c>
    </row>
    <row r="1589" spans="2:17" ht="15" customHeight="1" x14ac:dyDescent="0.25">
      <c r="B1589" t="s">
        <v>3592</v>
      </c>
      <c r="C1589" s="1">
        <v>41062.732175925928</v>
      </c>
      <c r="D1589" s="4" t="s">
        <v>1761</v>
      </c>
      <c r="E1589">
        <v>50000</v>
      </c>
      <c r="F1589" t="s">
        <v>6</v>
      </c>
      <c r="G1589">
        <f>tblSalaries[[#This Row],[clean Salary (in local currency)]]*VLOOKUP(tblSalaries[[#This Row],[Currency]],tblXrate[],2,FALSE)</f>
        <v>50000</v>
      </c>
      <c r="H1589" t="s">
        <v>1762</v>
      </c>
      <c r="I1589" t="s">
        <v>4001</v>
      </c>
      <c r="J1589" t="s">
        <v>8</v>
      </c>
      <c r="K1589" t="str">
        <f>VLOOKUP(tblSalaries[[#This Row],[Where do you work]],tblCountries[[Actual]:[Mapping]],2,FALSE)</f>
        <v>India</v>
      </c>
      <c r="L1589" t="s">
        <v>25</v>
      </c>
      <c r="M1589">
        <v>8</v>
      </c>
      <c r="N1589" s="8" t="str">
        <f>VLOOKUP(K1589,tblCountries[],3,0)</f>
        <v>Asia</v>
      </c>
      <c r="O1589" s="8">
        <f>VLOOKUP(tblSalaries[[#This Row],[How many hours of a day you work on Excel]],tblHours,2,0)</f>
        <v>2</v>
      </c>
      <c r="P1589" s="8">
        <f>VLOOKUP(tblSalaries[[#This Row],[clean Country]],tblCountries[],5,0)</f>
        <v>13.098808879263672</v>
      </c>
      <c r="Q1589" s="8">
        <f>IF($Q$1,tblSalaries[[#This Row],[PPP Factor]]*tblSalaries[[#This Row],[Salary in USD]],tblSalaries[[#This Row],[Salary in USD]])</f>
        <v>50000</v>
      </c>
    </row>
    <row r="1590" spans="2:17" ht="15" customHeight="1" x14ac:dyDescent="0.25">
      <c r="B1590" t="s">
        <v>3593</v>
      </c>
      <c r="C1590" s="1">
        <v>41062.783009259256</v>
      </c>
      <c r="D1590" s="4">
        <v>7000</v>
      </c>
      <c r="E1590">
        <v>7000</v>
      </c>
      <c r="F1590" t="s">
        <v>6</v>
      </c>
      <c r="G1590">
        <f>tblSalaries[[#This Row],[clean Salary (in local currency)]]*VLOOKUP(tblSalaries[[#This Row],[Currency]],tblXrate[],2,FALSE)</f>
        <v>7000</v>
      </c>
      <c r="H1590" t="s">
        <v>1763</v>
      </c>
      <c r="I1590" t="s">
        <v>3999</v>
      </c>
      <c r="J1590" t="s">
        <v>8</v>
      </c>
      <c r="K1590" t="str">
        <f>VLOOKUP(tblSalaries[[#This Row],[Where do you work]],tblCountries[[Actual]:[Mapping]],2,FALSE)</f>
        <v>India</v>
      </c>
      <c r="L1590" t="s">
        <v>9</v>
      </c>
      <c r="M1590">
        <v>1</v>
      </c>
      <c r="N1590" s="8" t="str">
        <f>VLOOKUP(K1590,tblCountries[],3,0)</f>
        <v>Asia</v>
      </c>
      <c r="O1590" s="8">
        <f>VLOOKUP(tblSalaries[[#This Row],[How many hours of a day you work on Excel]],tblHours,2,0)</f>
        <v>4</v>
      </c>
      <c r="P1590" s="8">
        <f>VLOOKUP(tblSalaries[[#This Row],[clean Country]],tblCountries[],5,0)</f>
        <v>13.098808879263672</v>
      </c>
      <c r="Q1590" s="8">
        <f>IF($Q$1,tblSalaries[[#This Row],[PPP Factor]]*tblSalaries[[#This Row],[Salary in USD]],tblSalaries[[#This Row],[Salary in USD]])</f>
        <v>7000</v>
      </c>
    </row>
    <row r="1591" spans="2:17" ht="15" customHeight="1" x14ac:dyDescent="0.25">
      <c r="B1591" t="s">
        <v>3594</v>
      </c>
      <c r="C1591" s="1">
        <v>41062.801793981482</v>
      </c>
      <c r="D1591" s="4">
        <v>140000</v>
      </c>
      <c r="E1591">
        <v>140000</v>
      </c>
      <c r="F1591" t="s">
        <v>6</v>
      </c>
      <c r="G1591">
        <f>tblSalaries[[#This Row],[clean Salary (in local currency)]]*VLOOKUP(tblSalaries[[#This Row],[Currency]],tblXrate[],2,FALSE)</f>
        <v>140000</v>
      </c>
      <c r="H1591" t="s">
        <v>1080</v>
      </c>
      <c r="I1591" t="s">
        <v>52</v>
      </c>
      <c r="J1591" t="s">
        <v>15</v>
      </c>
      <c r="K1591" t="str">
        <f>VLOOKUP(tblSalaries[[#This Row],[Where do you work]],tblCountries[[Actual]:[Mapping]],2,FALSE)</f>
        <v>USA</v>
      </c>
      <c r="L1591" t="s">
        <v>9</v>
      </c>
      <c r="M1591">
        <v>12</v>
      </c>
      <c r="N1591" s="8" t="str">
        <f>VLOOKUP(K1591,tblCountries[],3,0)</f>
        <v>North Amer.</v>
      </c>
      <c r="O1591" s="8">
        <f>VLOOKUP(tblSalaries[[#This Row],[How many hours of a day you work on Excel]],tblHours,2,0)</f>
        <v>4</v>
      </c>
      <c r="P1591" s="8">
        <f>VLOOKUP(tblSalaries[[#This Row],[clean Country]],tblCountries[],5,0)</f>
        <v>1</v>
      </c>
      <c r="Q1591" s="8">
        <f>IF($Q$1,tblSalaries[[#This Row],[PPP Factor]]*tblSalaries[[#This Row],[Salary in USD]],tblSalaries[[#This Row],[Salary in USD]])</f>
        <v>140000</v>
      </c>
    </row>
    <row r="1592" spans="2:17" ht="15" customHeight="1" x14ac:dyDescent="0.25">
      <c r="B1592" t="s">
        <v>3595</v>
      </c>
      <c r="C1592" s="1">
        <v>41062.868518518517</v>
      </c>
      <c r="D1592" s="4">
        <v>400000</v>
      </c>
      <c r="E1592">
        <v>400000</v>
      </c>
      <c r="F1592" t="s">
        <v>40</v>
      </c>
      <c r="G1592">
        <f>tblSalaries[[#This Row],[clean Salary (in local currency)]]*VLOOKUP(tblSalaries[[#This Row],[Currency]],tblXrate[],2,FALSE)</f>
        <v>7123.1666749770275</v>
      </c>
      <c r="H1592" t="s">
        <v>1764</v>
      </c>
      <c r="I1592" t="s">
        <v>20</v>
      </c>
      <c r="J1592" t="s">
        <v>8</v>
      </c>
      <c r="K1592" t="str">
        <f>VLOOKUP(tblSalaries[[#This Row],[Where do you work]],tblCountries[[Actual]:[Mapping]],2,FALSE)</f>
        <v>India</v>
      </c>
      <c r="L1592" t="s">
        <v>25</v>
      </c>
      <c r="M1592">
        <v>2.5</v>
      </c>
      <c r="N1592" s="8" t="str">
        <f>VLOOKUP(K1592,tblCountries[],3,0)</f>
        <v>Asia</v>
      </c>
      <c r="O1592" s="8">
        <f>VLOOKUP(tblSalaries[[#This Row],[How many hours of a day you work on Excel]],tblHours,2,0)</f>
        <v>2</v>
      </c>
      <c r="P1592" s="8">
        <f>VLOOKUP(tblSalaries[[#This Row],[clean Country]],tblCountries[],5,0)</f>
        <v>13.098808879263672</v>
      </c>
      <c r="Q1592" s="8">
        <f>IF($Q$1,tblSalaries[[#This Row],[PPP Factor]]*tblSalaries[[#This Row],[Salary in USD]],tblSalaries[[#This Row],[Salary in USD]])</f>
        <v>7123.1666749770275</v>
      </c>
    </row>
    <row r="1593" spans="2:17" ht="15" customHeight="1" x14ac:dyDescent="0.25">
      <c r="B1593" t="s">
        <v>3596</v>
      </c>
      <c r="C1593" s="1">
        <v>41062.870127314818</v>
      </c>
      <c r="D1593" s="4" t="s">
        <v>1765</v>
      </c>
      <c r="E1593">
        <v>37000</v>
      </c>
      <c r="F1593" t="s">
        <v>69</v>
      </c>
      <c r="G1593">
        <f>tblSalaries[[#This Row],[clean Salary (in local currency)]]*VLOOKUP(tblSalaries[[#This Row],[Currency]],tblXrate[],2,FALSE)</f>
        <v>58318.59606648951</v>
      </c>
      <c r="H1593" t="s">
        <v>1766</v>
      </c>
      <c r="I1593" t="s">
        <v>20</v>
      </c>
      <c r="J1593" t="s">
        <v>71</v>
      </c>
      <c r="K1593" t="str">
        <f>VLOOKUP(tblSalaries[[#This Row],[Where do you work]],tblCountries[[Actual]:[Mapping]],2,FALSE)</f>
        <v>UK</v>
      </c>
      <c r="L1593" t="s">
        <v>9</v>
      </c>
      <c r="M1593">
        <v>9</v>
      </c>
      <c r="N1593" s="8" t="str">
        <f>VLOOKUP(K1593,tblCountries[],3,0)</f>
        <v>Europe</v>
      </c>
      <c r="O1593" s="8">
        <f>VLOOKUP(tblSalaries[[#This Row],[How many hours of a day you work on Excel]],tblHours,2,0)</f>
        <v>4</v>
      </c>
      <c r="P1593" s="8">
        <f>VLOOKUP(tblSalaries[[#This Row],[clean Country]],tblCountries[],5,0)</f>
        <v>1.3407315045719035</v>
      </c>
      <c r="Q1593" s="8">
        <f>IF($Q$1,tblSalaries[[#This Row],[PPP Factor]]*tblSalaries[[#This Row],[Salary in USD]],tblSalaries[[#This Row],[Salary in USD]])</f>
        <v>58318.59606648951</v>
      </c>
    </row>
    <row r="1594" spans="2:17" ht="15" customHeight="1" x14ac:dyDescent="0.25">
      <c r="B1594" t="s">
        <v>3597</v>
      </c>
      <c r="C1594" s="1">
        <v>41062.904652777775</v>
      </c>
      <c r="D1594" s="4" t="s">
        <v>1767</v>
      </c>
      <c r="E1594">
        <v>680000</v>
      </c>
      <c r="F1594" t="s">
        <v>40</v>
      </c>
      <c r="G1594">
        <f>tblSalaries[[#This Row],[clean Salary (in local currency)]]*VLOOKUP(tblSalaries[[#This Row],[Currency]],tblXrate[],2,FALSE)</f>
        <v>12109.383347460946</v>
      </c>
      <c r="H1594" t="s">
        <v>938</v>
      </c>
      <c r="I1594" t="s">
        <v>52</v>
      </c>
      <c r="J1594" t="s">
        <v>8</v>
      </c>
      <c r="K1594" t="str">
        <f>VLOOKUP(tblSalaries[[#This Row],[Where do you work]],tblCountries[[Actual]:[Mapping]],2,FALSE)</f>
        <v>India</v>
      </c>
      <c r="L1594" t="s">
        <v>25</v>
      </c>
      <c r="M1594">
        <v>2</v>
      </c>
      <c r="N1594" s="8" t="str">
        <f>VLOOKUP(K1594,tblCountries[],3,0)</f>
        <v>Asia</v>
      </c>
      <c r="O1594" s="8">
        <f>VLOOKUP(tblSalaries[[#This Row],[How many hours of a day you work on Excel]],tblHours,2,0)</f>
        <v>2</v>
      </c>
      <c r="P1594" s="8">
        <f>VLOOKUP(tblSalaries[[#This Row],[clean Country]],tblCountries[],5,0)</f>
        <v>13.098808879263672</v>
      </c>
      <c r="Q1594" s="8">
        <f>IF($Q$1,tblSalaries[[#This Row],[PPP Factor]]*tblSalaries[[#This Row],[Salary in USD]],tblSalaries[[#This Row],[Salary in USD]])</f>
        <v>12109.383347460946</v>
      </c>
    </row>
    <row r="1595" spans="2:17" ht="15" customHeight="1" x14ac:dyDescent="0.25">
      <c r="B1595" t="s">
        <v>3598</v>
      </c>
      <c r="C1595" s="1">
        <v>41062.939953703702</v>
      </c>
      <c r="D1595" s="4">
        <v>55000</v>
      </c>
      <c r="E1595">
        <v>55000</v>
      </c>
      <c r="F1595" t="s">
        <v>6</v>
      </c>
      <c r="G1595">
        <f>tblSalaries[[#This Row],[clean Salary (in local currency)]]*VLOOKUP(tblSalaries[[#This Row],[Currency]],tblXrate[],2,FALSE)</f>
        <v>55000</v>
      </c>
      <c r="H1595" t="s">
        <v>411</v>
      </c>
      <c r="I1595" t="s">
        <v>20</v>
      </c>
      <c r="J1595" t="s">
        <v>15</v>
      </c>
      <c r="K1595" t="str">
        <f>VLOOKUP(tblSalaries[[#This Row],[Where do you work]],tblCountries[[Actual]:[Mapping]],2,FALSE)</f>
        <v>USA</v>
      </c>
      <c r="L1595" t="s">
        <v>9</v>
      </c>
      <c r="M1595">
        <v>1</v>
      </c>
      <c r="N1595" s="8" t="str">
        <f>VLOOKUP(K1595,tblCountries[],3,0)</f>
        <v>North Amer.</v>
      </c>
      <c r="O1595" s="8">
        <f>VLOOKUP(tblSalaries[[#This Row],[How many hours of a day you work on Excel]],tblHours,2,0)</f>
        <v>4</v>
      </c>
      <c r="P1595" s="8">
        <f>VLOOKUP(tblSalaries[[#This Row],[clean Country]],tblCountries[],5,0)</f>
        <v>1</v>
      </c>
      <c r="Q1595" s="8">
        <f>IF($Q$1,tblSalaries[[#This Row],[PPP Factor]]*tblSalaries[[#This Row],[Salary in USD]],tblSalaries[[#This Row],[Salary in USD]])</f>
        <v>55000</v>
      </c>
    </row>
    <row r="1596" spans="2:17" ht="15" customHeight="1" x14ac:dyDescent="0.25">
      <c r="B1596" t="s">
        <v>3599</v>
      </c>
      <c r="C1596" s="1">
        <v>41062.943703703706</v>
      </c>
      <c r="D1596" s="4">
        <v>60000</v>
      </c>
      <c r="E1596">
        <v>60000</v>
      </c>
      <c r="F1596" t="s">
        <v>6</v>
      </c>
      <c r="G1596">
        <f>tblSalaries[[#This Row],[clean Salary (in local currency)]]*VLOOKUP(tblSalaries[[#This Row],[Currency]],tblXrate[],2,FALSE)</f>
        <v>60000</v>
      </c>
      <c r="H1596" t="s">
        <v>1768</v>
      </c>
      <c r="I1596" t="s">
        <v>52</v>
      </c>
      <c r="J1596" t="s">
        <v>726</v>
      </c>
      <c r="K1596" t="str">
        <f>VLOOKUP(tblSalaries[[#This Row],[Where do you work]],tblCountries[[Actual]:[Mapping]],2,FALSE)</f>
        <v>Indonesia</v>
      </c>
      <c r="L1596" t="s">
        <v>18</v>
      </c>
      <c r="M1596">
        <v>16</v>
      </c>
      <c r="N1596" s="8" t="str">
        <f>VLOOKUP(K1596,tblCountries[],3,0)</f>
        <v>Asia</v>
      </c>
      <c r="O1596" s="8">
        <f>VLOOKUP(tblSalaries[[#This Row],[How many hours of a day you work on Excel]],tblHours,2,0)</f>
        <v>3</v>
      </c>
      <c r="P1596" s="8">
        <f>VLOOKUP(tblSalaries[[#This Row],[clean Country]],tblCountries[],5,0)</f>
        <v>10.370124303471924</v>
      </c>
      <c r="Q1596" s="8">
        <f>IF($Q$1,tblSalaries[[#This Row],[PPP Factor]]*tblSalaries[[#This Row],[Salary in USD]],tblSalaries[[#This Row],[Salary in USD]])</f>
        <v>60000</v>
      </c>
    </row>
    <row r="1597" spans="2:17" ht="15" customHeight="1" x14ac:dyDescent="0.25">
      <c r="B1597" t="s">
        <v>3600</v>
      </c>
      <c r="C1597" s="1">
        <v>41063.065243055556</v>
      </c>
      <c r="D1597" s="4">
        <v>320000</v>
      </c>
      <c r="E1597">
        <v>320000</v>
      </c>
      <c r="F1597" t="s">
        <v>40</v>
      </c>
      <c r="G1597">
        <f>tblSalaries[[#This Row],[clean Salary (in local currency)]]*VLOOKUP(tblSalaries[[#This Row],[Currency]],tblXrate[],2,FALSE)</f>
        <v>5698.5333399816218</v>
      </c>
      <c r="H1597" t="s">
        <v>809</v>
      </c>
      <c r="I1597" t="s">
        <v>52</v>
      </c>
      <c r="J1597" t="s">
        <v>8</v>
      </c>
      <c r="K1597" t="str">
        <f>VLOOKUP(tblSalaries[[#This Row],[Where do you work]],tblCountries[[Actual]:[Mapping]],2,FALSE)</f>
        <v>India</v>
      </c>
      <c r="L1597" t="s">
        <v>9</v>
      </c>
      <c r="M1597">
        <v>5</v>
      </c>
      <c r="N1597" s="8" t="str">
        <f>VLOOKUP(K1597,tblCountries[],3,0)</f>
        <v>Asia</v>
      </c>
      <c r="O1597" s="8">
        <f>VLOOKUP(tblSalaries[[#This Row],[How many hours of a day you work on Excel]],tblHours,2,0)</f>
        <v>4</v>
      </c>
      <c r="P1597" s="8">
        <f>VLOOKUP(tblSalaries[[#This Row],[clean Country]],tblCountries[],5,0)</f>
        <v>13.098808879263672</v>
      </c>
      <c r="Q1597" s="8">
        <f>IF($Q$1,tblSalaries[[#This Row],[PPP Factor]]*tblSalaries[[#This Row],[Salary in USD]],tblSalaries[[#This Row],[Salary in USD]])</f>
        <v>5698.5333399816218</v>
      </c>
    </row>
    <row r="1598" spans="2:17" ht="15" customHeight="1" x14ac:dyDescent="0.25">
      <c r="B1598" t="s">
        <v>3601</v>
      </c>
      <c r="C1598" s="1">
        <v>41063.067164351851</v>
      </c>
      <c r="D1598" s="4" t="s">
        <v>1769</v>
      </c>
      <c r="E1598">
        <v>288000</v>
      </c>
      <c r="F1598" t="s">
        <v>3941</v>
      </c>
      <c r="G1598">
        <f>tblSalaries[[#This Row],[clean Salary (in local currency)]]*VLOOKUP(tblSalaries[[#This Row],[Currency]],tblXrate[],2,FALSE)</f>
        <v>9376.2513877177607</v>
      </c>
      <c r="H1598" t="s">
        <v>1770</v>
      </c>
      <c r="I1598" t="s">
        <v>279</v>
      </c>
      <c r="J1598" t="s">
        <v>1771</v>
      </c>
      <c r="K1598" t="str">
        <f>VLOOKUP(tblSalaries[[#This Row],[Where do you work]],tblCountries[[Actual]:[Mapping]],2,FALSE)</f>
        <v>Mauritius</v>
      </c>
      <c r="L1598" t="s">
        <v>9</v>
      </c>
      <c r="M1598">
        <v>7</v>
      </c>
      <c r="N1598" s="8" t="str">
        <f>VLOOKUP(K1598,tblCountries[],3,0)</f>
        <v>Africa</v>
      </c>
      <c r="O1598" s="8">
        <f>VLOOKUP(tblSalaries[[#This Row],[How many hours of a day you work on Excel]],tblHours,2,0)</f>
        <v>4</v>
      </c>
      <c r="P1598" s="8">
        <f>VLOOKUP(tblSalaries[[#This Row],[clean Country]],tblCountries[],5,0)</f>
        <v>3.2357228835094287</v>
      </c>
      <c r="Q1598" s="8">
        <f>IF($Q$1,tblSalaries[[#This Row],[PPP Factor]]*tblSalaries[[#This Row],[Salary in USD]],tblSalaries[[#This Row],[Salary in USD]])</f>
        <v>9376.2513877177607</v>
      </c>
    </row>
    <row r="1599" spans="2:17" ht="15" customHeight="1" x14ac:dyDescent="0.25">
      <c r="B1599" t="s">
        <v>3602</v>
      </c>
      <c r="C1599" s="1">
        <v>41063.088009259256</v>
      </c>
      <c r="D1599" s="4" t="s">
        <v>330</v>
      </c>
      <c r="E1599">
        <v>60000</v>
      </c>
      <c r="F1599" t="s">
        <v>69</v>
      </c>
      <c r="G1599">
        <f>tblSalaries[[#This Row],[clean Salary (in local currency)]]*VLOOKUP(tblSalaries[[#This Row],[Currency]],tblXrate[],2,FALSE)</f>
        <v>94570.696324037053</v>
      </c>
      <c r="H1599" t="s">
        <v>153</v>
      </c>
      <c r="I1599" t="s">
        <v>20</v>
      </c>
      <c r="J1599" t="s">
        <v>71</v>
      </c>
      <c r="K1599" t="str">
        <f>VLOOKUP(tblSalaries[[#This Row],[Where do you work]],tblCountries[[Actual]:[Mapping]],2,FALSE)</f>
        <v>UK</v>
      </c>
      <c r="L1599" t="s">
        <v>9</v>
      </c>
      <c r="M1599">
        <v>5</v>
      </c>
      <c r="N1599" s="8" t="str">
        <f>VLOOKUP(K1599,tblCountries[],3,0)</f>
        <v>Europe</v>
      </c>
      <c r="O1599" s="8">
        <f>VLOOKUP(tblSalaries[[#This Row],[How many hours of a day you work on Excel]],tblHours,2,0)</f>
        <v>4</v>
      </c>
      <c r="P1599" s="8">
        <f>VLOOKUP(tblSalaries[[#This Row],[clean Country]],tblCountries[],5,0)</f>
        <v>1.3407315045719035</v>
      </c>
      <c r="Q1599" s="8">
        <f>IF($Q$1,tblSalaries[[#This Row],[PPP Factor]]*tblSalaries[[#This Row],[Salary in USD]],tblSalaries[[#This Row],[Salary in USD]])</f>
        <v>94570.696324037053</v>
      </c>
    </row>
    <row r="1600" spans="2:17" ht="15" customHeight="1" x14ac:dyDescent="0.25">
      <c r="B1600" t="s">
        <v>3603</v>
      </c>
      <c r="C1600" s="1">
        <v>41063.121203703704</v>
      </c>
      <c r="D1600" s="4">
        <v>36000</v>
      </c>
      <c r="E1600">
        <v>36000</v>
      </c>
      <c r="F1600" t="s">
        <v>6</v>
      </c>
      <c r="G1600">
        <f>tblSalaries[[#This Row],[clean Salary (in local currency)]]*VLOOKUP(tblSalaries[[#This Row],[Currency]],tblXrate[],2,FALSE)</f>
        <v>36000</v>
      </c>
      <c r="H1600" t="s">
        <v>1772</v>
      </c>
      <c r="I1600" t="s">
        <v>356</v>
      </c>
      <c r="J1600" t="s">
        <v>1773</v>
      </c>
      <c r="K1600" t="str">
        <f>VLOOKUP(tblSalaries[[#This Row],[Where do you work]],tblCountries[[Actual]:[Mapping]],2,FALSE)</f>
        <v>Azerbaijan</v>
      </c>
      <c r="L1600" t="s">
        <v>9</v>
      </c>
      <c r="M1600">
        <v>5</v>
      </c>
      <c r="N1600" s="8" t="str">
        <f>VLOOKUP(K1600,tblCountries[],3,0)</f>
        <v>Europe</v>
      </c>
      <c r="O1600" s="8">
        <f>VLOOKUP(tblSalaries[[#This Row],[How many hours of a day you work on Excel]],tblHours,2,0)</f>
        <v>4</v>
      </c>
      <c r="P1600" s="8">
        <f>VLOOKUP(tblSalaries[[#This Row],[clean Country]],tblCountries[],5,0)</f>
        <v>4.7428935502842577</v>
      </c>
      <c r="Q1600" s="8">
        <f>IF($Q$1,tblSalaries[[#This Row],[PPP Factor]]*tblSalaries[[#This Row],[Salary in USD]],tblSalaries[[#This Row],[Salary in USD]])</f>
        <v>36000</v>
      </c>
    </row>
    <row r="1601" spans="2:17" ht="15" customHeight="1" x14ac:dyDescent="0.25">
      <c r="B1601" t="s">
        <v>3604</v>
      </c>
      <c r="C1601" s="1">
        <v>41063.17690972222</v>
      </c>
      <c r="D1601" s="4" t="s">
        <v>1774</v>
      </c>
      <c r="E1601">
        <v>3700000</v>
      </c>
      <c r="F1601" t="s">
        <v>40</v>
      </c>
      <c r="G1601">
        <f>tblSalaries[[#This Row],[clean Salary (in local currency)]]*VLOOKUP(tblSalaries[[#This Row],[Currency]],tblXrate[],2,FALSE)</f>
        <v>65889.291743537498</v>
      </c>
      <c r="H1601" t="s">
        <v>1775</v>
      </c>
      <c r="I1601" t="s">
        <v>52</v>
      </c>
      <c r="J1601" t="s">
        <v>8</v>
      </c>
      <c r="K1601" t="str">
        <f>VLOOKUP(tblSalaries[[#This Row],[Where do you work]],tblCountries[[Actual]:[Mapping]],2,FALSE)</f>
        <v>India</v>
      </c>
      <c r="L1601" t="s">
        <v>13</v>
      </c>
      <c r="M1601">
        <v>4</v>
      </c>
      <c r="N1601" s="8" t="str">
        <f>VLOOKUP(K1601,tblCountries[],3,0)</f>
        <v>Asia</v>
      </c>
      <c r="O1601" s="8">
        <f>VLOOKUP(tblSalaries[[#This Row],[How many hours of a day you work on Excel]],tblHours,2,0)</f>
        <v>5</v>
      </c>
      <c r="P1601" s="8">
        <f>VLOOKUP(tblSalaries[[#This Row],[clean Country]],tblCountries[],5,0)</f>
        <v>13.098808879263672</v>
      </c>
      <c r="Q1601" s="8">
        <f>IF($Q$1,tblSalaries[[#This Row],[PPP Factor]]*tblSalaries[[#This Row],[Salary in USD]],tblSalaries[[#This Row],[Salary in USD]])</f>
        <v>65889.291743537498</v>
      </c>
    </row>
    <row r="1602" spans="2:17" ht="15" customHeight="1" x14ac:dyDescent="0.25">
      <c r="B1602" t="s">
        <v>3605</v>
      </c>
      <c r="C1602" s="1">
        <v>41063.196458333332</v>
      </c>
      <c r="D1602" s="4">
        <v>106000</v>
      </c>
      <c r="E1602">
        <v>106000</v>
      </c>
      <c r="F1602" t="s">
        <v>6</v>
      </c>
      <c r="G1602">
        <f>tblSalaries[[#This Row],[clean Salary (in local currency)]]*VLOOKUP(tblSalaries[[#This Row],[Currency]],tblXrate[],2,FALSE)</f>
        <v>106000</v>
      </c>
      <c r="H1602" t="s">
        <v>1776</v>
      </c>
      <c r="I1602" t="s">
        <v>20</v>
      </c>
      <c r="J1602" t="s">
        <v>877</v>
      </c>
      <c r="K1602" t="str">
        <f>VLOOKUP(tblSalaries[[#This Row],[Where do you work]],tblCountries[[Actual]:[Mapping]],2,FALSE)</f>
        <v>Denmark</v>
      </c>
      <c r="L1602" t="s">
        <v>25</v>
      </c>
      <c r="M1602">
        <v>7</v>
      </c>
      <c r="N1602" s="8" t="str">
        <f>VLOOKUP(K1602,tblCountries[],3,0)</f>
        <v>Europe</v>
      </c>
      <c r="O1602" s="8">
        <f>VLOOKUP(tblSalaries[[#This Row],[How many hours of a day you work on Excel]],tblHours,2,0)</f>
        <v>2</v>
      </c>
      <c r="P1602" s="8">
        <f>VLOOKUP(tblSalaries[[#This Row],[clean Country]],tblCountries[],5,0)</f>
        <v>1.3024063307493541</v>
      </c>
      <c r="Q1602" s="8">
        <f>IF($Q$1,tblSalaries[[#This Row],[PPP Factor]]*tblSalaries[[#This Row],[Salary in USD]],tblSalaries[[#This Row],[Salary in USD]])</f>
        <v>106000</v>
      </c>
    </row>
    <row r="1603" spans="2:17" ht="15" customHeight="1" x14ac:dyDescent="0.25">
      <c r="B1603" t="s">
        <v>3606</v>
      </c>
      <c r="C1603" s="1">
        <v>41063.30332175926</v>
      </c>
      <c r="D1603" s="4" t="s">
        <v>1777</v>
      </c>
      <c r="E1603">
        <v>485000</v>
      </c>
      <c r="F1603" t="s">
        <v>1362</v>
      </c>
      <c r="G1603">
        <f>tblSalaries[[#This Row],[clean Salary (in local currency)]]*VLOOKUP(tblSalaries[[#This Row],[Currency]],tblXrate[],2,FALSE)</f>
        <v>82888.5550559455</v>
      </c>
      <c r="H1603" t="s">
        <v>488</v>
      </c>
      <c r="I1603" t="s">
        <v>488</v>
      </c>
      <c r="J1603" t="s">
        <v>877</v>
      </c>
      <c r="K1603" t="str">
        <f>VLOOKUP(tblSalaries[[#This Row],[Where do you work]],tblCountries[[Actual]:[Mapping]],2,FALSE)</f>
        <v>Denmark</v>
      </c>
      <c r="L1603" t="s">
        <v>9</v>
      </c>
      <c r="M1603">
        <v>18</v>
      </c>
      <c r="N1603" s="8" t="str">
        <f>VLOOKUP(K1603,tblCountries[],3,0)</f>
        <v>Europe</v>
      </c>
      <c r="O1603" s="8">
        <f>VLOOKUP(tblSalaries[[#This Row],[How many hours of a day you work on Excel]],tblHours,2,0)</f>
        <v>4</v>
      </c>
      <c r="P1603" s="8">
        <f>VLOOKUP(tblSalaries[[#This Row],[clean Country]],tblCountries[],5,0)</f>
        <v>1.3024063307493541</v>
      </c>
      <c r="Q1603" s="8">
        <f>IF($Q$1,tblSalaries[[#This Row],[PPP Factor]]*tblSalaries[[#This Row],[Salary in USD]],tblSalaries[[#This Row],[Salary in USD]])</f>
        <v>82888.5550559455</v>
      </c>
    </row>
    <row r="1604" spans="2:17" ht="15" customHeight="1" x14ac:dyDescent="0.25">
      <c r="B1604" t="s">
        <v>3607</v>
      </c>
      <c r="C1604" s="1">
        <v>41063.404629629629</v>
      </c>
      <c r="D1604" s="4">
        <v>75000</v>
      </c>
      <c r="E1604">
        <v>75000</v>
      </c>
      <c r="F1604" t="s">
        <v>670</v>
      </c>
      <c r="G1604">
        <f>tblSalaries[[#This Row],[clean Salary (in local currency)]]*VLOOKUP(tblSalaries[[#This Row],[Currency]],tblXrate[],2,FALSE)</f>
        <v>59819.107020370408</v>
      </c>
      <c r="H1604" t="s">
        <v>1778</v>
      </c>
      <c r="I1604" t="s">
        <v>20</v>
      </c>
      <c r="J1604" t="s">
        <v>1779</v>
      </c>
      <c r="K1604" t="str">
        <f>VLOOKUP(tblSalaries[[#This Row],[Where do you work]],tblCountries[[Actual]:[Mapping]],2,FALSE)</f>
        <v>New Zealand</v>
      </c>
      <c r="L1604" t="s">
        <v>18</v>
      </c>
      <c r="M1604">
        <v>10</v>
      </c>
      <c r="N1604" s="8" t="str">
        <f>VLOOKUP(K1604,tblCountries[],3,0)</f>
        <v>Oceania</v>
      </c>
      <c r="O1604" s="8">
        <f>VLOOKUP(tblSalaries[[#This Row],[How many hours of a day you work on Excel]],tblHours,2,0)</f>
        <v>3</v>
      </c>
      <c r="P1604" s="8">
        <f>VLOOKUP(tblSalaries[[#This Row],[clean Country]],tblCountries[],5,0)</f>
        <v>1.7488434292323261</v>
      </c>
      <c r="Q1604" s="8">
        <f>IF($Q$1,tblSalaries[[#This Row],[PPP Factor]]*tblSalaries[[#This Row],[Salary in USD]],tblSalaries[[#This Row],[Salary in USD]])</f>
        <v>59819.107020370408</v>
      </c>
    </row>
    <row r="1605" spans="2:17" ht="15" customHeight="1" x14ac:dyDescent="0.25">
      <c r="B1605" t="s">
        <v>3608</v>
      </c>
      <c r="C1605" s="1">
        <v>41063.424108796295</v>
      </c>
      <c r="D1605" s="4">
        <v>6545</v>
      </c>
      <c r="E1605">
        <v>6545</v>
      </c>
      <c r="F1605" t="s">
        <v>6</v>
      </c>
      <c r="G1605">
        <f>tblSalaries[[#This Row],[clean Salary (in local currency)]]*VLOOKUP(tblSalaries[[#This Row],[Currency]],tblXrate[],2,FALSE)</f>
        <v>6545</v>
      </c>
      <c r="H1605" t="s">
        <v>700</v>
      </c>
      <c r="I1605" t="s">
        <v>52</v>
      </c>
      <c r="J1605" t="s">
        <v>8</v>
      </c>
      <c r="K1605" t="str">
        <f>VLOOKUP(tblSalaries[[#This Row],[Where do you work]],tblCountries[[Actual]:[Mapping]],2,FALSE)</f>
        <v>India</v>
      </c>
      <c r="L1605" t="s">
        <v>13</v>
      </c>
      <c r="M1605">
        <v>9</v>
      </c>
      <c r="N1605" s="8" t="str">
        <f>VLOOKUP(K1605,tblCountries[],3,0)</f>
        <v>Asia</v>
      </c>
      <c r="O1605" s="8">
        <f>VLOOKUP(tblSalaries[[#This Row],[How many hours of a day you work on Excel]],tblHours,2,0)</f>
        <v>5</v>
      </c>
      <c r="P1605" s="8">
        <f>VLOOKUP(tblSalaries[[#This Row],[clean Country]],tblCountries[],5,0)</f>
        <v>13.098808879263672</v>
      </c>
      <c r="Q1605" s="8">
        <f>IF($Q$1,tblSalaries[[#This Row],[PPP Factor]]*tblSalaries[[#This Row],[Salary in USD]],tblSalaries[[#This Row],[Salary in USD]])</f>
        <v>6545</v>
      </c>
    </row>
    <row r="1606" spans="2:17" ht="15" customHeight="1" x14ac:dyDescent="0.25">
      <c r="B1606" t="s">
        <v>3609</v>
      </c>
      <c r="C1606" s="1">
        <v>41063.506562499999</v>
      </c>
      <c r="D1606" s="4" t="s">
        <v>1780</v>
      </c>
      <c r="E1606">
        <v>1000000</v>
      </c>
      <c r="F1606" t="s">
        <v>40</v>
      </c>
      <c r="G1606">
        <f>tblSalaries[[#This Row],[clean Salary (in local currency)]]*VLOOKUP(tblSalaries[[#This Row],[Currency]],tblXrate[],2,FALSE)</f>
        <v>17807.916687442568</v>
      </c>
      <c r="H1606" t="s">
        <v>1781</v>
      </c>
      <c r="I1606" t="s">
        <v>52</v>
      </c>
      <c r="J1606" t="s">
        <v>8</v>
      </c>
      <c r="K1606" t="str">
        <f>VLOOKUP(tblSalaries[[#This Row],[Where do you work]],tblCountries[[Actual]:[Mapping]],2,FALSE)</f>
        <v>India</v>
      </c>
      <c r="L1606" t="s">
        <v>18</v>
      </c>
      <c r="M1606">
        <v>13</v>
      </c>
      <c r="N1606" s="8" t="str">
        <f>VLOOKUP(K1606,tblCountries[],3,0)</f>
        <v>Asia</v>
      </c>
      <c r="O1606" s="8">
        <f>VLOOKUP(tblSalaries[[#This Row],[How many hours of a day you work on Excel]],tblHours,2,0)</f>
        <v>3</v>
      </c>
      <c r="P1606" s="8">
        <f>VLOOKUP(tblSalaries[[#This Row],[clean Country]],tblCountries[],5,0)</f>
        <v>13.098808879263672</v>
      </c>
      <c r="Q1606" s="8">
        <f>IF($Q$1,tblSalaries[[#This Row],[PPP Factor]]*tblSalaries[[#This Row],[Salary in USD]],tblSalaries[[#This Row],[Salary in USD]])</f>
        <v>17807.916687442568</v>
      </c>
    </row>
    <row r="1607" spans="2:17" ht="15" customHeight="1" x14ac:dyDescent="0.25">
      <c r="B1607" t="s">
        <v>3610</v>
      </c>
      <c r="C1607" s="1">
        <v>41063.511284722219</v>
      </c>
      <c r="D1607" s="4">
        <v>54000</v>
      </c>
      <c r="E1607">
        <v>54000</v>
      </c>
      <c r="F1607" t="s">
        <v>6</v>
      </c>
      <c r="G1607">
        <f>tblSalaries[[#This Row],[clean Salary (in local currency)]]*VLOOKUP(tblSalaries[[#This Row],[Currency]],tblXrate[],2,FALSE)</f>
        <v>54000</v>
      </c>
      <c r="H1607" t="s">
        <v>1782</v>
      </c>
      <c r="I1607" t="s">
        <v>4001</v>
      </c>
      <c r="J1607" t="s">
        <v>15</v>
      </c>
      <c r="K1607" t="str">
        <f>VLOOKUP(tblSalaries[[#This Row],[Where do you work]],tblCountries[[Actual]:[Mapping]],2,FALSE)</f>
        <v>USA</v>
      </c>
      <c r="L1607" t="s">
        <v>9</v>
      </c>
      <c r="M1607">
        <v>10</v>
      </c>
      <c r="N1607" s="8" t="str">
        <f>VLOOKUP(K1607,tblCountries[],3,0)</f>
        <v>North Amer.</v>
      </c>
      <c r="O1607" s="8">
        <f>VLOOKUP(tblSalaries[[#This Row],[How many hours of a day you work on Excel]],tblHours,2,0)</f>
        <v>4</v>
      </c>
      <c r="P1607" s="8">
        <f>VLOOKUP(tblSalaries[[#This Row],[clean Country]],tblCountries[],5,0)</f>
        <v>1</v>
      </c>
      <c r="Q1607" s="8">
        <f>IF($Q$1,tblSalaries[[#This Row],[PPP Factor]]*tblSalaries[[#This Row],[Salary in USD]],tblSalaries[[#This Row],[Salary in USD]])</f>
        <v>54000</v>
      </c>
    </row>
    <row r="1608" spans="2:17" ht="15" customHeight="1" x14ac:dyDescent="0.25">
      <c r="B1608" t="s">
        <v>3611</v>
      </c>
      <c r="C1608" s="1">
        <v>41063.518831018519</v>
      </c>
      <c r="D1608" s="4">
        <v>100000</v>
      </c>
      <c r="E1608">
        <v>100000</v>
      </c>
      <c r="F1608" t="s">
        <v>6</v>
      </c>
      <c r="G1608">
        <f>tblSalaries[[#This Row],[clean Salary (in local currency)]]*VLOOKUP(tblSalaries[[#This Row],[Currency]],tblXrate[],2,FALSE)</f>
        <v>100000</v>
      </c>
      <c r="H1608" t="s">
        <v>356</v>
      </c>
      <c r="I1608" t="s">
        <v>356</v>
      </c>
      <c r="J1608" t="s">
        <v>15</v>
      </c>
      <c r="K1608" t="str">
        <f>VLOOKUP(tblSalaries[[#This Row],[Where do you work]],tblCountries[[Actual]:[Mapping]],2,FALSE)</f>
        <v>USA</v>
      </c>
      <c r="L1608" t="s">
        <v>18</v>
      </c>
      <c r="M1608">
        <v>4</v>
      </c>
      <c r="N1608" s="8" t="str">
        <f>VLOOKUP(K1608,tblCountries[],3,0)</f>
        <v>North Amer.</v>
      </c>
      <c r="O1608" s="8">
        <f>VLOOKUP(tblSalaries[[#This Row],[How many hours of a day you work on Excel]],tblHours,2,0)</f>
        <v>3</v>
      </c>
      <c r="P1608" s="8">
        <f>VLOOKUP(tblSalaries[[#This Row],[clean Country]],tblCountries[],5,0)</f>
        <v>1</v>
      </c>
      <c r="Q1608" s="8">
        <f>IF($Q$1,tblSalaries[[#This Row],[PPP Factor]]*tblSalaries[[#This Row],[Salary in USD]],tblSalaries[[#This Row],[Salary in USD]])</f>
        <v>100000</v>
      </c>
    </row>
    <row r="1609" spans="2:17" ht="15" customHeight="1" x14ac:dyDescent="0.25">
      <c r="B1609" t="s">
        <v>3612</v>
      </c>
      <c r="C1609" s="1">
        <v>41063.563043981485</v>
      </c>
      <c r="D1609" s="4">
        <v>50000</v>
      </c>
      <c r="E1609">
        <v>50000</v>
      </c>
      <c r="F1609" t="s">
        <v>86</v>
      </c>
      <c r="G1609">
        <f>tblSalaries[[#This Row],[clean Salary (in local currency)]]*VLOOKUP(tblSalaries[[#This Row],[Currency]],tblXrate[],2,FALSE)</f>
        <v>49168.076151516347</v>
      </c>
      <c r="H1609" t="s">
        <v>955</v>
      </c>
      <c r="I1609" t="s">
        <v>20</v>
      </c>
      <c r="J1609" t="s">
        <v>88</v>
      </c>
      <c r="K1609" t="str">
        <f>VLOOKUP(tblSalaries[[#This Row],[Where do you work]],tblCountries[[Actual]:[Mapping]],2,FALSE)</f>
        <v>Canada</v>
      </c>
      <c r="L1609" t="s">
        <v>9</v>
      </c>
      <c r="M1609">
        <v>5</v>
      </c>
      <c r="N1609" s="8" t="str">
        <f>VLOOKUP(K1609,tblCountries[],3,0)</f>
        <v>North Amer.</v>
      </c>
      <c r="O1609" s="8">
        <f>VLOOKUP(tblSalaries[[#This Row],[How many hours of a day you work on Excel]],tblHours,2,0)</f>
        <v>4</v>
      </c>
      <c r="P1609" s="8">
        <f>VLOOKUP(tblSalaries[[#This Row],[clean Country]],tblCountries[],5,0)</f>
        <v>1.1935324732986359</v>
      </c>
      <c r="Q1609" s="8">
        <f>IF($Q$1,tblSalaries[[#This Row],[PPP Factor]]*tblSalaries[[#This Row],[Salary in USD]],tblSalaries[[#This Row],[Salary in USD]])</f>
        <v>49168.076151516347</v>
      </c>
    </row>
    <row r="1610" spans="2:17" ht="15" customHeight="1" x14ac:dyDescent="0.25">
      <c r="B1610" t="s">
        <v>3613</v>
      </c>
      <c r="C1610" s="1">
        <v>41063.602418981478</v>
      </c>
      <c r="D1610" s="4">
        <v>4019</v>
      </c>
      <c r="E1610">
        <v>4019</v>
      </c>
      <c r="F1610" t="s">
        <v>6</v>
      </c>
      <c r="G1610">
        <f>tblSalaries[[#This Row],[clean Salary (in local currency)]]*VLOOKUP(tblSalaries[[#This Row],[Currency]],tblXrate[],2,FALSE)</f>
        <v>4019</v>
      </c>
      <c r="H1610" t="s">
        <v>1783</v>
      </c>
      <c r="I1610" t="s">
        <v>67</v>
      </c>
      <c r="J1610" t="s">
        <v>347</v>
      </c>
      <c r="K1610" t="str">
        <f>VLOOKUP(tblSalaries[[#This Row],[Where do you work]],tblCountries[[Actual]:[Mapping]],2,FALSE)</f>
        <v>Philippines</v>
      </c>
      <c r="L1610" t="s">
        <v>18</v>
      </c>
      <c r="M1610">
        <v>3</v>
      </c>
      <c r="N1610" s="8" t="str">
        <f>VLOOKUP(K1610,tblCountries[],3,0)</f>
        <v>Asia</v>
      </c>
      <c r="O1610" s="8">
        <f>VLOOKUP(tblSalaries[[#This Row],[How many hours of a day you work on Excel]],tblHours,2,0)</f>
        <v>3</v>
      </c>
      <c r="P1610" s="8">
        <f>VLOOKUP(tblSalaries[[#This Row],[clean Country]],tblCountries[],5,0)</f>
        <v>11.879941075374417</v>
      </c>
      <c r="Q1610" s="8">
        <f>IF($Q$1,tblSalaries[[#This Row],[PPP Factor]]*tblSalaries[[#This Row],[Salary in USD]],tblSalaries[[#This Row],[Salary in USD]])</f>
        <v>4019</v>
      </c>
    </row>
    <row r="1611" spans="2:17" ht="15" customHeight="1" x14ac:dyDescent="0.25">
      <c r="B1611" t="s">
        <v>3614</v>
      </c>
      <c r="C1611" s="1">
        <v>41063.607592592591</v>
      </c>
      <c r="D1611" s="4">
        <v>15000</v>
      </c>
      <c r="E1611">
        <v>15000</v>
      </c>
      <c r="F1611" t="s">
        <v>6</v>
      </c>
      <c r="G1611">
        <f>tblSalaries[[#This Row],[clean Salary (in local currency)]]*VLOOKUP(tblSalaries[[#This Row],[Currency]],tblXrate[],2,FALSE)</f>
        <v>15000</v>
      </c>
      <c r="H1611" t="s">
        <v>1784</v>
      </c>
      <c r="I1611" t="s">
        <v>20</v>
      </c>
      <c r="J1611" t="s">
        <v>17</v>
      </c>
      <c r="K1611" t="str">
        <f>VLOOKUP(tblSalaries[[#This Row],[Where do you work]],tblCountries[[Actual]:[Mapping]],2,FALSE)</f>
        <v>Pakistan</v>
      </c>
      <c r="L1611" t="s">
        <v>9</v>
      </c>
      <c r="M1611">
        <v>5</v>
      </c>
      <c r="N1611" s="8" t="str">
        <f>VLOOKUP(K1611,tblCountries[],3,0)</f>
        <v>Asia</v>
      </c>
      <c r="O1611" s="8">
        <f>VLOOKUP(tblSalaries[[#This Row],[How many hours of a day you work on Excel]],tblHours,2,0)</f>
        <v>4</v>
      </c>
      <c r="P1611" s="8">
        <f>VLOOKUP(tblSalaries[[#This Row],[clean Country]],tblCountries[],5,0)</f>
        <v>17.361679224973088</v>
      </c>
      <c r="Q1611" s="8">
        <f>IF($Q$1,tblSalaries[[#This Row],[PPP Factor]]*tblSalaries[[#This Row],[Salary in USD]],tblSalaries[[#This Row],[Salary in USD]])</f>
        <v>15000</v>
      </c>
    </row>
    <row r="1612" spans="2:17" ht="15" customHeight="1" x14ac:dyDescent="0.25">
      <c r="B1612" t="s">
        <v>3615</v>
      </c>
      <c r="C1612" s="1">
        <v>41063.619687500002</v>
      </c>
      <c r="D1612" s="4" t="s">
        <v>395</v>
      </c>
      <c r="E1612">
        <v>1000000</v>
      </c>
      <c r="F1612" t="s">
        <v>40</v>
      </c>
      <c r="G1612">
        <f>tblSalaries[[#This Row],[clean Salary (in local currency)]]*VLOOKUP(tblSalaries[[#This Row],[Currency]],tblXrate[],2,FALSE)</f>
        <v>17807.916687442568</v>
      </c>
      <c r="H1612" t="s">
        <v>1785</v>
      </c>
      <c r="I1612" t="s">
        <v>20</v>
      </c>
      <c r="J1612" t="s">
        <v>8</v>
      </c>
      <c r="K1612" t="str">
        <f>VLOOKUP(tblSalaries[[#This Row],[Where do you work]],tblCountries[[Actual]:[Mapping]],2,FALSE)</f>
        <v>India</v>
      </c>
      <c r="L1612" t="s">
        <v>13</v>
      </c>
      <c r="M1612">
        <v>4</v>
      </c>
      <c r="N1612" s="8" t="str">
        <f>VLOOKUP(K1612,tblCountries[],3,0)</f>
        <v>Asia</v>
      </c>
      <c r="O1612" s="8">
        <f>VLOOKUP(tblSalaries[[#This Row],[How many hours of a day you work on Excel]],tblHours,2,0)</f>
        <v>5</v>
      </c>
      <c r="P1612" s="8">
        <f>VLOOKUP(tblSalaries[[#This Row],[clean Country]],tblCountries[],5,0)</f>
        <v>13.098808879263672</v>
      </c>
      <c r="Q1612" s="8">
        <f>IF($Q$1,tblSalaries[[#This Row],[PPP Factor]]*tblSalaries[[#This Row],[Salary in USD]],tblSalaries[[#This Row],[Salary in USD]])</f>
        <v>17807.916687442568</v>
      </c>
    </row>
    <row r="1613" spans="2:17" ht="15" customHeight="1" x14ac:dyDescent="0.25">
      <c r="B1613" t="s">
        <v>3616</v>
      </c>
      <c r="C1613" s="1">
        <v>41063.700624999998</v>
      </c>
      <c r="D1613" s="4">
        <v>12000</v>
      </c>
      <c r="E1613">
        <v>12000</v>
      </c>
      <c r="F1613" t="s">
        <v>6</v>
      </c>
      <c r="G1613">
        <f>tblSalaries[[#This Row],[clean Salary (in local currency)]]*VLOOKUP(tblSalaries[[#This Row],[Currency]],tblXrate[],2,FALSE)</f>
        <v>12000</v>
      </c>
      <c r="H1613" t="s">
        <v>1786</v>
      </c>
      <c r="I1613" t="s">
        <v>3999</v>
      </c>
      <c r="J1613" t="s">
        <v>8</v>
      </c>
      <c r="K1613" t="str">
        <f>VLOOKUP(tblSalaries[[#This Row],[Where do you work]],tblCountries[[Actual]:[Mapping]],2,FALSE)</f>
        <v>India</v>
      </c>
      <c r="L1613" t="s">
        <v>13</v>
      </c>
      <c r="M1613">
        <v>3</v>
      </c>
      <c r="N1613" s="8" t="str">
        <f>VLOOKUP(K1613,tblCountries[],3,0)</f>
        <v>Asia</v>
      </c>
      <c r="O1613" s="8">
        <f>VLOOKUP(tblSalaries[[#This Row],[How many hours of a day you work on Excel]],tblHours,2,0)</f>
        <v>5</v>
      </c>
      <c r="P1613" s="8">
        <f>VLOOKUP(tblSalaries[[#This Row],[clean Country]],tblCountries[],5,0)</f>
        <v>13.098808879263672</v>
      </c>
      <c r="Q1613" s="8">
        <f>IF($Q$1,tblSalaries[[#This Row],[PPP Factor]]*tblSalaries[[#This Row],[Salary in USD]],tblSalaries[[#This Row],[Salary in USD]])</f>
        <v>12000</v>
      </c>
    </row>
    <row r="1614" spans="2:17" ht="15" customHeight="1" x14ac:dyDescent="0.25">
      <c r="B1614" t="s">
        <v>3617</v>
      </c>
      <c r="C1614" s="1">
        <v>41063.735578703701</v>
      </c>
      <c r="D1614" s="4" t="s">
        <v>1787</v>
      </c>
      <c r="E1614">
        <v>125000</v>
      </c>
      <c r="F1614" t="s">
        <v>40</v>
      </c>
      <c r="G1614">
        <f>tblSalaries[[#This Row],[clean Salary (in local currency)]]*VLOOKUP(tblSalaries[[#This Row],[Currency]],tblXrate[],2,FALSE)</f>
        <v>2225.989585930321</v>
      </c>
      <c r="H1614" t="s">
        <v>1788</v>
      </c>
      <c r="I1614" t="s">
        <v>20</v>
      </c>
      <c r="J1614" t="s">
        <v>8</v>
      </c>
      <c r="K1614" t="str">
        <f>VLOOKUP(tblSalaries[[#This Row],[Where do you work]],tblCountries[[Actual]:[Mapping]],2,FALSE)</f>
        <v>India</v>
      </c>
      <c r="L1614" t="s">
        <v>18</v>
      </c>
      <c r="M1614">
        <v>4</v>
      </c>
      <c r="N1614" s="8" t="str">
        <f>VLOOKUP(K1614,tblCountries[],3,0)</f>
        <v>Asia</v>
      </c>
      <c r="O1614" s="8">
        <f>VLOOKUP(tblSalaries[[#This Row],[How many hours of a day you work on Excel]],tblHours,2,0)</f>
        <v>3</v>
      </c>
      <c r="P1614" s="8">
        <f>VLOOKUP(tblSalaries[[#This Row],[clean Country]],tblCountries[],5,0)</f>
        <v>13.098808879263672</v>
      </c>
      <c r="Q1614" s="8">
        <f>IF($Q$1,tblSalaries[[#This Row],[PPP Factor]]*tblSalaries[[#This Row],[Salary in USD]],tblSalaries[[#This Row],[Salary in USD]])</f>
        <v>2225.989585930321</v>
      </c>
    </row>
    <row r="1615" spans="2:17" ht="15" customHeight="1" x14ac:dyDescent="0.25">
      <c r="B1615" t="s">
        <v>3618</v>
      </c>
      <c r="C1615" s="1">
        <v>41063.819652777776</v>
      </c>
      <c r="D1615" s="4">
        <v>86000</v>
      </c>
      <c r="E1615">
        <v>86000</v>
      </c>
      <c r="F1615" t="s">
        <v>6</v>
      </c>
      <c r="G1615">
        <f>tblSalaries[[#This Row],[clean Salary (in local currency)]]*VLOOKUP(tblSalaries[[#This Row],[Currency]],tblXrate[],2,FALSE)</f>
        <v>86000</v>
      </c>
      <c r="H1615" t="s">
        <v>20</v>
      </c>
      <c r="I1615" t="s">
        <v>20</v>
      </c>
      <c r="J1615" t="s">
        <v>347</v>
      </c>
      <c r="K1615" t="str">
        <f>VLOOKUP(tblSalaries[[#This Row],[Where do you work]],tblCountries[[Actual]:[Mapping]],2,FALSE)</f>
        <v>Philippines</v>
      </c>
      <c r="L1615" t="s">
        <v>13</v>
      </c>
      <c r="M1615">
        <v>3</v>
      </c>
      <c r="N1615" s="8" t="str">
        <f>VLOOKUP(K1615,tblCountries[],3,0)</f>
        <v>Asia</v>
      </c>
      <c r="O1615" s="8">
        <f>VLOOKUP(tblSalaries[[#This Row],[How many hours of a day you work on Excel]],tblHours,2,0)</f>
        <v>5</v>
      </c>
      <c r="P1615" s="8">
        <f>VLOOKUP(tblSalaries[[#This Row],[clean Country]],tblCountries[],5,0)</f>
        <v>11.879941075374417</v>
      </c>
      <c r="Q1615" s="8">
        <f>IF($Q$1,tblSalaries[[#This Row],[PPP Factor]]*tblSalaries[[#This Row],[Salary in USD]],tblSalaries[[#This Row],[Salary in USD]])</f>
        <v>86000</v>
      </c>
    </row>
    <row r="1616" spans="2:17" ht="15" customHeight="1" x14ac:dyDescent="0.25">
      <c r="B1616" t="s">
        <v>3619</v>
      </c>
      <c r="C1616" s="1">
        <v>41064.072951388887</v>
      </c>
      <c r="D1616" s="4">
        <v>340000</v>
      </c>
      <c r="E1616">
        <v>340000</v>
      </c>
      <c r="F1616" t="s">
        <v>40</v>
      </c>
      <c r="G1616">
        <f>tblSalaries[[#This Row],[clean Salary (in local currency)]]*VLOOKUP(tblSalaries[[#This Row],[Currency]],tblXrate[],2,FALSE)</f>
        <v>6054.6916737304728</v>
      </c>
      <c r="H1616" t="s">
        <v>1022</v>
      </c>
      <c r="I1616" t="s">
        <v>52</v>
      </c>
      <c r="J1616" t="s">
        <v>8</v>
      </c>
      <c r="K1616" t="str">
        <f>VLOOKUP(tblSalaries[[#This Row],[Where do you work]],tblCountries[[Actual]:[Mapping]],2,FALSE)</f>
        <v>India</v>
      </c>
      <c r="L1616" t="s">
        <v>9</v>
      </c>
      <c r="M1616">
        <v>5</v>
      </c>
      <c r="N1616" s="8" t="str">
        <f>VLOOKUP(K1616,tblCountries[],3,0)</f>
        <v>Asia</v>
      </c>
      <c r="O1616" s="8">
        <f>VLOOKUP(tblSalaries[[#This Row],[How many hours of a day you work on Excel]],tblHours,2,0)</f>
        <v>4</v>
      </c>
      <c r="P1616" s="8">
        <f>VLOOKUP(tblSalaries[[#This Row],[clean Country]],tblCountries[],5,0)</f>
        <v>13.098808879263672</v>
      </c>
      <c r="Q1616" s="8">
        <f>IF($Q$1,tblSalaries[[#This Row],[PPP Factor]]*tblSalaries[[#This Row],[Salary in USD]],tblSalaries[[#This Row],[Salary in USD]])</f>
        <v>6054.6916737304728</v>
      </c>
    </row>
    <row r="1617" spans="2:17" ht="15" customHeight="1" x14ac:dyDescent="0.25">
      <c r="B1617" t="s">
        <v>3620</v>
      </c>
      <c r="C1617" s="1">
        <v>41064.086030092592</v>
      </c>
      <c r="D1617" s="4" t="s">
        <v>1789</v>
      </c>
      <c r="E1617">
        <v>3360</v>
      </c>
      <c r="F1617" t="s">
        <v>6</v>
      </c>
      <c r="G1617">
        <f>tblSalaries[[#This Row],[clean Salary (in local currency)]]*VLOOKUP(tblSalaries[[#This Row],[Currency]],tblXrate[],2,FALSE)</f>
        <v>3360</v>
      </c>
      <c r="H1617" t="s">
        <v>1790</v>
      </c>
      <c r="I1617" t="s">
        <v>20</v>
      </c>
      <c r="J1617" t="s">
        <v>8</v>
      </c>
      <c r="K1617" t="str">
        <f>VLOOKUP(tblSalaries[[#This Row],[Where do you work]],tblCountries[[Actual]:[Mapping]],2,FALSE)</f>
        <v>India</v>
      </c>
      <c r="L1617" t="s">
        <v>25</v>
      </c>
      <c r="M1617">
        <v>3</v>
      </c>
      <c r="N1617" s="8" t="str">
        <f>VLOOKUP(K1617,tblCountries[],3,0)</f>
        <v>Asia</v>
      </c>
      <c r="O1617" s="8">
        <f>VLOOKUP(tblSalaries[[#This Row],[How many hours of a day you work on Excel]],tblHours,2,0)</f>
        <v>2</v>
      </c>
      <c r="P1617" s="8">
        <f>VLOOKUP(tblSalaries[[#This Row],[clean Country]],tblCountries[],5,0)</f>
        <v>13.098808879263672</v>
      </c>
      <c r="Q1617" s="8">
        <f>IF($Q$1,tblSalaries[[#This Row],[PPP Factor]]*tblSalaries[[#This Row],[Salary in USD]],tblSalaries[[#This Row],[Salary in USD]])</f>
        <v>3360</v>
      </c>
    </row>
    <row r="1618" spans="2:17" ht="15" customHeight="1" x14ac:dyDescent="0.25">
      <c r="B1618" t="s">
        <v>3621</v>
      </c>
      <c r="C1618" s="1">
        <v>41064.10429398148</v>
      </c>
      <c r="D1618" s="4">
        <v>10000</v>
      </c>
      <c r="E1618">
        <v>10000</v>
      </c>
      <c r="F1618" t="s">
        <v>6</v>
      </c>
      <c r="G1618">
        <f>tblSalaries[[#This Row],[clean Salary (in local currency)]]*VLOOKUP(tblSalaries[[#This Row],[Currency]],tblXrate[],2,FALSE)</f>
        <v>10000</v>
      </c>
      <c r="H1618" t="s">
        <v>452</v>
      </c>
      <c r="I1618" t="s">
        <v>4001</v>
      </c>
      <c r="J1618" t="s">
        <v>8</v>
      </c>
      <c r="K1618" t="str">
        <f>VLOOKUP(tblSalaries[[#This Row],[Where do you work]],tblCountries[[Actual]:[Mapping]],2,FALSE)</f>
        <v>India</v>
      </c>
      <c r="L1618" t="s">
        <v>13</v>
      </c>
      <c r="M1618">
        <v>1</v>
      </c>
      <c r="N1618" s="8" t="str">
        <f>VLOOKUP(K1618,tblCountries[],3,0)</f>
        <v>Asia</v>
      </c>
      <c r="O1618" s="8">
        <f>VLOOKUP(tblSalaries[[#This Row],[How many hours of a day you work on Excel]],tblHours,2,0)</f>
        <v>5</v>
      </c>
      <c r="P1618" s="8">
        <f>VLOOKUP(tblSalaries[[#This Row],[clean Country]],tblCountries[],5,0)</f>
        <v>13.098808879263672</v>
      </c>
      <c r="Q1618" s="8">
        <f>IF($Q$1,tblSalaries[[#This Row],[PPP Factor]]*tblSalaries[[#This Row],[Salary in USD]],tblSalaries[[#This Row],[Salary in USD]])</f>
        <v>10000</v>
      </c>
    </row>
    <row r="1619" spans="2:17" ht="15" customHeight="1" x14ac:dyDescent="0.25">
      <c r="B1619" t="s">
        <v>3622</v>
      </c>
      <c r="C1619" s="1">
        <v>41064.188807870371</v>
      </c>
      <c r="D1619" s="4">
        <v>70000</v>
      </c>
      <c r="E1619">
        <v>70000</v>
      </c>
      <c r="F1619" t="s">
        <v>6</v>
      </c>
      <c r="G1619">
        <f>tblSalaries[[#This Row],[clean Salary (in local currency)]]*VLOOKUP(tblSalaries[[#This Row],[Currency]],tblXrate[],2,FALSE)</f>
        <v>70000</v>
      </c>
      <c r="H1619" t="s">
        <v>1791</v>
      </c>
      <c r="I1619" t="s">
        <v>20</v>
      </c>
      <c r="J1619" t="s">
        <v>15</v>
      </c>
      <c r="K1619" t="str">
        <f>VLOOKUP(tblSalaries[[#This Row],[Where do you work]],tblCountries[[Actual]:[Mapping]],2,FALSE)</f>
        <v>USA</v>
      </c>
      <c r="L1619" t="s">
        <v>9</v>
      </c>
      <c r="M1619">
        <v>9</v>
      </c>
      <c r="N1619" s="8" t="str">
        <f>VLOOKUP(K1619,tblCountries[],3,0)</f>
        <v>North Amer.</v>
      </c>
      <c r="O1619" s="8">
        <f>VLOOKUP(tblSalaries[[#This Row],[How many hours of a day you work on Excel]],tblHours,2,0)</f>
        <v>4</v>
      </c>
      <c r="P1619" s="8">
        <f>VLOOKUP(tblSalaries[[#This Row],[clean Country]],tblCountries[],5,0)</f>
        <v>1</v>
      </c>
      <c r="Q1619" s="8">
        <f>IF($Q$1,tblSalaries[[#This Row],[PPP Factor]]*tblSalaries[[#This Row],[Salary in USD]],tblSalaries[[#This Row],[Salary in USD]])</f>
        <v>70000</v>
      </c>
    </row>
    <row r="1620" spans="2:17" ht="15" customHeight="1" x14ac:dyDescent="0.25">
      <c r="B1620" t="s">
        <v>3623</v>
      </c>
      <c r="C1620" s="1">
        <v>41064.409537037034</v>
      </c>
      <c r="D1620" s="4">
        <v>155000</v>
      </c>
      <c r="E1620">
        <v>155000</v>
      </c>
      <c r="F1620" t="s">
        <v>6</v>
      </c>
      <c r="G1620">
        <f>tblSalaries[[#This Row],[clean Salary (in local currency)]]*VLOOKUP(tblSalaries[[#This Row],[Currency]],tblXrate[],2,FALSE)</f>
        <v>155000</v>
      </c>
      <c r="H1620" t="s">
        <v>1792</v>
      </c>
      <c r="I1620" t="s">
        <v>52</v>
      </c>
      <c r="J1620" t="s">
        <v>15</v>
      </c>
      <c r="K1620" t="str">
        <f>VLOOKUP(tblSalaries[[#This Row],[Where do you work]],tblCountries[[Actual]:[Mapping]],2,FALSE)</f>
        <v>USA</v>
      </c>
      <c r="L1620" t="s">
        <v>25</v>
      </c>
      <c r="M1620">
        <v>14</v>
      </c>
      <c r="N1620" s="8" t="str">
        <f>VLOOKUP(K1620,tblCountries[],3,0)</f>
        <v>North Amer.</v>
      </c>
      <c r="O1620" s="8">
        <f>VLOOKUP(tblSalaries[[#This Row],[How many hours of a day you work on Excel]],tblHours,2,0)</f>
        <v>2</v>
      </c>
      <c r="P1620" s="8">
        <f>VLOOKUP(tblSalaries[[#This Row],[clean Country]],tblCountries[],5,0)</f>
        <v>1</v>
      </c>
      <c r="Q1620" s="8">
        <f>IF($Q$1,tblSalaries[[#This Row],[PPP Factor]]*tblSalaries[[#This Row],[Salary in USD]],tblSalaries[[#This Row],[Salary in USD]])</f>
        <v>155000</v>
      </c>
    </row>
    <row r="1621" spans="2:17" ht="15" customHeight="1" x14ac:dyDescent="0.25">
      <c r="B1621" t="s">
        <v>3624</v>
      </c>
      <c r="C1621" s="1">
        <v>41064.432951388888</v>
      </c>
      <c r="D1621" s="4">
        <v>225000</v>
      </c>
      <c r="E1621">
        <v>225000</v>
      </c>
      <c r="F1621" t="s">
        <v>6</v>
      </c>
      <c r="G1621">
        <f>tblSalaries[[#This Row],[clean Salary (in local currency)]]*VLOOKUP(tblSalaries[[#This Row],[Currency]],tblXrate[],2,FALSE)</f>
        <v>225000</v>
      </c>
      <c r="H1621" t="s">
        <v>1793</v>
      </c>
      <c r="I1621" t="s">
        <v>4001</v>
      </c>
      <c r="J1621" t="s">
        <v>15</v>
      </c>
      <c r="K1621" t="str">
        <f>VLOOKUP(tblSalaries[[#This Row],[Where do you work]],tblCountries[[Actual]:[Mapping]],2,FALSE)</f>
        <v>USA</v>
      </c>
      <c r="L1621" t="s">
        <v>9</v>
      </c>
      <c r="M1621">
        <v>15</v>
      </c>
      <c r="N1621" s="8" t="str">
        <f>VLOOKUP(K1621,tblCountries[],3,0)</f>
        <v>North Amer.</v>
      </c>
      <c r="O1621" s="8">
        <f>VLOOKUP(tblSalaries[[#This Row],[How many hours of a day you work on Excel]],tblHours,2,0)</f>
        <v>4</v>
      </c>
      <c r="P1621" s="8">
        <f>VLOOKUP(tblSalaries[[#This Row],[clean Country]],tblCountries[],5,0)</f>
        <v>1</v>
      </c>
      <c r="Q1621" s="8">
        <f>IF($Q$1,tblSalaries[[#This Row],[PPP Factor]]*tblSalaries[[#This Row],[Salary in USD]],tblSalaries[[#This Row],[Salary in USD]])</f>
        <v>225000</v>
      </c>
    </row>
    <row r="1622" spans="2:17" ht="15" customHeight="1" x14ac:dyDescent="0.25">
      <c r="B1622" t="s">
        <v>3625</v>
      </c>
      <c r="C1622" s="1">
        <v>41064.515335648146</v>
      </c>
      <c r="D1622" s="4">
        <v>10000</v>
      </c>
      <c r="E1622">
        <v>10000</v>
      </c>
      <c r="F1622" t="s">
        <v>6</v>
      </c>
      <c r="G1622">
        <f>tblSalaries[[#This Row],[clean Salary (in local currency)]]*VLOOKUP(tblSalaries[[#This Row],[Currency]],tblXrate[],2,FALSE)</f>
        <v>10000</v>
      </c>
      <c r="H1622" t="s">
        <v>721</v>
      </c>
      <c r="I1622" t="s">
        <v>3999</v>
      </c>
      <c r="J1622" t="s">
        <v>8</v>
      </c>
      <c r="K1622" t="str">
        <f>VLOOKUP(tblSalaries[[#This Row],[Where do you work]],tblCountries[[Actual]:[Mapping]],2,FALSE)</f>
        <v>India</v>
      </c>
      <c r="L1622" t="s">
        <v>13</v>
      </c>
      <c r="M1622">
        <v>2</v>
      </c>
      <c r="N1622" s="8" t="str">
        <f>VLOOKUP(K1622,tblCountries[],3,0)</f>
        <v>Asia</v>
      </c>
      <c r="O1622" s="8">
        <f>VLOOKUP(tblSalaries[[#This Row],[How many hours of a day you work on Excel]],tblHours,2,0)</f>
        <v>5</v>
      </c>
      <c r="P1622" s="8">
        <f>VLOOKUP(tblSalaries[[#This Row],[clean Country]],tblCountries[],5,0)</f>
        <v>13.098808879263672</v>
      </c>
      <c r="Q1622" s="8">
        <f>IF($Q$1,tblSalaries[[#This Row],[PPP Factor]]*tblSalaries[[#This Row],[Salary in USD]],tblSalaries[[#This Row],[Salary in USD]])</f>
        <v>10000</v>
      </c>
    </row>
    <row r="1623" spans="2:17" ht="15" customHeight="1" x14ac:dyDescent="0.25">
      <c r="B1623" t="s">
        <v>3626</v>
      </c>
      <c r="C1623" s="1">
        <v>41064.540347222224</v>
      </c>
      <c r="D1623" s="4">
        <v>300000</v>
      </c>
      <c r="E1623">
        <v>300000</v>
      </c>
      <c r="F1623" t="s">
        <v>40</v>
      </c>
      <c r="G1623">
        <f>tblSalaries[[#This Row],[clean Salary (in local currency)]]*VLOOKUP(tblSalaries[[#This Row],[Currency]],tblXrate[],2,FALSE)</f>
        <v>5342.3750062327708</v>
      </c>
      <c r="H1623" t="s">
        <v>1794</v>
      </c>
      <c r="I1623" t="s">
        <v>20</v>
      </c>
      <c r="J1623" t="s">
        <v>8</v>
      </c>
      <c r="K1623" t="str">
        <f>VLOOKUP(tblSalaries[[#This Row],[Where do you work]],tblCountries[[Actual]:[Mapping]],2,FALSE)</f>
        <v>India</v>
      </c>
      <c r="L1623" t="s">
        <v>9</v>
      </c>
      <c r="M1623">
        <v>8</v>
      </c>
      <c r="N1623" s="8" t="str">
        <f>VLOOKUP(K1623,tblCountries[],3,0)</f>
        <v>Asia</v>
      </c>
      <c r="O1623" s="8">
        <f>VLOOKUP(tblSalaries[[#This Row],[How many hours of a day you work on Excel]],tblHours,2,0)</f>
        <v>4</v>
      </c>
      <c r="P1623" s="8">
        <f>VLOOKUP(tblSalaries[[#This Row],[clean Country]],tblCountries[],5,0)</f>
        <v>13.098808879263672</v>
      </c>
      <c r="Q1623" s="8">
        <f>IF($Q$1,tblSalaries[[#This Row],[PPP Factor]]*tblSalaries[[#This Row],[Salary in USD]],tblSalaries[[#This Row],[Salary in USD]])</f>
        <v>5342.3750062327708</v>
      </c>
    </row>
    <row r="1624" spans="2:17" ht="15" customHeight="1" x14ac:dyDescent="0.25">
      <c r="B1624" t="s">
        <v>3627</v>
      </c>
      <c r="C1624" s="1">
        <v>41064.563090277778</v>
      </c>
      <c r="D1624" s="4">
        <v>84000</v>
      </c>
      <c r="E1624">
        <v>84000</v>
      </c>
      <c r="F1624" t="s">
        <v>82</v>
      </c>
      <c r="G1624">
        <f>tblSalaries[[#This Row],[clean Salary (in local currency)]]*VLOOKUP(tblSalaries[[#This Row],[Currency]],tblXrate[],2,FALSE)</f>
        <v>85672.4111378214</v>
      </c>
      <c r="H1624" t="s">
        <v>83</v>
      </c>
      <c r="I1624" t="s">
        <v>356</v>
      </c>
      <c r="J1624" t="s">
        <v>84</v>
      </c>
      <c r="K1624" t="str">
        <f>VLOOKUP(tblSalaries[[#This Row],[Where do you work]],tblCountries[[Actual]:[Mapping]],2,FALSE)</f>
        <v>Australia</v>
      </c>
      <c r="L1624" t="s">
        <v>9</v>
      </c>
      <c r="M1624">
        <v>6</v>
      </c>
      <c r="N1624" s="8" t="str">
        <f>VLOOKUP(K1624,tblCountries[],3,0)</f>
        <v>Oceania</v>
      </c>
      <c r="O1624" s="8">
        <f>VLOOKUP(tblSalaries[[#This Row],[How many hours of a day you work on Excel]],tblHours,2,0)</f>
        <v>4</v>
      </c>
      <c r="P1624" s="8">
        <f>VLOOKUP(tblSalaries[[#This Row],[clean Country]],tblCountries[],5,0)</f>
        <v>1.2026395585822935</v>
      </c>
      <c r="Q1624" s="8">
        <f>IF($Q$1,tblSalaries[[#This Row],[PPP Factor]]*tblSalaries[[#This Row],[Salary in USD]],tblSalaries[[#This Row],[Salary in USD]])</f>
        <v>85672.4111378214</v>
      </c>
    </row>
    <row r="1625" spans="2:17" ht="15" customHeight="1" x14ac:dyDescent="0.25">
      <c r="B1625" t="s">
        <v>3628</v>
      </c>
      <c r="C1625" s="1">
        <v>41064.601215277777</v>
      </c>
      <c r="D1625" s="4" t="s">
        <v>1795</v>
      </c>
      <c r="E1625">
        <v>240000</v>
      </c>
      <c r="F1625" t="s">
        <v>40</v>
      </c>
      <c r="G1625">
        <f>tblSalaries[[#This Row],[clean Salary (in local currency)]]*VLOOKUP(tblSalaries[[#This Row],[Currency]],tblXrate[],2,FALSE)</f>
        <v>4273.9000049862161</v>
      </c>
      <c r="H1625" t="s">
        <v>1796</v>
      </c>
      <c r="I1625" t="s">
        <v>488</v>
      </c>
      <c r="J1625" t="s">
        <v>8</v>
      </c>
      <c r="K1625" t="str">
        <f>VLOOKUP(tblSalaries[[#This Row],[Where do you work]],tblCountries[[Actual]:[Mapping]],2,FALSE)</f>
        <v>India</v>
      </c>
      <c r="L1625" t="s">
        <v>18</v>
      </c>
      <c r="M1625">
        <v>15</v>
      </c>
      <c r="N1625" s="8" t="str">
        <f>VLOOKUP(K1625,tblCountries[],3,0)</f>
        <v>Asia</v>
      </c>
      <c r="O1625" s="8">
        <f>VLOOKUP(tblSalaries[[#This Row],[How many hours of a day you work on Excel]],tblHours,2,0)</f>
        <v>3</v>
      </c>
      <c r="P1625" s="8">
        <f>VLOOKUP(tblSalaries[[#This Row],[clean Country]],tblCountries[],5,0)</f>
        <v>13.098808879263672</v>
      </c>
      <c r="Q1625" s="8">
        <f>IF($Q$1,tblSalaries[[#This Row],[PPP Factor]]*tblSalaries[[#This Row],[Salary in USD]],tblSalaries[[#This Row],[Salary in USD]])</f>
        <v>4273.9000049862161</v>
      </c>
    </row>
    <row r="1626" spans="2:17" ht="15" customHeight="1" x14ac:dyDescent="0.25">
      <c r="B1626" t="s">
        <v>3629</v>
      </c>
      <c r="C1626" s="1">
        <v>41064.688298611109</v>
      </c>
      <c r="D1626" s="4" t="s">
        <v>1797</v>
      </c>
      <c r="E1626">
        <v>500000</v>
      </c>
      <c r="F1626" t="s">
        <v>40</v>
      </c>
      <c r="G1626">
        <f>tblSalaries[[#This Row],[clean Salary (in local currency)]]*VLOOKUP(tblSalaries[[#This Row],[Currency]],tblXrate[],2,FALSE)</f>
        <v>8903.9583437212841</v>
      </c>
      <c r="H1626" t="s">
        <v>786</v>
      </c>
      <c r="I1626" t="s">
        <v>52</v>
      </c>
      <c r="J1626" t="s">
        <v>8</v>
      </c>
      <c r="K1626" t="str">
        <f>VLOOKUP(tblSalaries[[#This Row],[Where do you work]],tblCountries[[Actual]:[Mapping]],2,FALSE)</f>
        <v>India</v>
      </c>
      <c r="L1626" t="s">
        <v>13</v>
      </c>
      <c r="M1626">
        <v>20</v>
      </c>
      <c r="N1626" s="8" t="str">
        <f>VLOOKUP(K1626,tblCountries[],3,0)</f>
        <v>Asia</v>
      </c>
      <c r="O1626" s="8">
        <f>VLOOKUP(tblSalaries[[#This Row],[How many hours of a day you work on Excel]],tblHours,2,0)</f>
        <v>5</v>
      </c>
      <c r="P1626" s="8">
        <f>VLOOKUP(tblSalaries[[#This Row],[clean Country]],tblCountries[],5,0)</f>
        <v>13.098808879263672</v>
      </c>
      <c r="Q1626" s="8">
        <f>IF($Q$1,tblSalaries[[#This Row],[PPP Factor]]*tblSalaries[[#This Row],[Salary in USD]],tblSalaries[[#This Row],[Salary in USD]])</f>
        <v>8903.9583437212841</v>
      </c>
    </row>
    <row r="1627" spans="2:17" ht="15" customHeight="1" x14ac:dyDescent="0.25">
      <c r="B1627" t="s">
        <v>3630</v>
      </c>
      <c r="C1627" s="1">
        <v>41064.752326388887</v>
      </c>
      <c r="D1627" s="4">
        <v>42000</v>
      </c>
      <c r="E1627">
        <v>42000</v>
      </c>
      <c r="F1627" t="s">
        <v>69</v>
      </c>
      <c r="G1627">
        <f>tblSalaries[[#This Row],[clean Salary (in local currency)]]*VLOOKUP(tblSalaries[[#This Row],[Currency]],tblXrate[],2,FALSE)</f>
        <v>66199.48742682593</v>
      </c>
      <c r="H1627" t="s">
        <v>772</v>
      </c>
      <c r="I1627" t="s">
        <v>52</v>
      </c>
      <c r="J1627" t="s">
        <v>71</v>
      </c>
      <c r="K1627" t="str">
        <f>VLOOKUP(tblSalaries[[#This Row],[Where do you work]],tblCountries[[Actual]:[Mapping]],2,FALSE)</f>
        <v>UK</v>
      </c>
      <c r="L1627" t="s">
        <v>9</v>
      </c>
      <c r="M1627">
        <v>23</v>
      </c>
      <c r="N1627" s="8" t="str">
        <f>VLOOKUP(K1627,tblCountries[],3,0)</f>
        <v>Europe</v>
      </c>
      <c r="O1627" s="8">
        <f>VLOOKUP(tblSalaries[[#This Row],[How many hours of a day you work on Excel]],tblHours,2,0)</f>
        <v>4</v>
      </c>
      <c r="P1627" s="8">
        <f>VLOOKUP(tblSalaries[[#This Row],[clean Country]],tblCountries[],5,0)</f>
        <v>1.3407315045719035</v>
      </c>
      <c r="Q1627" s="8">
        <f>IF($Q$1,tblSalaries[[#This Row],[PPP Factor]]*tblSalaries[[#This Row],[Salary in USD]],tblSalaries[[#This Row],[Salary in USD]])</f>
        <v>66199.48742682593</v>
      </c>
    </row>
    <row r="1628" spans="2:17" ht="15" customHeight="1" x14ac:dyDescent="0.25">
      <c r="B1628" t="s">
        <v>3631</v>
      </c>
      <c r="C1628" s="1">
        <v>41064.788819444446</v>
      </c>
      <c r="D1628" s="4" t="s">
        <v>1798</v>
      </c>
      <c r="E1628">
        <v>320000</v>
      </c>
      <c r="F1628" t="s">
        <v>40</v>
      </c>
      <c r="G1628">
        <f>tblSalaries[[#This Row],[clean Salary (in local currency)]]*VLOOKUP(tblSalaries[[#This Row],[Currency]],tblXrate[],2,FALSE)</f>
        <v>5698.5333399816218</v>
      </c>
      <c r="H1628" t="s">
        <v>649</v>
      </c>
      <c r="I1628" t="s">
        <v>20</v>
      </c>
      <c r="J1628" t="s">
        <v>8</v>
      </c>
      <c r="K1628" t="str">
        <f>VLOOKUP(tblSalaries[[#This Row],[Where do you work]],tblCountries[[Actual]:[Mapping]],2,FALSE)</f>
        <v>India</v>
      </c>
      <c r="L1628" t="s">
        <v>9</v>
      </c>
      <c r="M1628">
        <v>2.5</v>
      </c>
      <c r="N1628" s="8" t="str">
        <f>VLOOKUP(K1628,tblCountries[],3,0)</f>
        <v>Asia</v>
      </c>
      <c r="O1628" s="8">
        <f>VLOOKUP(tblSalaries[[#This Row],[How many hours of a day you work on Excel]],tblHours,2,0)</f>
        <v>4</v>
      </c>
      <c r="P1628" s="8">
        <f>VLOOKUP(tblSalaries[[#This Row],[clean Country]],tblCountries[],5,0)</f>
        <v>13.098808879263672</v>
      </c>
      <c r="Q1628" s="8">
        <f>IF($Q$1,tblSalaries[[#This Row],[PPP Factor]]*tblSalaries[[#This Row],[Salary in USD]],tblSalaries[[#This Row],[Salary in USD]])</f>
        <v>5698.5333399816218</v>
      </c>
    </row>
    <row r="1629" spans="2:17" ht="15" customHeight="1" x14ac:dyDescent="0.25">
      <c r="B1629" t="s">
        <v>3632</v>
      </c>
      <c r="C1629" s="1">
        <v>41064.799513888887</v>
      </c>
      <c r="D1629" s="4" t="s">
        <v>1799</v>
      </c>
      <c r="E1629">
        <v>22000</v>
      </c>
      <c r="F1629" t="s">
        <v>69</v>
      </c>
      <c r="G1629">
        <f>tblSalaries[[#This Row],[clean Salary (in local currency)]]*VLOOKUP(tblSalaries[[#This Row],[Currency]],tblXrate[],2,FALSE)</f>
        <v>34675.92198548025</v>
      </c>
      <c r="H1629" t="s">
        <v>1800</v>
      </c>
      <c r="I1629" t="s">
        <v>52</v>
      </c>
      <c r="J1629" t="s">
        <v>71</v>
      </c>
      <c r="K1629" t="str">
        <f>VLOOKUP(tblSalaries[[#This Row],[Where do you work]],tblCountries[[Actual]:[Mapping]],2,FALSE)</f>
        <v>UK</v>
      </c>
      <c r="L1629" t="s">
        <v>9</v>
      </c>
      <c r="M1629">
        <v>17</v>
      </c>
      <c r="N1629" s="8" t="str">
        <f>VLOOKUP(K1629,tblCountries[],3,0)</f>
        <v>Europe</v>
      </c>
      <c r="O1629" s="8">
        <f>VLOOKUP(tblSalaries[[#This Row],[How many hours of a day you work on Excel]],tblHours,2,0)</f>
        <v>4</v>
      </c>
      <c r="P1629" s="8">
        <f>VLOOKUP(tblSalaries[[#This Row],[clean Country]],tblCountries[],5,0)</f>
        <v>1.3407315045719035</v>
      </c>
      <c r="Q1629" s="8">
        <f>IF($Q$1,tblSalaries[[#This Row],[PPP Factor]]*tblSalaries[[#This Row],[Salary in USD]],tblSalaries[[#This Row],[Salary in USD]])</f>
        <v>34675.92198548025</v>
      </c>
    </row>
    <row r="1630" spans="2:17" ht="15" customHeight="1" x14ac:dyDescent="0.25">
      <c r="B1630" t="s">
        <v>3633</v>
      </c>
      <c r="C1630" s="1">
        <v>41064.82371527778</v>
      </c>
      <c r="D1630" s="4" t="s">
        <v>1801</v>
      </c>
      <c r="E1630">
        <v>31200</v>
      </c>
      <c r="F1630" t="s">
        <v>6</v>
      </c>
      <c r="G1630">
        <f>tblSalaries[[#This Row],[clean Salary (in local currency)]]*VLOOKUP(tblSalaries[[#This Row],[Currency]],tblXrate[],2,FALSE)</f>
        <v>31200</v>
      </c>
      <c r="H1630" t="s">
        <v>467</v>
      </c>
      <c r="I1630" t="s">
        <v>3999</v>
      </c>
      <c r="J1630" t="s">
        <v>1802</v>
      </c>
      <c r="K1630" t="str">
        <f>VLOOKUP(tblSalaries[[#This Row],[Where do you work]],tblCountries[[Actual]:[Mapping]],2,FALSE)</f>
        <v>Israel</v>
      </c>
      <c r="L1630" t="s">
        <v>13</v>
      </c>
      <c r="M1630">
        <v>11</v>
      </c>
      <c r="N1630" s="8" t="str">
        <f>VLOOKUP(K1630,tblCountries[],3,0)</f>
        <v>Asia</v>
      </c>
      <c r="O1630" s="8">
        <f>VLOOKUP(tblSalaries[[#This Row],[How many hours of a day you work on Excel]],tblHours,2,0)</f>
        <v>5</v>
      </c>
      <c r="P1630" s="8">
        <f>VLOOKUP(tblSalaries[[#This Row],[clean Country]],tblCountries[],5,0)</f>
        <v>1.5621307506053268</v>
      </c>
      <c r="Q1630" s="8">
        <f>IF($Q$1,tblSalaries[[#This Row],[PPP Factor]]*tblSalaries[[#This Row],[Salary in USD]],tblSalaries[[#This Row],[Salary in USD]])</f>
        <v>31200</v>
      </c>
    </row>
    <row r="1631" spans="2:17" ht="15" customHeight="1" x14ac:dyDescent="0.25">
      <c r="B1631" t="s">
        <v>3634</v>
      </c>
      <c r="C1631" s="1">
        <v>41064.905034722222</v>
      </c>
      <c r="D1631" s="4">
        <v>56000</v>
      </c>
      <c r="E1631">
        <v>56000</v>
      </c>
      <c r="F1631" t="s">
        <v>86</v>
      </c>
      <c r="G1631">
        <f>tblSalaries[[#This Row],[clean Salary (in local currency)]]*VLOOKUP(tblSalaries[[#This Row],[Currency]],tblXrate[],2,FALSE)</f>
        <v>55068.245289698301</v>
      </c>
      <c r="H1631" t="s">
        <v>83</v>
      </c>
      <c r="I1631" t="s">
        <v>356</v>
      </c>
      <c r="J1631" t="s">
        <v>88</v>
      </c>
      <c r="K1631" t="str">
        <f>VLOOKUP(tblSalaries[[#This Row],[Where do you work]],tblCountries[[Actual]:[Mapping]],2,FALSE)</f>
        <v>Canada</v>
      </c>
      <c r="L1631" t="s">
        <v>13</v>
      </c>
      <c r="M1631">
        <v>1</v>
      </c>
      <c r="N1631" s="8" t="str">
        <f>VLOOKUP(K1631,tblCountries[],3,0)</f>
        <v>North Amer.</v>
      </c>
      <c r="O1631" s="8">
        <f>VLOOKUP(tblSalaries[[#This Row],[How many hours of a day you work on Excel]],tblHours,2,0)</f>
        <v>5</v>
      </c>
      <c r="P1631" s="8">
        <f>VLOOKUP(tblSalaries[[#This Row],[clean Country]],tblCountries[],5,0)</f>
        <v>1.1935324732986359</v>
      </c>
      <c r="Q1631" s="8">
        <f>IF($Q$1,tblSalaries[[#This Row],[PPP Factor]]*tblSalaries[[#This Row],[Salary in USD]],tblSalaries[[#This Row],[Salary in USD]])</f>
        <v>55068.245289698301</v>
      </c>
    </row>
    <row r="1632" spans="2:17" ht="15" customHeight="1" x14ac:dyDescent="0.25">
      <c r="B1632" t="s">
        <v>3635</v>
      </c>
      <c r="C1632" s="1">
        <v>41064.927777777775</v>
      </c>
      <c r="D1632" s="4">
        <v>13000</v>
      </c>
      <c r="E1632">
        <v>13000</v>
      </c>
      <c r="F1632" t="s">
        <v>6</v>
      </c>
      <c r="G1632">
        <f>tblSalaries[[#This Row],[clean Salary (in local currency)]]*VLOOKUP(tblSalaries[[#This Row],[Currency]],tblXrate[],2,FALSE)</f>
        <v>13000</v>
      </c>
      <c r="H1632" t="s">
        <v>1803</v>
      </c>
      <c r="I1632" t="s">
        <v>20</v>
      </c>
      <c r="J1632" t="s">
        <v>1804</v>
      </c>
      <c r="K1632" t="str">
        <f>VLOOKUP(tblSalaries[[#This Row],[Where do you work]],tblCountries[[Actual]:[Mapping]],2,FALSE)</f>
        <v>Slovakia</v>
      </c>
      <c r="L1632" t="s">
        <v>13</v>
      </c>
      <c r="M1632">
        <v>6</v>
      </c>
      <c r="N1632" s="8" t="str">
        <f>VLOOKUP(K1632,tblCountries[],3,0)</f>
        <v>Europe</v>
      </c>
      <c r="O1632" s="8">
        <f>VLOOKUP(tblSalaries[[#This Row],[How many hours of a day you work on Excel]],tblHours,2,0)</f>
        <v>5</v>
      </c>
      <c r="P1632" s="8">
        <f>VLOOKUP(tblSalaries[[#This Row],[clean Country]],tblCountries[],5,0)</f>
        <v>2.0763388259526261</v>
      </c>
      <c r="Q1632" s="8">
        <f>IF($Q$1,tblSalaries[[#This Row],[PPP Factor]]*tblSalaries[[#This Row],[Salary in USD]],tblSalaries[[#This Row],[Salary in USD]])</f>
        <v>13000</v>
      </c>
    </row>
    <row r="1633" spans="2:17" ht="15" customHeight="1" x14ac:dyDescent="0.25">
      <c r="B1633" t="s">
        <v>3636</v>
      </c>
      <c r="C1633" s="1">
        <v>41064.958449074074</v>
      </c>
      <c r="D1633" s="4">
        <v>92000</v>
      </c>
      <c r="E1633">
        <v>92000</v>
      </c>
      <c r="F1633" t="s">
        <v>6</v>
      </c>
      <c r="G1633">
        <f>tblSalaries[[#This Row],[clean Salary (in local currency)]]*VLOOKUP(tblSalaries[[#This Row],[Currency]],tblXrate[],2,FALSE)</f>
        <v>92000</v>
      </c>
      <c r="H1633" t="s">
        <v>1805</v>
      </c>
      <c r="I1633" t="s">
        <v>3999</v>
      </c>
      <c r="J1633" t="s">
        <v>15</v>
      </c>
      <c r="K1633" t="str">
        <f>VLOOKUP(tblSalaries[[#This Row],[Where do you work]],tblCountries[[Actual]:[Mapping]],2,FALSE)</f>
        <v>USA</v>
      </c>
      <c r="L1633" t="s">
        <v>18</v>
      </c>
      <c r="M1633">
        <v>12</v>
      </c>
      <c r="N1633" s="8" t="str">
        <f>VLOOKUP(K1633,tblCountries[],3,0)</f>
        <v>North Amer.</v>
      </c>
      <c r="O1633" s="8">
        <f>VLOOKUP(tblSalaries[[#This Row],[How many hours of a day you work on Excel]],tblHours,2,0)</f>
        <v>3</v>
      </c>
      <c r="P1633" s="8">
        <f>VLOOKUP(tblSalaries[[#This Row],[clean Country]],tblCountries[],5,0)</f>
        <v>1</v>
      </c>
      <c r="Q1633" s="8">
        <f>IF($Q$1,tblSalaries[[#This Row],[PPP Factor]]*tblSalaries[[#This Row],[Salary in USD]],tblSalaries[[#This Row],[Salary in USD]])</f>
        <v>92000</v>
      </c>
    </row>
    <row r="1634" spans="2:17" ht="15" customHeight="1" x14ac:dyDescent="0.25">
      <c r="B1634" t="s">
        <v>3637</v>
      </c>
      <c r="C1634" s="1">
        <v>41064.971307870372</v>
      </c>
      <c r="D1634" s="4">
        <v>85000</v>
      </c>
      <c r="E1634">
        <v>85000</v>
      </c>
      <c r="F1634" t="s">
        <v>6</v>
      </c>
      <c r="G1634">
        <f>tblSalaries[[#This Row],[clean Salary (in local currency)]]*VLOOKUP(tblSalaries[[#This Row],[Currency]],tblXrate[],2,FALSE)</f>
        <v>85000</v>
      </c>
      <c r="H1634" t="s">
        <v>1806</v>
      </c>
      <c r="I1634" t="s">
        <v>52</v>
      </c>
      <c r="J1634" t="s">
        <v>15</v>
      </c>
      <c r="K1634" t="str">
        <f>VLOOKUP(tblSalaries[[#This Row],[Where do you work]],tblCountries[[Actual]:[Mapping]],2,FALSE)</f>
        <v>USA</v>
      </c>
      <c r="L1634" t="s">
        <v>13</v>
      </c>
      <c r="M1634">
        <v>10</v>
      </c>
      <c r="N1634" s="8" t="str">
        <f>VLOOKUP(K1634,tblCountries[],3,0)</f>
        <v>North Amer.</v>
      </c>
      <c r="O1634" s="8">
        <f>VLOOKUP(tblSalaries[[#This Row],[How many hours of a day you work on Excel]],tblHours,2,0)</f>
        <v>5</v>
      </c>
      <c r="P1634" s="8">
        <f>VLOOKUP(tblSalaries[[#This Row],[clean Country]],tblCountries[],5,0)</f>
        <v>1</v>
      </c>
      <c r="Q1634" s="8">
        <f>IF($Q$1,tblSalaries[[#This Row],[PPP Factor]]*tblSalaries[[#This Row],[Salary in USD]],tblSalaries[[#This Row],[Salary in USD]])</f>
        <v>85000</v>
      </c>
    </row>
    <row r="1635" spans="2:17" ht="15" customHeight="1" x14ac:dyDescent="0.25">
      <c r="B1635" t="s">
        <v>3638</v>
      </c>
      <c r="C1635" s="1">
        <v>41064.985208333332</v>
      </c>
      <c r="D1635" s="4" t="s">
        <v>1807</v>
      </c>
      <c r="E1635">
        <v>11000</v>
      </c>
      <c r="F1635" t="s">
        <v>6</v>
      </c>
      <c r="G1635">
        <f>tblSalaries[[#This Row],[clean Salary (in local currency)]]*VLOOKUP(tblSalaries[[#This Row],[Currency]],tblXrate[],2,FALSE)</f>
        <v>11000</v>
      </c>
      <c r="H1635" t="s">
        <v>1808</v>
      </c>
      <c r="I1635" t="s">
        <v>20</v>
      </c>
      <c r="J1635" t="s">
        <v>1809</v>
      </c>
      <c r="K1635" t="str">
        <f>VLOOKUP(tblSalaries[[#This Row],[Where do you work]],tblCountries[[Actual]:[Mapping]],2,FALSE)</f>
        <v>Tunisia</v>
      </c>
      <c r="L1635" t="s">
        <v>9</v>
      </c>
      <c r="M1635">
        <v>8</v>
      </c>
      <c r="N1635" s="8" t="str">
        <f>VLOOKUP(K1635,tblCountries[],3,0)</f>
        <v>Africa</v>
      </c>
      <c r="O1635" s="8">
        <f>VLOOKUP(tblSalaries[[#This Row],[How many hours of a day you work on Excel]],tblHours,2,0)</f>
        <v>4</v>
      </c>
      <c r="P1635" s="8">
        <f>VLOOKUP(tblSalaries[[#This Row],[clean Country]],tblCountries[],5,0)</f>
        <v>5.1051909685587678</v>
      </c>
      <c r="Q1635" s="8">
        <f>IF($Q$1,tblSalaries[[#This Row],[PPP Factor]]*tblSalaries[[#This Row],[Salary in USD]],tblSalaries[[#This Row],[Salary in USD]])</f>
        <v>11000</v>
      </c>
    </row>
    <row r="1636" spans="2:17" ht="15" customHeight="1" x14ac:dyDescent="0.25">
      <c r="B1636" t="s">
        <v>3639</v>
      </c>
      <c r="C1636" s="1">
        <v>41064.985266203701</v>
      </c>
      <c r="D1636" s="4" t="s">
        <v>1810</v>
      </c>
      <c r="E1636">
        <v>30000</v>
      </c>
      <c r="F1636" t="s">
        <v>22</v>
      </c>
      <c r="G1636">
        <f>tblSalaries[[#This Row],[clean Salary (in local currency)]]*VLOOKUP(tblSalaries[[#This Row],[Currency]],tblXrate[],2,FALSE)</f>
        <v>38111.983169748237</v>
      </c>
      <c r="H1636" t="s">
        <v>1811</v>
      </c>
      <c r="I1636" t="s">
        <v>20</v>
      </c>
      <c r="J1636" t="s">
        <v>608</v>
      </c>
      <c r="K1636" t="str">
        <f>VLOOKUP(tblSalaries[[#This Row],[Where do you work]],tblCountries[[Actual]:[Mapping]],2,FALSE)</f>
        <v>Spain</v>
      </c>
      <c r="L1636" t="s">
        <v>25</v>
      </c>
      <c r="M1636">
        <v>12</v>
      </c>
      <c r="N1636" s="8" t="str">
        <f>VLOOKUP(K1636,tblCountries[],3,0)</f>
        <v>Europe</v>
      </c>
      <c r="O1636" s="8">
        <f>VLOOKUP(tblSalaries[[#This Row],[How many hours of a day you work on Excel]],tblHours,2,0)</f>
        <v>2</v>
      </c>
      <c r="P1636" s="8">
        <f>VLOOKUP(tblSalaries[[#This Row],[clean Country]],tblCountries[],5,0)</f>
        <v>1.5799320838503232</v>
      </c>
      <c r="Q1636" s="8">
        <f>IF($Q$1,tblSalaries[[#This Row],[PPP Factor]]*tblSalaries[[#This Row],[Salary in USD]],tblSalaries[[#This Row],[Salary in USD]])</f>
        <v>38111.983169748237</v>
      </c>
    </row>
    <row r="1637" spans="2:17" ht="15" customHeight="1" x14ac:dyDescent="0.25">
      <c r="B1637" t="s">
        <v>3640</v>
      </c>
      <c r="C1637" s="1">
        <v>41064.987349537034</v>
      </c>
      <c r="D1637" s="4">
        <v>49000</v>
      </c>
      <c r="E1637">
        <v>49000</v>
      </c>
      <c r="F1637" t="s">
        <v>6</v>
      </c>
      <c r="G1637">
        <f>tblSalaries[[#This Row],[clean Salary (in local currency)]]*VLOOKUP(tblSalaries[[#This Row],[Currency]],tblXrate[],2,FALSE)</f>
        <v>49000</v>
      </c>
      <c r="H1637" t="s">
        <v>1812</v>
      </c>
      <c r="I1637" t="s">
        <v>20</v>
      </c>
      <c r="J1637" t="s">
        <v>15</v>
      </c>
      <c r="K1637" t="str">
        <f>VLOOKUP(tblSalaries[[#This Row],[Where do you work]],tblCountries[[Actual]:[Mapping]],2,FALSE)</f>
        <v>USA</v>
      </c>
      <c r="L1637" t="s">
        <v>18</v>
      </c>
      <c r="M1637">
        <v>3</v>
      </c>
      <c r="N1637" s="8" t="str">
        <f>VLOOKUP(K1637,tblCountries[],3,0)</f>
        <v>North Amer.</v>
      </c>
      <c r="O1637" s="8">
        <f>VLOOKUP(tblSalaries[[#This Row],[How many hours of a day you work on Excel]],tblHours,2,0)</f>
        <v>3</v>
      </c>
      <c r="P1637" s="8">
        <f>VLOOKUP(tblSalaries[[#This Row],[clean Country]],tblCountries[],5,0)</f>
        <v>1</v>
      </c>
      <c r="Q1637" s="8">
        <f>IF($Q$1,tblSalaries[[#This Row],[PPP Factor]]*tblSalaries[[#This Row],[Salary in USD]],tblSalaries[[#This Row],[Salary in USD]])</f>
        <v>49000</v>
      </c>
    </row>
    <row r="1638" spans="2:17" ht="15" customHeight="1" x14ac:dyDescent="0.25">
      <c r="B1638" t="s">
        <v>3641</v>
      </c>
      <c r="C1638" s="1">
        <v>41065.015439814815</v>
      </c>
      <c r="D1638" s="4">
        <v>59000</v>
      </c>
      <c r="E1638">
        <v>59000</v>
      </c>
      <c r="F1638" t="s">
        <v>6</v>
      </c>
      <c r="G1638">
        <f>tblSalaries[[#This Row],[clean Salary (in local currency)]]*VLOOKUP(tblSalaries[[#This Row],[Currency]],tblXrate[],2,FALSE)</f>
        <v>59000</v>
      </c>
      <c r="H1638" t="s">
        <v>1813</v>
      </c>
      <c r="I1638" t="s">
        <v>52</v>
      </c>
      <c r="J1638" t="s">
        <v>15</v>
      </c>
      <c r="K1638" t="str">
        <f>VLOOKUP(tblSalaries[[#This Row],[Where do you work]],tblCountries[[Actual]:[Mapping]],2,FALSE)</f>
        <v>USA</v>
      </c>
      <c r="L1638" t="s">
        <v>25</v>
      </c>
      <c r="M1638">
        <v>3</v>
      </c>
      <c r="N1638" s="8" t="str">
        <f>VLOOKUP(K1638,tblCountries[],3,0)</f>
        <v>North Amer.</v>
      </c>
      <c r="O1638" s="8">
        <f>VLOOKUP(tblSalaries[[#This Row],[How many hours of a day you work on Excel]],tblHours,2,0)</f>
        <v>2</v>
      </c>
      <c r="P1638" s="8">
        <f>VLOOKUP(tblSalaries[[#This Row],[clean Country]],tblCountries[],5,0)</f>
        <v>1</v>
      </c>
      <c r="Q1638" s="8">
        <f>IF($Q$1,tblSalaries[[#This Row],[PPP Factor]]*tblSalaries[[#This Row],[Salary in USD]],tblSalaries[[#This Row],[Salary in USD]])</f>
        <v>59000</v>
      </c>
    </row>
    <row r="1639" spans="2:17" ht="15" customHeight="1" x14ac:dyDescent="0.25">
      <c r="B1639" t="s">
        <v>3642</v>
      </c>
      <c r="C1639" s="1">
        <v>41065.085972222223</v>
      </c>
      <c r="D1639" s="4">
        <v>55000</v>
      </c>
      <c r="E1639">
        <v>55000</v>
      </c>
      <c r="F1639" t="s">
        <v>6</v>
      </c>
      <c r="G1639">
        <f>tblSalaries[[#This Row],[clean Salary (in local currency)]]*VLOOKUP(tblSalaries[[#This Row],[Currency]],tblXrate[],2,FALSE)</f>
        <v>55000</v>
      </c>
      <c r="H1639" t="s">
        <v>1814</v>
      </c>
      <c r="I1639" t="s">
        <v>20</v>
      </c>
      <c r="J1639" t="s">
        <v>15</v>
      </c>
      <c r="K1639" t="str">
        <f>VLOOKUP(tblSalaries[[#This Row],[Where do you work]],tblCountries[[Actual]:[Mapping]],2,FALSE)</f>
        <v>USA</v>
      </c>
      <c r="L1639" t="s">
        <v>9</v>
      </c>
      <c r="M1639">
        <v>15</v>
      </c>
      <c r="N1639" s="8" t="str">
        <f>VLOOKUP(K1639,tblCountries[],3,0)</f>
        <v>North Amer.</v>
      </c>
      <c r="O1639" s="8">
        <f>VLOOKUP(tblSalaries[[#This Row],[How many hours of a day you work on Excel]],tblHours,2,0)</f>
        <v>4</v>
      </c>
      <c r="P1639" s="8">
        <f>VLOOKUP(tblSalaries[[#This Row],[clean Country]],tblCountries[],5,0)</f>
        <v>1</v>
      </c>
      <c r="Q1639" s="8">
        <f>IF($Q$1,tblSalaries[[#This Row],[PPP Factor]]*tblSalaries[[#This Row],[Salary in USD]],tblSalaries[[#This Row],[Salary in USD]])</f>
        <v>55000</v>
      </c>
    </row>
    <row r="1640" spans="2:17" ht="15" customHeight="1" x14ac:dyDescent="0.25">
      <c r="B1640" t="s">
        <v>3643</v>
      </c>
      <c r="C1640" s="1">
        <v>41065.097928240742</v>
      </c>
      <c r="D1640" s="4">
        <v>75000</v>
      </c>
      <c r="E1640">
        <v>75000</v>
      </c>
      <c r="F1640" t="s">
        <v>6</v>
      </c>
      <c r="G1640">
        <f>tblSalaries[[#This Row],[clean Salary (in local currency)]]*VLOOKUP(tblSalaries[[#This Row],[Currency]],tblXrate[],2,FALSE)</f>
        <v>75000</v>
      </c>
      <c r="H1640" t="s">
        <v>310</v>
      </c>
      <c r="I1640" t="s">
        <v>310</v>
      </c>
      <c r="J1640" t="s">
        <v>15</v>
      </c>
      <c r="K1640" t="str">
        <f>VLOOKUP(tblSalaries[[#This Row],[Where do you work]],tblCountries[[Actual]:[Mapping]],2,FALSE)</f>
        <v>USA</v>
      </c>
      <c r="L1640" t="s">
        <v>9</v>
      </c>
      <c r="M1640">
        <v>10</v>
      </c>
      <c r="N1640" s="8" t="str">
        <f>VLOOKUP(K1640,tblCountries[],3,0)</f>
        <v>North Amer.</v>
      </c>
      <c r="O1640" s="8">
        <f>VLOOKUP(tblSalaries[[#This Row],[How many hours of a day you work on Excel]],tblHours,2,0)</f>
        <v>4</v>
      </c>
      <c r="P1640" s="8">
        <f>VLOOKUP(tblSalaries[[#This Row],[clean Country]],tblCountries[],5,0)</f>
        <v>1</v>
      </c>
      <c r="Q1640" s="8">
        <f>IF($Q$1,tblSalaries[[#This Row],[PPP Factor]]*tblSalaries[[#This Row],[Salary in USD]],tblSalaries[[#This Row],[Salary in USD]])</f>
        <v>75000</v>
      </c>
    </row>
    <row r="1641" spans="2:17" ht="15" customHeight="1" x14ac:dyDescent="0.25">
      <c r="B1641" t="s">
        <v>3644</v>
      </c>
      <c r="C1641" s="1">
        <v>41065.159745370373</v>
      </c>
      <c r="D1641" s="4">
        <v>3300</v>
      </c>
      <c r="E1641">
        <v>39600</v>
      </c>
      <c r="F1641" t="s">
        <v>22</v>
      </c>
      <c r="G1641">
        <f>tblSalaries[[#This Row],[clean Salary (in local currency)]]*VLOOKUP(tblSalaries[[#This Row],[Currency]],tblXrate[],2,FALSE)</f>
        <v>50307.817784067665</v>
      </c>
      <c r="H1641" t="s">
        <v>1815</v>
      </c>
      <c r="I1641" t="s">
        <v>52</v>
      </c>
      <c r="J1641" t="s">
        <v>983</v>
      </c>
      <c r="K1641" t="str">
        <f>VLOOKUP(tblSalaries[[#This Row],[Where do you work]],tblCountries[[Actual]:[Mapping]],2,FALSE)</f>
        <v>Europe</v>
      </c>
      <c r="L1641" t="s">
        <v>25</v>
      </c>
      <c r="M1641">
        <v>5</v>
      </c>
      <c r="N1641" s="8" t="str">
        <f>VLOOKUP(K1641,tblCountries[],3,0)</f>
        <v>Europe</v>
      </c>
      <c r="O1641" s="8">
        <f>VLOOKUP(tblSalaries[[#This Row],[How many hours of a day you work on Excel]],tblHours,2,0)</f>
        <v>2</v>
      </c>
      <c r="P1641" s="8">
        <f>VLOOKUP(tblSalaries[[#This Row],[clean Country]],tblCountries[],5,0)</f>
        <v>1</v>
      </c>
      <c r="Q1641" s="8">
        <f>IF($Q$1,tblSalaries[[#This Row],[PPP Factor]]*tblSalaries[[#This Row],[Salary in USD]],tblSalaries[[#This Row],[Salary in USD]])</f>
        <v>50307.817784067665</v>
      </c>
    </row>
    <row r="1642" spans="2:17" ht="15" customHeight="1" x14ac:dyDescent="0.25">
      <c r="B1642" t="s">
        <v>3645</v>
      </c>
      <c r="C1642" s="1">
        <v>41065.163611111115</v>
      </c>
      <c r="D1642" s="4" t="s">
        <v>1816</v>
      </c>
      <c r="E1642">
        <v>30500</v>
      </c>
      <c r="F1642" t="s">
        <v>6</v>
      </c>
      <c r="G1642">
        <f>tblSalaries[[#This Row],[clean Salary (in local currency)]]*VLOOKUP(tblSalaries[[#This Row],[Currency]],tblXrate[],2,FALSE)</f>
        <v>30500</v>
      </c>
      <c r="H1642" t="s">
        <v>14</v>
      </c>
      <c r="I1642" t="s">
        <v>20</v>
      </c>
      <c r="J1642" t="s">
        <v>143</v>
      </c>
      <c r="K1642" t="str">
        <f>VLOOKUP(tblSalaries[[#This Row],[Where do you work]],tblCountries[[Actual]:[Mapping]],2,FALSE)</f>
        <v>Brazil</v>
      </c>
      <c r="L1642" t="s">
        <v>13</v>
      </c>
      <c r="M1642">
        <v>8</v>
      </c>
      <c r="N1642" s="8" t="str">
        <f>VLOOKUP(K1642,tblCountries[],3,0)</f>
        <v>South Amer.</v>
      </c>
      <c r="O1642" s="8">
        <f>VLOOKUP(tblSalaries[[#This Row],[How many hours of a day you work on Excel]],tblHours,2,0)</f>
        <v>5</v>
      </c>
      <c r="P1642" s="8">
        <f>VLOOKUP(tblSalaries[[#This Row],[clean Country]],tblCountries[],5,0)</f>
        <v>4.1113943410655107</v>
      </c>
      <c r="Q1642" s="8">
        <f>IF($Q$1,tblSalaries[[#This Row],[PPP Factor]]*tblSalaries[[#This Row],[Salary in USD]],tblSalaries[[#This Row],[Salary in USD]])</f>
        <v>30500</v>
      </c>
    </row>
    <row r="1643" spans="2:17" ht="15" customHeight="1" x14ac:dyDescent="0.25">
      <c r="B1643" t="s">
        <v>3646</v>
      </c>
      <c r="C1643" s="1">
        <v>41065.170937499999</v>
      </c>
      <c r="D1643" s="4">
        <v>80000</v>
      </c>
      <c r="E1643">
        <v>80000</v>
      </c>
      <c r="F1643" t="s">
        <v>6</v>
      </c>
      <c r="G1643">
        <f>tblSalaries[[#This Row],[clean Salary (in local currency)]]*VLOOKUP(tblSalaries[[#This Row],[Currency]],tblXrate[],2,FALSE)</f>
        <v>80000</v>
      </c>
      <c r="H1643" t="s">
        <v>1817</v>
      </c>
      <c r="I1643" t="s">
        <v>67</v>
      </c>
      <c r="J1643" t="s">
        <v>15</v>
      </c>
      <c r="K1643" t="str">
        <f>VLOOKUP(tblSalaries[[#This Row],[Where do you work]],tblCountries[[Actual]:[Mapping]],2,FALSE)</f>
        <v>USA</v>
      </c>
      <c r="L1643" t="s">
        <v>18</v>
      </c>
      <c r="M1643">
        <v>2</v>
      </c>
      <c r="N1643" s="8" t="str">
        <f>VLOOKUP(K1643,tblCountries[],3,0)</f>
        <v>North Amer.</v>
      </c>
      <c r="O1643" s="8">
        <f>VLOOKUP(tblSalaries[[#This Row],[How many hours of a day you work on Excel]],tblHours,2,0)</f>
        <v>3</v>
      </c>
      <c r="P1643" s="8">
        <f>VLOOKUP(tblSalaries[[#This Row],[clean Country]],tblCountries[],5,0)</f>
        <v>1</v>
      </c>
      <c r="Q1643" s="8">
        <f>IF($Q$1,tblSalaries[[#This Row],[PPP Factor]]*tblSalaries[[#This Row],[Salary in USD]],tblSalaries[[#This Row],[Salary in USD]])</f>
        <v>80000</v>
      </c>
    </row>
    <row r="1644" spans="2:17" ht="15" customHeight="1" x14ac:dyDescent="0.25">
      <c r="B1644" t="s">
        <v>3647</v>
      </c>
      <c r="C1644" s="1">
        <v>41065.210462962961</v>
      </c>
      <c r="D1644" s="4">
        <v>1000</v>
      </c>
      <c r="E1644">
        <v>12000</v>
      </c>
      <c r="F1644" t="s">
        <v>6</v>
      </c>
      <c r="G1644">
        <f>tblSalaries[[#This Row],[clean Salary (in local currency)]]*VLOOKUP(tblSalaries[[#This Row],[Currency]],tblXrate[],2,FALSE)</f>
        <v>12000</v>
      </c>
      <c r="H1644" t="s">
        <v>1818</v>
      </c>
      <c r="I1644" t="s">
        <v>20</v>
      </c>
      <c r="J1644" t="s">
        <v>15</v>
      </c>
      <c r="K1644" t="str">
        <f>VLOOKUP(tblSalaries[[#This Row],[Where do you work]],tblCountries[[Actual]:[Mapping]],2,FALSE)</f>
        <v>USA</v>
      </c>
      <c r="L1644" t="s">
        <v>18</v>
      </c>
      <c r="M1644">
        <v>1</v>
      </c>
      <c r="N1644" s="8" t="str">
        <f>VLOOKUP(K1644,tblCountries[],3,0)</f>
        <v>North Amer.</v>
      </c>
      <c r="O1644" s="8">
        <f>VLOOKUP(tblSalaries[[#This Row],[How many hours of a day you work on Excel]],tblHours,2,0)</f>
        <v>3</v>
      </c>
      <c r="P1644" s="8">
        <f>VLOOKUP(tblSalaries[[#This Row],[clean Country]],tblCountries[],5,0)</f>
        <v>1</v>
      </c>
      <c r="Q1644" s="8">
        <f>IF($Q$1,tblSalaries[[#This Row],[PPP Factor]]*tblSalaries[[#This Row],[Salary in USD]],tblSalaries[[#This Row],[Salary in USD]])</f>
        <v>12000</v>
      </c>
    </row>
    <row r="1645" spans="2:17" ht="15" customHeight="1" x14ac:dyDescent="0.25">
      <c r="B1645" t="s">
        <v>3648</v>
      </c>
      <c r="C1645" s="1">
        <v>41065.210648148146</v>
      </c>
      <c r="D1645" s="4">
        <v>48500</v>
      </c>
      <c r="E1645">
        <v>48500</v>
      </c>
      <c r="F1645" t="s">
        <v>6</v>
      </c>
      <c r="G1645">
        <f>tblSalaries[[#This Row],[clean Salary (in local currency)]]*VLOOKUP(tblSalaries[[#This Row],[Currency]],tblXrate[],2,FALSE)</f>
        <v>48500</v>
      </c>
      <c r="H1645" t="s">
        <v>1819</v>
      </c>
      <c r="I1645" t="s">
        <v>20</v>
      </c>
      <c r="J1645" t="s">
        <v>15</v>
      </c>
      <c r="K1645" t="str">
        <f>VLOOKUP(tblSalaries[[#This Row],[Where do you work]],tblCountries[[Actual]:[Mapping]],2,FALSE)</f>
        <v>USA</v>
      </c>
      <c r="L1645" t="s">
        <v>9</v>
      </c>
      <c r="M1645">
        <v>6</v>
      </c>
      <c r="N1645" s="8" t="str">
        <f>VLOOKUP(K1645,tblCountries[],3,0)</f>
        <v>North Amer.</v>
      </c>
      <c r="O1645" s="8">
        <f>VLOOKUP(tblSalaries[[#This Row],[How many hours of a day you work on Excel]],tblHours,2,0)</f>
        <v>4</v>
      </c>
      <c r="P1645" s="8">
        <f>VLOOKUP(tblSalaries[[#This Row],[clean Country]],tblCountries[],5,0)</f>
        <v>1</v>
      </c>
      <c r="Q1645" s="8">
        <f>IF($Q$1,tblSalaries[[#This Row],[PPP Factor]]*tblSalaries[[#This Row],[Salary in USD]],tblSalaries[[#This Row],[Salary in USD]])</f>
        <v>48500</v>
      </c>
    </row>
    <row r="1646" spans="2:17" ht="15" customHeight="1" x14ac:dyDescent="0.25">
      <c r="B1646" t="s">
        <v>3649</v>
      </c>
      <c r="C1646" s="1">
        <v>41065.285833333335</v>
      </c>
      <c r="D1646" s="4" t="s">
        <v>1238</v>
      </c>
      <c r="E1646">
        <v>40000</v>
      </c>
      <c r="F1646" t="s">
        <v>69</v>
      </c>
      <c r="G1646">
        <f>tblSalaries[[#This Row],[clean Salary (in local currency)]]*VLOOKUP(tblSalaries[[#This Row],[Currency]],tblXrate[],2,FALSE)</f>
        <v>63047.130882691366</v>
      </c>
      <c r="H1646" t="s">
        <v>1820</v>
      </c>
      <c r="I1646" t="s">
        <v>67</v>
      </c>
      <c r="J1646" t="s">
        <v>71</v>
      </c>
      <c r="K1646" t="str">
        <f>VLOOKUP(tblSalaries[[#This Row],[Where do you work]],tblCountries[[Actual]:[Mapping]],2,FALSE)</f>
        <v>UK</v>
      </c>
      <c r="L1646" t="s">
        <v>18</v>
      </c>
      <c r="M1646">
        <v>25</v>
      </c>
      <c r="N1646" s="8" t="str">
        <f>VLOOKUP(K1646,tblCountries[],3,0)</f>
        <v>Europe</v>
      </c>
      <c r="O1646" s="8">
        <f>VLOOKUP(tblSalaries[[#This Row],[How many hours of a day you work on Excel]],tblHours,2,0)</f>
        <v>3</v>
      </c>
      <c r="P1646" s="8">
        <f>VLOOKUP(tblSalaries[[#This Row],[clean Country]],tblCountries[],5,0)</f>
        <v>1.3407315045719035</v>
      </c>
      <c r="Q1646" s="8">
        <f>IF($Q$1,tblSalaries[[#This Row],[PPP Factor]]*tblSalaries[[#This Row],[Salary in USD]],tblSalaries[[#This Row],[Salary in USD]])</f>
        <v>63047.130882691366</v>
      </c>
    </row>
    <row r="1647" spans="2:17" ht="15" customHeight="1" x14ac:dyDescent="0.25">
      <c r="B1647" t="s">
        <v>3650</v>
      </c>
      <c r="C1647" s="1">
        <v>41065.295277777775</v>
      </c>
      <c r="D1647" s="4" t="s">
        <v>1821</v>
      </c>
      <c r="E1647">
        <v>192000</v>
      </c>
      <c r="F1647" t="s">
        <v>40</v>
      </c>
      <c r="G1647">
        <f>tblSalaries[[#This Row],[clean Salary (in local currency)]]*VLOOKUP(tblSalaries[[#This Row],[Currency]],tblXrate[],2,FALSE)</f>
        <v>3419.1200039889732</v>
      </c>
      <c r="H1647" t="s">
        <v>839</v>
      </c>
      <c r="I1647" t="s">
        <v>20</v>
      </c>
      <c r="J1647" t="s">
        <v>8</v>
      </c>
      <c r="K1647" t="str">
        <f>VLOOKUP(tblSalaries[[#This Row],[Where do you work]],tblCountries[[Actual]:[Mapping]],2,FALSE)</f>
        <v>India</v>
      </c>
      <c r="L1647" t="s">
        <v>9</v>
      </c>
      <c r="M1647">
        <v>5</v>
      </c>
      <c r="N1647" s="8" t="str">
        <f>VLOOKUP(K1647,tblCountries[],3,0)</f>
        <v>Asia</v>
      </c>
      <c r="O1647" s="8">
        <f>VLOOKUP(tblSalaries[[#This Row],[How many hours of a day you work on Excel]],tblHours,2,0)</f>
        <v>4</v>
      </c>
      <c r="P1647" s="8">
        <f>VLOOKUP(tblSalaries[[#This Row],[clean Country]],tblCountries[],5,0)</f>
        <v>13.098808879263672</v>
      </c>
      <c r="Q1647" s="8">
        <f>IF($Q$1,tblSalaries[[#This Row],[PPP Factor]]*tblSalaries[[#This Row],[Salary in USD]],tblSalaries[[#This Row],[Salary in USD]])</f>
        <v>3419.1200039889732</v>
      </c>
    </row>
    <row r="1648" spans="2:17" ht="15" customHeight="1" x14ac:dyDescent="0.25">
      <c r="B1648" t="s">
        <v>3651</v>
      </c>
      <c r="C1648" s="1">
        <v>41065.446921296294</v>
      </c>
      <c r="D1648" s="4">
        <v>110000</v>
      </c>
      <c r="E1648">
        <v>110000</v>
      </c>
      <c r="F1648" t="s">
        <v>670</v>
      </c>
      <c r="G1648">
        <f>tblSalaries[[#This Row],[clean Salary (in local currency)]]*VLOOKUP(tblSalaries[[#This Row],[Currency]],tblXrate[],2,FALSE)</f>
        <v>87734.690296543267</v>
      </c>
      <c r="H1648" t="s">
        <v>1822</v>
      </c>
      <c r="I1648" t="s">
        <v>52</v>
      </c>
      <c r="J1648" t="s">
        <v>672</v>
      </c>
      <c r="K1648" t="str">
        <f>VLOOKUP(tblSalaries[[#This Row],[Where do you work]],tblCountries[[Actual]:[Mapping]],2,FALSE)</f>
        <v>New Zealand</v>
      </c>
      <c r="L1648" t="s">
        <v>9</v>
      </c>
      <c r="M1648">
        <v>6</v>
      </c>
      <c r="N1648" s="8" t="str">
        <f>VLOOKUP(K1648,tblCountries[],3,0)</f>
        <v>Oceania</v>
      </c>
      <c r="O1648" s="8">
        <f>VLOOKUP(tblSalaries[[#This Row],[How many hours of a day you work on Excel]],tblHours,2,0)</f>
        <v>4</v>
      </c>
      <c r="P1648" s="8">
        <f>VLOOKUP(tblSalaries[[#This Row],[clean Country]],tblCountries[],5,0)</f>
        <v>1.7488434292323261</v>
      </c>
      <c r="Q1648" s="8">
        <f>IF($Q$1,tblSalaries[[#This Row],[PPP Factor]]*tblSalaries[[#This Row],[Salary in USD]],tblSalaries[[#This Row],[Salary in USD]])</f>
        <v>87734.690296543267</v>
      </c>
    </row>
    <row r="1649" spans="2:17" ht="15" customHeight="1" x14ac:dyDescent="0.25">
      <c r="B1649" t="s">
        <v>3652</v>
      </c>
      <c r="C1649" s="1">
        <v>41065.529606481483</v>
      </c>
      <c r="D1649" s="4" t="s">
        <v>1823</v>
      </c>
      <c r="E1649">
        <v>71000</v>
      </c>
      <c r="F1649" t="s">
        <v>670</v>
      </c>
      <c r="G1649">
        <f>tblSalaries[[#This Row],[clean Salary (in local currency)]]*VLOOKUP(tblSalaries[[#This Row],[Currency]],tblXrate[],2,FALSE)</f>
        <v>56628.754645950656</v>
      </c>
      <c r="H1649" t="s">
        <v>207</v>
      </c>
      <c r="I1649" t="s">
        <v>20</v>
      </c>
      <c r="J1649" t="s">
        <v>1097</v>
      </c>
      <c r="K1649" t="str">
        <f>VLOOKUP(tblSalaries[[#This Row],[Where do you work]],tblCountries[[Actual]:[Mapping]],2,FALSE)</f>
        <v>New Zealand</v>
      </c>
      <c r="L1649" t="s">
        <v>13</v>
      </c>
      <c r="M1649">
        <v>6</v>
      </c>
      <c r="N1649" s="8" t="str">
        <f>VLOOKUP(K1649,tblCountries[],3,0)</f>
        <v>Oceania</v>
      </c>
      <c r="O1649" s="8">
        <f>VLOOKUP(tblSalaries[[#This Row],[How many hours of a day you work on Excel]],tblHours,2,0)</f>
        <v>5</v>
      </c>
      <c r="P1649" s="8">
        <f>VLOOKUP(tblSalaries[[#This Row],[clean Country]],tblCountries[],5,0)</f>
        <v>1.7488434292323261</v>
      </c>
      <c r="Q1649" s="8">
        <f>IF($Q$1,tblSalaries[[#This Row],[PPP Factor]]*tblSalaries[[#This Row],[Salary in USD]],tblSalaries[[#This Row],[Salary in USD]])</f>
        <v>56628.754645950656</v>
      </c>
    </row>
    <row r="1650" spans="2:17" ht="15" customHeight="1" x14ac:dyDescent="0.25">
      <c r="B1650" t="s">
        <v>3653</v>
      </c>
      <c r="C1650" s="1">
        <v>41065.749756944446</v>
      </c>
      <c r="D1650" s="4" t="s">
        <v>1372</v>
      </c>
      <c r="E1650">
        <v>450000</v>
      </c>
      <c r="F1650" t="s">
        <v>40</v>
      </c>
      <c r="G1650">
        <f>tblSalaries[[#This Row],[clean Salary (in local currency)]]*VLOOKUP(tblSalaries[[#This Row],[Currency]],tblXrate[],2,FALSE)</f>
        <v>8013.5625093491553</v>
      </c>
      <c r="H1650" t="s">
        <v>1824</v>
      </c>
      <c r="I1650" t="s">
        <v>3999</v>
      </c>
      <c r="J1650" t="s">
        <v>8</v>
      </c>
      <c r="K1650" t="str">
        <f>VLOOKUP(tblSalaries[[#This Row],[Where do you work]],tblCountries[[Actual]:[Mapping]],2,FALSE)</f>
        <v>India</v>
      </c>
      <c r="L1650" t="s">
        <v>13</v>
      </c>
      <c r="M1650">
        <v>4</v>
      </c>
      <c r="N1650" s="8" t="str">
        <f>VLOOKUP(K1650,tblCountries[],3,0)</f>
        <v>Asia</v>
      </c>
      <c r="O1650" s="8">
        <f>VLOOKUP(tblSalaries[[#This Row],[How many hours of a day you work on Excel]],tblHours,2,0)</f>
        <v>5</v>
      </c>
      <c r="P1650" s="8">
        <f>VLOOKUP(tblSalaries[[#This Row],[clean Country]],tblCountries[],5,0)</f>
        <v>13.098808879263672</v>
      </c>
      <c r="Q1650" s="8">
        <f>IF($Q$1,tblSalaries[[#This Row],[PPP Factor]]*tblSalaries[[#This Row],[Salary in USD]],tblSalaries[[#This Row],[Salary in USD]])</f>
        <v>8013.5625093491553</v>
      </c>
    </row>
    <row r="1651" spans="2:17" ht="15" customHeight="1" x14ac:dyDescent="0.25">
      <c r="B1651" t="s">
        <v>3654</v>
      </c>
      <c r="C1651" s="1">
        <v>41065.772210648145</v>
      </c>
      <c r="D1651" s="4" t="s">
        <v>1825</v>
      </c>
      <c r="E1651">
        <v>200000</v>
      </c>
      <c r="F1651" t="s">
        <v>40</v>
      </c>
      <c r="G1651">
        <f>tblSalaries[[#This Row],[clean Salary (in local currency)]]*VLOOKUP(tblSalaries[[#This Row],[Currency]],tblXrate[],2,FALSE)</f>
        <v>3561.5833374885137</v>
      </c>
      <c r="H1651" t="s">
        <v>749</v>
      </c>
      <c r="I1651" t="s">
        <v>20</v>
      </c>
      <c r="J1651" t="s">
        <v>8</v>
      </c>
      <c r="K1651" t="str">
        <f>VLOOKUP(tblSalaries[[#This Row],[Where do you work]],tblCountries[[Actual]:[Mapping]],2,FALSE)</f>
        <v>India</v>
      </c>
      <c r="L1651" t="s">
        <v>25</v>
      </c>
      <c r="M1651">
        <v>16</v>
      </c>
      <c r="N1651" s="8" t="str">
        <f>VLOOKUP(K1651,tblCountries[],3,0)</f>
        <v>Asia</v>
      </c>
      <c r="O1651" s="8">
        <f>VLOOKUP(tblSalaries[[#This Row],[How many hours of a day you work on Excel]],tblHours,2,0)</f>
        <v>2</v>
      </c>
      <c r="P1651" s="8">
        <f>VLOOKUP(tblSalaries[[#This Row],[clean Country]],tblCountries[],5,0)</f>
        <v>13.098808879263672</v>
      </c>
      <c r="Q1651" s="8">
        <f>IF($Q$1,tblSalaries[[#This Row],[PPP Factor]]*tblSalaries[[#This Row],[Salary in USD]],tblSalaries[[#This Row],[Salary in USD]])</f>
        <v>3561.5833374885137</v>
      </c>
    </row>
    <row r="1652" spans="2:17" ht="15" customHeight="1" x14ac:dyDescent="0.25">
      <c r="B1652" t="s">
        <v>3655</v>
      </c>
      <c r="C1652" s="1">
        <v>41065.801435185182</v>
      </c>
      <c r="D1652" s="4">
        <v>62000</v>
      </c>
      <c r="E1652">
        <v>62000</v>
      </c>
      <c r="F1652" t="s">
        <v>6</v>
      </c>
      <c r="G1652">
        <f>tblSalaries[[#This Row],[clean Salary (in local currency)]]*VLOOKUP(tblSalaries[[#This Row],[Currency]],tblXrate[],2,FALSE)</f>
        <v>62000</v>
      </c>
      <c r="H1652" t="s">
        <v>19</v>
      </c>
      <c r="I1652" t="s">
        <v>279</v>
      </c>
      <c r="J1652" t="s">
        <v>15</v>
      </c>
      <c r="K1652" t="str">
        <f>VLOOKUP(tblSalaries[[#This Row],[Where do you work]],tblCountries[[Actual]:[Mapping]],2,FALSE)</f>
        <v>USA</v>
      </c>
      <c r="L1652" t="s">
        <v>18</v>
      </c>
      <c r="M1652">
        <v>12</v>
      </c>
      <c r="N1652" s="8" t="str">
        <f>VLOOKUP(K1652,tblCountries[],3,0)</f>
        <v>North Amer.</v>
      </c>
      <c r="O1652" s="8">
        <f>VLOOKUP(tblSalaries[[#This Row],[How many hours of a day you work on Excel]],tblHours,2,0)</f>
        <v>3</v>
      </c>
      <c r="P1652" s="8">
        <f>VLOOKUP(tblSalaries[[#This Row],[clean Country]],tblCountries[],5,0)</f>
        <v>1</v>
      </c>
      <c r="Q1652" s="8">
        <f>IF($Q$1,tblSalaries[[#This Row],[PPP Factor]]*tblSalaries[[#This Row],[Salary in USD]],tblSalaries[[#This Row],[Salary in USD]])</f>
        <v>62000</v>
      </c>
    </row>
    <row r="1653" spans="2:17" ht="15" customHeight="1" x14ac:dyDescent="0.25">
      <c r="B1653" t="s">
        <v>3656</v>
      </c>
      <c r="C1653" s="1">
        <v>41065.802812499998</v>
      </c>
      <c r="D1653" s="4">
        <v>21000</v>
      </c>
      <c r="E1653">
        <v>21000</v>
      </c>
      <c r="F1653" t="s">
        <v>22</v>
      </c>
      <c r="G1653">
        <f>tblSalaries[[#This Row],[clean Salary (in local currency)]]*VLOOKUP(tblSalaries[[#This Row],[Currency]],tblXrate[],2,FALSE)</f>
        <v>26678.388218823762</v>
      </c>
      <c r="H1653" t="s">
        <v>1269</v>
      </c>
      <c r="I1653" t="s">
        <v>20</v>
      </c>
      <c r="J1653" t="s">
        <v>30</v>
      </c>
      <c r="K1653" t="str">
        <f>VLOOKUP(tblSalaries[[#This Row],[Where do you work]],tblCountries[[Actual]:[Mapping]],2,FALSE)</f>
        <v>Portugal</v>
      </c>
      <c r="L1653" t="s">
        <v>9</v>
      </c>
      <c r="M1653">
        <v>5</v>
      </c>
      <c r="N1653" s="8" t="str">
        <f>VLOOKUP(K1653,tblCountries[],3,0)</f>
        <v>Europe</v>
      </c>
      <c r="O1653" s="8">
        <f>VLOOKUP(tblSalaries[[#This Row],[How many hours of a day you work on Excel]],tblHours,2,0)</f>
        <v>4</v>
      </c>
      <c r="P1653" s="8">
        <f>VLOOKUP(tblSalaries[[#This Row],[clean Country]],tblCountries[],5,0)</f>
        <v>2.0712726338769745</v>
      </c>
      <c r="Q1653" s="8">
        <f>IF($Q$1,tblSalaries[[#This Row],[PPP Factor]]*tblSalaries[[#This Row],[Salary in USD]],tblSalaries[[#This Row],[Salary in USD]])</f>
        <v>26678.388218823762</v>
      </c>
    </row>
    <row r="1654" spans="2:17" ht="15" customHeight="1" x14ac:dyDescent="0.25">
      <c r="B1654" t="s">
        <v>3657</v>
      </c>
      <c r="C1654" s="1">
        <v>41065.817511574074</v>
      </c>
      <c r="D1654" s="4" t="s">
        <v>1249</v>
      </c>
      <c r="E1654">
        <v>45000</v>
      </c>
      <c r="F1654" t="s">
        <v>69</v>
      </c>
      <c r="G1654">
        <f>tblSalaries[[#This Row],[clean Salary (in local currency)]]*VLOOKUP(tblSalaries[[#This Row],[Currency]],tblXrate[],2,FALSE)</f>
        <v>70928.022243027779</v>
      </c>
      <c r="H1654" t="s">
        <v>153</v>
      </c>
      <c r="I1654" t="s">
        <v>20</v>
      </c>
      <c r="J1654" t="s">
        <v>71</v>
      </c>
      <c r="K1654" t="str">
        <f>VLOOKUP(tblSalaries[[#This Row],[Where do you work]],tblCountries[[Actual]:[Mapping]],2,FALSE)</f>
        <v>UK</v>
      </c>
      <c r="L1654" t="s">
        <v>13</v>
      </c>
      <c r="M1654">
        <v>5</v>
      </c>
      <c r="N1654" s="8" t="str">
        <f>VLOOKUP(K1654,tblCountries[],3,0)</f>
        <v>Europe</v>
      </c>
      <c r="O1654" s="8">
        <f>VLOOKUP(tblSalaries[[#This Row],[How many hours of a day you work on Excel]],tblHours,2,0)</f>
        <v>5</v>
      </c>
      <c r="P1654" s="8">
        <f>VLOOKUP(tblSalaries[[#This Row],[clean Country]],tblCountries[],5,0)</f>
        <v>1.3407315045719035</v>
      </c>
      <c r="Q1654" s="8">
        <f>IF($Q$1,tblSalaries[[#This Row],[PPP Factor]]*tblSalaries[[#This Row],[Salary in USD]],tblSalaries[[#This Row],[Salary in USD]])</f>
        <v>70928.022243027779</v>
      </c>
    </row>
    <row r="1655" spans="2:17" ht="15" customHeight="1" x14ac:dyDescent="0.25">
      <c r="B1655" t="s">
        <v>3658</v>
      </c>
      <c r="C1655" s="1">
        <v>41065.833043981482</v>
      </c>
      <c r="D1655" s="4">
        <v>33000</v>
      </c>
      <c r="E1655">
        <v>33000</v>
      </c>
      <c r="F1655" t="s">
        <v>22</v>
      </c>
      <c r="G1655">
        <f>tblSalaries[[#This Row],[clean Salary (in local currency)]]*VLOOKUP(tblSalaries[[#This Row],[Currency]],tblXrate[],2,FALSE)</f>
        <v>41923.181486723057</v>
      </c>
      <c r="H1655" t="s">
        <v>1513</v>
      </c>
      <c r="I1655" t="s">
        <v>20</v>
      </c>
      <c r="J1655" t="s">
        <v>1826</v>
      </c>
      <c r="K1655" t="str">
        <f>VLOOKUP(tblSalaries[[#This Row],[Where do you work]],tblCountries[[Actual]:[Mapping]],2,FALSE)</f>
        <v>France</v>
      </c>
      <c r="L1655" t="s">
        <v>9</v>
      </c>
      <c r="M1655">
        <v>6</v>
      </c>
      <c r="N1655" s="8" t="str">
        <f>VLOOKUP(K1655,tblCountries[],3,0)</f>
        <v>Europe</v>
      </c>
      <c r="O1655" s="8">
        <f>VLOOKUP(tblSalaries[[#This Row],[How many hours of a day you work on Excel]],tblHours,2,0)</f>
        <v>4</v>
      </c>
      <c r="P1655" s="8">
        <f>VLOOKUP(tblSalaries[[#This Row],[clean Country]],tblCountries[],5,0)</f>
        <v>1.3763511207190806</v>
      </c>
      <c r="Q1655" s="8">
        <f>IF($Q$1,tblSalaries[[#This Row],[PPP Factor]]*tblSalaries[[#This Row],[Salary in USD]],tblSalaries[[#This Row],[Salary in USD]])</f>
        <v>41923.181486723057</v>
      </c>
    </row>
    <row r="1656" spans="2:17" ht="15" customHeight="1" x14ac:dyDescent="0.25">
      <c r="B1656" t="s">
        <v>3659</v>
      </c>
      <c r="C1656" s="1">
        <v>41065.863437499997</v>
      </c>
      <c r="D1656" s="4">
        <v>90000</v>
      </c>
      <c r="E1656">
        <v>90000</v>
      </c>
      <c r="F1656" t="s">
        <v>6</v>
      </c>
      <c r="G1656">
        <f>tblSalaries[[#This Row],[clean Salary (in local currency)]]*VLOOKUP(tblSalaries[[#This Row],[Currency]],tblXrate[],2,FALSE)</f>
        <v>90000</v>
      </c>
      <c r="H1656" t="s">
        <v>1827</v>
      </c>
      <c r="I1656" t="s">
        <v>20</v>
      </c>
      <c r="J1656" t="s">
        <v>15</v>
      </c>
      <c r="K1656" t="str">
        <f>VLOOKUP(tblSalaries[[#This Row],[Where do you work]],tblCountries[[Actual]:[Mapping]],2,FALSE)</f>
        <v>USA</v>
      </c>
      <c r="L1656" t="s">
        <v>18</v>
      </c>
      <c r="M1656">
        <v>8</v>
      </c>
      <c r="N1656" s="8" t="str">
        <f>VLOOKUP(K1656,tblCountries[],3,0)</f>
        <v>North Amer.</v>
      </c>
      <c r="O1656" s="8">
        <f>VLOOKUP(tblSalaries[[#This Row],[How many hours of a day you work on Excel]],tblHours,2,0)</f>
        <v>3</v>
      </c>
      <c r="P1656" s="8">
        <f>VLOOKUP(tblSalaries[[#This Row],[clean Country]],tblCountries[],5,0)</f>
        <v>1</v>
      </c>
      <c r="Q1656" s="8">
        <f>IF($Q$1,tblSalaries[[#This Row],[PPP Factor]]*tblSalaries[[#This Row],[Salary in USD]],tblSalaries[[#This Row],[Salary in USD]])</f>
        <v>90000</v>
      </c>
    </row>
    <row r="1657" spans="2:17" ht="15" customHeight="1" x14ac:dyDescent="0.25">
      <c r="B1657" t="s">
        <v>3660</v>
      </c>
      <c r="C1657" s="1">
        <v>41065.880046296297</v>
      </c>
      <c r="D1657" s="4" t="s">
        <v>1828</v>
      </c>
      <c r="E1657">
        <v>400000</v>
      </c>
      <c r="F1657" t="s">
        <v>1829</v>
      </c>
      <c r="G1657">
        <f>tblSalaries[[#This Row],[clean Salary (in local currency)]]*VLOOKUP(tblSalaries[[#This Row],[Currency]],tblXrate[],2,FALSE)</f>
        <v>67700.452577525488</v>
      </c>
      <c r="H1657" t="s">
        <v>1830</v>
      </c>
      <c r="I1657" t="s">
        <v>20</v>
      </c>
      <c r="J1657" t="s">
        <v>583</v>
      </c>
      <c r="K1657" t="str">
        <f>VLOOKUP(tblSalaries[[#This Row],[Where do you work]],tblCountries[[Actual]:[Mapping]],2,FALSE)</f>
        <v>Norway</v>
      </c>
      <c r="L1657" t="s">
        <v>13</v>
      </c>
      <c r="M1657">
        <v>5</v>
      </c>
      <c r="N1657" s="8" t="str">
        <f>VLOOKUP(K1657,tblCountries[],3,0)</f>
        <v>Europe</v>
      </c>
      <c r="O1657" s="8">
        <f>VLOOKUP(tblSalaries[[#This Row],[How many hours of a day you work on Excel]],tblHours,2,0)</f>
        <v>5</v>
      </c>
      <c r="P1657" s="8">
        <f>VLOOKUP(tblSalaries[[#This Row],[clean Country]],tblCountries[],5,0)</f>
        <v>0.90492042415514951</v>
      </c>
      <c r="Q1657" s="8">
        <f>IF($Q$1,tblSalaries[[#This Row],[PPP Factor]]*tblSalaries[[#This Row],[Salary in USD]],tblSalaries[[#This Row],[Salary in USD]])</f>
        <v>67700.452577525488</v>
      </c>
    </row>
    <row r="1658" spans="2:17" ht="15" customHeight="1" x14ac:dyDescent="0.25">
      <c r="B1658" t="s">
        <v>3661</v>
      </c>
      <c r="C1658" s="1">
        <v>41065.898460648146</v>
      </c>
      <c r="D1658" s="4">
        <v>85000</v>
      </c>
      <c r="E1658">
        <v>85000</v>
      </c>
      <c r="F1658" t="s">
        <v>6</v>
      </c>
      <c r="G1658">
        <f>tblSalaries[[#This Row],[clean Salary (in local currency)]]*VLOOKUP(tblSalaries[[#This Row],[Currency]],tblXrate[],2,FALSE)</f>
        <v>85000</v>
      </c>
      <c r="H1658" t="s">
        <v>14</v>
      </c>
      <c r="I1658" t="s">
        <v>20</v>
      </c>
      <c r="J1658" t="s">
        <v>15</v>
      </c>
      <c r="K1658" t="str">
        <f>VLOOKUP(tblSalaries[[#This Row],[Where do you work]],tblCountries[[Actual]:[Mapping]],2,FALSE)</f>
        <v>USA</v>
      </c>
      <c r="L1658" t="s">
        <v>9</v>
      </c>
      <c r="M1658">
        <v>12</v>
      </c>
      <c r="N1658" s="8" t="str">
        <f>VLOOKUP(K1658,tblCountries[],3,0)</f>
        <v>North Amer.</v>
      </c>
      <c r="O1658" s="8">
        <f>VLOOKUP(tblSalaries[[#This Row],[How many hours of a day you work on Excel]],tblHours,2,0)</f>
        <v>4</v>
      </c>
      <c r="P1658" s="8">
        <f>VLOOKUP(tblSalaries[[#This Row],[clean Country]],tblCountries[],5,0)</f>
        <v>1</v>
      </c>
      <c r="Q1658" s="8">
        <f>IF($Q$1,tblSalaries[[#This Row],[PPP Factor]]*tblSalaries[[#This Row],[Salary in USD]],tblSalaries[[#This Row],[Salary in USD]])</f>
        <v>85000</v>
      </c>
    </row>
    <row r="1659" spans="2:17" ht="15" customHeight="1" x14ac:dyDescent="0.25">
      <c r="B1659" t="s">
        <v>3662</v>
      </c>
      <c r="C1659" s="1">
        <v>41065.909143518518</v>
      </c>
      <c r="D1659" s="4">
        <v>50000</v>
      </c>
      <c r="E1659">
        <v>50000</v>
      </c>
      <c r="F1659" t="s">
        <v>69</v>
      </c>
      <c r="G1659">
        <f>tblSalaries[[#This Row],[clean Salary (in local currency)]]*VLOOKUP(tblSalaries[[#This Row],[Currency]],tblXrate[],2,FALSE)</f>
        <v>78808.913603364199</v>
      </c>
      <c r="H1659" t="s">
        <v>1024</v>
      </c>
      <c r="I1659" t="s">
        <v>4001</v>
      </c>
      <c r="J1659" t="s">
        <v>71</v>
      </c>
      <c r="K1659" t="str">
        <f>VLOOKUP(tblSalaries[[#This Row],[Where do you work]],tblCountries[[Actual]:[Mapping]],2,FALSE)</f>
        <v>UK</v>
      </c>
      <c r="L1659" t="s">
        <v>9</v>
      </c>
      <c r="M1659">
        <v>10</v>
      </c>
      <c r="N1659" s="8" t="str">
        <f>VLOOKUP(K1659,tblCountries[],3,0)</f>
        <v>Europe</v>
      </c>
      <c r="O1659" s="8">
        <f>VLOOKUP(tblSalaries[[#This Row],[How many hours of a day you work on Excel]],tblHours,2,0)</f>
        <v>4</v>
      </c>
      <c r="P1659" s="8">
        <f>VLOOKUP(tblSalaries[[#This Row],[clean Country]],tblCountries[],5,0)</f>
        <v>1.3407315045719035</v>
      </c>
      <c r="Q1659" s="8">
        <f>IF($Q$1,tblSalaries[[#This Row],[PPP Factor]]*tblSalaries[[#This Row],[Salary in USD]],tblSalaries[[#This Row],[Salary in USD]])</f>
        <v>78808.913603364199</v>
      </c>
    </row>
    <row r="1660" spans="2:17" ht="15" customHeight="1" x14ac:dyDescent="0.25">
      <c r="B1660" t="s">
        <v>3663</v>
      </c>
      <c r="C1660" s="1">
        <v>41065.916435185187</v>
      </c>
      <c r="D1660" s="4">
        <v>65000</v>
      </c>
      <c r="E1660">
        <v>65000</v>
      </c>
      <c r="F1660" t="s">
        <v>6</v>
      </c>
      <c r="G1660">
        <f>tblSalaries[[#This Row],[clean Salary (in local currency)]]*VLOOKUP(tblSalaries[[#This Row],[Currency]],tblXrate[],2,FALSE)</f>
        <v>65000</v>
      </c>
      <c r="H1660" t="s">
        <v>207</v>
      </c>
      <c r="I1660" t="s">
        <v>20</v>
      </c>
      <c r="J1660" t="s">
        <v>15</v>
      </c>
      <c r="K1660" t="str">
        <f>VLOOKUP(tblSalaries[[#This Row],[Where do you work]],tblCountries[[Actual]:[Mapping]],2,FALSE)</f>
        <v>USA</v>
      </c>
      <c r="L1660" t="s">
        <v>9</v>
      </c>
      <c r="M1660">
        <v>8</v>
      </c>
      <c r="N1660" s="8" t="str">
        <f>VLOOKUP(K1660,tblCountries[],3,0)</f>
        <v>North Amer.</v>
      </c>
      <c r="O1660" s="8">
        <f>VLOOKUP(tblSalaries[[#This Row],[How many hours of a day you work on Excel]],tblHours,2,0)</f>
        <v>4</v>
      </c>
      <c r="P1660" s="8">
        <f>VLOOKUP(tblSalaries[[#This Row],[clean Country]],tblCountries[],5,0)</f>
        <v>1</v>
      </c>
      <c r="Q1660" s="8">
        <f>IF($Q$1,tblSalaries[[#This Row],[PPP Factor]]*tblSalaries[[#This Row],[Salary in USD]],tblSalaries[[#This Row],[Salary in USD]])</f>
        <v>65000</v>
      </c>
    </row>
    <row r="1661" spans="2:17" ht="15" customHeight="1" x14ac:dyDescent="0.25">
      <c r="B1661" t="s">
        <v>3664</v>
      </c>
      <c r="C1661" s="1">
        <v>41065.920254629629</v>
      </c>
      <c r="D1661" s="4">
        <v>75000</v>
      </c>
      <c r="E1661">
        <v>75000</v>
      </c>
      <c r="F1661" t="s">
        <v>6</v>
      </c>
      <c r="G1661">
        <f>tblSalaries[[#This Row],[clean Salary (in local currency)]]*VLOOKUP(tblSalaries[[#This Row],[Currency]],tblXrate[],2,FALSE)</f>
        <v>75000</v>
      </c>
      <c r="H1661" t="s">
        <v>1831</v>
      </c>
      <c r="I1661" t="s">
        <v>4001</v>
      </c>
      <c r="J1661" t="s">
        <v>15</v>
      </c>
      <c r="K1661" t="str">
        <f>VLOOKUP(tblSalaries[[#This Row],[Where do you work]],tblCountries[[Actual]:[Mapping]],2,FALSE)</f>
        <v>USA</v>
      </c>
      <c r="L1661" t="s">
        <v>18</v>
      </c>
      <c r="M1661">
        <v>3</v>
      </c>
      <c r="N1661" s="8" t="str">
        <f>VLOOKUP(K1661,tblCountries[],3,0)</f>
        <v>North Amer.</v>
      </c>
      <c r="O1661" s="8">
        <f>VLOOKUP(tblSalaries[[#This Row],[How many hours of a day you work on Excel]],tblHours,2,0)</f>
        <v>3</v>
      </c>
      <c r="P1661" s="8">
        <f>VLOOKUP(tblSalaries[[#This Row],[clean Country]],tblCountries[],5,0)</f>
        <v>1</v>
      </c>
      <c r="Q1661" s="8">
        <f>IF($Q$1,tblSalaries[[#This Row],[PPP Factor]]*tblSalaries[[#This Row],[Salary in USD]],tblSalaries[[#This Row],[Salary in USD]])</f>
        <v>75000</v>
      </c>
    </row>
    <row r="1662" spans="2:17" ht="15" customHeight="1" x14ac:dyDescent="0.25">
      <c r="B1662" t="s">
        <v>3665</v>
      </c>
      <c r="C1662" s="1">
        <v>41065.947534722225</v>
      </c>
      <c r="D1662" s="4">
        <v>92000</v>
      </c>
      <c r="E1662">
        <v>92000</v>
      </c>
      <c r="F1662" t="s">
        <v>6</v>
      </c>
      <c r="G1662">
        <f>tblSalaries[[#This Row],[clean Salary (in local currency)]]*VLOOKUP(tblSalaries[[#This Row],[Currency]],tblXrate[],2,FALSE)</f>
        <v>92000</v>
      </c>
      <c r="H1662" t="s">
        <v>1832</v>
      </c>
      <c r="I1662" t="s">
        <v>20</v>
      </c>
      <c r="J1662" t="s">
        <v>15</v>
      </c>
      <c r="K1662" t="str">
        <f>VLOOKUP(tblSalaries[[#This Row],[Where do you work]],tblCountries[[Actual]:[Mapping]],2,FALSE)</f>
        <v>USA</v>
      </c>
      <c r="L1662" t="s">
        <v>9</v>
      </c>
      <c r="M1662">
        <v>9</v>
      </c>
      <c r="N1662" s="8" t="str">
        <f>VLOOKUP(K1662,tblCountries[],3,0)</f>
        <v>North Amer.</v>
      </c>
      <c r="O1662" s="8">
        <f>VLOOKUP(tblSalaries[[#This Row],[How many hours of a day you work on Excel]],tblHours,2,0)</f>
        <v>4</v>
      </c>
      <c r="P1662" s="8">
        <f>VLOOKUP(tblSalaries[[#This Row],[clean Country]],tblCountries[],5,0)</f>
        <v>1</v>
      </c>
      <c r="Q1662" s="8">
        <f>IF($Q$1,tblSalaries[[#This Row],[PPP Factor]]*tblSalaries[[#This Row],[Salary in USD]],tblSalaries[[#This Row],[Salary in USD]])</f>
        <v>92000</v>
      </c>
    </row>
    <row r="1663" spans="2:17" ht="15" customHeight="1" x14ac:dyDescent="0.25">
      <c r="B1663" t="s">
        <v>3666</v>
      </c>
      <c r="C1663" s="1">
        <v>41065.951620370368</v>
      </c>
      <c r="D1663" s="4">
        <v>40000</v>
      </c>
      <c r="E1663">
        <v>40000</v>
      </c>
      <c r="F1663" t="s">
        <v>22</v>
      </c>
      <c r="G1663">
        <f>tblSalaries[[#This Row],[clean Salary (in local currency)]]*VLOOKUP(tblSalaries[[#This Row],[Currency]],tblXrate[],2,FALSE)</f>
        <v>50815.977559664309</v>
      </c>
      <c r="H1663" t="s">
        <v>14</v>
      </c>
      <c r="I1663" t="s">
        <v>20</v>
      </c>
      <c r="J1663" t="s">
        <v>24</v>
      </c>
      <c r="K1663" t="str">
        <f>VLOOKUP(tblSalaries[[#This Row],[Where do you work]],tblCountries[[Actual]:[Mapping]],2,FALSE)</f>
        <v>Germany</v>
      </c>
      <c r="L1663" t="s">
        <v>18</v>
      </c>
      <c r="M1663">
        <v>3</v>
      </c>
      <c r="N1663" s="8" t="str">
        <f>VLOOKUP(K1663,tblCountries[],3,0)</f>
        <v>Europe</v>
      </c>
      <c r="O1663" s="8">
        <f>VLOOKUP(tblSalaries[[#This Row],[How many hours of a day you work on Excel]],tblHours,2,0)</f>
        <v>3</v>
      </c>
      <c r="P1663" s="8">
        <f>VLOOKUP(tblSalaries[[#This Row],[clean Country]],tblCountries[],5,0)</f>
        <v>1.276802913159353</v>
      </c>
      <c r="Q1663" s="8">
        <f>IF($Q$1,tblSalaries[[#This Row],[PPP Factor]]*tblSalaries[[#This Row],[Salary in USD]],tblSalaries[[#This Row],[Salary in USD]])</f>
        <v>50815.977559664309</v>
      </c>
    </row>
    <row r="1664" spans="2:17" ht="15" customHeight="1" x14ac:dyDescent="0.25">
      <c r="B1664" t="s">
        <v>3667</v>
      </c>
      <c r="C1664" s="1">
        <v>41065.965092592596</v>
      </c>
      <c r="D1664" s="4" t="s">
        <v>1833</v>
      </c>
      <c r="E1664">
        <v>35500</v>
      </c>
      <c r="F1664" t="s">
        <v>69</v>
      </c>
      <c r="G1664">
        <f>tblSalaries[[#This Row],[clean Salary (in local currency)]]*VLOOKUP(tblSalaries[[#This Row],[Currency]],tblXrate[],2,FALSE)</f>
        <v>55954.328658388586</v>
      </c>
      <c r="H1664" t="s">
        <v>1287</v>
      </c>
      <c r="I1664" t="s">
        <v>310</v>
      </c>
      <c r="J1664" t="s">
        <v>71</v>
      </c>
      <c r="K1664" t="str">
        <f>VLOOKUP(tblSalaries[[#This Row],[Where do you work]],tblCountries[[Actual]:[Mapping]],2,FALSE)</f>
        <v>UK</v>
      </c>
      <c r="L1664" t="s">
        <v>9</v>
      </c>
      <c r="M1664">
        <v>8</v>
      </c>
      <c r="N1664" s="8" t="str">
        <f>VLOOKUP(K1664,tblCountries[],3,0)</f>
        <v>Europe</v>
      </c>
      <c r="O1664" s="8">
        <f>VLOOKUP(tblSalaries[[#This Row],[How many hours of a day you work on Excel]],tblHours,2,0)</f>
        <v>4</v>
      </c>
      <c r="P1664" s="8">
        <f>VLOOKUP(tblSalaries[[#This Row],[clean Country]],tblCountries[],5,0)</f>
        <v>1.3407315045719035</v>
      </c>
      <c r="Q1664" s="8">
        <f>IF($Q$1,tblSalaries[[#This Row],[PPP Factor]]*tblSalaries[[#This Row],[Salary in USD]],tblSalaries[[#This Row],[Salary in USD]])</f>
        <v>55954.328658388586</v>
      </c>
    </row>
    <row r="1665" spans="2:17" ht="15" customHeight="1" x14ac:dyDescent="0.25">
      <c r="B1665" t="s">
        <v>3668</v>
      </c>
      <c r="C1665" s="1">
        <v>41066.034201388888</v>
      </c>
      <c r="D1665" s="4">
        <v>45000</v>
      </c>
      <c r="E1665">
        <v>45000</v>
      </c>
      <c r="F1665" t="s">
        <v>6</v>
      </c>
      <c r="G1665">
        <f>tblSalaries[[#This Row],[clean Salary (in local currency)]]*VLOOKUP(tblSalaries[[#This Row],[Currency]],tblXrate[],2,FALSE)</f>
        <v>45000</v>
      </c>
      <c r="H1665" t="s">
        <v>1834</v>
      </c>
      <c r="I1665" t="s">
        <v>20</v>
      </c>
      <c r="J1665" t="s">
        <v>15</v>
      </c>
      <c r="K1665" t="str">
        <f>VLOOKUP(tblSalaries[[#This Row],[Where do you work]],tblCountries[[Actual]:[Mapping]],2,FALSE)</f>
        <v>USA</v>
      </c>
      <c r="L1665" t="s">
        <v>18</v>
      </c>
      <c r="M1665">
        <v>4</v>
      </c>
      <c r="N1665" s="8" t="str">
        <f>VLOOKUP(K1665,tblCountries[],3,0)</f>
        <v>North Amer.</v>
      </c>
      <c r="O1665" s="8">
        <f>VLOOKUP(tblSalaries[[#This Row],[How many hours of a day you work on Excel]],tblHours,2,0)</f>
        <v>3</v>
      </c>
      <c r="P1665" s="8">
        <f>VLOOKUP(tblSalaries[[#This Row],[clean Country]],tblCountries[],5,0)</f>
        <v>1</v>
      </c>
      <c r="Q1665" s="8">
        <f>IF($Q$1,tblSalaries[[#This Row],[PPP Factor]]*tblSalaries[[#This Row],[Salary in USD]],tblSalaries[[#This Row],[Salary in USD]])</f>
        <v>45000</v>
      </c>
    </row>
    <row r="1666" spans="2:17" ht="15" customHeight="1" x14ac:dyDescent="0.25">
      <c r="B1666" t="s">
        <v>3669</v>
      </c>
      <c r="C1666" s="1">
        <v>41066.044849537036</v>
      </c>
      <c r="D1666" s="4" t="s">
        <v>1835</v>
      </c>
      <c r="E1666">
        <v>400000</v>
      </c>
      <c r="F1666" t="s">
        <v>40</v>
      </c>
      <c r="G1666">
        <f>tblSalaries[[#This Row],[clean Salary (in local currency)]]*VLOOKUP(tblSalaries[[#This Row],[Currency]],tblXrate[],2,FALSE)</f>
        <v>7123.1666749770275</v>
      </c>
      <c r="H1666" t="s">
        <v>20</v>
      </c>
      <c r="I1666" t="s">
        <v>20</v>
      </c>
      <c r="J1666" t="s">
        <v>8</v>
      </c>
      <c r="K1666" t="str">
        <f>VLOOKUP(tblSalaries[[#This Row],[Where do you work]],tblCountries[[Actual]:[Mapping]],2,FALSE)</f>
        <v>India</v>
      </c>
      <c r="L1666" t="s">
        <v>9</v>
      </c>
      <c r="M1666">
        <v>4</v>
      </c>
      <c r="N1666" s="8" t="str">
        <f>VLOOKUP(K1666,tblCountries[],3,0)</f>
        <v>Asia</v>
      </c>
      <c r="O1666" s="8">
        <f>VLOOKUP(tblSalaries[[#This Row],[How many hours of a day you work on Excel]],tblHours,2,0)</f>
        <v>4</v>
      </c>
      <c r="P1666" s="8">
        <f>VLOOKUP(tblSalaries[[#This Row],[clean Country]],tblCountries[],5,0)</f>
        <v>13.098808879263672</v>
      </c>
      <c r="Q1666" s="8">
        <f>IF($Q$1,tblSalaries[[#This Row],[PPP Factor]]*tblSalaries[[#This Row],[Salary in USD]],tblSalaries[[#This Row],[Salary in USD]])</f>
        <v>7123.1666749770275</v>
      </c>
    </row>
    <row r="1667" spans="2:17" ht="15" customHeight="1" x14ac:dyDescent="0.25">
      <c r="B1667" t="s">
        <v>3670</v>
      </c>
      <c r="C1667" s="1">
        <v>41066.060370370367</v>
      </c>
      <c r="D1667" s="4" t="s">
        <v>1836</v>
      </c>
      <c r="E1667">
        <v>38920</v>
      </c>
      <c r="F1667" t="s">
        <v>22</v>
      </c>
      <c r="G1667">
        <f>tblSalaries[[#This Row],[clean Salary (in local currency)]]*VLOOKUP(tblSalaries[[#This Row],[Currency]],tblXrate[],2,FALSE)</f>
        <v>49443.946165553374</v>
      </c>
      <c r="H1667" t="s">
        <v>1837</v>
      </c>
      <c r="I1667" t="s">
        <v>20</v>
      </c>
      <c r="J1667" t="s">
        <v>59</v>
      </c>
      <c r="K1667" t="str">
        <f>VLOOKUP(tblSalaries[[#This Row],[Where do you work]],tblCountries[[Actual]:[Mapping]],2,FALSE)</f>
        <v>Belgium</v>
      </c>
      <c r="L1667" t="s">
        <v>9</v>
      </c>
      <c r="M1667">
        <v>1.5</v>
      </c>
      <c r="N1667" s="8" t="str">
        <f>VLOOKUP(K1667,tblCountries[],3,0)</f>
        <v>Europe</v>
      </c>
      <c r="O1667" s="8">
        <f>VLOOKUP(tblSalaries[[#This Row],[How many hours of a day you work on Excel]],tblHours,2,0)</f>
        <v>4</v>
      </c>
      <c r="P1667" s="8">
        <f>VLOOKUP(tblSalaries[[#This Row],[clean Country]],tblCountries[],5,0)</f>
        <v>1.2822163924000318</v>
      </c>
      <c r="Q1667" s="8">
        <f>IF($Q$1,tblSalaries[[#This Row],[PPP Factor]]*tblSalaries[[#This Row],[Salary in USD]],tblSalaries[[#This Row],[Salary in USD]])</f>
        <v>49443.946165553374</v>
      </c>
    </row>
    <row r="1668" spans="2:17" ht="15" customHeight="1" x14ac:dyDescent="0.25">
      <c r="B1668" t="s">
        <v>3671</v>
      </c>
      <c r="C1668" s="1">
        <v>41066.070601851854</v>
      </c>
      <c r="D1668" s="4" t="s">
        <v>1838</v>
      </c>
      <c r="E1668">
        <v>45000</v>
      </c>
      <c r="F1668" t="s">
        <v>6</v>
      </c>
      <c r="G1668">
        <f>tblSalaries[[#This Row],[clean Salary (in local currency)]]*VLOOKUP(tblSalaries[[#This Row],[Currency]],tblXrate[],2,FALSE)</f>
        <v>45000</v>
      </c>
      <c r="H1668" t="s">
        <v>29</v>
      </c>
      <c r="I1668" t="s">
        <v>4001</v>
      </c>
      <c r="J1668" t="s">
        <v>166</v>
      </c>
      <c r="K1668" t="str">
        <f>VLOOKUP(tblSalaries[[#This Row],[Where do you work]],tblCountries[[Actual]:[Mapping]],2,FALSE)</f>
        <v>Mexico</v>
      </c>
      <c r="L1668" t="s">
        <v>9</v>
      </c>
      <c r="M1668">
        <v>5</v>
      </c>
      <c r="N1668" s="8" t="str">
        <f>VLOOKUP(K1668,tblCountries[],3,0)</f>
        <v>North Amer.</v>
      </c>
      <c r="O1668" s="8">
        <f>VLOOKUP(tblSalaries[[#This Row],[How many hours of a day you work on Excel]],tblHours,2,0)</f>
        <v>4</v>
      </c>
      <c r="P1668" s="8">
        <f>VLOOKUP(tblSalaries[[#This Row],[clean Country]],tblCountries[],5,0)</f>
        <v>3.3119096509240245</v>
      </c>
      <c r="Q1668" s="8">
        <f>IF($Q$1,tblSalaries[[#This Row],[PPP Factor]]*tblSalaries[[#This Row],[Salary in USD]],tblSalaries[[#This Row],[Salary in USD]])</f>
        <v>45000</v>
      </c>
    </row>
    <row r="1669" spans="2:17" ht="15" customHeight="1" x14ac:dyDescent="0.25">
      <c r="B1669" t="s">
        <v>3672</v>
      </c>
      <c r="C1669" s="1">
        <v>41066.091643518521</v>
      </c>
      <c r="D1669" s="4" t="s">
        <v>1839</v>
      </c>
      <c r="E1669">
        <v>60000</v>
      </c>
      <c r="F1669" t="s">
        <v>6</v>
      </c>
      <c r="G1669">
        <f>tblSalaries[[#This Row],[clean Salary (in local currency)]]*VLOOKUP(tblSalaries[[#This Row],[Currency]],tblXrate[],2,FALSE)</f>
        <v>60000</v>
      </c>
      <c r="H1669" t="s">
        <v>20</v>
      </c>
      <c r="I1669" t="s">
        <v>20</v>
      </c>
      <c r="J1669" t="s">
        <v>15</v>
      </c>
      <c r="K1669" t="str">
        <f>VLOOKUP(tblSalaries[[#This Row],[Where do you work]],tblCountries[[Actual]:[Mapping]],2,FALSE)</f>
        <v>USA</v>
      </c>
      <c r="L1669" t="s">
        <v>13</v>
      </c>
      <c r="M1669">
        <v>1</v>
      </c>
      <c r="N1669" s="8" t="str">
        <f>VLOOKUP(K1669,tblCountries[],3,0)</f>
        <v>North Amer.</v>
      </c>
      <c r="O1669" s="8">
        <f>VLOOKUP(tblSalaries[[#This Row],[How many hours of a day you work on Excel]],tblHours,2,0)</f>
        <v>5</v>
      </c>
      <c r="P1669" s="8">
        <f>VLOOKUP(tblSalaries[[#This Row],[clean Country]],tblCountries[],5,0)</f>
        <v>1</v>
      </c>
      <c r="Q1669" s="8">
        <f>IF($Q$1,tblSalaries[[#This Row],[PPP Factor]]*tblSalaries[[#This Row],[Salary in USD]],tblSalaries[[#This Row],[Salary in USD]])</f>
        <v>60000</v>
      </c>
    </row>
    <row r="1670" spans="2:17" ht="15" customHeight="1" x14ac:dyDescent="0.25">
      <c r="B1670" t="s">
        <v>3673</v>
      </c>
      <c r="C1670" s="1">
        <v>41066.095300925925</v>
      </c>
      <c r="D1670" s="4">
        <v>65000</v>
      </c>
      <c r="E1670">
        <v>65000</v>
      </c>
      <c r="F1670" t="s">
        <v>6</v>
      </c>
      <c r="G1670">
        <f>tblSalaries[[#This Row],[clean Salary (in local currency)]]*VLOOKUP(tblSalaries[[#This Row],[Currency]],tblXrate[],2,FALSE)</f>
        <v>65000</v>
      </c>
      <c r="H1670" t="s">
        <v>1840</v>
      </c>
      <c r="I1670" t="s">
        <v>20</v>
      </c>
      <c r="J1670" t="s">
        <v>15</v>
      </c>
      <c r="K1670" t="str">
        <f>VLOOKUP(tblSalaries[[#This Row],[Where do you work]],tblCountries[[Actual]:[Mapping]],2,FALSE)</f>
        <v>USA</v>
      </c>
      <c r="L1670" t="s">
        <v>13</v>
      </c>
      <c r="M1670">
        <v>4</v>
      </c>
      <c r="N1670" s="8" t="str">
        <f>VLOOKUP(K1670,tblCountries[],3,0)</f>
        <v>North Amer.</v>
      </c>
      <c r="O1670" s="8">
        <f>VLOOKUP(tblSalaries[[#This Row],[How many hours of a day you work on Excel]],tblHours,2,0)</f>
        <v>5</v>
      </c>
      <c r="P1670" s="8">
        <f>VLOOKUP(tblSalaries[[#This Row],[clean Country]],tblCountries[],5,0)</f>
        <v>1</v>
      </c>
      <c r="Q1670" s="8">
        <f>IF($Q$1,tblSalaries[[#This Row],[PPP Factor]]*tblSalaries[[#This Row],[Salary in USD]],tblSalaries[[#This Row],[Salary in USD]])</f>
        <v>65000</v>
      </c>
    </row>
    <row r="1671" spans="2:17" ht="15" customHeight="1" x14ac:dyDescent="0.25">
      <c r="B1671" t="s">
        <v>3674</v>
      </c>
      <c r="C1671" s="1">
        <v>41066.135370370372</v>
      </c>
      <c r="D1671" s="4">
        <v>73000</v>
      </c>
      <c r="E1671">
        <v>73000</v>
      </c>
      <c r="F1671" t="s">
        <v>6</v>
      </c>
      <c r="G1671">
        <f>tblSalaries[[#This Row],[clean Salary (in local currency)]]*VLOOKUP(tblSalaries[[#This Row],[Currency]],tblXrate[],2,FALSE)</f>
        <v>73000</v>
      </c>
      <c r="H1671" t="s">
        <v>1841</v>
      </c>
      <c r="I1671" t="s">
        <v>52</v>
      </c>
      <c r="J1671" t="s">
        <v>15</v>
      </c>
      <c r="K1671" t="str">
        <f>VLOOKUP(tblSalaries[[#This Row],[Where do you work]],tblCountries[[Actual]:[Mapping]],2,FALSE)</f>
        <v>USA</v>
      </c>
      <c r="L1671" t="s">
        <v>18</v>
      </c>
      <c r="M1671">
        <v>6</v>
      </c>
      <c r="N1671" s="8" t="str">
        <f>VLOOKUP(K1671,tblCountries[],3,0)</f>
        <v>North Amer.</v>
      </c>
      <c r="O1671" s="8">
        <f>VLOOKUP(tblSalaries[[#This Row],[How many hours of a day you work on Excel]],tblHours,2,0)</f>
        <v>3</v>
      </c>
      <c r="P1671" s="8">
        <f>VLOOKUP(tblSalaries[[#This Row],[clean Country]],tblCountries[],5,0)</f>
        <v>1</v>
      </c>
      <c r="Q1671" s="8">
        <f>IF($Q$1,tblSalaries[[#This Row],[PPP Factor]]*tblSalaries[[#This Row],[Salary in USD]],tblSalaries[[#This Row],[Salary in USD]])</f>
        <v>73000</v>
      </c>
    </row>
    <row r="1672" spans="2:17" ht="15" customHeight="1" x14ac:dyDescent="0.25">
      <c r="B1672" t="s">
        <v>3675</v>
      </c>
      <c r="C1672" s="1">
        <v>41066.167268518519</v>
      </c>
      <c r="D1672" s="4">
        <v>54000</v>
      </c>
      <c r="E1672">
        <v>54000</v>
      </c>
      <c r="F1672" t="s">
        <v>6</v>
      </c>
      <c r="G1672">
        <f>tblSalaries[[#This Row],[clean Salary (in local currency)]]*VLOOKUP(tblSalaries[[#This Row],[Currency]],tblXrate[],2,FALSE)</f>
        <v>54000</v>
      </c>
      <c r="H1672" t="s">
        <v>309</v>
      </c>
      <c r="I1672" t="s">
        <v>20</v>
      </c>
      <c r="J1672" t="s">
        <v>15</v>
      </c>
      <c r="K1672" t="str">
        <f>VLOOKUP(tblSalaries[[#This Row],[Where do you work]],tblCountries[[Actual]:[Mapping]],2,FALSE)</f>
        <v>USA</v>
      </c>
      <c r="L1672" t="s">
        <v>13</v>
      </c>
      <c r="M1672">
        <v>6</v>
      </c>
      <c r="N1672" s="8" t="str">
        <f>VLOOKUP(K1672,tblCountries[],3,0)</f>
        <v>North Amer.</v>
      </c>
      <c r="O1672" s="8">
        <f>VLOOKUP(tblSalaries[[#This Row],[How many hours of a day you work on Excel]],tblHours,2,0)</f>
        <v>5</v>
      </c>
      <c r="P1672" s="8">
        <f>VLOOKUP(tblSalaries[[#This Row],[clean Country]],tblCountries[],5,0)</f>
        <v>1</v>
      </c>
      <c r="Q1672" s="8">
        <f>IF($Q$1,tblSalaries[[#This Row],[PPP Factor]]*tblSalaries[[#This Row],[Salary in USD]],tblSalaries[[#This Row],[Salary in USD]])</f>
        <v>54000</v>
      </c>
    </row>
    <row r="1673" spans="2:17" ht="15" customHeight="1" x14ac:dyDescent="0.25">
      <c r="B1673" t="s">
        <v>3676</v>
      </c>
      <c r="C1673" s="1">
        <v>41066.245127314818</v>
      </c>
      <c r="D1673" s="4">
        <v>81000</v>
      </c>
      <c r="E1673">
        <v>81000</v>
      </c>
      <c r="F1673" t="s">
        <v>6</v>
      </c>
      <c r="G1673">
        <f>tblSalaries[[#This Row],[clean Salary (in local currency)]]*VLOOKUP(tblSalaries[[#This Row],[Currency]],tblXrate[],2,FALSE)</f>
        <v>81000</v>
      </c>
      <c r="H1673" t="s">
        <v>1842</v>
      </c>
      <c r="I1673" t="s">
        <v>20</v>
      </c>
      <c r="J1673" t="s">
        <v>15</v>
      </c>
      <c r="K1673" t="str">
        <f>VLOOKUP(tblSalaries[[#This Row],[Where do you work]],tblCountries[[Actual]:[Mapping]],2,FALSE)</f>
        <v>USA</v>
      </c>
      <c r="L1673" t="s">
        <v>9</v>
      </c>
      <c r="M1673">
        <v>6</v>
      </c>
      <c r="N1673" s="8" t="str">
        <f>VLOOKUP(K1673,tblCountries[],3,0)</f>
        <v>North Amer.</v>
      </c>
      <c r="O1673" s="8">
        <f>VLOOKUP(tblSalaries[[#This Row],[How many hours of a day you work on Excel]],tblHours,2,0)</f>
        <v>4</v>
      </c>
      <c r="P1673" s="8">
        <f>VLOOKUP(tblSalaries[[#This Row],[clean Country]],tblCountries[],5,0)</f>
        <v>1</v>
      </c>
      <c r="Q1673" s="8">
        <f>IF($Q$1,tblSalaries[[#This Row],[PPP Factor]]*tblSalaries[[#This Row],[Salary in USD]],tblSalaries[[#This Row],[Salary in USD]])</f>
        <v>81000</v>
      </c>
    </row>
    <row r="1674" spans="2:17" ht="15" customHeight="1" x14ac:dyDescent="0.25">
      <c r="B1674" t="s">
        <v>3677</v>
      </c>
      <c r="C1674" s="1">
        <v>41066.311666666668</v>
      </c>
      <c r="D1674" s="4">
        <v>10000</v>
      </c>
      <c r="E1674">
        <v>10000</v>
      </c>
      <c r="F1674" t="s">
        <v>6</v>
      </c>
      <c r="G1674">
        <f>tblSalaries[[#This Row],[clean Salary (in local currency)]]*VLOOKUP(tblSalaries[[#This Row],[Currency]],tblXrate[],2,FALSE)</f>
        <v>10000</v>
      </c>
      <c r="H1674" t="s">
        <v>1843</v>
      </c>
      <c r="I1674" t="s">
        <v>20</v>
      </c>
      <c r="J1674" t="s">
        <v>15</v>
      </c>
      <c r="K1674" t="str">
        <f>VLOOKUP(tblSalaries[[#This Row],[Where do you work]],tblCountries[[Actual]:[Mapping]],2,FALSE)</f>
        <v>USA</v>
      </c>
      <c r="L1674" t="s">
        <v>9</v>
      </c>
      <c r="M1674">
        <v>2</v>
      </c>
      <c r="N1674" s="8" t="str">
        <f>VLOOKUP(K1674,tblCountries[],3,0)</f>
        <v>North Amer.</v>
      </c>
      <c r="O1674" s="8">
        <f>VLOOKUP(tblSalaries[[#This Row],[How many hours of a day you work on Excel]],tblHours,2,0)</f>
        <v>4</v>
      </c>
      <c r="P1674" s="8">
        <f>VLOOKUP(tblSalaries[[#This Row],[clean Country]],tblCountries[],5,0)</f>
        <v>1</v>
      </c>
      <c r="Q1674" s="8">
        <f>IF($Q$1,tblSalaries[[#This Row],[PPP Factor]]*tblSalaries[[#This Row],[Salary in USD]],tblSalaries[[#This Row],[Salary in USD]])</f>
        <v>10000</v>
      </c>
    </row>
    <row r="1675" spans="2:17" ht="15" customHeight="1" x14ac:dyDescent="0.25">
      <c r="B1675" t="s">
        <v>3678</v>
      </c>
      <c r="C1675" s="1">
        <v>41066.351342592592</v>
      </c>
      <c r="D1675" s="4">
        <v>42000</v>
      </c>
      <c r="E1675">
        <v>42000</v>
      </c>
      <c r="F1675" t="s">
        <v>6</v>
      </c>
      <c r="G1675">
        <f>tblSalaries[[#This Row],[clean Salary (in local currency)]]*VLOOKUP(tblSalaries[[#This Row],[Currency]],tblXrate[],2,FALSE)</f>
        <v>42000</v>
      </c>
      <c r="H1675" t="s">
        <v>1369</v>
      </c>
      <c r="I1675" t="s">
        <v>310</v>
      </c>
      <c r="J1675" t="s">
        <v>15</v>
      </c>
      <c r="K1675" t="str">
        <f>VLOOKUP(tblSalaries[[#This Row],[Where do you work]],tblCountries[[Actual]:[Mapping]],2,FALSE)</f>
        <v>USA</v>
      </c>
      <c r="L1675" t="s">
        <v>9</v>
      </c>
      <c r="M1675">
        <v>1</v>
      </c>
      <c r="N1675" s="8" t="str">
        <f>VLOOKUP(K1675,tblCountries[],3,0)</f>
        <v>North Amer.</v>
      </c>
      <c r="O1675" s="8">
        <f>VLOOKUP(tblSalaries[[#This Row],[How many hours of a day you work on Excel]],tblHours,2,0)</f>
        <v>4</v>
      </c>
      <c r="P1675" s="8">
        <f>VLOOKUP(tblSalaries[[#This Row],[clean Country]],tblCountries[],5,0)</f>
        <v>1</v>
      </c>
      <c r="Q1675" s="8">
        <f>IF($Q$1,tblSalaries[[#This Row],[PPP Factor]]*tblSalaries[[#This Row],[Salary in USD]],tblSalaries[[#This Row],[Salary in USD]])</f>
        <v>42000</v>
      </c>
    </row>
    <row r="1676" spans="2:17" ht="15" customHeight="1" x14ac:dyDescent="0.25">
      <c r="B1676" t="s">
        <v>3679</v>
      </c>
      <c r="C1676" s="1">
        <v>41066.39707175926</v>
      </c>
      <c r="D1676" s="4">
        <v>80000</v>
      </c>
      <c r="E1676">
        <v>80000</v>
      </c>
      <c r="F1676" t="s">
        <v>82</v>
      </c>
      <c r="G1676">
        <f>tblSalaries[[#This Row],[clean Salary (in local currency)]]*VLOOKUP(tblSalaries[[#This Row],[Currency]],tblXrate[],2,FALSE)</f>
        <v>81592.772512210868</v>
      </c>
      <c r="H1676" t="s">
        <v>1844</v>
      </c>
      <c r="I1676" t="s">
        <v>67</v>
      </c>
      <c r="J1676" t="s">
        <v>84</v>
      </c>
      <c r="K1676" t="str">
        <f>VLOOKUP(tblSalaries[[#This Row],[Where do you work]],tblCountries[[Actual]:[Mapping]],2,FALSE)</f>
        <v>Australia</v>
      </c>
      <c r="L1676" t="s">
        <v>9</v>
      </c>
      <c r="M1676">
        <v>5</v>
      </c>
      <c r="N1676" s="8" t="str">
        <f>VLOOKUP(K1676,tblCountries[],3,0)</f>
        <v>Oceania</v>
      </c>
      <c r="O1676" s="8">
        <f>VLOOKUP(tblSalaries[[#This Row],[How many hours of a day you work on Excel]],tblHours,2,0)</f>
        <v>4</v>
      </c>
      <c r="P1676" s="8">
        <f>VLOOKUP(tblSalaries[[#This Row],[clean Country]],tblCountries[],5,0)</f>
        <v>1.2026395585822935</v>
      </c>
      <c r="Q1676" s="8">
        <f>IF($Q$1,tblSalaries[[#This Row],[PPP Factor]]*tblSalaries[[#This Row],[Salary in USD]],tblSalaries[[#This Row],[Salary in USD]])</f>
        <v>81592.772512210868</v>
      </c>
    </row>
    <row r="1677" spans="2:17" ht="15" customHeight="1" x14ac:dyDescent="0.25">
      <c r="B1677" t="s">
        <v>3680</v>
      </c>
      <c r="C1677" s="1">
        <v>41066.473009259258</v>
      </c>
      <c r="D1677" s="4">
        <v>36000</v>
      </c>
      <c r="E1677">
        <v>36000</v>
      </c>
      <c r="F1677" t="s">
        <v>86</v>
      </c>
      <c r="G1677">
        <f>tblSalaries[[#This Row],[clean Salary (in local currency)]]*VLOOKUP(tblSalaries[[#This Row],[Currency]],tblXrate[],2,FALSE)</f>
        <v>35401.014829091764</v>
      </c>
      <c r="H1677" t="s">
        <v>1845</v>
      </c>
      <c r="I1677" t="s">
        <v>20</v>
      </c>
      <c r="J1677" t="s">
        <v>88</v>
      </c>
      <c r="K1677" t="str">
        <f>VLOOKUP(tblSalaries[[#This Row],[Where do you work]],tblCountries[[Actual]:[Mapping]],2,FALSE)</f>
        <v>Canada</v>
      </c>
      <c r="L1677" t="s">
        <v>13</v>
      </c>
      <c r="M1677">
        <v>2</v>
      </c>
      <c r="N1677" s="8" t="str">
        <f>VLOOKUP(K1677,tblCountries[],3,0)</f>
        <v>North Amer.</v>
      </c>
      <c r="O1677" s="8">
        <f>VLOOKUP(tblSalaries[[#This Row],[How many hours of a day you work on Excel]],tblHours,2,0)</f>
        <v>5</v>
      </c>
      <c r="P1677" s="8">
        <f>VLOOKUP(tblSalaries[[#This Row],[clean Country]],tblCountries[],5,0)</f>
        <v>1.1935324732986359</v>
      </c>
      <c r="Q1677" s="8">
        <f>IF($Q$1,tblSalaries[[#This Row],[PPP Factor]]*tblSalaries[[#This Row],[Salary in USD]],tblSalaries[[#This Row],[Salary in USD]])</f>
        <v>35401.014829091764</v>
      </c>
    </row>
    <row r="1678" spans="2:17" ht="15" customHeight="1" x14ac:dyDescent="0.25">
      <c r="B1678" t="s">
        <v>3681</v>
      </c>
      <c r="C1678" s="1">
        <v>41066.66920138889</v>
      </c>
      <c r="D1678" s="4">
        <v>500000</v>
      </c>
      <c r="E1678">
        <v>500000</v>
      </c>
      <c r="F1678" t="s">
        <v>40</v>
      </c>
      <c r="G1678">
        <f>tblSalaries[[#This Row],[clean Salary (in local currency)]]*VLOOKUP(tblSalaries[[#This Row],[Currency]],tblXrate[],2,FALSE)</f>
        <v>8903.9583437212841</v>
      </c>
      <c r="H1678" t="s">
        <v>243</v>
      </c>
      <c r="I1678" t="s">
        <v>20</v>
      </c>
      <c r="J1678" t="s">
        <v>8</v>
      </c>
      <c r="K1678" t="str">
        <f>VLOOKUP(tblSalaries[[#This Row],[Where do you work]],tblCountries[[Actual]:[Mapping]],2,FALSE)</f>
        <v>India</v>
      </c>
      <c r="L1678" t="s">
        <v>9</v>
      </c>
      <c r="M1678">
        <v>4</v>
      </c>
      <c r="N1678" s="8" t="str">
        <f>VLOOKUP(K1678,tblCountries[],3,0)</f>
        <v>Asia</v>
      </c>
      <c r="O1678" s="8">
        <f>VLOOKUP(tblSalaries[[#This Row],[How many hours of a day you work on Excel]],tblHours,2,0)</f>
        <v>4</v>
      </c>
      <c r="P1678" s="8">
        <f>VLOOKUP(tblSalaries[[#This Row],[clean Country]],tblCountries[],5,0)</f>
        <v>13.098808879263672</v>
      </c>
      <c r="Q1678" s="8">
        <f>IF($Q$1,tblSalaries[[#This Row],[PPP Factor]]*tblSalaries[[#This Row],[Salary in USD]],tblSalaries[[#This Row],[Salary in USD]])</f>
        <v>8903.9583437212841</v>
      </c>
    </row>
    <row r="1679" spans="2:17" ht="15" customHeight="1" x14ac:dyDescent="0.25">
      <c r="B1679" t="s">
        <v>3682</v>
      </c>
      <c r="C1679" s="1">
        <v>41066.737280092595</v>
      </c>
      <c r="D1679" s="4">
        <v>600000</v>
      </c>
      <c r="E1679">
        <v>600000</v>
      </c>
      <c r="F1679" t="s">
        <v>40</v>
      </c>
      <c r="G1679">
        <f>tblSalaries[[#This Row],[clean Salary (in local currency)]]*VLOOKUP(tblSalaries[[#This Row],[Currency]],tblXrate[],2,FALSE)</f>
        <v>10684.750012465542</v>
      </c>
      <c r="H1679" t="s">
        <v>1112</v>
      </c>
      <c r="I1679" t="s">
        <v>20</v>
      </c>
      <c r="J1679" t="s">
        <v>8</v>
      </c>
      <c r="K1679" t="str">
        <f>VLOOKUP(tblSalaries[[#This Row],[Where do you work]],tblCountries[[Actual]:[Mapping]],2,FALSE)</f>
        <v>India</v>
      </c>
      <c r="L1679" t="s">
        <v>13</v>
      </c>
      <c r="M1679">
        <v>5</v>
      </c>
      <c r="N1679" s="8" t="str">
        <f>VLOOKUP(K1679,tblCountries[],3,0)</f>
        <v>Asia</v>
      </c>
      <c r="O1679" s="8">
        <f>VLOOKUP(tblSalaries[[#This Row],[How many hours of a day you work on Excel]],tblHours,2,0)</f>
        <v>5</v>
      </c>
      <c r="P1679" s="8">
        <f>VLOOKUP(tblSalaries[[#This Row],[clean Country]],tblCountries[],5,0)</f>
        <v>13.098808879263672</v>
      </c>
      <c r="Q1679" s="8">
        <f>IF($Q$1,tblSalaries[[#This Row],[PPP Factor]]*tblSalaries[[#This Row],[Salary in USD]],tblSalaries[[#This Row],[Salary in USD]])</f>
        <v>10684.750012465542</v>
      </c>
    </row>
    <row r="1680" spans="2:17" ht="15" customHeight="1" x14ac:dyDescent="0.25">
      <c r="B1680" t="s">
        <v>3683</v>
      </c>
      <c r="C1680" s="1">
        <v>41066.786145833335</v>
      </c>
      <c r="D1680" s="4">
        <v>700</v>
      </c>
      <c r="E1680">
        <v>8400</v>
      </c>
      <c r="F1680" t="s">
        <v>6</v>
      </c>
      <c r="G1680">
        <f>tblSalaries[[#This Row],[clean Salary (in local currency)]]*VLOOKUP(tblSalaries[[#This Row],[Currency]],tblXrate[],2,FALSE)</f>
        <v>8400</v>
      </c>
      <c r="H1680" t="s">
        <v>1846</v>
      </c>
      <c r="I1680" t="s">
        <v>20</v>
      </c>
      <c r="J1680" t="s">
        <v>997</v>
      </c>
      <c r="K1680" t="str">
        <f>VLOOKUP(tblSalaries[[#This Row],[Where do you work]],tblCountries[[Actual]:[Mapping]],2,FALSE)</f>
        <v>Indonesia</v>
      </c>
      <c r="L1680" t="s">
        <v>9</v>
      </c>
      <c r="M1680">
        <v>14</v>
      </c>
      <c r="N1680" s="8" t="str">
        <f>VLOOKUP(K1680,tblCountries[],3,0)</f>
        <v>Asia</v>
      </c>
      <c r="O1680" s="8">
        <f>VLOOKUP(tblSalaries[[#This Row],[How many hours of a day you work on Excel]],tblHours,2,0)</f>
        <v>4</v>
      </c>
      <c r="P1680" s="8">
        <f>VLOOKUP(tblSalaries[[#This Row],[clean Country]],tblCountries[],5,0)</f>
        <v>10.370124303471924</v>
      </c>
      <c r="Q1680" s="8">
        <f>IF($Q$1,tblSalaries[[#This Row],[PPP Factor]]*tblSalaries[[#This Row],[Salary in USD]],tblSalaries[[#This Row],[Salary in USD]])</f>
        <v>8400</v>
      </c>
    </row>
    <row r="1681" spans="2:17" ht="15" customHeight="1" x14ac:dyDescent="0.25">
      <c r="B1681" t="s">
        <v>3684</v>
      </c>
      <c r="C1681" s="1">
        <v>41066.818819444445</v>
      </c>
      <c r="D1681" s="4">
        <v>550000</v>
      </c>
      <c r="E1681">
        <v>550000</v>
      </c>
      <c r="F1681" t="s">
        <v>40</v>
      </c>
      <c r="G1681">
        <f>tblSalaries[[#This Row],[clean Salary (in local currency)]]*VLOOKUP(tblSalaries[[#This Row],[Currency]],tblXrate[],2,FALSE)</f>
        <v>9794.354178093412</v>
      </c>
      <c r="H1681" t="s">
        <v>1847</v>
      </c>
      <c r="I1681" t="s">
        <v>52</v>
      </c>
      <c r="J1681" t="s">
        <v>8</v>
      </c>
      <c r="K1681" t="str">
        <f>VLOOKUP(tblSalaries[[#This Row],[Where do you work]],tblCountries[[Actual]:[Mapping]],2,FALSE)</f>
        <v>India</v>
      </c>
      <c r="L1681" t="s">
        <v>9</v>
      </c>
      <c r="M1681">
        <v>13</v>
      </c>
      <c r="N1681" s="8" t="str">
        <f>VLOOKUP(K1681,tblCountries[],3,0)</f>
        <v>Asia</v>
      </c>
      <c r="O1681" s="8">
        <f>VLOOKUP(tblSalaries[[#This Row],[How many hours of a day you work on Excel]],tblHours,2,0)</f>
        <v>4</v>
      </c>
      <c r="P1681" s="8">
        <f>VLOOKUP(tblSalaries[[#This Row],[clean Country]],tblCountries[],5,0)</f>
        <v>13.098808879263672</v>
      </c>
      <c r="Q1681" s="8">
        <f>IF($Q$1,tblSalaries[[#This Row],[PPP Factor]]*tblSalaries[[#This Row],[Salary in USD]],tblSalaries[[#This Row],[Salary in USD]])</f>
        <v>9794.354178093412</v>
      </c>
    </row>
    <row r="1682" spans="2:17" ht="15" customHeight="1" x14ac:dyDescent="0.25">
      <c r="B1682" t="s">
        <v>3685</v>
      </c>
      <c r="C1682" s="1">
        <v>41066.829733796294</v>
      </c>
      <c r="D1682" s="4">
        <v>1200</v>
      </c>
      <c r="E1682">
        <v>14400</v>
      </c>
      <c r="F1682" t="s">
        <v>6</v>
      </c>
      <c r="G1682">
        <f>tblSalaries[[#This Row],[clean Salary (in local currency)]]*VLOOKUP(tblSalaries[[#This Row],[Currency]],tblXrate[],2,FALSE)</f>
        <v>14400</v>
      </c>
      <c r="H1682" t="s">
        <v>279</v>
      </c>
      <c r="I1682" t="s">
        <v>279</v>
      </c>
      <c r="J1682" t="s">
        <v>8</v>
      </c>
      <c r="K1682" t="str">
        <f>VLOOKUP(tblSalaries[[#This Row],[Where do you work]],tblCountries[[Actual]:[Mapping]],2,FALSE)</f>
        <v>India</v>
      </c>
      <c r="L1682" t="s">
        <v>25</v>
      </c>
      <c r="M1682">
        <v>8</v>
      </c>
      <c r="N1682" s="8" t="str">
        <f>VLOOKUP(K1682,tblCountries[],3,0)</f>
        <v>Asia</v>
      </c>
      <c r="O1682" s="8">
        <f>VLOOKUP(tblSalaries[[#This Row],[How many hours of a day you work on Excel]],tblHours,2,0)</f>
        <v>2</v>
      </c>
      <c r="P1682" s="8">
        <f>VLOOKUP(tblSalaries[[#This Row],[clean Country]],tblCountries[],5,0)</f>
        <v>13.098808879263672</v>
      </c>
      <c r="Q1682" s="8">
        <f>IF($Q$1,tblSalaries[[#This Row],[PPP Factor]]*tblSalaries[[#This Row],[Salary in USD]],tblSalaries[[#This Row],[Salary in USD]])</f>
        <v>14400</v>
      </c>
    </row>
    <row r="1683" spans="2:17" ht="15" customHeight="1" x14ac:dyDescent="0.25">
      <c r="B1683" t="s">
        <v>3686</v>
      </c>
      <c r="C1683" s="1">
        <v>41066.838692129626</v>
      </c>
      <c r="D1683" s="4" t="s">
        <v>1848</v>
      </c>
      <c r="E1683">
        <v>150000</v>
      </c>
      <c r="F1683" t="s">
        <v>40</v>
      </c>
      <c r="G1683">
        <f>tblSalaries[[#This Row],[clean Salary (in local currency)]]*VLOOKUP(tblSalaries[[#This Row],[Currency]],tblXrate[],2,FALSE)</f>
        <v>2671.1875031163854</v>
      </c>
      <c r="H1683" t="s">
        <v>721</v>
      </c>
      <c r="I1683" t="s">
        <v>3999</v>
      </c>
      <c r="J1683" t="s">
        <v>8</v>
      </c>
      <c r="K1683" t="str">
        <f>VLOOKUP(tblSalaries[[#This Row],[Where do you work]],tblCountries[[Actual]:[Mapping]],2,FALSE)</f>
        <v>India</v>
      </c>
      <c r="L1683" t="s">
        <v>13</v>
      </c>
      <c r="M1683">
        <v>3</v>
      </c>
      <c r="N1683" s="8" t="str">
        <f>VLOOKUP(K1683,tblCountries[],3,0)</f>
        <v>Asia</v>
      </c>
      <c r="O1683" s="8">
        <f>VLOOKUP(tblSalaries[[#This Row],[How many hours of a day you work on Excel]],tblHours,2,0)</f>
        <v>5</v>
      </c>
      <c r="P1683" s="8">
        <f>VLOOKUP(tblSalaries[[#This Row],[clean Country]],tblCountries[],5,0)</f>
        <v>13.098808879263672</v>
      </c>
      <c r="Q1683" s="8">
        <f>IF($Q$1,tblSalaries[[#This Row],[PPP Factor]]*tblSalaries[[#This Row],[Salary in USD]],tblSalaries[[#This Row],[Salary in USD]])</f>
        <v>2671.1875031163854</v>
      </c>
    </row>
    <row r="1684" spans="2:17" ht="15" customHeight="1" x14ac:dyDescent="0.25">
      <c r="B1684" t="s">
        <v>3687</v>
      </c>
      <c r="C1684" s="1">
        <v>41066.862210648149</v>
      </c>
      <c r="D1684" s="4">
        <v>22000</v>
      </c>
      <c r="E1684">
        <v>22000</v>
      </c>
      <c r="F1684" t="s">
        <v>6</v>
      </c>
      <c r="G1684">
        <f>tblSalaries[[#This Row],[clean Salary (in local currency)]]*VLOOKUP(tblSalaries[[#This Row],[Currency]],tblXrate[],2,FALSE)</f>
        <v>22000</v>
      </c>
      <c r="H1684" t="s">
        <v>1849</v>
      </c>
      <c r="I1684" t="s">
        <v>52</v>
      </c>
      <c r="J1684" t="s">
        <v>8</v>
      </c>
      <c r="K1684" t="str">
        <f>VLOOKUP(tblSalaries[[#This Row],[Where do you work]],tblCountries[[Actual]:[Mapping]],2,FALSE)</f>
        <v>India</v>
      </c>
      <c r="L1684" t="s">
        <v>13</v>
      </c>
      <c r="M1684">
        <v>6</v>
      </c>
      <c r="N1684" s="8" t="str">
        <f>VLOOKUP(K1684,tblCountries[],3,0)</f>
        <v>Asia</v>
      </c>
      <c r="O1684" s="8">
        <f>VLOOKUP(tblSalaries[[#This Row],[How many hours of a day you work on Excel]],tblHours,2,0)</f>
        <v>5</v>
      </c>
      <c r="P1684" s="8">
        <f>VLOOKUP(tblSalaries[[#This Row],[clean Country]],tblCountries[],5,0)</f>
        <v>13.098808879263672</v>
      </c>
      <c r="Q1684" s="8">
        <f>IF($Q$1,tblSalaries[[#This Row],[PPP Factor]]*tblSalaries[[#This Row],[Salary in USD]],tblSalaries[[#This Row],[Salary in USD]])</f>
        <v>22000</v>
      </c>
    </row>
    <row r="1685" spans="2:17" ht="15" customHeight="1" x14ac:dyDescent="0.25">
      <c r="B1685" t="s">
        <v>3688</v>
      </c>
      <c r="C1685" s="1">
        <v>41066.888090277775</v>
      </c>
      <c r="D1685" s="4">
        <v>100000</v>
      </c>
      <c r="E1685">
        <v>100000</v>
      </c>
      <c r="F1685" t="s">
        <v>6</v>
      </c>
      <c r="G1685">
        <f>tblSalaries[[#This Row],[clean Salary (in local currency)]]*VLOOKUP(tblSalaries[[#This Row],[Currency]],tblXrate[],2,FALSE)</f>
        <v>100000</v>
      </c>
      <c r="H1685" t="s">
        <v>1850</v>
      </c>
      <c r="I1685" t="s">
        <v>20</v>
      </c>
      <c r="J1685" t="s">
        <v>65</v>
      </c>
      <c r="K1685" t="str">
        <f>VLOOKUP(tblSalaries[[#This Row],[Where do you work]],tblCountries[[Actual]:[Mapping]],2,FALSE)</f>
        <v>Russia</v>
      </c>
      <c r="L1685" t="s">
        <v>13</v>
      </c>
      <c r="M1685">
        <v>6</v>
      </c>
      <c r="N1685" s="8" t="str">
        <f>VLOOKUP(K1685,tblCountries[],3,0)</f>
        <v>Asia</v>
      </c>
      <c r="O1685" s="8">
        <f>VLOOKUP(tblSalaries[[#This Row],[How many hours of a day you work on Excel]],tblHours,2,0)</f>
        <v>5</v>
      </c>
      <c r="P1685" s="8">
        <f>VLOOKUP(tblSalaries[[#This Row],[clean Country]],tblCountries[],5,0)</f>
        <v>2.8911926386233269</v>
      </c>
      <c r="Q1685" s="8">
        <f>IF($Q$1,tblSalaries[[#This Row],[PPP Factor]]*tblSalaries[[#This Row],[Salary in USD]],tblSalaries[[#This Row],[Salary in USD]])</f>
        <v>100000</v>
      </c>
    </row>
    <row r="1686" spans="2:17" ht="15" customHeight="1" x14ac:dyDescent="0.25">
      <c r="B1686" t="s">
        <v>3689</v>
      </c>
      <c r="C1686" s="1">
        <v>41066.889328703706</v>
      </c>
      <c r="D1686" s="4">
        <v>40000</v>
      </c>
      <c r="E1686">
        <v>40000</v>
      </c>
      <c r="F1686" t="s">
        <v>69</v>
      </c>
      <c r="G1686">
        <f>tblSalaries[[#This Row],[clean Salary (in local currency)]]*VLOOKUP(tblSalaries[[#This Row],[Currency]],tblXrate[],2,FALSE)</f>
        <v>63047.130882691366</v>
      </c>
      <c r="H1686" t="s">
        <v>204</v>
      </c>
      <c r="I1686" t="s">
        <v>52</v>
      </c>
      <c r="J1686" t="s">
        <v>71</v>
      </c>
      <c r="K1686" t="str">
        <f>VLOOKUP(tblSalaries[[#This Row],[Where do you work]],tblCountries[[Actual]:[Mapping]],2,FALSE)</f>
        <v>UK</v>
      </c>
      <c r="L1686" t="s">
        <v>9</v>
      </c>
      <c r="M1686">
        <v>15</v>
      </c>
      <c r="N1686" s="8" t="str">
        <f>VLOOKUP(K1686,tblCountries[],3,0)</f>
        <v>Europe</v>
      </c>
      <c r="O1686" s="8">
        <f>VLOOKUP(tblSalaries[[#This Row],[How many hours of a day you work on Excel]],tblHours,2,0)</f>
        <v>4</v>
      </c>
      <c r="P1686" s="8">
        <f>VLOOKUP(tblSalaries[[#This Row],[clean Country]],tblCountries[],5,0)</f>
        <v>1.3407315045719035</v>
      </c>
      <c r="Q1686" s="8">
        <f>IF($Q$1,tblSalaries[[#This Row],[PPP Factor]]*tblSalaries[[#This Row],[Salary in USD]],tblSalaries[[#This Row],[Salary in USD]])</f>
        <v>63047.130882691366</v>
      </c>
    </row>
    <row r="1687" spans="2:17" ht="15" customHeight="1" x14ac:dyDescent="0.25">
      <c r="B1687" t="s">
        <v>3690</v>
      </c>
      <c r="C1687" s="1">
        <v>41066.926701388889</v>
      </c>
      <c r="D1687" s="4" t="s">
        <v>1851</v>
      </c>
      <c r="E1687">
        <v>36000</v>
      </c>
      <c r="F1687" t="s">
        <v>69</v>
      </c>
      <c r="G1687">
        <f>tblSalaries[[#This Row],[clean Salary (in local currency)]]*VLOOKUP(tblSalaries[[#This Row],[Currency]],tblXrate[],2,FALSE)</f>
        <v>56742.417794422225</v>
      </c>
      <c r="H1687" t="s">
        <v>1852</v>
      </c>
      <c r="I1687" t="s">
        <v>52</v>
      </c>
      <c r="J1687" t="s">
        <v>71</v>
      </c>
      <c r="K1687" t="str">
        <f>VLOOKUP(tblSalaries[[#This Row],[Where do you work]],tblCountries[[Actual]:[Mapping]],2,FALSE)</f>
        <v>UK</v>
      </c>
      <c r="L1687" t="s">
        <v>25</v>
      </c>
      <c r="M1687">
        <v>25</v>
      </c>
      <c r="N1687" s="8" t="str">
        <f>VLOOKUP(K1687,tblCountries[],3,0)</f>
        <v>Europe</v>
      </c>
      <c r="O1687" s="8">
        <f>VLOOKUP(tblSalaries[[#This Row],[How many hours of a day you work on Excel]],tblHours,2,0)</f>
        <v>2</v>
      </c>
      <c r="P1687" s="8">
        <f>VLOOKUP(tblSalaries[[#This Row],[clean Country]],tblCountries[],5,0)</f>
        <v>1.3407315045719035</v>
      </c>
      <c r="Q1687" s="8">
        <f>IF($Q$1,tblSalaries[[#This Row],[PPP Factor]]*tblSalaries[[#This Row],[Salary in USD]],tblSalaries[[#This Row],[Salary in USD]])</f>
        <v>56742.417794422225</v>
      </c>
    </row>
    <row r="1688" spans="2:17" ht="15" customHeight="1" x14ac:dyDescent="0.25">
      <c r="B1688" t="s">
        <v>3691</v>
      </c>
      <c r="C1688" s="1">
        <v>41066.946018518516</v>
      </c>
      <c r="D1688" s="4">
        <v>25000</v>
      </c>
      <c r="E1688">
        <v>25000</v>
      </c>
      <c r="F1688" t="s">
        <v>6</v>
      </c>
      <c r="G1688">
        <f>tblSalaries[[#This Row],[clean Salary (in local currency)]]*VLOOKUP(tblSalaries[[#This Row],[Currency]],tblXrate[],2,FALSE)</f>
        <v>25000</v>
      </c>
      <c r="H1688" t="s">
        <v>1853</v>
      </c>
      <c r="I1688" t="s">
        <v>20</v>
      </c>
      <c r="J1688" t="s">
        <v>8</v>
      </c>
      <c r="K1688" t="str">
        <f>VLOOKUP(tblSalaries[[#This Row],[Where do you work]],tblCountries[[Actual]:[Mapping]],2,FALSE)</f>
        <v>India</v>
      </c>
      <c r="L1688" t="s">
        <v>13</v>
      </c>
      <c r="M1688">
        <v>8</v>
      </c>
      <c r="N1688" s="8" t="str">
        <f>VLOOKUP(K1688,tblCountries[],3,0)</f>
        <v>Asia</v>
      </c>
      <c r="O1688" s="8">
        <f>VLOOKUP(tblSalaries[[#This Row],[How many hours of a day you work on Excel]],tblHours,2,0)</f>
        <v>5</v>
      </c>
      <c r="P1688" s="8">
        <f>VLOOKUP(tblSalaries[[#This Row],[clean Country]],tblCountries[],5,0)</f>
        <v>13.098808879263672</v>
      </c>
      <c r="Q1688" s="8">
        <f>IF($Q$1,tblSalaries[[#This Row],[PPP Factor]]*tblSalaries[[#This Row],[Salary in USD]],tblSalaries[[#This Row],[Salary in USD]])</f>
        <v>25000</v>
      </c>
    </row>
    <row r="1689" spans="2:17" ht="15" customHeight="1" x14ac:dyDescent="0.25">
      <c r="B1689" t="s">
        <v>3692</v>
      </c>
      <c r="C1689" s="1">
        <v>41067.022499999999</v>
      </c>
      <c r="D1689" s="4" t="s">
        <v>1854</v>
      </c>
      <c r="E1689">
        <v>500000</v>
      </c>
      <c r="F1689" t="s">
        <v>40</v>
      </c>
      <c r="G1689">
        <f>tblSalaries[[#This Row],[clean Salary (in local currency)]]*VLOOKUP(tblSalaries[[#This Row],[Currency]],tblXrate[],2,FALSE)</f>
        <v>8903.9583437212841</v>
      </c>
      <c r="H1689" t="s">
        <v>207</v>
      </c>
      <c r="I1689" t="s">
        <v>20</v>
      </c>
      <c r="J1689" t="s">
        <v>8</v>
      </c>
      <c r="K1689" t="str">
        <f>VLOOKUP(tblSalaries[[#This Row],[Where do you work]],tblCountries[[Actual]:[Mapping]],2,FALSE)</f>
        <v>India</v>
      </c>
      <c r="L1689" t="s">
        <v>9</v>
      </c>
      <c r="M1689">
        <v>2</v>
      </c>
      <c r="N1689" s="8" t="str">
        <f>VLOOKUP(K1689,tblCountries[],3,0)</f>
        <v>Asia</v>
      </c>
      <c r="O1689" s="8">
        <f>VLOOKUP(tblSalaries[[#This Row],[How many hours of a day you work on Excel]],tblHours,2,0)</f>
        <v>4</v>
      </c>
      <c r="P1689" s="8">
        <f>VLOOKUP(tblSalaries[[#This Row],[clean Country]],tblCountries[],5,0)</f>
        <v>13.098808879263672</v>
      </c>
      <c r="Q1689" s="8">
        <f>IF($Q$1,tblSalaries[[#This Row],[PPP Factor]]*tblSalaries[[#This Row],[Salary in USD]],tblSalaries[[#This Row],[Salary in USD]])</f>
        <v>8903.9583437212841</v>
      </c>
    </row>
    <row r="1690" spans="2:17" ht="15" customHeight="1" x14ac:dyDescent="0.25">
      <c r="B1690" t="s">
        <v>3693</v>
      </c>
      <c r="C1690" s="1">
        <v>41067.265474537038</v>
      </c>
      <c r="D1690" s="4" t="s">
        <v>1855</v>
      </c>
      <c r="E1690">
        <v>27000</v>
      </c>
      <c r="F1690" t="s">
        <v>69</v>
      </c>
      <c r="G1690">
        <f>tblSalaries[[#This Row],[clean Salary (in local currency)]]*VLOOKUP(tblSalaries[[#This Row],[Currency]],tblXrate[],2,FALSE)</f>
        <v>42556.81334581667</v>
      </c>
      <c r="H1690" t="s">
        <v>1856</v>
      </c>
      <c r="I1690" t="s">
        <v>20</v>
      </c>
      <c r="J1690" t="s">
        <v>71</v>
      </c>
      <c r="K1690" t="str">
        <f>VLOOKUP(tblSalaries[[#This Row],[Where do you work]],tblCountries[[Actual]:[Mapping]],2,FALSE)</f>
        <v>UK</v>
      </c>
      <c r="L1690" t="s">
        <v>9</v>
      </c>
      <c r="M1690">
        <v>2</v>
      </c>
      <c r="N1690" s="8" t="str">
        <f>VLOOKUP(K1690,tblCountries[],3,0)</f>
        <v>Europe</v>
      </c>
      <c r="O1690" s="8">
        <f>VLOOKUP(tblSalaries[[#This Row],[How many hours of a day you work on Excel]],tblHours,2,0)</f>
        <v>4</v>
      </c>
      <c r="P1690" s="8">
        <f>VLOOKUP(tblSalaries[[#This Row],[clean Country]],tblCountries[],5,0)</f>
        <v>1.3407315045719035</v>
      </c>
      <c r="Q1690" s="8">
        <f>IF($Q$1,tblSalaries[[#This Row],[PPP Factor]]*tblSalaries[[#This Row],[Salary in USD]],tblSalaries[[#This Row],[Salary in USD]])</f>
        <v>42556.81334581667</v>
      </c>
    </row>
    <row r="1691" spans="2:17" ht="15" customHeight="1" x14ac:dyDescent="0.25">
      <c r="B1691" t="s">
        <v>3694</v>
      </c>
      <c r="C1691" s="1">
        <v>41067.358923611115</v>
      </c>
      <c r="D1691" s="4">
        <v>134000</v>
      </c>
      <c r="E1691">
        <v>134000</v>
      </c>
      <c r="F1691" t="s">
        <v>86</v>
      </c>
      <c r="G1691">
        <f>tblSalaries[[#This Row],[clean Salary (in local currency)]]*VLOOKUP(tblSalaries[[#This Row],[Currency]],tblXrate[],2,FALSE)</f>
        <v>131770.4440860638</v>
      </c>
      <c r="H1691" t="s">
        <v>1857</v>
      </c>
      <c r="I1691" t="s">
        <v>310</v>
      </c>
      <c r="J1691" t="s">
        <v>88</v>
      </c>
      <c r="K1691" t="str">
        <f>VLOOKUP(tblSalaries[[#This Row],[Where do you work]],tblCountries[[Actual]:[Mapping]],2,FALSE)</f>
        <v>Canada</v>
      </c>
      <c r="L1691" t="s">
        <v>13</v>
      </c>
      <c r="M1691">
        <v>20</v>
      </c>
      <c r="N1691" s="8" t="str">
        <f>VLOOKUP(K1691,tblCountries[],3,0)</f>
        <v>North Amer.</v>
      </c>
      <c r="O1691" s="8">
        <f>VLOOKUP(tblSalaries[[#This Row],[How many hours of a day you work on Excel]],tblHours,2,0)</f>
        <v>5</v>
      </c>
      <c r="P1691" s="8">
        <f>VLOOKUP(tblSalaries[[#This Row],[clean Country]],tblCountries[],5,0)</f>
        <v>1.1935324732986359</v>
      </c>
      <c r="Q1691" s="8">
        <f>IF($Q$1,tblSalaries[[#This Row],[PPP Factor]]*tblSalaries[[#This Row],[Salary in USD]],tblSalaries[[#This Row],[Salary in USD]])</f>
        <v>131770.4440860638</v>
      </c>
    </row>
    <row r="1692" spans="2:17" ht="15" customHeight="1" x14ac:dyDescent="0.25">
      <c r="B1692" t="s">
        <v>3695</v>
      </c>
      <c r="C1692" s="1">
        <v>41067.392881944441</v>
      </c>
      <c r="D1692" s="4">
        <v>70000</v>
      </c>
      <c r="E1692">
        <v>70000</v>
      </c>
      <c r="F1692" t="s">
        <v>86</v>
      </c>
      <c r="G1692">
        <f>tblSalaries[[#This Row],[clean Salary (in local currency)]]*VLOOKUP(tblSalaries[[#This Row],[Currency]],tblXrate[],2,FALSE)</f>
        <v>68835.306612122877</v>
      </c>
      <c r="H1692" t="s">
        <v>14</v>
      </c>
      <c r="I1692" t="s">
        <v>20</v>
      </c>
      <c r="J1692" t="s">
        <v>88</v>
      </c>
      <c r="K1692" t="str">
        <f>VLOOKUP(tblSalaries[[#This Row],[Where do you work]],tblCountries[[Actual]:[Mapping]],2,FALSE)</f>
        <v>Canada</v>
      </c>
      <c r="L1692" t="s">
        <v>13</v>
      </c>
      <c r="M1692">
        <v>2</v>
      </c>
      <c r="N1692" s="8" t="str">
        <f>VLOOKUP(K1692,tblCountries[],3,0)</f>
        <v>North Amer.</v>
      </c>
      <c r="O1692" s="8">
        <f>VLOOKUP(tblSalaries[[#This Row],[How many hours of a day you work on Excel]],tblHours,2,0)</f>
        <v>5</v>
      </c>
      <c r="P1692" s="8">
        <f>VLOOKUP(tblSalaries[[#This Row],[clean Country]],tblCountries[],5,0)</f>
        <v>1.1935324732986359</v>
      </c>
      <c r="Q1692" s="8">
        <f>IF($Q$1,tblSalaries[[#This Row],[PPP Factor]]*tblSalaries[[#This Row],[Salary in USD]],tblSalaries[[#This Row],[Salary in USD]])</f>
        <v>68835.306612122877</v>
      </c>
    </row>
    <row r="1693" spans="2:17" ht="15" customHeight="1" x14ac:dyDescent="0.25">
      <c r="B1693" t="s">
        <v>3696</v>
      </c>
      <c r="C1693" s="1">
        <v>41067.587939814817</v>
      </c>
      <c r="D1693" s="4" t="s">
        <v>1858</v>
      </c>
      <c r="E1693">
        <v>6000</v>
      </c>
      <c r="F1693" t="s">
        <v>6</v>
      </c>
      <c r="G1693">
        <f>tblSalaries[[#This Row],[clean Salary (in local currency)]]*VLOOKUP(tblSalaries[[#This Row],[Currency]],tblXrate[],2,FALSE)</f>
        <v>6000</v>
      </c>
      <c r="H1693" t="s">
        <v>1859</v>
      </c>
      <c r="I1693" t="s">
        <v>3999</v>
      </c>
      <c r="J1693" t="s">
        <v>1860</v>
      </c>
      <c r="K1693" t="str">
        <f>VLOOKUP(tblSalaries[[#This Row],[Where do you work]],tblCountries[[Actual]:[Mapping]],2,FALSE)</f>
        <v>Armenia</v>
      </c>
      <c r="L1693" t="s">
        <v>13</v>
      </c>
      <c r="M1693">
        <v>5</v>
      </c>
      <c r="N1693" s="8" t="str">
        <f>VLOOKUP(K1693,tblCountries[],3,0)</f>
        <v>Europe</v>
      </c>
      <c r="O1693" s="8">
        <f>VLOOKUP(tblSalaries[[#This Row],[How many hours of a day you work on Excel]],tblHours,2,0)</f>
        <v>5</v>
      </c>
      <c r="P1693" s="8">
        <f>VLOOKUP(tblSalaries[[#This Row],[clean Country]],tblCountries[],5,0)</f>
        <v>8.9871842496285286</v>
      </c>
      <c r="Q1693" s="8">
        <f>IF($Q$1,tblSalaries[[#This Row],[PPP Factor]]*tblSalaries[[#This Row],[Salary in USD]],tblSalaries[[#This Row],[Salary in USD]])</f>
        <v>6000</v>
      </c>
    </row>
    <row r="1694" spans="2:17" ht="15" customHeight="1" x14ac:dyDescent="0.25">
      <c r="B1694" t="s">
        <v>3697</v>
      </c>
      <c r="C1694" s="1">
        <v>41067.638807870368</v>
      </c>
      <c r="D1694" s="4">
        <v>50000</v>
      </c>
      <c r="E1694">
        <v>50000</v>
      </c>
      <c r="F1694" t="s">
        <v>69</v>
      </c>
      <c r="G1694">
        <f>tblSalaries[[#This Row],[clean Salary (in local currency)]]*VLOOKUP(tblSalaries[[#This Row],[Currency]],tblXrate[],2,FALSE)</f>
        <v>78808.913603364199</v>
      </c>
      <c r="H1694" t="s">
        <v>200</v>
      </c>
      <c r="I1694" t="s">
        <v>20</v>
      </c>
      <c r="J1694" t="s">
        <v>71</v>
      </c>
      <c r="K1694" t="str">
        <f>VLOOKUP(tblSalaries[[#This Row],[Where do you work]],tblCountries[[Actual]:[Mapping]],2,FALSE)</f>
        <v>UK</v>
      </c>
      <c r="L1694" t="s">
        <v>18</v>
      </c>
      <c r="M1694">
        <v>2</v>
      </c>
      <c r="N1694" s="8" t="str">
        <f>VLOOKUP(K1694,tblCountries[],3,0)</f>
        <v>Europe</v>
      </c>
      <c r="O1694" s="8">
        <f>VLOOKUP(tblSalaries[[#This Row],[How many hours of a day you work on Excel]],tblHours,2,0)</f>
        <v>3</v>
      </c>
      <c r="P1694" s="8">
        <f>VLOOKUP(tblSalaries[[#This Row],[clean Country]],tblCountries[],5,0)</f>
        <v>1.3407315045719035</v>
      </c>
      <c r="Q1694" s="8">
        <f>IF($Q$1,tblSalaries[[#This Row],[PPP Factor]]*tblSalaries[[#This Row],[Salary in USD]],tblSalaries[[#This Row],[Salary in USD]])</f>
        <v>78808.913603364199</v>
      </c>
    </row>
    <row r="1695" spans="2:17" ht="15" customHeight="1" x14ac:dyDescent="0.25">
      <c r="B1695" t="s">
        <v>3698</v>
      </c>
      <c r="C1695" s="1">
        <v>41067.697928240741</v>
      </c>
      <c r="D1695" s="4">
        <v>421000</v>
      </c>
      <c r="E1695">
        <v>421000</v>
      </c>
      <c r="F1695" t="s">
        <v>40</v>
      </c>
      <c r="G1695">
        <f>tblSalaries[[#This Row],[clean Salary (in local currency)]]*VLOOKUP(tblSalaries[[#This Row],[Currency]],tblXrate[],2,FALSE)</f>
        <v>7497.1329254133216</v>
      </c>
      <c r="H1695" t="s">
        <v>1861</v>
      </c>
      <c r="I1695" t="s">
        <v>20</v>
      </c>
      <c r="J1695" t="s">
        <v>8</v>
      </c>
      <c r="K1695" t="str">
        <f>VLOOKUP(tblSalaries[[#This Row],[Where do you work]],tblCountries[[Actual]:[Mapping]],2,FALSE)</f>
        <v>India</v>
      </c>
      <c r="L1695" t="s">
        <v>9</v>
      </c>
      <c r="M1695">
        <v>4</v>
      </c>
      <c r="N1695" s="8" t="str">
        <f>VLOOKUP(K1695,tblCountries[],3,0)</f>
        <v>Asia</v>
      </c>
      <c r="O1695" s="8">
        <f>VLOOKUP(tblSalaries[[#This Row],[How many hours of a day you work on Excel]],tblHours,2,0)</f>
        <v>4</v>
      </c>
      <c r="P1695" s="8">
        <f>VLOOKUP(tblSalaries[[#This Row],[clean Country]],tblCountries[],5,0)</f>
        <v>13.098808879263672</v>
      </c>
      <c r="Q1695" s="8">
        <f>IF($Q$1,tblSalaries[[#This Row],[PPP Factor]]*tblSalaries[[#This Row],[Salary in USD]],tblSalaries[[#This Row],[Salary in USD]])</f>
        <v>7497.1329254133216</v>
      </c>
    </row>
    <row r="1696" spans="2:17" ht="15" customHeight="1" x14ac:dyDescent="0.25">
      <c r="B1696" t="s">
        <v>3699</v>
      </c>
      <c r="C1696" s="1">
        <v>41067.704097222224</v>
      </c>
      <c r="D1696" s="4">
        <v>10000</v>
      </c>
      <c r="E1696">
        <v>10000</v>
      </c>
      <c r="F1696" t="s">
        <v>6</v>
      </c>
      <c r="G1696">
        <f>tblSalaries[[#This Row],[clean Salary (in local currency)]]*VLOOKUP(tblSalaries[[#This Row],[Currency]],tblXrate[],2,FALSE)</f>
        <v>10000</v>
      </c>
      <c r="H1696" t="s">
        <v>1862</v>
      </c>
      <c r="I1696" t="s">
        <v>52</v>
      </c>
      <c r="J1696" t="s">
        <v>8</v>
      </c>
      <c r="K1696" t="str">
        <f>VLOOKUP(tblSalaries[[#This Row],[Where do you work]],tblCountries[[Actual]:[Mapping]],2,FALSE)</f>
        <v>India</v>
      </c>
      <c r="L1696" t="s">
        <v>9</v>
      </c>
      <c r="M1696">
        <v>11</v>
      </c>
      <c r="N1696" s="8" t="str">
        <f>VLOOKUP(K1696,tblCountries[],3,0)</f>
        <v>Asia</v>
      </c>
      <c r="O1696" s="8">
        <f>VLOOKUP(tblSalaries[[#This Row],[How many hours of a day you work on Excel]],tblHours,2,0)</f>
        <v>4</v>
      </c>
      <c r="P1696" s="8">
        <f>VLOOKUP(tblSalaries[[#This Row],[clean Country]],tblCountries[],5,0)</f>
        <v>13.098808879263672</v>
      </c>
      <c r="Q1696" s="8">
        <f>IF($Q$1,tblSalaries[[#This Row],[PPP Factor]]*tblSalaries[[#This Row],[Salary in USD]],tblSalaries[[#This Row],[Salary in USD]])</f>
        <v>10000</v>
      </c>
    </row>
    <row r="1697" spans="2:17" ht="15" customHeight="1" x14ac:dyDescent="0.25">
      <c r="B1697" t="s">
        <v>3700</v>
      </c>
      <c r="C1697" s="1">
        <v>41067.714791666665</v>
      </c>
      <c r="D1697" s="4">
        <v>360000</v>
      </c>
      <c r="E1697">
        <v>360000</v>
      </c>
      <c r="F1697" t="s">
        <v>40</v>
      </c>
      <c r="G1697">
        <f>tblSalaries[[#This Row],[clean Salary (in local currency)]]*VLOOKUP(tblSalaries[[#This Row],[Currency]],tblXrate[],2,FALSE)</f>
        <v>6410.8500074793246</v>
      </c>
      <c r="H1697" t="s">
        <v>1863</v>
      </c>
      <c r="I1697" t="s">
        <v>356</v>
      </c>
      <c r="J1697" t="s">
        <v>8</v>
      </c>
      <c r="K1697" t="str">
        <f>VLOOKUP(tblSalaries[[#This Row],[Where do you work]],tblCountries[[Actual]:[Mapping]],2,FALSE)</f>
        <v>India</v>
      </c>
      <c r="L1697" t="s">
        <v>25</v>
      </c>
      <c r="M1697">
        <v>2</v>
      </c>
      <c r="N1697" s="8" t="str">
        <f>VLOOKUP(K1697,tblCountries[],3,0)</f>
        <v>Asia</v>
      </c>
      <c r="O1697" s="8">
        <f>VLOOKUP(tblSalaries[[#This Row],[How many hours of a day you work on Excel]],tblHours,2,0)</f>
        <v>2</v>
      </c>
      <c r="P1697" s="8">
        <f>VLOOKUP(tblSalaries[[#This Row],[clean Country]],tblCountries[],5,0)</f>
        <v>13.098808879263672</v>
      </c>
      <c r="Q1697" s="8">
        <f>IF($Q$1,tblSalaries[[#This Row],[PPP Factor]]*tblSalaries[[#This Row],[Salary in USD]],tblSalaries[[#This Row],[Salary in USD]])</f>
        <v>6410.8500074793246</v>
      </c>
    </row>
    <row r="1698" spans="2:17" ht="15" customHeight="1" x14ac:dyDescent="0.25">
      <c r="B1698" t="s">
        <v>3701</v>
      </c>
      <c r="C1698" s="1">
        <v>41067.717847222222</v>
      </c>
      <c r="D1698" s="4">
        <v>40000</v>
      </c>
      <c r="E1698">
        <v>40000</v>
      </c>
      <c r="F1698" t="s">
        <v>69</v>
      </c>
      <c r="G1698">
        <f>tblSalaries[[#This Row],[clean Salary (in local currency)]]*VLOOKUP(tblSalaries[[#This Row],[Currency]],tblXrate[],2,FALSE)</f>
        <v>63047.130882691366</v>
      </c>
      <c r="H1698" t="s">
        <v>20</v>
      </c>
      <c r="I1698" t="s">
        <v>20</v>
      </c>
      <c r="J1698" t="s">
        <v>71</v>
      </c>
      <c r="K1698" t="str">
        <f>VLOOKUP(tblSalaries[[#This Row],[Where do you work]],tblCountries[[Actual]:[Mapping]],2,FALSE)</f>
        <v>UK</v>
      </c>
      <c r="L1698" t="s">
        <v>9</v>
      </c>
      <c r="M1698">
        <v>5</v>
      </c>
      <c r="N1698" s="8" t="str">
        <f>VLOOKUP(K1698,tblCountries[],3,0)</f>
        <v>Europe</v>
      </c>
      <c r="O1698" s="8">
        <f>VLOOKUP(tblSalaries[[#This Row],[How many hours of a day you work on Excel]],tblHours,2,0)</f>
        <v>4</v>
      </c>
      <c r="P1698" s="8">
        <f>VLOOKUP(tblSalaries[[#This Row],[clean Country]],tblCountries[],5,0)</f>
        <v>1.3407315045719035</v>
      </c>
      <c r="Q1698" s="8">
        <f>IF($Q$1,tblSalaries[[#This Row],[PPP Factor]]*tblSalaries[[#This Row],[Salary in USD]],tblSalaries[[#This Row],[Salary in USD]])</f>
        <v>63047.130882691366</v>
      </c>
    </row>
    <row r="1699" spans="2:17" ht="15" customHeight="1" x14ac:dyDescent="0.25">
      <c r="B1699" t="s">
        <v>3702</v>
      </c>
      <c r="C1699" s="1">
        <v>41067.840752314813</v>
      </c>
      <c r="D1699" s="4">
        <v>60000</v>
      </c>
      <c r="E1699">
        <v>60000</v>
      </c>
      <c r="F1699" t="s">
        <v>82</v>
      </c>
      <c r="G1699">
        <f>tblSalaries[[#This Row],[clean Salary (in local currency)]]*VLOOKUP(tblSalaries[[#This Row],[Currency]],tblXrate[],2,FALSE)</f>
        <v>61194.579384158147</v>
      </c>
      <c r="H1699" t="s">
        <v>42</v>
      </c>
      <c r="I1699" t="s">
        <v>20</v>
      </c>
      <c r="J1699" t="s">
        <v>84</v>
      </c>
      <c r="K1699" t="str">
        <f>VLOOKUP(tblSalaries[[#This Row],[Where do you work]],tblCountries[[Actual]:[Mapping]],2,FALSE)</f>
        <v>Australia</v>
      </c>
      <c r="L1699" t="s">
        <v>18</v>
      </c>
      <c r="M1699">
        <v>3</v>
      </c>
      <c r="N1699" s="8" t="str">
        <f>VLOOKUP(K1699,tblCountries[],3,0)</f>
        <v>Oceania</v>
      </c>
      <c r="O1699" s="8">
        <f>VLOOKUP(tblSalaries[[#This Row],[How many hours of a day you work on Excel]],tblHours,2,0)</f>
        <v>3</v>
      </c>
      <c r="P1699" s="8">
        <f>VLOOKUP(tblSalaries[[#This Row],[clean Country]],tblCountries[],5,0)</f>
        <v>1.2026395585822935</v>
      </c>
      <c r="Q1699" s="8">
        <f>IF($Q$1,tblSalaries[[#This Row],[PPP Factor]]*tblSalaries[[#This Row],[Salary in USD]],tblSalaries[[#This Row],[Salary in USD]])</f>
        <v>61194.579384158147</v>
      </c>
    </row>
    <row r="1700" spans="2:17" ht="15" customHeight="1" x14ac:dyDescent="0.25">
      <c r="B1700" t="s">
        <v>3703</v>
      </c>
      <c r="C1700" s="1">
        <v>41067.866712962961</v>
      </c>
      <c r="D1700" s="4" t="s">
        <v>1864</v>
      </c>
      <c r="E1700">
        <v>73000</v>
      </c>
      <c r="F1700" t="s">
        <v>69</v>
      </c>
      <c r="G1700">
        <f>tblSalaries[[#This Row],[clean Salary (in local currency)]]*VLOOKUP(tblSalaries[[#This Row],[Currency]],tblXrate[],2,FALSE)</f>
        <v>115061.01386091174</v>
      </c>
      <c r="H1700" t="s">
        <v>181</v>
      </c>
      <c r="I1700" t="s">
        <v>488</v>
      </c>
      <c r="J1700" t="s">
        <v>71</v>
      </c>
      <c r="K1700" t="str">
        <f>VLOOKUP(tblSalaries[[#This Row],[Where do you work]],tblCountries[[Actual]:[Mapping]],2,FALSE)</f>
        <v>UK</v>
      </c>
      <c r="L1700" t="s">
        <v>9</v>
      </c>
      <c r="M1700">
        <v>8</v>
      </c>
      <c r="N1700" s="8" t="str">
        <f>VLOOKUP(K1700,tblCountries[],3,0)</f>
        <v>Europe</v>
      </c>
      <c r="O1700" s="8">
        <f>VLOOKUP(tblSalaries[[#This Row],[How many hours of a day you work on Excel]],tblHours,2,0)</f>
        <v>4</v>
      </c>
      <c r="P1700" s="8">
        <f>VLOOKUP(tblSalaries[[#This Row],[clean Country]],tblCountries[],5,0)</f>
        <v>1.3407315045719035</v>
      </c>
      <c r="Q1700" s="8">
        <f>IF($Q$1,tblSalaries[[#This Row],[PPP Factor]]*tblSalaries[[#This Row],[Salary in USD]],tblSalaries[[#This Row],[Salary in USD]])</f>
        <v>115061.01386091174</v>
      </c>
    </row>
    <row r="1701" spans="2:17" ht="15" customHeight="1" x14ac:dyDescent="0.25">
      <c r="B1701" t="s">
        <v>3704</v>
      </c>
      <c r="C1701" s="1">
        <v>41067.981516203705</v>
      </c>
      <c r="D1701" s="4">
        <v>45000</v>
      </c>
      <c r="E1701">
        <v>45000</v>
      </c>
      <c r="F1701" t="s">
        <v>6</v>
      </c>
      <c r="G1701">
        <f>tblSalaries[[#This Row],[clean Salary (in local currency)]]*VLOOKUP(tblSalaries[[#This Row],[Currency]],tblXrate[],2,FALSE)</f>
        <v>45000</v>
      </c>
      <c r="H1701" t="s">
        <v>1865</v>
      </c>
      <c r="I1701" t="s">
        <v>20</v>
      </c>
      <c r="J1701" t="s">
        <v>15</v>
      </c>
      <c r="K1701" t="str">
        <f>VLOOKUP(tblSalaries[[#This Row],[Where do you work]],tblCountries[[Actual]:[Mapping]],2,FALSE)</f>
        <v>USA</v>
      </c>
      <c r="L1701" t="s">
        <v>13</v>
      </c>
      <c r="M1701">
        <v>2</v>
      </c>
      <c r="N1701" s="8" t="str">
        <f>VLOOKUP(K1701,tblCountries[],3,0)</f>
        <v>North Amer.</v>
      </c>
      <c r="O1701" s="8">
        <f>VLOOKUP(tblSalaries[[#This Row],[How many hours of a day you work on Excel]],tblHours,2,0)</f>
        <v>5</v>
      </c>
      <c r="P1701" s="8">
        <f>VLOOKUP(tblSalaries[[#This Row],[clean Country]],tblCountries[],5,0)</f>
        <v>1</v>
      </c>
      <c r="Q1701" s="8">
        <f>IF($Q$1,tblSalaries[[#This Row],[PPP Factor]]*tblSalaries[[#This Row],[Salary in USD]],tblSalaries[[#This Row],[Salary in USD]])</f>
        <v>45000</v>
      </c>
    </row>
    <row r="1702" spans="2:17" ht="15" customHeight="1" x14ac:dyDescent="0.25">
      <c r="B1702" t="s">
        <v>3705</v>
      </c>
      <c r="C1702" s="1">
        <v>41067.992002314815</v>
      </c>
      <c r="D1702" s="4">
        <v>36000</v>
      </c>
      <c r="E1702">
        <v>36000</v>
      </c>
      <c r="F1702" t="s">
        <v>6</v>
      </c>
      <c r="G1702">
        <f>tblSalaries[[#This Row],[clean Salary (in local currency)]]*VLOOKUP(tblSalaries[[#This Row],[Currency]],tblXrate[],2,FALSE)</f>
        <v>36000</v>
      </c>
      <c r="H1702" t="s">
        <v>569</v>
      </c>
      <c r="I1702" t="s">
        <v>20</v>
      </c>
      <c r="J1702" t="s">
        <v>15</v>
      </c>
      <c r="K1702" t="str">
        <f>VLOOKUP(tblSalaries[[#This Row],[Where do you work]],tblCountries[[Actual]:[Mapping]],2,FALSE)</f>
        <v>USA</v>
      </c>
      <c r="L1702" t="s">
        <v>9</v>
      </c>
      <c r="M1702">
        <v>4</v>
      </c>
      <c r="N1702" s="8" t="str">
        <f>VLOOKUP(K1702,tblCountries[],3,0)</f>
        <v>North Amer.</v>
      </c>
      <c r="O1702" s="8">
        <f>VLOOKUP(tblSalaries[[#This Row],[How many hours of a day you work on Excel]],tblHours,2,0)</f>
        <v>4</v>
      </c>
      <c r="P1702" s="8">
        <f>VLOOKUP(tblSalaries[[#This Row],[clean Country]],tblCountries[],5,0)</f>
        <v>1</v>
      </c>
      <c r="Q1702" s="8">
        <f>IF($Q$1,tblSalaries[[#This Row],[PPP Factor]]*tblSalaries[[#This Row],[Salary in USD]],tblSalaries[[#This Row],[Salary in USD]])</f>
        <v>36000</v>
      </c>
    </row>
    <row r="1703" spans="2:17" ht="15" customHeight="1" x14ac:dyDescent="0.25">
      <c r="B1703" t="s">
        <v>3706</v>
      </c>
      <c r="C1703" s="1">
        <v>41068.001261574071</v>
      </c>
      <c r="D1703" s="4">
        <v>68000</v>
      </c>
      <c r="E1703">
        <v>68000</v>
      </c>
      <c r="F1703" t="s">
        <v>6</v>
      </c>
      <c r="G1703">
        <f>tblSalaries[[#This Row],[clean Salary (in local currency)]]*VLOOKUP(tblSalaries[[#This Row],[Currency]],tblXrate[],2,FALSE)</f>
        <v>68000</v>
      </c>
      <c r="H1703" t="s">
        <v>1866</v>
      </c>
      <c r="I1703" t="s">
        <v>20</v>
      </c>
      <c r="J1703" t="s">
        <v>15</v>
      </c>
      <c r="K1703" t="str">
        <f>VLOOKUP(tblSalaries[[#This Row],[Where do you work]],tblCountries[[Actual]:[Mapping]],2,FALSE)</f>
        <v>USA</v>
      </c>
      <c r="L1703" t="s">
        <v>9</v>
      </c>
      <c r="M1703">
        <v>2.5</v>
      </c>
      <c r="N1703" s="8" t="str">
        <f>VLOOKUP(K1703,tblCountries[],3,0)</f>
        <v>North Amer.</v>
      </c>
      <c r="O1703" s="8">
        <f>VLOOKUP(tblSalaries[[#This Row],[How many hours of a day you work on Excel]],tblHours,2,0)</f>
        <v>4</v>
      </c>
      <c r="P1703" s="8">
        <f>VLOOKUP(tblSalaries[[#This Row],[clean Country]],tblCountries[],5,0)</f>
        <v>1</v>
      </c>
      <c r="Q1703" s="8">
        <f>IF($Q$1,tblSalaries[[#This Row],[PPP Factor]]*tblSalaries[[#This Row],[Salary in USD]],tblSalaries[[#This Row],[Salary in USD]])</f>
        <v>68000</v>
      </c>
    </row>
    <row r="1704" spans="2:17" ht="15" customHeight="1" x14ac:dyDescent="0.25">
      <c r="B1704" t="s">
        <v>3707</v>
      </c>
      <c r="C1704" s="1">
        <v>41068.014849537038</v>
      </c>
      <c r="D1704" s="4">
        <v>75000</v>
      </c>
      <c r="E1704">
        <v>75000</v>
      </c>
      <c r="F1704" t="s">
        <v>6</v>
      </c>
      <c r="G1704">
        <f>tblSalaries[[#This Row],[clean Salary (in local currency)]]*VLOOKUP(tblSalaries[[#This Row],[Currency]],tblXrate[],2,FALSE)</f>
        <v>75000</v>
      </c>
      <c r="H1704" t="s">
        <v>424</v>
      </c>
      <c r="I1704" t="s">
        <v>20</v>
      </c>
      <c r="J1704" t="s">
        <v>15</v>
      </c>
      <c r="K1704" t="str">
        <f>VLOOKUP(tblSalaries[[#This Row],[Where do you work]],tblCountries[[Actual]:[Mapping]],2,FALSE)</f>
        <v>USA</v>
      </c>
      <c r="L1704" t="s">
        <v>13</v>
      </c>
      <c r="M1704">
        <v>5</v>
      </c>
      <c r="N1704" s="8" t="str">
        <f>VLOOKUP(K1704,tblCountries[],3,0)</f>
        <v>North Amer.</v>
      </c>
      <c r="O1704" s="8">
        <f>VLOOKUP(tblSalaries[[#This Row],[How many hours of a day you work on Excel]],tblHours,2,0)</f>
        <v>5</v>
      </c>
      <c r="P1704" s="8">
        <f>VLOOKUP(tblSalaries[[#This Row],[clean Country]],tblCountries[],5,0)</f>
        <v>1</v>
      </c>
      <c r="Q1704" s="8">
        <f>IF($Q$1,tblSalaries[[#This Row],[PPP Factor]]*tblSalaries[[#This Row],[Salary in USD]],tblSalaries[[#This Row],[Salary in USD]])</f>
        <v>75000</v>
      </c>
    </row>
    <row r="1705" spans="2:17" ht="15" customHeight="1" x14ac:dyDescent="0.25">
      <c r="B1705" t="s">
        <v>3708</v>
      </c>
      <c r="C1705" s="1">
        <v>41068.102233796293</v>
      </c>
      <c r="D1705" s="4">
        <v>88000</v>
      </c>
      <c r="E1705">
        <v>88000</v>
      </c>
      <c r="F1705" t="s">
        <v>6</v>
      </c>
      <c r="G1705">
        <f>tblSalaries[[#This Row],[clean Salary (in local currency)]]*VLOOKUP(tblSalaries[[#This Row],[Currency]],tblXrate[],2,FALSE)</f>
        <v>88000</v>
      </c>
      <c r="H1705" t="s">
        <v>1867</v>
      </c>
      <c r="I1705" t="s">
        <v>20</v>
      </c>
      <c r="J1705" t="s">
        <v>15</v>
      </c>
      <c r="K1705" t="str">
        <f>VLOOKUP(tblSalaries[[#This Row],[Where do you work]],tblCountries[[Actual]:[Mapping]],2,FALSE)</f>
        <v>USA</v>
      </c>
      <c r="L1705" t="s">
        <v>13</v>
      </c>
      <c r="M1705">
        <v>10</v>
      </c>
      <c r="N1705" s="8" t="str">
        <f>VLOOKUP(K1705,tblCountries[],3,0)</f>
        <v>North Amer.</v>
      </c>
      <c r="O1705" s="8">
        <f>VLOOKUP(tblSalaries[[#This Row],[How many hours of a day you work on Excel]],tblHours,2,0)</f>
        <v>5</v>
      </c>
      <c r="P1705" s="8">
        <f>VLOOKUP(tblSalaries[[#This Row],[clean Country]],tblCountries[],5,0)</f>
        <v>1</v>
      </c>
      <c r="Q1705" s="8">
        <f>IF($Q$1,tblSalaries[[#This Row],[PPP Factor]]*tblSalaries[[#This Row],[Salary in USD]],tblSalaries[[#This Row],[Salary in USD]])</f>
        <v>88000</v>
      </c>
    </row>
    <row r="1706" spans="2:17" ht="15" customHeight="1" x14ac:dyDescent="0.25">
      <c r="B1706" t="s">
        <v>3709</v>
      </c>
      <c r="C1706" s="1">
        <v>41068.103298611109</v>
      </c>
      <c r="D1706" s="4" t="s">
        <v>1868</v>
      </c>
      <c r="E1706">
        <v>258000</v>
      </c>
      <c r="F1706" t="s">
        <v>40</v>
      </c>
      <c r="G1706">
        <f>tblSalaries[[#This Row],[clean Salary (in local currency)]]*VLOOKUP(tblSalaries[[#This Row],[Currency]],tblXrate[],2,FALSE)</f>
        <v>4594.4425053601826</v>
      </c>
      <c r="H1706" t="s">
        <v>1869</v>
      </c>
      <c r="I1706" t="s">
        <v>20</v>
      </c>
      <c r="J1706" t="s">
        <v>8</v>
      </c>
      <c r="K1706" t="str">
        <f>VLOOKUP(tblSalaries[[#This Row],[Where do you work]],tblCountries[[Actual]:[Mapping]],2,FALSE)</f>
        <v>India</v>
      </c>
      <c r="L1706" t="s">
        <v>9</v>
      </c>
      <c r="M1706">
        <v>4</v>
      </c>
      <c r="N1706" s="8" t="str">
        <f>VLOOKUP(K1706,tblCountries[],3,0)</f>
        <v>Asia</v>
      </c>
      <c r="O1706" s="8">
        <f>VLOOKUP(tblSalaries[[#This Row],[How many hours of a day you work on Excel]],tblHours,2,0)</f>
        <v>4</v>
      </c>
      <c r="P1706" s="8">
        <f>VLOOKUP(tblSalaries[[#This Row],[clean Country]],tblCountries[],5,0)</f>
        <v>13.098808879263672</v>
      </c>
      <c r="Q1706" s="8">
        <f>IF($Q$1,tblSalaries[[#This Row],[PPP Factor]]*tblSalaries[[#This Row],[Salary in USD]],tblSalaries[[#This Row],[Salary in USD]])</f>
        <v>4594.4425053601826</v>
      </c>
    </row>
    <row r="1707" spans="2:17" ht="15" customHeight="1" x14ac:dyDescent="0.25">
      <c r="B1707" t="s">
        <v>3710</v>
      </c>
      <c r="C1707" s="1">
        <v>41068.141203703701</v>
      </c>
      <c r="D1707" s="4">
        <v>69000</v>
      </c>
      <c r="E1707">
        <v>69000</v>
      </c>
      <c r="F1707" t="s">
        <v>6</v>
      </c>
      <c r="G1707">
        <f>tblSalaries[[#This Row],[clean Salary (in local currency)]]*VLOOKUP(tblSalaries[[#This Row],[Currency]],tblXrate[],2,FALSE)</f>
        <v>69000</v>
      </c>
      <c r="H1707" t="s">
        <v>1870</v>
      </c>
      <c r="I1707" t="s">
        <v>20</v>
      </c>
      <c r="J1707" t="s">
        <v>15</v>
      </c>
      <c r="K1707" t="str">
        <f>VLOOKUP(tblSalaries[[#This Row],[Where do you work]],tblCountries[[Actual]:[Mapping]],2,FALSE)</f>
        <v>USA</v>
      </c>
      <c r="L1707" t="s">
        <v>13</v>
      </c>
      <c r="M1707">
        <v>15</v>
      </c>
      <c r="N1707" s="8" t="str">
        <f>VLOOKUP(K1707,tblCountries[],3,0)</f>
        <v>North Amer.</v>
      </c>
      <c r="O1707" s="8">
        <f>VLOOKUP(tblSalaries[[#This Row],[How many hours of a day you work on Excel]],tblHours,2,0)</f>
        <v>5</v>
      </c>
      <c r="P1707" s="8">
        <f>VLOOKUP(tblSalaries[[#This Row],[clean Country]],tblCountries[],5,0)</f>
        <v>1</v>
      </c>
      <c r="Q1707" s="8">
        <f>IF($Q$1,tblSalaries[[#This Row],[PPP Factor]]*tblSalaries[[#This Row],[Salary in USD]],tblSalaries[[#This Row],[Salary in USD]])</f>
        <v>69000</v>
      </c>
    </row>
    <row r="1708" spans="2:17" ht="15" customHeight="1" x14ac:dyDescent="0.25">
      <c r="B1708" t="s">
        <v>3711</v>
      </c>
      <c r="C1708" s="1">
        <v>41068.149201388886</v>
      </c>
      <c r="D1708" s="4">
        <v>30000</v>
      </c>
      <c r="E1708">
        <v>30000</v>
      </c>
      <c r="F1708" t="s">
        <v>6</v>
      </c>
      <c r="G1708">
        <f>tblSalaries[[#This Row],[clean Salary (in local currency)]]*VLOOKUP(tblSalaries[[#This Row],[Currency]],tblXrate[],2,FALSE)</f>
        <v>30000</v>
      </c>
      <c r="H1708" t="s">
        <v>1257</v>
      </c>
      <c r="I1708" t="s">
        <v>52</v>
      </c>
      <c r="J1708" t="s">
        <v>15</v>
      </c>
      <c r="K1708" t="str">
        <f>VLOOKUP(tblSalaries[[#This Row],[Where do you work]],tblCountries[[Actual]:[Mapping]],2,FALSE)</f>
        <v>USA</v>
      </c>
      <c r="L1708" t="s">
        <v>9</v>
      </c>
      <c r="M1708">
        <v>1</v>
      </c>
      <c r="N1708" s="8" t="str">
        <f>VLOOKUP(K1708,tblCountries[],3,0)</f>
        <v>North Amer.</v>
      </c>
      <c r="O1708" s="8">
        <f>VLOOKUP(tblSalaries[[#This Row],[How many hours of a day you work on Excel]],tblHours,2,0)</f>
        <v>4</v>
      </c>
      <c r="P1708" s="8">
        <f>VLOOKUP(tblSalaries[[#This Row],[clean Country]],tblCountries[],5,0)</f>
        <v>1</v>
      </c>
      <c r="Q1708" s="8">
        <f>IF($Q$1,tblSalaries[[#This Row],[PPP Factor]]*tblSalaries[[#This Row],[Salary in USD]],tblSalaries[[#This Row],[Salary in USD]])</f>
        <v>30000</v>
      </c>
    </row>
    <row r="1709" spans="2:17" ht="15" customHeight="1" x14ac:dyDescent="0.25">
      <c r="B1709" t="s">
        <v>3712</v>
      </c>
      <c r="C1709" s="1">
        <v>41068.202604166669</v>
      </c>
      <c r="D1709" s="4">
        <v>80000</v>
      </c>
      <c r="E1709">
        <v>80000</v>
      </c>
      <c r="F1709" t="s">
        <v>6</v>
      </c>
      <c r="G1709">
        <f>tblSalaries[[#This Row],[clean Salary (in local currency)]]*VLOOKUP(tblSalaries[[#This Row],[Currency]],tblXrate[],2,FALSE)</f>
        <v>80000</v>
      </c>
      <c r="H1709" t="s">
        <v>1871</v>
      </c>
      <c r="I1709" t="s">
        <v>52</v>
      </c>
      <c r="J1709" t="s">
        <v>15</v>
      </c>
      <c r="K1709" t="str">
        <f>VLOOKUP(tblSalaries[[#This Row],[Where do you work]],tblCountries[[Actual]:[Mapping]],2,FALSE)</f>
        <v>USA</v>
      </c>
      <c r="L1709" t="s">
        <v>9</v>
      </c>
      <c r="M1709">
        <v>7</v>
      </c>
      <c r="N1709" s="8" t="str">
        <f>VLOOKUP(K1709,tblCountries[],3,0)</f>
        <v>North Amer.</v>
      </c>
      <c r="O1709" s="8">
        <f>VLOOKUP(tblSalaries[[#This Row],[How many hours of a day you work on Excel]],tblHours,2,0)</f>
        <v>4</v>
      </c>
      <c r="P1709" s="8">
        <f>VLOOKUP(tblSalaries[[#This Row],[clean Country]],tblCountries[],5,0)</f>
        <v>1</v>
      </c>
      <c r="Q1709" s="8">
        <f>IF($Q$1,tblSalaries[[#This Row],[PPP Factor]]*tblSalaries[[#This Row],[Salary in USD]],tblSalaries[[#This Row],[Salary in USD]])</f>
        <v>80000</v>
      </c>
    </row>
    <row r="1710" spans="2:17" ht="15" customHeight="1" x14ac:dyDescent="0.25">
      <c r="B1710" t="s">
        <v>3713</v>
      </c>
      <c r="C1710" s="1">
        <v>41068.279537037037</v>
      </c>
      <c r="D1710" s="4">
        <v>75000</v>
      </c>
      <c r="E1710">
        <v>75000</v>
      </c>
      <c r="F1710" t="s">
        <v>6</v>
      </c>
      <c r="G1710">
        <f>tblSalaries[[#This Row],[clean Salary (in local currency)]]*VLOOKUP(tblSalaries[[#This Row],[Currency]],tblXrate[],2,FALSE)</f>
        <v>75000</v>
      </c>
      <c r="H1710" t="s">
        <v>969</v>
      </c>
      <c r="I1710" t="s">
        <v>310</v>
      </c>
      <c r="J1710" t="s">
        <v>15</v>
      </c>
      <c r="K1710" t="str">
        <f>VLOOKUP(tblSalaries[[#This Row],[Where do you work]],tblCountries[[Actual]:[Mapping]],2,FALSE)</f>
        <v>USA</v>
      </c>
      <c r="L1710" t="s">
        <v>13</v>
      </c>
      <c r="M1710">
        <v>1</v>
      </c>
      <c r="N1710" s="8" t="str">
        <f>VLOOKUP(K1710,tblCountries[],3,0)</f>
        <v>North Amer.</v>
      </c>
      <c r="O1710" s="8">
        <f>VLOOKUP(tblSalaries[[#This Row],[How many hours of a day you work on Excel]],tblHours,2,0)</f>
        <v>5</v>
      </c>
      <c r="P1710" s="8">
        <f>VLOOKUP(tblSalaries[[#This Row],[clean Country]],tblCountries[],5,0)</f>
        <v>1</v>
      </c>
      <c r="Q1710" s="8">
        <f>IF($Q$1,tblSalaries[[#This Row],[PPP Factor]]*tblSalaries[[#This Row],[Salary in USD]],tblSalaries[[#This Row],[Salary in USD]])</f>
        <v>75000</v>
      </c>
    </row>
    <row r="1711" spans="2:17" ht="15" customHeight="1" x14ac:dyDescent="0.25">
      <c r="B1711" t="s">
        <v>3714</v>
      </c>
      <c r="C1711" s="1">
        <v>41068.344375000001</v>
      </c>
      <c r="D1711" s="4">
        <v>31200</v>
      </c>
      <c r="E1711">
        <v>31200</v>
      </c>
      <c r="F1711" t="s">
        <v>6</v>
      </c>
      <c r="G1711">
        <f>tblSalaries[[#This Row],[clean Salary (in local currency)]]*VLOOKUP(tblSalaries[[#This Row],[Currency]],tblXrate[],2,FALSE)</f>
        <v>31200</v>
      </c>
      <c r="H1711" t="s">
        <v>1090</v>
      </c>
      <c r="I1711" t="s">
        <v>20</v>
      </c>
      <c r="J1711" t="s">
        <v>143</v>
      </c>
      <c r="K1711" t="str">
        <f>VLOOKUP(tblSalaries[[#This Row],[Where do you work]],tblCountries[[Actual]:[Mapping]],2,FALSE)</f>
        <v>Brazil</v>
      </c>
      <c r="L1711" t="s">
        <v>9</v>
      </c>
      <c r="M1711">
        <v>4</v>
      </c>
      <c r="N1711" s="8" t="str">
        <f>VLOOKUP(K1711,tblCountries[],3,0)</f>
        <v>South Amer.</v>
      </c>
      <c r="O1711" s="8">
        <f>VLOOKUP(tblSalaries[[#This Row],[How many hours of a day you work on Excel]],tblHours,2,0)</f>
        <v>4</v>
      </c>
      <c r="P1711" s="8">
        <f>VLOOKUP(tblSalaries[[#This Row],[clean Country]],tblCountries[],5,0)</f>
        <v>4.1113943410655107</v>
      </c>
      <c r="Q1711" s="8">
        <f>IF($Q$1,tblSalaries[[#This Row],[PPP Factor]]*tblSalaries[[#This Row],[Salary in USD]],tblSalaries[[#This Row],[Salary in USD]])</f>
        <v>31200</v>
      </c>
    </row>
    <row r="1712" spans="2:17" ht="15" customHeight="1" x14ac:dyDescent="0.25">
      <c r="B1712" t="s">
        <v>3715</v>
      </c>
      <c r="C1712" s="1">
        <v>41068.407627314817</v>
      </c>
      <c r="D1712" s="4">
        <v>85000</v>
      </c>
      <c r="E1712">
        <v>85000</v>
      </c>
      <c r="F1712" t="s">
        <v>6</v>
      </c>
      <c r="G1712">
        <f>tblSalaries[[#This Row],[clean Salary (in local currency)]]*VLOOKUP(tblSalaries[[#This Row],[Currency]],tblXrate[],2,FALSE)</f>
        <v>85000</v>
      </c>
      <c r="H1712" t="s">
        <v>191</v>
      </c>
      <c r="I1712" t="s">
        <v>310</v>
      </c>
      <c r="J1712" t="s">
        <v>15</v>
      </c>
      <c r="K1712" t="str">
        <f>VLOOKUP(tblSalaries[[#This Row],[Where do you work]],tblCountries[[Actual]:[Mapping]],2,FALSE)</f>
        <v>USA</v>
      </c>
      <c r="L1712" t="s">
        <v>9</v>
      </c>
      <c r="M1712">
        <v>20</v>
      </c>
      <c r="N1712" s="8" t="str">
        <f>VLOOKUP(K1712,tblCountries[],3,0)</f>
        <v>North Amer.</v>
      </c>
      <c r="O1712" s="8">
        <f>VLOOKUP(tblSalaries[[#This Row],[How many hours of a day you work on Excel]],tblHours,2,0)</f>
        <v>4</v>
      </c>
      <c r="P1712" s="8">
        <f>VLOOKUP(tblSalaries[[#This Row],[clean Country]],tblCountries[],5,0)</f>
        <v>1</v>
      </c>
      <c r="Q1712" s="8">
        <f>IF($Q$1,tblSalaries[[#This Row],[PPP Factor]]*tblSalaries[[#This Row],[Salary in USD]],tblSalaries[[#This Row],[Salary in USD]])</f>
        <v>85000</v>
      </c>
    </row>
    <row r="1713" spans="2:17" ht="15" customHeight="1" x14ac:dyDescent="0.25">
      <c r="B1713" t="s">
        <v>3716</v>
      </c>
      <c r="C1713" s="1">
        <v>41068.568576388891</v>
      </c>
      <c r="D1713" s="4" t="s">
        <v>1872</v>
      </c>
      <c r="E1713">
        <v>950000</v>
      </c>
      <c r="F1713" t="s">
        <v>40</v>
      </c>
      <c r="G1713">
        <f>tblSalaries[[#This Row],[clean Salary (in local currency)]]*VLOOKUP(tblSalaries[[#This Row],[Currency]],tblXrate[],2,FALSE)</f>
        <v>16917.52085307044</v>
      </c>
      <c r="H1713" t="s">
        <v>1873</v>
      </c>
      <c r="I1713" t="s">
        <v>52</v>
      </c>
      <c r="J1713" t="s">
        <v>8</v>
      </c>
      <c r="K1713" t="str">
        <f>VLOOKUP(tblSalaries[[#This Row],[Where do you work]],tblCountries[[Actual]:[Mapping]],2,FALSE)</f>
        <v>India</v>
      </c>
      <c r="L1713" t="s">
        <v>18</v>
      </c>
      <c r="M1713">
        <v>9</v>
      </c>
      <c r="N1713" s="8" t="str">
        <f>VLOOKUP(K1713,tblCountries[],3,0)</f>
        <v>Asia</v>
      </c>
      <c r="O1713" s="8">
        <f>VLOOKUP(tblSalaries[[#This Row],[How many hours of a day you work on Excel]],tblHours,2,0)</f>
        <v>3</v>
      </c>
      <c r="P1713" s="8">
        <f>VLOOKUP(tblSalaries[[#This Row],[clean Country]],tblCountries[],5,0)</f>
        <v>13.098808879263672</v>
      </c>
      <c r="Q1713" s="8">
        <f>IF($Q$1,tblSalaries[[#This Row],[PPP Factor]]*tblSalaries[[#This Row],[Salary in USD]],tblSalaries[[#This Row],[Salary in USD]])</f>
        <v>16917.52085307044</v>
      </c>
    </row>
    <row r="1714" spans="2:17" ht="15" customHeight="1" x14ac:dyDescent="0.25">
      <c r="B1714" t="s">
        <v>3717</v>
      </c>
      <c r="C1714" s="1">
        <v>41068.580370370371</v>
      </c>
      <c r="D1714" s="4" t="s">
        <v>1874</v>
      </c>
      <c r="E1714">
        <v>180000</v>
      </c>
      <c r="F1714" t="s">
        <v>40</v>
      </c>
      <c r="G1714">
        <f>tblSalaries[[#This Row],[clean Salary (in local currency)]]*VLOOKUP(tblSalaries[[#This Row],[Currency]],tblXrate[],2,FALSE)</f>
        <v>3205.4250037396623</v>
      </c>
      <c r="H1714" t="s">
        <v>544</v>
      </c>
      <c r="I1714" t="s">
        <v>3999</v>
      </c>
      <c r="J1714" t="s">
        <v>8</v>
      </c>
      <c r="K1714" t="str">
        <f>VLOOKUP(tblSalaries[[#This Row],[Where do you work]],tblCountries[[Actual]:[Mapping]],2,FALSE)</f>
        <v>India</v>
      </c>
      <c r="L1714" t="s">
        <v>9</v>
      </c>
      <c r="M1714">
        <v>2</v>
      </c>
      <c r="N1714" s="8" t="str">
        <f>VLOOKUP(K1714,tblCountries[],3,0)</f>
        <v>Asia</v>
      </c>
      <c r="O1714" s="8">
        <f>VLOOKUP(tblSalaries[[#This Row],[How many hours of a day you work on Excel]],tblHours,2,0)</f>
        <v>4</v>
      </c>
      <c r="P1714" s="8">
        <f>VLOOKUP(tblSalaries[[#This Row],[clean Country]],tblCountries[],5,0)</f>
        <v>13.098808879263672</v>
      </c>
      <c r="Q1714" s="8">
        <f>IF($Q$1,tblSalaries[[#This Row],[PPP Factor]]*tblSalaries[[#This Row],[Salary in USD]],tblSalaries[[#This Row],[Salary in USD]])</f>
        <v>3205.4250037396623</v>
      </c>
    </row>
    <row r="1715" spans="2:17" ht="15" customHeight="1" x14ac:dyDescent="0.25">
      <c r="B1715" t="s">
        <v>3718</v>
      </c>
      <c r="C1715" s="1">
        <v>41068.613252314812</v>
      </c>
      <c r="D1715" s="4">
        <v>60000</v>
      </c>
      <c r="E1715">
        <v>60000</v>
      </c>
      <c r="F1715" t="s">
        <v>6</v>
      </c>
      <c r="G1715">
        <f>tblSalaries[[#This Row],[clean Salary (in local currency)]]*VLOOKUP(tblSalaries[[#This Row],[Currency]],tblXrate[],2,FALSE)</f>
        <v>60000</v>
      </c>
      <c r="H1715" t="s">
        <v>1875</v>
      </c>
      <c r="I1715" t="s">
        <v>52</v>
      </c>
      <c r="J1715" t="s">
        <v>15</v>
      </c>
      <c r="K1715" t="str">
        <f>VLOOKUP(tblSalaries[[#This Row],[Where do you work]],tblCountries[[Actual]:[Mapping]],2,FALSE)</f>
        <v>USA</v>
      </c>
      <c r="L1715" t="s">
        <v>13</v>
      </c>
      <c r="M1715">
        <v>2</v>
      </c>
      <c r="N1715" s="8" t="str">
        <f>VLOOKUP(K1715,tblCountries[],3,0)</f>
        <v>North Amer.</v>
      </c>
      <c r="O1715" s="8">
        <f>VLOOKUP(tblSalaries[[#This Row],[How many hours of a day you work on Excel]],tblHours,2,0)</f>
        <v>5</v>
      </c>
      <c r="P1715" s="8">
        <f>VLOOKUP(tblSalaries[[#This Row],[clean Country]],tblCountries[],5,0)</f>
        <v>1</v>
      </c>
      <c r="Q1715" s="8">
        <f>IF($Q$1,tblSalaries[[#This Row],[PPP Factor]]*tblSalaries[[#This Row],[Salary in USD]],tblSalaries[[#This Row],[Salary in USD]])</f>
        <v>60000</v>
      </c>
    </row>
    <row r="1716" spans="2:17" ht="15" customHeight="1" x14ac:dyDescent="0.25">
      <c r="B1716" t="s">
        <v>3719</v>
      </c>
      <c r="C1716" s="1">
        <v>41068.613657407404</v>
      </c>
      <c r="D1716" s="4">
        <v>60000</v>
      </c>
      <c r="E1716">
        <v>60000</v>
      </c>
      <c r="F1716" t="s">
        <v>6</v>
      </c>
      <c r="G1716">
        <f>tblSalaries[[#This Row],[clean Salary (in local currency)]]*VLOOKUP(tblSalaries[[#This Row],[Currency]],tblXrate[],2,FALSE)</f>
        <v>60000</v>
      </c>
      <c r="H1716" t="s">
        <v>1875</v>
      </c>
      <c r="I1716" t="s">
        <v>52</v>
      </c>
      <c r="J1716" t="s">
        <v>15</v>
      </c>
      <c r="K1716" t="str">
        <f>VLOOKUP(tblSalaries[[#This Row],[Where do you work]],tblCountries[[Actual]:[Mapping]],2,FALSE)</f>
        <v>USA</v>
      </c>
      <c r="L1716" t="s">
        <v>13</v>
      </c>
      <c r="M1716">
        <v>2</v>
      </c>
      <c r="N1716" s="8" t="str">
        <f>VLOOKUP(K1716,tblCountries[],3,0)</f>
        <v>North Amer.</v>
      </c>
      <c r="O1716" s="8">
        <f>VLOOKUP(tblSalaries[[#This Row],[How many hours of a day you work on Excel]],tblHours,2,0)</f>
        <v>5</v>
      </c>
      <c r="P1716" s="8">
        <f>VLOOKUP(tblSalaries[[#This Row],[clean Country]],tblCountries[],5,0)</f>
        <v>1</v>
      </c>
      <c r="Q1716" s="8">
        <f>IF($Q$1,tblSalaries[[#This Row],[PPP Factor]]*tblSalaries[[#This Row],[Salary in USD]],tblSalaries[[#This Row],[Salary in USD]])</f>
        <v>60000</v>
      </c>
    </row>
    <row r="1717" spans="2:17" ht="15" customHeight="1" x14ac:dyDescent="0.25">
      <c r="B1717" t="s">
        <v>3720</v>
      </c>
      <c r="C1717" s="1">
        <v>41068.655046296299</v>
      </c>
      <c r="D1717" s="4" t="s">
        <v>1876</v>
      </c>
      <c r="E1717">
        <v>800000</v>
      </c>
      <c r="F1717" t="s">
        <v>40</v>
      </c>
      <c r="G1717">
        <f>tblSalaries[[#This Row],[clean Salary (in local currency)]]*VLOOKUP(tblSalaries[[#This Row],[Currency]],tblXrate[],2,FALSE)</f>
        <v>14246.333349954055</v>
      </c>
      <c r="H1717" t="s">
        <v>755</v>
      </c>
      <c r="I1717" t="s">
        <v>52</v>
      </c>
      <c r="J1717" t="s">
        <v>8</v>
      </c>
      <c r="K1717" t="str">
        <f>VLOOKUP(tblSalaries[[#This Row],[Where do you work]],tblCountries[[Actual]:[Mapping]],2,FALSE)</f>
        <v>India</v>
      </c>
      <c r="L1717" t="s">
        <v>18</v>
      </c>
      <c r="M1717">
        <v>0</v>
      </c>
      <c r="N1717" s="8" t="str">
        <f>VLOOKUP(K1717,tblCountries[],3,0)</f>
        <v>Asia</v>
      </c>
      <c r="O1717" s="8">
        <f>VLOOKUP(tblSalaries[[#This Row],[How many hours of a day you work on Excel]],tblHours,2,0)</f>
        <v>3</v>
      </c>
      <c r="P1717" s="8">
        <f>VLOOKUP(tblSalaries[[#This Row],[clean Country]],tblCountries[],5,0)</f>
        <v>13.098808879263672</v>
      </c>
      <c r="Q1717" s="8">
        <f>IF($Q$1,tblSalaries[[#This Row],[PPP Factor]]*tblSalaries[[#This Row],[Salary in USD]],tblSalaries[[#This Row],[Salary in USD]])</f>
        <v>14246.333349954055</v>
      </c>
    </row>
    <row r="1718" spans="2:17" ht="15" customHeight="1" x14ac:dyDescent="0.25">
      <c r="B1718" t="s">
        <v>3721</v>
      </c>
      <c r="C1718" s="1">
        <v>41068.656412037039</v>
      </c>
      <c r="D1718" s="4">
        <v>800000</v>
      </c>
      <c r="E1718">
        <v>800000</v>
      </c>
      <c r="F1718" t="s">
        <v>40</v>
      </c>
      <c r="G1718">
        <f>tblSalaries[[#This Row],[clean Salary (in local currency)]]*VLOOKUP(tblSalaries[[#This Row],[Currency]],tblXrate[],2,FALSE)</f>
        <v>14246.333349954055</v>
      </c>
      <c r="H1718" t="s">
        <v>755</v>
      </c>
      <c r="I1718" t="s">
        <v>52</v>
      </c>
      <c r="J1718" t="s">
        <v>8</v>
      </c>
      <c r="K1718" t="str">
        <f>VLOOKUP(tblSalaries[[#This Row],[Where do you work]],tblCountries[[Actual]:[Mapping]],2,FALSE)</f>
        <v>India</v>
      </c>
      <c r="L1718" t="s">
        <v>18</v>
      </c>
      <c r="M1718">
        <v>0</v>
      </c>
      <c r="N1718" s="8" t="str">
        <f>VLOOKUP(K1718,tblCountries[],3,0)</f>
        <v>Asia</v>
      </c>
      <c r="O1718" s="8">
        <f>VLOOKUP(tblSalaries[[#This Row],[How many hours of a day you work on Excel]],tblHours,2,0)</f>
        <v>3</v>
      </c>
      <c r="P1718" s="8">
        <f>VLOOKUP(tblSalaries[[#This Row],[clean Country]],tblCountries[],5,0)</f>
        <v>13.098808879263672</v>
      </c>
      <c r="Q1718" s="8">
        <f>IF($Q$1,tblSalaries[[#This Row],[PPP Factor]]*tblSalaries[[#This Row],[Salary in USD]],tblSalaries[[#This Row],[Salary in USD]])</f>
        <v>14246.333349954055</v>
      </c>
    </row>
    <row r="1719" spans="2:17" ht="15" customHeight="1" x14ac:dyDescent="0.25">
      <c r="B1719" t="s">
        <v>3722</v>
      </c>
      <c r="C1719" s="1">
        <v>41068.783472222225</v>
      </c>
      <c r="D1719" s="4">
        <v>28995</v>
      </c>
      <c r="E1719">
        <v>28995</v>
      </c>
      <c r="F1719" t="s">
        <v>6</v>
      </c>
      <c r="G1719">
        <f>tblSalaries[[#This Row],[clean Salary (in local currency)]]*VLOOKUP(tblSalaries[[#This Row],[Currency]],tblXrate[],2,FALSE)</f>
        <v>28995</v>
      </c>
      <c r="H1719" t="s">
        <v>739</v>
      </c>
      <c r="I1719" t="s">
        <v>52</v>
      </c>
      <c r="J1719" t="s">
        <v>8</v>
      </c>
      <c r="K1719" t="str">
        <f>VLOOKUP(tblSalaries[[#This Row],[Where do you work]],tblCountries[[Actual]:[Mapping]],2,FALSE)</f>
        <v>India</v>
      </c>
      <c r="L1719" t="s">
        <v>9</v>
      </c>
      <c r="M1719">
        <v>6</v>
      </c>
      <c r="N1719" s="8" t="str">
        <f>VLOOKUP(K1719,tblCountries[],3,0)</f>
        <v>Asia</v>
      </c>
      <c r="O1719" s="8">
        <f>VLOOKUP(tblSalaries[[#This Row],[How many hours of a day you work on Excel]],tblHours,2,0)</f>
        <v>4</v>
      </c>
      <c r="P1719" s="8">
        <f>VLOOKUP(tblSalaries[[#This Row],[clean Country]],tblCountries[],5,0)</f>
        <v>13.098808879263672</v>
      </c>
      <c r="Q1719" s="8">
        <f>IF($Q$1,tblSalaries[[#This Row],[PPP Factor]]*tblSalaries[[#This Row],[Salary in USD]],tblSalaries[[#This Row],[Salary in USD]])</f>
        <v>28995</v>
      </c>
    </row>
    <row r="1720" spans="2:17" ht="15" customHeight="1" x14ac:dyDescent="0.25">
      <c r="B1720" t="s">
        <v>3723</v>
      </c>
      <c r="C1720" s="1">
        <v>41068.786180555559</v>
      </c>
      <c r="D1720" s="4">
        <v>1230000</v>
      </c>
      <c r="E1720">
        <v>1230000</v>
      </c>
      <c r="F1720" t="s">
        <v>40</v>
      </c>
      <c r="G1720">
        <f>tblSalaries[[#This Row],[clean Salary (in local currency)]]*VLOOKUP(tblSalaries[[#This Row],[Currency]],tblXrate[],2,FALSE)</f>
        <v>21903.737525554359</v>
      </c>
      <c r="H1720" t="s">
        <v>1877</v>
      </c>
      <c r="I1720" t="s">
        <v>20</v>
      </c>
      <c r="J1720" t="s">
        <v>8</v>
      </c>
      <c r="K1720" t="str">
        <f>VLOOKUP(tblSalaries[[#This Row],[Where do you work]],tblCountries[[Actual]:[Mapping]],2,FALSE)</f>
        <v>India</v>
      </c>
      <c r="L1720" t="s">
        <v>13</v>
      </c>
      <c r="M1720">
        <v>3</v>
      </c>
      <c r="N1720" s="8" t="str">
        <f>VLOOKUP(K1720,tblCountries[],3,0)</f>
        <v>Asia</v>
      </c>
      <c r="O1720" s="8">
        <f>VLOOKUP(tblSalaries[[#This Row],[How many hours of a day you work on Excel]],tblHours,2,0)</f>
        <v>5</v>
      </c>
      <c r="P1720" s="8">
        <f>VLOOKUP(tblSalaries[[#This Row],[clean Country]],tblCountries[],5,0)</f>
        <v>13.098808879263672</v>
      </c>
      <c r="Q1720" s="8">
        <f>IF($Q$1,tblSalaries[[#This Row],[PPP Factor]]*tblSalaries[[#This Row],[Salary in USD]],tblSalaries[[#This Row],[Salary in USD]])</f>
        <v>21903.737525554359</v>
      </c>
    </row>
    <row r="1721" spans="2:17" ht="15" customHeight="1" x14ac:dyDescent="0.25">
      <c r="B1721" t="s">
        <v>3724</v>
      </c>
      <c r="C1721" s="1">
        <v>41068.786620370367</v>
      </c>
      <c r="D1721" s="4">
        <v>1130000</v>
      </c>
      <c r="E1721">
        <v>1130000</v>
      </c>
      <c r="F1721" t="s">
        <v>40</v>
      </c>
      <c r="G1721">
        <f>tblSalaries[[#This Row],[clean Salary (in local currency)]]*VLOOKUP(tblSalaries[[#This Row],[Currency]],tblXrate[],2,FALSE)</f>
        <v>20122.945856810104</v>
      </c>
      <c r="H1721" t="s">
        <v>1877</v>
      </c>
      <c r="I1721" t="s">
        <v>20</v>
      </c>
      <c r="J1721" t="s">
        <v>8</v>
      </c>
      <c r="K1721" t="str">
        <f>VLOOKUP(tblSalaries[[#This Row],[Where do you work]],tblCountries[[Actual]:[Mapping]],2,FALSE)</f>
        <v>India</v>
      </c>
      <c r="L1721" t="s">
        <v>13</v>
      </c>
      <c r="M1721">
        <v>3</v>
      </c>
      <c r="N1721" s="8" t="str">
        <f>VLOOKUP(K1721,tblCountries[],3,0)</f>
        <v>Asia</v>
      </c>
      <c r="O1721" s="8">
        <f>VLOOKUP(tblSalaries[[#This Row],[How many hours of a day you work on Excel]],tblHours,2,0)</f>
        <v>5</v>
      </c>
      <c r="P1721" s="8">
        <f>VLOOKUP(tblSalaries[[#This Row],[clean Country]],tblCountries[],5,0)</f>
        <v>13.098808879263672</v>
      </c>
      <c r="Q1721" s="8">
        <f>IF($Q$1,tblSalaries[[#This Row],[PPP Factor]]*tblSalaries[[#This Row],[Salary in USD]],tblSalaries[[#This Row],[Salary in USD]])</f>
        <v>20122.945856810104</v>
      </c>
    </row>
    <row r="1722" spans="2:17" ht="15" customHeight="1" x14ac:dyDescent="0.25">
      <c r="B1722" t="s">
        <v>3725</v>
      </c>
      <c r="C1722" s="1">
        <v>41068.866643518515</v>
      </c>
      <c r="D1722" s="4">
        <v>45000</v>
      </c>
      <c r="E1722">
        <v>45000</v>
      </c>
      <c r="F1722" t="s">
        <v>69</v>
      </c>
      <c r="G1722">
        <f>tblSalaries[[#This Row],[clean Salary (in local currency)]]*VLOOKUP(tblSalaries[[#This Row],[Currency]],tblXrate[],2,FALSE)</f>
        <v>70928.022243027779</v>
      </c>
      <c r="H1722" t="s">
        <v>1878</v>
      </c>
      <c r="I1722" t="s">
        <v>20</v>
      </c>
      <c r="J1722" t="s">
        <v>71</v>
      </c>
      <c r="K1722" t="str">
        <f>VLOOKUP(tblSalaries[[#This Row],[Where do you work]],tblCountries[[Actual]:[Mapping]],2,FALSE)</f>
        <v>UK</v>
      </c>
      <c r="L1722" t="s">
        <v>13</v>
      </c>
      <c r="M1722">
        <v>20</v>
      </c>
      <c r="N1722" s="8" t="str">
        <f>VLOOKUP(K1722,tblCountries[],3,0)</f>
        <v>Europe</v>
      </c>
      <c r="O1722" s="8">
        <f>VLOOKUP(tblSalaries[[#This Row],[How many hours of a day you work on Excel]],tblHours,2,0)</f>
        <v>5</v>
      </c>
      <c r="P1722" s="8">
        <f>VLOOKUP(tblSalaries[[#This Row],[clean Country]],tblCountries[],5,0)</f>
        <v>1.3407315045719035</v>
      </c>
      <c r="Q1722" s="8">
        <f>IF($Q$1,tblSalaries[[#This Row],[PPP Factor]]*tblSalaries[[#This Row],[Salary in USD]],tblSalaries[[#This Row],[Salary in USD]])</f>
        <v>70928.022243027779</v>
      </c>
    </row>
    <row r="1723" spans="2:17" ht="15" customHeight="1" x14ac:dyDescent="0.25">
      <c r="B1723" t="s">
        <v>3726</v>
      </c>
      <c r="C1723" s="1">
        <v>41068.875289351854</v>
      </c>
      <c r="D1723" s="4">
        <v>67000</v>
      </c>
      <c r="E1723">
        <v>67000</v>
      </c>
      <c r="F1723" t="s">
        <v>6</v>
      </c>
      <c r="G1723">
        <f>tblSalaries[[#This Row],[clean Salary (in local currency)]]*VLOOKUP(tblSalaries[[#This Row],[Currency]],tblXrate[],2,FALSE)</f>
        <v>67000</v>
      </c>
      <c r="H1723" t="s">
        <v>52</v>
      </c>
      <c r="I1723" t="s">
        <v>52</v>
      </c>
      <c r="J1723" t="s">
        <v>15</v>
      </c>
      <c r="K1723" t="str">
        <f>VLOOKUP(tblSalaries[[#This Row],[Where do you work]],tblCountries[[Actual]:[Mapping]],2,FALSE)</f>
        <v>USA</v>
      </c>
      <c r="L1723" t="s">
        <v>9</v>
      </c>
      <c r="M1723">
        <v>16</v>
      </c>
      <c r="N1723" s="8" t="str">
        <f>VLOOKUP(K1723,tblCountries[],3,0)</f>
        <v>North Amer.</v>
      </c>
      <c r="O1723" s="8">
        <f>VLOOKUP(tblSalaries[[#This Row],[How many hours of a day you work on Excel]],tblHours,2,0)</f>
        <v>4</v>
      </c>
      <c r="P1723" s="8">
        <f>VLOOKUP(tblSalaries[[#This Row],[clean Country]],tblCountries[],5,0)</f>
        <v>1</v>
      </c>
      <c r="Q1723" s="8">
        <f>IF($Q$1,tblSalaries[[#This Row],[PPP Factor]]*tblSalaries[[#This Row],[Salary in USD]],tblSalaries[[#This Row],[Salary in USD]])</f>
        <v>67000</v>
      </c>
    </row>
    <row r="1724" spans="2:17" ht="15" customHeight="1" x14ac:dyDescent="0.25">
      <c r="B1724" t="s">
        <v>3727</v>
      </c>
      <c r="C1724" s="1">
        <v>41068.876944444448</v>
      </c>
      <c r="D1724" s="4">
        <v>30000</v>
      </c>
      <c r="E1724">
        <v>30000</v>
      </c>
      <c r="F1724" t="s">
        <v>6</v>
      </c>
      <c r="G1724">
        <f>tblSalaries[[#This Row],[clean Salary (in local currency)]]*VLOOKUP(tblSalaries[[#This Row],[Currency]],tblXrate[],2,FALSE)</f>
        <v>30000</v>
      </c>
      <c r="H1724" t="s">
        <v>1879</v>
      </c>
      <c r="I1724" t="s">
        <v>20</v>
      </c>
      <c r="J1724" t="s">
        <v>15</v>
      </c>
      <c r="K1724" t="str">
        <f>VLOOKUP(tblSalaries[[#This Row],[Where do you work]],tblCountries[[Actual]:[Mapping]],2,FALSE)</f>
        <v>USA</v>
      </c>
      <c r="L1724" t="s">
        <v>18</v>
      </c>
      <c r="M1724">
        <v>4</v>
      </c>
      <c r="N1724" s="8" t="str">
        <f>VLOOKUP(K1724,tblCountries[],3,0)</f>
        <v>North Amer.</v>
      </c>
      <c r="O1724" s="8">
        <f>VLOOKUP(tblSalaries[[#This Row],[How many hours of a day you work on Excel]],tblHours,2,0)</f>
        <v>3</v>
      </c>
      <c r="P1724" s="8">
        <f>VLOOKUP(tblSalaries[[#This Row],[clean Country]],tblCountries[],5,0)</f>
        <v>1</v>
      </c>
      <c r="Q1724" s="8">
        <f>IF($Q$1,tblSalaries[[#This Row],[PPP Factor]]*tblSalaries[[#This Row],[Salary in USD]],tblSalaries[[#This Row],[Salary in USD]])</f>
        <v>30000</v>
      </c>
    </row>
    <row r="1725" spans="2:17" ht="15" customHeight="1" x14ac:dyDescent="0.25">
      <c r="B1725" t="s">
        <v>3728</v>
      </c>
      <c r="C1725" s="1">
        <v>41068.95045138889</v>
      </c>
      <c r="D1725" s="4" t="s">
        <v>1880</v>
      </c>
      <c r="E1725">
        <v>140000</v>
      </c>
      <c r="F1725" t="s">
        <v>1881</v>
      </c>
      <c r="G1725">
        <f>tblSalaries[[#This Row],[clean Salary (in local currency)]]*VLOOKUP(tblSalaries[[#This Row],[Currency]],tblXrate[],2,FALSE)</f>
        <v>148102.22862117883</v>
      </c>
      <c r="H1725" t="s">
        <v>1882</v>
      </c>
      <c r="I1725" t="s">
        <v>52</v>
      </c>
      <c r="J1725" t="s">
        <v>46</v>
      </c>
      <c r="K1725" t="str">
        <f>VLOOKUP(tblSalaries[[#This Row],[Where do you work]],tblCountries[[Actual]:[Mapping]],2,FALSE)</f>
        <v>Switzerland</v>
      </c>
      <c r="L1725" t="s">
        <v>18</v>
      </c>
      <c r="M1725">
        <v>6</v>
      </c>
      <c r="N1725" s="8" t="str">
        <f>VLOOKUP(K1725,tblCountries[],3,0)</f>
        <v>Europe</v>
      </c>
      <c r="O1725" s="8">
        <f>VLOOKUP(tblSalaries[[#This Row],[How many hours of a day you work on Excel]],tblHours,2,0)</f>
        <v>3</v>
      </c>
      <c r="P1725" s="8">
        <f>VLOOKUP(tblSalaries[[#This Row],[clean Country]],tblCountries[],5,0)</f>
        <v>1.1156790408116208</v>
      </c>
      <c r="Q1725" s="8">
        <f>IF($Q$1,tblSalaries[[#This Row],[PPP Factor]]*tblSalaries[[#This Row],[Salary in USD]],tblSalaries[[#This Row],[Salary in USD]])</f>
        <v>148102.22862117883</v>
      </c>
    </row>
    <row r="1726" spans="2:17" ht="15" customHeight="1" x14ac:dyDescent="0.25">
      <c r="B1726" t="s">
        <v>3729</v>
      </c>
      <c r="C1726" s="1">
        <v>41068.972638888888</v>
      </c>
      <c r="D1726" s="4">
        <v>71500</v>
      </c>
      <c r="E1726">
        <v>71500</v>
      </c>
      <c r="F1726" t="s">
        <v>6</v>
      </c>
      <c r="G1726">
        <f>tblSalaries[[#This Row],[clean Salary (in local currency)]]*VLOOKUP(tblSalaries[[#This Row],[Currency]],tblXrate[],2,FALSE)</f>
        <v>71500</v>
      </c>
      <c r="H1726" t="s">
        <v>1883</v>
      </c>
      <c r="I1726" t="s">
        <v>52</v>
      </c>
      <c r="J1726" t="s">
        <v>15</v>
      </c>
      <c r="K1726" t="str">
        <f>VLOOKUP(tblSalaries[[#This Row],[Where do you work]],tblCountries[[Actual]:[Mapping]],2,FALSE)</f>
        <v>USA</v>
      </c>
      <c r="L1726" t="s">
        <v>13</v>
      </c>
      <c r="M1726">
        <v>11</v>
      </c>
      <c r="N1726" s="8" t="str">
        <f>VLOOKUP(K1726,tblCountries[],3,0)</f>
        <v>North Amer.</v>
      </c>
      <c r="O1726" s="8">
        <f>VLOOKUP(tblSalaries[[#This Row],[How many hours of a day you work on Excel]],tblHours,2,0)</f>
        <v>5</v>
      </c>
      <c r="P1726" s="8">
        <f>VLOOKUP(tblSalaries[[#This Row],[clean Country]],tblCountries[],5,0)</f>
        <v>1</v>
      </c>
      <c r="Q1726" s="8">
        <f>IF($Q$1,tblSalaries[[#This Row],[PPP Factor]]*tblSalaries[[#This Row],[Salary in USD]],tblSalaries[[#This Row],[Salary in USD]])</f>
        <v>71500</v>
      </c>
    </row>
    <row r="1727" spans="2:17" ht="15" customHeight="1" x14ac:dyDescent="0.25">
      <c r="B1727" t="s">
        <v>3730</v>
      </c>
      <c r="C1727" s="1">
        <v>41068.990405092591</v>
      </c>
      <c r="D1727" s="4">
        <v>67000</v>
      </c>
      <c r="E1727">
        <v>67000</v>
      </c>
      <c r="F1727" t="s">
        <v>6</v>
      </c>
      <c r="G1727">
        <f>tblSalaries[[#This Row],[clean Salary (in local currency)]]*VLOOKUP(tblSalaries[[#This Row],[Currency]],tblXrate[],2,FALSE)</f>
        <v>67000</v>
      </c>
      <c r="H1727" t="s">
        <v>52</v>
      </c>
      <c r="I1727" t="s">
        <v>52</v>
      </c>
      <c r="J1727" t="s">
        <v>15</v>
      </c>
      <c r="K1727" t="str">
        <f>VLOOKUP(tblSalaries[[#This Row],[Where do you work]],tblCountries[[Actual]:[Mapping]],2,FALSE)</f>
        <v>USA</v>
      </c>
      <c r="L1727" t="s">
        <v>186</v>
      </c>
      <c r="M1727">
        <v>6</v>
      </c>
      <c r="N1727" s="8" t="str">
        <f>VLOOKUP(K1727,tblCountries[],3,0)</f>
        <v>North Amer.</v>
      </c>
      <c r="O1727" s="8">
        <f>VLOOKUP(tblSalaries[[#This Row],[How many hours of a day you work on Excel]],tblHours,2,0)</f>
        <v>1</v>
      </c>
      <c r="P1727" s="8">
        <f>VLOOKUP(tblSalaries[[#This Row],[clean Country]],tblCountries[],5,0)</f>
        <v>1</v>
      </c>
      <c r="Q1727" s="8">
        <f>IF($Q$1,tblSalaries[[#This Row],[PPP Factor]]*tblSalaries[[#This Row],[Salary in USD]],tblSalaries[[#This Row],[Salary in USD]])</f>
        <v>67000</v>
      </c>
    </row>
    <row r="1728" spans="2:17" ht="15" customHeight="1" x14ac:dyDescent="0.25">
      <c r="B1728" t="s">
        <v>3731</v>
      </c>
      <c r="C1728" s="1">
        <v>41069.034108796295</v>
      </c>
      <c r="D1728" s="4">
        <v>40000</v>
      </c>
      <c r="E1728">
        <v>40000</v>
      </c>
      <c r="F1728" t="s">
        <v>6</v>
      </c>
      <c r="G1728">
        <f>tblSalaries[[#This Row],[clean Salary (in local currency)]]*VLOOKUP(tblSalaries[[#This Row],[Currency]],tblXrate[],2,FALSE)</f>
        <v>40000</v>
      </c>
      <c r="H1728" t="s">
        <v>202</v>
      </c>
      <c r="I1728" t="s">
        <v>20</v>
      </c>
      <c r="J1728" t="s">
        <v>15</v>
      </c>
      <c r="K1728" t="str">
        <f>VLOOKUP(tblSalaries[[#This Row],[Where do you work]],tblCountries[[Actual]:[Mapping]],2,FALSE)</f>
        <v>USA</v>
      </c>
      <c r="L1728" t="s">
        <v>9</v>
      </c>
      <c r="M1728">
        <v>5</v>
      </c>
      <c r="N1728" s="8" t="str">
        <f>VLOOKUP(K1728,tblCountries[],3,0)</f>
        <v>North Amer.</v>
      </c>
      <c r="O1728" s="8">
        <f>VLOOKUP(tblSalaries[[#This Row],[How many hours of a day you work on Excel]],tblHours,2,0)</f>
        <v>4</v>
      </c>
      <c r="P1728" s="8">
        <f>VLOOKUP(tblSalaries[[#This Row],[clean Country]],tblCountries[],5,0)</f>
        <v>1</v>
      </c>
      <c r="Q1728" s="8">
        <f>IF($Q$1,tblSalaries[[#This Row],[PPP Factor]]*tblSalaries[[#This Row],[Salary in USD]],tblSalaries[[#This Row],[Salary in USD]])</f>
        <v>40000</v>
      </c>
    </row>
    <row r="1729" spans="2:17" ht="15" customHeight="1" x14ac:dyDescent="0.25">
      <c r="B1729" t="s">
        <v>3732</v>
      </c>
      <c r="C1729" s="1">
        <v>41069.05259259259</v>
      </c>
      <c r="D1729" s="4">
        <v>65000</v>
      </c>
      <c r="E1729">
        <v>65000</v>
      </c>
      <c r="F1729" t="s">
        <v>6</v>
      </c>
      <c r="G1729">
        <f>tblSalaries[[#This Row],[clean Salary (in local currency)]]*VLOOKUP(tblSalaries[[#This Row],[Currency]],tblXrate[],2,FALSE)</f>
        <v>65000</v>
      </c>
      <c r="H1729" t="s">
        <v>1884</v>
      </c>
      <c r="I1729" t="s">
        <v>52</v>
      </c>
      <c r="J1729" t="s">
        <v>15</v>
      </c>
      <c r="K1729" t="str">
        <f>VLOOKUP(tblSalaries[[#This Row],[Where do you work]],tblCountries[[Actual]:[Mapping]],2,FALSE)</f>
        <v>USA</v>
      </c>
      <c r="L1729" t="s">
        <v>9</v>
      </c>
      <c r="M1729">
        <v>2</v>
      </c>
      <c r="N1729" s="8" t="str">
        <f>VLOOKUP(K1729,tblCountries[],3,0)</f>
        <v>North Amer.</v>
      </c>
      <c r="O1729" s="8">
        <f>VLOOKUP(tblSalaries[[#This Row],[How many hours of a day you work on Excel]],tblHours,2,0)</f>
        <v>4</v>
      </c>
      <c r="P1729" s="8">
        <f>VLOOKUP(tblSalaries[[#This Row],[clean Country]],tblCountries[],5,0)</f>
        <v>1</v>
      </c>
      <c r="Q1729" s="8">
        <f>IF($Q$1,tblSalaries[[#This Row],[PPP Factor]]*tblSalaries[[#This Row],[Salary in USD]],tblSalaries[[#This Row],[Salary in USD]])</f>
        <v>65000</v>
      </c>
    </row>
    <row r="1730" spans="2:17" ht="15" customHeight="1" x14ac:dyDescent="0.25">
      <c r="B1730" t="s">
        <v>3733</v>
      </c>
      <c r="C1730" s="1">
        <v>41069.074652777781</v>
      </c>
      <c r="D1730" s="4">
        <v>72000</v>
      </c>
      <c r="E1730">
        <v>72000</v>
      </c>
      <c r="F1730" t="s">
        <v>6</v>
      </c>
      <c r="G1730">
        <f>tblSalaries[[#This Row],[clean Salary (in local currency)]]*VLOOKUP(tblSalaries[[#This Row],[Currency]],tblXrate[],2,FALSE)</f>
        <v>72000</v>
      </c>
      <c r="H1730" t="s">
        <v>356</v>
      </c>
      <c r="I1730" t="s">
        <v>356</v>
      </c>
      <c r="J1730" t="s">
        <v>15</v>
      </c>
      <c r="K1730" t="str">
        <f>VLOOKUP(tblSalaries[[#This Row],[Where do you work]],tblCountries[[Actual]:[Mapping]],2,FALSE)</f>
        <v>USA</v>
      </c>
      <c r="L1730" t="s">
        <v>18</v>
      </c>
      <c r="M1730">
        <v>13</v>
      </c>
      <c r="N1730" s="8" t="str">
        <f>VLOOKUP(K1730,tblCountries[],3,0)</f>
        <v>North Amer.</v>
      </c>
      <c r="O1730" s="8">
        <f>VLOOKUP(tblSalaries[[#This Row],[How many hours of a day you work on Excel]],tblHours,2,0)</f>
        <v>3</v>
      </c>
      <c r="P1730" s="8">
        <f>VLOOKUP(tblSalaries[[#This Row],[clean Country]],tblCountries[],5,0)</f>
        <v>1</v>
      </c>
      <c r="Q1730" s="8">
        <f>IF($Q$1,tblSalaries[[#This Row],[PPP Factor]]*tblSalaries[[#This Row],[Salary in USD]],tblSalaries[[#This Row],[Salary in USD]])</f>
        <v>72000</v>
      </c>
    </row>
    <row r="1731" spans="2:17" ht="15" customHeight="1" x14ac:dyDescent="0.25">
      <c r="B1731" t="s">
        <v>3734</v>
      </c>
      <c r="C1731" s="1">
        <v>41069.139062499999</v>
      </c>
      <c r="D1731" s="4">
        <v>52500</v>
      </c>
      <c r="E1731">
        <v>52500</v>
      </c>
      <c r="F1731" t="s">
        <v>6</v>
      </c>
      <c r="G1731">
        <f>tblSalaries[[#This Row],[clean Salary (in local currency)]]*VLOOKUP(tblSalaries[[#This Row],[Currency]],tblXrate[],2,FALSE)</f>
        <v>52500</v>
      </c>
      <c r="H1731" t="s">
        <v>1885</v>
      </c>
      <c r="I1731" t="s">
        <v>52</v>
      </c>
      <c r="J1731" t="s">
        <v>15</v>
      </c>
      <c r="K1731" t="str">
        <f>VLOOKUP(tblSalaries[[#This Row],[Where do you work]],tblCountries[[Actual]:[Mapping]],2,FALSE)</f>
        <v>USA</v>
      </c>
      <c r="L1731" t="s">
        <v>13</v>
      </c>
      <c r="M1731">
        <v>3</v>
      </c>
      <c r="N1731" s="8" t="str">
        <f>VLOOKUP(K1731,tblCountries[],3,0)</f>
        <v>North Amer.</v>
      </c>
      <c r="O1731" s="8">
        <f>VLOOKUP(tblSalaries[[#This Row],[How many hours of a day you work on Excel]],tblHours,2,0)</f>
        <v>5</v>
      </c>
      <c r="P1731" s="8">
        <f>VLOOKUP(tblSalaries[[#This Row],[clean Country]],tblCountries[],5,0)</f>
        <v>1</v>
      </c>
      <c r="Q1731" s="8">
        <f>IF($Q$1,tblSalaries[[#This Row],[PPP Factor]]*tblSalaries[[#This Row],[Salary in USD]],tblSalaries[[#This Row],[Salary in USD]])</f>
        <v>52500</v>
      </c>
    </row>
    <row r="1732" spans="2:17" ht="15" customHeight="1" x14ac:dyDescent="0.25">
      <c r="B1732" t="s">
        <v>3735</v>
      </c>
      <c r="C1732" s="1">
        <v>41069.500914351855</v>
      </c>
      <c r="D1732" s="4">
        <v>444</v>
      </c>
      <c r="E1732">
        <v>5320</v>
      </c>
      <c r="F1732" t="s">
        <v>6</v>
      </c>
      <c r="G1732">
        <f>tblSalaries[[#This Row],[clean Salary (in local currency)]]*VLOOKUP(tblSalaries[[#This Row],[Currency]],tblXrate[],2,FALSE)</f>
        <v>5320</v>
      </c>
      <c r="H1732" t="s">
        <v>1886</v>
      </c>
      <c r="I1732" t="s">
        <v>52</v>
      </c>
      <c r="J1732" t="s">
        <v>8</v>
      </c>
      <c r="K1732" t="str">
        <f>VLOOKUP(tblSalaries[[#This Row],[Where do you work]],tblCountries[[Actual]:[Mapping]],2,FALSE)</f>
        <v>India</v>
      </c>
      <c r="L1732" t="s">
        <v>18</v>
      </c>
      <c r="M1732">
        <v>5</v>
      </c>
      <c r="N1732" s="8" t="str">
        <f>VLOOKUP(K1732,tblCountries[],3,0)</f>
        <v>Asia</v>
      </c>
      <c r="O1732" s="8">
        <f>VLOOKUP(tblSalaries[[#This Row],[How many hours of a day you work on Excel]],tblHours,2,0)</f>
        <v>3</v>
      </c>
      <c r="P1732" s="8">
        <f>VLOOKUP(tblSalaries[[#This Row],[clean Country]],tblCountries[],5,0)</f>
        <v>13.098808879263672</v>
      </c>
      <c r="Q1732" s="8">
        <f>IF($Q$1,tblSalaries[[#This Row],[PPP Factor]]*tblSalaries[[#This Row],[Salary in USD]],tblSalaries[[#This Row],[Salary in USD]])</f>
        <v>5320</v>
      </c>
    </row>
    <row r="1733" spans="2:17" ht="15" customHeight="1" x14ac:dyDescent="0.25">
      <c r="B1733" t="s">
        <v>3736</v>
      </c>
      <c r="C1733" s="1">
        <v>41069.859756944446</v>
      </c>
      <c r="D1733" s="4">
        <v>1500</v>
      </c>
      <c r="E1733">
        <v>18000</v>
      </c>
      <c r="F1733" t="s">
        <v>6</v>
      </c>
      <c r="G1733">
        <f>tblSalaries[[#This Row],[clean Salary (in local currency)]]*VLOOKUP(tblSalaries[[#This Row],[Currency]],tblXrate[],2,FALSE)</f>
        <v>18000</v>
      </c>
      <c r="H1733" t="s">
        <v>932</v>
      </c>
      <c r="I1733" t="s">
        <v>310</v>
      </c>
      <c r="J1733" t="s">
        <v>820</v>
      </c>
      <c r="K1733" t="str">
        <f>VLOOKUP(tblSalaries[[#This Row],[Where do you work]],tblCountries[[Actual]:[Mapping]],2,FALSE)</f>
        <v>UAE</v>
      </c>
      <c r="L1733" t="s">
        <v>13</v>
      </c>
      <c r="M1733">
        <v>3</v>
      </c>
      <c r="N1733" s="8" t="str">
        <f>VLOOKUP(K1733,tblCountries[],3,0)</f>
        <v>Asia</v>
      </c>
      <c r="O1733" s="8">
        <f>VLOOKUP(tblSalaries[[#This Row],[How many hours of a day you work on Excel]],tblHours,2,0)</f>
        <v>5</v>
      </c>
      <c r="P1733" s="8">
        <f>VLOOKUP(tblSalaries[[#This Row],[clean Country]],tblCountries[],5,0)</f>
        <v>1.0047551808629926</v>
      </c>
      <c r="Q1733" s="8">
        <f>IF($Q$1,tblSalaries[[#This Row],[PPP Factor]]*tblSalaries[[#This Row],[Salary in USD]],tblSalaries[[#This Row],[Salary in USD]])</f>
        <v>18000</v>
      </c>
    </row>
    <row r="1734" spans="2:17" ht="15" customHeight="1" x14ac:dyDescent="0.25">
      <c r="B1734" t="s">
        <v>3737</v>
      </c>
      <c r="C1734" s="1">
        <v>41070.03502314815</v>
      </c>
      <c r="D1734" s="4" t="s">
        <v>1887</v>
      </c>
      <c r="E1734">
        <v>140000</v>
      </c>
      <c r="F1734" t="s">
        <v>40</v>
      </c>
      <c r="G1734">
        <f>tblSalaries[[#This Row],[clean Salary (in local currency)]]*VLOOKUP(tblSalaries[[#This Row],[Currency]],tblXrate[],2,FALSE)</f>
        <v>2493.1083362419595</v>
      </c>
      <c r="H1734" t="s">
        <v>1888</v>
      </c>
      <c r="I1734" t="s">
        <v>4000</v>
      </c>
      <c r="J1734" t="s">
        <v>8</v>
      </c>
      <c r="K1734" t="str">
        <f>VLOOKUP(tblSalaries[[#This Row],[Where do you work]],tblCountries[[Actual]:[Mapping]],2,FALSE)</f>
        <v>India</v>
      </c>
      <c r="L1734" t="s">
        <v>9</v>
      </c>
      <c r="M1734">
        <v>5</v>
      </c>
      <c r="N1734" s="8" t="str">
        <f>VLOOKUP(K1734,tblCountries[],3,0)</f>
        <v>Asia</v>
      </c>
      <c r="O1734" s="8">
        <f>VLOOKUP(tblSalaries[[#This Row],[How many hours of a day you work on Excel]],tblHours,2,0)</f>
        <v>4</v>
      </c>
      <c r="P1734" s="8">
        <f>VLOOKUP(tblSalaries[[#This Row],[clean Country]],tblCountries[],5,0)</f>
        <v>13.098808879263672</v>
      </c>
      <c r="Q1734" s="8">
        <f>IF($Q$1,tblSalaries[[#This Row],[PPP Factor]]*tblSalaries[[#This Row],[Salary in USD]],tblSalaries[[#This Row],[Salary in USD]])</f>
        <v>2493.1083362419595</v>
      </c>
    </row>
    <row r="1735" spans="2:17" ht="15" customHeight="1" x14ac:dyDescent="0.25">
      <c r="B1735" t="s">
        <v>3738</v>
      </c>
      <c r="C1735" s="1">
        <v>41070.075509259259</v>
      </c>
      <c r="D1735" s="4">
        <v>1400</v>
      </c>
      <c r="E1735">
        <v>16800</v>
      </c>
      <c r="F1735" t="s">
        <v>22</v>
      </c>
      <c r="G1735">
        <f>tblSalaries[[#This Row],[clean Salary (in local currency)]]*VLOOKUP(tblSalaries[[#This Row],[Currency]],tblXrate[],2,FALSE)</f>
        <v>21342.710575059013</v>
      </c>
      <c r="H1735" t="s">
        <v>1889</v>
      </c>
      <c r="I1735" t="s">
        <v>310</v>
      </c>
      <c r="J1735" t="s">
        <v>979</v>
      </c>
      <c r="K1735" t="str">
        <f>VLOOKUP(tblSalaries[[#This Row],[Where do you work]],tblCountries[[Actual]:[Mapping]],2,FALSE)</f>
        <v>Portugal</v>
      </c>
      <c r="L1735" t="s">
        <v>9</v>
      </c>
      <c r="M1735">
        <v>15</v>
      </c>
      <c r="N1735" s="8" t="str">
        <f>VLOOKUP(K1735,tblCountries[],3,0)</f>
        <v>Europe</v>
      </c>
      <c r="O1735" s="8">
        <f>VLOOKUP(tblSalaries[[#This Row],[How many hours of a day you work on Excel]],tblHours,2,0)</f>
        <v>4</v>
      </c>
      <c r="P1735" s="8">
        <f>VLOOKUP(tblSalaries[[#This Row],[clean Country]],tblCountries[],5,0)</f>
        <v>2.0712726338769745</v>
      </c>
      <c r="Q1735" s="8">
        <f>IF($Q$1,tblSalaries[[#This Row],[PPP Factor]]*tblSalaries[[#This Row],[Salary in USD]],tblSalaries[[#This Row],[Salary in USD]])</f>
        <v>21342.710575059013</v>
      </c>
    </row>
    <row r="1736" spans="2:17" ht="15" customHeight="1" x14ac:dyDescent="0.25">
      <c r="B1736" t="s">
        <v>3739</v>
      </c>
      <c r="C1736" s="1">
        <v>41070.097280092596</v>
      </c>
      <c r="D1736" s="4">
        <v>85000</v>
      </c>
      <c r="E1736">
        <v>85000</v>
      </c>
      <c r="F1736" t="s">
        <v>6</v>
      </c>
      <c r="G1736">
        <f>tblSalaries[[#This Row],[clean Salary (in local currency)]]*VLOOKUP(tblSalaries[[#This Row],[Currency]],tblXrate[],2,FALSE)</f>
        <v>85000</v>
      </c>
      <c r="H1736" t="s">
        <v>1890</v>
      </c>
      <c r="I1736" t="s">
        <v>52</v>
      </c>
      <c r="J1736" t="s">
        <v>15</v>
      </c>
      <c r="K1736" t="str">
        <f>VLOOKUP(tblSalaries[[#This Row],[Where do you work]],tblCountries[[Actual]:[Mapping]],2,FALSE)</f>
        <v>USA</v>
      </c>
      <c r="L1736" t="s">
        <v>18</v>
      </c>
      <c r="M1736">
        <v>15</v>
      </c>
      <c r="N1736" s="8" t="str">
        <f>VLOOKUP(K1736,tblCountries[],3,0)</f>
        <v>North Amer.</v>
      </c>
      <c r="O1736" s="8">
        <f>VLOOKUP(tblSalaries[[#This Row],[How many hours of a day you work on Excel]],tblHours,2,0)</f>
        <v>3</v>
      </c>
      <c r="P1736" s="8">
        <f>VLOOKUP(tblSalaries[[#This Row],[clean Country]],tblCountries[],5,0)</f>
        <v>1</v>
      </c>
      <c r="Q1736" s="8">
        <f>IF($Q$1,tblSalaries[[#This Row],[PPP Factor]]*tblSalaries[[#This Row],[Salary in USD]],tblSalaries[[#This Row],[Salary in USD]])</f>
        <v>85000</v>
      </c>
    </row>
    <row r="1737" spans="2:17" ht="15" customHeight="1" x14ac:dyDescent="0.25">
      <c r="B1737" t="s">
        <v>3740</v>
      </c>
      <c r="C1737" s="1">
        <v>41070.104131944441</v>
      </c>
      <c r="D1737" s="4">
        <v>80000</v>
      </c>
      <c r="E1737">
        <v>80000</v>
      </c>
      <c r="F1737" t="s">
        <v>6</v>
      </c>
      <c r="G1737">
        <f>tblSalaries[[#This Row],[clean Salary (in local currency)]]*VLOOKUP(tblSalaries[[#This Row],[Currency]],tblXrate[],2,FALSE)</f>
        <v>80000</v>
      </c>
      <c r="H1737" t="s">
        <v>279</v>
      </c>
      <c r="I1737" t="s">
        <v>279</v>
      </c>
      <c r="J1737" t="s">
        <v>143</v>
      </c>
      <c r="K1737" t="str">
        <f>VLOOKUP(tblSalaries[[#This Row],[Where do you work]],tblCountries[[Actual]:[Mapping]],2,FALSE)</f>
        <v>Brazil</v>
      </c>
      <c r="L1737" t="s">
        <v>25</v>
      </c>
      <c r="M1737">
        <v>9</v>
      </c>
      <c r="N1737" s="8" t="str">
        <f>VLOOKUP(K1737,tblCountries[],3,0)</f>
        <v>South Amer.</v>
      </c>
      <c r="O1737" s="8">
        <f>VLOOKUP(tblSalaries[[#This Row],[How many hours of a day you work on Excel]],tblHours,2,0)</f>
        <v>2</v>
      </c>
      <c r="P1737" s="8">
        <f>VLOOKUP(tblSalaries[[#This Row],[clean Country]],tblCountries[],5,0)</f>
        <v>4.1113943410655107</v>
      </c>
      <c r="Q1737" s="8">
        <f>IF($Q$1,tblSalaries[[#This Row],[PPP Factor]]*tblSalaries[[#This Row],[Salary in USD]],tblSalaries[[#This Row],[Salary in USD]])</f>
        <v>80000</v>
      </c>
    </row>
    <row r="1738" spans="2:17" ht="15" customHeight="1" x14ac:dyDescent="0.25">
      <c r="B1738" t="s">
        <v>3741</v>
      </c>
      <c r="C1738" s="1">
        <v>41070.177835648145</v>
      </c>
      <c r="D1738" s="4">
        <v>500000</v>
      </c>
      <c r="E1738">
        <v>500000</v>
      </c>
      <c r="F1738" t="s">
        <v>40</v>
      </c>
      <c r="G1738">
        <f>tblSalaries[[#This Row],[clean Salary (in local currency)]]*VLOOKUP(tblSalaries[[#This Row],[Currency]],tblXrate[],2,FALSE)</f>
        <v>8903.9583437212841</v>
      </c>
      <c r="H1738" t="s">
        <v>1891</v>
      </c>
      <c r="I1738" t="s">
        <v>20</v>
      </c>
      <c r="J1738" t="s">
        <v>8</v>
      </c>
      <c r="K1738" t="str">
        <f>VLOOKUP(tblSalaries[[#This Row],[Where do you work]],tblCountries[[Actual]:[Mapping]],2,FALSE)</f>
        <v>India</v>
      </c>
      <c r="L1738" t="s">
        <v>13</v>
      </c>
      <c r="M1738">
        <v>0</v>
      </c>
      <c r="N1738" s="8" t="str">
        <f>VLOOKUP(K1738,tblCountries[],3,0)</f>
        <v>Asia</v>
      </c>
      <c r="O1738" s="8">
        <f>VLOOKUP(tblSalaries[[#This Row],[How many hours of a day you work on Excel]],tblHours,2,0)</f>
        <v>5</v>
      </c>
      <c r="P1738" s="8">
        <f>VLOOKUP(tblSalaries[[#This Row],[clean Country]],tblCountries[],5,0)</f>
        <v>13.098808879263672</v>
      </c>
      <c r="Q1738" s="8">
        <f>IF($Q$1,tblSalaries[[#This Row],[PPP Factor]]*tblSalaries[[#This Row],[Salary in USD]],tblSalaries[[#This Row],[Salary in USD]])</f>
        <v>8903.9583437212841</v>
      </c>
    </row>
    <row r="1739" spans="2:17" ht="15" customHeight="1" x14ac:dyDescent="0.25">
      <c r="B1739" t="s">
        <v>3742</v>
      </c>
      <c r="C1739" s="1">
        <v>41070.522083333337</v>
      </c>
      <c r="D1739" s="4">
        <v>125000</v>
      </c>
      <c r="E1739">
        <v>125000</v>
      </c>
      <c r="F1739" t="s">
        <v>6</v>
      </c>
      <c r="G1739">
        <f>tblSalaries[[#This Row],[clean Salary (in local currency)]]*VLOOKUP(tblSalaries[[#This Row],[Currency]],tblXrate[],2,FALSE)</f>
        <v>125000</v>
      </c>
      <c r="H1739" t="s">
        <v>204</v>
      </c>
      <c r="I1739" t="s">
        <v>52</v>
      </c>
      <c r="J1739" t="s">
        <v>15</v>
      </c>
      <c r="K1739" t="str">
        <f>VLOOKUP(tblSalaries[[#This Row],[Where do you work]],tblCountries[[Actual]:[Mapping]],2,FALSE)</f>
        <v>USA</v>
      </c>
      <c r="L1739" t="s">
        <v>13</v>
      </c>
      <c r="M1739">
        <v>10</v>
      </c>
      <c r="N1739" s="8" t="str">
        <f>VLOOKUP(K1739,tblCountries[],3,0)</f>
        <v>North Amer.</v>
      </c>
      <c r="O1739" s="8">
        <f>VLOOKUP(tblSalaries[[#This Row],[How many hours of a day you work on Excel]],tblHours,2,0)</f>
        <v>5</v>
      </c>
      <c r="P1739" s="8">
        <f>VLOOKUP(tblSalaries[[#This Row],[clean Country]],tblCountries[],5,0)</f>
        <v>1</v>
      </c>
      <c r="Q1739" s="8">
        <f>IF($Q$1,tblSalaries[[#This Row],[PPP Factor]]*tblSalaries[[#This Row],[Salary in USD]],tblSalaries[[#This Row],[Salary in USD]])</f>
        <v>125000</v>
      </c>
    </row>
    <row r="1740" spans="2:17" ht="15" customHeight="1" x14ac:dyDescent="0.25">
      <c r="B1740" t="s">
        <v>3743</v>
      </c>
      <c r="C1740" s="1">
        <v>41070.624062499999</v>
      </c>
      <c r="D1740" s="4">
        <v>1300000</v>
      </c>
      <c r="E1740">
        <v>1300000</v>
      </c>
      <c r="F1740" t="s">
        <v>40</v>
      </c>
      <c r="G1740">
        <f>tblSalaries[[#This Row],[clean Salary (in local currency)]]*VLOOKUP(tblSalaries[[#This Row],[Currency]],tblXrate[],2,FALSE)</f>
        <v>23150.291693675339</v>
      </c>
      <c r="H1740" t="s">
        <v>52</v>
      </c>
      <c r="I1740" t="s">
        <v>52</v>
      </c>
      <c r="J1740" t="s">
        <v>8</v>
      </c>
      <c r="K1740" t="str">
        <f>VLOOKUP(tblSalaries[[#This Row],[Where do you work]],tblCountries[[Actual]:[Mapping]],2,FALSE)</f>
        <v>India</v>
      </c>
      <c r="L1740" t="s">
        <v>13</v>
      </c>
      <c r="M1740">
        <v>9</v>
      </c>
      <c r="N1740" s="8" t="str">
        <f>VLOOKUP(K1740,tblCountries[],3,0)</f>
        <v>Asia</v>
      </c>
      <c r="O1740" s="8">
        <f>VLOOKUP(tblSalaries[[#This Row],[How many hours of a day you work on Excel]],tblHours,2,0)</f>
        <v>5</v>
      </c>
      <c r="P1740" s="8">
        <f>VLOOKUP(tblSalaries[[#This Row],[clean Country]],tblCountries[],5,0)</f>
        <v>13.098808879263672</v>
      </c>
      <c r="Q1740" s="8">
        <f>IF($Q$1,tblSalaries[[#This Row],[PPP Factor]]*tblSalaries[[#This Row],[Salary in USD]],tblSalaries[[#This Row],[Salary in USD]])</f>
        <v>23150.291693675339</v>
      </c>
    </row>
    <row r="1741" spans="2:17" ht="15" customHeight="1" x14ac:dyDescent="0.25">
      <c r="B1741" t="s">
        <v>3744</v>
      </c>
      <c r="C1741" s="1">
        <v>41070.63890046296</v>
      </c>
      <c r="D1741" s="4">
        <v>1000</v>
      </c>
      <c r="E1741">
        <v>12000</v>
      </c>
      <c r="F1741" t="s">
        <v>6</v>
      </c>
      <c r="G1741">
        <f>tblSalaries[[#This Row],[clean Salary (in local currency)]]*VLOOKUP(tblSalaries[[#This Row],[Currency]],tblXrate[],2,FALSE)</f>
        <v>12000</v>
      </c>
      <c r="H1741" t="s">
        <v>1892</v>
      </c>
      <c r="I1741" t="s">
        <v>279</v>
      </c>
      <c r="J1741" t="s">
        <v>8</v>
      </c>
      <c r="K1741" t="str">
        <f>VLOOKUP(tblSalaries[[#This Row],[Where do you work]],tblCountries[[Actual]:[Mapping]],2,FALSE)</f>
        <v>India</v>
      </c>
      <c r="L1741" t="s">
        <v>18</v>
      </c>
      <c r="M1741">
        <v>7</v>
      </c>
      <c r="N1741" s="8" t="str">
        <f>VLOOKUP(K1741,tblCountries[],3,0)</f>
        <v>Asia</v>
      </c>
      <c r="O1741" s="8">
        <f>VLOOKUP(tblSalaries[[#This Row],[How many hours of a day you work on Excel]],tblHours,2,0)</f>
        <v>3</v>
      </c>
      <c r="P1741" s="8">
        <f>VLOOKUP(tblSalaries[[#This Row],[clean Country]],tblCountries[],5,0)</f>
        <v>13.098808879263672</v>
      </c>
      <c r="Q1741" s="8">
        <f>IF($Q$1,tblSalaries[[#This Row],[PPP Factor]]*tblSalaries[[#This Row],[Salary in USD]],tblSalaries[[#This Row],[Salary in USD]])</f>
        <v>12000</v>
      </c>
    </row>
    <row r="1742" spans="2:17" ht="15" customHeight="1" x14ac:dyDescent="0.25">
      <c r="B1742" t="s">
        <v>3745</v>
      </c>
      <c r="C1742" s="1">
        <v>41070.666168981479</v>
      </c>
      <c r="D1742" s="4">
        <v>30000</v>
      </c>
      <c r="E1742">
        <v>30000</v>
      </c>
      <c r="F1742" t="s">
        <v>6</v>
      </c>
      <c r="G1742">
        <f>tblSalaries[[#This Row],[clean Salary (in local currency)]]*VLOOKUP(tblSalaries[[#This Row],[Currency]],tblXrate[],2,FALSE)</f>
        <v>30000</v>
      </c>
      <c r="H1742" t="s">
        <v>1893</v>
      </c>
      <c r="I1742" t="s">
        <v>20</v>
      </c>
      <c r="J1742" t="s">
        <v>1131</v>
      </c>
      <c r="K1742" t="str">
        <f>VLOOKUP(tblSalaries[[#This Row],[Where do you work]],tblCountries[[Actual]:[Mapping]],2,FALSE)</f>
        <v>Malaysia</v>
      </c>
      <c r="L1742" t="s">
        <v>25</v>
      </c>
      <c r="M1742">
        <v>12</v>
      </c>
      <c r="N1742" s="8" t="str">
        <f>VLOOKUP(K1742,tblCountries[],3,0)</f>
        <v>Asia</v>
      </c>
      <c r="O1742" s="8">
        <f>VLOOKUP(tblSalaries[[#This Row],[How many hours of a day you work on Excel]],tblHours,2,0)</f>
        <v>2</v>
      </c>
      <c r="P1742" s="8">
        <f>VLOOKUP(tblSalaries[[#This Row],[clean Country]],tblCountries[],5,0)</f>
        <v>3.1081063720452211</v>
      </c>
      <c r="Q1742" s="8">
        <f>IF($Q$1,tblSalaries[[#This Row],[PPP Factor]]*tblSalaries[[#This Row],[Salary in USD]],tblSalaries[[#This Row],[Salary in USD]])</f>
        <v>30000</v>
      </c>
    </row>
    <row r="1743" spans="2:17" ht="15" customHeight="1" x14ac:dyDescent="0.25">
      <c r="B1743" t="s">
        <v>3746</v>
      </c>
      <c r="C1743" s="1">
        <v>41070.723009259258</v>
      </c>
      <c r="D1743" s="4">
        <v>72000</v>
      </c>
      <c r="E1743">
        <v>72000</v>
      </c>
      <c r="F1743" t="s">
        <v>22</v>
      </c>
      <c r="G1743">
        <f>tblSalaries[[#This Row],[clean Salary (in local currency)]]*VLOOKUP(tblSalaries[[#This Row],[Currency]],tblXrate[],2,FALSE)</f>
        <v>91468.759607395754</v>
      </c>
      <c r="H1743" t="s">
        <v>1894</v>
      </c>
      <c r="I1743" t="s">
        <v>52</v>
      </c>
      <c r="J1743" t="s">
        <v>1895</v>
      </c>
      <c r="K1743" t="str">
        <f>VLOOKUP(tblSalaries[[#This Row],[Where do you work]],tblCountries[[Actual]:[Mapping]],2,FALSE)</f>
        <v>Croatia</v>
      </c>
      <c r="L1743" t="s">
        <v>25</v>
      </c>
      <c r="M1743">
        <v>3</v>
      </c>
      <c r="N1743" s="8" t="str">
        <f>VLOOKUP(K1743,tblCountries[],3,0)</f>
        <v>Europe</v>
      </c>
      <c r="O1743" s="8">
        <f>VLOOKUP(tblSalaries[[#This Row],[How many hours of a day you work on Excel]],tblHours,2,0)</f>
        <v>2</v>
      </c>
      <c r="P1743" s="8">
        <f>VLOOKUP(tblSalaries[[#This Row],[clean Country]],tblCountries[],5,0)</f>
        <v>2.6597955145118735</v>
      </c>
      <c r="Q1743" s="8">
        <f>IF($Q$1,tblSalaries[[#This Row],[PPP Factor]]*tblSalaries[[#This Row],[Salary in USD]],tblSalaries[[#This Row],[Salary in USD]])</f>
        <v>91468.759607395754</v>
      </c>
    </row>
    <row r="1744" spans="2:17" ht="15" customHeight="1" x14ac:dyDescent="0.25">
      <c r="B1744" t="s">
        <v>3747</v>
      </c>
      <c r="C1744" s="1">
        <v>41070.854432870372</v>
      </c>
      <c r="D1744" s="4" t="s">
        <v>1896</v>
      </c>
      <c r="E1744">
        <v>22300</v>
      </c>
      <c r="F1744" t="s">
        <v>69</v>
      </c>
      <c r="G1744">
        <f>tblSalaries[[#This Row],[clean Salary (in local currency)]]*VLOOKUP(tblSalaries[[#This Row],[Currency]],tblXrate[],2,FALSE)</f>
        <v>35148.775467100437</v>
      </c>
      <c r="H1744" t="s">
        <v>1897</v>
      </c>
      <c r="I1744" t="s">
        <v>20</v>
      </c>
      <c r="J1744" t="s">
        <v>71</v>
      </c>
      <c r="K1744" t="str">
        <f>VLOOKUP(tblSalaries[[#This Row],[Where do you work]],tblCountries[[Actual]:[Mapping]],2,FALSE)</f>
        <v>UK</v>
      </c>
      <c r="L1744" t="s">
        <v>13</v>
      </c>
      <c r="M1744">
        <v>4</v>
      </c>
      <c r="N1744" s="8" t="str">
        <f>VLOOKUP(K1744,tblCountries[],3,0)</f>
        <v>Europe</v>
      </c>
      <c r="O1744" s="8">
        <f>VLOOKUP(tblSalaries[[#This Row],[How many hours of a day you work on Excel]],tblHours,2,0)</f>
        <v>5</v>
      </c>
      <c r="P1744" s="8">
        <f>VLOOKUP(tblSalaries[[#This Row],[clean Country]],tblCountries[],5,0)</f>
        <v>1.3407315045719035</v>
      </c>
      <c r="Q1744" s="8">
        <f>IF($Q$1,tblSalaries[[#This Row],[PPP Factor]]*tblSalaries[[#This Row],[Salary in USD]],tblSalaries[[#This Row],[Salary in USD]])</f>
        <v>35148.775467100437</v>
      </c>
    </row>
    <row r="1745" spans="2:17" ht="15" customHeight="1" x14ac:dyDescent="0.25">
      <c r="B1745" t="s">
        <v>3748</v>
      </c>
      <c r="C1745" s="1">
        <v>41070.911458333336</v>
      </c>
      <c r="D1745" s="4" t="s">
        <v>1898</v>
      </c>
      <c r="E1745">
        <v>31185</v>
      </c>
      <c r="F1745" t="s">
        <v>69</v>
      </c>
      <c r="G1745">
        <f>tblSalaries[[#This Row],[clean Salary (in local currency)]]*VLOOKUP(tblSalaries[[#This Row],[Currency]],tblXrate[],2,FALSE)</f>
        <v>49153.119414418252</v>
      </c>
      <c r="H1745" t="s">
        <v>1899</v>
      </c>
      <c r="I1745" t="s">
        <v>52</v>
      </c>
      <c r="J1745" t="s">
        <v>71</v>
      </c>
      <c r="K1745" t="str">
        <f>VLOOKUP(tblSalaries[[#This Row],[Where do you work]],tblCountries[[Actual]:[Mapping]],2,FALSE)</f>
        <v>UK</v>
      </c>
      <c r="L1745" t="s">
        <v>9</v>
      </c>
      <c r="M1745">
        <v>7</v>
      </c>
      <c r="N1745" s="8" t="str">
        <f>VLOOKUP(K1745,tblCountries[],3,0)</f>
        <v>Europe</v>
      </c>
      <c r="O1745" s="8">
        <f>VLOOKUP(tblSalaries[[#This Row],[How many hours of a day you work on Excel]],tblHours,2,0)</f>
        <v>4</v>
      </c>
      <c r="P1745" s="8">
        <f>VLOOKUP(tblSalaries[[#This Row],[clean Country]],tblCountries[],5,0)</f>
        <v>1.3407315045719035</v>
      </c>
      <c r="Q1745" s="8">
        <f>IF($Q$1,tblSalaries[[#This Row],[PPP Factor]]*tblSalaries[[#This Row],[Salary in USD]],tblSalaries[[#This Row],[Salary in USD]])</f>
        <v>49153.119414418252</v>
      </c>
    </row>
    <row r="1746" spans="2:17" ht="15" customHeight="1" x14ac:dyDescent="0.25">
      <c r="B1746" t="s">
        <v>3749</v>
      </c>
      <c r="C1746" s="1">
        <v>41071.133090277777</v>
      </c>
      <c r="D1746" s="4">
        <v>150000</v>
      </c>
      <c r="E1746">
        <v>150000</v>
      </c>
      <c r="F1746" t="s">
        <v>40</v>
      </c>
      <c r="G1746">
        <f>tblSalaries[[#This Row],[clean Salary (in local currency)]]*VLOOKUP(tblSalaries[[#This Row],[Currency]],tblXrate[],2,FALSE)</f>
        <v>2671.1875031163854</v>
      </c>
      <c r="H1746" t="s">
        <v>485</v>
      </c>
      <c r="I1746" t="s">
        <v>279</v>
      </c>
      <c r="J1746" t="s">
        <v>8</v>
      </c>
      <c r="K1746" t="str">
        <f>VLOOKUP(tblSalaries[[#This Row],[Where do you work]],tblCountries[[Actual]:[Mapping]],2,FALSE)</f>
        <v>India</v>
      </c>
      <c r="L1746" t="s">
        <v>18</v>
      </c>
      <c r="M1746">
        <v>1</v>
      </c>
      <c r="N1746" s="8" t="str">
        <f>VLOOKUP(K1746,tblCountries[],3,0)</f>
        <v>Asia</v>
      </c>
      <c r="O1746" s="8">
        <f>VLOOKUP(tblSalaries[[#This Row],[How many hours of a day you work on Excel]],tblHours,2,0)</f>
        <v>3</v>
      </c>
      <c r="P1746" s="8">
        <f>VLOOKUP(tblSalaries[[#This Row],[clean Country]],tblCountries[],5,0)</f>
        <v>13.098808879263672</v>
      </c>
      <c r="Q1746" s="8">
        <f>IF($Q$1,tblSalaries[[#This Row],[PPP Factor]]*tblSalaries[[#This Row],[Salary in USD]],tblSalaries[[#This Row],[Salary in USD]])</f>
        <v>2671.1875031163854</v>
      </c>
    </row>
    <row r="1747" spans="2:17" ht="15" customHeight="1" x14ac:dyDescent="0.25">
      <c r="B1747" t="s">
        <v>3750</v>
      </c>
      <c r="C1747" s="1">
        <v>41071.249409722222</v>
      </c>
      <c r="D1747" s="4">
        <v>27000</v>
      </c>
      <c r="E1747">
        <v>27000</v>
      </c>
      <c r="F1747" t="s">
        <v>69</v>
      </c>
      <c r="G1747">
        <f>tblSalaries[[#This Row],[clean Salary (in local currency)]]*VLOOKUP(tblSalaries[[#This Row],[Currency]],tblXrate[],2,FALSE)</f>
        <v>42556.81334581667</v>
      </c>
      <c r="H1747" t="s">
        <v>1900</v>
      </c>
      <c r="I1747" t="s">
        <v>52</v>
      </c>
      <c r="J1747" t="s">
        <v>71</v>
      </c>
      <c r="K1747" t="str">
        <f>VLOOKUP(tblSalaries[[#This Row],[Where do you work]],tblCountries[[Actual]:[Mapping]],2,FALSE)</f>
        <v>UK</v>
      </c>
      <c r="L1747" t="s">
        <v>9</v>
      </c>
      <c r="M1747">
        <v>3</v>
      </c>
      <c r="N1747" s="8" t="str">
        <f>VLOOKUP(K1747,tblCountries[],3,0)</f>
        <v>Europe</v>
      </c>
      <c r="O1747" s="8">
        <f>VLOOKUP(tblSalaries[[#This Row],[How many hours of a day you work on Excel]],tblHours,2,0)</f>
        <v>4</v>
      </c>
      <c r="P1747" s="8">
        <f>VLOOKUP(tblSalaries[[#This Row],[clean Country]],tblCountries[],5,0)</f>
        <v>1.3407315045719035</v>
      </c>
      <c r="Q1747" s="8">
        <f>IF($Q$1,tblSalaries[[#This Row],[PPP Factor]]*tblSalaries[[#This Row],[Salary in USD]],tblSalaries[[#This Row],[Salary in USD]])</f>
        <v>42556.81334581667</v>
      </c>
    </row>
    <row r="1748" spans="2:17" ht="15" customHeight="1" x14ac:dyDescent="0.25">
      <c r="B1748" t="s">
        <v>3751</v>
      </c>
      <c r="C1748" s="1">
        <v>41071.249942129631</v>
      </c>
      <c r="D1748" s="4">
        <v>27000</v>
      </c>
      <c r="E1748">
        <v>27000</v>
      </c>
      <c r="F1748" t="s">
        <v>69</v>
      </c>
      <c r="G1748">
        <f>tblSalaries[[#This Row],[clean Salary (in local currency)]]*VLOOKUP(tblSalaries[[#This Row],[Currency]],tblXrate[],2,FALSE)</f>
        <v>42556.81334581667</v>
      </c>
      <c r="H1748" t="s">
        <v>1900</v>
      </c>
      <c r="I1748" t="s">
        <v>52</v>
      </c>
      <c r="J1748" t="s">
        <v>71</v>
      </c>
      <c r="K1748" t="str">
        <f>VLOOKUP(tblSalaries[[#This Row],[Where do you work]],tblCountries[[Actual]:[Mapping]],2,FALSE)</f>
        <v>UK</v>
      </c>
      <c r="L1748" t="s">
        <v>9</v>
      </c>
      <c r="M1748">
        <v>3</v>
      </c>
      <c r="N1748" s="8" t="str">
        <f>VLOOKUP(K1748,tblCountries[],3,0)</f>
        <v>Europe</v>
      </c>
      <c r="O1748" s="8">
        <f>VLOOKUP(tblSalaries[[#This Row],[How many hours of a day you work on Excel]],tblHours,2,0)</f>
        <v>4</v>
      </c>
      <c r="P1748" s="8">
        <f>VLOOKUP(tblSalaries[[#This Row],[clean Country]],tblCountries[],5,0)</f>
        <v>1.3407315045719035</v>
      </c>
      <c r="Q1748" s="8">
        <f>IF($Q$1,tblSalaries[[#This Row],[PPP Factor]]*tblSalaries[[#This Row],[Salary in USD]],tblSalaries[[#This Row],[Salary in USD]])</f>
        <v>42556.81334581667</v>
      </c>
    </row>
    <row r="1749" spans="2:17" ht="15" customHeight="1" x14ac:dyDescent="0.25">
      <c r="B1749" t="s">
        <v>3752</v>
      </c>
      <c r="C1749" s="1">
        <v>41071.419942129629</v>
      </c>
      <c r="D1749" s="4">
        <v>74461</v>
      </c>
      <c r="E1749">
        <v>74461</v>
      </c>
      <c r="F1749" t="s">
        <v>6</v>
      </c>
      <c r="G1749">
        <f>tblSalaries[[#This Row],[clean Salary (in local currency)]]*VLOOKUP(tblSalaries[[#This Row],[Currency]],tblXrate[],2,FALSE)</f>
        <v>74461</v>
      </c>
      <c r="H1749" t="s">
        <v>1901</v>
      </c>
      <c r="I1749" t="s">
        <v>4000</v>
      </c>
      <c r="J1749" t="s">
        <v>15</v>
      </c>
      <c r="K1749" t="str">
        <f>VLOOKUP(tblSalaries[[#This Row],[Where do you work]],tblCountries[[Actual]:[Mapping]],2,FALSE)</f>
        <v>USA</v>
      </c>
      <c r="L1749" t="s">
        <v>25</v>
      </c>
      <c r="M1749">
        <v>9</v>
      </c>
      <c r="N1749" s="8" t="str">
        <f>VLOOKUP(K1749,tblCountries[],3,0)</f>
        <v>North Amer.</v>
      </c>
      <c r="O1749" s="8">
        <f>VLOOKUP(tblSalaries[[#This Row],[How many hours of a day you work on Excel]],tblHours,2,0)</f>
        <v>2</v>
      </c>
      <c r="P1749" s="8">
        <f>VLOOKUP(tblSalaries[[#This Row],[clean Country]],tblCountries[],5,0)</f>
        <v>1</v>
      </c>
      <c r="Q1749" s="8">
        <f>IF($Q$1,tblSalaries[[#This Row],[PPP Factor]]*tblSalaries[[#This Row],[Salary in USD]],tblSalaries[[#This Row],[Salary in USD]])</f>
        <v>74461</v>
      </c>
    </row>
    <row r="1750" spans="2:17" ht="15" customHeight="1" x14ac:dyDescent="0.25">
      <c r="B1750" t="s">
        <v>3753</v>
      </c>
      <c r="C1750" s="1">
        <v>41071.705324074072</v>
      </c>
      <c r="D1750" s="4" t="s">
        <v>1902</v>
      </c>
      <c r="E1750">
        <v>26500</v>
      </c>
      <c r="F1750" t="s">
        <v>69</v>
      </c>
      <c r="G1750">
        <f>tblSalaries[[#This Row],[clean Salary (in local currency)]]*VLOOKUP(tblSalaries[[#This Row],[Currency]],tblXrate[],2,FALSE)</f>
        <v>41768.724209783031</v>
      </c>
      <c r="H1750" t="s">
        <v>1903</v>
      </c>
      <c r="I1750" t="s">
        <v>52</v>
      </c>
      <c r="J1750" t="s">
        <v>71</v>
      </c>
      <c r="K1750" t="str">
        <f>VLOOKUP(tblSalaries[[#This Row],[Where do you work]],tblCountries[[Actual]:[Mapping]],2,FALSE)</f>
        <v>UK</v>
      </c>
      <c r="L1750" t="s">
        <v>9</v>
      </c>
      <c r="M1750">
        <v>16</v>
      </c>
      <c r="N1750" s="8" t="str">
        <f>VLOOKUP(K1750,tblCountries[],3,0)</f>
        <v>Europe</v>
      </c>
      <c r="O1750" s="8">
        <f>VLOOKUP(tblSalaries[[#This Row],[How many hours of a day you work on Excel]],tblHours,2,0)</f>
        <v>4</v>
      </c>
      <c r="P1750" s="8">
        <f>VLOOKUP(tblSalaries[[#This Row],[clean Country]],tblCountries[],5,0)</f>
        <v>1.3407315045719035</v>
      </c>
      <c r="Q1750" s="8">
        <f>IF($Q$1,tblSalaries[[#This Row],[PPP Factor]]*tblSalaries[[#This Row],[Salary in USD]],tblSalaries[[#This Row],[Salary in USD]])</f>
        <v>41768.724209783031</v>
      </c>
    </row>
    <row r="1751" spans="2:17" ht="15" customHeight="1" x14ac:dyDescent="0.25">
      <c r="B1751" t="s">
        <v>3754</v>
      </c>
      <c r="C1751" s="1">
        <v>41071.709699074076</v>
      </c>
      <c r="D1751" s="4" t="s">
        <v>766</v>
      </c>
      <c r="E1751">
        <v>480000</v>
      </c>
      <c r="F1751" t="s">
        <v>40</v>
      </c>
      <c r="G1751">
        <f>tblSalaries[[#This Row],[clean Salary (in local currency)]]*VLOOKUP(tblSalaries[[#This Row],[Currency]],tblXrate[],2,FALSE)</f>
        <v>8547.8000099724322</v>
      </c>
      <c r="H1751" t="s">
        <v>1904</v>
      </c>
      <c r="I1751" t="s">
        <v>20</v>
      </c>
      <c r="J1751" t="s">
        <v>8</v>
      </c>
      <c r="K1751" t="str">
        <f>VLOOKUP(tblSalaries[[#This Row],[Where do you work]],tblCountries[[Actual]:[Mapping]],2,FALSE)</f>
        <v>India</v>
      </c>
      <c r="L1751" t="s">
        <v>9</v>
      </c>
      <c r="M1751">
        <v>1</v>
      </c>
      <c r="N1751" s="8" t="str">
        <f>VLOOKUP(K1751,tblCountries[],3,0)</f>
        <v>Asia</v>
      </c>
      <c r="O1751" s="8">
        <f>VLOOKUP(tblSalaries[[#This Row],[How many hours of a day you work on Excel]],tblHours,2,0)</f>
        <v>4</v>
      </c>
      <c r="P1751" s="8">
        <f>VLOOKUP(tblSalaries[[#This Row],[clean Country]],tblCountries[],5,0)</f>
        <v>13.098808879263672</v>
      </c>
      <c r="Q1751" s="8">
        <f>IF($Q$1,tblSalaries[[#This Row],[PPP Factor]]*tblSalaries[[#This Row],[Salary in USD]],tblSalaries[[#This Row],[Salary in USD]])</f>
        <v>8547.8000099724322</v>
      </c>
    </row>
    <row r="1752" spans="2:17" ht="15" customHeight="1" x14ac:dyDescent="0.25">
      <c r="B1752" t="s">
        <v>3755</v>
      </c>
      <c r="C1752" s="1">
        <v>41071.746087962965</v>
      </c>
      <c r="D1752" s="4">
        <v>200</v>
      </c>
      <c r="E1752">
        <v>2400</v>
      </c>
      <c r="F1752" t="s">
        <v>6</v>
      </c>
      <c r="G1752">
        <f>tblSalaries[[#This Row],[clean Salary (in local currency)]]*VLOOKUP(tblSalaries[[#This Row],[Currency]],tblXrate[],2,FALSE)</f>
        <v>2400</v>
      </c>
      <c r="H1752" t="s">
        <v>1905</v>
      </c>
      <c r="I1752" t="s">
        <v>20</v>
      </c>
      <c r="J1752" t="s">
        <v>8</v>
      </c>
      <c r="K1752" t="str">
        <f>VLOOKUP(tblSalaries[[#This Row],[Where do you work]],tblCountries[[Actual]:[Mapping]],2,FALSE)</f>
        <v>India</v>
      </c>
      <c r="L1752" t="s">
        <v>18</v>
      </c>
      <c r="M1752">
        <v>3</v>
      </c>
      <c r="N1752" s="8" t="str">
        <f>VLOOKUP(K1752,tblCountries[],3,0)</f>
        <v>Asia</v>
      </c>
      <c r="O1752" s="8">
        <f>VLOOKUP(tblSalaries[[#This Row],[How many hours of a day you work on Excel]],tblHours,2,0)</f>
        <v>3</v>
      </c>
      <c r="P1752" s="8">
        <f>VLOOKUP(tblSalaries[[#This Row],[clean Country]],tblCountries[],5,0)</f>
        <v>13.098808879263672</v>
      </c>
      <c r="Q1752" s="8">
        <f>IF($Q$1,tblSalaries[[#This Row],[PPP Factor]]*tblSalaries[[#This Row],[Salary in USD]],tblSalaries[[#This Row],[Salary in USD]])</f>
        <v>2400</v>
      </c>
    </row>
    <row r="1753" spans="2:17" ht="15" customHeight="1" x14ac:dyDescent="0.25">
      <c r="B1753" t="s">
        <v>3756</v>
      </c>
      <c r="C1753" s="1">
        <v>41071.819988425923</v>
      </c>
      <c r="D1753" s="4" t="s">
        <v>797</v>
      </c>
      <c r="E1753">
        <v>3000</v>
      </c>
      <c r="F1753" t="s">
        <v>6</v>
      </c>
      <c r="G1753">
        <f>tblSalaries[[#This Row],[clean Salary (in local currency)]]*VLOOKUP(tblSalaries[[#This Row],[Currency]],tblXrate[],2,FALSE)</f>
        <v>3000</v>
      </c>
      <c r="H1753" t="s">
        <v>725</v>
      </c>
      <c r="I1753" t="s">
        <v>20</v>
      </c>
      <c r="J1753" t="s">
        <v>425</v>
      </c>
      <c r="K1753" t="str">
        <f>VLOOKUP(tblSalaries[[#This Row],[Where do you work]],tblCountries[[Actual]:[Mapping]],2,FALSE)</f>
        <v>Bangladesh</v>
      </c>
      <c r="L1753" t="s">
        <v>25</v>
      </c>
      <c r="M1753">
        <v>12</v>
      </c>
      <c r="N1753" s="8" t="str">
        <f>VLOOKUP(K1753,tblCountries[],3,0)</f>
        <v>Asia</v>
      </c>
      <c r="O1753" s="8">
        <f>VLOOKUP(tblSalaries[[#This Row],[How many hours of a day you work on Excel]],tblHours,2,0)</f>
        <v>2</v>
      </c>
      <c r="P1753" s="8">
        <f>VLOOKUP(tblSalaries[[#This Row],[clean Country]],tblCountries[],5,0)</f>
        <v>28.580626107501477</v>
      </c>
      <c r="Q1753" s="8">
        <f>IF($Q$1,tblSalaries[[#This Row],[PPP Factor]]*tblSalaries[[#This Row],[Salary in USD]],tblSalaries[[#This Row],[Salary in USD]])</f>
        <v>3000</v>
      </c>
    </row>
    <row r="1754" spans="2:17" ht="15" customHeight="1" x14ac:dyDescent="0.25">
      <c r="B1754" t="s">
        <v>3757</v>
      </c>
      <c r="C1754" s="1">
        <v>41071.830972222226</v>
      </c>
      <c r="D1754" s="4">
        <v>11000</v>
      </c>
      <c r="E1754">
        <v>11000</v>
      </c>
      <c r="F1754" t="s">
        <v>6</v>
      </c>
      <c r="G1754">
        <f>tblSalaries[[#This Row],[clean Salary (in local currency)]]*VLOOKUP(tblSalaries[[#This Row],[Currency]],tblXrate[],2,FALSE)</f>
        <v>11000</v>
      </c>
      <c r="H1754" t="s">
        <v>1500</v>
      </c>
      <c r="I1754" t="s">
        <v>20</v>
      </c>
      <c r="J1754" t="s">
        <v>8</v>
      </c>
      <c r="K1754" t="str">
        <f>VLOOKUP(tblSalaries[[#This Row],[Where do you work]],tblCountries[[Actual]:[Mapping]],2,FALSE)</f>
        <v>India</v>
      </c>
      <c r="L1754" t="s">
        <v>9</v>
      </c>
      <c r="M1754">
        <v>2</v>
      </c>
      <c r="N1754" s="8" t="str">
        <f>VLOOKUP(K1754,tblCountries[],3,0)</f>
        <v>Asia</v>
      </c>
      <c r="O1754" s="8">
        <f>VLOOKUP(tblSalaries[[#This Row],[How many hours of a day you work on Excel]],tblHours,2,0)</f>
        <v>4</v>
      </c>
      <c r="P1754" s="8">
        <f>VLOOKUP(tblSalaries[[#This Row],[clean Country]],tblCountries[],5,0)</f>
        <v>13.098808879263672</v>
      </c>
      <c r="Q1754" s="8">
        <f>IF($Q$1,tblSalaries[[#This Row],[PPP Factor]]*tblSalaries[[#This Row],[Salary in USD]],tblSalaries[[#This Row],[Salary in USD]])</f>
        <v>11000</v>
      </c>
    </row>
    <row r="1755" spans="2:17" ht="15" customHeight="1" x14ac:dyDescent="0.25">
      <c r="B1755" t="s">
        <v>3758</v>
      </c>
      <c r="C1755" s="1">
        <v>41071.877500000002</v>
      </c>
      <c r="D1755" s="4">
        <v>40000</v>
      </c>
      <c r="E1755">
        <v>40000</v>
      </c>
      <c r="F1755" t="s">
        <v>6</v>
      </c>
      <c r="G1755">
        <f>tblSalaries[[#This Row],[clean Salary (in local currency)]]*VLOOKUP(tblSalaries[[#This Row],[Currency]],tblXrate[],2,FALSE)</f>
        <v>40000</v>
      </c>
      <c r="H1755" t="s">
        <v>811</v>
      </c>
      <c r="I1755" t="s">
        <v>20</v>
      </c>
      <c r="J1755" t="s">
        <v>15</v>
      </c>
      <c r="K1755" t="str">
        <f>VLOOKUP(tblSalaries[[#This Row],[Where do you work]],tblCountries[[Actual]:[Mapping]],2,FALSE)</f>
        <v>USA</v>
      </c>
      <c r="L1755" t="s">
        <v>18</v>
      </c>
      <c r="M1755">
        <v>2</v>
      </c>
      <c r="N1755" s="8" t="str">
        <f>VLOOKUP(K1755,tblCountries[],3,0)</f>
        <v>North Amer.</v>
      </c>
      <c r="O1755" s="8">
        <f>VLOOKUP(tblSalaries[[#This Row],[How many hours of a day you work on Excel]],tblHours,2,0)</f>
        <v>3</v>
      </c>
      <c r="P1755" s="8">
        <f>VLOOKUP(tblSalaries[[#This Row],[clean Country]],tblCountries[],5,0)</f>
        <v>1</v>
      </c>
      <c r="Q1755" s="8">
        <f>IF($Q$1,tblSalaries[[#This Row],[PPP Factor]]*tblSalaries[[#This Row],[Salary in USD]],tblSalaries[[#This Row],[Salary in USD]])</f>
        <v>40000</v>
      </c>
    </row>
    <row r="1756" spans="2:17" ht="15" customHeight="1" x14ac:dyDescent="0.25">
      <c r="B1756" t="s">
        <v>3759</v>
      </c>
      <c r="C1756" s="1">
        <v>41071.895474537036</v>
      </c>
      <c r="D1756" s="4">
        <v>300</v>
      </c>
      <c r="E1756">
        <v>3600</v>
      </c>
      <c r="F1756" t="s">
        <v>6</v>
      </c>
      <c r="G1756">
        <f>tblSalaries[[#This Row],[clean Salary (in local currency)]]*VLOOKUP(tblSalaries[[#This Row],[Currency]],tblXrate[],2,FALSE)</f>
        <v>3600</v>
      </c>
      <c r="H1756" t="s">
        <v>20</v>
      </c>
      <c r="I1756" t="s">
        <v>20</v>
      </c>
      <c r="J1756" t="s">
        <v>8</v>
      </c>
      <c r="K1756" t="str">
        <f>VLOOKUP(tblSalaries[[#This Row],[Where do you work]],tblCountries[[Actual]:[Mapping]],2,FALSE)</f>
        <v>India</v>
      </c>
      <c r="L1756" t="s">
        <v>9</v>
      </c>
      <c r="M1756">
        <v>1</v>
      </c>
      <c r="N1756" s="8" t="str">
        <f>VLOOKUP(K1756,tblCountries[],3,0)</f>
        <v>Asia</v>
      </c>
      <c r="O1756" s="8">
        <f>VLOOKUP(tblSalaries[[#This Row],[How many hours of a day you work on Excel]],tblHours,2,0)</f>
        <v>4</v>
      </c>
      <c r="P1756" s="8">
        <f>VLOOKUP(tblSalaries[[#This Row],[clean Country]],tblCountries[],5,0)</f>
        <v>13.098808879263672</v>
      </c>
      <c r="Q1756" s="8">
        <f>IF($Q$1,tblSalaries[[#This Row],[PPP Factor]]*tblSalaries[[#This Row],[Salary in USD]],tblSalaries[[#This Row],[Salary in USD]])</f>
        <v>3600</v>
      </c>
    </row>
    <row r="1757" spans="2:17" ht="15" customHeight="1" x14ac:dyDescent="0.25">
      <c r="B1757" t="s">
        <v>3760</v>
      </c>
      <c r="C1757" s="1">
        <v>41071.911273148151</v>
      </c>
      <c r="D1757" s="4">
        <v>56600</v>
      </c>
      <c r="E1757">
        <v>56600</v>
      </c>
      <c r="F1757" t="s">
        <v>6</v>
      </c>
      <c r="G1757">
        <f>tblSalaries[[#This Row],[clean Salary (in local currency)]]*VLOOKUP(tblSalaries[[#This Row],[Currency]],tblXrate[],2,FALSE)</f>
        <v>56600</v>
      </c>
      <c r="H1757" t="s">
        <v>1906</v>
      </c>
      <c r="I1757" t="s">
        <v>52</v>
      </c>
      <c r="J1757" t="s">
        <v>15</v>
      </c>
      <c r="K1757" t="str">
        <f>VLOOKUP(tblSalaries[[#This Row],[Where do you work]],tblCountries[[Actual]:[Mapping]],2,FALSE)</f>
        <v>USA</v>
      </c>
      <c r="L1757" t="s">
        <v>9</v>
      </c>
      <c r="M1757">
        <v>12</v>
      </c>
      <c r="N1757" s="8" t="str">
        <f>VLOOKUP(K1757,tblCountries[],3,0)</f>
        <v>North Amer.</v>
      </c>
      <c r="O1757" s="8">
        <f>VLOOKUP(tblSalaries[[#This Row],[How many hours of a day you work on Excel]],tblHours,2,0)</f>
        <v>4</v>
      </c>
      <c r="P1757" s="8">
        <f>VLOOKUP(tblSalaries[[#This Row],[clean Country]],tblCountries[],5,0)</f>
        <v>1</v>
      </c>
      <c r="Q1757" s="8">
        <f>IF($Q$1,tblSalaries[[#This Row],[PPP Factor]]*tblSalaries[[#This Row],[Salary in USD]],tblSalaries[[#This Row],[Salary in USD]])</f>
        <v>56600</v>
      </c>
    </row>
    <row r="1758" spans="2:17" ht="15" customHeight="1" x14ac:dyDescent="0.25">
      <c r="B1758" t="s">
        <v>3761</v>
      </c>
      <c r="C1758" s="1">
        <v>41071.931539351855</v>
      </c>
      <c r="D1758" s="4">
        <v>33600</v>
      </c>
      <c r="E1758">
        <v>33600</v>
      </c>
      <c r="F1758" t="s">
        <v>6</v>
      </c>
      <c r="G1758">
        <f>tblSalaries[[#This Row],[clean Salary (in local currency)]]*VLOOKUP(tblSalaries[[#This Row],[Currency]],tblXrate[],2,FALSE)</f>
        <v>33600</v>
      </c>
      <c r="H1758" t="s">
        <v>749</v>
      </c>
      <c r="I1758" t="s">
        <v>20</v>
      </c>
      <c r="J1758" t="s">
        <v>171</v>
      </c>
      <c r="K1758" t="str">
        <f>VLOOKUP(tblSalaries[[#This Row],[Where do you work]],tblCountries[[Actual]:[Mapping]],2,FALSE)</f>
        <v>Singapore</v>
      </c>
      <c r="L1758" t="s">
        <v>13</v>
      </c>
      <c r="M1758">
        <v>2</v>
      </c>
      <c r="N1758" s="8" t="str">
        <f>VLOOKUP(K1758,tblCountries[],3,0)</f>
        <v>Asia</v>
      </c>
      <c r="O1758" s="8">
        <f>VLOOKUP(tblSalaries[[#This Row],[How many hours of a day you work on Excel]],tblHours,2,0)</f>
        <v>5</v>
      </c>
      <c r="P1758" s="8">
        <f>VLOOKUP(tblSalaries[[#This Row],[clean Country]],tblCountries[],5,0)</f>
        <v>0.81035320125270049</v>
      </c>
      <c r="Q1758" s="8">
        <f>IF($Q$1,tblSalaries[[#This Row],[PPP Factor]]*tblSalaries[[#This Row],[Salary in USD]],tblSalaries[[#This Row],[Salary in USD]])</f>
        <v>33600</v>
      </c>
    </row>
    <row r="1759" spans="2:17" ht="15" customHeight="1" x14ac:dyDescent="0.25">
      <c r="B1759" t="s">
        <v>3762</v>
      </c>
      <c r="C1759" s="1">
        <v>41071.931944444441</v>
      </c>
      <c r="D1759" s="4">
        <v>33600</v>
      </c>
      <c r="E1759">
        <v>33600</v>
      </c>
      <c r="F1759" t="s">
        <v>6</v>
      </c>
      <c r="G1759">
        <f>tblSalaries[[#This Row],[clean Salary (in local currency)]]*VLOOKUP(tblSalaries[[#This Row],[Currency]],tblXrate[],2,FALSE)</f>
        <v>33600</v>
      </c>
      <c r="H1759" t="s">
        <v>749</v>
      </c>
      <c r="I1759" t="s">
        <v>20</v>
      </c>
      <c r="J1759" t="s">
        <v>171</v>
      </c>
      <c r="K1759" t="str">
        <f>VLOOKUP(tblSalaries[[#This Row],[Where do you work]],tblCountries[[Actual]:[Mapping]],2,FALSE)</f>
        <v>Singapore</v>
      </c>
      <c r="L1759" t="s">
        <v>13</v>
      </c>
      <c r="M1759">
        <v>2</v>
      </c>
      <c r="N1759" s="8" t="str">
        <f>VLOOKUP(K1759,tblCountries[],3,0)</f>
        <v>Asia</v>
      </c>
      <c r="O1759" s="8">
        <f>VLOOKUP(tblSalaries[[#This Row],[How many hours of a day you work on Excel]],tblHours,2,0)</f>
        <v>5</v>
      </c>
      <c r="P1759" s="8">
        <f>VLOOKUP(tblSalaries[[#This Row],[clean Country]],tblCountries[],5,0)</f>
        <v>0.81035320125270049</v>
      </c>
      <c r="Q1759" s="8">
        <f>IF($Q$1,tblSalaries[[#This Row],[PPP Factor]]*tblSalaries[[#This Row],[Salary in USD]],tblSalaries[[#This Row],[Salary in USD]])</f>
        <v>33600</v>
      </c>
    </row>
    <row r="1760" spans="2:17" ht="15" customHeight="1" x14ac:dyDescent="0.25">
      <c r="B1760" t="s">
        <v>3763</v>
      </c>
      <c r="C1760" s="1">
        <v>41072.018136574072</v>
      </c>
      <c r="D1760" s="4">
        <v>100000</v>
      </c>
      <c r="E1760">
        <v>100000</v>
      </c>
      <c r="F1760" t="s">
        <v>6</v>
      </c>
      <c r="G1760">
        <f>tblSalaries[[#This Row],[clean Salary (in local currency)]]*VLOOKUP(tblSalaries[[#This Row],[Currency]],tblXrate[],2,FALSE)</f>
        <v>100000</v>
      </c>
      <c r="H1760" t="s">
        <v>256</v>
      </c>
      <c r="I1760" t="s">
        <v>20</v>
      </c>
      <c r="J1760" t="s">
        <v>15</v>
      </c>
      <c r="K1760" t="str">
        <f>VLOOKUP(tblSalaries[[#This Row],[Where do you work]],tblCountries[[Actual]:[Mapping]],2,FALSE)</f>
        <v>USA</v>
      </c>
      <c r="L1760" t="s">
        <v>13</v>
      </c>
      <c r="M1760">
        <v>12</v>
      </c>
      <c r="N1760" s="8" t="str">
        <f>VLOOKUP(K1760,tblCountries[],3,0)</f>
        <v>North Amer.</v>
      </c>
      <c r="O1760" s="8">
        <f>VLOOKUP(tblSalaries[[#This Row],[How many hours of a day you work on Excel]],tblHours,2,0)</f>
        <v>5</v>
      </c>
      <c r="P1760" s="8">
        <f>VLOOKUP(tblSalaries[[#This Row],[clean Country]],tblCountries[],5,0)</f>
        <v>1</v>
      </c>
      <c r="Q1760" s="8">
        <f>IF($Q$1,tblSalaries[[#This Row],[PPP Factor]]*tblSalaries[[#This Row],[Salary in USD]],tblSalaries[[#This Row],[Salary in USD]])</f>
        <v>100000</v>
      </c>
    </row>
    <row r="1761" spans="2:17" ht="15" customHeight="1" x14ac:dyDescent="0.25">
      <c r="B1761" t="s">
        <v>3764</v>
      </c>
      <c r="C1761" s="1">
        <v>41072.080000000002</v>
      </c>
      <c r="D1761" s="4">
        <v>40000</v>
      </c>
      <c r="E1761">
        <v>40000</v>
      </c>
      <c r="F1761" t="s">
        <v>86</v>
      </c>
      <c r="G1761">
        <f>tblSalaries[[#This Row],[clean Salary (in local currency)]]*VLOOKUP(tblSalaries[[#This Row],[Currency]],tblXrate[],2,FALSE)</f>
        <v>39334.460921213074</v>
      </c>
      <c r="H1761" t="s">
        <v>1907</v>
      </c>
      <c r="I1761" t="s">
        <v>20</v>
      </c>
      <c r="J1761" t="s">
        <v>88</v>
      </c>
      <c r="K1761" t="str">
        <f>VLOOKUP(tblSalaries[[#This Row],[Where do you work]],tblCountries[[Actual]:[Mapping]],2,FALSE)</f>
        <v>Canada</v>
      </c>
      <c r="L1761" t="s">
        <v>25</v>
      </c>
      <c r="M1761">
        <v>1</v>
      </c>
      <c r="N1761" s="8" t="str">
        <f>VLOOKUP(K1761,tblCountries[],3,0)</f>
        <v>North Amer.</v>
      </c>
      <c r="O1761" s="8">
        <f>VLOOKUP(tblSalaries[[#This Row],[How many hours of a day you work on Excel]],tblHours,2,0)</f>
        <v>2</v>
      </c>
      <c r="P1761" s="8">
        <f>VLOOKUP(tblSalaries[[#This Row],[clean Country]],tblCountries[],5,0)</f>
        <v>1.1935324732986359</v>
      </c>
      <c r="Q1761" s="8">
        <f>IF($Q$1,tblSalaries[[#This Row],[PPP Factor]]*tblSalaries[[#This Row],[Salary in USD]],tblSalaries[[#This Row],[Salary in USD]])</f>
        <v>39334.460921213074</v>
      </c>
    </row>
    <row r="1762" spans="2:17" ht="15" customHeight="1" x14ac:dyDescent="0.25">
      <c r="B1762" t="s">
        <v>3765</v>
      </c>
      <c r="C1762" s="1">
        <v>41072.081944444442</v>
      </c>
      <c r="D1762" s="4">
        <v>400000</v>
      </c>
      <c r="E1762">
        <v>400000</v>
      </c>
      <c r="F1762" t="s">
        <v>40</v>
      </c>
      <c r="G1762">
        <f>tblSalaries[[#This Row],[clean Salary (in local currency)]]*VLOOKUP(tblSalaries[[#This Row],[Currency]],tblXrate[],2,FALSE)</f>
        <v>7123.1666749770275</v>
      </c>
      <c r="H1762" t="s">
        <v>42</v>
      </c>
      <c r="I1762" t="s">
        <v>20</v>
      </c>
      <c r="J1762" t="s">
        <v>8</v>
      </c>
      <c r="K1762" t="str">
        <f>VLOOKUP(tblSalaries[[#This Row],[Where do you work]],tblCountries[[Actual]:[Mapping]],2,FALSE)</f>
        <v>India</v>
      </c>
      <c r="L1762" t="s">
        <v>18</v>
      </c>
      <c r="M1762">
        <v>3</v>
      </c>
      <c r="N1762" s="8" t="str">
        <f>VLOOKUP(K1762,tblCountries[],3,0)</f>
        <v>Asia</v>
      </c>
      <c r="O1762" s="8">
        <f>VLOOKUP(tblSalaries[[#This Row],[How many hours of a day you work on Excel]],tblHours,2,0)</f>
        <v>3</v>
      </c>
      <c r="P1762" s="8">
        <f>VLOOKUP(tblSalaries[[#This Row],[clean Country]],tblCountries[],5,0)</f>
        <v>13.098808879263672</v>
      </c>
      <c r="Q1762" s="8">
        <f>IF($Q$1,tblSalaries[[#This Row],[PPP Factor]]*tblSalaries[[#This Row],[Salary in USD]],tblSalaries[[#This Row],[Salary in USD]])</f>
        <v>7123.1666749770275</v>
      </c>
    </row>
    <row r="1763" spans="2:17" ht="15" customHeight="1" x14ac:dyDescent="0.25">
      <c r="B1763" t="s">
        <v>3766</v>
      </c>
      <c r="C1763" s="1">
        <v>41072.113391203704</v>
      </c>
      <c r="D1763" s="4" t="s">
        <v>1908</v>
      </c>
      <c r="E1763">
        <v>65000</v>
      </c>
      <c r="F1763" t="s">
        <v>6</v>
      </c>
      <c r="G1763">
        <f>tblSalaries[[#This Row],[clean Salary (in local currency)]]*VLOOKUP(tblSalaries[[#This Row],[Currency]],tblXrate[],2,FALSE)</f>
        <v>65000</v>
      </c>
      <c r="H1763" t="s">
        <v>1909</v>
      </c>
      <c r="I1763" t="s">
        <v>20</v>
      </c>
      <c r="J1763" t="s">
        <v>15</v>
      </c>
      <c r="K1763" t="str">
        <f>VLOOKUP(tblSalaries[[#This Row],[Where do you work]],tblCountries[[Actual]:[Mapping]],2,FALSE)</f>
        <v>USA</v>
      </c>
      <c r="L1763" t="s">
        <v>9</v>
      </c>
      <c r="M1763">
        <v>14</v>
      </c>
      <c r="N1763" s="8" t="str">
        <f>VLOOKUP(K1763,tblCountries[],3,0)</f>
        <v>North Amer.</v>
      </c>
      <c r="O1763" s="8">
        <f>VLOOKUP(tblSalaries[[#This Row],[How many hours of a day you work on Excel]],tblHours,2,0)</f>
        <v>4</v>
      </c>
      <c r="P1763" s="8">
        <f>VLOOKUP(tblSalaries[[#This Row],[clean Country]],tblCountries[],5,0)</f>
        <v>1</v>
      </c>
      <c r="Q1763" s="8">
        <f>IF($Q$1,tblSalaries[[#This Row],[PPP Factor]]*tblSalaries[[#This Row],[Salary in USD]],tblSalaries[[#This Row],[Salary in USD]])</f>
        <v>65000</v>
      </c>
    </row>
    <row r="1764" spans="2:17" ht="15" customHeight="1" x14ac:dyDescent="0.25">
      <c r="B1764" t="s">
        <v>3767</v>
      </c>
      <c r="C1764" s="1">
        <v>41072.124490740738</v>
      </c>
      <c r="D1764" s="4">
        <v>65000</v>
      </c>
      <c r="E1764">
        <v>65000</v>
      </c>
      <c r="F1764" t="s">
        <v>6</v>
      </c>
      <c r="G1764">
        <f>tblSalaries[[#This Row],[clean Salary (in local currency)]]*VLOOKUP(tblSalaries[[#This Row],[Currency]],tblXrate[],2,FALSE)</f>
        <v>65000</v>
      </c>
      <c r="H1764" t="s">
        <v>153</v>
      </c>
      <c r="I1764" t="s">
        <v>20</v>
      </c>
      <c r="J1764" t="s">
        <v>15</v>
      </c>
      <c r="K1764" t="str">
        <f>VLOOKUP(tblSalaries[[#This Row],[Where do you work]],tblCountries[[Actual]:[Mapping]],2,FALSE)</f>
        <v>USA</v>
      </c>
      <c r="L1764" t="s">
        <v>18</v>
      </c>
      <c r="M1764">
        <v>10</v>
      </c>
      <c r="N1764" s="8" t="str">
        <f>VLOOKUP(K1764,tblCountries[],3,0)</f>
        <v>North Amer.</v>
      </c>
      <c r="O1764" s="8">
        <f>VLOOKUP(tblSalaries[[#This Row],[How many hours of a day you work on Excel]],tblHours,2,0)</f>
        <v>3</v>
      </c>
      <c r="P1764" s="8">
        <f>VLOOKUP(tblSalaries[[#This Row],[clean Country]],tblCountries[],5,0)</f>
        <v>1</v>
      </c>
      <c r="Q1764" s="8">
        <f>IF($Q$1,tblSalaries[[#This Row],[PPP Factor]]*tblSalaries[[#This Row],[Salary in USD]],tblSalaries[[#This Row],[Salary in USD]])</f>
        <v>65000</v>
      </c>
    </row>
    <row r="1765" spans="2:17" ht="15" customHeight="1" x14ac:dyDescent="0.25">
      <c r="B1765" t="s">
        <v>3768</v>
      </c>
      <c r="C1765" s="1">
        <v>41072.147534722222</v>
      </c>
      <c r="D1765" s="4">
        <v>65000</v>
      </c>
      <c r="E1765">
        <v>65000</v>
      </c>
      <c r="F1765" t="s">
        <v>6</v>
      </c>
      <c r="G1765">
        <f>tblSalaries[[#This Row],[clean Salary (in local currency)]]*VLOOKUP(tblSalaries[[#This Row],[Currency]],tblXrate[],2,FALSE)</f>
        <v>65000</v>
      </c>
      <c r="H1765" t="s">
        <v>296</v>
      </c>
      <c r="I1765" t="s">
        <v>488</v>
      </c>
      <c r="J1765" t="s">
        <v>15</v>
      </c>
      <c r="K1765" t="str">
        <f>VLOOKUP(tblSalaries[[#This Row],[Where do you work]],tblCountries[[Actual]:[Mapping]],2,FALSE)</f>
        <v>USA</v>
      </c>
      <c r="L1765" t="s">
        <v>18</v>
      </c>
      <c r="M1765">
        <v>13</v>
      </c>
      <c r="N1765" s="8" t="str">
        <f>VLOOKUP(K1765,tblCountries[],3,0)</f>
        <v>North Amer.</v>
      </c>
      <c r="O1765" s="8">
        <f>VLOOKUP(tblSalaries[[#This Row],[How many hours of a day you work on Excel]],tblHours,2,0)</f>
        <v>3</v>
      </c>
      <c r="P1765" s="8">
        <f>VLOOKUP(tblSalaries[[#This Row],[clean Country]],tblCountries[],5,0)</f>
        <v>1</v>
      </c>
      <c r="Q1765" s="8">
        <f>IF($Q$1,tblSalaries[[#This Row],[PPP Factor]]*tblSalaries[[#This Row],[Salary in USD]],tblSalaries[[#This Row],[Salary in USD]])</f>
        <v>65000</v>
      </c>
    </row>
    <row r="1766" spans="2:17" ht="15" customHeight="1" x14ac:dyDescent="0.25">
      <c r="B1766" t="s">
        <v>3769</v>
      </c>
      <c r="C1766" s="1">
        <v>41072.156539351854</v>
      </c>
      <c r="D1766" s="4">
        <v>78000</v>
      </c>
      <c r="E1766">
        <v>78000</v>
      </c>
      <c r="F1766" t="s">
        <v>86</v>
      </c>
      <c r="G1766">
        <f>tblSalaries[[#This Row],[clean Salary (in local currency)]]*VLOOKUP(tblSalaries[[#This Row],[Currency]],tblXrate[],2,FALSE)</f>
        <v>76702.198796365497</v>
      </c>
      <c r="H1766" t="s">
        <v>1910</v>
      </c>
      <c r="I1766" t="s">
        <v>20</v>
      </c>
      <c r="J1766" t="s">
        <v>88</v>
      </c>
      <c r="K1766" t="str">
        <f>VLOOKUP(tblSalaries[[#This Row],[Where do you work]],tblCountries[[Actual]:[Mapping]],2,FALSE)</f>
        <v>Canada</v>
      </c>
      <c r="L1766" t="s">
        <v>13</v>
      </c>
      <c r="M1766">
        <v>4</v>
      </c>
      <c r="N1766" s="8" t="str">
        <f>VLOOKUP(K1766,tblCountries[],3,0)</f>
        <v>North Amer.</v>
      </c>
      <c r="O1766" s="8">
        <f>VLOOKUP(tblSalaries[[#This Row],[How many hours of a day you work on Excel]],tblHours,2,0)</f>
        <v>5</v>
      </c>
      <c r="P1766" s="8">
        <f>VLOOKUP(tblSalaries[[#This Row],[clean Country]],tblCountries[],5,0)</f>
        <v>1.1935324732986359</v>
      </c>
      <c r="Q1766" s="8">
        <f>IF($Q$1,tblSalaries[[#This Row],[PPP Factor]]*tblSalaries[[#This Row],[Salary in USD]],tblSalaries[[#This Row],[Salary in USD]])</f>
        <v>76702.198796365497</v>
      </c>
    </row>
    <row r="1767" spans="2:17" ht="15" customHeight="1" x14ac:dyDescent="0.25">
      <c r="B1767" t="s">
        <v>3770</v>
      </c>
      <c r="C1767" s="1">
        <v>41072.275138888886</v>
      </c>
      <c r="D1767" s="4">
        <v>63000</v>
      </c>
      <c r="E1767">
        <v>63000</v>
      </c>
      <c r="F1767" t="s">
        <v>6</v>
      </c>
      <c r="G1767">
        <f>tblSalaries[[#This Row],[clean Salary (in local currency)]]*VLOOKUP(tblSalaries[[#This Row],[Currency]],tblXrate[],2,FALSE)</f>
        <v>63000</v>
      </c>
      <c r="H1767" t="s">
        <v>108</v>
      </c>
      <c r="I1767" t="s">
        <v>20</v>
      </c>
      <c r="J1767" t="s">
        <v>15</v>
      </c>
      <c r="K1767" t="str">
        <f>VLOOKUP(tblSalaries[[#This Row],[Where do you work]],tblCountries[[Actual]:[Mapping]],2,FALSE)</f>
        <v>USA</v>
      </c>
      <c r="L1767" t="s">
        <v>13</v>
      </c>
      <c r="M1767">
        <v>10</v>
      </c>
      <c r="N1767" s="8" t="str">
        <f>VLOOKUP(K1767,tblCountries[],3,0)</f>
        <v>North Amer.</v>
      </c>
      <c r="O1767" s="8">
        <f>VLOOKUP(tblSalaries[[#This Row],[How many hours of a day you work on Excel]],tblHours,2,0)</f>
        <v>5</v>
      </c>
      <c r="P1767" s="8">
        <f>VLOOKUP(tblSalaries[[#This Row],[clean Country]],tblCountries[],5,0)</f>
        <v>1</v>
      </c>
      <c r="Q1767" s="8">
        <f>IF($Q$1,tblSalaries[[#This Row],[PPP Factor]]*tblSalaries[[#This Row],[Salary in USD]],tblSalaries[[#This Row],[Salary in USD]])</f>
        <v>63000</v>
      </c>
    </row>
    <row r="1768" spans="2:17" ht="15" customHeight="1" x14ac:dyDescent="0.25">
      <c r="B1768" t="s">
        <v>3771</v>
      </c>
      <c r="C1768" s="1">
        <v>41072.358506944445</v>
      </c>
      <c r="D1768" s="4">
        <v>87000</v>
      </c>
      <c r="E1768">
        <v>87000</v>
      </c>
      <c r="F1768" t="s">
        <v>6</v>
      </c>
      <c r="G1768">
        <f>tblSalaries[[#This Row],[clean Salary (in local currency)]]*VLOOKUP(tblSalaries[[#This Row],[Currency]],tblXrate[],2,FALSE)</f>
        <v>87000</v>
      </c>
      <c r="H1768" t="s">
        <v>1911</v>
      </c>
      <c r="I1768" t="s">
        <v>4000</v>
      </c>
      <c r="J1768" t="s">
        <v>15</v>
      </c>
      <c r="K1768" t="str">
        <f>VLOOKUP(tblSalaries[[#This Row],[Where do you work]],tblCountries[[Actual]:[Mapping]],2,FALSE)</f>
        <v>USA</v>
      </c>
      <c r="L1768" t="s">
        <v>9</v>
      </c>
      <c r="M1768">
        <v>3</v>
      </c>
      <c r="N1768" s="8" t="str">
        <f>VLOOKUP(K1768,tblCountries[],3,0)</f>
        <v>North Amer.</v>
      </c>
      <c r="O1768" s="8">
        <f>VLOOKUP(tblSalaries[[#This Row],[How many hours of a day you work on Excel]],tblHours,2,0)</f>
        <v>4</v>
      </c>
      <c r="P1768" s="8">
        <f>VLOOKUP(tblSalaries[[#This Row],[clean Country]],tblCountries[],5,0)</f>
        <v>1</v>
      </c>
      <c r="Q1768" s="8">
        <f>IF($Q$1,tblSalaries[[#This Row],[PPP Factor]]*tblSalaries[[#This Row],[Salary in USD]],tblSalaries[[#This Row],[Salary in USD]])</f>
        <v>87000</v>
      </c>
    </row>
    <row r="1769" spans="2:17" ht="15" customHeight="1" x14ac:dyDescent="0.25">
      <c r="B1769" t="s">
        <v>3772</v>
      </c>
      <c r="C1769" s="1">
        <v>41072.365451388891</v>
      </c>
      <c r="D1769" s="4">
        <v>45000</v>
      </c>
      <c r="E1769">
        <v>45000</v>
      </c>
      <c r="F1769" t="s">
        <v>6</v>
      </c>
      <c r="G1769">
        <f>tblSalaries[[#This Row],[clean Salary (in local currency)]]*VLOOKUP(tblSalaries[[#This Row],[Currency]],tblXrate[],2,FALSE)</f>
        <v>45000</v>
      </c>
      <c r="H1769" t="s">
        <v>1912</v>
      </c>
      <c r="I1769" t="s">
        <v>20</v>
      </c>
      <c r="J1769" t="s">
        <v>15</v>
      </c>
      <c r="K1769" t="str">
        <f>VLOOKUP(tblSalaries[[#This Row],[Where do you work]],tblCountries[[Actual]:[Mapping]],2,FALSE)</f>
        <v>USA</v>
      </c>
      <c r="L1769" t="s">
        <v>9</v>
      </c>
      <c r="M1769">
        <v>4</v>
      </c>
      <c r="N1769" s="8" t="str">
        <f>VLOOKUP(K1769,tblCountries[],3,0)</f>
        <v>North Amer.</v>
      </c>
      <c r="O1769" s="8">
        <f>VLOOKUP(tblSalaries[[#This Row],[How many hours of a day you work on Excel]],tblHours,2,0)</f>
        <v>4</v>
      </c>
      <c r="P1769" s="8">
        <f>VLOOKUP(tblSalaries[[#This Row],[clean Country]],tblCountries[],5,0)</f>
        <v>1</v>
      </c>
      <c r="Q1769" s="8">
        <f>IF($Q$1,tblSalaries[[#This Row],[PPP Factor]]*tblSalaries[[#This Row],[Salary in USD]],tblSalaries[[#This Row],[Salary in USD]])</f>
        <v>45000</v>
      </c>
    </row>
    <row r="1770" spans="2:17" ht="15" customHeight="1" x14ac:dyDescent="0.25">
      <c r="B1770" t="s">
        <v>3773</v>
      </c>
      <c r="C1770" s="1">
        <v>41072.510949074072</v>
      </c>
      <c r="D1770" s="4">
        <v>85000</v>
      </c>
      <c r="E1770">
        <v>85000</v>
      </c>
      <c r="F1770" t="s">
        <v>6</v>
      </c>
      <c r="G1770">
        <f>tblSalaries[[#This Row],[clean Salary (in local currency)]]*VLOOKUP(tblSalaries[[#This Row],[Currency]],tblXrate[],2,FALSE)</f>
        <v>85000</v>
      </c>
      <c r="H1770" t="s">
        <v>1913</v>
      </c>
      <c r="I1770" t="s">
        <v>20</v>
      </c>
      <c r="J1770" t="s">
        <v>15</v>
      </c>
      <c r="K1770" t="str">
        <f>VLOOKUP(tblSalaries[[#This Row],[Where do you work]],tblCountries[[Actual]:[Mapping]],2,FALSE)</f>
        <v>USA</v>
      </c>
      <c r="L1770" t="s">
        <v>13</v>
      </c>
      <c r="M1770">
        <v>3</v>
      </c>
      <c r="N1770" s="8" t="str">
        <f>VLOOKUP(K1770,tblCountries[],3,0)</f>
        <v>North Amer.</v>
      </c>
      <c r="O1770" s="8">
        <f>VLOOKUP(tblSalaries[[#This Row],[How many hours of a day you work on Excel]],tblHours,2,0)</f>
        <v>5</v>
      </c>
      <c r="P1770" s="8">
        <f>VLOOKUP(tblSalaries[[#This Row],[clean Country]],tblCountries[],5,0)</f>
        <v>1</v>
      </c>
      <c r="Q1770" s="8">
        <f>IF($Q$1,tblSalaries[[#This Row],[PPP Factor]]*tblSalaries[[#This Row],[Salary in USD]],tblSalaries[[#This Row],[Salary in USD]])</f>
        <v>85000</v>
      </c>
    </row>
    <row r="1771" spans="2:17" ht="15" customHeight="1" x14ac:dyDescent="0.25">
      <c r="B1771" t="s">
        <v>3774</v>
      </c>
      <c r="C1771" s="1">
        <v>41072.631504629629</v>
      </c>
      <c r="D1771" s="4">
        <v>156000</v>
      </c>
      <c r="E1771">
        <v>156000</v>
      </c>
      <c r="F1771" t="s">
        <v>82</v>
      </c>
      <c r="G1771">
        <f>tblSalaries[[#This Row],[clean Salary (in local currency)]]*VLOOKUP(tblSalaries[[#This Row],[Currency]],tblXrate[],2,FALSE)</f>
        <v>159105.90639881117</v>
      </c>
      <c r="H1771" t="s">
        <v>1914</v>
      </c>
      <c r="I1771" t="s">
        <v>279</v>
      </c>
      <c r="J1771" t="s">
        <v>84</v>
      </c>
      <c r="K1771" t="str">
        <f>VLOOKUP(tblSalaries[[#This Row],[Where do you work]],tblCountries[[Actual]:[Mapping]],2,FALSE)</f>
        <v>Australia</v>
      </c>
      <c r="L1771" t="s">
        <v>18</v>
      </c>
      <c r="M1771">
        <v>12</v>
      </c>
      <c r="N1771" s="8" t="str">
        <f>VLOOKUP(K1771,tblCountries[],3,0)</f>
        <v>Oceania</v>
      </c>
      <c r="O1771" s="8">
        <f>VLOOKUP(tblSalaries[[#This Row],[How many hours of a day you work on Excel]],tblHours,2,0)</f>
        <v>3</v>
      </c>
      <c r="P1771" s="8">
        <f>VLOOKUP(tblSalaries[[#This Row],[clean Country]],tblCountries[],5,0)</f>
        <v>1.2026395585822935</v>
      </c>
      <c r="Q1771" s="8">
        <f>IF($Q$1,tblSalaries[[#This Row],[PPP Factor]]*tblSalaries[[#This Row],[Salary in USD]],tblSalaries[[#This Row],[Salary in USD]])</f>
        <v>159105.90639881117</v>
      </c>
    </row>
    <row r="1772" spans="2:17" ht="15" customHeight="1" x14ac:dyDescent="0.25">
      <c r="B1772" t="s">
        <v>3775</v>
      </c>
      <c r="C1772" s="1">
        <v>41072.665694444448</v>
      </c>
      <c r="D1772" s="4">
        <v>560000</v>
      </c>
      <c r="E1772">
        <v>560000</v>
      </c>
      <c r="F1772" t="s">
        <v>40</v>
      </c>
      <c r="G1772">
        <f>tblSalaries[[#This Row],[clean Salary (in local currency)]]*VLOOKUP(tblSalaries[[#This Row],[Currency]],tblXrate[],2,FALSE)</f>
        <v>9972.4333449678379</v>
      </c>
      <c r="H1772" t="s">
        <v>1915</v>
      </c>
      <c r="I1772" t="s">
        <v>52</v>
      </c>
      <c r="J1772" t="s">
        <v>8</v>
      </c>
      <c r="K1772" t="str">
        <f>VLOOKUP(tblSalaries[[#This Row],[Where do you work]],tblCountries[[Actual]:[Mapping]],2,FALSE)</f>
        <v>India</v>
      </c>
      <c r="L1772" t="s">
        <v>18</v>
      </c>
      <c r="M1772">
        <v>4</v>
      </c>
      <c r="N1772" s="8" t="str">
        <f>VLOOKUP(K1772,tblCountries[],3,0)</f>
        <v>Asia</v>
      </c>
      <c r="O1772" s="8">
        <f>VLOOKUP(tblSalaries[[#This Row],[How many hours of a day you work on Excel]],tblHours,2,0)</f>
        <v>3</v>
      </c>
      <c r="P1772" s="8">
        <f>VLOOKUP(tblSalaries[[#This Row],[clean Country]],tblCountries[],5,0)</f>
        <v>13.098808879263672</v>
      </c>
      <c r="Q1772" s="8">
        <f>IF($Q$1,tblSalaries[[#This Row],[PPP Factor]]*tblSalaries[[#This Row],[Salary in USD]],tblSalaries[[#This Row],[Salary in USD]])</f>
        <v>9972.4333449678379</v>
      </c>
    </row>
    <row r="1773" spans="2:17" ht="15" customHeight="1" x14ac:dyDescent="0.25">
      <c r="B1773" t="s">
        <v>3776</v>
      </c>
      <c r="C1773" s="1">
        <v>41072.678067129629</v>
      </c>
      <c r="D1773" s="4">
        <v>14000</v>
      </c>
      <c r="E1773">
        <v>14000</v>
      </c>
      <c r="F1773" t="s">
        <v>6</v>
      </c>
      <c r="G1773">
        <f>tblSalaries[[#This Row],[clean Salary (in local currency)]]*VLOOKUP(tblSalaries[[#This Row],[Currency]],tblXrate[],2,FALSE)</f>
        <v>14000</v>
      </c>
      <c r="H1773" t="s">
        <v>52</v>
      </c>
      <c r="I1773" t="s">
        <v>52</v>
      </c>
      <c r="J1773" t="s">
        <v>8</v>
      </c>
      <c r="K1773" t="str">
        <f>VLOOKUP(tblSalaries[[#This Row],[Where do you work]],tblCountries[[Actual]:[Mapping]],2,FALSE)</f>
        <v>India</v>
      </c>
      <c r="L1773" t="s">
        <v>9</v>
      </c>
      <c r="M1773">
        <v>5</v>
      </c>
      <c r="N1773" s="8" t="str">
        <f>VLOOKUP(K1773,tblCountries[],3,0)</f>
        <v>Asia</v>
      </c>
      <c r="O1773" s="8">
        <f>VLOOKUP(tblSalaries[[#This Row],[How many hours of a day you work on Excel]],tblHours,2,0)</f>
        <v>4</v>
      </c>
      <c r="P1773" s="8">
        <f>VLOOKUP(tblSalaries[[#This Row],[clean Country]],tblCountries[],5,0)</f>
        <v>13.098808879263672</v>
      </c>
      <c r="Q1773" s="8">
        <f>IF($Q$1,tblSalaries[[#This Row],[PPP Factor]]*tblSalaries[[#This Row],[Salary in USD]],tblSalaries[[#This Row],[Salary in USD]])</f>
        <v>14000</v>
      </c>
    </row>
    <row r="1774" spans="2:17" ht="15" customHeight="1" x14ac:dyDescent="0.25">
      <c r="B1774" t="s">
        <v>3777</v>
      </c>
      <c r="C1774" s="1">
        <v>41072.756921296299</v>
      </c>
      <c r="D1774" s="4" t="s">
        <v>1314</v>
      </c>
      <c r="E1774">
        <v>32000</v>
      </c>
      <c r="F1774" t="s">
        <v>69</v>
      </c>
      <c r="G1774">
        <f>tblSalaries[[#This Row],[clean Salary (in local currency)]]*VLOOKUP(tblSalaries[[#This Row],[Currency]],tblXrate[],2,FALSE)</f>
        <v>50437.70470615309</v>
      </c>
      <c r="H1774" t="s">
        <v>207</v>
      </c>
      <c r="I1774" t="s">
        <v>20</v>
      </c>
      <c r="J1774" t="s">
        <v>71</v>
      </c>
      <c r="K1774" t="str">
        <f>VLOOKUP(tblSalaries[[#This Row],[Where do you work]],tblCountries[[Actual]:[Mapping]],2,FALSE)</f>
        <v>UK</v>
      </c>
      <c r="L1774" t="s">
        <v>9</v>
      </c>
      <c r="M1774">
        <v>20</v>
      </c>
      <c r="N1774" s="8" t="str">
        <f>VLOOKUP(K1774,tblCountries[],3,0)</f>
        <v>Europe</v>
      </c>
      <c r="O1774" s="8">
        <f>VLOOKUP(tblSalaries[[#This Row],[How many hours of a day you work on Excel]],tblHours,2,0)</f>
        <v>4</v>
      </c>
      <c r="P1774" s="8">
        <f>VLOOKUP(tblSalaries[[#This Row],[clean Country]],tblCountries[],5,0)</f>
        <v>1.3407315045719035</v>
      </c>
      <c r="Q1774" s="8">
        <f>IF($Q$1,tblSalaries[[#This Row],[PPP Factor]]*tblSalaries[[#This Row],[Salary in USD]],tblSalaries[[#This Row],[Salary in USD]])</f>
        <v>50437.70470615309</v>
      </c>
    </row>
    <row r="1775" spans="2:17" ht="15" customHeight="1" x14ac:dyDescent="0.25">
      <c r="B1775" t="s">
        <v>3778</v>
      </c>
      <c r="C1775" s="1">
        <v>41072.769895833335</v>
      </c>
      <c r="D1775" s="4">
        <v>32000</v>
      </c>
      <c r="E1775">
        <v>32000</v>
      </c>
      <c r="F1775" t="s">
        <v>69</v>
      </c>
      <c r="G1775">
        <f>tblSalaries[[#This Row],[clean Salary (in local currency)]]*VLOOKUP(tblSalaries[[#This Row],[Currency]],tblXrate[],2,FALSE)</f>
        <v>50437.70470615309</v>
      </c>
      <c r="H1775" t="s">
        <v>14</v>
      </c>
      <c r="I1775" t="s">
        <v>20</v>
      </c>
      <c r="J1775" t="s">
        <v>71</v>
      </c>
      <c r="K1775" t="str">
        <f>VLOOKUP(tblSalaries[[#This Row],[Where do you work]],tblCountries[[Actual]:[Mapping]],2,FALSE)</f>
        <v>UK</v>
      </c>
      <c r="L1775" t="s">
        <v>13</v>
      </c>
      <c r="M1775">
        <v>1</v>
      </c>
      <c r="N1775" s="8" t="str">
        <f>VLOOKUP(K1775,tblCountries[],3,0)</f>
        <v>Europe</v>
      </c>
      <c r="O1775" s="8">
        <f>VLOOKUP(tblSalaries[[#This Row],[How many hours of a day you work on Excel]],tblHours,2,0)</f>
        <v>5</v>
      </c>
      <c r="P1775" s="8">
        <f>VLOOKUP(tblSalaries[[#This Row],[clean Country]],tblCountries[],5,0)</f>
        <v>1.3407315045719035</v>
      </c>
      <c r="Q1775" s="8">
        <f>IF($Q$1,tblSalaries[[#This Row],[PPP Factor]]*tblSalaries[[#This Row],[Salary in USD]],tblSalaries[[#This Row],[Salary in USD]])</f>
        <v>50437.70470615309</v>
      </c>
    </row>
    <row r="1776" spans="2:17" ht="15" customHeight="1" x14ac:dyDescent="0.25">
      <c r="B1776" t="s">
        <v>3779</v>
      </c>
      <c r="C1776" s="1">
        <v>41072.841249999998</v>
      </c>
      <c r="D1776" s="4">
        <v>8900</v>
      </c>
      <c r="E1776">
        <v>1281600</v>
      </c>
      <c r="F1776" t="s">
        <v>32</v>
      </c>
      <c r="G1776">
        <f>tblSalaries[[#This Row],[clean Salary (in local currency)]]*VLOOKUP(tblSalaries[[#This Row],[Currency]],tblXrate[],2,FALSE)</f>
        <v>13603.016099449767</v>
      </c>
      <c r="H1776" t="s">
        <v>1916</v>
      </c>
      <c r="I1776" t="s">
        <v>52</v>
      </c>
      <c r="J1776" t="s">
        <v>1448</v>
      </c>
      <c r="K1776" t="str">
        <f>VLOOKUP(tblSalaries[[#This Row],[Where do you work]],tblCountries[[Actual]:[Mapping]],2,FALSE)</f>
        <v>Pakistan</v>
      </c>
      <c r="L1776" t="s">
        <v>13</v>
      </c>
      <c r="M1776">
        <v>8</v>
      </c>
      <c r="N1776" s="8" t="str">
        <f>VLOOKUP(K1776,tblCountries[],3,0)</f>
        <v>Asia</v>
      </c>
      <c r="O1776" s="8">
        <f>VLOOKUP(tblSalaries[[#This Row],[How many hours of a day you work on Excel]],tblHours,2,0)</f>
        <v>5</v>
      </c>
      <c r="P1776" s="8">
        <f>VLOOKUP(tblSalaries[[#This Row],[clean Country]],tblCountries[],5,0)</f>
        <v>17.361679224973088</v>
      </c>
      <c r="Q1776" s="8">
        <f>IF($Q$1,tblSalaries[[#This Row],[PPP Factor]]*tblSalaries[[#This Row],[Salary in USD]],tblSalaries[[#This Row],[Salary in USD]])</f>
        <v>13603.016099449767</v>
      </c>
    </row>
    <row r="1777" spans="2:17" ht="15" customHeight="1" x14ac:dyDescent="0.25">
      <c r="B1777" t="s">
        <v>3780</v>
      </c>
      <c r="C1777" s="1">
        <v>41072.866354166668</v>
      </c>
      <c r="D1777" s="4" t="s">
        <v>1917</v>
      </c>
      <c r="E1777">
        <v>145000</v>
      </c>
      <c r="F1777" t="s">
        <v>82</v>
      </c>
      <c r="G1777">
        <f>tblSalaries[[#This Row],[clean Salary (in local currency)]]*VLOOKUP(tblSalaries[[#This Row],[Currency]],tblXrate[],2,FALSE)</f>
        <v>147886.90017838217</v>
      </c>
      <c r="H1777" t="s">
        <v>944</v>
      </c>
      <c r="I1777" t="s">
        <v>488</v>
      </c>
      <c r="J1777" t="s">
        <v>84</v>
      </c>
      <c r="K1777" t="str">
        <f>VLOOKUP(tblSalaries[[#This Row],[Where do you work]],tblCountries[[Actual]:[Mapping]],2,FALSE)</f>
        <v>Australia</v>
      </c>
      <c r="L1777" t="s">
        <v>18</v>
      </c>
      <c r="M1777">
        <v>15</v>
      </c>
      <c r="N1777" s="8" t="str">
        <f>VLOOKUP(K1777,tblCountries[],3,0)</f>
        <v>Oceania</v>
      </c>
      <c r="O1777" s="8">
        <f>VLOOKUP(tblSalaries[[#This Row],[How many hours of a day you work on Excel]],tblHours,2,0)</f>
        <v>3</v>
      </c>
      <c r="P1777" s="8">
        <f>VLOOKUP(tblSalaries[[#This Row],[clean Country]],tblCountries[],5,0)</f>
        <v>1.2026395585822935</v>
      </c>
      <c r="Q1777" s="8">
        <f>IF($Q$1,tblSalaries[[#This Row],[PPP Factor]]*tblSalaries[[#This Row],[Salary in USD]],tblSalaries[[#This Row],[Salary in USD]])</f>
        <v>147886.90017838217</v>
      </c>
    </row>
    <row r="1778" spans="2:17" ht="15" customHeight="1" x14ac:dyDescent="0.25">
      <c r="B1778" t="s">
        <v>3781</v>
      </c>
      <c r="C1778" s="1">
        <v>41072.908263888887</v>
      </c>
      <c r="D1778" s="4">
        <v>280000</v>
      </c>
      <c r="E1778">
        <v>280000</v>
      </c>
      <c r="F1778" t="s">
        <v>40</v>
      </c>
      <c r="G1778">
        <f>tblSalaries[[#This Row],[clean Salary (in local currency)]]*VLOOKUP(tblSalaries[[#This Row],[Currency]],tblXrate[],2,FALSE)</f>
        <v>4986.216672483919</v>
      </c>
      <c r="H1778" t="s">
        <v>1918</v>
      </c>
      <c r="I1778" t="s">
        <v>20</v>
      </c>
      <c r="J1778" t="s">
        <v>8</v>
      </c>
      <c r="K1778" t="str">
        <f>VLOOKUP(tblSalaries[[#This Row],[Where do you work]],tblCountries[[Actual]:[Mapping]],2,FALSE)</f>
        <v>India</v>
      </c>
      <c r="L1778" t="s">
        <v>13</v>
      </c>
      <c r="M1778">
        <v>8</v>
      </c>
      <c r="N1778" s="8" t="str">
        <f>VLOOKUP(K1778,tblCountries[],3,0)</f>
        <v>Asia</v>
      </c>
      <c r="O1778" s="8">
        <f>VLOOKUP(tblSalaries[[#This Row],[How many hours of a day you work on Excel]],tblHours,2,0)</f>
        <v>5</v>
      </c>
      <c r="P1778" s="8">
        <f>VLOOKUP(tblSalaries[[#This Row],[clean Country]],tblCountries[],5,0)</f>
        <v>13.098808879263672</v>
      </c>
      <c r="Q1778" s="8">
        <f>IF($Q$1,tblSalaries[[#This Row],[PPP Factor]]*tblSalaries[[#This Row],[Salary in USD]],tblSalaries[[#This Row],[Salary in USD]])</f>
        <v>4986.216672483919</v>
      </c>
    </row>
    <row r="1779" spans="2:17" ht="15" customHeight="1" x14ac:dyDescent="0.25">
      <c r="B1779" t="s">
        <v>3782</v>
      </c>
      <c r="C1779" s="1">
        <v>41072.915520833332</v>
      </c>
      <c r="D1779" s="4">
        <v>4800</v>
      </c>
      <c r="E1779">
        <v>4800</v>
      </c>
      <c r="F1779" t="s">
        <v>6</v>
      </c>
      <c r="G1779">
        <f>tblSalaries[[#This Row],[clean Salary (in local currency)]]*VLOOKUP(tblSalaries[[#This Row],[Currency]],tblXrate[],2,FALSE)</f>
        <v>4800</v>
      </c>
      <c r="H1779" t="s">
        <v>1919</v>
      </c>
      <c r="I1779" t="s">
        <v>52</v>
      </c>
      <c r="J1779" t="s">
        <v>8</v>
      </c>
      <c r="K1779" t="str">
        <f>VLOOKUP(tblSalaries[[#This Row],[Where do you work]],tblCountries[[Actual]:[Mapping]],2,FALSE)</f>
        <v>India</v>
      </c>
      <c r="L1779" t="s">
        <v>13</v>
      </c>
      <c r="M1779">
        <v>3</v>
      </c>
      <c r="N1779" s="8" t="str">
        <f>VLOOKUP(K1779,tblCountries[],3,0)</f>
        <v>Asia</v>
      </c>
      <c r="O1779" s="8">
        <f>VLOOKUP(tblSalaries[[#This Row],[How many hours of a day you work on Excel]],tblHours,2,0)</f>
        <v>5</v>
      </c>
      <c r="P1779" s="8">
        <f>VLOOKUP(tblSalaries[[#This Row],[clean Country]],tblCountries[],5,0)</f>
        <v>13.098808879263672</v>
      </c>
      <c r="Q1779" s="8">
        <f>IF($Q$1,tblSalaries[[#This Row],[PPP Factor]]*tblSalaries[[#This Row],[Salary in USD]],tblSalaries[[#This Row],[Salary in USD]])</f>
        <v>4800</v>
      </c>
    </row>
    <row r="1780" spans="2:17" ht="15" customHeight="1" x14ac:dyDescent="0.25">
      <c r="B1780" t="s">
        <v>3783</v>
      </c>
      <c r="C1780" s="1">
        <v>41073.014050925929</v>
      </c>
      <c r="D1780" s="4" t="s">
        <v>1920</v>
      </c>
      <c r="E1780">
        <v>450000</v>
      </c>
      <c r="F1780" t="s">
        <v>40</v>
      </c>
      <c r="G1780">
        <f>tblSalaries[[#This Row],[clean Salary (in local currency)]]*VLOOKUP(tblSalaries[[#This Row],[Currency]],tblXrate[],2,FALSE)</f>
        <v>8013.5625093491553</v>
      </c>
      <c r="H1780" t="s">
        <v>721</v>
      </c>
      <c r="I1780" t="s">
        <v>3999</v>
      </c>
      <c r="J1780" t="s">
        <v>8</v>
      </c>
      <c r="K1780" t="str">
        <f>VLOOKUP(tblSalaries[[#This Row],[Where do you work]],tblCountries[[Actual]:[Mapping]],2,FALSE)</f>
        <v>India</v>
      </c>
      <c r="L1780" t="s">
        <v>9</v>
      </c>
      <c r="M1780">
        <v>4</v>
      </c>
      <c r="N1780" s="8" t="str">
        <f>VLOOKUP(K1780,tblCountries[],3,0)</f>
        <v>Asia</v>
      </c>
      <c r="O1780" s="8">
        <f>VLOOKUP(tblSalaries[[#This Row],[How many hours of a day you work on Excel]],tblHours,2,0)</f>
        <v>4</v>
      </c>
      <c r="P1780" s="8">
        <f>VLOOKUP(tblSalaries[[#This Row],[clean Country]],tblCountries[],5,0)</f>
        <v>13.098808879263672</v>
      </c>
      <c r="Q1780" s="8">
        <f>IF($Q$1,tblSalaries[[#This Row],[PPP Factor]]*tblSalaries[[#This Row],[Salary in USD]],tblSalaries[[#This Row],[Salary in USD]])</f>
        <v>8013.5625093491553</v>
      </c>
    </row>
    <row r="1781" spans="2:17" ht="15" customHeight="1" x14ac:dyDescent="0.25">
      <c r="B1781" t="s">
        <v>3784</v>
      </c>
      <c r="C1781" s="1">
        <v>41073.016331018516</v>
      </c>
      <c r="D1781" s="4">
        <v>80000</v>
      </c>
      <c r="E1781">
        <v>80000</v>
      </c>
      <c r="F1781" t="s">
        <v>6</v>
      </c>
      <c r="G1781">
        <f>tblSalaries[[#This Row],[clean Salary (in local currency)]]*VLOOKUP(tblSalaries[[#This Row],[Currency]],tblXrate[],2,FALSE)</f>
        <v>80000</v>
      </c>
      <c r="H1781" t="s">
        <v>1921</v>
      </c>
      <c r="I1781" t="s">
        <v>52</v>
      </c>
      <c r="J1781" t="s">
        <v>15</v>
      </c>
      <c r="K1781" t="str">
        <f>VLOOKUP(tblSalaries[[#This Row],[Where do you work]],tblCountries[[Actual]:[Mapping]],2,FALSE)</f>
        <v>USA</v>
      </c>
      <c r="L1781" t="s">
        <v>9</v>
      </c>
      <c r="M1781">
        <v>2</v>
      </c>
      <c r="N1781" s="8" t="str">
        <f>VLOOKUP(K1781,tblCountries[],3,0)</f>
        <v>North Amer.</v>
      </c>
      <c r="O1781" s="8">
        <f>VLOOKUP(tblSalaries[[#This Row],[How many hours of a day you work on Excel]],tblHours,2,0)</f>
        <v>4</v>
      </c>
      <c r="P1781" s="8">
        <f>VLOOKUP(tblSalaries[[#This Row],[clean Country]],tblCountries[],5,0)</f>
        <v>1</v>
      </c>
      <c r="Q1781" s="8">
        <f>IF($Q$1,tblSalaries[[#This Row],[PPP Factor]]*tblSalaries[[#This Row],[Salary in USD]],tblSalaries[[#This Row],[Salary in USD]])</f>
        <v>80000</v>
      </c>
    </row>
    <row r="1782" spans="2:17" ht="15" customHeight="1" x14ac:dyDescent="0.25">
      <c r="B1782" t="s">
        <v>3785</v>
      </c>
      <c r="C1782" s="1">
        <v>41073.025972222225</v>
      </c>
      <c r="D1782" s="4" t="s">
        <v>1268</v>
      </c>
      <c r="E1782">
        <v>45000</v>
      </c>
      <c r="F1782" t="s">
        <v>22</v>
      </c>
      <c r="G1782">
        <f>tblSalaries[[#This Row],[clean Salary (in local currency)]]*VLOOKUP(tblSalaries[[#This Row],[Currency]],tblXrate[],2,FALSE)</f>
        <v>57167.974754622352</v>
      </c>
      <c r="H1782" t="s">
        <v>1922</v>
      </c>
      <c r="I1782" t="s">
        <v>20</v>
      </c>
      <c r="J1782" t="s">
        <v>628</v>
      </c>
      <c r="K1782" t="str">
        <f>VLOOKUP(tblSalaries[[#This Row],[Where do you work]],tblCountries[[Actual]:[Mapping]],2,FALSE)</f>
        <v>Netherlands</v>
      </c>
      <c r="L1782" t="s">
        <v>18</v>
      </c>
      <c r="M1782">
        <v>14</v>
      </c>
      <c r="N1782" s="8" t="str">
        <f>VLOOKUP(K1782,tblCountries[],3,0)</f>
        <v>Europe</v>
      </c>
      <c r="O1782" s="8">
        <f>VLOOKUP(tblSalaries[[#This Row],[How many hours of a day you work on Excel]],tblHours,2,0)</f>
        <v>3</v>
      </c>
      <c r="P1782" s="8">
        <f>VLOOKUP(tblSalaries[[#This Row],[clean Country]],tblCountries[],5,0)</f>
        <v>1.1470734656141099</v>
      </c>
      <c r="Q1782" s="8">
        <f>IF($Q$1,tblSalaries[[#This Row],[PPP Factor]]*tblSalaries[[#This Row],[Salary in USD]],tblSalaries[[#This Row],[Salary in USD]])</f>
        <v>57167.974754622352</v>
      </c>
    </row>
    <row r="1783" spans="2:17" ht="15" customHeight="1" x14ac:dyDescent="0.25">
      <c r="B1783" t="s">
        <v>3786</v>
      </c>
      <c r="C1783" s="1">
        <v>41073.034953703704</v>
      </c>
      <c r="D1783" s="4">
        <v>20000</v>
      </c>
      <c r="E1783">
        <v>20000</v>
      </c>
      <c r="F1783" t="s">
        <v>6</v>
      </c>
      <c r="G1783">
        <f>tblSalaries[[#This Row],[clean Salary (in local currency)]]*VLOOKUP(tblSalaries[[#This Row],[Currency]],tblXrate[],2,FALSE)</f>
        <v>20000</v>
      </c>
      <c r="H1783" t="s">
        <v>1923</v>
      </c>
      <c r="I1783" t="s">
        <v>20</v>
      </c>
      <c r="J1783" t="s">
        <v>88</v>
      </c>
      <c r="K1783" t="str">
        <f>VLOOKUP(tblSalaries[[#This Row],[Where do you work]],tblCountries[[Actual]:[Mapping]],2,FALSE)</f>
        <v>Canada</v>
      </c>
      <c r="L1783" t="s">
        <v>18</v>
      </c>
      <c r="M1783">
        <v>2</v>
      </c>
      <c r="N1783" s="8" t="str">
        <f>VLOOKUP(K1783,tblCountries[],3,0)</f>
        <v>North Amer.</v>
      </c>
      <c r="O1783" s="8">
        <f>VLOOKUP(tblSalaries[[#This Row],[How many hours of a day you work on Excel]],tblHours,2,0)</f>
        <v>3</v>
      </c>
      <c r="P1783" s="8">
        <f>VLOOKUP(tblSalaries[[#This Row],[clean Country]],tblCountries[],5,0)</f>
        <v>1.1935324732986359</v>
      </c>
      <c r="Q1783" s="8">
        <f>IF($Q$1,tblSalaries[[#This Row],[PPP Factor]]*tblSalaries[[#This Row],[Salary in USD]],tblSalaries[[#This Row],[Salary in USD]])</f>
        <v>20000</v>
      </c>
    </row>
    <row r="1784" spans="2:17" ht="15" customHeight="1" x14ac:dyDescent="0.25">
      <c r="B1784" t="s">
        <v>3787</v>
      </c>
      <c r="C1784" s="1">
        <v>41073.080821759257</v>
      </c>
      <c r="D1784" s="4">
        <v>70000</v>
      </c>
      <c r="E1784">
        <v>70000</v>
      </c>
      <c r="F1784" t="s">
        <v>6</v>
      </c>
      <c r="G1784">
        <f>tblSalaries[[#This Row],[clean Salary (in local currency)]]*VLOOKUP(tblSalaries[[#This Row],[Currency]],tblXrate[],2,FALSE)</f>
        <v>70000</v>
      </c>
      <c r="H1784" t="s">
        <v>42</v>
      </c>
      <c r="I1784" t="s">
        <v>20</v>
      </c>
      <c r="J1784" t="s">
        <v>15</v>
      </c>
      <c r="K1784" t="str">
        <f>VLOOKUP(tblSalaries[[#This Row],[Where do you work]],tblCountries[[Actual]:[Mapping]],2,FALSE)</f>
        <v>USA</v>
      </c>
      <c r="L1784" t="s">
        <v>18</v>
      </c>
      <c r="M1784">
        <v>5</v>
      </c>
      <c r="N1784" s="8" t="str">
        <f>VLOOKUP(K1784,tblCountries[],3,0)</f>
        <v>North Amer.</v>
      </c>
      <c r="O1784" s="8">
        <f>VLOOKUP(tblSalaries[[#This Row],[How many hours of a day you work on Excel]],tblHours,2,0)</f>
        <v>3</v>
      </c>
      <c r="P1784" s="8">
        <f>VLOOKUP(tblSalaries[[#This Row],[clean Country]],tblCountries[],5,0)</f>
        <v>1</v>
      </c>
      <c r="Q1784" s="8">
        <f>IF($Q$1,tblSalaries[[#This Row],[PPP Factor]]*tblSalaries[[#This Row],[Salary in USD]],tblSalaries[[#This Row],[Salary in USD]])</f>
        <v>70000</v>
      </c>
    </row>
    <row r="1785" spans="2:17" ht="15" customHeight="1" x14ac:dyDescent="0.25">
      <c r="B1785" t="s">
        <v>3788</v>
      </c>
      <c r="C1785" s="1">
        <v>41073.141030092593</v>
      </c>
      <c r="D1785" s="4" t="s">
        <v>1924</v>
      </c>
      <c r="E1785">
        <v>214000</v>
      </c>
      <c r="F1785" t="s">
        <v>6</v>
      </c>
      <c r="G1785">
        <f>tblSalaries[[#This Row],[clean Salary (in local currency)]]*VLOOKUP(tblSalaries[[#This Row],[Currency]],tblXrate[],2,FALSE)</f>
        <v>214000</v>
      </c>
      <c r="H1785" t="s">
        <v>1925</v>
      </c>
      <c r="I1785" t="s">
        <v>488</v>
      </c>
      <c r="J1785" t="s">
        <v>15</v>
      </c>
      <c r="K1785" t="str">
        <f>VLOOKUP(tblSalaries[[#This Row],[Where do you work]],tblCountries[[Actual]:[Mapping]],2,FALSE)</f>
        <v>USA</v>
      </c>
      <c r="L1785" t="s">
        <v>13</v>
      </c>
      <c r="M1785">
        <v>20</v>
      </c>
      <c r="N1785" s="8" t="str">
        <f>VLOOKUP(K1785,tblCountries[],3,0)</f>
        <v>North Amer.</v>
      </c>
      <c r="O1785" s="8">
        <f>VLOOKUP(tblSalaries[[#This Row],[How many hours of a day you work on Excel]],tblHours,2,0)</f>
        <v>5</v>
      </c>
      <c r="P1785" s="8">
        <f>VLOOKUP(tblSalaries[[#This Row],[clean Country]],tblCountries[],5,0)</f>
        <v>1</v>
      </c>
      <c r="Q1785" s="8">
        <f>IF($Q$1,tblSalaries[[#This Row],[PPP Factor]]*tblSalaries[[#This Row],[Salary in USD]],tblSalaries[[#This Row],[Salary in USD]])</f>
        <v>214000</v>
      </c>
    </row>
    <row r="1786" spans="2:17" ht="15" customHeight="1" x14ac:dyDescent="0.25">
      <c r="B1786" t="s">
        <v>3789</v>
      </c>
      <c r="C1786" s="1">
        <v>41073.158784722225</v>
      </c>
      <c r="D1786" s="4">
        <v>78000</v>
      </c>
      <c r="E1786">
        <v>78000</v>
      </c>
      <c r="F1786" t="s">
        <v>6</v>
      </c>
      <c r="G1786">
        <f>tblSalaries[[#This Row],[clean Salary (in local currency)]]*VLOOKUP(tblSalaries[[#This Row],[Currency]],tblXrate[],2,FALSE)</f>
        <v>78000</v>
      </c>
      <c r="H1786" t="s">
        <v>1926</v>
      </c>
      <c r="I1786" t="s">
        <v>279</v>
      </c>
      <c r="J1786" t="s">
        <v>15</v>
      </c>
      <c r="K1786" t="str">
        <f>VLOOKUP(tblSalaries[[#This Row],[Where do you work]],tblCountries[[Actual]:[Mapping]],2,FALSE)</f>
        <v>USA</v>
      </c>
      <c r="L1786" t="s">
        <v>13</v>
      </c>
      <c r="M1786">
        <v>5</v>
      </c>
      <c r="N1786" s="8" t="str">
        <f>VLOOKUP(K1786,tblCountries[],3,0)</f>
        <v>North Amer.</v>
      </c>
      <c r="O1786" s="8">
        <f>VLOOKUP(tblSalaries[[#This Row],[How many hours of a day you work on Excel]],tblHours,2,0)</f>
        <v>5</v>
      </c>
      <c r="P1786" s="8">
        <f>VLOOKUP(tblSalaries[[#This Row],[clean Country]],tblCountries[],5,0)</f>
        <v>1</v>
      </c>
      <c r="Q1786" s="8">
        <f>IF($Q$1,tblSalaries[[#This Row],[PPP Factor]]*tblSalaries[[#This Row],[Salary in USD]],tblSalaries[[#This Row],[Salary in USD]])</f>
        <v>78000</v>
      </c>
    </row>
    <row r="1787" spans="2:17" ht="15" customHeight="1" x14ac:dyDescent="0.25">
      <c r="B1787" t="s">
        <v>3790</v>
      </c>
      <c r="C1787" s="1">
        <v>41073.194178240738</v>
      </c>
      <c r="D1787" s="4">
        <v>42307.199999999997</v>
      </c>
      <c r="E1787">
        <v>42307</v>
      </c>
      <c r="F1787" t="s">
        <v>6</v>
      </c>
      <c r="G1787">
        <f>tblSalaries[[#This Row],[clean Salary (in local currency)]]*VLOOKUP(tblSalaries[[#This Row],[Currency]],tblXrate[],2,FALSE)</f>
        <v>42307</v>
      </c>
      <c r="H1787" t="s">
        <v>1927</v>
      </c>
      <c r="I1787" t="s">
        <v>20</v>
      </c>
      <c r="J1787" t="s">
        <v>15</v>
      </c>
      <c r="K1787" t="str">
        <f>VLOOKUP(tblSalaries[[#This Row],[Where do you work]],tblCountries[[Actual]:[Mapping]],2,FALSE)</f>
        <v>USA</v>
      </c>
      <c r="L1787" t="s">
        <v>18</v>
      </c>
      <c r="M1787">
        <v>25</v>
      </c>
      <c r="N1787" s="8" t="str">
        <f>VLOOKUP(K1787,tblCountries[],3,0)</f>
        <v>North Amer.</v>
      </c>
      <c r="O1787" s="8">
        <f>VLOOKUP(tblSalaries[[#This Row],[How many hours of a day you work on Excel]],tblHours,2,0)</f>
        <v>3</v>
      </c>
      <c r="P1787" s="8">
        <f>VLOOKUP(tblSalaries[[#This Row],[clean Country]],tblCountries[],5,0)</f>
        <v>1</v>
      </c>
      <c r="Q1787" s="8">
        <f>IF($Q$1,tblSalaries[[#This Row],[PPP Factor]]*tblSalaries[[#This Row],[Salary in USD]],tblSalaries[[#This Row],[Salary in USD]])</f>
        <v>42307</v>
      </c>
    </row>
    <row r="1788" spans="2:17" ht="15" customHeight="1" x14ac:dyDescent="0.25">
      <c r="B1788" t="s">
        <v>3791</v>
      </c>
      <c r="C1788" s="1">
        <v>41073.194479166668</v>
      </c>
      <c r="D1788" s="4">
        <v>33250</v>
      </c>
      <c r="E1788">
        <v>33250</v>
      </c>
      <c r="F1788" t="s">
        <v>6</v>
      </c>
      <c r="G1788">
        <f>tblSalaries[[#This Row],[clean Salary (in local currency)]]*VLOOKUP(tblSalaries[[#This Row],[Currency]],tblXrate[],2,FALSE)</f>
        <v>33250</v>
      </c>
      <c r="H1788" t="s">
        <v>1928</v>
      </c>
      <c r="I1788" t="s">
        <v>52</v>
      </c>
      <c r="J1788" t="s">
        <v>15</v>
      </c>
      <c r="K1788" t="str">
        <f>VLOOKUP(tblSalaries[[#This Row],[Where do you work]],tblCountries[[Actual]:[Mapping]],2,FALSE)</f>
        <v>USA</v>
      </c>
      <c r="L1788" t="s">
        <v>13</v>
      </c>
      <c r="M1788">
        <v>20</v>
      </c>
      <c r="N1788" s="8" t="str">
        <f>VLOOKUP(K1788,tblCountries[],3,0)</f>
        <v>North Amer.</v>
      </c>
      <c r="O1788" s="8">
        <f>VLOOKUP(tblSalaries[[#This Row],[How many hours of a day you work on Excel]],tblHours,2,0)</f>
        <v>5</v>
      </c>
      <c r="P1788" s="8">
        <f>VLOOKUP(tblSalaries[[#This Row],[clean Country]],tblCountries[],5,0)</f>
        <v>1</v>
      </c>
      <c r="Q1788" s="8">
        <f>IF($Q$1,tblSalaries[[#This Row],[PPP Factor]]*tblSalaries[[#This Row],[Salary in USD]],tblSalaries[[#This Row],[Salary in USD]])</f>
        <v>33250</v>
      </c>
    </row>
    <row r="1789" spans="2:17" ht="15" customHeight="1" x14ac:dyDescent="0.25">
      <c r="B1789" t="s">
        <v>3792</v>
      </c>
      <c r="C1789" s="1">
        <v>41073.222592592596</v>
      </c>
      <c r="D1789" s="4" t="s">
        <v>1929</v>
      </c>
      <c r="E1789">
        <v>19200</v>
      </c>
      <c r="F1789" t="s">
        <v>22</v>
      </c>
      <c r="G1789">
        <f>tblSalaries[[#This Row],[clean Salary (in local currency)]]*VLOOKUP(tblSalaries[[#This Row],[Currency]],tblXrate[],2,FALSE)</f>
        <v>24391.669228638868</v>
      </c>
      <c r="H1789" t="s">
        <v>1930</v>
      </c>
      <c r="I1789" t="s">
        <v>20</v>
      </c>
      <c r="J1789" t="s">
        <v>895</v>
      </c>
      <c r="K1789" t="str">
        <f>VLOOKUP(tblSalaries[[#This Row],[Where do you work]],tblCountries[[Actual]:[Mapping]],2,FALSE)</f>
        <v>italy</v>
      </c>
      <c r="L1789" t="s">
        <v>9</v>
      </c>
      <c r="M1789">
        <v>10</v>
      </c>
      <c r="N1789" s="8" t="str">
        <f>VLOOKUP(K1789,tblCountries[],3,0)</f>
        <v>Europe</v>
      </c>
      <c r="O1789" s="8">
        <f>VLOOKUP(tblSalaries[[#This Row],[How many hours of a day you work on Excel]],tblHours,2,0)</f>
        <v>4</v>
      </c>
      <c r="P1789" s="8">
        <f>VLOOKUP(tblSalaries[[#This Row],[clean Country]],tblCountries[],5,0)</f>
        <v>1.5883337710084033</v>
      </c>
      <c r="Q1789" s="8">
        <f>IF($Q$1,tblSalaries[[#This Row],[PPP Factor]]*tblSalaries[[#This Row],[Salary in USD]],tblSalaries[[#This Row],[Salary in USD]])</f>
        <v>24391.669228638868</v>
      </c>
    </row>
    <row r="1790" spans="2:17" ht="15" customHeight="1" x14ac:dyDescent="0.25">
      <c r="B1790" t="s">
        <v>3793</v>
      </c>
      <c r="C1790" s="1">
        <v>41073.263472222221</v>
      </c>
      <c r="D1790" s="4">
        <v>120000</v>
      </c>
      <c r="E1790">
        <v>120000</v>
      </c>
      <c r="F1790" t="s">
        <v>6</v>
      </c>
      <c r="G1790">
        <f>tblSalaries[[#This Row],[clean Salary (in local currency)]]*VLOOKUP(tblSalaries[[#This Row],[Currency]],tblXrate[],2,FALSE)</f>
        <v>120000</v>
      </c>
      <c r="H1790" t="s">
        <v>1931</v>
      </c>
      <c r="I1790" t="s">
        <v>310</v>
      </c>
      <c r="J1790" t="s">
        <v>15</v>
      </c>
      <c r="K1790" t="str">
        <f>VLOOKUP(tblSalaries[[#This Row],[Where do you work]],tblCountries[[Actual]:[Mapping]],2,FALSE)</f>
        <v>USA</v>
      </c>
      <c r="L1790" t="s">
        <v>9</v>
      </c>
      <c r="M1790">
        <v>20</v>
      </c>
      <c r="N1790" s="8" t="str">
        <f>VLOOKUP(K1790,tblCountries[],3,0)</f>
        <v>North Amer.</v>
      </c>
      <c r="O1790" s="8">
        <f>VLOOKUP(tblSalaries[[#This Row],[How many hours of a day you work on Excel]],tblHours,2,0)</f>
        <v>4</v>
      </c>
      <c r="P1790" s="8">
        <f>VLOOKUP(tblSalaries[[#This Row],[clean Country]],tblCountries[],5,0)</f>
        <v>1</v>
      </c>
      <c r="Q1790" s="8">
        <f>IF($Q$1,tblSalaries[[#This Row],[PPP Factor]]*tblSalaries[[#This Row],[Salary in USD]],tblSalaries[[#This Row],[Salary in USD]])</f>
        <v>120000</v>
      </c>
    </row>
    <row r="1791" spans="2:17" ht="15" customHeight="1" x14ac:dyDescent="0.25">
      <c r="B1791" t="s">
        <v>3794</v>
      </c>
      <c r="C1791" s="1">
        <v>41073.49895833333</v>
      </c>
      <c r="D1791" s="4">
        <v>20000</v>
      </c>
      <c r="E1791">
        <v>20000</v>
      </c>
      <c r="F1791" t="s">
        <v>6</v>
      </c>
      <c r="G1791">
        <f>tblSalaries[[#This Row],[clean Salary (in local currency)]]*VLOOKUP(tblSalaries[[#This Row],[Currency]],tblXrate[],2,FALSE)</f>
        <v>20000</v>
      </c>
      <c r="H1791" t="s">
        <v>1932</v>
      </c>
      <c r="I1791" t="s">
        <v>20</v>
      </c>
      <c r="J1791" t="s">
        <v>1933</v>
      </c>
      <c r="K1791" t="str">
        <f>VLOOKUP(tblSalaries[[#This Row],[Where do you work]],tblCountries[[Actual]:[Mapping]],2,FALSE)</f>
        <v>Hong Kong</v>
      </c>
      <c r="L1791" t="s">
        <v>25</v>
      </c>
      <c r="M1791">
        <v>1</v>
      </c>
      <c r="N1791" s="8" t="str">
        <f>VLOOKUP(K1791,tblCountries[],3,0)</f>
        <v>Asia</v>
      </c>
      <c r="O1791" s="8">
        <f>VLOOKUP(tblSalaries[[#This Row],[How many hours of a day you work on Excel]],tblHours,2,0)</f>
        <v>2</v>
      </c>
      <c r="P1791" s="8">
        <f>VLOOKUP(tblSalaries[[#This Row],[clean Country]],tblCountries[],5,0)</f>
        <v>0.98473655290310769</v>
      </c>
      <c r="Q1791" s="8">
        <f>IF($Q$1,tblSalaries[[#This Row],[PPP Factor]]*tblSalaries[[#This Row],[Salary in USD]],tblSalaries[[#This Row],[Salary in USD]])</f>
        <v>20000</v>
      </c>
    </row>
    <row r="1792" spans="2:17" ht="15" customHeight="1" x14ac:dyDescent="0.25">
      <c r="B1792" t="s">
        <v>3795</v>
      </c>
      <c r="C1792" s="1">
        <v>41073.72415509259</v>
      </c>
      <c r="D1792" s="4">
        <v>15000</v>
      </c>
      <c r="E1792">
        <v>15000</v>
      </c>
      <c r="F1792" t="s">
        <v>6</v>
      </c>
      <c r="G1792">
        <f>tblSalaries[[#This Row],[clean Salary (in local currency)]]*VLOOKUP(tblSalaries[[#This Row],[Currency]],tblXrate[],2,FALSE)</f>
        <v>15000</v>
      </c>
      <c r="H1792" t="s">
        <v>1002</v>
      </c>
      <c r="I1792" t="s">
        <v>20</v>
      </c>
      <c r="J1792" t="s">
        <v>8</v>
      </c>
      <c r="K1792" t="str">
        <f>VLOOKUP(tblSalaries[[#This Row],[Where do you work]],tblCountries[[Actual]:[Mapping]],2,FALSE)</f>
        <v>India</v>
      </c>
      <c r="L1792" t="s">
        <v>18</v>
      </c>
      <c r="M1792">
        <v>0.3</v>
      </c>
      <c r="N1792" s="8" t="str">
        <f>VLOOKUP(K1792,tblCountries[],3,0)</f>
        <v>Asia</v>
      </c>
      <c r="O1792" s="8">
        <f>VLOOKUP(tblSalaries[[#This Row],[How many hours of a day you work on Excel]],tblHours,2,0)</f>
        <v>3</v>
      </c>
      <c r="P1792" s="8">
        <f>VLOOKUP(tblSalaries[[#This Row],[clean Country]],tblCountries[],5,0)</f>
        <v>13.098808879263672</v>
      </c>
      <c r="Q1792" s="8">
        <f>IF($Q$1,tblSalaries[[#This Row],[PPP Factor]]*tblSalaries[[#This Row],[Salary in USD]],tblSalaries[[#This Row],[Salary in USD]])</f>
        <v>15000</v>
      </c>
    </row>
    <row r="1793" spans="2:17" ht="15" customHeight="1" x14ac:dyDescent="0.25">
      <c r="B1793" t="s">
        <v>3796</v>
      </c>
      <c r="C1793" s="1">
        <v>41073.767361111109</v>
      </c>
      <c r="D1793" s="4" t="s">
        <v>1934</v>
      </c>
      <c r="E1793">
        <v>1000000</v>
      </c>
      <c r="F1793" t="s">
        <v>40</v>
      </c>
      <c r="G1793">
        <f>tblSalaries[[#This Row],[clean Salary (in local currency)]]*VLOOKUP(tblSalaries[[#This Row],[Currency]],tblXrate[],2,FALSE)</f>
        <v>17807.916687442568</v>
      </c>
      <c r="H1793" t="s">
        <v>1935</v>
      </c>
      <c r="I1793" t="s">
        <v>52</v>
      </c>
      <c r="J1793" t="s">
        <v>8</v>
      </c>
      <c r="K1793" t="str">
        <f>VLOOKUP(tblSalaries[[#This Row],[Where do you work]],tblCountries[[Actual]:[Mapping]],2,FALSE)</f>
        <v>India</v>
      </c>
      <c r="L1793" t="s">
        <v>18</v>
      </c>
      <c r="M1793">
        <v>10</v>
      </c>
      <c r="N1793" s="8" t="str">
        <f>VLOOKUP(K1793,tblCountries[],3,0)</f>
        <v>Asia</v>
      </c>
      <c r="O1793" s="8">
        <f>VLOOKUP(tblSalaries[[#This Row],[How many hours of a day you work on Excel]],tblHours,2,0)</f>
        <v>3</v>
      </c>
      <c r="P1793" s="8">
        <f>VLOOKUP(tblSalaries[[#This Row],[clean Country]],tblCountries[],5,0)</f>
        <v>13.098808879263672</v>
      </c>
      <c r="Q1793" s="8">
        <f>IF($Q$1,tblSalaries[[#This Row],[PPP Factor]]*tblSalaries[[#This Row],[Salary in USD]],tblSalaries[[#This Row],[Salary in USD]])</f>
        <v>17807.916687442568</v>
      </c>
    </row>
    <row r="1794" spans="2:17" ht="15" customHeight="1" x14ac:dyDescent="0.25">
      <c r="B1794" t="s">
        <v>3797</v>
      </c>
      <c r="C1794" s="1">
        <v>41073.805844907409</v>
      </c>
      <c r="D1794" s="4">
        <v>900000</v>
      </c>
      <c r="E1794">
        <v>900000</v>
      </c>
      <c r="F1794" t="s">
        <v>40</v>
      </c>
      <c r="G1794">
        <f>tblSalaries[[#This Row],[clean Salary (in local currency)]]*VLOOKUP(tblSalaries[[#This Row],[Currency]],tblXrate[],2,FALSE)</f>
        <v>16027.125018698311</v>
      </c>
      <c r="H1794" t="s">
        <v>1936</v>
      </c>
      <c r="I1794" t="s">
        <v>52</v>
      </c>
      <c r="J1794" t="s">
        <v>8</v>
      </c>
      <c r="K1794" t="str">
        <f>VLOOKUP(tblSalaries[[#This Row],[Where do you work]],tblCountries[[Actual]:[Mapping]],2,FALSE)</f>
        <v>India</v>
      </c>
      <c r="L1794" t="s">
        <v>18</v>
      </c>
      <c r="M1794">
        <v>6</v>
      </c>
      <c r="N1794" s="8" t="str">
        <f>VLOOKUP(K1794,tblCountries[],3,0)</f>
        <v>Asia</v>
      </c>
      <c r="O1794" s="8">
        <f>VLOOKUP(tblSalaries[[#This Row],[How many hours of a day you work on Excel]],tblHours,2,0)</f>
        <v>3</v>
      </c>
      <c r="P1794" s="8">
        <f>VLOOKUP(tblSalaries[[#This Row],[clean Country]],tblCountries[],5,0)</f>
        <v>13.098808879263672</v>
      </c>
      <c r="Q1794" s="8">
        <f>IF($Q$1,tblSalaries[[#This Row],[PPP Factor]]*tblSalaries[[#This Row],[Salary in USD]],tblSalaries[[#This Row],[Salary in USD]])</f>
        <v>16027.125018698311</v>
      </c>
    </row>
    <row r="1795" spans="2:17" ht="15" customHeight="1" x14ac:dyDescent="0.25">
      <c r="B1795" t="s">
        <v>3798</v>
      </c>
      <c r="C1795" s="1">
        <v>41073.815254629626</v>
      </c>
      <c r="D1795" s="4" t="s">
        <v>1937</v>
      </c>
      <c r="E1795">
        <v>36000</v>
      </c>
      <c r="F1795" t="s">
        <v>69</v>
      </c>
      <c r="G1795">
        <f>tblSalaries[[#This Row],[clean Salary (in local currency)]]*VLOOKUP(tblSalaries[[#This Row],[Currency]],tblXrate[],2,FALSE)</f>
        <v>56742.417794422225</v>
      </c>
      <c r="H1795" t="s">
        <v>1938</v>
      </c>
      <c r="I1795" t="s">
        <v>52</v>
      </c>
      <c r="J1795" t="s">
        <v>71</v>
      </c>
      <c r="K1795" t="str">
        <f>VLOOKUP(tblSalaries[[#This Row],[Where do you work]],tblCountries[[Actual]:[Mapping]],2,FALSE)</f>
        <v>UK</v>
      </c>
      <c r="L1795" t="s">
        <v>13</v>
      </c>
      <c r="M1795">
        <v>7</v>
      </c>
      <c r="N1795" s="8" t="str">
        <f>VLOOKUP(K1795,tblCountries[],3,0)</f>
        <v>Europe</v>
      </c>
      <c r="O1795" s="8">
        <f>VLOOKUP(tblSalaries[[#This Row],[How many hours of a day you work on Excel]],tblHours,2,0)</f>
        <v>5</v>
      </c>
      <c r="P1795" s="8">
        <f>VLOOKUP(tblSalaries[[#This Row],[clean Country]],tblCountries[],5,0)</f>
        <v>1.3407315045719035</v>
      </c>
      <c r="Q1795" s="8">
        <f>IF($Q$1,tblSalaries[[#This Row],[PPP Factor]]*tblSalaries[[#This Row],[Salary in USD]],tblSalaries[[#This Row],[Salary in USD]])</f>
        <v>56742.417794422225</v>
      </c>
    </row>
    <row r="1796" spans="2:17" ht="15" customHeight="1" x14ac:dyDescent="0.25">
      <c r="B1796" t="s">
        <v>3799</v>
      </c>
      <c r="C1796" s="1">
        <v>41073.81962962963</v>
      </c>
      <c r="D1796" s="4">
        <v>1200000</v>
      </c>
      <c r="E1796">
        <v>1200000</v>
      </c>
      <c r="F1796" t="s">
        <v>40</v>
      </c>
      <c r="G1796">
        <f>tblSalaries[[#This Row],[clean Salary (in local currency)]]*VLOOKUP(tblSalaries[[#This Row],[Currency]],tblXrate[],2,FALSE)</f>
        <v>21369.500024931083</v>
      </c>
      <c r="H1796" t="s">
        <v>1939</v>
      </c>
      <c r="I1796" t="s">
        <v>52</v>
      </c>
      <c r="J1796" t="s">
        <v>8</v>
      </c>
      <c r="K1796" t="str">
        <f>VLOOKUP(tblSalaries[[#This Row],[Where do you work]],tblCountries[[Actual]:[Mapping]],2,FALSE)</f>
        <v>India</v>
      </c>
      <c r="L1796" t="s">
        <v>9</v>
      </c>
      <c r="M1796">
        <v>7</v>
      </c>
      <c r="N1796" s="8" t="str">
        <f>VLOOKUP(K1796,tblCountries[],3,0)</f>
        <v>Asia</v>
      </c>
      <c r="O1796" s="8">
        <f>VLOOKUP(tblSalaries[[#This Row],[How many hours of a day you work on Excel]],tblHours,2,0)</f>
        <v>4</v>
      </c>
      <c r="P1796" s="8">
        <f>VLOOKUP(tblSalaries[[#This Row],[clean Country]],tblCountries[],5,0)</f>
        <v>13.098808879263672</v>
      </c>
      <c r="Q1796" s="8">
        <f>IF($Q$1,tblSalaries[[#This Row],[PPP Factor]]*tblSalaries[[#This Row],[Salary in USD]],tblSalaries[[#This Row],[Salary in USD]])</f>
        <v>21369.500024931083</v>
      </c>
    </row>
    <row r="1797" spans="2:17" ht="15" customHeight="1" x14ac:dyDescent="0.25">
      <c r="B1797" t="s">
        <v>3800</v>
      </c>
      <c r="C1797" s="1">
        <v>41073.860625000001</v>
      </c>
      <c r="D1797" s="4">
        <v>425000</v>
      </c>
      <c r="E1797">
        <v>425000</v>
      </c>
      <c r="F1797" t="s">
        <v>40</v>
      </c>
      <c r="G1797">
        <f>tblSalaries[[#This Row],[clean Salary (in local currency)]]*VLOOKUP(tblSalaries[[#This Row],[Currency]],tblXrate[],2,FALSE)</f>
        <v>7568.3645921630914</v>
      </c>
      <c r="H1797" t="s">
        <v>932</v>
      </c>
      <c r="I1797" t="s">
        <v>310</v>
      </c>
      <c r="J1797" t="s">
        <v>8</v>
      </c>
      <c r="K1797" t="str">
        <f>VLOOKUP(tblSalaries[[#This Row],[Where do you work]],tblCountries[[Actual]:[Mapping]],2,FALSE)</f>
        <v>India</v>
      </c>
      <c r="L1797" t="s">
        <v>18</v>
      </c>
      <c r="M1797">
        <v>6</v>
      </c>
      <c r="N1797" s="8" t="str">
        <f>VLOOKUP(K1797,tblCountries[],3,0)</f>
        <v>Asia</v>
      </c>
      <c r="O1797" s="8">
        <f>VLOOKUP(tblSalaries[[#This Row],[How many hours of a day you work on Excel]],tblHours,2,0)</f>
        <v>3</v>
      </c>
      <c r="P1797" s="8">
        <f>VLOOKUP(tblSalaries[[#This Row],[clean Country]],tblCountries[],5,0)</f>
        <v>13.098808879263672</v>
      </c>
      <c r="Q1797" s="8">
        <f>IF($Q$1,tblSalaries[[#This Row],[PPP Factor]]*tblSalaries[[#This Row],[Salary in USD]],tblSalaries[[#This Row],[Salary in USD]])</f>
        <v>7568.3645921630914</v>
      </c>
    </row>
    <row r="1798" spans="2:17" ht="15" customHeight="1" x14ac:dyDescent="0.25">
      <c r="B1798" t="s">
        <v>3801</v>
      </c>
      <c r="C1798" s="1">
        <v>41073.98097222222</v>
      </c>
      <c r="D1798" s="4">
        <v>50000</v>
      </c>
      <c r="E1798">
        <v>50000</v>
      </c>
      <c r="F1798" t="s">
        <v>69</v>
      </c>
      <c r="G1798">
        <f>tblSalaries[[#This Row],[clean Salary (in local currency)]]*VLOOKUP(tblSalaries[[#This Row],[Currency]],tblXrate[],2,FALSE)</f>
        <v>78808.913603364199</v>
      </c>
      <c r="H1798" t="s">
        <v>1621</v>
      </c>
      <c r="I1798" t="s">
        <v>310</v>
      </c>
      <c r="J1798" t="s">
        <v>71</v>
      </c>
      <c r="K1798" t="str">
        <f>VLOOKUP(tblSalaries[[#This Row],[Where do you work]],tblCountries[[Actual]:[Mapping]],2,FALSE)</f>
        <v>UK</v>
      </c>
      <c r="L1798" t="s">
        <v>18</v>
      </c>
      <c r="M1798">
        <v>10</v>
      </c>
      <c r="N1798" s="8" t="str">
        <f>VLOOKUP(K1798,tblCountries[],3,0)</f>
        <v>Europe</v>
      </c>
      <c r="O1798" s="8">
        <f>VLOOKUP(tblSalaries[[#This Row],[How many hours of a day you work on Excel]],tblHours,2,0)</f>
        <v>3</v>
      </c>
      <c r="P1798" s="8">
        <f>VLOOKUP(tblSalaries[[#This Row],[clean Country]],tblCountries[],5,0)</f>
        <v>1.3407315045719035</v>
      </c>
      <c r="Q1798" s="8">
        <f>IF($Q$1,tblSalaries[[#This Row],[PPP Factor]]*tblSalaries[[#This Row],[Salary in USD]],tblSalaries[[#This Row],[Salary in USD]])</f>
        <v>78808.913603364199</v>
      </c>
    </row>
    <row r="1799" spans="2:17" ht="15" customHeight="1" x14ac:dyDescent="0.25">
      <c r="B1799" t="s">
        <v>3802</v>
      </c>
      <c r="C1799" s="1">
        <v>41074.080011574071</v>
      </c>
      <c r="D1799" s="4">
        <v>60000</v>
      </c>
      <c r="E1799">
        <v>60000</v>
      </c>
      <c r="F1799" t="s">
        <v>6</v>
      </c>
      <c r="G1799">
        <f>tblSalaries[[#This Row],[clean Salary (in local currency)]]*VLOOKUP(tblSalaries[[#This Row],[Currency]],tblXrate[],2,FALSE)</f>
        <v>60000</v>
      </c>
      <c r="H1799" t="s">
        <v>207</v>
      </c>
      <c r="I1799" t="s">
        <v>20</v>
      </c>
      <c r="J1799" t="s">
        <v>15</v>
      </c>
      <c r="K1799" t="str">
        <f>VLOOKUP(tblSalaries[[#This Row],[Where do you work]],tblCountries[[Actual]:[Mapping]],2,FALSE)</f>
        <v>USA</v>
      </c>
      <c r="L1799" t="s">
        <v>9</v>
      </c>
      <c r="M1799">
        <v>15</v>
      </c>
      <c r="N1799" s="8" t="str">
        <f>VLOOKUP(K1799,tblCountries[],3,0)</f>
        <v>North Amer.</v>
      </c>
      <c r="O1799" s="8">
        <f>VLOOKUP(tblSalaries[[#This Row],[How many hours of a day you work on Excel]],tblHours,2,0)</f>
        <v>4</v>
      </c>
      <c r="P1799" s="8">
        <f>VLOOKUP(tblSalaries[[#This Row],[clean Country]],tblCountries[],5,0)</f>
        <v>1</v>
      </c>
      <c r="Q1799" s="8">
        <f>IF($Q$1,tblSalaries[[#This Row],[PPP Factor]]*tblSalaries[[#This Row],[Salary in USD]],tblSalaries[[#This Row],[Salary in USD]])</f>
        <v>60000</v>
      </c>
    </row>
    <row r="1800" spans="2:17" ht="15" customHeight="1" x14ac:dyDescent="0.25">
      <c r="B1800" t="s">
        <v>3803</v>
      </c>
      <c r="C1800" s="1">
        <v>41074.114386574074</v>
      </c>
      <c r="D1800" s="4">
        <v>57000</v>
      </c>
      <c r="E1800">
        <v>57000</v>
      </c>
      <c r="F1800" t="s">
        <v>6</v>
      </c>
      <c r="G1800">
        <f>tblSalaries[[#This Row],[clean Salary (in local currency)]]*VLOOKUP(tblSalaries[[#This Row],[Currency]],tblXrate[],2,FALSE)</f>
        <v>57000</v>
      </c>
      <c r="H1800" t="s">
        <v>1369</v>
      </c>
      <c r="I1800" t="s">
        <v>310</v>
      </c>
      <c r="J1800" t="s">
        <v>15</v>
      </c>
      <c r="K1800" t="str">
        <f>VLOOKUP(tblSalaries[[#This Row],[Where do you work]],tblCountries[[Actual]:[Mapping]],2,FALSE)</f>
        <v>USA</v>
      </c>
      <c r="L1800" t="s">
        <v>9</v>
      </c>
      <c r="M1800">
        <v>9</v>
      </c>
      <c r="N1800" s="8" t="str">
        <f>VLOOKUP(K1800,tblCountries[],3,0)</f>
        <v>North Amer.</v>
      </c>
      <c r="O1800" s="8">
        <f>VLOOKUP(tblSalaries[[#This Row],[How many hours of a day you work on Excel]],tblHours,2,0)</f>
        <v>4</v>
      </c>
      <c r="P1800" s="8">
        <f>VLOOKUP(tblSalaries[[#This Row],[clean Country]],tblCountries[],5,0)</f>
        <v>1</v>
      </c>
      <c r="Q1800" s="8">
        <f>IF($Q$1,tblSalaries[[#This Row],[PPP Factor]]*tblSalaries[[#This Row],[Salary in USD]],tblSalaries[[#This Row],[Salary in USD]])</f>
        <v>57000</v>
      </c>
    </row>
    <row r="1801" spans="2:17" ht="15" customHeight="1" x14ac:dyDescent="0.25">
      <c r="B1801" t="s">
        <v>3804</v>
      </c>
      <c r="C1801" s="1">
        <v>41074.18236111111</v>
      </c>
      <c r="D1801" s="4">
        <v>40000</v>
      </c>
      <c r="E1801">
        <v>40000</v>
      </c>
      <c r="F1801" t="s">
        <v>6</v>
      </c>
      <c r="G1801">
        <f>tblSalaries[[#This Row],[clean Salary (in local currency)]]*VLOOKUP(tblSalaries[[#This Row],[Currency]],tblXrate[],2,FALSE)</f>
        <v>40000</v>
      </c>
      <c r="H1801" t="s">
        <v>1940</v>
      </c>
      <c r="I1801" t="s">
        <v>20</v>
      </c>
      <c r="J1801" t="s">
        <v>15</v>
      </c>
      <c r="K1801" t="str">
        <f>VLOOKUP(tblSalaries[[#This Row],[Where do you work]],tblCountries[[Actual]:[Mapping]],2,FALSE)</f>
        <v>USA</v>
      </c>
      <c r="L1801" t="s">
        <v>18</v>
      </c>
      <c r="M1801">
        <v>0</v>
      </c>
      <c r="N1801" s="8" t="str">
        <f>VLOOKUP(K1801,tblCountries[],3,0)</f>
        <v>North Amer.</v>
      </c>
      <c r="O1801" s="8">
        <f>VLOOKUP(tblSalaries[[#This Row],[How many hours of a day you work on Excel]],tblHours,2,0)</f>
        <v>3</v>
      </c>
      <c r="P1801" s="8">
        <f>VLOOKUP(tblSalaries[[#This Row],[clean Country]],tblCountries[],5,0)</f>
        <v>1</v>
      </c>
      <c r="Q1801" s="8">
        <f>IF($Q$1,tblSalaries[[#This Row],[PPP Factor]]*tblSalaries[[#This Row],[Salary in USD]],tblSalaries[[#This Row],[Salary in USD]])</f>
        <v>40000</v>
      </c>
    </row>
    <row r="1802" spans="2:17" ht="15" customHeight="1" x14ac:dyDescent="0.25">
      <c r="B1802" t="s">
        <v>3805</v>
      </c>
      <c r="C1802" s="1">
        <v>41074.303252314814</v>
      </c>
      <c r="D1802" s="4">
        <v>80000</v>
      </c>
      <c r="E1802">
        <v>80000</v>
      </c>
      <c r="F1802" t="s">
        <v>6</v>
      </c>
      <c r="G1802">
        <f>tblSalaries[[#This Row],[clean Salary (in local currency)]]*VLOOKUP(tblSalaries[[#This Row],[Currency]],tblXrate[],2,FALSE)</f>
        <v>80000</v>
      </c>
      <c r="H1802" t="s">
        <v>1941</v>
      </c>
      <c r="I1802" t="s">
        <v>488</v>
      </c>
      <c r="J1802" t="s">
        <v>15</v>
      </c>
      <c r="K1802" t="str">
        <f>VLOOKUP(tblSalaries[[#This Row],[Where do you work]],tblCountries[[Actual]:[Mapping]],2,FALSE)</f>
        <v>USA</v>
      </c>
      <c r="L1802" t="s">
        <v>9</v>
      </c>
      <c r="M1802">
        <v>9</v>
      </c>
      <c r="N1802" s="8" t="str">
        <f>VLOOKUP(K1802,tblCountries[],3,0)</f>
        <v>North Amer.</v>
      </c>
      <c r="O1802" s="8">
        <f>VLOOKUP(tblSalaries[[#This Row],[How many hours of a day you work on Excel]],tblHours,2,0)</f>
        <v>4</v>
      </c>
      <c r="P1802" s="8">
        <f>VLOOKUP(tblSalaries[[#This Row],[clean Country]],tblCountries[],5,0)</f>
        <v>1</v>
      </c>
      <c r="Q1802" s="8">
        <f>IF($Q$1,tblSalaries[[#This Row],[PPP Factor]]*tblSalaries[[#This Row],[Salary in USD]],tblSalaries[[#This Row],[Salary in USD]])</f>
        <v>80000</v>
      </c>
    </row>
    <row r="1803" spans="2:17" ht="15" customHeight="1" x14ac:dyDescent="0.25">
      <c r="B1803" t="s">
        <v>3806</v>
      </c>
      <c r="C1803" s="1">
        <v>41074.519097222219</v>
      </c>
      <c r="D1803" s="4">
        <v>118000</v>
      </c>
      <c r="E1803">
        <v>118000</v>
      </c>
      <c r="F1803" t="s">
        <v>6</v>
      </c>
      <c r="G1803">
        <f>tblSalaries[[#This Row],[clean Salary (in local currency)]]*VLOOKUP(tblSalaries[[#This Row],[Currency]],tblXrate[],2,FALSE)</f>
        <v>118000</v>
      </c>
      <c r="H1803" t="s">
        <v>1741</v>
      </c>
      <c r="I1803" t="s">
        <v>4001</v>
      </c>
      <c r="J1803" t="s">
        <v>15</v>
      </c>
      <c r="K1803" t="str">
        <f>VLOOKUP(tblSalaries[[#This Row],[Where do you work]],tblCountries[[Actual]:[Mapping]],2,FALSE)</f>
        <v>USA</v>
      </c>
      <c r="L1803" t="s">
        <v>9</v>
      </c>
      <c r="M1803">
        <v>6</v>
      </c>
      <c r="N1803" s="8" t="str">
        <f>VLOOKUP(K1803,tblCountries[],3,0)</f>
        <v>North Amer.</v>
      </c>
      <c r="O1803" s="8">
        <f>VLOOKUP(tblSalaries[[#This Row],[How many hours of a day you work on Excel]],tblHours,2,0)</f>
        <v>4</v>
      </c>
      <c r="P1803" s="8">
        <f>VLOOKUP(tblSalaries[[#This Row],[clean Country]],tblCountries[],5,0)</f>
        <v>1</v>
      </c>
      <c r="Q1803" s="8">
        <f>IF($Q$1,tblSalaries[[#This Row],[PPP Factor]]*tblSalaries[[#This Row],[Salary in USD]],tblSalaries[[#This Row],[Salary in USD]])</f>
        <v>118000</v>
      </c>
    </row>
    <row r="1804" spans="2:17" ht="15" customHeight="1" x14ac:dyDescent="0.25">
      <c r="B1804" t="s">
        <v>3807</v>
      </c>
      <c r="C1804" s="1">
        <v>41074.589560185188</v>
      </c>
      <c r="D1804" s="4">
        <v>5000</v>
      </c>
      <c r="E1804">
        <v>60000</v>
      </c>
      <c r="F1804" t="s">
        <v>6</v>
      </c>
      <c r="G1804">
        <f>tblSalaries[[#This Row],[clean Salary (in local currency)]]*VLOOKUP(tblSalaries[[#This Row],[Currency]],tblXrate[],2,FALSE)</f>
        <v>60000</v>
      </c>
      <c r="H1804" t="s">
        <v>20</v>
      </c>
      <c r="I1804" t="s">
        <v>20</v>
      </c>
      <c r="J1804" t="s">
        <v>179</v>
      </c>
      <c r="K1804" t="str">
        <f>VLOOKUP(tblSalaries[[#This Row],[Where do you work]],tblCountries[[Actual]:[Mapping]],2,FALSE)</f>
        <v>UAE</v>
      </c>
      <c r="L1804" t="s">
        <v>9</v>
      </c>
      <c r="M1804">
        <v>5</v>
      </c>
      <c r="N1804" s="8" t="str">
        <f>VLOOKUP(K1804,tblCountries[],3,0)</f>
        <v>Asia</v>
      </c>
      <c r="O1804" s="8">
        <f>VLOOKUP(tblSalaries[[#This Row],[How many hours of a day you work on Excel]],tblHours,2,0)</f>
        <v>4</v>
      </c>
      <c r="P1804" s="8">
        <f>VLOOKUP(tblSalaries[[#This Row],[clean Country]],tblCountries[],5,0)</f>
        <v>1.0047551808629926</v>
      </c>
      <c r="Q1804" s="8">
        <f>IF($Q$1,tblSalaries[[#This Row],[PPP Factor]]*tblSalaries[[#This Row],[Salary in USD]],tblSalaries[[#This Row],[Salary in USD]])</f>
        <v>60000</v>
      </c>
    </row>
    <row r="1805" spans="2:17" ht="15" customHeight="1" x14ac:dyDescent="0.25">
      <c r="B1805" t="s">
        <v>3808</v>
      </c>
      <c r="C1805" s="1">
        <v>41074.768796296295</v>
      </c>
      <c r="D1805" s="4">
        <v>560</v>
      </c>
      <c r="E1805">
        <v>6720</v>
      </c>
      <c r="F1805" t="s">
        <v>6</v>
      </c>
      <c r="G1805">
        <f>tblSalaries[[#This Row],[clean Salary (in local currency)]]*VLOOKUP(tblSalaries[[#This Row],[Currency]],tblXrate[],2,FALSE)</f>
        <v>6720</v>
      </c>
      <c r="H1805" t="s">
        <v>1942</v>
      </c>
      <c r="I1805" t="s">
        <v>310</v>
      </c>
      <c r="J1805" t="s">
        <v>8</v>
      </c>
      <c r="K1805" t="str">
        <f>VLOOKUP(tblSalaries[[#This Row],[Where do you work]],tblCountries[[Actual]:[Mapping]],2,FALSE)</f>
        <v>India</v>
      </c>
      <c r="L1805" t="s">
        <v>9</v>
      </c>
      <c r="M1805">
        <v>5</v>
      </c>
      <c r="N1805" s="8" t="str">
        <f>VLOOKUP(K1805,tblCountries[],3,0)</f>
        <v>Asia</v>
      </c>
      <c r="O1805" s="8">
        <f>VLOOKUP(tblSalaries[[#This Row],[How many hours of a day you work on Excel]],tblHours,2,0)</f>
        <v>4</v>
      </c>
      <c r="P1805" s="8">
        <f>VLOOKUP(tblSalaries[[#This Row],[clean Country]],tblCountries[],5,0)</f>
        <v>13.098808879263672</v>
      </c>
      <c r="Q1805" s="8">
        <f>IF($Q$1,tblSalaries[[#This Row],[PPP Factor]]*tblSalaries[[#This Row],[Salary in USD]],tblSalaries[[#This Row],[Salary in USD]])</f>
        <v>6720</v>
      </c>
    </row>
    <row r="1806" spans="2:17" ht="15" customHeight="1" x14ac:dyDescent="0.25">
      <c r="B1806" t="s">
        <v>3809</v>
      </c>
      <c r="C1806" s="1">
        <v>41074.918807870374</v>
      </c>
      <c r="D1806" s="4">
        <v>1720</v>
      </c>
      <c r="E1806">
        <v>20640</v>
      </c>
      <c r="F1806" t="s">
        <v>6</v>
      </c>
      <c r="G1806">
        <f>tblSalaries[[#This Row],[clean Salary (in local currency)]]*VLOOKUP(tblSalaries[[#This Row],[Currency]],tblXrate[],2,FALSE)</f>
        <v>20640</v>
      </c>
      <c r="H1806" t="s">
        <v>1943</v>
      </c>
      <c r="I1806" t="s">
        <v>52</v>
      </c>
      <c r="J1806" t="s">
        <v>171</v>
      </c>
      <c r="K1806" t="str">
        <f>VLOOKUP(tblSalaries[[#This Row],[Where do you work]],tblCountries[[Actual]:[Mapping]],2,FALSE)</f>
        <v>Singapore</v>
      </c>
      <c r="L1806" t="s">
        <v>9</v>
      </c>
      <c r="M1806">
        <v>3</v>
      </c>
      <c r="N1806" s="8" t="str">
        <f>VLOOKUP(K1806,tblCountries[],3,0)</f>
        <v>Asia</v>
      </c>
      <c r="O1806" s="8">
        <f>VLOOKUP(tblSalaries[[#This Row],[How many hours of a day you work on Excel]],tblHours,2,0)</f>
        <v>4</v>
      </c>
      <c r="P1806" s="8">
        <f>VLOOKUP(tblSalaries[[#This Row],[clean Country]],tblCountries[],5,0)</f>
        <v>0.81035320125270049</v>
      </c>
      <c r="Q1806" s="8">
        <f>IF($Q$1,tblSalaries[[#This Row],[PPP Factor]]*tblSalaries[[#This Row],[Salary in USD]],tblSalaries[[#This Row],[Salary in USD]])</f>
        <v>20640</v>
      </c>
    </row>
    <row r="1807" spans="2:17" ht="15" customHeight="1" x14ac:dyDescent="0.25">
      <c r="B1807" t="s">
        <v>3810</v>
      </c>
      <c r="C1807" s="1">
        <v>41075.024826388886</v>
      </c>
      <c r="D1807" s="4">
        <v>50000</v>
      </c>
      <c r="E1807">
        <v>50000</v>
      </c>
      <c r="F1807" t="s">
        <v>6</v>
      </c>
      <c r="G1807">
        <f>tblSalaries[[#This Row],[clean Salary (in local currency)]]*VLOOKUP(tblSalaries[[#This Row],[Currency]],tblXrate[],2,FALSE)</f>
        <v>50000</v>
      </c>
      <c r="H1807" t="s">
        <v>1944</v>
      </c>
      <c r="I1807" t="s">
        <v>20</v>
      </c>
      <c r="J1807" t="s">
        <v>15</v>
      </c>
      <c r="K1807" t="str">
        <f>VLOOKUP(tblSalaries[[#This Row],[Where do you work]],tblCountries[[Actual]:[Mapping]],2,FALSE)</f>
        <v>USA</v>
      </c>
      <c r="L1807" t="s">
        <v>13</v>
      </c>
      <c r="M1807">
        <v>15</v>
      </c>
      <c r="N1807" s="8" t="str">
        <f>VLOOKUP(K1807,tblCountries[],3,0)</f>
        <v>North Amer.</v>
      </c>
      <c r="O1807" s="8">
        <f>VLOOKUP(tblSalaries[[#This Row],[How many hours of a day you work on Excel]],tblHours,2,0)</f>
        <v>5</v>
      </c>
      <c r="P1807" s="8">
        <f>VLOOKUP(tblSalaries[[#This Row],[clean Country]],tblCountries[],5,0)</f>
        <v>1</v>
      </c>
      <c r="Q1807" s="8">
        <f>IF($Q$1,tblSalaries[[#This Row],[PPP Factor]]*tblSalaries[[#This Row],[Salary in USD]],tblSalaries[[#This Row],[Salary in USD]])</f>
        <v>50000</v>
      </c>
    </row>
    <row r="1808" spans="2:17" ht="15" customHeight="1" x14ac:dyDescent="0.25">
      <c r="B1808" t="s">
        <v>3811</v>
      </c>
      <c r="C1808" s="1">
        <v>41075.036550925928</v>
      </c>
      <c r="D1808" s="4">
        <v>2000</v>
      </c>
      <c r="E1808">
        <v>24000</v>
      </c>
      <c r="F1808" t="s">
        <v>6</v>
      </c>
      <c r="G1808">
        <f>tblSalaries[[#This Row],[clean Salary (in local currency)]]*VLOOKUP(tblSalaries[[#This Row],[Currency]],tblXrate[],2,FALSE)</f>
        <v>24000</v>
      </c>
      <c r="H1808" t="s">
        <v>380</v>
      </c>
      <c r="I1808" t="s">
        <v>488</v>
      </c>
      <c r="J1808" t="s">
        <v>65</v>
      </c>
      <c r="K1808" t="str">
        <f>VLOOKUP(tblSalaries[[#This Row],[Where do you work]],tblCountries[[Actual]:[Mapping]],2,FALSE)</f>
        <v>Russia</v>
      </c>
      <c r="L1808" t="s">
        <v>13</v>
      </c>
      <c r="M1808">
        <v>23</v>
      </c>
      <c r="N1808" s="8" t="str">
        <f>VLOOKUP(K1808,tblCountries[],3,0)</f>
        <v>Asia</v>
      </c>
      <c r="O1808" s="8">
        <f>VLOOKUP(tblSalaries[[#This Row],[How many hours of a day you work on Excel]],tblHours,2,0)</f>
        <v>5</v>
      </c>
      <c r="P1808" s="8">
        <f>VLOOKUP(tblSalaries[[#This Row],[clean Country]],tblCountries[],5,0)</f>
        <v>2.8911926386233269</v>
      </c>
      <c r="Q1808" s="8">
        <f>IF($Q$1,tblSalaries[[#This Row],[PPP Factor]]*tblSalaries[[#This Row],[Salary in USD]],tblSalaries[[#This Row],[Salary in USD]])</f>
        <v>24000</v>
      </c>
    </row>
    <row r="1809" spans="2:17" ht="15" customHeight="1" x14ac:dyDescent="0.25">
      <c r="B1809" t="s">
        <v>3812</v>
      </c>
      <c r="C1809" s="1">
        <v>41075.043611111112</v>
      </c>
      <c r="D1809" s="4">
        <v>60000</v>
      </c>
      <c r="E1809">
        <v>60000</v>
      </c>
      <c r="F1809" t="s">
        <v>6</v>
      </c>
      <c r="G1809">
        <f>tblSalaries[[#This Row],[clean Salary (in local currency)]]*VLOOKUP(tblSalaries[[#This Row],[Currency]],tblXrate[],2,FALSE)</f>
        <v>60000</v>
      </c>
      <c r="H1809" t="s">
        <v>207</v>
      </c>
      <c r="I1809" t="s">
        <v>20</v>
      </c>
      <c r="J1809" t="s">
        <v>15</v>
      </c>
      <c r="K1809" t="str">
        <f>VLOOKUP(tblSalaries[[#This Row],[Where do you work]],tblCountries[[Actual]:[Mapping]],2,FALSE)</f>
        <v>USA</v>
      </c>
      <c r="L1809" t="s">
        <v>18</v>
      </c>
      <c r="M1809">
        <v>3</v>
      </c>
      <c r="N1809" s="8" t="str">
        <f>VLOOKUP(K1809,tblCountries[],3,0)</f>
        <v>North Amer.</v>
      </c>
      <c r="O1809" s="8">
        <f>VLOOKUP(tblSalaries[[#This Row],[How many hours of a day you work on Excel]],tblHours,2,0)</f>
        <v>3</v>
      </c>
      <c r="P1809" s="8">
        <f>VLOOKUP(tblSalaries[[#This Row],[clean Country]],tblCountries[],5,0)</f>
        <v>1</v>
      </c>
      <c r="Q1809" s="8">
        <f>IF($Q$1,tblSalaries[[#This Row],[PPP Factor]]*tblSalaries[[#This Row],[Salary in USD]],tblSalaries[[#This Row],[Salary in USD]])</f>
        <v>60000</v>
      </c>
    </row>
    <row r="1810" spans="2:17" ht="15" customHeight="1" x14ac:dyDescent="0.25">
      <c r="B1810" t="s">
        <v>3813</v>
      </c>
      <c r="C1810" s="1">
        <v>41075.048715277779</v>
      </c>
      <c r="D1810" s="4">
        <v>37500</v>
      </c>
      <c r="E1810">
        <v>37500</v>
      </c>
      <c r="F1810" t="s">
        <v>6</v>
      </c>
      <c r="G1810">
        <f>tblSalaries[[#This Row],[clean Salary (in local currency)]]*VLOOKUP(tblSalaries[[#This Row],[Currency]],tblXrate[],2,FALSE)</f>
        <v>37500</v>
      </c>
      <c r="H1810" t="s">
        <v>83</v>
      </c>
      <c r="I1810" t="s">
        <v>356</v>
      </c>
      <c r="J1810" t="s">
        <v>8</v>
      </c>
      <c r="K1810" t="str">
        <f>VLOOKUP(tblSalaries[[#This Row],[Where do you work]],tblCountries[[Actual]:[Mapping]],2,FALSE)</f>
        <v>India</v>
      </c>
      <c r="L1810" t="s">
        <v>13</v>
      </c>
      <c r="M1810">
        <v>0</v>
      </c>
      <c r="N1810" s="8" t="str">
        <f>VLOOKUP(K1810,tblCountries[],3,0)</f>
        <v>Asia</v>
      </c>
      <c r="O1810" s="8">
        <f>VLOOKUP(tblSalaries[[#This Row],[How many hours of a day you work on Excel]],tblHours,2,0)</f>
        <v>5</v>
      </c>
      <c r="P1810" s="8">
        <f>VLOOKUP(tblSalaries[[#This Row],[clean Country]],tblCountries[],5,0)</f>
        <v>13.098808879263672</v>
      </c>
      <c r="Q1810" s="8">
        <f>IF($Q$1,tblSalaries[[#This Row],[PPP Factor]]*tblSalaries[[#This Row],[Salary in USD]],tblSalaries[[#This Row],[Salary in USD]])</f>
        <v>37500</v>
      </c>
    </row>
    <row r="1811" spans="2:17" ht="15" customHeight="1" x14ac:dyDescent="0.25">
      <c r="B1811" t="s">
        <v>3814</v>
      </c>
      <c r="C1811" s="1">
        <v>41075.10050925926</v>
      </c>
      <c r="D1811" s="4">
        <v>40000</v>
      </c>
      <c r="E1811">
        <v>40000</v>
      </c>
      <c r="F1811" t="s">
        <v>6</v>
      </c>
      <c r="G1811">
        <f>tblSalaries[[#This Row],[clean Salary (in local currency)]]*VLOOKUP(tblSalaries[[#This Row],[Currency]],tblXrate[],2,FALSE)</f>
        <v>40000</v>
      </c>
      <c r="H1811" t="s">
        <v>1945</v>
      </c>
      <c r="I1811" t="s">
        <v>67</v>
      </c>
      <c r="J1811" t="s">
        <v>15</v>
      </c>
      <c r="K1811" t="str">
        <f>VLOOKUP(tblSalaries[[#This Row],[Where do you work]],tblCountries[[Actual]:[Mapping]],2,FALSE)</f>
        <v>USA</v>
      </c>
      <c r="L1811" t="s">
        <v>9</v>
      </c>
      <c r="M1811">
        <v>1</v>
      </c>
      <c r="N1811" s="8" t="str">
        <f>VLOOKUP(K1811,tblCountries[],3,0)</f>
        <v>North Amer.</v>
      </c>
      <c r="O1811" s="8">
        <f>VLOOKUP(tblSalaries[[#This Row],[How many hours of a day you work on Excel]],tblHours,2,0)</f>
        <v>4</v>
      </c>
      <c r="P1811" s="8">
        <f>VLOOKUP(tblSalaries[[#This Row],[clean Country]],tblCountries[],5,0)</f>
        <v>1</v>
      </c>
      <c r="Q1811" s="8">
        <f>IF($Q$1,tblSalaries[[#This Row],[PPP Factor]]*tblSalaries[[#This Row],[Salary in USD]],tblSalaries[[#This Row],[Salary in USD]])</f>
        <v>40000</v>
      </c>
    </row>
    <row r="1812" spans="2:17" ht="15" customHeight="1" x14ac:dyDescent="0.25">
      <c r="B1812" t="s">
        <v>3815</v>
      </c>
      <c r="C1812" s="1">
        <v>41075.10429398148</v>
      </c>
      <c r="D1812" s="4" t="s">
        <v>1946</v>
      </c>
      <c r="E1812">
        <v>85000</v>
      </c>
      <c r="F1812" t="s">
        <v>6</v>
      </c>
      <c r="G1812">
        <f>tblSalaries[[#This Row],[clean Salary (in local currency)]]*VLOOKUP(tblSalaries[[#This Row],[Currency]],tblXrate[],2,FALSE)</f>
        <v>85000</v>
      </c>
      <c r="H1812" t="s">
        <v>1947</v>
      </c>
      <c r="I1812" t="s">
        <v>4001</v>
      </c>
      <c r="J1812" t="s">
        <v>15</v>
      </c>
      <c r="K1812" t="str">
        <f>VLOOKUP(tblSalaries[[#This Row],[Where do you work]],tblCountries[[Actual]:[Mapping]],2,FALSE)</f>
        <v>USA</v>
      </c>
      <c r="L1812" t="s">
        <v>18</v>
      </c>
      <c r="M1812">
        <v>15</v>
      </c>
      <c r="N1812" s="8" t="str">
        <f>VLOOKUP(K1812,tblCountries[],3,0)</f>
        <v>North Amer.</v>
      </c>
      <c r="O1812" s="8">
        <f>VLOOKUP(tblSalaries[[#This Row],[How many hours of a day you work on Excel]],tblHours,2,0)</f>
        <v>3</v>
      </c>
      <c r="P1812" s="8">
        <f>VLOOKUP(tblSalaries[[#This Row],[clean Country]],tblCountries[],5,0)</f>
        <v>1</v>
      </c>
      <c r="Q1812" s="8">
        <f>IF($Q$1,tblSalaries[[#This Row],[PPP Factor]]*tblSalaries[[#This Row],[Salary in USD]],tblSalaries[[#This Row],[Salary in USD]])</f>
        <v>85000</v>
      </c>
    </row>
    <row r="1813" spans="2:17" ht="15" customHeight="1" x14ac:dyDescent="0.25">
      <c r="B1813" t="s">
        <v>3816</v>
      </c>
      <c r="C1813" s="1">
        <v>41075.1250462963</v>
      </c>
      <c r="D1813" s="4">
        <v>30000</v>
      </c>
      <c r="E1813">
        <v>30000</v>
      </c>
      <c r="F1813" t="s">
        <v>6</v>
      </c>
      <c r="G1813">
        <f>tblSalaries[[#This Row],[clean Salary (in local currency)]]*VLOOKUP(tblSalaries[[#This Row],[Currency]],tblXrate[],2,FALSE)</f>
        <v>30000</v>
      </c>
      <c r="H1813" t="s">
        <v>1664</v>
      </c>
      <c r="I1813" t="s">
        <v>20</v>
      </c>
      <c r="J1813" t="s">
        <v>143</v>
      </c>
      <c r="K1813" t="str">
        <f>VLOOKUP(tblSalaries[[#This Row],[Where do you work]],tblCountries[[Actual]:[Mapping]],2,FALSE)</f>
        <v>Brazil</v>
      </c>
      <c r="L1813" t="s">
        <v>18</v>
      </c>
      <c r="M1813">
        <v>1</v>
      </c>
      <c r="N1813" s="8" t="str">
        <f>VLOOKUP(K1813,tblCountries[],3,0)</f>
        <v>South Amer.</v>
      </c>
      <c r="O1813" s="8">
        <f>VLOOKUP(tblSalaries[[#This Row],[How many hours of a day you work on Excel]],tblHours,2,0)</f>
        <v>3</v>
      </c>
      <c r="P1813" s="8">
        <f>VLOOKUP(tblSalaries[[#This Row],[clean Country]],tblCountries[],5,0)</f>
        <v>4.1113943410655107</v>
      </c>
      <c r="Q1813" s="8">
        <f>IF($Q$1,tblSalaries[[#This Row],[PPP Factor]]*tblSalaries[[#This Row],[Salary in USD]],tblSalaries[[#This Row],[Salary in USD]])</f>
        <v>30000</v>
      </c>
    </row>
    <row r="1814" spans="2:17" ht="15" customHeight="1" x14ac:dyDescent="0.25">
      <c r="B1814" t="s">
        <v>3817</v>
      </c>
      <c r="C1814" s="1">
        <v>41075.160995370374</v>
      </c>
      <c r="D1814" s="4" t="s">
        <v>1948</v>
      </c>
      <c r="E1814">
        <v>33500</v>
      </c>
      <c r="F1814" t="s">
        <v>69</v>
      </c>
      <c r="G1814">
        <f>tblSalaries[[#This Row],[clean Salary (in local currency)]]*VLOOKUP(tblSalaries[[#This Row],[Currency]],tblXrate[],2,FALSE)</f>
        <v>52801.972114254015</v>
      </c>
      <c r="H1814" t="s">
        <v>1949</v>
      </c>
      <c r="I1814" t="s">
        <v>279</v>
      </c>
      <c r="J1814" t="s">
        <v>71</v>
      </c>
      <c r="K1814" t="str">
        <f>VLOOKUP(tblSalaries[[#This Row],[Where do you work]],tblCountries[[Actual]:[Mapping]],2,FALSE)</f>
        <v>UK</v>
      </c>
      <c r="L1814" t="s">
        <v>18</v>
      </c>
      <c r="M1814">
        <v>7</v>
      </c>
      <c r="N1814" s="8" t="str">
        <f>VLOOKUP(K1814,tblCountries[],3,0)</f>
        <v>Europe</v>
      </c>
      <c r="O1814" s="8">
        <f>VLOOKUP(tblSalaries[[#This Row],[How many hours of a day you work on Excel]],tblHours,2,0)</f>
        <v>3</v>
      </c>
      <c r="P1814" s="8">
        <f>VLOOKUP(tblSalaries[[#This Row],[clean Country]],tblCountries[],5,0)</f>
        <v>1.3407315045719035</v>
      </c>
      <c r="Q1814" s="8">
        <f>IF($Q$1,tblSalaries[[#This Row],[PPP Factor]]*tblSalaries[[#This Row],[Salary in USD]],tblSalaries[[#This Row],[Salary in USD]])</f>
        <v>52801.972114254015</v>
      </c>
    </row>
    <row r="1815" spans="2:17" ht="15" customHeight="1" x14ac:dyDescent="0.25">
      <c r="B1815" t="s">
        <v>3818</v>
      </c>
      <c r="C1815" s="1">
        <v>41075.239236111112</v>
      </c>
      <c r="D1815" s="4">
        <v>29000</v>
      </c>
      <c r="E1815">
        <v>29000</v>
      </c>
      <c r="F1815" t="s">
        <v>6</v>
      </c>
      <c r="G1815">
        <f>tblSalaries[[#This Row],[clean Salary (in local currency)]]*VLOOKUP(tblSalaries[[#This Row],[Currency]],tblXrate[],2,FALSE)</f>
        <v>29000</v>
      </c>
      <c r="H1815" t="s">
        <v>1950</v>
      </c>
      <c r="I1815" t="s">
        <v>279</v>
      </c>
      <c r="J1815" t="s">
        <v>15</v>
      </c>
      <c r="K1815" t="str">
        <f>VLOOKUP(tblSalaries[[#This Row],[Where do you work]],tblCountries[[Actual]:[Mapping]],2,FALSE)</f>
        <v>USA</v>
      </c>
      <c r="L1815" t="s">
        <v>13</v>
      </c>
      <c r="M1815">
        <v>1</v>
      </c>
      <c r="N1815" s="8" t="str">
        <f>VLOOKUP(K1815,tblCountries[],3,0)</f>
        <v>North Amer.</v>
      </c>
      <c r="O1815" s="8">
        <f>VLOOKUP(tblSalaries[[#This Row],[How many hours of a day you work on Excel]],tblHours,2,0)</f>
        <v>5</v>
      </c>
      <c r="P1815" s="8">
        <f>VLOOKUP(tblSalaries[[#This Row],[clean Country]],tblCountries[],5,0)</f>
        <v>1</v>
      </c>
      <c r="Q1815" s="8">
        <f>IF($Q$1,tblSalaries[[#This Row],[PPP Factor]]*tblSalaries[[#This Row],[Salary in USD]],tblSalaries[[#This Row],[Salary in USD]])</f>
        <v>29000</v>
      </c>
    </row>
    <row r="1816" spans="2:17" ht="15" customHeight="1" x14ac:dyDescent="0.25">
      <c r="B1816" t="s">
        <v>3819</v>
      </c>
      <c r="C1816" s="1">
        <v>41075.375092592592</v>
      </c>
      <c r="D1816" s="4">
        <v>48000</v>
      </c>
      <c r="E1816">
        <v>48000</v>
      </c>
      <c r="F1816" t="s">
        <v>6</v>
      </c>
      <c r="G1816">
        <f>tblSalaries[[#This Row],[clean Salary (in local currency)]]*VLOOKUP(tblSalaries[[#This Row],[Currency]],tblXrate[],2,FALSE)</f>
        <v>48000</v>
      </c>
      <c r="H1816" t="s">
        <v>310</v>
      </c>
      <c r="I1816" t="s">
        <v>310</v>
      </c>
      <c r="J1816" t="s">
        <v>15</v>
      </c>
      <c r="K1816" t="str">
        <f>VLOOKUP(tblSalaries[[#This Row],[Where do you work]],tblCountries[[Actual]:[Mapping]],2,FALSE)</f>
        <v>USA</v>
      </c>
      <c r="L1816" t="s">
        <v>9</v>
      </c>
      <c r="M1816">
        <v>1</v>
      </c>
      <c r="N1816" s="8" t="str">
        <f>VLOOKUP(K1816,tblCountries[],3,0)</f>
        <v>North Amer.</v>
      </c>
      <c r="O1816" s="8">
        <f>VLOOKUP(tblSalaries[[#This Row],[How many hours of a day you work on Excel]],tblHours,2,0)</f>
        <v>4</v>
      </c>
      <c r="P1816" s="8">
        <f>VLOOKUP(tblSalaries[[#This Row],[clean Country]],tblCountries[],5,0)</f>
        <v>1</v>
      </c>
      <c r="Q1816" s="8">
        <f>IF($Q$1,tblSalaries[[#This Row],[PPP Factor]]*tblSalaries[[#This Row],[Salary in USD]],tblSalaries[[#This Row],[Salary in USD]])</f>
        <v>48000</v>
      </c>
    </row>
    <row r="1817" spans="2:17" ht="15" customHeight="1" x14ac:dyDescent="0.25">
      <c r="B1817" t="s">
        <v>3820</v>
      </c>
      <c r="C1817" s="1">
        <v>41075.375960648147</v>
      </c>
      <c r="D1817" s="4">
        <v>48000</v>
      </c>
      <c r="E1817">
        <v>48000</v>
      </c>
      <c r="F1817" t="s">
        <v>6</v>
      </c>
      <c r="G1817">
        <f>tblSalaries[[#This Row],[clean Salary (in local currency)]]*VLOOKUP(tblSalaries[[#This Row],[Currency]],tblXrate[],2,FALSE)</f>
        <v>48000</v>
      </c>
      <c r="H1817" t="s">
        <v>310</v>
      </c>
      <c r="I1817" t="s">
        <v>310</v>
      </c>
      <c r="J1817" t="s">
        <v>15</v>
      </c>
      <c r="K1817" t="str">
        <f>VLOOKUP(tblSalaries[[#This Row],[Where do you work]],tblCountries[[Actual]:[Mapping]],2,FALSE)</f>
        <v>USA</v>
      </c>
      <c r="L1817" t="s">
        <v>9</v>
      </c>
      <c r="M1817">
        <v>1</v>
      </c>
      <c r="N1817" s="8" t="str">
        <f>VLOOKUP(K1817,tblCountries[],3,0)</f>
        <v>North Amer.</v>
      </c>
      <c r="O1817" s="8">
        <f>VLOOKUP(tblSalaries[[#This Row],[How many hours of a day you work on Excel]],tblHours,2,0)</f>
        <v>4</v>
      </c>
      <c r="P1817" s="8">
        <f>VLOOKUP(tblSalaries[[#This Row],[clean Country]],tblCountries[],5,0)</f>
        <v>1</v>
      </c>
      <c r="Q1817" s="8">
        <f>IF($Q$1,tblSalaries[[#This Row],[PPP Factor]]*tblSalaries[[#This Row],[Salary in USD]],tblSalaries[[#This Row],[Salary in USD]])</f>
        <v>48000</v>
      </c>
    </row>
    <row r="1818" spans="2:17" ht="15" customHeight="1" x14ac:dyDescent="0.25">
      <c r="B1818" t="s">
        <v>3821</v>
      </c>
      <c r="C1818" s="1">
        <v>41075.629988425928</v>
      </c>
      <c r="D1818" s="4">
        <v>700</v>
      </c>
      <c r="E1818">
        <v>8400</v>
      </c>
      <c r="F1818" t="s">
        <v>6</v>
      </c>
      <c r="G1818">
        <f>tblSalaries[[#This Row],[clean Salary (in local currency)]]*VLOOKUP(tblSalaries[[#This Row],[Currency]],tblXrate[],2,FALSE)</f>
        <v>8400</v>
      </c>
      <c r="H1818" t="s">
        <v>20</v>
      </c>
      <c r="I1818" t="s">
        <v>20</v>
      </c>
      <c r="J1818" t="s">
        <v>1951</v>
      </c>
      <c r="K1818" t="str">
        <f>VLOOKUP(tblSalaries[[#This Row],[Where do you work]],tblCountries[[Actual]:[Mapping]],2,FALSE)</f>
        <v>Baltic</v>
      </c>
      <c r="L1818" t="s">
        <v>13</v>
      </c>
      <c r="M1818">
        <v>0.3</v>
      </c>
      <c r="N1818" s="8" t="str">
        <f>VLOOKUP(K1818,tblCountries[],3,0)</f>
        <v>Europe</v>
      </c>
      <c r="O1818" s="8">
        <f>VLOOKUP(tblSalaries[[#This Row],[How many hours of a day you work on Excel]],tblHours,2,0)</f>
        <v>5</v>
      </c>
      <c r="P1818" s="8">
        <f>VLOOKUP(tblSalaries[[#This Row],[clean Country]],tblCountries[],5,0)</f>
        <v>1</v>
      </c>
      <c r="Q1818" s="8">
        <f>IF($Q$1,tblSalaries[[#This Row],[PPP Factor]]*tblSalaries[[#This Row],[Salary in USD]],tblSalaries[[#This Row],[Salary in USD]])</f>
        <v>8400</v>
      </c>
    </row>
    <row r="1819" spans="2:17" ht="15" customHeight="1" x14ac:dyDescent="0.25">
      <c r="B1819" t="s">
        <v>3822</v>
      </c>
      <c r="C1819" s="1">
        <v>41075.655347222222</v>
      </c>
      <c r="D1819" s="4">
        <v>270000</v>
      </c>
      <c r="E1819">
        <v>270000</v>
      </c>
      <c r="F1819" t="s">
        <v>40</v>
      </c>
      <c r="G1819">
        <f>tblSalaries[[#This Row],[clean Salary (in local currency)]]*VLOOKUP(tblSalaries[[#This Row],[Currency]],tblXrate[],2,FALSE)</f>
        <v>4808.137505609493</v>
      </c>
      <c r="H1819" t="s">
        <v>91</v>
      </c>
      <c r="I1819" t="s">
        <v>52</v>
      </c>
      <c r="J1819" t="s">
        <v>8</v>
      </c>
      <c r="K1819" t="str">
        <f>VLOOKUP(tblSalaries[[#This Row],[Where do you work]],tblCountries[[Actual]:[Mapping]],2,FALSE)</f>
        <v>India</v>
      </c>
      <c r="L1819" t="s">
        <v>18</v>
      </c>
      <c r="M1819">
        <v>5</v>
      </c>
      <c r="N1819" s="8" t="str">
        <f>VLOOKUP(K1819,tblCountries[],3,0)</f>
        <v>Asia</v>
      </c>
      <c r="O1819" s="8">
        <f>VLOOKUP(tblSalaries[[#This Row],[How many hours of a day you work on Excel]],tblHours,2,0)</f>
        <v>3</v>
      </c>
      <c r="P1819" s="8">
        <f>VLOOKUP(tblSalaries[[#This Row],[clean Country]],tblCountries[],5,0)</f>
        <v>13.098808879263672</v>
      </c>
      <c r="Q1819" s="8">
        <f>IF($Q$1,tblSalaries[[#This Row],[PPP Factor]]*tblSalaries[[#This Row],[Salary in USD]],tblSalaries[[#This Row],[Salary in USD]])</f>
        <v>4808.137505609493</v>
      </c>
    </row>
    <row r="1820" spans="2:17" ht="15" customHeight="1" x14ac:dyDescent="0.25">
      <c r="B1820" t="s">
        <v>3823</v>
      </c>
      <c r="C1820" s="1">
        <v>41075.692210648151</v>
      </c>
      <c r="D1820" s="4">
        <v>1400000</v>
      </c>
      <c r="E1820">
        <v>1400000</v>
      </c>
      <c r="F1820" t="s">
        <v>40</v>
      </c>
      <c r="G1820">
        <f>tblSalaries[[#This Row],[clean Salary (in local currency)]]*VLOOKUP(tblSalaries[[#This Row],[Currency]],tblXrate[],2,FALSE)</f>
        <v>24931.083362419595</v>
      </c>
      <c r="H1820" t="s">
        <v>1952</v>
      </c>
      <c r="I1820" t="s">
        <v>52</v>
      </c>
      <c r="J1820" t="s">
        <v>8</v>
      </c>
      <c r="K1820" t="str">
        <f>VLOOKUP(tblSalaries[[#This Row],[Where do you work]],tblCountries[[Actual]:[Mapping]],2,FALSE)</f>
        <v>India</v>
      </c>
      <c r="L1820" t="s">
        <v>9</v>
      </c>
      <c r="M1820">
        <v>10</v>
      </c>
      <c r="N1820" s="8" t="str">
        <f>VLOOKUP(K1820,tblCountries[],3,0)</f>
        <v>Asia</v>
      </c>
      <c r="O1820" s="8">
        <f>VLOOKUP(tblSalaries[[#This Row],[How many hours of a day you work on Excel]],tblHours,2,0)</f>
        <v>4</v>
      </c>
      <c r="P1820" s="8">
        <f>VLOOKUP(tblSalaries[[#This Row],[clean Country]],tblCountries[],5,0)</f>
        <v>13.098808879263672</v>
      </c>
      <c r="Q1820" s="8">
        <f>IF($Q$1,tblSalaries[[#This Row],[PPP Factor]]*tblSalaries[[#This Row],[Salary in USD]],tblSalaries[[#This Row],[Salary in USD]])</f>
        <v>24931.083362419595</v>
      </c>
    </row>
    <row r="1821" spans="2:17" ht="15" customHeight="1" x14ac:dyDescent="0.25">
      <c r="B1821" t="s">
        <v>3824</v>
      </c>
      <c r="C1821" s="1">
        <v>41075.719664351855</v>
      </c>
      <c r="D1821" s="4" t="s">
        <v>873</v>
      </c>
      <c r="E1821">
        <v>700000</v>
      </c>
      <c r="F1821" t="s">
        <v>40</v>
      </c>
      <c r="G1821">
        <f>tblSalaries[[#This Row],[clean Salary (in local currency)]]*VLOOKUP(tblSalaries[[#This Row],[Currency]],tblXrate[],2,FALSE)</f>
        <v>12465.541681209797</v>
      </c>
      <c r="H1821" t="s">
        <v>1953</v>
      </c>
      <c r="I1821" t="s">
        <v>20</v>
      </c>
      <c r="J1821" t="s">
        <v>8</v>
      </c>
      <c r="K1821" t="str">
        <f>VLOOKUP(tblSalaries[[#This Row],[Where do you work]],tblCountries[[Actual]:[Mapping]],2,FALSE)</f>
        <v>India</v>
      </c>
      <c r="L1821" t="s">
        <v>18</v>
      </c>
      <c r="M1821">
        <v>4</v>
      </c>
      <c r="N1821" s="8" t="str">
        <f>VLOOKUP(K1821,tblCountries[],3,0)</f>
        <v>Asia</v>
      </c>
      <c r="O1821" s="8">
        <f>VLOOKUP(tblSalaries[[#This Row],[How many hours of a day you work on Excel]],tblHours,2,0)</f>
        <v>3</v>
      </c>
      <c r="P1821" s="8">
        <f>VLOOKUP(tblSalaries[[#This Row],[clean Country]],tblCountries[],5,0)</f>
        <v>13.098808879263672</v>
      </c>
      <c r="Q1821" s="8">
        <f>IF($Q$1,tblSalaries[[#This Row],[PPP Factor]]*tblSalaries[[#This Row],[Salary in USD]],tblSalaries[[#This Row],[Salary in USD]])</f>
        <v>12465.541681209797</v>
      </c>
    </row>
    <row r="1822" spans="2:17" ht="15" customHeight="1" x14ac:dyDescent="0.25">
      <c r="B1822" t="s">
        <v>3825</v>
      </c>
      <c r="C1822" s="1">
        <v>41075.73300925926</v>
      </c>
      <c r="D1822" s="4">
        <v>20000</v>
      </c>
      <c r="E1822">
        <v>20000</v>
      </c>
      <c r="F1822" t="s">
        <v>69</v>
      </c>
      <c r="G1822">
        <f>tblSalaries[[#This Row],[clean Salary (in local currency)]]*VLOOKUP(tblSalaries[[#This Row],[Currency]],tblXrate[],2,FALSE)</f>
        <v>31523.565441345683</v>
      </c>
      <c r="H1822" t="s">
        <v>310</v>
      </c>
      <c r="I1822" t="s">
        <v>310</v>
      </c>
      <c r="J1822" t="s">
        <v>71</v>
      </c>
      <c r="K1822" t="str">
        <f>VLOOKUP(tblSalaries[[#This Row],[Where do you work]],tblCountries[[Actual]:[Mapping]],2,FALSE)</f>
        <v>UK</v>
      </c>
      <c r="L1822" t="s">
        <v>18</v>
      </c>
      <c r="M1822">
        <v>10</v>
      </c>
      <c r="N1822" s="8" t="str">
        <f>VLOOKUP(K1822,tblCountries[],3,0)</f>
        <v>Europe</v>
      </c>
      <c r="O1822" s="8">
        <f>VLOOKUP(tblSalaries[[#This Row],[How many hours of a day you work on Excel]],tblHours,2,0)</f>
        <v>3</v>
      </c>
      <c r="P1822" s="8">
        <f>VLOOKUP(tblSalaries[[#This Row],[clean Country]],tblCountries[],5,0)</f>
        <v>1.3407315045719035</v>
      </c>
      <c r="Q1822" s="8">
        <f>IF($Q$1,tblSalaries[[#This Row],[PPP Factor]]*tblSalaries[[#This Row],[Salary in USD]],tblSalaries[[#This Row],[Salary in USD]])</f>
        <v>31523.565441345683</v>
      </c>
    </row>
    <row r="1823" spans="2:17" ht="15" customHeight="1" x14ac:dyDescent="0.25">
      <c r="B1823" t="s">
        <v>3826</v>
      </c>
      <c r="C1823" s="1">
        <v>41075.733449074076</v>
      </c>
      <c r="D1823" s="4" t="s">
        <v>395</v>
      </c>
      <c r="E1823">
        <v>1000000</v>
      </c>
      <c r="F1823" t="s">
        <v>40</v>
      </c>
      <c r="G1823">
        <f>tblSalaries[[#This Row],[clean Salary (in local currency)]]*VLOOKUP(tblSalaries[[#This Row],[Currency]],tblXrate[],2,FALSE)</f>
        <v>17807.916687442568</v>
      </c>
      <c r="H1823" t="s">
        <v>1954</v>
      </c>
      <c r="I1823" t="s">
        <v>52</v>
      </c>
      <c r="J1823" t="s">
        <v>8</v>
      </c>
      <c r="K1823" t="str">
        <f>VLOOKUP(tblSalaries[[#This Row],[Where do you work]],tblCountries[[Actual]:[Mapping]],2,FALSE)</f>
        <v>India</v>
      </c>
      <c r="L1823" t="s">
        <v>13</v>
      </c>
      <c r="M1823">
        <v>10</v>
      </c>
      <c r="N1823" s="8" t="str">
        <f>VLOOKUP(K1823,tblCountries[],3,0)</f>
        <v>Asia</v>
      </c>
      <c r="O1823" s="8">
        <f>VLOOKUP(tblSalaries[[#This Row],[How many hours of a day you work on Excel]],tblHours,2,0)</f>
        <v>5</v>
      </c>
      <c r="P1823" s="8">
        <f>VLOOKUP(tblSalaries[[#This Row],[clean Country]],tblCountries[],5,0)</f>
        <v>13.098808879263672</v>
      </c>
      <c r="Q1823" s="8">
        <f>IF($Q$1,tblSalaries[[#This Row],[PPP Factor]]*tblSalaries[[#This Row],[Salary in USD]],tblSalaries[[#This Row],[Salary in USD]])</f>
        <v>17807.916687442568</v>
      </c>
    </row>
    <row r="1824" spans="2:17" ht="15" customHeight="1" x14ac:dyDescent="0.25">
      <c r="B1824" t="s">
        <v>3827</v>
      </c>
      <c r="C1824" s="1">
        <v>41075.759166666663</v>
      </c>
      <c r="D1824" s="4">
        <v>112000</v>
      </c>
      <c r="E1824">
        <v>112000</v>
      </c>
      <c r="F1824" t="s">
        <v>6</v>
      </c>
      <c r="G1824">
        <f>tblSalaries[[#This Row],[clean Salary (in local currency)]]*VLOOKUP(tblSalaries[[#This Row],[Currency]],tblXrate[],2,FALSE)</f>
        <v>112000</v>
      </c>
      <c r="H1824" t="s">
        <v>635</v>
      </c>
      <c r="I1824" t="s">
        <v>52</v>
      </c>
      <c r="J1824" t="s">
        <v>15</v>
      </c>
      <c r="K1824" t="str">
        <f>VLOOKUP(tblSalaries[[#This Row],[Where do you work]],tblCountries[[Actual]:[Mapping]],2,FALSE)</f>
        <v>USA</v>
      </c>
      <c r="L1824" t="s">
        <v>18</v>
      </c>
      <c r="M1824">
        <v>8</v>
      </c>
      <c r="N1824" s="8" t="str">
        <f>VLOOKUP(K1824,tblCountries[],3,0)</f>
        <v>North Amer.</v>
      </c>
      <c r="O1824" s="8">
        <f>VLOOKUP(tblSalaries[[#This Row],[How many hours of a day you work on Excel]],tblHours,2,0)</f>
        <v>3</v>
      </c>
      <c r="P1824" s="8">
        <f>VLOOKUP(tblSalaries[[#This Row],[clean Country]],tblCountries[],5,0)</f>
        <v>1</v>
      </c>
      <c r="Q1824" s="8">
        <f>IF($Q$1,tblSalaries[[#This Row],[PPP Factor]]*tblSalaries[[#This Row],[Salary in USD]],tblSalaries[[#This Row],[Salary in USD]])</f>
        <v>112000</v>
      </c>
    </row>
    <row r="1825" spans="2:17" ht="15" customHeight="1" x14ac:dyDescent="0.25">
      <c r="B1825" t="s">
        <v>3828</v>
      </c>
      <c r="C1825" s="1">
        <v>41075.833634259259</v>
      </c>
      <c r="D1825" s="4">
        <v>11000</v>
      </c>
      <c r="E1825">
        <v>11000</v>
      </c>
      <c r="F1825" t="s">
        <v>6</v>
      </c>
      <c r="G1825">
        <f>tblSalaries[[#This Row],[clean Salary (in local currency)]]*VLOOKUP(tblSalaries[[#This Row],[Currency]],tblXrate[],2,FALSE)</f>
        <v>11000</v>
      </c>
      <c r="H1825" t="s">
        <v>1939</v>
      </c>
      <c r="I1825" t="s">
        <v>52</v>
      </c>
      <c r="J1825" t="s">
        <v>8</v>
      </c>
      <c r="K1825" t="str">
        <f>VLOOKUP(tblSalaries[[#This Row],[Where do you work]],tblCountries[[Actual]:[Mapping]],2,FALSE)</f>
        <v>India</v>
      </c>
      <c r="L1825" t="s">
        <v>13</v>
      </c>
      <c r="M1825">
        <v>8</v>
      </c>
      <c r="N1825" s="8" t="str">
        <f>VLOOKUP(K1825,tblCountries[],3,0)</f>
        <v>Asia</v>
      </c>
      <c r="O1825" s="8">
        <f>VLOOKUP(tblSalaries[[#This Row],[How many hours of a day you work on Excel]],tblHours,2,0)</f>
        <v>5</v>
      </c>
      <c r="P1825" s="8">
        <f>VLOOKUP(tblSalaries[[#This Row],[clean Country]],tblCountries[],5,0)</f>
        <v>13.098808879263672</v>
      </c>
      <c r="Q1825" s="8">
        <f>IF($Q$1,tblSalaries[[#This Row],[PPP Factor]]*tblSalaries[[#This Row],[Salary in USD]],tblSalaries[[#This Row],[Salary in USD]])</f>
        <v>11000</v>
      </c>
    </row>
    <row r="1826" spans="2:17" ht="15" customHeight="1" x14ac:dyDescent="0.25">
      <c r="B1826" t="s">
        <v>3829</v>
      </c>
      <c r="C1826" s="1">
        <v>41075.868622685186</v>
      </c>
      <c r="D1826" s="4" t="s">
        <v>1955</v>
      </c>
      <c r="E1826">
        <v>90000</v>
      </c>
      <c r="F1826" t="s">
        <v>22</v>
      </c>
      <c r="G1826">
        <f>tblSalaries[[#This Row],[clean Salary (in local currency)]]*VLOOKUP(tblSalaries[[#This Row],[Currency]],tblXrate[],2,FALSE)</f>
        <v>114335.9495092447</v>
      </c>
      <c r="H1826" t="s">
        <v>488</v>
      </c>
      <c r="I1826" t="s">
        <v>488</v>
      </c>
      <c r="J1826" t="s">
        <v>1956</v>
      </c>
      <c r="K1826" t="str">
        <f>VLOOKUP(tblSalaries[[#This Row],[Where do you work]],tblCountries[[Actual]:[Mapping]],2,FALSE)</f>
        <v>Europe</v>
      </c>
      <c r="L1826" t="s">
        <v>18</v>
      </c>
      <c r="M1826">
        <v>20</v>
      </c>
      <c r="N1826" s="8" t="str">
        <f>VLOOKUP(K1826,tblCountries[],3,0)</f>
        <v>Europe</v>
      </c>
      <c r="O1826" s="8">
        <f>VLOOKUP(tblSalaries[[#This Row],[How many hours of a day you work on Excel]],tblHours,2,0)</f>
        <v>3</v>
      </c>
      <c r="P1826" s="8">
        <f>VLOOKUP(tblSalaries[[#This Row],[clean Country]],tblCountries[],5,0)</f>
        <v>1</v>
      </c>
      <c r="Q1826" s="8">
        <f>IF($Q$1,tblSalaries[[#This Row],[PPP Factor]]*tblSalaries[[#This Row],[Salary in USD]],tblSalaries[[#This Row],[Salary in USD]])</f>
        <v>114335.9495092447</v>
      </c>
    </row>
    <row r="1827" spans="2:17" ht="15" customHeight="1" x14ac:dyDescent="0.25">
      <c r="B1827" t="s">
        <v>3830</v>
      </c>
      <c r="C1827" s="1">
        <v>41075.897407407407</v>
      </c>
      <c r="D1827" s="4" t="s">
        <v>1957</v>
      </c>
      <c r="E1827">
        <v>16110</v>
      </c>
      <c r="F1827" t="s">
        <v>6</v>
      </c>
      <c r="G1827">
        <f>tblSalaries[[#This Row],[clean Salary (in local currency)]]*VLOOKUP(tblSalaries[[#This Row],[Currency]],tblXrate[],2,FALSE)</f>
        <v>16110</v>
      </c>
      <c r="H1827" t="s">
        <v>1958</v>
      </c>
      <c r="I1827" t="s">
        <v>20</v>
      </c>
      <c r="J1827" t="s">
        <v>1959</v>
      </c>
      <c r="K1827" t="str">
        <f>VLOOKUP(tblSalaries[[#This Row],[Where do you work]],tblCountries[[Actual]:[Mapping]],2,FALSE)</f>
        <v>Colombia</v>
      </c>
      <c r="L1827" t="s">
        <v>13</v>
      </c>
      <c r="M1827">
        <v>10</v>
      </c>
      <c r="N1827" s="8" t="str">
        <f>VLOOKUP(K1827,tblCountries[],3,0)</f>
        <v>South Amer.</v>
      </c>
      <c r="O1827" s="8">
        <f>VLOOKUP(tblSalaries[[#This Row],[How many hours of a day you work on Excel]],tblHours,2,0)</f>
        <v>5</v>
      </c>
      <c r="P1827" s="8">
        <f>VLOOKUP(tblSalaries[[#This Row],[clean Country]],tblCountries[],5,0)</f>
        <v>4.721143526197678</v>
      </c>
      <c r="Q1827" s="8">
        <f>IF($Q$1,tblSalaries[[#This Row],[PPP Factor]]*tblSalaries[[#This Row],[Salary in USD]],tblSalaries[[#This Row],[Salary in USD]])</f>
        <v>16110</v>
      </c>
    </row>
    <row r="1828" spans="2:17" ht="15" customHeight="1" x14ac:dyDescent="0.25">
      <c r="B1828" t="s">
        <v>3831</v>
      </c>
      <c r="C1828" s="1">
        <v>41075.942187499997</v>
      </c>
      <c r="D1828" s="4">
        <v>72000</v>
      </c>
      <c r="E1828">
        <v>72000</v>
      </c>
      <c r="F1828" t="s">
        <v>6</v>
      </c>
      <c r="G1828">
        <f>tblSalaries[[#This Row],[clean Salary (in local currency)]]*VLOOKUP(tblSalaries[[#This Row],[Currency]],tblXrate[],2,FALSE)</f>
        <v>72000</v>
      </c>
      <c r="H1828" t="s">
        <v>1960</v>
      </c>
      <c r="I1828" t="s">
        <v>52</v>
      </c>
      <c r="J1828" t="s">
        <v>15</v>
      </c>
      <c r="K1828" t="str">
        <f>VLOOKUP(tblSalaries[[#This Row],[Where do you work]],tblCountries[[Actual]:[Mapping]],2,FALSE)</f>
        <v>USA</v>
      </c>
      <c r="L1828" t="s">
        <v>9</v>
      </c>
      <c r="M1828">
        <v>10</v>
      </c>
      <c r="N1828" s="8" t="str">
        <f>VLOOKUP(K1828,tblCountries[],3,0)</f>
        <v>North Amer.</v>
      </c>
      <c r="O1828" s="8">
        <f>VLOOKUP(tblSalaries[[#This Row],[How many hours of a day you work on Excel]],tblHours,2,0)</f>
        <v>4</v>
      </c>
      <c r="P1828" s="8">
        <f>VLOOKUP(tblSalaries[[#This Row],[clean Country]],tblCountries[],5,0)</f>
        <v>1</v>
      </c>
      <c r="Q1828" s="8">
        <f>IF($Q$1,tblSalaries[[#This Row],[PPP Factor]]*tblSalaries[[#This Row],[Salary in USD]],tblSalaries[[#This Row],[Salary in USD]])</f>
        <v>72000</v>
      </c>
    </row>
    <row r="1829" spans="2:17" ht="15" customHeight="1" x14ac:dyDescent="0.25">
      <c r="B1829" t="s">
        <v>3832</v>
      </c>
      <c r="C1829" s="1">
        <v>41075.972916666666</v>
      </c>
      <c r="D1829" s="4">
        <v>60000</v>
      </c>
      <c r="E1829">
        <v>60000</v>
      </c>
      <c r="F1829" t="s">
        <v>6</v>
      </c>
      <c r="G1829">
        <f>tblSalaries[[#This Row],[clean Salary (in local currency)]]*VLOOKUP(tblSalaries[[#This Row],[Currency]],tblXrate[],2,FALSE)</f>
        <v>60000</v>
      </c>
      <c r="H1829" t="s">
        <v>1961</v>
      </c>
      <c r="I1829" t="s">
        <v>20</v>
      </c>
      <c r="J1829" t="s">
        <v>15</v>
      </c>
      <c r="K1829" t="str">
        <f>VLOOKUP(tblSalaries[[#This Row],[Where do you work]],tblCountries[[Actual]:[Mapping]],2,FALSE)</f>
        <v>USA</v>
      </c>
      <c r="L1829" t="s">
        <v>13</v>
      </c>
      <c r="M1829">
        <v>10</v>
      </c>
      <c r="N1829" s="8" t="str">
        <f>VLOOKUP(K1829,tblCountries[],3,0)</f>
        <v>North Amer.</v>
      </c>
      <c r="O1829" s="8">
        <f>VLOOKUP(tblSalaries[[#This Row],[How many hours of a day you work on Excel]],tblHours,2,0)</f>
        <v>5</v>
      </c>
      <c r="P1829" s="8">
        <f>VLOOKUP(tblSalaries[[#This Row],[clean Country]],tblCountries[],5,0)</f>
        <v>1</v>
      </c>
      <c r="Q1829" s="8">
        <f>IF($Q$1,tblSalaries[[#This Row],[PPP Factor]]*tblSalaries[[#This Row],[Salary in USD]],tblSalaries[[#This Row],[Salary in USD]])</f>
        <v>60000</v>
      </c>
    </row>
    <row r="1830" spans="2:17" ht="15" customHeight="1" x14ac:dyDescent="0.25">
      <c r="B1830" t="s">
        <v>3833</v>
      </c>
      <c r="C1830" s="1">
        <v>41075.99318287037</v>
      </c>
      <c r="D1830" s="4">
        <v>67000</v>
      </c>
      <c r="E1830">
        <v>67000</v>
      </c>
      <c r="F1830" t="s">
        <v>6</v>
      </c>
      <c r="G1830">
        <f>tblSalaries[[#This Row],[clean Salary (in local currency)]]*VLOOKUP(tblSalaries[[#This Row],[Currency]],tblXrate[],2,FALSE)</f>
        <v>67000</v>
      </c>
      <c r="H1830" t="s">
        <v>1962</v>
      </c>
      <c r="I1830" t="s">
        <v>20</v>
      </c>
      <c r="J1830" t="s">
        <v>15</v>
      </c>
      <c r="K1830" t="str">
        <f>VLOOKUP(tblSalaries[[#This Row],[Where do you work]],tblCountries[[Actual]:[Mapping]],2,FALSE)</f>
        <v>USA</v>
      </c>
      <c r="L1830" t="s">
        <v>9</v>
      </c>
      <c r="M1830">
        <v>6</v>
      </c>
      <c r="N1830" s="8" t="str">
        <f>VLOOKUP(K1830,tblCountries[],3,0)</f>
        <v>North Amer.</v>
      </c>
      <c r="O1830" s="8">
        <f>VLOOKUP(tblSalaries[[#This Row],[How many hours of a day you work on Excel]],tblHours,2,0)</f>
        <v>4</v>
      </c>
      <c r="P1830" s="8">
        <f>VLOOKUP(tblSalaries[[#This Row],[clean Country]],tblCountries[],5,0)</f>
        <v>1</v>
      </c>
      <c r="Q1830" s="8">
        <f>IF($Q$1,tblSalaries[[#This Row],[PPP Factor]]*tblSalaries[[#This Row],[Salary in USD]],tblSalaries[[#This Row],[Salary in USD]])</f>
        <v>67000</v>
      </c>
    </row>
    <row r="1831" spans="2:17" ht="15" customHeight="1" x14ac:dyDescent="0.25">
      <c r="B1831" t="s">
        <v>3834</v>
      </c>
      <c r="C1831" s="1">
        <v>41076.118622685186</v>
      </c>
      <c r="D1831" s="4">
        <v>54000</v>
      </c>
      <c r="E1831">
        <v>54000</v>
      </c>
      <c r="F1831" t="s">
        <v>6</v>
      </c>
      <c r="G1831">
        <f>tblSalaries[[#This Row],[clean Salary (in local currency)]]*VLOOKUP(tblSalaries[[#This Row],[Currency]],tblXrate[],2,FALSE)</f>
        <v>54000</v>
      </c>
      <c r="H1831" t="s">
        <v>1963</v>
      </c>
      <c r="I1831" t="s">
        <v>20</v>
      </c>
      <c r="J1831" t="s">
        <v>15</v>
      </c>
      <c r="K1831" t="str">
        <f>VLOOKUP(tblSalaries[[#This Row],[Where do you work]],tblCountries[[Actual]:[Mapping]],2,FALSE)</f>
        <v>USA</v>
      </c>
      <c r="L1831" t="s">
        <v>9</v>
      </c>
      <c r="M1831">
        <v>18</v>
      </c>
      <c r="N1831" s="8" t="str">
        <f>VLOOKUP(K1831,tblCountries[],3,0)</f>
        <v>North Amer.</v>
      </c>
      <c r="O1831" s="8">
        <f>VLOOKUP(tblSalaries[[#This Row],[How many hours of a day you work on Excel]],tblHours,2,0)</f>
        <v>4</v>
      </c>
      <c r="P1831" s="8">
        <f>VLOOKUP(tblSalaries[[#This Row],[clean Country]],tblCountries[],5,0)</f>
        <v>1</v>
      </c>
      <c r="Q1831" s="8">
        <f>IF($Q$1,tblSalaries[[#This Row],[PPP Factor]]*tblSalaries[[#This Row],[Salary in USD]],tblSalaries[[#This Row],[Salary in USD]])</f>
        <v>54000</v>
      </c>
    </row>
    <row r="1832" spans="2:17" ht="15" customHeight="1" x14ac:dyDescent="0.25">
      <c r="B1832" t="s">
        <v>3835</v>
      </c>
      <c r="C1832" s="1">
        <v>41076.224340277775</v>
      </c>
      <c r="D1832" s="4">
        <v>38666</v>
      </c>
      <c r="E1832">
        <v>38666</v>
      </c>
      <c r="F1832" t="s">
        <v>6</v>
      </c>
      <c r="G1832">
        <f>tblSalaries[[#This Row],[clean Salary (in local currency)]]*VLOOKUP(tblSalaries[[#This Row],[Currency]],tblXrate[],2,FALSE)</f>
        <v>38666</v>
      </c>
      <c r="H1832" t="s">
        <v>1964</v>
      </c>
      <c r="I1832" t="s">
        <v>67</v>
      </c>
      <c r="J1832" t="s">
        <v>48</v>
      </c>
      <c r="K1832" t="str">
        <f>VLOOKUP(tblSalaries[[#This Row],[Where do you work]],tblCountries[[Actual]:[Mapping]],2,FALSE)</f>
        <v>South Africa</v>
      </c>
      <c r="L1832" t="s">
        <v>13</v>
      </c>
      <c r="M1832">
        <v>10</v>
      </c>
      <c r="N1832" s="8" t="str">
        <f>VLOOKUP(K1832,tblCountries[],3,0)</f>
        <v>Africa</v>
      </c>
      <c r="O1832" s="8">
        <f>VLOOKUP(tblSalaries[[#This Row],[How many hours of a day you work on Excel]],tblHours,2,0)</f>
        <v>5</v>
      </c>
      <c r="P1832" s="8">
        <f>VLOOKUP(tblSalaries[[#This Row],[clean Country]],tblCountries[],5,0)</f>
        <v>4.4096418481727877</v>
      </c>
      <c r="Q1832" s="8">
        <f>IF($Q$1,tblSalaries[[#This Row],[PPP Factor]]*tblSalaries[[#This Row],[Salary in USD]],tblSalaries[[#This Row],[Salary in USD]])</f>
        <v>38666</v>
      </c>
    </row>
    <row r="1833" spans="2:17" ht="15" customHeight="1" x14ac:dyDescent="0.25">
      <c r="B1833" t="s">
        <v>3836</v>
      </c>
      <c r="C1833" s="1">
        <v>41076.262418981481</v>
      </c>
      <c r="D1833" s="4">
        <v>63000</v>
      </c>
      <c r="E1833">
        <v>63000</v>
      </c>
      <c r="F1833" t="s">
        <v>6</v>
      </c>
      <c r="G1833">
        <f>tblSalaries[[#This Row],[clean Salary (in local currency)]]*VLOOKUP(tblSalaries[[#This Row],[Currency]],tblXrate[],2,FALSE)</f>
        <v>63000</v>
      </c>
      <c r="H1833" t="s">
        <v>1965</v>
      </c>
      <c r="I1833" t="s">
        <v>20</v>
      </c>
      <c r="J1833" t="s">
        <v>15</v>
      </c>
      <c r="K1833" t="str">
        <f>VLOOKUP(tblSalaries[[#This Row],[Where do you work]],tblCountries[[Actual]:[Mapping]],2,FALSE)</f>
        <v>USA</v>
      </c>
      <c r="L1833" t="s">
        <v>9</v>
      </c>
      <c r="M1833">
        <v>6</v>
      </c>
      <c r="N1833" s="8" t="str">
        <f>VLOOKUP(K1833,tblCountries[],3,0)</f>
        <v>North Amer.</v>
      </c>
      <c r="O1833" s="8">
        <f>VLOOKUP(tblSalaries[[#This Row],[How many hours of a day you work on Excel]],tblHours,2,0)</f>
        <v>4</v>
      </c>
      <c r="P1833" s="8">
        <f>VLOOKUP(tblSalaries[[#This Row],[clean Country]],tblCountries[],5,0)</f>
        <v>1</v>
      </c>
      <c r="Q1833" s="8">
        <f>IF($Q$1,tblSalaries[[#This Row],[PPP Factor]]*tblSalaries[[#This Row],[Salary in USD]],tblSalaries[[#This Row],[Salary in USD]])</f>
        <v>63000</v>
      </c>
    </row>
    <row r="1834" spans="2:17" ht="15" customHeight="1" x14ac:dyDescent="0.25">
      <c r="B1834" t="s">
        <v>3837</v>
      </c>
      <c r="C1834" s="1">
        <v>41076.340960648151</v>
      </c>
      <c r="D1834" s="4" t="s">
        <v>423</v>
      </c>
      <c r="E1834">
        <v>63000</v>
      </c>
      <c r="F1834" t="s">
        <v>6</v>
      </c>
      <c r="G1834">
        <f>tblSalaries[[#This Row],[clean Salary (in local currency)]]*VLOOKUP(tblSalaries[[#This Row],[Currency]],tblXrate[],2,FALSE)</f>
        <v>63000</v>
      </c>
      <c r="H1834" t="s">
        <v>14</v>
      </c>
      <c r="I1834" t="s">
        <v>20</v>
      </c>
      <c r="J1834" t="s">
        <v>15</v>
      </c>
      <c r="K1834" t="str">
        <f>VLOOKUP(tblSalaries[[#This Row],[Where do you work]],tblCountries[[Actual]:[Mapping]],2,FALSE)</f>
        <v>USA</v>
      </c>
      <c r="L1834" t="s">
        <v>13</v>
      </c>
      <c r="M1834">
        <v>1</v>
      </c>
      <c r="N1834" s="8" t="str">
        <f>VLOOKUP(K1834,tblCountries[],3,0)</f>
        <v>North Amer.</v>
      </c>
      <c r="O1834" s="8">
        <f>VLOOKUP(tblSalaries[[#This Row],[How many hours of a day you work on Excel]],tblHours,2,0)</f>
        <v>5</v>
      </c>
      <c r="P1834" s="8">
        <f>VLOOKUP(tblSalaries[[#This Row],[clean Country]],tblCountries[],5,0)</f>
        <v>1</v>
      </c>
      <c r="Q1834" s="8">
        <f>IF($Q$1,tblSalaries[[#This Row],[PPP Factor]]*tblSalaries[[#This Row],[Salary in USD]],tblSalaries[[#This Row],[Salary in USD]])</f>
        <v>63000</v>
      </c>
    </row>
    <row r="1835" spans="2:17" ht="15" customHeight="1" x14ac:dyDescent="0.25">
      <c r="B1835" t="s">
        <v>3838</v>
      </c>
      <c r="C1835" s="1">
        <v>41076.590868055559</v>
      </c>
      <c r="D1835" s="4" t="s">
        <v>1966</v>
      </c>
      <c r="E1835">
        <v>360000</v>
      </c>
      <c r="F1835" t="s">
        <v>40</v>
      </c>
      <c r="G1835">
        <f>tblSalaries[[#This Row],[clean Salary (in local currency)]]*VLOOKUP(tblSalaries[[#This Row],[Currency]],tblXrate[],2,FALSE)</f>
        <v>6410.8500074793246</v>
      </c>
      <c r="H1835" t="s">
        <v>20</v>
      </c>
      <c r="I1835" t="s">
        <v>20</v>
      </c>
      <c r="J1835" t="s">
        <v>8</v>
      </c>
      <c r="K1835" t="str">
        <f>VLOOKUP(tblSalaries[[#This Row],[Where do you work]],tblCountries[[Actual]:[Mapping]],2,FALSE)</f>
        <v>India</v>
      </c>
      <c r="L1835" t="s">
        <v>13</v>
      </c>
      <c r="M1835">
        <v>2</v>
      </c>
      <c r="N1835" s="8" t="str">
        <f>VLOOKUP(K1835,tblCountries[],3,0)</f>
        <v>Asia</v>
      </c>
      <c r="O1835" s="8">
        <f>VLOOKUP(tblSalaries[[#This Row],[How many hours of a day you work on Excel]],tblHours,2,0)</f>
        <v>5</v>
      </c>
      <c r="P1835" s="8">
        <f>VLOOKUP(tblSalaries[[#This Row],[clean Country]],tblCountries[],5,0)</f>
        <v>13.098808879263672</v>
      </c>
      <c r="Q1835" s="8">
        <f>IF($Q$1,tblSalaries[[#This Row],[PPP Factor]]*tblSalaries[[#This Row],[Salary in USD]],tblSalaries[[#This Row],[Salary in USD]])</f>
        <v>6410.8500074793246</v>
      </c>
    </row>
    <row r="1836" spans="2:17" ht="15" customHeight="1" x14ac:dyDescent="0.25">
      <c r="B1836" t="s">
        <v>3839</v>
      </c>
      <c r="C1836" s="1">
        <v>41076.71371527778</v>
      </c>
      <c r="D1836" s="4" t="s">
        <v>1967</v>
      </c>
      <c r="E1836">
        <v>600000</v>
      </c>
      <c r="F1836" t="s">
        <v>40</v>
      </c>
      <c r="G1836">
        <f>tblSalaries[[#This Row],[clean Salary (in local currency)]]*VLOOKUP(tblSalaries[[#This Row],[Currency]],tblXrate[],2,FALSE)</f>
        <v>10684.750012465542</v>
      </c>
      <c r="H1836" t="s">
        <v>1968</v>
      </c>
      <c r="I1836" t="s">
        <v>52</v>
      </c>
      <c r="J1836" t="s">
        <v>8</v>
      </c>
      <c r="K1836" t="str">
        <f>VLOOKUP(tblSalaries[[#This Row],[Where do you work]],tblCountries[[Actual]:[Mapping]],2,FALSE)</f>
        <v>India</v>
      </c>
      <c r="L1836" t="s">
        <v>9</v>
      </c>
      <c r="M1836">
        <v>12</v>
      </c>
      <c r="N1836" s="8" t="str">
        <f>VLOOKUP(K1836,tblCountries[],3,0)</f>
        <v>Asia</v>
      </c>
      <c r="O1836" s="8">
        <f>VLOOKUP(tblSalaries[[#This Row],[How many hours of a day you work on Excel]],tblHours,2,0)</f>
        <v>4</v>
      </c>
      <c r="P1836" s="8">
        <f>VLOOKUP(tblSalaries[[#This Row],[clean Country]],tblCountries[],5,0)</f>
        <v>13.098808879263672</v>
      </c>
      <c r="Q1836" s="8">
        <f>IF($Q$1,tblSalaries[[#This Row],[PPP Factor]]*tblSalaries[[#This Row],[Salary in USD]],tblSalaries[[#This Row],[Salary in USD]])</f>
        <v>10684.750012465542</v>
      </c>
    </row>
    <row r="1837" spans="2:17" ht="15" customHeight="1" x14ac:dyDescent="0.25">
      <c r="B1837" t="s">
        <v>3840</v>
      </c>
      <c r="C1837" s="1">
        <v>41076.718090277776</v>
      </c>
      <c r="D1837" s="4">
        <v>40000</v>
      </c>
      <c r="E1837">
        <v>40000</v>
      </c>
      <c r="F1837" t="s">
        <v>6</v>
      </c>
      <c r="G1837">
        <f>tblSalaries[[#This Row],[clean Salary (in local currency)]]*VLOOKUP(tblSalaries[[#This Row],[Currency]],tblXrate[],2,FALSE)</f>
        <v>40000</v>
      </c>
      <c r="H1837" t="s">
        <v>1022</v>
      </c>
      <c r="I1837" t="s">
        <v>52</v>
      </c>
      <c r="J1837" t="s">
        <v>8</v>
      </c>
      <c r="K1837" t="str">
        <f>VLOOKUP(tblSalaries[[#This Row],[Where do you work]],tblCountries[[Actual]:[Mapping]],2,FALSE)</f>
        <v>India</v>
      </c>
      <c r="L1837" t="s">
        <v>9</v>
      </c>
      <c r="M1837">
        <v>5</v>
      </c>
      <c r="N1837" s="8" t="str">
        <f>VLOOKUP(K1837,tblCountries[],3,0)</f>
        <v>Asia</v>
      </c>
      <c r="O1837" s="8">
        <f>VLOOKUP(tblSalaries[[#This Row],[How many hours of a day you work on Excel]],tblHours,2,0)</f>
        <v>4</v>
      </c>
      <c r="P1837" s="8">
        <f>VLOOKUP(tblSalaries[[#This Row],[clean Country]],tblCountries[],5,0)</f>
        <v>13.098808879263672</v>
      </c>
      <c r="Q1837" s="8">
        <f>IF($Q$1,tblSalaries[[#This Row],[PPP Factor]]*tblSalaries[[#This Row],[Salary in USD]],tblSalaries[[#This Row],[Salary in USD]])</f>
        <v>40000</v>
      </c>
    </row>
    <row r="1838" spans="2:17" ht="15" customHeight="1" x14ac:dyDescent="0.25">
      <c r="B1838" t="s">
        <v>3841</v>
      </c>
      <c r="C1838" s="1">
        <v>41076.742673611108</v>
      </c>
      <c r="D1838" s="4" t="s">
        <v>1969</v>
      </c>
      <c r="E1838">
        <v>350000</v>
      </c>
      <c r="F1838" t="s">
        <v>40</v>
      </c>
      <c r="G1838">
        <f>tblSalaries[[#This Row],[clean Salary (in local currency)]]*VLOOKUP(tblSalaries[[#This Row],[Currency]],tblXrate[],2,FALSE)</f>
        <v>6232.7708406048987</v>
      </c>
      <c r="H1838" t="s">
        <v>20</v>
      </c>
      <c r="I1838" t="s">
        <v>20</v>
      </c>
      <c r="J1838" t="s">
        <v>8</v>
      </c>
      <c r="K1838" t="str">
        <f>VLOOKUP(tblSalaries[[#This Row],[Where do you work]],tblCountries[[Actual]:[Mapping]],2,FALSE)</f>
        <v>India</v>
      </c>
      <c r="L1838" t="s">
        <v>9</v>
      </c>
      <c r="M1838">
        <v>6</v>
      </c>
      <c r="N1838" s="8" t="str">
        <f>VLOOKUP(K1838,tblCountries[],3,0)</f>
        <v>Asia</v>
      </c>
      <c r="O1838" s="8">
        <f>VLOOKUP(tblSalaries[[#This Row],[How many hours of a day you work on Excel]],tblHours,2,0)</f>
        <v>4</v>
      </c>
      <c r="P1838" s="8">
        <f>VLOOKUP(tblSalaries[[#This Row],[clean Country]],tblCountries[],5,0)</f>
        <v>13.098808879263672</v>
      </c>
      <c r="Q1838" s="8">
        <f>IF($Q$1,tblSalaries[[#This Row],[PPP Factor]]*tblSalaries[[#This Row],[Salary in USD]],tblSalaries[[#This Row],[Salary in USD]])</f>
        <v>6232.7708406048987</v>
      </c>
    </row>
    <row r="1839" spans="2:17" ht="15" customHeight="1" x14ac:dyDescent="0.25">
      <c r="B1839" t="s">
        <v>3842</v>
      </c>
      <c r="C1839" s="1">
        <v>41076.772210648145</v>
      </c>
      <c r="D1839" s="4">
        <v>2342342</v>
      </c>
      <c r="E1839">
        <v>2342342</v>
      </c>
      <c r="F1839" t="s">
        <v>40</v>
      </c>
      <c r="G1839">
        <f>tblSalaries[[#This Row],[clean Salary (in local currency)]]*VLOOKUP(tblSalaries[[#This Row],[Currency]],tblXrate[],2,FALSE)</f>
        <v>41712.231189497601</v>
      </c>
      <c r="H1839" t="s">
        <v>1970</v>
      </c>
      <c r="I1839" t="s">
        <v>4000</v>
      </c>
      <c r="J1839" t="s">
        <v>8</v>
      </c>
      <c r="K1839" t="str">
        <f>VLOOKUP(tblSalaries[[#This Row],[Where do you work]],tblCountries[[Actual]:[Mapping]],2,FALSE)</f>
        <v>India</v>
      </c>
      <c r="L1839" t="s">
        <v>18</v>
      </c>
      <c r="M1839">
        <v>12</v>
      </c>
      <c r="N1839" s="8" t="str">
        <f>VLOOKUP(K1839,tblCountries[],3,0)</f>
        <v>Asia</v>
      </c>
      <c r="O1839" s="8">
        <f>VLOOKUP(tblSalaries[[#This Row],[How many hours of a day you work on Excel]],tblHours,2,0)</f>
        <v>3</v>
      </c>
      <c r="P1839" s="8">
        <f>VLOOKUP(tblSalaries[[#This Row],[clean Country]],tblCountries[],5,0)</f>
        <v>13.098808879263672</v>
      </c>
      <c r="Q1839" s="8">
        <f>IF($Q$1,tblSalaries[[#This Row],[PPP Factor]]*tblSalaries[[#This Row],[Salary in USD]],tblSalaries[[#This Row],[Salary in USD]])</f>
        <v>41712.231189497601</v>
      </c>
    </row>
    <row r="1840" spans="2:17" ht="15" customHeight="1" x14ac:dyDescent="0.25">
      <c r="B1840" t="s">
        <v>3843</v>
      </c>
      <c r="C1840" s="1">
        <v>41076.773206018515</v>
      </c>
      <c r="D1840" s="4" t="s">
        <v>1186</v>
      </c>
      <c r="E1840">
        <v>700000</v>
      </c>
      <c r="F1840" t="s">
        <v>40</v>
      </c>
      <c r="G1840">
        <f>tblSalaries[[#This Row],[clean Salary (in local currency)]]*VLOOKUP(tblSalaries[[#This Row],[Currency]],tblXrate[],2,FALSE)</f>
        <v>12465.541681209797</v>
      </c>
      <c r="H1840" t="s">
        <v>1971</v>
      </c>
      <c r="I1840" t="s">
        <v>52</v>
      </c>
      <c r="J1840" t="s">
        <v>8</v>
      </c>
      <c r="K1840" t="str">
        <f>VLOOKUP(tblSalaries[[#This Row],[Where do you work]],tblCountries[[Actual]:[Mapping]],2,FALSE)</f>
        <v>India</v>
      </c>
      <c r="L1840" t="s">
        <v>18</v>
      </c>
      <c r="M1840">
        <v>9</v>
      </c>
      <c r="N1840" s="8" t="str">
        <f>VLOOKUP(K1840,tblCountries[],3,0)</f>
        <v>Asia</v>
      </c>
      <c r="O1840" s="8">
        <f>VLOOKUP(tblSalaries[[#This Row],[How many hours of a day you work on Excel]],tblHours,2,0)</f>
        <v>3</v>
      </c>
      <c r="P1840" s="8">
        <f>VLOOKUP(tblSalaries[[#This Row],[clean Country]],tblCountries[],5,0)</f>
        <v>13.098808879263672</v>
      </c>
      <c r="Q1840" s="8">
        <f>IF($Q$1,tblSalaries[[#This Row],[PPP Factor]]*tblSalaries[[#This Row],[Salary in USD]],tblSalaries[[#This Row],[Salary in USD]])</f>
        <v>12465.541681209797</v>
      </c>
    </row>
    <row r="1841" spans="2:17" ht="15" customHeight="1" x14ac:dyDescent="0.25">
      <c r="B1841" t="s">
        <v>3844</v>
      </c>
      <c r="C1841" s="1">
        <v>41076.933680555558</v>
      </c>
      <c r="D1841" s="4">
        <v>20500</v>
      </c>
      <c r="E1841">
        <v>20500</v>
      </c>
      <c r="F1841" t="s">
        <v>69</v>
      </c>
      <c r="G1841">
        <f>tblSalaries[[#This Row],[clean Salary (in local currency)]]*VLOOKUP(tblSalaries[[#This Row],[Currency]],tblXrate[],2,FALSE)</f>
        <v>32311.654577379326</v>
      </c>
      <c r="H1841" t="s">
        <v>256</v>
      </c>
      <c r="I1841" t="s">
        <v>20</v>
      </c>
      <c r="J1841" t="s">
        <v>71</v>
      </c>
      <c r="K1841" t="str">
        <f>VLOOKUP(tblSalaries[[#This Row],[Where do you work]],tblCountries[[Actual]:[Mapping]],2,FALSE)</f>
        <v>UK</v>
      </c>
      <c r="L1841" t="s">
        <v>9</v>
      </c>
      <c r="M1841">
        <v>20</v>
      </c>
      <c r="N1841" s="8" t="str">
        <f>VLOOKUP(K1841,tblCountries[],3,0)</f>
        <v>Europe</v>
      </c>
      <c r="O1841" s="8">
        <f>VLOOKUP(tblSalaries[[#This Row],[How many hours of a day you work on Excel]],tblHours,2,0)</f>
        <v>4</v>
      </c>
      <c r="P1841" s="8">
        <f>VLOOKUP(tblSalaries[[#This Row],[clean Country]],tblCountries[],5,0)</f>
        <v>1.3407315045719035</v>
      </c>
      <c r="Q1841" s="8">
        <f>IF($Q$1,tblSalaries[[#This Row],[PPP Factor]]*tblSalaries[[#This Row],[Salary in USD]],tblSalaries[[#This Row],[Salary in USD]])</f>
        <v>32311.654577379326</v>
      </c>
    </row>
    <row r="1842" spans="2:17" ht="15" customHeight="1" x14ac:dyDescent="0.25">
      <c r="B1842" t="s">
        <v>3845</v>
      </c>
      <c r="C1842" s="1">
        <v>41077.065810185188</v>
      </c>
      <c r="D1842" s="4" t="s">
        <v>694</v>
      </c>
      <c r="E1842">
        <v>400000</v>
      </c>
      <c r="F1842" t="s">
        <v>40</v>
      </c>
      <c r="G1842">
        <f>tblSalaries[[#This Row],[clean Salary (in local currency)]]*VLOOKUP(tblSalaries[[#This Row],[Currency]],tblXrate[],2,FALSE)</f>
        <v>7123.1666749770275</v>
      </c>
      <c r="H1842" t="s">
        <v>1972</v>
      </c>
      <c r="I1842" t="s">
        <v>20</v>
      </c>
      <c r="J1842" t="s">
        <v>8</v>
      </c>
      <c r="K1842" t="str">
        <f>VLOOKUP(tblSalaries[[#This Row],[Where do you work]],tblCountries[[Actual]:[Mapping]],2,FALSE)</f>
        <v>India</v>
      </c>
      <c r="L1842" t="s">
        <v>25</v>
      </c>
      <c r="M1842">
        <v>2</v>
      </c>
      <c r="N1842" s="8" t="str">
        <f>VLOOKUP(K1842,tblCountries[],3,0)</f>
        <v>Asia</v>
      </c>
      <c r="O1842" s="8">
        <f>VLOOKUP(tblSalaries[[#This Row],[How many hours of a day you work on Excel]],tblHours,2,0)</f>
        <v>2</v>
      </c>
      <c r="P1842" s="8">
        <f>VLOOKUP(tblSalaries[[#This Row],[clean Country]],tblCountries[],5,0)</f>
        <v>13.098808879263672</v>
      </c>
      <c r="Q1842" s="8">
        <f>IF($Q$1,tblSalaries[[#This Row],[PPP Factor]]*tblSalaries[[#This Row],[Salary in USD]],tblSalaries[[#This Row],[Salary in USD]])</f>
        <v>7123.1666749770275</v>
      </c>
    </row>
    <row r="1843" spans="2:17" ht="15" customHeight="1" x14ac:dyDescent="0.25">
      <c r="B1843" t="s">
        <v>3846</v>
      </c>
      <c r="C1843" s="1">
        <v>41077.168055555558</v>
      </c>
      <c r="D1843" s="4" t="s">
        <v>1973</v>
      </c>
      <c r="E1843">
        <v>100000</v>
      </c>
      <c r="F1843" t="s">
        <v>6</v>
      </c>
      <c r="G1843">
        <f>tblSalaries[[#This Row],[clean Salary (in local currency)]]*VLOOKUP(tblSalaries[[#This Row],[Currency]],tblXrate[],2,FALSE)</f>
        <v>100000</v>
      </c>
      <c r="H1843" t="s">
        <v>1974</v>
      </c>
      <c r="I1843" t="s">
        <v>52</v>
      </c>
      <c r="J1843" t="s">
        <v>179</v>
      </c>
      <c r="K1843" t="str">
        <f>VLOOKUP(tblSalaries[[#This Row],[Where do you work]],tblCountries[[Actual]:[Mapping]],2,FALSE)</f>
        <v>UAE</v>
      </c>
      <c r="L1843" t="s">
        <v>13</v>
      </c>
      <c r="M1843">
        <v>15</v>
      </c>
      <c r="N1843" s="8" t="str">
        <f>VLOOKUP(K1843,tblCountries[],3,0)</f>
        <v>Asia</v>
      </c>
      <c r="O1843" s="8">
        <f>VLOOKUP(tblSalaries[[#This Row],[How many hours of a day you work on Excel]],tblHours,2,0)</f>
        <v>5</v>
      </c>
      <c r="P1843" s="8">
        <f>VLOOKUP(tblSalaries[[#This Row],[clean Country]],tblCountries[],5,0)</f>
        <v>1.0047551808629926</v>
      </c>
      <c r="Q1843" s="8">
        <f>IF($Q$1,tblSalaries[[#This Row],[PPP Factor]]*tblSalaries[[#This Row],[Salary in USD]],tblSalaries[[#This Row],[Salary in USD]])</f>
        <v>100000</v>
      </c>
    </row>
    <row r="1844" spans="2:17" ht="15" customHeight="1" x14ac:dyDescent="0.25">
      <c r="B1844" t="s">
        <v>3847</v>
      </c>
      <c r="C1844" s="1">
        <v>41077.485335648147</v>
      </c>
      <c r="D1844" s="4">
        <v>75000</v>
      </c>
      <c r="E1844">
        <v>75000</v>
      </c>
      <c r="F1844" t="s">
        <v>670</v>
      </c>
      <c r="G1844">
        <f>tblSalaries[[#This Row],[clean Salary (in local currency)]]*VLOOKUP(tblSalaries[[#This Row],[Currency]],tblXrate[],2,FALSE)</f>
        <v>59819.107020370408</v>
      </c>
      <c r="H1844" t="s">
        <v>557</v>
      </c>
      <c r="I1844" t="s">
        <v>310</v>
      </c>
      <c r="J1844" t="s">
        <v>672</v>
      </c>
      <c r="K1844" t="str">
        <f>VLOOKUP(tblSalaries[[#This Row],[Where do you work]],tblCountries[[Actual]:[Mapping]],2,FALSE)</f>
        <v>New Zealand</v>
      </c>
      <c r="L1844" t="s">
        <v>9</v>
      </c>
      <c r="M1844">
        <v>4</v>
      </c>
      <c r="N1844" s="8" t="str">
        <f>VLOOKUP(K1844,tblCountries[],3,0)</f>
        <v>Oceania</v>
      </c>
      <c r="O1844" s="8">
        <f>VLOOKUP(tblSalaries[[#This Row],[How many hours of a day you work on Excel]],tblHours,2,0)</f>
        <v>4</v>
      </c>
      <c r="P1844" s="8">
        <f>VLOOKUP(tblSalaries[[#This Row],[clean Country]],tblCountries[],5,0)</f>
        <v>1.7488434292323261</v>
      </c>
      <c r="Q1844" s="8">
        <f>IF($Q$1,tblSalaries[[#This Row],[PPP Factor]]*tblSalaries[[#This Row],[Salary in USD]],tblSalaries[[#This Row],[Salary in USD]])</f>
        <v>59819.107020370408</v>
      </c>
    </row>
    <row r="1845" spans="2:17" ht="15" customHeight="1" x14ac:dyDescent="0.25">
      <c r="B1845" t="s">
        <v>3848</v>
      </c>
      <c r="C1845" s="1">
        <v>41077.500659722224</v>
      </c>
      <c r="D1845" s="4">
        <v>25000</v>
      </c>
      <c r="E1845">
        <v>25000</v>
      </c>
      <c r="F1845" t="s">
        <v>6</v>
      </c>
      <c r="G1845">
        <f>tblSalaries[[#This Row],[clean Salary (in local currency)]]*VLOOKUP(tblSalaries[[#This Row],[Currency]],tblXrate[],2,FALSE)</f>
        <v>25000</v>
      </c>
      <c r="H1845" t="s">
        <v>153</v>
      </c>
      <c r="I1845" t="s">
        <v>20</v>
      </c>
      <c r="J1845" t="s">
        <v>8</v>
      </c>
      <c r="K1845" t="str">
        <f>VLOOKUP(tblSalaries[[#This Row],[Where do you work]],tblCountries[[Actual]:[Mapping]],2,FALSE)</f>
        <v>India</v>
      </c>
      <c r="L1845" t="s">
        <v>13</v>
      </c>
      <c r="M1845">
        <v>1.5</v>
      </c>
      <c r="N1845" s="8" t="str">
        <f>VLOOKUP(K1845,tblCountries[],3,0)</f>
        <v>Asia</v>
      </c>
      <c r="O1845" s="8">
        <f>VLOOKUP(tblSalaries[[#This Row],[How many hours of a day you work on Excel]],tblHours,2,0)</f>
        <v>5</v>
      </c>
      <c r="P1845" s="8">
        <f>VLOOKUP(tblSalaries[[#This Row],[clean Country]],tblCountries[],5,0)</f>
        <v>13.098808879263672</v>
      </c>
      <c r="Q1845" s="8">
        <f>IF($Q$1,tblSalaries[[#This Row],[PPP Factor]]*tblSalaries[[#This Row],[Salary in USD]],tblSalaries[[#This Row],[Salary in USD]])</f>
        <v>25000</v>
      </c>
    </row>
    <row r="1846" spans="2:17" ht="15" customHeight="1" x14ac:dyDescent="0.25">
      <c r="B1846" t="s">
        <v>3849</v>
      </c>
      <c r="C1846" s="1">
        <v>41077.533935185187</v>
      </c>
      <c r="D1846" s="4">
        <v>5000</v>
      </c>
      <c r="E1846">
        <v>5000</v>
      </c>
      <c r="F1846" t="s">
        <v>6</v>
      </c>
      <c r="G1846">
        <f>tblSalaries[[#This Row],[clean Salary (in local currency)]]*VLOOKUP(tblSalaries[[#This Row],[Currency]],tblXrate[],2,FALSE)</f>
        <v>5000</v>
      </c>
      <c r="H1846" t="s">
        <v>1112</v>
      </c>
      <c r="I1846" t="s">
        <v>20</v>
      </c>
      <c r="J1846" t="s">
        <v>8</v>
      </c>
      <c r="K1846" t="str">
        <f>VLOOKUP(tblSalaries[[#This Row],[Where do you work]],tblCountries[[Actual]:[Mapping]],2,FALSE)</f>
        <v>India</v>
      </c>
      <c r="L1846" t="s">
        <v>18</v>
      </c>
      <c r="M1846">
        <v>10</v>
      </c>
      <c r="N1846" s="8" t="str">
        <f>VLOOKUP(K1846,tblCountries[],3,0)</f>
        <v>Asia</v>
      </c>
      <c r="O1846" s="8">
        <f>VLOOKUP(tblSalaries[[#This Row],[How many hours of a day you work on Excel]],tblHours,2,0)</f>
        <v>3</v>
      </c>
      <c r="P1846" s="8">
        <f>VLOOKUP(tblSalaries[[#This Row],[clean Country]],tblCountries[],5,0)</f>
        <v>13.098808879263672</v>
      </c>
      <c r="Q1846" s="8">
        <f>IF($Q$1,tblSalaries[[#This Row],[PPP Factor]]*tblSalaries[[#This Row],[Salary in USD]],tblSalaries[[#This Row],[Salary in USD]])</f>
        <v>5000</v>
      </c>
    </row>
    <row r="1847" spans="2:17" ht="15" customHeight="1" x14ac:dyDescent="0.25">
      <c r="B1847" t="s">
        <v>3850</v>
      </c>
      <c r="C1847" s="1">
        <v>41077.560162037036</v>
      </c>
      <c r="D1847" s="4" t="s">
        <v>1975</v>
      </c>
      <c r="E1847">
        <v>63000</v>
      </c>
      <c r="F1847" t="s">
        <v>82</v>
      </c>
      <c r="G1847">
        <f>tblSalaries[[#This Row],[clean Salary (in local currency)]]*VLOOKUP(tblSalaries[[#This Row],[Currency]],tblXrate[],2,FALSE)</f>
        <v>64254.308353366054</v>
      </c>
      <c r="H1847" t="s">
        <v>1976</v>
      </c>
      <c r="I1847" t="s">
        <v>310</v>
      </c>
      <c r="J1847" t="s">
        <v>84</v>
      </c>
      <c r="K1847" t="str">
        <f>VLOOKUP(tblSalaries[[#This Row],[Where do you work]],tblCountries[[Actual]:[Mapping]],2,FALSE)</f>
        <v>Australia</v>
      </c>
      <c r="L1847" t="s">
        <v>13</v>
      </c>
      <c r="M1847">
        <v>3</v>
      </c>
      <c r="N1847" s="8" t="str">
        <f>VLOOKUP(K1847,tblCountries[],3,0)</f>
        <v>Oceania</v>
      </c>
      <c r="O1847" s="8">
        <f>VLOOKUP(tblSalaries[[#This Row],[How many hours of a day you work on Excel]],tblHours,2,0)</f>
        <v>5</v>
      </c>
      <c r="P1847" s="8">
        <f>VLOOKUP(tblSalaries[[#This Row],[clean Country]],tblCountries[],5,0)</f>
        <v>1.2026395585822935</v>
      </c>
      <c r="Q1847" s="8">
        <f>IF($Q$1,tblSalaries[[#This Row],[PPP Factor]]*tblSalaries[[#This Row],[Salary in USD]],tblSalaries[[#This Row],[Salary in USD]])</f>
        <v>64254.308353366054</v>
      </c>
    </row>
    <row r="1848" spans="2:17" ht="15" customHeight="1" x14ac:dyDescent="0.25">
      <c r="B1848" t="s">
        <v>3851</v>
      </c>
      <c r="C1848" s="1">
        <v>41077.667939814812</v>
      </c>
      <c r="D1848" s="4">
        <v>60000</v>
      </c>
      <c r="E1848">
        <v>60000</v>
      </c>
      <c r="F1848" t="s">
        <v>22</v>
      </c>
      <c r="G1848">
        <f>tblSalaries[[#This Row],[clean Salary (in local currency)]]*VLOOKUP(tblSalaries[[#This Row],[Currency]],tblXrate[],2,FALSE)</f>
        <v>76223.966339496474</v>
      </c>
      <c r="H1848" t="s">
        <v>1977</v>
      </c>
      <c r="I1848" t="s">
        <v>52</v>
      </c>
      <c r="J1848" t="s">
        <v>24</v>
      </c>
      <c r="K1848" t="str">
        <f>VLOOKUP(tblSalaries[[#This Row],[Where do you work]],tblCountries[[Actual]:[Mapping]],2,FALSE)</f>
        <v>Germany</v>
      </c>
      <c r="L1848" t="s">
        <v>9</v>
      </c>
      <c r="M1848">
        <v>6</v>
      </c>
      <c r="N1848" s="8" t="str">
        <f>VLOOKUP(K1848,tblCountries[],3,0)</f>
        <v>Europe</v>
      </c>
      <c r="O1848" s="8">
        <f>VLOOKUP(tblSalaries[[#This Row],[How many hours of a day you work on Excel]],tblHours,2,0)</f>
        <v>4</v>
      </c>
      <c r="P1848" s="8">
        <f>VLOOKUP(tblSalaries[[#This Row],[clean Country]],tblCountries[],5,0)</f>
        <v>1.276802913159353</v>
      </c>
      <c r="Q1848" s="8">
        <f>IF($Q$1,tblSalaries[[#This Row],[PPP Factor]]*tblSalaries[[#This Row],[Salary in USD]],tblSalaries[[#This Row],[Salary in USD]])</f>
        <v>76223.966339496474</v>
      </c>
    </row>
    <row r="1849" spans="2:17" ht="15" customHeight="1" x14ac:dyDescent="0.25">
      <c r="B1849" t="s">
        <v>3852</v>
      </c>
      <c r="C1849" s="1">
        <v>41078.237708333334</v>
      </c>
      <c r="D1849" s="4">
        <v>600000</v>
      </c>
      <c r="E1849">
        <v>600000</v>
      </c>
      <c r="F1849" t="s">
        <v>1362</v>
      </c>
      <c r="G1849">
        <f>tblSalaries[[#This Row],[clean Salary (in local currency)]]*VLOOKUP(tblSalaries[[#This Row],[Currency]],tblXrate[],2,FALSE)</f>
        <v>102542.54233725216</v>
      </c>
      <c r="H1849" t="s">
        <v>279</v>
      </c>
      <c r="I1849" t="s">
        <v>279</v>
      </c>
      <c r="J1849" t="s">
        <v>1978</v>
      </c>
      <c r="K1849" t="str">
        <f>VLOOKUP(tblSalaries[[#This Row],[Where do you work]],tblCountries[[Actual]:[Mapping]],2,FALSE)</f>
        <v>Denmark</v>
      </c>
      <c r="L1849" t="s">
        <v>18</v>
      </c>
      <c r="M1849">
        <v>20</v>
      </c>
      <c r="N1849" s="8" t="str">
        <f>VLOOKUP(K1849,tblCountries[],3,0)</f>
        <v>Europe</v>
      </c>
      <c r="O1849" s="8">
        <f>VLOOKUP(tblSalaries[[#This Row],[How many hours of a day you work on Excel]],tblHours,2,0)</f>
        <v>3</v>
      </c>
      <c r="P1849" s="8">
        <f>VLOOKUP(tblSalaries[[#This Row],[clean Country]],tblCountries[],5,0)</f>
        <v>1.3024063307493541</v>
      </c>
      <c r="Q1849" s="8">
        <f>IF($Q$1,tblSalaries[[#This Row],[PPP Factor]]*tblSalaries[[#This Row],[Salary in USD]],tblSalaries[[#This Row],[Salary in USD]])</f>
        <v>102542.54233725216</v>
      </c>
    </row>
    <row r="1850" spans="2:17" ht="15" customHeight="1" x14ac:dyDescent="0.25">
      <c r="B1850" t="s">
        <v>3853</v>
      </c>
      <c r="C1850" s="1">
        <v>41078.260127314818</v>
      </c>
      <c r="D1850" s="4">
        <v>46000</v>
      </c>
      <c r="E1850">
        <v>46000</v>
      </c>
      <c r="F1850" t="s">
        <v>6</v>
      </c>
      <c r="G1850">
        <f>tblSalaries[[#This Row],[clean Salary (in local currency)]]*VLOOKUP(tblSalaries[[#This Row],[Currency]],tblXrate[],2,FALSE)</f>
        <v>46000</v>
      </c>
      <c r="H1850" t="s">
        <v>1979</v>
      </c>
      <c r="I1850" t="s">
        <v>20</v>
      </c>
      <c r="J1850" t="s">
        <v>15</v>
      </c>
      <c r="K1850" t="str">
        <f>VLOOKUP(tblSalaries[[#This Row],[Where do you work]],tblCountries[[Actual]:[Mapping]],2,FALSE)</f>
        <v>USA</v>
      </c>
      <c r="L1850" t="s">
        <v>13</v>
      </c>
      <c r="M1850">
        <v>1</v>
      </c>
      <c r="N1850" s="8" t="str">
        <f>VLOOKUP(K1850,tblCountries[],3,0)</f>
        <v>North Amer.</v>
      </c>
      <c r="O1850" s="8">
        <f>VLOOKUP(tblSalaries[[#This Row],[How many hours of a day you work on Excel]],tblHours,2,0)</f>
        <v>5</v>
      </c>
      <c r="P1850" s="8">
        <f>VLOOKUP(tblSalaries[[#This Row],[clean Country]],tblCountries[],5,0)</f>
        <v>1</v>
      </c>
      <c r="Q1850" s="8">
        <f>IF($Q$1,tblSalaries[[#This Row],[PPP Factor]]*tblSalaries[[#This Row],[Salary in USD]],tblSalaries[[#This Row],[Salary in USD]])</f>
        <v>46000</v>
      </c>
    </row>
    <row r="1851" spans="2:17" ht="15" customHeight="1" x14ac:dyDescent="0.25">
      <c r="B1851" t="s">
        <v>3854</v>
      </c>
      <c r="C1851" s="1">
        <v>41078.346539351849</v>
      </c>
      <c r="D1851" s="4">
        <v>5000</v>
      </c>
      <c r="E1851">
        <v>5000</v>
      </c>
      <c r="F1851" t="s">
        <v>6</v>
      </c>
      <c r="G1851">
        <f>tblSalaries[[#This Row],[clean Salary (in local currency)]]*VLOOKUP(tblSalaries[[#This Row],[Currency]],tblXrate[],2,FALSE)</f>
        <v>5000</v>
      </c>
      <c r="H1851" t="s">
        <v>1980</v>
      </c>
      <c r="I1851" t="s">
        <v>20</v>
      </c>
      <c r="J1851" t="s">
        <v>8</v>
      </c>
      <c r="K1851" t="str">
        <f>VLOOKUP(tblSalaries[[#This Row],[Where do you work]],tblCountries[[Actual]:[Mapping]],2,FALSE)</f>
        <v>India</v>
      </c>
      <c r="L1851" t="s">
        <v>13</v>
      </c>
      <c r="M1851">
        <v>2</v>
      </c>
      <c r="N1851" s="8" t="str">
        <f>VLOOKUP(K1851,tblCountries[],3,0)</f>
        <v>Asia</v>
      </c>
      <c r="O1851" s="8">
        <f>VLOOKUP(tblSalaries[[#This Row],[How many hours of a day you work on Excel]],tblHours,2,0)</f>
        <v>5</v>
      </c>
      <c r="P1851" s="8">
        <f>VLOOKUP(tblSalaries[[#This Row],[clean Country]],tblCountries[],5,0)</f>
        <v>13.098808879263672</v>
      </c>
      <c r="Q1851" s="8">
        <f>IF($Q$1,tblSalaries[[#This Row],[PPP Factor]]*tblSalaries[[#This Row],[Salary in USD]],tblSalaries[[#This Row],[Salary in USD]])</f>
        <v>5000</v>
      </c>
    </row>
    <row r="1852" spans="2:17" ht="15" customHeight="1" x14ac:dyDescent="0.25">
      <c r="B1852" t="s">
        <v>3855</v>
      </c>
      <c r="C1852" s="1">
        <v>41078.602766203701</v>
      </c>
      <c r="D1852" s="4" t="s">
        <v>1981</v>
      </c>
      <c r="E1852">
        <v>76300</v>
      </c>
      <c r="F1852" t="s">
        <v>82</v>
      </c>
      <c r="G1852">
        <f>tblSalaries[[#This Row],[clean Salary (in local currency)]]*VLOOKUP(tblSalaries[[#This Row],[Currency]],tblXrate[],2,FALSE)</f>
        <v>77819.106783521114</v>
      </c>
      <c r="H1852" t="s">
        <v>386</v>
      </c>
      <c r="I1852" t="s">
        <v>20</v>
      </c>
      <c r="J1852" t="s">
        <v>84</v>
      </c>
      <c r="K1852" t="str">
        <f>VLOOKUP(tblSalaries[[#This Row],[Where do you work]],tblCountries[[Actual]:[Mapping]],2,FALSE)</f>
        <v>Australia</v>
      </c>
      <c r="L1852" t="s">
        <v>13</v>
      </c>
      <c r="M1852">
        <v>3</v>
      </c>
      <c r="N1852" s="8" t="str">
        <f>VLOOKUP(K1852,tblCountries[],3,0)</f>
        <v>Oceania</v>
      </c>
      <c r="O1852" s="8">
        <f>VLOOKUP(tblSalaries[[#This Row],[How many hours of a day you work on Excel]],tblHours,2,0)</f>
        <v>5</v>
      </c>
      <c r="P1852" s="8">
        <f>VLOOKUP(tblSalaries[[#This Row],[clean Country]],tblCountries[],5,0)</f>
        <v>1.2026395585822935</v>
      </c>
      <c r="Q1852" s="8">
        <f>IF($Q$1,tblSalaries[[#This Row],[PPP Factor]]*tblSalaries[[#This Row],[Salary in USD]],tblSalaries[[#This Row],[Salary in USD]])</f>
        <v>77819.106783521114</v>
      </c>
    </row>
    <row r="1853" spans="2:17" ht="15" customHeight="1" x14ac:dyDescent="0.25">
      <c r="B1853" t="s">
        <v>3856</v>
      </c>
      <c r="C1853" s="1">
        <v>41078.744351851848</v>
      </c>
      <c r="D1853" s="4" t="s">
        <v>1326</v>
      </c>
      <c r="E1853">
        <v>350000</v>
      </c>
      <c r="F1853" t="s">
        <v>40</v>
      </c>
      <c r="G1853">
        <f>tblSalaries[[#This Row],[clean Salary (in local currency)]]*VLOOKUP(tblSalaries[[#This Row],[Currency]],tblXrate[],2,FALSE)</f>
        <v>6232.7708406048987</v>
      </c>
      <c r="H1853" t="s">
        <v>1982</v>
      </c>
      <c r="I1853" t="s">
        <v>52</v>
      </c>
      <c r="J1853" t="s">
        <v>8</v>
      </c>
      <c r="K1853" t="str">
        <f>VLOOKUP(tblSalaries[[#This Row],[Where do you work]],tblCountries[[Actual]:[Mapping]],2,FALSE)</f>
        <v>India</v>
      </c>
      <c r="L1853" t="s">
        <v>18</v>
      </c>
      <c r="M1853">
        <v>27</v>
      </c>
      <c r="N1853" s="8" t="str">
        <f>VLOOKUP(K1853,tblCountries[],3,0)</f>
        <v>Asia</v>
      </c>
      <c r="O1853" s="8">
        <f>VLOOKUP(tblSalaries[[#This Row],[How many hours of a day you work on Excel]],tblHours,2,0)</f>
        <v>3</v>
      </c>
      <c r="P1853" s="8">
        <f>VLOOKUP(tblSalaries[[#This Row],[clean Country]],tblCountries[],5,0)</f>
        <v>13.098808879263672</v>
      </c>
      <c r="Q1853" s="8">
        <f>IF($Q$1,tblSalaries[[#This Row],[PPP Factor]]*tblSalaries[[#This Row],[Salary in USD]],tblSalaries[[#This Row],[Salary in USD]])</f>
        <v>6232.7708406048987</v>
      </c>
    </row>
    <row r="1854" spans="2:17" ht="15" customHeight="1" x14ac:dyDescent="0.25">
      <c r="B1854" t="s">
        <v>3857</v>
      </c>
      <c r="C1854" s="1">
        <v>41078.768599537034</v>
      </c>
      <c r="D1854" s="4" t="s">
        <v>68</v>
      </c>
      <c r="E1854">
        <v>35000</v>
      </c>
      <c r="F1854" t="s">
        <v>69</v>
      </c>
      <c r="G1854">
        <f>tblSalaries[[#This Row],[clean Salary (in local currency)]]*VLOOKUP(tblSalaries[[#This Row],[Currency]],tblXrate[],2,FALSE)</f>
        <v>55166.239522354947</v>
      </c>
      <c r="H1854" t="s">
        <v>1983</v>
      </c>
      <c r="I1854" t="s">
        <v>20</v>
      </c>
      <c r="J1854" t="s">
        <v>71</v>
      </c>
      <c r="K1854" t="str">
        <f>VLOOKUP(tblSalaries[[#This Row],[Where do you work]],tblCountries[[Actual]:[Mapping]],2,FALSE)</f>
        <v>UK</v>
      </c>
      <c r="L1854" t="s">
        <v>13</v>
      </c>
      <c r="M1854">
        <v>34</v>
      </c>
      <c r="N1854" s="8" t="str">
        <f>VLOOKUP(K1854,tblCountries[],3,0)</f>
        <v>Europe</v>
      </c>
      <c r="O1854" s="8">
        <f>VLOOKUP(tblSalaries[[#This Row],[How many hours of a day you work on Excel]],tblHours,2,0)</f>
        <v>5</v>
      </c>
      <c r="P1854" s="8">
        <f>VLOOKUP(tblSalaries[[#This Row],[clean Country]],tblCountries[],5,0)</f>
        <v>1.3407315045719035</v>
      </c>
      <c r="Q1854" s="8">
        <f>IF($Q$1,tblSalaries[[#This Row],[PPP Factor]]*tblSalaries[[#This Row],[Salary in USD]],tblSalaries[[#This Row],[Salary in USD]])</f>
        <v>55166.239522354947</v>
      </c>
    </row>
    <row r="1855" spans="2:17" ht="15" customHeight="1" x14ac:dyDescent="0.25">
      <c r="B1855" t="s">
        <v>3858</v>
      </c>
      <c r="C1855" s="1">
        <v>41079.016250000001</v>
      </c>
      <c r="D1855" s="4">
        <v>45000</v>
      </c>
      <c r="E1855">
        <v>45000</v>
      </c>
      <c r="F1855" t="s">
        <v>6</v>
      </c>
      <c r="G1855">
        <f>tblSalaries[[#This Row],[clean Salary (in local currency)]]*VLOOKUP(tblSalaries[[#This Row],[Currency]],tblXrate[],2,FALSE)</f>
        <v>45000</v>
      </c>
      <c r="H1855" t="s">
        <v>89</v>
      </c>
      <c r="I1855" t="s">
        <v>310</v>
      </c>
      <c r="J1855" t="s">
        <v>15</v>
      </c>
      <c r="K1855" t="str">
        <f>VLOOKUP(tblSalaries[[#This Row],[Where do you work]],tblCountries[[Actual]:[Mapping]],2,FALSE)</f>
        <v>USA</v>
      </c>
      <c r="L1855" t="s">
        <v>18</v>
      </c>
      <c r="M1855">
        <v>5</v>
      </c>
      <c r="N1855" s="8" t="str">
        <f>VLOOKUP(K1855,tblCountries[],3,0)</f>
        <v>North Amer.</v>
      </c>
      <c r="O1855" s="8">
        <f>VLOOKUP(tblSalaries[[#This Row],[How many hours of a day you work on Excel]],tblHours,2,0)</f>
        <v>3</v>
      </c>
      <c r="P1855" s="8">
        <f>VLOOKUP(tblSalaries[[#This Row],[clean Country]],tblCountries[],5,0)</f>
        <v>1</v>
      </c>
      <c r="Q1855" s="8">
        <f>IF($Q$1,tblSalaries[[#This Row],[PPP Factor]]*tblSalaries[[#This Row],[Salary in USD]],tblSalaries[[#This Row],[Salary in USD]])</f>
        <v>45000</v>
      </c>
    </row>
    <row r="1856" spans="2:17" ht="15" customHeight="1" x14ac:dyDescent="0.25">
      <c r="B1856" t="s">
        <v>3859</v>
      </c>
      <c r="C1856" s="1">
        <v>41079.076261574075</v>
      </c>
      <c r="D1856" s="4" t="s">
        <v>1984</v>
      </c>
      <c r="E1856">
        <v>60000</v>
      </c>
      <c r="F1856" t="s">
        <v>6</v>
      </c>
      <c r="G1856">
        <f>tblSalaries[[#This Row],[clean Salary (in local currency)]]*VLOOKUP(tblSalaries[[#This Row],[Currency]],tblXrate[],2,FALSE)</f>
        <v>60000</v>
      </c>
      <c r="H1856" t="s">
        <v>1985</v>
      </c>
      <c r="I1856" t="s">
        <v>52</v>
      </c>
      <c r="J1856" t="s">
        <v>88</v>
      </c>
      <c r="K1856" t="str">
        <f>VLOOKUP(tblSalaries[[#This Row],[Where do you work]],tblCountries[[Actual]:[Mapping]],2,FALSE)</f>
        <v>Canada</v>
      </c>
      <c r="L1856" t="s">
        <v>18</v>
      </c>
      <c r="M1856">
        <v>10</v>
      </c>
      <c r="N1856" s="8" t="str">
        <f>VLOOKUP(K1856,tblCountries[],3,0)</f>
        <v>North Amer.</v>
      </c>
      <c r="O1856" s="8">
        <f>VLOOKUP(tblSalaries[[#This Row],[How many hours of a day you work on Excel]],tblHours,2,0)</f>
        <v>3</v>
      </c>
      <c r="P1856" s="8">
        <f>VLOOKUP(tblSalaries[[#This Row],[clean Country]],tblCountries[],5,0)</f>
        <v>1.1935324732986359</v>
      </c>
      <c r="Q1856" s="8">
        <f>IF($Q$1,tblSalaries[[#This Row],[PPP Factor]]*tblSalaries[[#This Row],[Salary in USD]],tblSalaries[[#This Row],[Salary in USD]])</f>
        <v>60000</v>
      </c>
    </row>
    <row r="1857" spans="2:17" ht="15" customHeight="1" x14ac:dyDescent="0.25">
      <c r="B1857" t="s">
        <v>3860</v>
      </c>
      <c r="C1857" s="1">
        <v>41079.142754629633</v>
      </c>
      <c r="D1857" s="4">
        <v>43000</v>
      </c>
      <c r="E1857">
        <v>43000</v>
      </c>
      <c r="F1857" t="s">
        <v>6</v>
      </c>
      <c r="G1857">
        <f>tblSalaries[[#This Row],[clean Salary (in local currency)]]*VLOOKUP(tblSalaries[[#This Row],[Currency]],tblXrate[],2,FALSE)</f>
        <v>43000</v>
      </c>
      <c r="H1857" t="s">
        <v>687</v>
      </c>
      <c r="I1857" t="s">
        <v>20</v>
      </c>
      <c r="J1857" t="s">
        <v>15</v>
      </c>
      <c r="K1857" t="str">
        <f>VLOOKUP(tblSalaries[[#This Row],[Where do you work]],tblCountries[[Actual]:[Mapping]],2,FALSE)</f>
        <v>USA</v>
      </c>
      <c r="L1857" t="s">
        <v>9</v>
      </c>
      <c r="M1857">
        <v>5</v>
      </c>
      <c r="N1857" s="8" t="str">
        <f>VLOOKUP(K1857,tblCountries[],3,0)</f>
        <v>North Amer.</v>
      </c>
      <c r="O1857" s="8">
        <f>VLOOKUP(tblSalaries[[#This Row],[How many hours of a day you work on Excel]],tblHours,2,0)</f>
        <v>4</v>
      </c>
      <c r="P1857" s="8">
        <f>VLOOKUP(tblSalaries[[#This Row],[clean Country]],tblCountries[],5,0)</f>
        <v>1</v>
      </c>
      <c r="Q1857" s="8">
        <f>IF($Q$1,tblSalaries[[#This Row],[PPP Factor]]*tblSalaries[[#This Row],[Salary in USD]],tblSalaries[[#This Row],[Salary in USD]])</f>
        <v>43000</v>
      </c>
    </row>
    <row r="1858" spans="2:17" ht="15" customHeight="1" x14ac:dyDescent="0.25">
      <c r="B1858" t="s">
        <v>3861</v>
      </c>
      <c r="C1858" s="1">
        <v>41079.204930555556</v>
      </c>
      <c r="D1858" s="4">
        <v>28000</v>
      </c>
      <c r="E1858">
        <v>28000</v>
      </c>
      <c r="F1858" t="s">
        <v>22</v>
      </c>
      <c r="G1858">
        <f>tblSalaries[[#This Row],[clean Salary (in local currency)]]*VLOOKUP(tblSalaries[[#This Row],[Currency]],tblXrate[],2,FALSE)</f>
        <v>35571.184291765021</v>
      </c>
      <c r="H1858" t="s">
        <v>270</v>
      </c>
      <c r="I1858" t="s">
        <v>488</v>
      </c>
      <c r="J1858" t="s">
        <v>608</v>
      </c>
      <c r="K1858" t="str">
        <f>VLOOKUP(tblSalaries[[#This Row],[Where do you work]],tblCountries[[Actual]:[Mapping]],2,FALSE)</f>
        <v>Spain</v>
      </c>
      <c r="L1858" t="s">
        <v>9</v>
      </c>
      <c r="M1858">
        <v>8</v>
      </c>
      <c r="N1858" s="8" t="str">
        <f>VLOOKUP(K1858,tblCountries[],3,0)</f>
        <v>Europe</v>
      </c>
      <c r="O1858" s="8">
        <f>VLOOKUP(tblSalaries[[#This Row],[How many hours of a day you work on Excel]],tblHours,2,0)</f>
        <v>4</v>
      </c>
      <c r="P1858" s="8">
        <f>VLOOKUP(tblSalaries[[#This Row],[clean Country]],tblCountries[],5,0)</f>
        <v>1.5799320838503232</v>
      </c>
      <c r="Q1858" s="8">
        <f>IF($Q$1,tblSalaries[[#This Row],[PPP Factor]]*tblSalaries[[#This Row],[Salary in USD]],tblSalaries[[#This Row],[Salary in USD]])</f>
        <v>35571.184291765021</v>
      </c>
    </row>
    <row r="1859" spans="2:17" ht="15" customHeight="1" x14ac:dyDescent="0.25">
      <c r="B1859" t="s">
        <v>3862</v>
      </c>
      <c r="C1859" s="1">
        <v>41079.285266203704</v>
      </c>
      <c r="D1859" s="4">
        <v>48000</v>
      </c>
      <c r="E1859">
        <v>48000</v>
      </c>
      <c r="F1859" t="s">
        <v>6</v>
      </c>
      <c r="G1859">
        <f>tblSalaries[[#This Row],[clean Salary (in local currency)]]*VLOOKUP(tblSalaries[[#This Row],[Currency]],tblXrate[],2,FALSE)</f>
        <v>48000</v>
      </c>
      <c r="H1859" t="s">
        <v>1986</v>
      </c>
      <c r="I1859" t="s">
        <v>20</v>
      </c>
      <c r="J1859" t="s">
        <v>15</v>
      </c>
      <c r="K1859" t="str">
        <f>VLOOKUP(tblSalaries[[#This Row],[Where do you work]],tblCountries[[Actual]:[Mapping]],2,FALSE)</f>
        <v>USA</v>
      </c>
      <c r="L1859" t="s">
        <v>9</v>
      </c>
      <c r="M1859">
        <v>12</v>
      </c>
      <c r="N1859" s="8" t="str">
        <f>VLOOKUP(K1859,tblCountries[],3,0)</f>
        <v>North Amer.</v>
      </c>
      <c r="O1859" s="8">
        <f>VLOOKUP(tblSalaries[[#This Row],[How many hours of a day you work on Excel]],tblHours,2,0)</f>
        <v>4</v>
      </c>
      <c r="P1859" s="8">
        <f>VLOOKUP(tblSalaries[[#This Row],[clean Country]],tblCountries[],5,0)</f>
        <v>1</v>
      </c>
      <c r="Q1859" s="8">
        <f>IF($Q$1,tblSalaries[[#This Row],[PPP Factor]]*tblSalaries[[#This Row],[Salary in USD]],tblSalaries[[#This Row],[Salary in USD]])</f>
        <v>48000</v>
      </c>
    </row>
    <row r="1860" spans="2:17" ht="15" customHeight="1" x14ac:dyDescent="0.25">
      <c r="B1860" t="s">
        <v>3863</v>
      </c>
      <c r="C1860" s="1">
        <v>41079.332638888889</v>
      </c>
      <c r="D1860" s="4">
        <v>120000</v>
      </c>
      <c r="E1860">
        <v>120000</v>
      </c>
      <c r="F1860" t="s">
        <v>82</v>
      </c>
      <c r="G1860">
        <f>tblSalaries[[#This Row],[clean Salary (in local currency)]]*VLOOKUP(tblSalaries[[#This Row],[Currency]],tblXrate[],2,FALSE)</f>
        <v>122389.15876831629</v>
      </c>
      <c r="H1860" t="s">
        <v>52</v>
      </c>
      <c r="I1860" t="s">
        <v>52</v>
      </c>
      <c r="J1860" t="s">
        <v>84</v>
      </c>
      <c r="K1860" t="str">
        <f>VLOOKUP(tblSalaries[[#This Row],[Where do you work]],tblCountries[[Actual]:[Mapping]],2,FALSE)</f>
        <v>Australia</v>
      </c>
      <c r="L1860" t="s">
        <v>25</v>
      </c>
      <c r="M1860">
        <v>8</v>
      </c>
      <c r="N1860" s="8" t="str">
        <f>VLOOKUP(K1860,tblCountries[],3,0)</f>
        <v>Oceania</v>
      </c>
      <c r="O1860" s="8">
        <f>VLOOKUP(tblSalaries[[#This Row],[How many hours of a day you work on Excel]],tblHours,2,0)</f>
        <v>2</v>
      </c>
      <c r="P1860" s="8">
        <f>VLOOKUP(tblSalaries[[#This Row],[clean Country]],tblCountries[],5,0)</f>
        <v>1.2026395585822935</v>
      </c>
      <c r="Q1860" s="8">
        <f>IF($Q$1,tblSalaries[[#This Row],[PPP Factor]]*tblSalaries[[#This Row],[Salary in USD]],tblSalaries[[#This Row],[Salary in USD]])</f>
        <v>122389.15876831629</v>
      </c>
    </row>
    <row r="1861" spans="2:17" ht="15" customHeight="1" x14ac:dyDescent="0.25">
      <c r="B1861" t="s">
        <v>3864</v>
      </c>
      <c r="C1861" s="1">
        <v>41079.527268518519</v>
      </c>
      <c r="D1861" s="4">
        <v>4000</v>
      </c>
      <c r="E1861">
        <v>4000</v>
      </c>
      <c r="F1861" t="s">
        <v>6</v>
      </c>
      <c r="G1861">
        <f>tblSalaries[[#This Row],[clean Salary (in local currency)]]*VLOOKUP(tblSalaries[[#This Row],[Currency]],tblXrate[],2,FALSE)</f>
        <v>4000</v>
      </c>
      <c r="H1861" t="s">
        <v>1987</v>
      </c>
      <c r="I1861" t="s">
        <v>20</v>
      </c>
      <c r="J1861" t="s">
        <v>8</v>
      </c>
      <c r="K1861" t="str">
        <f>VLOOKUP(tblSalaries[[#This Row],[Where do you work]],tblCountries[[Actual]:[Mapping]],2,FALSE)</f>
        <v>India</v>
      </c>
      <c r="L1861" t="s">
        <v>18</v>
      </c>
      <c r="M1861">
        <v>4</v>
      </c>
      <c r="N1861" s="8" t="str">
        <f>VLOOKUP(K1861,tblCountries[],3,0)</f>
        <v>Asia</v>
      </c>
      <c r="O1861" s="8">
        <f>VLOOKUP(tblSalaries[[#This Row],[How many hours of a day you work on Excel]],tblHours,2,0)</f>
        <v>3</v>
      </c>
      <c r="P1861" s="8">
        <f>VLOOKUP(tblSalaries[[#This Row],[clean Country]],tblCountries[],5,0)</f>
        <v>13.098808879263672</v>
      </c>
      <c r="Q1861" s="8">
        <f>IF($Q$1,tblSalaries[[#This Row],[PPP Factor]]*tblSalaries[[#This Row],[Salary in USD]],tblSalaries[[#This Row],[Salary in USD]])</f>
        <v>4000</v>
      </c>
    </row>
    <row r="1862" spans="2:17" ht="15" customHeight="1" x14ac:dyDescent="0.25">
      <c r="B1862" t="s">
        <v>3865</v>
      </c>
      <c r="C1862" s="1">
        <v>41079.63585648148</v>
      </c>
      <c r="D1862" s="4">
        <v>250000</v>
      </c>
      <c r="E1862">
        <v>250000</v>
      </c>
      <c r="F1862" t="s">
        <v>40</v>
      </c>
      <c r="G1862">
        <f>tblSalaries[[#This Row],[clean Salary (in local currency)]]*VLOOKUP(tblSalaries[[#This Row],[Currency]],tblXrate[],2,FALSE)</f>
        <v>4451.9791718606421</v>
      </c>
      <c r="H1862" t="s">
        <v>765</v>
      </c>
      <c r="I1862" t="s">
        <v>3999</v>
      </c>
      <c r="J1862" t="s">
        <v>8</v>
      </c>
      <c r="K1862" t="str">
        <f>VLOOKUP(tblSalaries[[#This Row],[Where do you work]],tblCountries[[Actual]:[Mapping]],2,FALSE)</f>
        <v>India</v>
      </c>
      <c r="L1862" t="s">
        <v>9</v>
      </c>
      <c r="M1862">
        <v>3</v>
      </c>
      <c r="N1862" s="8" t="str">
        <f>VLOOKUP(K1862,tblCountries[],3,0)</f>
        <v>Asia</v>
      </c>
      <c r="O1862" s="8">
        <f>VLOOKUP(tblSalaries[[#This Row],[How many hours of a day you work on Excel]],tblHours,2,0)</f>
        <v>4</v>
      </c>
      <c r="P1862" s="8">
        <f>VLOOKUP(tblSalaries[[#This Row],[clean Country]],tblCountries[],5,0)</f>
        <v>13.098808879263672</v>
      </c>
      <c r="Q1862" s="8">
        <f>IF($Q$1,tblSalaries[[#This Row],[PPP Factor]]*tblSalaries[[#This Row],[Salary in USD]],tblSalaries[[#This Row],[Salary in USD]])</f>
        <v>4451.9791718606421</v>
      </c>
    </row>
    <row r="1863" spans="2:17" ht="15" customHeight="1" x14ac:dyDescent="0.25">
      <c r="B1863" t="s">
        <v>3866</v>
      </c>
      <c r="C1863" s="1">
        <v>41079.709467592591</v>
      </c>
      <c r="D1863" s="4" t="s">
        <v>1988</v>
      </c>
      <c r="E1863">
        <v>52224</v>
      </c>
      <c r="F1863" t="s">
        <v>1989</v>
      </c>
      <c r="G1863">
        <f>tblSalaries[[#This Row],[clean Salary (in local currency)]]*VLOOKUP(tblSalaries[[#This Row],[Currency]],tblXrate[],2,FALSE)</f>
        <v>2953.8461538461538</v>
      </c>
      <c r="H1863" t="s">
        <v>1990</v>
      </c>
      <c r="I1863" t="s">
        <v>3999</v>
      </c>
      <c r="J1863" t="s">
        <v>1991</v>
      </c>
      <c r="K1863" t="str">
        <f>VLOOKUP(tblSalaries[[#This Row],[Where do you work]],tblCountries[[Actual]:[Mapping]],2,FALSE)</f>
        <v>Ethiopia</v>
      </c>
      <c r="L1863" t="s">
        <v>9</v>
      </c>
      <c r="M1863">
        <v>3</v>
      </c>
      <c r="N1863" s="8" t="str">
        <f>VLOOKUP(K1863,tblCountries[],3,0)</f>
        <v>Africa</v>
      </c>
      <c r="O1863" s="8">
        <f>VLOOKUP(tblSalaries[[#This Row],[How many hours of a day you work on Excel]],tblHours,2,0)</f>
        <v>4</v>
      </c>
      <c r="P1863" s="8">
        <f>VLOOKUP(tblSalaries[[#This Row],[clean Country]],tblCountries[],5,0)</f>
        <v>44.269899359560839</v>
      </c>
      <c r="Q1863" s="8">
        <f>IF($Q$1,tblSalaries[[#This Row],[PPP Factor]]*tblSalaries[[#This Row],[Salary in USD]],tblSalaries[[#This Row],[Salary in USD]])</f>
        <v>2953.8461538461538</v>
      </c>
    </row>
    <row r="1864" spans="2:17" ht="15" customHeight="1" x14ac:dyDescent="0.25">
      <c r="B1864" t="s">
        <v>3867</v>
      </c>
      <c r="C1864" s="1">
        <v>41079.762291666666</v>
      </c>
      <c r="D1864" s="4">
        <v>25000</v>
      </c>
      <c r="E1864">
        <v>25000</v>
      </c>
      <c r="F1864" t="s">
        <v>69</v>
      </c>
      <c r="G1864">
        <f>tblSalaries[[#This Row],[clean Salary (in local currency)]]*VLOOKUP(tblSalaries[[#This Row],[Currency]],tblXrate[],2,FALSE)</f>
        <v>39404.456801682099</v>
      </c>
      <c r="H1864" t="s">
        <v>153</v>
      </c>
      <c r="I1864" t="s">
        <v>20</v>
      </c>
      <c r="J1864" t="s">
        <v>71</v>
      </c>
      <c r="K1864" t="str">
        <f>VLOOKUP(tblSalaries[[#This Row],[Where do you work]],tblCountries[[Actual]:[Mapping]],2,FALSE)</f>
        <v>UK</v>
      </c>
      <c r="L1864" t="s">
        <v>9</v>
      </c>
      <c r="M1864">
        <v>3</v>
      </c>
      <c r="N1864" s="8" t="str">
        <f>VLOOKUP(K1864,tblCountries[],3,0)</f>
        <v>Europe</v>
      </c>
      <c r="O1864" s="8">
        <f>VLOOKUP(tblSalaries[[#This Row],[How many hours of a day you work on Excel]],tblHours,2,0)</f>
        <v>4</v>
      </c>
      <c r="P1864" s="8">
        <f>VLOOKUP(tblSalaries[[#This Row],[clean Country]],tblCountries[],5,0)</f>
        <v>1.3407315045719035</v>
      </c>
      <c r="Q1864" s="8">
        <f>IF($Q$1,tblSalaries[[#This Row],[PPP Factor]]*tblSalaries[[#This Row],[Salary in USD]],tblSalaries[[#This Row],[Salary in USD]])</f>
        <v>39404.456801682099</v>
      </c>
    </row>
    <row r="1865" spans="2:17" ht="15" customHeight="1" x14ac:dyDescent="0.25">
      <c r="B1865" t="s">
        <v>3868</v>
      </c>
      <c r="C1865" s="1">
        <v>41079.814872685187</v>
      </c>
      <c r="D1865" s="4">
        <v>74000</v>
      </c>
      <c r="E1865">
        <v>74000</v>
      </c>
      <c r="F1865" t="s">
        <v>82</v>
      </c>
      <c r="G1865">
        <f>tblSalaries[[#This Row],[clean Salary (in local currency)]]*VLOOKUP(tblSalaries[[#This Row],[Currency]],tblXrate[],2,FALSE)</f>
        <v>75473.31457379504</v>
      </c>
      <c r="H1865" t="s">
        <v>1241</v>
      </c>
      <c r="I1865" t="s">
        <v>20</v>
      </c>
      <c r="J1865" t="s">
        <v>84</v>
      </c>
      <c r="K1865" t="str">
        <f>VLOOKUP(tblSalaries[[#This Row],[Where do you work]],tblCountries[[Actual]:[Mapping]],2,FALSE)</f>
        <v>Australia</v>
      </c>
      <c r="L1865" t="s">
        <v>9</v>
      </c>
      <c r="M1865">
        <v>8</v>
      </c>
      <c r="N1865" s="8" t="str">
        <f>VLOOKUP(K1865,tblCountries[],3,0)</f>
        <v>Oceania</v>
      </c>
      <c r="O1865" s="8">
        <f>VLOOKUP(tblSalaries[[#This Row],[How many hours of a day you work on Excel]],tblHours,2,0)</f>
        <v>4</v>
      </c>
      <c r="P1865" s="8">
        <f>VLOOKUP(tblSalaries[[#This Row],[clean Country]],tblCountries[],5,0)</f>
        <v>1.2026395585822935</v>
      </c>
      <c r="Q1865" s="8">
        <f>IF($Q$1,tblSalaries[[#This Row],[PPP Factor]]*tblSalaries[[#This Row],[Salary in USD]],tblSalaries[[#This Row],[Salary in USD]])</f>
        <v>75473.31457379504</v>
      </c>
    </row>
    <row r="1866" spans="2:17" ht="15" customHeight="1" x14ac:dyDescent="0.25">
      <c r="B1866" t="s">
        <v>3869</v>
      </c>
      <c r="C1866" s="1">
        <v>41079.84479166667</v>
      </c>
      <c r="D1866" s="4">
        <v>750000</v>
      </c>
      <c r="E1866">
        <v>750000</v>
      </c>
      <c r="F1866" t="s">
        <v>40</v>
      </c>
      <c r="G1866">
        <f>tblSalaries[[#This Row],[clean Salary (in local currency)]]*VLOOKUP(tblSalaries[[#This Row],[Currency]],tblXrate[],2,FALSE)</f>
        <v>13355.937515581925</v>
      </c>
      <c r="H1866" t="s">
        <v>20</v>
      </c>
      <c r="I1866" t="s">
        <v>20</v>
      </c>
      <c r="J1866" t="s">
        <v>8</v>
      </c>
      <c r="K1866" t="str">
        <f>VLOOKUP(tblSalaries[[#This Row],[Where do you work]],tblCountries[[Actual]:[Mapping]],2,FALSE)</f>
        <v>India</v>
      </c>
      <c r="L1866" t="s">
        <v>9</v>
      </c>
      <c r="M1866">
        <v>5</v>
      </c>
      <c r="N1866" s="8" t="str">
        <f>VLOOKUP(K1866,tblCountries[],3,0)</f>
        <v>Asia</v>
      </c>
      <c r="O1866" s="8">
        <f>VLOOKUP(tblSalaries[[#This Row],[How many hours of a day you work on Excel]],tblHours,2,0)</f>
        <v>4</v>
      </c>
      <c r="P1866" s="8">
        <f>VLOOKUP(tblSalaries[[#This Row],[clean Country]],tblCountries[],5,0)</f>
        <v>13.098808879263672</v>
      </c>
      <c r="Q1866" s="8">
        <f>IF($Q$1,tblSalaries[[#This Row],[PPP Factor]]*tblSalaries[[#This Row],[Salary in USD]],tblSalaries[[#This Row],[Salary in USD]])</f>
        <v>13355.937515581925</v>
      </c>
    </row>
    <row r="1867" spans="2:17" ht="15" customHeight="1" x14ac:dyDescent="0.25">
      <c r="B1867" t="s">
        <v>3870</v>
      </c>
      <c r="C1867" s="1">
        <v>41079.858043981483</v>
      </c>
      <c r="D1867" s="4">
        <v>25000</v>
      </c>
      <c r="E1867">
        <v>25000</v>
      </c>
      <c r="F1867" t="s">
        <v>6</v>
      </c>
      <c r="G1867">
        <f>tblSalaries[[#This Row],[clean Salary (in local currency)]]*VLOOKUP(tblSalaries[[#This Row],[Currency]],tblXrate[],2,FALSE)</f>
        <v>25000</v>
      </c>
      <c r="H1867" t="s">
        <v>91</v>
      </c>
      <c r="I1867" t="s">
        <v>52</v>
      </c>
      <c r="J1867" t="s">
        <v>8</v>
      </c>
      <c r="K1867" t="str">
        <f>VLOOKUP(tblSalaries[[#This Row],[Where do you work]],tblCountries[[Actual]:[Mapping]],2,FALSE)</f>
        <v>India</v>
      </c>
      <c r="L1867" t="s">
        <v>9</v>
      </c>
      <c r="M1867">
        <v>10</v>
      </c>
      <c r="N1867" s="8" t="str">
        <f>VLOOKUP(K1867,tblCountries[],3,0)</f>
        <v>Asia</v>
      </c>
      <c r="O1867" s="8">
        <f>VLOOKUP(tblSalaries[[#This Row],[How many hours of a day you work on Excel]],tblHours,2,0)</f>
        <v>4</v>
      </c>
      <c r="P1867" s="8">
        <f>VLOOKUP(tblSalaries[[#This Row],[clean Country]],tblCountries[],5,0)</f>
        <v>13.098808879263672</v>
      </c>
      <c r="Q1867" s="8">
        <f>IF($Q$1,tblSalaries[[#This Row],[PPP Factor]]*tblSalaries[[#This Row],[Salary in USD]],tblSalaries[[#This Row],[Salary in USD]])</f>
        <v>25000</v>
      </c>
    </row>
    <row r="1868" spans="2:17" ht="15" customHeight="1" x14ac:dyDescent="0.25">
      <c r="B1868" t="s">
        <v>3871</v>
      </c>
      <c r="C1868" s="1">
        <v>41079.875937500001</v>
      </c>
      <c r="D1868" s="4">
        <v>420000</v>
      </c>
      <c r="E1868">
        <v>420000</v>
      </c>
      <c r="F1868" t="s">
        <v>40</v>
      </c>
      <c r="G1868">
        <f>tblSalaries[[#This Row],[clean Salary (in local currency)]]*VLOOKUP(tblSalaries[[#This Row],[Currency]],tblXrate[],2,FALSE)</f>
        <v>7479.3250087258784</v>
      </c>
      <c r="H1868" t="s">
        <v>20</v>
      </c>
      <c r="I1868" t="s">
        <v>20</v>
      </c>
      <c r="J1868" t="s">
        <v>8</v>
      </c>
      <c r="K1868" t="str">
        <f>VLOOKUP(tblSalaries[[#This Row],[Where do you work]],tblCountries[[Actual]:[Mapping]],2,FALSE)</f>
        <v>India</v>
      </c>
      <c r="L1868" t="s">
        <v>9</v>
      </c>
      <c r="M1868">
        <v>2</v>
      </c>
      <c r="N1868" s="8" t="str">
        <f>VLOOKUP(K1868,tblCountries[],3,0)</f>
        <v>Asia</v>
      </c>
      <c r="O1868" s="8">
        <f>VLOOKUP(tblSalaries[[#This Row],[How many hours of a day you work on Excel]],tblHours,2,0)</f>
        <v>4</v>
      </c>
      <c r="P1868" s="8">
        <f>VLOOKUP(tblSalaries[[#This Row],[clean Country]],tblCountries[],5,0)</f>
        <v>13.098808879263672</v>
      </c>
      <c r="Q1868" s="8">
        <f>IF($Q$1,tblSalaries[[#This Row],[PPP Factor]]*tblSalaries[[#This Row],[Salary in USD]],tblSalaries[[#This Row],[Salary in USD]])</f>
        <v>7479.3250087258784</v>
      </c>
    </row>
    <row r="1869" spans="2:17" ht="15" customHeight="1" x14ac:dyDescent="0.25">
      <c r="B1869" t="s">
        <v>3872</v>
      </c>
      <c r="C1869" s="1">
        <v>41079.879351851851</v>
      </c>
      <c r="D1869" s="4">
        <v>62000</v>
      </c>
      <c r="E1869">
        <v>62000</v>
      </c>
      <c r="F1869" t="s">
        <v>6</v>
      </c>
      <c r="G1869">
        <f>tblSalaries[[#This Row],[clean Salary (in local currency)]]*VLOOKUP(tblSalaries[[#This Row],[Currency]],tblXrate[],2,FALSE)</f>
        <v>62000</v>
      </c>
      <c r="H1869" t="s">
        <v>20</v>
      </c>
      <c r="I1869" t="s">
        <v>20</v>
      </c>
      <c r="J1869" t="s">
        <v>15</v>
      </c>
      <c r="K1869" t="str">
        <f>VLOOKUP(tblSalaries[[#This Row],[Where do you work]],tblCountries[[Actual]:[Mapping]],2,FALSE)</f>
        <v>USA</v>
      </c>
      <c r="L1869" t="s">
        <v>9</v>
      </c>
      <c r="M1869">
        <v>4</v>
      </c>
      <c r="N1869" s="8" t="str">
        <f>VLOOKUP(K1869,tblCountries[],3,0)</f>
        <v>North Amer.</v>
      </c>
      <c r="O1869" s="8">
        <f>VLOOKUP(tblSalaries[[#This Row],[How many hours of a day you work on Excel]],tblHours,2,0)</f>
        <v>4</v>
      </c>
      <c r="P1869" s="8">
        <f>VLOOKUP(tblSalaries[[#This Row],[clean Country]],tblCountries[],5,0)</f>
        <v>1</v>
      </c>
      <c r="Q1869" s="8">
        <f>IF($Q$1,tblSalaries[[#This Row],[PPP Factor]]*tblSalaries[[#This Row],[Salary in USD]],tblSalaries[[#This Row],[Salary in USD]])</f>
        <v>62000</v>
      </c>
    </row>
    <row r="1870" spans="2:17" ht="15" customHeight="1" x14ac:dyDescent="0.25">
      <c r="B1870" t="s">
        <v>3873</v>
      </c>
      <c r="C1870" s="1">
        <v>41079.897638888891</v>
      </c>
      <c r="D1870" s="4">
        <v>48000</v>
      </c>
      <c r="E1870">
        <v>48000</v>
      </c>
      <c r="F1870" t="s">
        <v>6</v>
      </c>
      <c r="G1870">
        <f>tblSalaries[[#This Row],[clean Salary (in local currency)]]*VLOOKUP(tblSalaries[[#This Row],[Currency]],tblXrate[],2,FALSE)</f>
        <v>48000</v>
      </c>
      <c r="H1870" t="s">
        <v>1992</v>
      </c>
      <c r="I1870" t="s">
        <v>20</v>
      </c>
      <c r="J1870" t="s">
        <v>15</v>
      </c>
      <c r="K1870" t="str">
        <f>VLOOKUP(tblSalaries[[#This Row],[Where do you work]],tblCountries[[Actual]:[Mapping]],2,FALSE)</f>
        <v>USA</v>
      </c>
      <c r="L1870" t="s">
        <v>9</v>
      </c>
      <c r="M1870">
        <v>1</v>
      </c>
      <c r="N1870" s="8" t="str">
        <f>VLOOKUP(K1870,tblCountries[],3,0)</f>
        <v>North Amer.</v>
      </c>
      <c r="O1870" s="8">
        <f>VLOOKUP(tblSalaries[[#This Row],[How many hours of a day you work on Excel]],tblHours,2,0)</f>
        <v>4</v>
      </c>
      <c r="P1870" s="8">
        <f>VLOOKUP(tblSalaries[[#This Row],[clean Country]],tblCountries[],5,0)</f>
        <v>1</v>
      </c>
      <c r="Q1870" s="8">
        <f>IF($Q$1,tblSalaries[[#This Row],[PPP Factor]]*tblSalaries[[#This Row],[Salary in USD]],tblSalaries[[#This Row],[Salary in USD]])</f>
        <v>48000</v>
      </c>
    </row>
    <row r="1871" spans="2:17" ht="15" customHeight="1" x14ac:dyDescent="0.25">
      <c r="B1871" t="s">
        <v>3874</v>
      </c>
      <c r="C1871" s="1">
        <v>41079.946469907409</v>
      </c>
      <c r="D1871" s="4">
        <v>5000</v>
      </c>
      <c r="E1871">
        <v>5000</v>
      </c>
      <c r="F1871" t="s">
        <v>6</v>
      </c>
      <c r="G1871">
        <f>tblSalaries[[#This Row],[clean Salary (in local currency)]]*VLOOKUP(tblSalaries[[#This Row],[Currency]],tblXrate[],2,FALSE)</f>
        <v>5000</v>
      </c>
      <c r="H1871" t="s">
        <v>1993</v>
      </c>
      <c r="I1871" t="s">
        <v>4000</v>
      </c>
      <c r="J1871" t="s">
        <v>8</v>
      </c>
      <c r="K1871" t="str">
        <f>VLOOKUP(tblSalaries[[#This Row],[Where do you work]],tblCountries[[Actual]:[Mapping]],2,FALSE)</f>
        <v>India</v>
      </c>
      <c r="L1871" t="s">
        <v>9</v>
      </c>
      <c r="M1871">
        <v>3</v>
      </c>
      <c r="N1871" s="8" t="str">
        <f>VLOOKUP(K1871,tblCountries[],3,0)</f>
        <v>Asia</v>
      </c>
      <c r="O1871" s="8">
        <f>VLOOKUP(tblSalaries[[#This Row],[How many hours of a day you work on Excel]],tblHours,2,0)</f>
        <v>4</v>
      </c>
      <c r="P1871" s="8">
        <f>VLOOKUP(tblSalaries[[#This Row],[clean Country]],tblCountries[],5,0)</f>
        <v>13.098808879263672</v>
      </c>
      <c r="Q1871" s="8">
        <f>IF($Q$1,tblSalaries[[#This Row],[PPP Factor]]*tblSalaries[[#This Row],[Salary in USD]],tblSalaries[[#This Row],[Salary in USD]])</f>
        <v>5000</v>
      </c>
    </row>
    <row r="1872" spans="2:17" ht="15" customHeight="1" x14ac:dyDescent="0.25">
      <c r="B1872" t="s">
        <v>3875</v>
      </c>
      <c r="C1872" s="1">
        <v>41080.019375000003</v>
      </c>
      <c r="D1872" s="4" t="s">
        <v>1994</v>
      </c>
      <c r="E1872">
        <v>276000</v>
      </c>
      <c r="F1872" t="s">
        <v>40</v>
      </c>
      <c r="G1872">
        <f>tblSalaries[[#This Row],[clean Salary (in local currency)]]*VLOOKUP(tblSalaries[[#This Row],[Currency]],tblXrate[],2,FALSE)</f>
        <v>4914.9850057341491</v>
      </c>
      <c r="H1872" t="s">
        <v>1995</v>
      </c>
      <c r="I1872" t="s">
        <v>3999</v>
      </c>
      <c r="J1872" t="s">
        <v>8</v>
      </c>
      <c r="K1872" t="str">
        <f>VLOOKUP(tblSalaries[[#This Row],[Where do you work]],tblCountries[[Actual]:[Mapping]],2,FALSE)</f>
        <v>India</v>
      </c>
      <c r="L1872" t="s">
        <v>13</v>
      </c>
      <c r="M1872">
        <v>6</v>
      </c>
      <c r="N1872" s="8" t="str">
        <f>VLOOKUP(K1872,tblCountries[],3,0)</f>
        <v>Asia</v>
      </c>
      <c r="O1872" s="8">
        <f>VLOOKUP(tblSalaries[[#This Row],[How many hours of a day you work on Excel]],tblHours,2,0)</f>
        <v>5</v>
      </c>
      <c r="P1872" s="8">
        <f>VLOOKUP(tblSalaries[[#This Row],[clean Country]],tblCountries[],5,0)</f>
        <v>13.098808879263672</v>
      </c>
      <c r="Q1872" s="8">
        <f>IF($Q$1,tblSalaries[[#This Row],[PPP Factor]]*tblSalaries[[#This Row],[Salary in USD]],tblSalaries[[#This Row],[Salary in USD]])</f>
        <v>4914.9850057341491</v>
      </c>
    </row>
    <row r="1873" spans="2:17" ht="15" customHeight="1" x14ac:dyDescent="0.25">
      <c r="B1873" t="s">
        <v>3876</v>
      </c>
      <c r="C1873" s="1">
        <v>41080.038518518515</v>
      </c>
      <c r="D1873" s="4">
        <v>75000</v>
      </c>
      <c r="E1873">
        <v>75000</v>
      </c>
      <c r="F1873" t="s">
        <v>6</v>
      </c>
      <c r="G1873">
        <f>tblSalaries[[#This Row],[clean Salary (in local currency)]]*VLOOKUP(tblSalaries[[#This Row],[Currency]],tblXrate[],2,FALSE)</f>
        <v>75000</v>
      </c>
      <c r="H1873" t="s">
        <v>153</v>
      </c>
      <c r="I1873" t="s">
        <v>20</v>
      </c>
      <c r="J1873" t="s">
        <v>15</v>
      </c>
      <c r="K1873" t="str">
        <f>VLOOKUP(tblSalaries[[#This Row],[Where do you work]],tblCountries[[Actual]:[Mapping]],2,FALSE)</f>
        <v>USA</v>
      </c>
      <c r="L1873" t="s">
        <v>25</v>
      </c>
      <c r="M1873">
        <v>3</v>
      </c>
      <c r="N1873" s="8" t="str">
        <f>VLOOKUP(K1873,tblCountries[],3,0)</f>
        <v>North Amer.</v>
      </c>
      <c r="O1873" s="8">
        <f>VLOOKUP(tblSalaries[[#This Row],[How many hours of a day you work on Excel]],tblHours,2,0)</f>
        <v>2</v>
      </c>
      <c r="P1873" s="8">
        <f>VLOOKUP(tblSalaries[[#This Row],[clean Country]],tblCountries[],5,0)</f>
        <v>1</v>
      </c>
      <c r="Q1873" s="8">
        <f>IF($Q$1,tblSalaries[[#This Row],[PPP Factor]]*tblSalaries[[#This Row],[Salary in USD]],tblSalaries[[#This Row],[Salary in USD]])</f>
        <v>75000</v>
      </c>
    </row>
    <row r="1874" spans="2:17" ht="15" customHeight="1" x14ac:dyDescent="0.25">
      <c r="B1874" t="s">
        <v>3877</v>
      </c>
      <c r="C1874" s="1">
        <v>41080.056122685186</v>
      </c>
      <c r="D1874" s="4">
        <v>250000</v>
      </c>
      <c r="E1874">
        <v>250000</v>
      </c>
      <c r="F1874" t="s">
        <v>40</v>
      </c>
      <c r="G1874">
        <f>tblSalaries[[#This Row],[clean Salary (in local currency)]]*VLOOKUP(tblSalaries[[#This Row],[Currency]],tblXrate[],2,FALSE)</f>
        <v>4451.9791718606421</v>
      </c>
      <c r="H1874" t="s">
        <v>1996</v>
      </c>
      <c r="I1874" t="s">
        <v>20</v>
      </c>
      <c r="J1874" t="s">
        <v>8</v>
      </c>
      <c r="K1874" t="str">
        <f>VLOOKUP(tblSalaries[[#This Row],[Where do you work]],tblCountries[[Actual]:[Mapping]],2,FALSE)</f>
        <v>India</v>
      </c>
      <c r="L1874" t="s">
        <v>186</v>
      </c>
      <c r="M1874">
        <v>1.6</v>
      </c>
      <c r="N1874" s="8" t="str">
        <f>VLOOKUP(K1874,tblCountries[],3,0)</f>
        <v>Asia</v>
      </c>
      <c r="O1874" s="8">
        <f>VLOOKUP(tblSalaries[[#This Row],[How many hours of a day you work on Excel]],tblHours,2,0)</f>
        <v>1</v>
      </c>
      <c r="P1874" s="8">
        <f>VLOOKUP(tblSalaries[[#This Row],[clean Country]],tblCountries[],5,0)</f>
        <v>13.098808879263672</v>
      </c>
      <c r="Q1874" s="8">
        <f>IF($Q$1,tblSalaries[[#This Row],[PPP Factor]]*tblSalaries[[#This Row],[Salary in USD]],tblSalaries[[#This Row],[Salary in USD]])</f>
        <v>4451.9791718606421</v>
      </c>
    </row>
    <row r="1875" spans="2:17" ht="15" customHeight="1" x14ac:dyDescent="0.25">
      <c r="B1875" t="s">
        <v>3878</v>
      </c>
      <c r="C1875" s="1">
        <v>41080.071666666663</v>
      </c>
      <c r="D1875" s="4">
        <v>700</v>
      </c>
      <c r="E1875">
        <v>8400</v>
      </c>
      <c r="F1875" t="s">
        <v>6</v>
      </c>
      <c r="G1875">
        <f>tblSalaries[[#This Row],[clean Salary (in local currency)]]*VLOOKUP(tblSalaries[[#This Row],[Currency]],tblXrate[],2,FALSE)</f>
        <v>8400</v>
      </c>
      <c r="H1875" t="s">
        <v>931</v>
      </c>
      <c r="I1875" t="s">
        <v>3999</v>
      </c>
      <c r="J1875" t="s">
        <v>8</v>
      </c>
      <c r="K1875" t="str">
        <f>VLOOKUP(tblSalaries[[#This Row],[Where do you work]],tblCountries[[Actual]:[Mapping]],2,FALSE)</f>
        <v>India</v>
      </c>
      <c r="L1875" t="s">
        <v>13</v>
      </c>
      <c r="M1875">
        <v>6</v>
      </c>
      <c r="N1875" s="8" t="str">
        <f>VLOOKUP(K1875,tblCountries[],3,0)</f>
        <v>Asia</v>
      </c>
      <c r="O1875" s="8">
        <f>VLOOKUP(tblSalaries[[#This Row],[How many hours of a day you work on Excel]],tblHours,2,0)</f>
        <v>5</v>
      </c>
      <c r="P1875" s="8">
        <f>VLOOKUP(tblSalaries[[#This Row],[clean Country]],tblCountries[],5,0)</f>
        <v>13.098808879263672</v>
      </c>
      <c r="Q1875" s="8">
        <f>IF($Q$1,tblSalaries[[#This Row],[PPP Factor]]*tblSalaries[[#This Row],[Salary in USD]],tblSalaries[[#This Row],[Salary in USD]])</f>
        <v>8400</v>
      </c>
    </row>
    <row r="1876" spans="2:17" ht="15" customHeight="1" x14ac:dyDescent="0.25">
      <c r="B1876" t="s">
        <v>3879</v>
      </c>
      <c r="C1876" s="1">
        <v>41080.079282407409</v>
      </c>
      <c r="D1876" s="4">
        <v>20000</v>
      </c>
      <c r="E1876">
        <v>20000</v>
      </c>
      <c r="F1876" t="s">
        <v>6</v>
      </c>
      <c r="G1876">
        <f>tblSalaries[[#This Row],[clean Salary (in local currency)]]*VLOOKUP(tblSalaries[[#This Row],[Currency]],tblXrate[],2,FALSE)</f>
        <v>20000</v>
      </c>
      <c r="H1876" t="s">
        <v>1997</v>
      </c>
      <c r="I1876" t="s">
        <v>52</v>
      </c>
      <c r="J1876" t="s">
        <v>8</v>
      </c>
      <c r="K1876" t="str">
        <f>VLOOKUP(tblSalaries[[#This Row],[Where do you work]],tblCountries[[Actual]:[Mapping]],2,FALSE)</f>
        <v>India</v>
      </c>
      <c r="L1876" t="s">
        <v>18</v>
      </c>
      <c r="M1876">
        <v>5</v>
      </c>
      <c r="N1876" s="8" t="str">
        <f>VLOOKUP(K1876,tblCountries[],3,0)</f>
        <v>Asia</v>
      </c>
      <c r="O1876" s="8">
        <f>VLOOKUP(tblSalaries[[#This Row],[How many hours of a day you work on Excel]],tblHours,2,0)</f>
        <v>3</v>
      </c>
      <c r="P1876" s="8">
        <f>VLOOKUP(tblSalaries[[#This Row],[clean Country]],tblCountries[],5,0)</f>
        <v>13.098808879263672</v>
      </c>
      <c r="Q1876" s="8">
        <f>IF($Q$1,tblSalaries[[#This Row],[PPP Factor]]*tblSalaries[[#This Row],[Salary in USD]],tblSalaries[[#This Row],[Salary in USD]])</f>
        <v>20000</v>
      </c>
    </row>
    <row r="1877" spans="2:17" ht="15" customHeight="1" x14ac:dyDescent="0.25">
      <c r="B1877" t="s">
        <v>3880</v>
      </c>
      <c r="C1877" s="1">
        <v>41080.105462962965</v>
      </c>
      <c r="D1877" s="4">
        <v>110000</v>
      </c>
      <c r="E1877">
        <v>110000</v>
      </c>
      <c r="F1877" t="s">
        <v>6</v>
      </c>
      <c r="G1877">
        <f>tblSalaries[[#This Row],[clean Salary (in local currency)]]*VLOOKUP(tblSalaries[[#This Row],[Currency]],tblXrate[],2,FALSE)</f>
        <v>110000</v>
      </c>
      <c r="H1877" t="s">
        <v>1998</v>
      </c>
      <c r="I1877" t="s">
        <v>4001</v>
      </c>
      <c r="J1877" t="s">
        <v>15</v>
      </c>
      <c r="K1877" t="str">
        <f>VLOOKUP(tblSalaries[[#This Row],[Where do you work]],tblCountries[[Actual]:[Mapping]],2,FALSE)</f>
        <v>USA</v>
      </c>
      <c r="L1877" t="s">
        <v>9</v>
      </c>
      <c r="M1877">
        <v>10</v>
      </c>
      <c r="N1877" s="8" t="str">
        <f>VLOOKUP(K1877,tblCountries[],3,0)</f>
        <v>North Amer.</v>
      </c>
      <c r="O1877" s="8">
        <f>VLOOKUP(tblSalaries[[#This Row],[How many hours of a day you work on Excel]],tblHours,2,0)</f>
        <v>4</v>
      </c>
      <c r="P1877" s="8">
        <f>VLOOKUP(tblSalaries[[#This Row],[clean Country]],tblCountries[],5,0)</f>
        <v>1</v>
      </c>
      <c r="Q1877" s="8">
        <f>IF($Q$1,tblSalaries[[#This Row],[PPP Factor]]*tblSalaries[[#This Row],[Salary in USD]],tblSalaries[[#This Row],[Salary in USD]])</f>
        <v>110000</v>
      </c>
    </row>
    <row r="1878" spans="2:17" ht="15" customHeight="1" x14ac:dyDescent="0.25">
      <c r="B1878" t="s">
        <v>3881</v>
      </c>
      <c r="C1878" s="1">
        <v>41080.161574074074</v>
      </c>
      <c r="D1878" s="4">
        <v>50000</v>
      </c>
      <c r="E1878">
        <v>50000</v>
      </c>
      <c r="F1878" t="s">
        <v>6</v>
      </c>
      <c r="G1878">
        <f>tblSalaries[[#This Row],[clean Salary (in local currency)]]*VLOOKUP(tblSalaries[[#This Row],[Currency]],tblXrate[],2,FALSE)</f>
        <v>50000</v>
      </c>
      <c r="H1878" t="s">
        <v>1999</v>
      </c>
      <c r="I1878" t="s">
        <v>20</v>
      </c>
      <c r="J1878" t="s">
        <v>15</v>
      </c>
      <c r="K1878" t="str">
        <f>VLOOKUP(tblSalaries[[#This Row],[Where do you work]],tblCountries[[Actual]:[Mapping]],2,FALSE)</f>
        <v>USA</v>
      </c>
      <c r="L1878" t="s">
        <v>13</v>
      </c>
      <c r="M1878">
        <v>3.5</v>
      </c>
      <c r="N1878" s="8" t="str">
        <f>VLOOKUP(K1878,tblCountries[],3,0)</f>
        <v>North Amer.</v>
      </c>
      <c r="O1878" s="8">
        <f>VLOOKUP(tblSalaries[[#This Row],[How many hours of a day you work on Excel]],tblHours,2,0)</f>
        <v>5</v>
      </c>
      <c r="P1878" s="8">
        <f>VLOOKUP(tblSalaries[[#This Row],[clean Country]],tblCountries[],5,0)</f>
        <v>1</v>
      </c>
      <c r="Q1878" s="8">
        <f>IF($Q$1,tblSalaries[[#This Row],[PPP Factor]]*tblSalaries[[#This Row],[Salary in USD]],tblSalaries[[#This Row],[Salary in USD]])</f>
        <v>50000</v>
      </c>
    </row>
    <row r="1879" spans="2:17" ht="15" customHeight="1" x14ac:dyDescent="0.25">
      <c r="B1879" t="s">
        <v>3882</v>
      </c>
      <c r="C1879" s="1">
        <v>41080.163831018515</v>
      </c>
      <c r="D1879" s="4">
        <v>46000</v>
      </c>
      <c r="E1879">
        <v>46000</v>
      </c>
      <c r="F1879" t="s">
        <v>6</v>
      </c>
      <c r="G1879">
        <f>tblSalaries[[#This Row],[clean Salary (in local currency)]]*VLOOKUP(tblSalaries[[#This Row],[Currency]],tblXrate[],2,FALSE)</f>
        <v>46000</v>
      </c>
      <c r="H1879" t="s">
        <v>2000</v>
      </c>
      <c r="I1879" t="s">
        <v>20</v>
      </c>
      <c r="J1879" t="s">
        <v>15</v>
      </c>
      <c r="K1879" t="str">
        <f>VLOOKUP(tblSalaries[[#This Row],[Where do you work]],tblCountries[[Actual]:[Mapping]],2,FALSE)</f>
        <v>USA</v>
      </c>
      <c r="L1879" t="s">
        <v>9</v>
      </c>
      <c r="M1879">
        <v>8</v>
      </c>
      <c r="N1879" s="8" t="str">
        <f>VLOOKUP(K1879,tblCountries[],3,0)</f>
        <v>North Amer.</v>
      </c>
      <c r="O1879" s="8">
        <f>VLOOKUP(tblSalaries[[#This Row],[How many hours of a day you work on Excel]],tblHours,2,0)</f>
        <v>4</v>
      </c>
      <c r="P1879" s="8">
        <f>VLOOKUP(tblSalaries[[#This Row],[clean Country]],tblCountries[],5,0)</f>
        <v>1</v>
      </c>
      <c r="Q1879" s="8">
        <f>IF($Q$1,tblSalaries[[#This Row],[PPP Factor]]*tblSalaries[[#This Row],[Salary in USD]],tblSalaries[[#This Row],[Salary in USD]])</f>
        <v>46000</v>
      </c>
    </row>
    <row r="1880" spans="2:17" ht="15" customHeight="1" x14ac:dyDescent="0.25">
      <c r="B1880" t="s">
        <v>3883</v>
      </c>
      <c r="C1880" s="1">
        <v>41080.210925925923</v>
      </c>
      <c r="D1880" s="4">
        <v>115000</v>
      </c>
      <c r="E1880">
        <v>115000</v>
      </c>
      <c r="F1880" t="s">
        <v>6</v>
      </c>
      <c r="G1880">
        <f>tblSalaries[[#This Row],[clean Salary (in local currency)]]*VLOOKUP(tblSalaries[[#This Row],[Currency]],tblXrate[],2,FALSE)</f>
        <v>115000</v>
      </c>
      <c r="H1880" t="s">
        <v>207</v>
      </c>
      <c r="I1880" t="s">
        <v>20</v>
      </c>
      <c r="J1880" t="s">
        <v>15</v>
      </c>
      <c r="K1880" t="str">
        <f>VLOOKUP(tblSalaries[[#This Row],[Where do you work]],tblCountries[[Actual]:[Mapping]],2,FALSE)</f>
        <v>USA</v>
      </c>
      <c r="L1880" t="s">
        <v>13</v>
      </c>
      <c r="M1880">
        <v>15</v>
      </c>
      <c r="N1880" s="8" t="str">
        <f>VLOOKUP(K1880,tblCountries[],3,0)</f>
        <v>North Amer.</v>
      </c>
      <c r="O1880" s="8">
        <f>VLOOKUP(tblSalaries[[#This Row],[How many hours of a day you work on Excel]],tblHours,2,0)</f>
        <v>5</v>
      </c>
      <c r="P1880" s="8">
        <f>VLOOKUP(tblSalaries[[#This Row],[clean Country]],tblCountries[],5,0)</f>
        <v>1</v>
      </c>
      <c r="Q1880" s="8">
        <f>IF($Q$1,tblSalaries[[#This Row],[PPP Factor]]*tblSalaries[[#This Row],[Salary in USD]],tblSalaries[[#This Row],[Salary in USD]])</f>
        <v>115000</v>
      </c>
    </row>
    <row r="1881" spans="2:17" ht="15" customHeight="1" x14ac:dyDescent="0.25">
      <c r="B1881" t="s">
        <v>3884</v>
      </c>
      <c r="C1881" s="1">
        <v>41080.537453703706</v>
      </c>
      <c r="D1881" s="4">
        <v>180000</v>
      </c>
      <c r="E1881">
        <v>180000</v>
      </c>
      <c r="F1881" t="s">
        <v>40</v>
      </c>
      <c r="G1881">
        <f>tblSalaries[[#This Row],[clean Salary (in local currency)]]*VLOOKUP(tblSalaries[[#This Row],[Currency]],tblXrate[],2,FALSE)</f>
        <v>3205.4250037396623</v>
      </c>
      <c r="H1881" t="s">
        <v>2001</v>
      </c>
      <c r="I1881" t="s">
        <v>20</v>
      </c>
      <c r="J1881" t="s">
        <v>8</v>
      </c>
      <c r="K1881" t="str">
        <f>VLOOKUP(tblSalaries[[#This Row],[Where do you work]],tblCountries[[Actual]:[Mapping]],2,FALSE)</f>
        <v>India</v>
      </c>
      <c r="L1881" t="s">
        <v>9</v>
      </c>
      <c r="M1881">
        <v>3</v>
      </c>
      <c r="N1881" s="8" t="str">
        <f>VLOOKUP(K1881,tblCountries[],3,0)</f>
        <v>Asia</v>
      </c>
      <c r="O1881" s="8">
        <f>VLOOKUP(tblSalaries[[#This Row],[How many hours of a day you work on Excel]],tblHours,2,0)</f>
        <v>4</v>
      </c>
      <c r="P1881" s="8">
        <f>VLOOKUP(tblSalaries[[#This Row],[clean Country]],tblCountries[],5,0)</f>
        <v>13.098808879263672</v>
      </c>
      <c r="Q1881" s="8">
        <f>IF($Q$1,tblSalaries[[#This Row],[PPP Factor]]*tblSalaries[[#This Row],[Salary in USD]],tblSalaries[[#This Row],[Salary in USD]])</f>
        <v>3205.4250037396623</v>
      </c>
    </row>
    <row r="1882" spans="2:17" ht="15" customHeight="1" x14ac:dyDescent="0.25">
      <c r="B1882" t="s">
        <v>3885</v>
      </c>
      <c r="C1882" s="1">
        <v>41080.545335648145</v>
      </c>
      <c r="D1882" s="4" t="s">
        <v>1704</v>
      </c>
      <c r="E1882">
        <v>60000</v>
      </c>
      <c r="F1882" t="s">
        <v>22</v>
      </c>
      <c r="G1882">
        <f>tblSalaries[[#This Row],[clean Salary (in local currency)]]*VLOOKUP(tblSalaries[[#This Row],[Currency]],tblXrate[],2,FALSE)</f>
        <v>76223.966339496474</v>
      </c>
      <c r="H1882" t="s">
        <v>201</v>
      </c>
      <c r="I1882" t="s">
        <v>52</v>
      </c>
      <c r="J1882" t="s">
        <v>983</v>
      </c>
      <c r="K1882" t="str">
        <f>VLOOKUP(tblSalaries[[#This Row],[Where do you work]],tblCountries[[Actual]:[Mapping]],2,FALSE)</f>
        <v>Europe</v>
      </c>
      <c r="L1882" t="s">
        <v>18</v>
      </c>
      <c r="M1882">
        <v>20</v>
      </c>
      <c r="N1882" s="8" t="str">
        <f>VLOOKUP(K1882,tblCountries[],3,0)</f>
        <v>Europe</v>
      </c>
      <c r="O1882" s="8">
        <f>VLOOKUP(tblSalaries[[#This Row],[How many hours of a day you work on Excel]],tblHours,2,0)</f>
        <v>3</v>
      </c>
      <c r="P1882" s="8">
        <f>VLOOKUP(tblSalaries[[#This Row],[clean Country]],tblCountries[],5,0)</f>
        <v>1</v>
      </c>
      <c r="Q1882" s="8">
        <f>IF($Q$1,tblSalaries[[#This Row],[PPP Factor]]*tblSalaries[[#This Row],[Salary in USD]],tblSalaries[[#This Row],[Salary in USD]])</f>
        <v>76223.966339496474</v>
      </c>
    </row>
    <row r="1883" spans="2:17" ht="15" customHeight="1" x14ac:dyDescent="0.25">
      <c r="B1883" t="s">
        <v>3886</v>
      </c>
      <c r="C1883" s="1">
        <v>41080.589479166665</v>
      </c>
      <c r="D1883" s="4">
        <v>52500</v>
      </c>
      <c r="E1883">
        <v>52500</v>
      </c>
      <c r="F1883" t="s">
        <v>6</v>
      </c>
      <c r="G1883">
        <f>tblSalaries[[#This Row],[clean Salary (in local currency)]]*VLOOKUP(tblSalaries[[#This Row],[Currency]],tblXrate[],2,FALSE)</f>
        <v>52500</v>
      </c>
      <c r="H1883" t="s">
        <v>2002</v>
      </c>
      <c r="I1883" t="s">
        <v>20</v>
      </c>
      <c r="J1883" t="s">
        <v>2003</v>
      </c>
      <c r="K1883" t="str">
        <f>VLOOKUP(tblSalaries[[#This Row],[Where do you work]],tblCountries[[Actual]:[Mapping]],2,FALSE)</f>
        <v>South Africa</v>
      </c>
      <c r="L1883" t="s">
        <v>9</v>
      </c>
      <c r="M1883">
        <v>21</v>
      </c>
      <c r="N1883" s="8" t="str">
        <f>VLOOKUP(K1883,tblCountries[],3,0)</f>
        <v>Africa</v>
      </c>
      <c r="O1883" s="8">
        <f>VLOOKUP(tblSalaries[[#This Row],[How many hours of a day you work on Excel]],tblHours,2,0)</f>
        <v>4</v>
      </c>
      <c r="P1883" s="8">
        <f>VLOOKUP(tblSalaries[[#This Row],[clean Country]],tblCountries[],5,0)</f>
        <v>4.4096418481727877</v>
      </c>
      <c r="Q1883" s="8">
        <f>IF($Q$1,tblSalaries[[#This Row],[PPP Factor]]*tblSalaries[[#This Row],[Salary in USD]],tblSalaries[[#This Row],[Salary in USD]])</f>
        <v>52500</v>
      </c>
    </row>
    <row r="1884" spans="2:17" ht="15" customHeight="1" x14ac:dyDescent="0.25">
      <c r="B1884" t="s">
        <v>3887</v>
      </c>
      <c r="C1884" s="1">
        <v>41080.873877314814</v>
      </c>
      <c r="D1884" s="4">
        <v>8400</v>
      </c>
      <c r="E1884">
        <v>100800</v>
      </c>
      <c r="F1884" t="s">
        <v>6</v>
      </c>
      <c r="G1884">
        <f>tblSalaries[[#This Row],[clean Salary (in local currency)]]*VLOOKUP(tblSalaries[[#This Row],[Currency]],tblXrate[],2,FALSE)</f>
        <v>100800</v>
      </c>
      <c r="H1884" t="s">
        <v>1741</v>
      </c>
      <c r="I1884" t="s">
        <v>4001</v>
      </c>
      <c r="J1884" t="s">
        <v>2004</v>
      </c>
      <c r="K1884" t="str">
        <f>VLOOKUP(tblSalaries[[#This Row],[Where do you work]],tblCountries[[Actual]:[Mapping]],2,FALSE)</f>
        <v>Oman</v>
      </c>
      <c r="L1884" t="s">
        <v>9</v>
      </c>
      <c r="M1884">
        <v>4</v>
      </c>
      <c r="N1884" s="8" t="str">
        <f>VLOOKUP(K1884,tblCountries[],3,0)</f>
        <v>Asia</v>
      </c>
      <c r="O1884" s="8">
        <f>VLOOKUP(tblSalaries[[#This Row],[How many hours of a day you work on Excel]],tblHours,2,0)</f>
        <v>4</v>
      </c>
      <c r="P1884" s="8">
        <f>VLOOKUP(tblSalaries[[#This Row],[clean Country]],tblCountries[],5,0)</f>
        <v>1.824616312832309</v>
      </c>
      <c r="Q1884" s="8">
        <f>IF($Q$1,tblSalaries[[#This Row],[PPP Factor]]*tblSalaries[[#This Row],[Salary in USD]],tblSalaries[[#This Row],[Salary in USD]])</f>
        <v>100800</v>
      </c>
    </row>
    <row r="1885" spans="2:17" ht="15" customHeight="1" x14ac:dyDescent="0.25">
      <c r="B1885" t="s">
        <v>3888</v>
      </c>
      <c r="C1885" s="1">
        <v>41081.157210648147</v>
      </c>
      <c r="D1885" s="4">
        <v>21000</v>
      </c>
      <c r="E1885">
        <v>21000</v>
      </c>
      <c r="F1885" t="s">
        <v>6</v>
      </c>
      <c r="G1885">
        <f>tblSalaries[[#This Row],[clean Salary (in local currency)]]*VLOOKUP(tblSalaries[[#This Row],[Currency]],tblXrate[],2,FALSE)</f>
        <v>21000</v>
      </c>
      <c r="H1885" t="s">
        <v>2005</v>
      </c>
      <c r="I1885" t="s">
        <v>4000</v>
      </c>
      <c r="J1885" t="s">
        <v>8</v>
      </c>
      <c r="K1885" t="str">
        <f>VLOOKUP(tblSalaries[[#This Row],[Where do you work]],tblCountries[[Actual]:[Mapping]],2,FALSE)</f>
        <v>India</v>
      </c>
      <c r="L1885" t="s">
        <v>13</v>
      </c>
      <c r="M1885">
        <v>5</v>
      </c>
      <c r="N1885" s="8" t="str">
        <f>VLOOKUP(K1885,tblCountries[],3,0)</f>
        <v>Asia</v>
      </c>
      <c r="O1885" s="8">
        <f>VLOOKUP(tblSalaries[[#This Row],[How many hours of a day you work on Excel]],tblHours,2,0)</f>
        <v>5</v>
      </c>
      <c r="P1885" s="8">
        <f>VLOOKUP(tblSalaries[[#This Row],[clean Country]],tblCountries[],5,0)</f>
        <v>13.098808879263672</v>
      </c>
      <c r="Q1885" s="8">
        <f>IF($Q$1,tblSalaries[[#This Row],[PPP Factor]]*tblSalaries[[#This Row],[Salary in USD]],tblSalaries[[#This Row],[Salary in USD]])</f>
        <v>21000</v>
      </c>
    </row>
    <row r="1886" spans="2:17" ht="15" customHeight="1" x14ac:dyDescent="0.25">
      <c r="B1886" t="s">
        <v>3889</v>
      </c>
      <c r="C1886" s="1">
        <v>41081.171006944445</v>
      </c>
      <c r="D1886" s="4">
        <v>40000</v>
      </c>
      <c r="E1886">
        <v>40000</v>
      </c>
      <c r="F1886" t="s">
        <v>6</v>
      </c>
      <c r="G1886">
        <f>tblSalaries[[#This Row],[clean Salary (in local currency)]]*VLOOKUP(tblSalaries[[#This Row],[Currency]],tblXrate[],2,FALSE)</f>
        <v>40000</v>
      </c>
      <c r="H1886" t="s">
        <v>2006</v>
      </c>
      <c r="I1886" t="s">
        <v>20</v>
      </c>
      <c r="J1886" t="s">
        <v>15</v>
      </c>
      <c r="K1886" t="str">
        <f>VLOOKUP(tblSalaries[[#This Row],[Where do you work]],tblCountries[[Actual]:[Mapping]],2,FALSE)</f>
        <v>USA</v>
      </c>
      <c r="L1886" t="s">
        <v>25</v>
      </c>
      <c r="M1886">
        <v>3</v>
      </c>
      <c r="N1886" s="8" t="str">
        <f>VLOOKUP(K1886,tblCountries[],3,0)</f>
        <v>North Amer.</v>
      </c>
      <c r="O1886" s="8">
        <f>VLOOKUP(tblSalaries[[#This Row],[How many hours of a day you work on Excel]],tblHours,2,0)</f>
        <v>2</v>
      </c>
      <c r="P1886" s="8">
        <f>VLOOKUP(tblSalaries[[#This Row],[clean Country]],tblCountries[],5,0)</f>
        <v>1</v>
      </c>
      <c r="Q1886" s="8">
        <f>IF($Q$1,tblSalaries[[#This Row],[PPP Factor]]*tblSalaries[[#This Row],[Salary in USD]],tblSalaries[[#This Row],[Salary in USD]])</f>
        <v>40000</v>
      </c>
    </row>
    <row r="1887" spans="2:17" ht="15" customHeight="1" x14ac:dyDescent="0.25">
      <c r="B1887" t="s">
        <v>3890</v>
      </c>
      <c r="C1887" s="1">
        <v>41081.197453703702</v>
      </c>
      <c r="D1887" s="4">
        <v>46359</v>
      </c>
      <c r="E1887">
        <v>46359</v>
      </c>
      <c r="F1887" t="s">
        <v>6</v>
      </c>
      <c r="G1887">
        <f>tblSalaries[[#This Row],[clean Salary (in local currency)]]*VLOOKUP(tblSalaries[[#This Row],[Currency]],tblXrate[],2,FALSE)</f>
        <v>46359</v>
      </c>
      <c r="H1887" t="s">
        <v>153</v>
      </c>
      <c r="I1887" t="s">
        <v>20</v>
      </c>
      <c r="J1887" t="s">
        <v>15</v>
      </c>
      <c r="K1887" t="str">
        <f>VLOOKUP(tblSalaries[[#This Row],[Where do you work]],tblCountries[[Actual]:[Mapping]],2,FALSE)</f>
        <v>USA</v>
      </c>
      <c r="L1887" t="s">
        <v>13</v>
      </c>
      <c r="M1887">
        <v>5</v>
      </c>
      <c r="N1887" s="8" t="str">
        <f>VLOOKUP(K1887,tblCountries[],3,0)</f>
        <v>North Amer.</v>
      </c>
      <c r="O1887" s="8">
        <f>VLOOKUP(tblSalaries[[#This Row],[How many hours of a day you work on Excel]],tblHours,2,0)</f>
        <v>5</v>
      </c>
      <c r="P1887" s="8">
        <f>VLOOKUP(tblSalaries[[#This Row],[clean Country]],tblCountries[],5,0)</f>
        <v>1</v>
      </c>
      <c r="Q1887" s="8">
        <f>IF($Q$1,tblSalaries[[#This Row],[PPP Factor]]*tblSalaries[[#This Row],[Salary in USD]],tblSalaries[[#This Row],[Salary in USD]])</f>
        <v>46359</v>
      </c>
    </row>
    <row r="1888" spans="2:17" ht="15" customHeight="1" x14ac:dyDescent="0.25">
      <c r="B1888" t="s">
        <v>3891</v>
      </c>
      <c r="C1888" s="1">
        <v>41081.198888888888</v>
      </c>
      <c r="D1888" s="4">
        <v>70000</v>
      </c>
      <c r="E1888">
        <v>70000</v>
      </c>
      <c r="F1888" t="s">
        <v>6</v>
      </c>
      <c r="G1888">
        <f>tblSalaries[[#This Row],[clean Salary (in local currency)]]*VLOOKUP(tblSalaries[[#This Row],[Currency]],tblXrate[],2,FALSE)</f>
        <v>70000</v>
      </c>
      <c r="H1888" t="s">
        <v>2007</v>
      </c>
      <c r="I1888" t="s">
        <v>20</v>
      </c>
      <c r="J1888" t="s">
        <v>15</v>
      </c>
      <c r="K1888" t="str">
        <f>VLOOKUP(tblSalaries[[#This Row],[Where do you work]],tblCountries[[Actual]:[Mapping]],2,FALSE)</f>
        <v>USA</v>
      </c>
      <c r="L1888" t="s">
        <v>9</v>
      </c>
      <c r="M1888">
        <v>10</v>
      </c>
      <c r="N1888" s="8" t="str">
        <f>VLOOKUP(K1888,tblCountries[],3,0)</f>
        <v>North Amer.</v>
      </c>
      <c r="O1888" s="8">
        <f>VLOOKUP(tblSalaries[[#This Row],[How many hours of a day you work on Excel]],tblHours,2,0)</f>
        <v>4</v>
      </c>
      <c r="P1888" s="8">
        <f>VLOOKUP(tblSalaries[[#This Row],[clean Country]],tblCountries[],5,0)</f>
        <v>1</v>
      </c>
      <c r="Q1888" s="8">
        <f>IF($Q$1,tblSalaries[[#This Row],[PPP Factor]]*tblSalaries[[#This Row],[Salary in USD]],tblSalaries[[#This Row],[Salary in USD]])</f>
        <v>70000</v>
      </c>
    </row>
  </sheetData>
  <sortState xmlns:xlrd2="http://schemas.microsoft.com/office/spreadsheetml/2017/richdata2" ref="O6:O15">
    <sortCondition ref="O6"/>
  </sortState>
  <mergeCells count="1">
    <mergeCell ref="B1:E1"/>
  </mergeCells>
  <conditionalFormatting sqref="B6:M6 B1777:M1888 B1776:D1776 F1776:M1776 B1715:M1775 B1714:D1714 F1714:M1714 B1707:M1713 B1706:D1706 F1706:M1706 B1648:M1705 B1647:D1647 F1647:M1647 B1303:M1646 B1302:D1302 F1302:M1302 B1091:M1301 B1090:D1090 F1090:M1090 B1079:M1089 B1078:D1078 F1078:M1078 B1050:M1077 B1049:D1049 F1049:M1049 B874:M1048 B873:D873 F873:M873 B808:M872 B807:D807 F807:M807 B804:M806 B803:D803 F803:M803 B787:M802 B786:D786 F786:M786 B751:M785 B750:D750 F750:M750 B714:M749 B713:D713 F713:M713 B710:M712 B709:D709 F709:M709 B699:M708 B698:D698 F698:M698 B692:M697 B691:D691 F691:M691 B660:M690 B659:D659 F659:M659 B636:M658 B635:D635 F635:M635 B597:M634 B596:D596 F596:M596 B425:M595 B424:D424 F424:M424 B39:M44 B7:D38 F7:M38 B47:M47 B45:D46 F45:M46 B49:M52 B48:D48 F48:M48 B55:M59 B53:D54 F53:M54 B61:M61 B60:D60 F60:M60 B63:M79 B62:D62 F62:M62 B81:M91 B80:D80 F80:M80 B93:M101 B92:D92 F92:M92 B103:M103 B102:D102 F102:M102 B105:M139 B104:D104 F104:M104 B141:M154 B140:D140 F140:M140 B156:M158 B155:D155 F155:M155 B160:M215 B159:D159 F159:M159 B217:M241 B216:D216 F216:M216 B243:M277 B242:D242 F242:M242 B279:M309 B278:D278 F278:M278 B311:M423 B310:D310 F310:M310">
    <cfRule type="expression" dxfId="11" priority="2">
      <formula>$F6="ERR"</formula>
    </cfRule>
  </conditionalFormatting>
  <conditionalFormatting sqref="N6">
    <cfRule type="expression" dxfId="10" priority="1">
      <formula>$F6="ERR"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2"/>
  <dimension ref="B1:CW120"/>
  <sheetViews>
    <sheetView zoomScale="70" zoomScaleNormal="70" workbookViewId="0">
      <selection activeCell="W7" sqref="W7"/>
    </sheetView>
  </sheetViews>
  <sheetFormatPr defaultColWidth="11.42578125" defaultRowHeight="15" x14ac:dyDescent="0.25"/>
  <cols>
    <col min="1" max="1" width="4.140625" customWidth="1"/>
    <col min="2" max="2" width="17" bestFit="1" customWidth="1"/>
    <col min="3" max="8" width="18" customWidth="1"/>
    <col min="9" max="9" width="18" style="13" customWidth="1"/>
    <col min="10" max="10" width="16.42578125" customWidth="1"/>
    <col min="11" max="11" width="5.85546875" style="22" customWidth="1"/>
    <col min="12" max="12" width="6.42578125" style="13" customWidth="1"/>
    <col min="13" max="13" width="6.42578125" customWidth="1"/>
    <col min="14" max="14" width="17" bestFit="1" customWidth="1"/>
    <col min="15" max="15" width="12" bestFit="1" customWidth="1"/>
    <col min="16" max="16" width="15.140625" customWidth="1"/>
    <col min="19" max="19" width="12.85546875" customWidth="1"/>
    <col min="20" max="20" width="13.42578125" customWidth="1"/>
    <col min="24" max="24" width="11.42578125" customWidth="1"/>
    <col min="28" max="28" width="17.140625" customWidth="1"/>
    <col min="29" max="29" width="14.7109375" customWidth="1"/>
    <col min="33" max="33" width="14.85546875" customWidth="1"/>
    <col min="39" max="40" width="6" customWidth="1"/>
    <col min="55" max="56" width="5" customWidth="1"/>
    <col min="64" max="64" width="11.42578125" style="37"/>
    <col min="65" max="65" width="16.42578125" customWidth="1"/>
    <col min="69" max="69" width="11.42578125" style="22"/>
    <col min="70" max="70" width="15.42578125" style="22" customWidth="1"/>
    <col min="79" max="79" width="11.42578125" style="22"/>
    <col min="84" max="84" width="4" style="22" customWidth="1"/>
    <col min="85" max="88" width="11.42578125" style="22"/>
    <col min="89" max="89" width="3" style="22" customWidth="1"/>
    <col min="90" max="95" width="11.42578125" style="22"/>
    <col min="96" max="96" width="4.42578125" style="22" customWidth="1"/>
    <col min="98" max="98" width="7.28515625" style="37" customWidth="1"/>
    <col min="99" max="99" width="10.140625" customWidth="1"/>
  </cols>
  <sheetData>
    <row r="1" spans="2:101" x14ac:dyDescent="0.25">
      <c r="B1" s="34" t="s">
        <v>4435</v>
      </c>
      <c r="N1" s="27" t="s">
        <v>4461</v>
      </c>
      <c r="AG1" s="34" t="s">
        <v>4457</v>
      </c>
      <c r="AW1" s="34" t="s">
        <v>4189</v>
      </c>
      <c r="BL1" s="34" t="s">
        <v>4449</v>
      </c>
      <c r="CB1" s="34" t="s">
        <v>4434</v>
      </c>
    </row>
    <row r="2" spans="2:101" x14ac:dyDescent="0.25">
      <c r="N2" s="9" t="s">
        <v>4164</v>
      </c>
      <c r="W2" s="9" t="s">
        <v>4163</v>
      </c>
      <c r="AG2" t="str">
        <f>+Dashboard!M32</f>
        <v>Daily usage of Excel in hours</v>
      </c>
      <c r="AW2" t="str">
        <f>+Dashboard!M20</f>
        <v>Years of experience with Excel</v>
      </c>
      <c r="CT2" s="53" t="s">
        <v>1788</v>
      </c>
      <c r="CU2" s="9" t="s">
        <v>4403</v>
      </c>
    </row>
    <row r="3" spans="2:101" x14ac:dyDescent="0.25">
      <c r="B3" s="13"/>
      <c r="D3" s="22" t="s">
        <v>4443</v>
      </c>
      <c r="E3" s="22" t="s">
        <v>4444</v>
      </c>
      <c r="AG3" s="22" t="s">
        <v>4182</v>
      </c>
      <c r="AH3" s="24">
        <f>MATCH(AG2,lstGraph2,0)</f>
        <v>2</v>
      </c>
      <c r="AW3" s="22" t="s">
        <v>4182</v>
      </c>
      <c r="AX3" s="24">
        <f>MATCH(AW2,lstGraph2,0)</f>
        <v>1</v>
      </c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L3" s="9" t="s">
        <v>4394</v>
      </c>
      <c r="BN3" s="24">
        <v>4</v>
      </c>
      <c r="BO3" t="str">
        <f>+CHOOSE($BN$3,BM6,BN6,BO6,BP6)</f>
        <v>Nb responses</v>
      </c>
      <c r="CT3" s="37">
        <v>1</v>
      </c>
      <c r="CU3" s="22">
        <f ca="1">+INDEX($CU$18:$CU$33,MATCH(CT3,$CT$18:$CT$33,0))</f>
        <v>1</v>
      </c>
      <c r="CV3" s="22" t="str">
        <f ca="1">+INDEX($CV$18:$CV$33,MATCH(CT3,$CT$18:$CT$33,0))</f>
        <v>Participants working as CXO living in South America.</v>
      </c>
    </row>
    <row r="4" spans="2:101" s="22" customFormat="1" x14ac:dyDescent="0.25">
      <c r="B4" s="13" t="s">
        <v>4133</v>
      </c>
      <c r="C4"/>
      <c r="D4">
        <f>+Dashboard!AA6</f>
        <v>0</v>
      </c>
      <c r="E4">
        <f>+Dashboard!AE6</f>
        <v>99</v>
      </c>
      <c r="G4"/>
      <c r="H4"/>
      <c r="I4" s="13"/>
      <c r="J4"/>
      <c r="L4" s="13"/>
      <c r="M4"/>
      <c r="N4"/>
      <c r="O4" s="13" t="s">
        <v>4150</v>
      </c>
      <c r="P4" s="22" t="s">
        <v>4458</v>
      </c>
      <c r="Q4" s="13" t="s">
        <v>4151</v>
      </c>
      <c r="R4" s="22" t="s">
        <v>4459</v>
      </c>
      <c r="S4" s="13" t="s">
        <v>4152</v>
      </c>
      <c r="T4"/>
      <c r="U4"/>
      <c r="V4"/>
      <c r="W4" s="13"/>
      <c r="X4" s="22" t="s">
        <v>4150</v>
      </c>
      <c r="Y4" s="22" t="s">
        <v>4458</v>
      </c>
      <c r="Z4" s="22" t="s">
        <v>4151</v>
      </c>
      <c r="AA4" s="22" t="s">
        <v>4459</v>
      </c>
      <c r="AB4" s="22" t="s">
        <v>4152</v>
      </c>
      <c r="AC4" s="13"/>
      <c r="AD4" s="13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BL4"/>
      <c r="BM4"/>
      <c r="BN4"/>
      <c r="BO4"/>
      <c r="BP4"/>
      <c r="CT4" s="37">
        <v>2</v>
      </c>
      <c r="CU4" s="22">
        <f ca="1">+INDEX($CU$18:$CU$33,MATCH(CT4,$CT$18:$CT$33,0))</f>
        <v>33</v>
      </c>
      <c r="CV4" s="22" t="str">
        <f ca="1">+INDEX($CV$18:$CV$33,MATCH(CT4,$CT$18:$CT$33,0))</f>
        <v>Participants in the world with more then 25 years of experience.</v>
      </c>
    </row>
    <row r="5" spans="2:101" s="22" customFormat="1" x14ac:dyDescent="0.25">
      <c r="B5" s="13" t="s">
        <v>4134</v>
      </c>
      <c r="C5" s="10" t="str">
        <f>+Dashboard!AA7</f>
        <v>*</v>
      </c>
      <c r="D5">
        <f>+VLOOKUP(C5,tblHours,2)-0.1</f>
        <v>-1.1000000000000001</v>
      </c>
      <c r="E5" s="13">
        <f>+VLOOKUP(C5,tblHours,3)+0.1</f>
        <v>99.1</v>
      </c>
      <c r="G5"/>
      <c r="H5"/>
      <c r="I5" s="13"/>
      <c r="J5"/>
      <c r="L5" s="13"/>
      <c r="M5"/>
      <c r="N5"/>
      <c r="O5">
        <v>0</v>
      </c>
      <c r="P5">
        <v>1</v>
      </c>
      <c r="Q5">
        <v>2</v>
      </c>
      <c r="R5">
        <v>3</v>
      </c>
      <c r="S5">
        <v>4</v>
      </c>
      <c r="T5"/>
      <c r="U5"/>
      <c r="V5"/>
      <c r="W5" s="13"/>
      <c r="X5" s="13">
        <v>0</v>
      </c>
      <c r="Y5" s="13">
        <v>1</v>
      </c>
      <c r="Z5" s="13">
        <v>2</v>
      </c>
      <c r="AA5" s="13">
        <v>3</v>
      </c>
      <c r="AB5" s="13">
        <v>4</v>
      </c>
      <c r="AC5" s="13"/>
      <c r="AD5" s="13"/>
      <c r="AG5" s="9" t="s">
        <v>4133</v>
      </c>
      <c r="AH5"/>
      <c r="AI5"/>
      <c r="AJ5"/>
      <c r="AK5"/>
      <c r="AL5"/>
      <c r="AM5"/>
      <c r="AN5"/>
      <c r="AO5" s="9" t="s">
        <v>4167</v>
      </c>
      <c r="AW5" s="9" t="s">
        <v>4133</v>
      </c>
      <c r="BE5" s="9" t="s">
        <v>4167</v>
      </c>
      <c r="BL5" s="9" t="s">
        <v>4392</v>
      </c>
      <c r="BM5"/>
      <c r="BN5"/>
      <c r="BO5" s="24">
        <v>0</v>
      </c>
      <c r="BP5"/>
      <c r="CT5" s="37">
        <v>3</v>
      </c>
      <c r="CU5" s="22">
        <f t="shared" ref="CU5:CU7" ca="1" si="0">+INDEX($CU$18:$CU$33,MATCH(CT5,$CT$18:$CT$33,0))</f>
        <v>1623</v>
      </c>
      <c r="CV5" s="22" t="str">
        <f t="shared" ref="CV5:CV7" ca="1" si="1">+INDEX($CV$18:$CV$33,MATCH(CT5,$CT$18:$CT$33,0))</f>
        <v>Participants in the world with less then 15 years of experience.</v>
      </c>
    </row>
    <row r="6" spans="2:101" s="22" customFormat="1" x14ac:dyDescent="0.25">
      <c r="B6" s="13" t="s">
        <v>4157</v>
      </c>
      <c r="C6" s="22" t="str">
        <f>Dashboard!AA5</f>
        <v>North America</v>
      </c>
      <c r="D6" s="22" t="str">
        <f>INDEX(lstContinents,MATCH(C6,lstContinents2,0))</f>
        <v>North Amer.</v>
      </c>
      <c r="E6"/>
      <c r="F6"/>
      <c r="G6"/>
      <c r="H6"/>
      <c r="I6" s="13"/>
      <c r="J6"/>
      <c r="L6" s="13"/>
      <c r="M6"/>
      <c r="N6" s="22" t="s">
        <v>4464</v>
      </c>
      <c r="O6" s="24" t="str">
        <f>+Dashboard!AA26</f>
        <v>Asia</v>
      </c>
      <c r="P6"/>
      <c r="Q6"/>
      <c r="R6"/>
      <c r="S6"/>
      <c r="T6"/>
      <c r="U6"/>
      <c r="V6"/>
      <c r="W6" s="22" t="s">
        <v>4464</v>
      </c>
      <c r="X6" s="24" t="str">
        <f>+Dashboard!AA27</f>
        <v>North America</v>
      </c>
      <c r="AC6" s="13"/>
      <c r="AD6" s="13"/>
      <c r="AG6" s="22" t="s">
        <v>4150</v>
      </c>
      <c r="AH6">
        <v>0</v>
      </c>
      <c r="AI6">
        <v>2</v>
      </c>
      <c r="AJ6">
        <v>5</v>
      </c>
      <c r="AK6">
        <v>10</v>
      </c>
      <c r="AL6">
        <v>15</v>
      </c>
      <c r="AM6"/>
      <c r="AN6"/>
      <c r="AO6" s="22" t="s">
        <v>4190</v>
      </c>
      <c r="AP6" s="22">
        <v>1</v>
      </c>
      <c r="AQ6" s="22">
        <v>2</v>
      </c>
      <c r="AR6" s="22">
        <v>3</v>
      </c>
      <c r="AS6" s="22">
        <v>4</v>
      </c>
      <c r="AT6" s="22">
        <v>5</v>
      </c>
      <c r="AW6" s="22" t="s">
        <v>4150</v>
      </c>
      <c r="AX6" s="22">
        <v>0</v>
      </c>
      <c r="AY6" s="22">
        <v>2</v>
      </c>
      <c r="AZ6" s="22">
        <v>5</v>
      </c>
      <c r="BA6" s="22">
        <v>10</v>
      </c>
      <c r="BB6" s="22">
        <v>15</v>
      </c>
      <c r="BE6" s="22" t="s">
        <v>4168</v>
      </c>
      <c r="BF6" s="22">
        <v>1</v>
      </c>
      <c r="BG6" s="22">
        <v>2</v>
      </c>
      <c r="BH6" s="22">
        <v>3</v>
      </c>
      <c r="BI6" s="22">
        <v>4</v>
      </c>
      <c r="BJ6" s="22">
        <v>5</v>
      </c>
      <c r="BL6" s="22" t="s">
        <v>4391</v>
      </c>
      <c r="BM6" s="22" t="s">
        <v>4117</v>
      </c>
      <c r="BN6" s="22" t="s">
        <v>4192</v>
      </c>
      <c r="BO6" s="22" t="s">
        <v>4133</v>
      </c>
      <c r="BP6" s="22" t="s">
        <v>4396</v>
      </c>
      <c r="CT6" s="37">
        <v>4</v>
      </c>
      <c r="CU6" s="22" t="str">
        <f t="shared" ca="1" si="0"/>
        <v>29.7%</v>
      </c>
      <c r="CV6" s="22" t="str">
        <f t="shared" ca="1" si="1"/>
        <v>of Participants living in Africa working as Manager.</v>
      </c>
    </row>
    <row r="7" spans="2:101" s="22" customFormat="1" x14ac:dyDescent="0.25">
      <c r="B7" s="9" t="s">
        <v>4445</v>
      </c>
      <c r="C7"/>
      <c r="D7"/>
      <c r="E7"/>
      <c r="F7"/>
      <c r="G7"/>
      <c r="H7"/>
      <c r="I7" s="13"/>
      <c r="J7"/>
      <c r="L7" s="13"/>
      <c r="M7"/>
      <c r="N7"/>
      <c r="O7" s="22" t="str">
        <f>INDEX(lstContinents,MATCH(O6,lstContinents2,0))</f>
        <v>Asia</v>
      </c>
      <c r="P7" s="13" t="str">
        <f>+O7</f>
        <v>Asia</v>
      </c>
      <c r="Q7" s="22" t="str">
        <f t="shared" ref="Q7:S7" si="2">+P7</f>
        <v>Asia</v>
      </c>
      <c r="R7" s="22" t="str">
        <f t="shared" si="2"/>
        <v>Asia</v>
      </c>
      <c r="S7" s="22" t="str">
        <f t="shared" si="2"/>
        <v>Asia</v>
      </c>
      <c r="T7"/>
      <c r="U7"/>
      <c r="V7"/>
      <c r="W7" s="13"/>
      <c r="X7" s="22" t="str">
        <f>INDEX(lstContinents,MATCH(X6,lstContinents2,0))</f>
        <v>North Amer.</v>
      </c>
      <c r="Y7" s="22" t="str">
        <f>+X7</f>
        <v>North Amer.</v>
      </c>
      <c r="Z7" s="22" t="str">
        <f t="shared" ref="Z7:AB7" si="3">+Y7</f>
        <v>North Amer.</v>
      </c>
      <c r="AA7" s="22" t="str">
        <f t="shared" si="3"/>
        <v>North Amer.</v>
      </c>
      <c r="AB7" s="22" t="str">
        <f t="shared" si="3"/>
        <v>North Amer.</v>
      </c>
      <c r="AC7" s="13"/>
      <c r="AD7" s="13"/>
      <c r="AG7" s="22" t="s">
        <v>4152</v>
      </c>
      <c r="AH7">
        <v>2</v>
      </c>
      <c r="AI7">
        <v>5</v>
      </c>
      <c r="AJ7">
        <v>10</v>
      </c>
      <c r="AK7">
        <v>15</v>
      </c>
      <c r="AL7">
        <v>99</v>
      </c>
      <c r="AM7"/>
      <c r="AN7"/>
      <c r="AW7" s="22" t="s">
        <v>4152</v>
      </c>
      <c r="AX7" s="22">
        <v>2</v>
      </c>
      <c r="AY7" s="22">
        <v>5</v>
      </c>
      <c r="AZ7" s="22">
        <v>10</v>
      </c>
      <c r="BA7" s="22">
        <v>15</v>
      </c>
      <c r="BB7" s="22">
        <v>99</v>
      </c>
      <c r="BL7" s="22" t="s">
        <v>4152</v>
      </c>
      <c r="BM7"/>
      <c r="BN7">
        <f>MAX(BN18:BN120)</f>
        <v>177600</v>
      </c>
      <c r="BO7" s="22">
        <f t="shared" ref="BO7:BP7" si="4">MAX(BO18:BO120)</f>
        <v>21</v>
      </c>
      <c r="BP7" s="22">
        <f t="shared" si="4"/>
        <v>617</v>
      </c>
      <c r="CT7" s="37">
        <v>5</v>
      </c>
      <c r="CU7" s="22" t="str">
        <f t="shared" ca="1" si="0"/>
        <v>49815 $</v>
      </c>
      <c r="CV7" s="22" t="str">
        <f t="shared" ca="1" si="1"/>
        <v>Average salary of all participants in the world.</v>
      </c>
    </row>
    <row r="8" spans="2:101" s="22" customFormat="1" x14ac:dyDescent="0.25">
      <c r="B8"/>
      <c r="C8" s="13" t="s">
        <v>1126</v>
      </c>
      <c r="D8" s="13" t="s">
        <v>983</v>
      </c>
      <c r="E8" s="13" t="s">
        <v>4009</v>
      </c>
      <c r="F8" s="22" t="s">
        <v>4165</v>
      </c>
      <c r="G8" s="22" t="s">
        <v>4166</v>
      </c>
      <c r="H8" s="13" t="s">
        <v>4100</v>
      </c>
      <c r="I8" s="13" t="s">
        <v>4120</v>
      </c>
      <c r="J8" s="13" t="s">
        <v>4153</v>
      </c>
      <c r="L8" s="13"/>
      <c r="M8"/>
      <c r="N8"/>
      <c r="O8" s="22" t="s">
        <v>4150</v>
      </c>
      <c r="P8" s="22" t="s">
        <v>4458</v>
      </c>
      <c r="Q8" s="22" t="s">
        <v>4151</v>
      </c>
      <c r="R8" s="22" t="s">
        <v>4459</v>
      </c>
      <c r="S8" s="22" t="s">
        <v>4152</v>
      </c>
      <c r="T8"/>
      <c r="U8"/>
      <c r="V8"/>
      <c r="W8" s="13"/>
      <c r="X8" s="22" t="s">
        <v>4150</v>
      </c>
      <c r="Y8" s="22" t="s">
        <v>4458</v>
      </c>
      <c r="Z8" s="22" t="s">
        <v>4151</v>
      </c>
      <c r="AA8" s="22" t="s">
        <v>4459</v>
      </c>
      <c r="AB8" s="22" t="s">
        <v>4152</v>
      </c>
      <c r="AC8" s="13"/>
      <c r="AD8" s="13"/>
      <c r="AG8"/>
      <c r="AH8"/>
      <c r="AI8"/>
      <c r="AJ8"/>
      <c r="AK8"/>
      <c r="AL8"/>
      <c r="AM8"/>
      <c r="AN8"/>
      <c r="BL8">
        <f>1+BO5</f>
        <v>1</v>
      </c>
      <c r="BM8" t="str">
        <f>INDEX($BU$18:$BY$120,$BL8,COLUMNS($BL$8:BM8))</f>
        <v>USA</v>
      </c>
      <c r="BN8" s="22">
        <f>INDEX($BU$18:$BY$120,$BL8,COLUMNS($BL$8:BN8))</f>
        <v>72738.12965964344</v>
      </c>
      <c r="BO8" s="22">
        <f>INDEX($BU$18:$BY$120,$BL8,COLUMNS($BL$8:BO8))</f>
        <v>10.292035398230089</v>
      </c>
      <c r="BP8" s="22">
        <f>INDEX($BU$18:$BY$120,$BL8,COLUMNS($BL$8:BP8))</f>
        <v>617</v>
      </c>
      <c r="CT8" s="37"/>
    </row>
    <row r="9" spans="2:101" s="22" customFormat="1" x14ac:dyDescent="0.25">
      <c r="B9" s="13" t="s">
        <v>310</v>
      </c>
      <c r="C9" s="18">
        <f t="array" ref="C9">SUM((Continent=C$8)*(JobType=$B9)*(YearsExp&gt;$D$4)*(YearsExp&lt;$E$4)*(CodeHours&gt;$D$5)*(CodeHours&lt;$E$5)*Salaries)</f>
        <v>633267.86755757965</v>
      </c>
      <c r="D9" s="18">
        <f t="array" ref="D9">SUM((Continent=D$8)*(JobType=$B9)*(YearsExp&gt;$D$4)*(YearsExp&lt;$E$4)*(CodeHours&gt;$D$5)*(CodeHours&lt;$E$5)*Salaries)</f>
        <v>959627.67903014657</v>
      </c>
      <c r="E9" s="18">
        <f t="array" ref="E9">SUM((Continent=E$8)*(JobType=$B9)*(YearsExp&gt;$D$4)*(YearsExp&lt;$E$4)*(CodeHours&gt;$D$5)*(CodeHours&lt;$E$5)*Salaries)</f>
        <v>277515.32288544963</v>
      </c>
      <c r="F9" s="18">
        <f t="array" ref="F9">SUM((Continent=F$8)*(JobType=$B9)*(YearsExp&gt;$D$4)*(YearsExp&lt;$E$4)*(CodeHours&gt;$D$5)*(CodeHours&lt;$E$5)*Salaries)</f>
        <v>1625302.4440860639</v>
      </c>
      <c r="G9" s="18">
        <f t="array" ref="G9">SUM((Continent=G$8)*(JobType=$B9)*(YearsExp&gt;$D$4)*(YearsExp&lt;$E$4)*(CodeHours&gt;$D$5)*(CodeHours&lt;$E$5)*Salaries)</f>
        <v>0</v>
      </c>
      <c r="H9" s="18">
        <f t="array" ref="H9">SUM((Continent=H$8)*(JobType=$B9)*(YearsExp&gt;$D$4)*(YearsExp&lt;$E$4)*(CodeHours&gt;$D$5)*(CodeHours&lt;$E$5)*Salaries)</f>
        <v>756267.69579707389</v>
      </c>
      <c r="I9" s="18">
        <f>SUM(C9:H9)</f>
        <v>4251981.0093563134</v>
      </c>
      <c r="J9" s="18">
        <f t="shared" ref="J9:J18" si="5">INDEX(C9:H9,,MATCH($D$6,$C$8:$H$8,0))</f>
        <v>1625302.4440860639</v>
      </c>
      <c r="L9" s="13"/>
      <c r="M9"/>
      <c r="N9" t="s">
        <v>310</v>
      </c>
      <c r="O9" s="18">
        <f t="array" ref="O9">QUARTILE(IF((Continent=O$7)*(JobType=$B9)*1,Salaries),O$5)</f>
        <v>1783.166904422254</v>
      </c>
      <c r="P9" s="18">
        <f t="array" ref="P9">QUARTILE(IF((Continent=P$7)*(JobType=$B9),Salaries),P$5)</f>
        <v>4284.1573649981829</v>
      </c>
      <c r="Q9" s="18">
        <f t="array" ref="Q9">QUARTILE(IF((Continent=Q$7)*(JobType=$B9),Salaries),Q$5)</f>
        <v>9573.2827731515645</v>
      </c>
      <c r="R9" s="18">
        <f t="array" ref="R9">QUARTILE(IF((Continent=R$7)*(JobType=$B9),Salaries),R$5)</f>
        <v>23750</v>
      </c>
      <c r="S9" s="18">
        <f t="array" ref="S9">QUARTILE(IF((Continent=S$7)*(JobType=$B9),Salaries),S$5)</f>
        <v>71231.666749770273</v>
      </c>
      <c r="T9"/>
      <c r="U9"/>
      <c r="V9"/>
      <c r="W9" s="13" t="s">
        <v>310</v>
      </c>
      <c r="X9" s="18">
        <f t="array" ref="X9">QUARTILE(IF((Continent=X$7)*(JobType=$B9),Salaries),X$5)</f>
        <v>15500</v>
      </c>
      <c r="Y9" s="18">
        <f t="array" ref="Y9">QUARTILE(IF((Continent=Y$7)*(JobType=$B9),Salaries),Y$5)</f>
        <v>45000</v>
      </c>
      <c r="Z9" s="18">
        <f t="array" ref="Z9">QUARTILE(IF((Continent=Z$7)*(JobType=$B9),Salaries),Z$5)</f>
        <v>60000</v>
      </c>
      <c r="AA9" s="18">
        <f t="array" ref="AA9">QUARTILE(IF((Continent=AA$7)*(JobType=$B9),Salaries),AA$5)</f>
        <v>77000</v>
      </c>
      <c r="AB9" s="18">
        <f t="array" ref="AB9">QUARTILE(IF((Continent=AB$7)*(JobType=$B9),Salaries),AB$5)</f>
        <v>1229201.9037879086</v>
      </c>
      <c r="AC9" s="13"/>
      <c r="AD9" s="13"/>
      <c r="AG9"/>
      <c r="AH9" s="22" t="s">
        <v>4184</v>
      </c>
      <c r="AI9" s="26" t="s">
        <v>4185</v>
      </c>
      <c r="AJ9" s="26" t="s">
        <v>4432</v>
      </c>
      <c r="AK9" s="26" t="s">
        <v>4186</v>
      </c>
      <c r="AL9" s="22" t="s">
        <v>4176</v>
      </c>
      <c r="AM9" s="25" t="s">
        <v>4462</v>
      </c>
      <c r="AN9"/>
      <c r="AP9" s="22" t="s">
        <v>4175</v>
      </c>
      <c r="AQ9" s="26" t="s">
        <v>4171</v>
      </c>
      <c r="AR9" s="25" t="s">
        <v>4172</v>
      </c>
      <c r="AS9" s="25" t="s">
        <v>4173</v>
      </c>
      <c r="AT9" s="22" t="s">
        <v>4174</v>
      </c>
      <c r="AU9" s="22" t="s">
        <v>4462</v>
      </c>
      <c r="AX9" s="22" t="s">
        <v>4184</v>
      </c>
      <c r="AY9" s="26" t="s">
        <v>4185</v>
      </c>
      <c r="AZ9" s="26" t="s">
        <v>4432</v>
      </c>
      <c r="BA9" s="26" t="s">
        <v>4186</v>
      </c>
      <c r="BB9" s="22" t="s">
        <v>4176</v>
      </c>
      <c r="BF9" s="22" t="s">
        <v>4175</v>
      </c>
      <c r="BG9" s="26" t="s">
        <v>4171</v>
      </c>
      <c r="BH9" s="25" t="s">
        <v>4172</v>
      </c>
      <c r="BI9" s="25" t="s">
        <v>4173</v>
      </c>
      <c r="BJ9" s="22" t="s">
        <v>4174</v>
      </c>
      <c r="BL9">
        <f>+BL8+1</f>
        <v>2</v>
      </c>
      <c r="BM9" s="22" t="str">
        <f>INDEX($BU$18:$BY$120,$BL9,COLUMNS($BL$8:BM9))</f>
        <v>India</v>
      </c>
      <c r="BN9" s="22">
        <f>INDEX($BU$18:$BY$120,$BL9,COLUMNS($BL$8:BN9))</f>
        <v>13529.430894182482</v>
      </c>
      <c r="BO9" s="22">
        <f>INDEX($BU$18:$BY$120,$BL9,COLUMNS($BL$8:BO9))</f>
        <v>6.4691823899371066</v>
      </c>
      <c r="BP9" s="22">
        <f>INDEX($BU$18:$BY$120,$BL9,COLUMNS($BL$8:BP9))</f>
        <v>565</v>
      </c>
      <c r="CT9" s="37"/>
    </row>
    <row r="10" spans="2:101" x14ac:dyDescent="0.25">
      <c r="B10" s="13" t="s">
        <v>20</v>
      </c>
      <c r="C10" s="18">
        <f t="array" ref="C10">SUM((Continent=C$8)*(JobType=$B10)*(YearsExp&gt;$D$4)*(YearsExp&lt;$E$4)*(CodeHours&gt;$D$5)*(CodeHours&lt;$E$5)*Salaries)</f>
        <v>2697641.7185846972</v>
      </c>
      <c r="D10" s="18">
        <f t="array" ref="D10">SUM((Continent=D$8)*(JobType=$B10)*(YearsExp&gt;$D$4)*(YearsExp&lt;$E$4)*(CodeHours&gt;$D$5)*(CodeHours&lt;$E$5)*Salaries)</f>
        <v>4271394.2281204239</v>
      </c>
      <c r="E10" s="18">
        <f t="array" ref="E10">SUM((Continent=E$8)*(JobType=$B10)*(YearsExp&gt;$D$4)*(YearsExp&lt;$E$4)*(CodeHours&gt;$D$5)*(CodeHours&lt;$E$5)*Salaries)</f>
        <v>406572.90308307996</v>
      </c>
      <c r="F10" s="18">
        <f t="array" ref="F10">SUM((Continent=F$8)*(JobType=$B10)*(YearsExp&gt;$D$4)*(YearsExp&lt;$E$4)*(CodeHours&gt;$D$5)*(CodeHours&lt;$E$5)*Salaries)</f>
        <v>11619719.431585833</v>
      </c>
      <c r="G10" s="18">
        <f t="array" ref="G10">SUM((Continent=G$8)*(JobType=$B10)*(YearsExp&gt;$D$4)*(YearsExp&lt;$E$4)*(CodeHours&gt;$D$5)*(CodeHours&lt;$E$5)*Salaries)</f>
        <v>370724.54847415403</v>
      </c>
      <c r="H10" s="18">
        <f t="array" ref="H10">SUM((Continent=H$8)*(JobType=$B10)*(YearsExp&gt;$D$4)*(YearsExp&lt;$E$4)*(CodeHours&gt;$D$5)*(CodeHours&lt;$E$5)*Salaries)</f>
        <v>3385486.3970293743</v>
      </c>
      <c r="I10" s="18">
        <f t="shared" ref="I10:I18" si="6">SUM(C10:H10)</f>
        <v>22751539.226877566</v>
      </c>
      <c r="J10" s="18">
        <f t="shared" si="5"/>
        <v>11619719.431585833</v>
      </c>
      <c r="N10" t="s">
        <v>20</v>
      </c>
      <c r="O10" s="18">
        <f t="array" ref="O10">QUARTILE(IF((Continent=O$7)*(JobType=$B10)*1,Salaries),O$5)</f>
        <v>2136.9500024931081</v>
      </c>
      <c r="P10" s="18">
        <f t="array" ref="P10">QUARTILE(IF((Continent=P$7)*(JobType=$B10),Salaries),P$5)</f>
        <v>5342.3750062327708</v>
      </c>
      <c r="Q10" s="18">
        <f t="array" ref="Q10">QUARTILE(IF((Continent=Q$7)*(JobType=$B10),Salaries),Q$5)</f>
        <v>8903.9583437212841</v>
      </c>
      <c r="R10" s="18">
        <f t="array" ref="R10">QUARTILE(IF((Continent=R$7)*(JobType=$B10),Salaries),R$5)</f>
        <v>15136.729184326183</v>
      </c>
      <c r="S10" s="18">
        <f t="array" ref="S10">QUARTILE(IF((Continent=S$7)*(JobType=$B10),Salaries),S$5)</f>
        <v>160271.25018698312</v>
      </c>
      <c r="W10" s="13" t="s">
        <v>20</v>
      </c>
      <c r="X10" s="18">
        <f t="array" ref="X10">QUARTILE(IF((Continent=X$7)*(JobType=$B10),Salaries),X$5)</f>
        <v>10000</v>
      </c>
      <c r="Y10" s="18">
        <f t="array" ref="Y10">QUARTILE(IF((Continent=Y$7)*(JobType=$B10),Salaries),Y$5)</f>
        <v>45000</v>
      </c>
      <c r="Z10" s="18">
        <f t="array" ref="Z10">QUARTILE(IF((Continent=Z$7)*(JobType=$B10),Salaries),Z$5)</f>
        <v>60000</v>
      </c>
      <c r="AA10" s="18">
        <f t="array" ref="AA10">QUARTILE(IF((Continent=AA$7)*(JobType=$B10),Salaries),AA$5)</f>
        <v>75000</v>
      </c>
      <c r="AB10" s="18">
        <f t="array" ref="AB10">QUARTILE(IF((Continent=AB$7)*(JobType=$B10),Salaries),AB$5)</f>
        <v>245840.3807575817</v>
      </c>
      <c r="AC10" s="13"/>
      <c r="AD10" s="13"/>
      <c r="AG10" s="22" t="s">
        <v>1126</v>
      </c>
      <c r="AH10" s="22">
        <f t="array" ref="AH10">SUM((Continent=$AG10)*(YearsExp&gt;AH$6)*(YearsExp&lt;=AH$7))</f>
        <v>103</v>
      </c>
      <c r="AI10" s="22">
        <f t="array" ref="AI10">SUM((Continent=$AG10)*(YearsExp&gt;AI$6)*(YearsExp&lt;=AI$7))</f>
        <v>202</v>
      </c>
      <c r="AJ10" s="22">
        <f t="array" ref="AJ10">SUM((Continent=$AG10)*(YearsExp&gt;AJ$6)*(YearsExp&lt;=AJ$7))</f>
        <v>185</v>
      </c>
      <c r="AK10" s="22">
        <f t="array" ref="AK10">SUM((Continent=$AG10)*(YearsExp&gt;AK$6)*(YearsExp&lt;=AK$7))</f>
        <v>60</v>
      </c>
      <c r="AL10" s="22">
        <f t="array" ref="AL10">SUM((Continent=$AG10)*(YearsExp&gt;AL$6)*(YearsExp&lt;=AL$7))</f>
        <v>42</v>
      </c>
      <c r="AM10">
        <f>SUM(AH10:AL10)</f>
        <v>592</v>
      </c>
      <c r="AO10" s="22" t="s">
        <v>1126</v>
      </c>
      <c r="AP10" s="22">
        <f t="array" ref="AP10">SUMPRODUCT((Continent=$AO10)*(CodeHours=AP$6))</f>
        <v>2</v>
      </c>
      <c r="AQ10" s="22">
        <f t="array" ref="AQ10">SUMPRODUCT((Continent=$AO10)*(CodeHours=AQ$6))</f>
        <v>76</v>
      </c>
      <c r="AR10" s="22">
        <f t="array" ref="AR10">SUMPRODUCT((Continent=$AO10)*(CodeHours=AR$6))</f>
        <v>170</v>
      </c>
      <c r="AS10" s="22">
        <f t="array" ref="AS10">SUMPRODUCT((Continent=$AO10)*(CodeHours=AS$6))</f>
        <v>268</v>
      </c>
      <c r="AT10" s="22">
        <f t="array" ref="AT10">SUMPRODUCT((Continent=$AO10)*(CodeHours=AT$6))</f>
        <v>204</v>
      </c>
      <c r="AU10" s="22">
        <f>SUM(AP10:AT10)</f>
        <v>720</v>
      </c>
      <c r="AW10" s="22" t="s">
        <v>1126</v>
      </c>
      <c r="AX10" s="22">
        <f t="array" ref="AX10">SUM((Continent=$AG10)*(YearsExp&gt;AX$6)*(YearsExp&lt;=AX$7)*Salaries)/AH10</f>
        <v>11347.621297343105</v>
      </c>
      <c r="AY10" s="22">
        <f t="array" ref="AY10">SUM((Continent=$AG10)*(YearsExp&gt;AY$6)*(YearsExp&lt;=AY$7)*Salaries)/AI10</f>
        <v>13520.132611305962</v>
      </c>
      <c r="AZ10" s="22">
        <f t="array" ref="AZ10">SUM((Continent=$AG10)*(YearsExp&gt;AZ$6)*(YearsExp&lt;=AZ$7)*Salaries)/AJ10</f>
        <v>19556.298279560633</v>
      </c>
      <c r="BA10" s="22">
        <f t="array" ref="BA10">SUM((Continent=$AG10)*(YearsExp&gt;BA$6)*(YearsExp&lt;=BA$7)*Salaries)/AK10</f>
        <v>24530.635374159621</v>
      </c>
      <c r="BB10" s="22">
        <f t="array" ref="BB10">SUM((Continent=$AG10)*(YearsExp&gt;BB$6)*(YearsExp&lt;=BB$7)*Salaries)/AL10</f>
        <v>20119.738696336226</v>
      </c>
      <c r="BC10" s="22"/>
      <c r="BD10" s="22"/>
      <c r="BE10" s="22" t="s">
        <v>1126</v>
      </c>
      <c r="BF10" s="22">
        <f t="array" ref="BF10">IFERROR(SUM((Continent=$AO10)*(CodeHours=BF$6)*Salaries)/AP10,"")</f>
        <v>12225.989585930321</v>
      </c>
      <c r="BG10" s="22">
        <f t="array" ref="BG10">IFERROR(SUM((Continent=$AO10)*(CodeHours=BG$6)*Salaries)/AQ10,"")</f>
        <v>19353.196505401022</v>
      </c>
      <c r="BH10" s="22">
        <f t="array" ref="BH10">IFERROR(SUM((Continent=$AO10)*(CodeHours=BH$6)*Salaries)/AR10,"")</f>
        <v>18265.619968336196</v>
      </c>
      <c r="BI10" s="22">
        <f t="array" ref="BI10">IFERROR(SUM((Continent=$AO10)*(CodeHours=BI$6)*Salaries)/AS10,"")</f>
        <v>16809.764170074057</v>
      </c>
      <c r="BJ10" s="22">
        <f t="array" ref="BJ10">IFERROR(SUM((Continent=$AO10)*(CodeHours=BJ$6)*Salaries)/AT10,"")</f>
        <v>17396.99662774062</v>
      </c>
      <c r="BL10" s="22">
        <f t="shared" ref="BL10:BL12" si="7">+BL9+1</f>
        <v>3</v>
      </c>
      <c r="BM10" s="22" t="str">
        <f>INDEX($BU$18:$BY$120,$BL10,COLUMNS($BL$8:BM10))</f>
        <v>UK</v>
      </c>
      <c r="BN10" s="22">
        <f>INDEX($BU$18:$BY$120,$BL10,COLUMNS($BL$8:BN10))</f>
        <v>67240.730112795849</v>
      </c>
      <c r="BO10" s="22">
        <f>INDEX($BU$18:$BY$120,$BL10,COLUMNS($BL$8:BO10))</f>
        <v>10.382882882882884</v>
      </c>
      <c r="BP10" s="22">
        <f>INDEX($BU$18:$BY$120,$BL10,COLUMNS($BL$8:BP10))</f>
        <v>154</v>
      </c>
    </row>
    <row r="11" spans="2:101" x14ac:dyDescent="0.25">
      <c r="B11" s="13" t="s">
        <v>356</v>
      </c>
      <c r="C11" s="18">
        <f t="array" ref="C11">SUM((Continent=C$8)*(JobType=$B11)*(YearsExp&gt;$D$4)*(YearsExp&lt;$E$4)*(CodeHours&gt;$D$5)*(CodeHours&lt;$E$5)*Salaries)</f>
        <v>463527.21509378048</v>
      </c>
      <c r="D11" s="18">
        <f t="array" ref="D11">SUM((Continent=D$8)*(JobType=$B11)*(YearsExp&gt;$D$4)*(YearsExp&lt;$E$4)*(CodeHours&gt;$D$5)*(CodeHours&lt;$E$5)*Salaries)</f>
        <v>1250006.5971117488</v>
      </c>
      <c r="E11" s="18">
        <f t="array" ref="E11">SUM((Continent=E$8)*(JobType=$B11)*(YearsExp&gt;$D$4)*(YearsExp&lt;$E$4)*(CodeHours&gt;$D$5)*(CodeHours&lt;$E$5)*Salaries)</f>
        <v>82000</v>
      </c>
      <c r="F11" s="18">
        <f t="array" ref="F11">SUM((Continent=F$8)*(JobType=$B11)*(YearsExp&gt;$D$4)*(YearsExp&lt;$E$4)*(CodeHours&gt;$D$5)*(CodeHours&lt;$E$5)*Salaries)</f>
        <v>936068.24528969824</v>
      </c>
      <c r="G11" s="18">
        <f t="array" ref="G11">SUM((Continent=G$8)*(JobType=$B11)*(YearsExp&gt;$D$4)*(YearsExp&lt;$E$4)*(CodeHours&gt;$D$5)*(CodeHours&lt;$E$5)*Salaries)</f>
        <v>5000</v>
      </c>
      <c r="H11" s="18">
        <f t="array" ref="H11">SUM((Continent=H$8)*(JobType=$B11)*(YearsExp&gt;$D$4)*(YearsExp&lt;$E$4)*(CodeHours&gt;$D$5)*(CodeHours&lt;$E$5)*Salaries)</f>
        <v>723722.27044128417</v>
      </c>
      <c r="I11" s="18">
        <f t="shared" si="6"/>
        <v>3460324.3279365115</v>
      </c>
      <c r="J11" s="18">
        <f t="shared" si="5"/>
        <v>936068.24528969824</v>
      </c>
      <c r="N11" t="s">
        <v>356</v>
      </c>
      <c r="O11" s="18">
        <f t="array" ref="O11">QUARTILE(IF((Continent=O$7)*(JobType=$B11)*1,Salaries),O$5)</f>
        <v>2564.3400029917298</v>
      </c>
      <c r="P11" s="18">
        <f t="array" ref="P11">QUARTILE(IF((Continent=P$7)*(JobType=$B11),Salaries),P$5)</f>
        <v>8414.2406348166132</v>
      </c>
      <c r="Q11" s="18">
        <f t="array" ref="Q11">QUARTILE(IF((Continent=Q$7)*(JobType=$B11),Salaries),Q$5)</f>
        <v>12000</v>
      </c>
      <c r="R11" s="18">
        <f t="array" ref="R11">QUARTILE(IF((Continent=R$7)*(JobType=$B11),Salaries),R$5)</f>
        <v>25376.281279605661</v>
      </c>
      <c r="S11" s="18">
        <f t="array" ref="S11">QUARTILE(IF((Continent=S$7)*(JobType=$B11),Salaries),S$5)</f>
        <v>120000</v>
      </c>
      <c r="W11" s="13" t="s">
        <v>356</v>
      </c>
      <c r="X11" s="18">
        <f t="array" ref="X11">QUARTILE(IF((Continent=X$7)*(JobType=$B11),Salaries),X$5)</f>
        <v>12000</v>
      </c>
      <c r="Y11" s="18">
        <f t="array" ref="Y11">QUARTILE(IF((Continent=Y$7)*(JobType=$B11),Salaries),Y$5)</f>
        <v>69000</v>
      </c>
      <c r="Z11" s="18">
        <f t="array" ref="Z11">QUARTILE(IF((Continent=Z$7)*(JobType=$B11),Salaries),Z$5)</f>
        <v>90469.260118790073</v>
      </c>
      <c r="AA11" s="18">
        <f t="array" ref="AA11">QUARTILE(IF((Continent=AA$7)*(JobType=$B11),Salaries),AA$5)</f>
        <v>115000</v>
      </c>
      <c r="AB11" s="18">
        <f t="array" ref="AB11">QUARTILE(IF((Continent=AB$7)*(JobType=$B11),Salaries),AB$5)</f>
        <v>250000</v>
      </c>
      <c r="AC11" s="13"/>
      <c r="AD11" s="13"/>
      <c r="AG11" s="22" t="s">
        <v>983</v>
      </c>
      <c r="AH11" s="22">
        <f t="array" ref="AH11">SUM((Continent=$AG11)*(YearsExp&gt;AH$6)*(YearsExp&lt;=AH$7))</f>
        <v>19</v>
      </c>
      <c r="AI11" s="22">
        <f t="array" ref="AI11">SUM((Continent=$AG11)*(YearsExp&gt;AI$6)*(YearsExp&lt;=AI$7))</f>
        <v>52</v>
      </c>
      <c r="AJ11" s="22">
        <f t="array" ref="AJ11">SUM((Continent=$AG11)*(YearsExp&gt;AJ$6)*(YearsExp&lt;=AJ$7))</f>
        <v>67</v>
      </c>
      <c r="AK11" s="22">
        <f t="array" ref="AK11">SUM((Continent=$AG11)*(YearsExp&gt;AK$6)*(YearsExp&lt;=AK$7))</f>
        <v>43</v>
      </c>
      <c r="AL11" s="22">
        <f t="array" ref="AL11">SUM((Continent=$AG11)*(YearsExp&gt;AL$6)*(YearsExp&lt;=AL$7))</f>
        <v>40</v>
      </c>
      <c r="AM11" s="22">
        <f t="shared" ref="AM11:AM16" si="8">SUM(AH11:AL11)</f>
        <v>221</v>
      </c>
      <c r="AO11" s="22" t="s">
        <v>983</v>
      </c>
      <c r="AP11" s="22">
        <f t="array" ref="AP11">SUMPRODUCT((Continent=$AO11)*(CodeHours=AP$6))</f>
        <v>1</v>
      </c>
      <c r="AQ11" s="22">
        <f t="array" ref="AQ11">SUMPRODUCT((Continent=$AO11)*(CodeHours=AQ$6))</f>
        <v>30</v>
      </c>
      <c r="AR11" s="22">
        <f t="array" ref="AR11">SUMPRODUCT((Continent=$AO11)*(CodeHours=AR$6))</f>
        <v>76</v>
      </c>
      <c r="AS11" s="22">
        <f t="array" ref="AS11">SUMPRODUCT((Continent=$AO11)*(CodeHours=AS$6))</f>
        <v>124</v>
      </c>
      <c r="AT11" s="22">
        <f t="array" ref="AT11">SUMPRODUCT((Continent=$AO11)*(CodeHours=AT$6))</f>
        <v>73</v>
      </c>
      <c r="AU11" s="22">
        <f t="shared" ref="AU11:AU16" si="9">SUM(AP11:AT11)</f>
        <v>304</v>
      </c>
      <c r="AW11" s="22" t="s">
        <v>983</v>
      </c>
      <c r="AX11" s="22">
        <f t="array" ref="AX11">SUM((Continent=$AG11)*(YearsExp&gt;AX$6)*(YearsExp&lt;=AX$7)*Salaries)/AH11</f>
        <v>42463.780970676162</v>
      </c>
      <c r="AY11" s="22">
        <f t="array" ref="AY11">SUM((Continent=$AG11)*(YearsExp&gt;AY$6)*(YearsExp&lt;=AY$7)*Salaries)/AI11</f>
        <v>52552.923998043538</v>
      </c>
      <c r="AZ11" s="22">
        <f t="array" ref="AZ11">SUM((Continent=$AG11)*(YearsExp&gt;AZ$6)*(YearsExp&lt;=AZ$7)*Salaries)/AJ11</f>
        <v>61206.886589279784</v>
      </c>
      <c r="BA11" s="22">
        <f t="array" ref="BA11">SUM((Continent=$AG11)*(YearsExp&gt;BA$6)*(YearsExp&lt;=BA$7)*Salaries)/AK11</f>
        <v>64911.975393829824</v>
      </c>
      <c r="BB11" s="22">
        <f t="array" ref="BB11">SUM((Continent=$AG11)*(YearsExp&gt;BB$6)*(YearsExp&lt;=BB$7)*Salaries)/AL11</f>
        <v>77703.711042188574</v>
      </c>
      <c r="BC11" s="22"/>
      <c r="BD11" s="22"/>
      <c r="BE11" s="22" t="s">
        <v>983</v>
      </c>
      <c r="BF11" s="22">
        <f t="array" ref="BF11">IFERROR(SUM((Continent=$AO11)*(CodeHours=BF$6)*Salaries)/AP11,"")</f>
        <v>170000</v>
      </c>
      <c r="BG11" s="22">
        <f t="array" ref="BG11">IFERROR(SUM((Continent=$AO11)*(CodeHours=BG$6)*Salaries)/AQ11,"")</f>
        <v>73735.055672218805</v>
      </c>
      <c r="BH11" s="22">
        <f t="array" ref="BH11">IFERROR(SUM((Continent=$AO11)*(CodeHours=BH$6)*Salaries)/AR11,"")</f>
        <v>66586.810024323859</v>
      </c>
      <c r="BI11" s="22">
        <f t="array" ref="BI11">IFERROR(SUM((Continent=$AO11)*(CodeHours=BI$6)*Salaries)/AS11,"")</f>
        <v>61660.82083096727</v>
      </c>
      <c r="BJ11" s="22">
        <f t="array" ref="BJ11">IFERROR(SUM((Continent=$AO11)*(CodeHours=BJ$6)*Salaries)/AT11,"")</f>
        <v>56161.845208131745</v>
      </c>
      <c r="BL11" s="22">
        <f t="shared" si="7"/>
        <v>4</v>
      </c>
      <c r="BM11" s="22" t="str">
        <f>INDEX($BU$18:$BY$120,$BL11,COLUMNS($BL$8:BM11))</f>
        <v>Australia</v>
      </c>
      <c r="BN11" s="22">
        <f>INDEX($BU$18:$BY$120,$BL11,COLUMNS($BL$8:BN11))</f>
        <v>92857.629854916348</v>
      </c>
      <c r="BO11" s="22">
        <f>INDEX($BU$18:$BY$120,$BL11,COLUMNS($BL$8:BO11))</f>
        <v>10.26</v>
      </c>
      <c r="BP11" s="22">
        <f>INDEX($BU$18:$BY$120,$BL11,COLUMNS($BL$8:BP11))</f>
        <v>81</v>
      </c>
      <c r="CU11" s="22"/>
    </row>
    <row r="12" spans="2:101" x14ac:dyDescent="0.25">
      <c r="B12" s="13" t="s">
        <v>488</v>
      </c>
      <c r="C12" s="18">
        <f t="array" ref="C12">SUM((Continent=C$8)*(JobType=$B12)*(YearsExp&gt;$D$4)*(YearsExp&lt;$E$4)*(CodeHours&gt;$D$5)*(CodeHours&lt;$E$5)*Salaries)</f>
        <v>273637.24005784013</v>
      </c>
      <c r="D12" s="18">
        <f t="array" ref="D12">SUM((Continent=D$8)*(JobType=$B12)*(YearsExp&gt;$D$4)*(YearsExp&lt;$E$4)*(CodeHours&gt;$D$5)*(CodeHours&lt;$E$5)*Salaries)</f>
        <v>1588088.0967991985</v>
      </c>
      <c r="E12" s="18">
        <f t="array" ref="E12">SUM((Continent=E$8)*(JobType=$B12)*(YearsExp&gt;$D$4)*(YearsExp&lt;$E$4)*(CodeHours&gt;$D$5)*(CodeHours&lt;$E$5)*Salaries)</f>
        <v>23255.603296661022</v>
      </c>
      <c r="F12" s="18">
        <f t="array" ref="F12">SUM((Continent=F$8)*(JobType=$B12)*(YearsExp&gt;$D$4)*(YearsExp&lt;$E$4)*(CodeHours&gt;$D$5)*(CodeHours&lt;$E$5)*Salaries)</f>
        <v>1236325</v>
      </c>
      <c r="G12" s="18">
        <f t="array" ref="G12">SUM((Continent=G$8)*(JobType=$B12)*(YearsExp&gt;$D$4)*(YearsExp&lt;$E$4)*(CodeHours&gt;$D$5)*(CodeHours&lt;$E$5)*Salaries)</f>
        <v>22800</v>
      </c>
      <c r="H12" s="18">
        <f t="array" ref="H12">SUM((Continent=H$8)*(JobType=$B12)*(YearsExp&gt;$D$4)*(YearsExp&lt;$E$4)*(CodeHours&gt;$D$5)*(CodeHours&lt;$E$5)*Salaries)</f>
        <v>248857.95616224312</v>
      </c>
      <c r="I12" s="18">
        <f t="shared" si="6"/>
        <v>3392963.8963159425</v>
      </c>
      <c r="J12" s="18">
        <f t="shared" si="5"/>
        <v>1236325</v>
      </c>
      <c r="N12" t="s">
        <v>488</v>
      </c>
      <c r="O12" s="18">
        <f t="array" ref="O12">QUARTILE(IF((Continent=O$7)*(JobType=$B12)*1,Salaries),O$5)</f>
        <v>2564.3400029917298</v>
      </c>
      <c r="P12" s="18">
        <f t="array" ref="P12">QUARTILE(IF((Continent=P$7)*(JobType=$B12),Salaries),P$5)</f>
        <v>12450</v>
      </c>
      <c r="Q12" s="18">
        <f t="array" ref="Q12">QUARTILE(IF((Continent=Q$7)*(JobType=$B12),Salaries),Q$5)</f>
        <v>15813.562509349154</v>
      </c>
      <c r="R12" s="18">
        <f t="array" ref="R12">QUARTILE(IF((Continent=R$7)*(JobType=$B12),Salaries),R$5)</f>
        <v>39000</v>
      </c>
      <c r="S12" s="18">
        <f t="array" ref="S12">QUARTILE(IF((Continent=S$7)*(JobType=$B12),Salaries),S$5)</f>
        <v>85000</v>
      </c>
      <c r="W12" s="13" t="s">
        <v>488</v>
      </c>
      <c r="X12" s="18">
        <f t="array" ref="X12">QUARTILE(IF((Continent=X$7)*(JobType=$B12),Salaries),X$5)</f>
        <v>24000</v>
      </c>
      <c r="Y12" s="18">
        <f t="array" ref="Y12">QUARTILE(IF((Continent=Y$7)*(JobType=$B12),Salaries),Y$5)</f>
        <v>67000</v>
      </c>
      <c r="Z12" s="18">
        <f t="array" ref="Z12">QUARTILE(IF((Continent=Z$7)*(JobType=$B12),Salaries),Z$5)</f>
        <v>80000</v>
      </c>
      <c r="AA12" s="18">
        <f t="array" ref="AA12">QUARTILE(IF((Continent=AA$7)*(JobType=$B12),Salaries),AA$5)</f>
        <v>101000</v>
      </c>
      <c r="AB12" s="18">
        <f t="array" ref="AB12">QUARTILE(IF((Continent=AB$7)*(JobType=$B12),Salaries),AB$5)</f>
        <v>214000</v>
      </c>
      <c r="AC12" s="13"/>
      <c r="AD12" s="13"/>
      <c r="AG12" s="22" t="s">
        <v>4009</v>
      </c>
      <c r="AH12" s="22">
        <f t="array" ref="AH12">SUM((Continent=$AG12)*(YearsExp&gt;AH$6)*(YearsExp&lt;=AH$7))</f>
        <v>5</v>
      </c>
      <c r="AI12" s="22">
        <f t="array" ref="AI12">SUM((Continent=$AG12)*(YearsExp&gt;AI$6)*(YearsExp&lt;=AI$7))</f>
        <v>6</v>
      </c>
      <c r="AJ12" s="22">
        <f t="array" ref="AJ12">SUM((Continent=$AG12)*(YearsExp&gt;AJ$6)*(YearsExp&lt;=AJ$7))</f>
        <v>11</v>
      </c>
      <c r="AK12" s="22">
        <f t="array" ref="AK12">SUM((Continent=$AG12)*(YearsExp&gt;AK$6)*(YearsExp&lt;=AK$7))</f>
        <v>3</v>
      </c>
      <c r="AL12" s="22">
        <f t="array" ref="AL12">SUM((Continent=$AG12)*(YearsExp&gt;AL$6)*(YearsExp&lt;=AL$7))</f>
        <v>6</v>
      </c>
      <c r="AM12" s="22">
        <f t="shared" si="8"/>
        <v>31</v>
      </c>
      <c r="AO12" s="22" t="s">
        <v>4009</v>
      </c>
      <c r="AP12" s="22">
        <f t="array" ref="AP12">SUMPRODUCT((Continent=$AO12)*(CodeHours=AP$6))</f>
        <v>0</v>
      </c>
      <c r="AQ12" s="22">
        <f t="array" ref="AQ12">SUMPRODUCT((Continent=$AO12)*(CodeHours=AQ$6))</f>
        <v>0</v>
      </c>
      <c r="AR12" s="22">
        <f t="array" ref="AR12">SUMPRODUCT((Continent=$AO12)*(CodeHours=AR$6))</f>
        <v>4</v>
      </c>
      <c r="AS12" s="22">
        <f t="array" ref="AS12">SUMPRODUCT((Continent=$AO12)*(CodeHours=AS$6))</f>
        <v>19</v>
      </c>
      <c r="AT12" s="22">
        <f t="array" ref="AT12">SUMPRODUCT((Continent=$AO12)*(CodeHours=AT$6))</f>
        <v>14</v>
      </c>
      <c r="AU12" s="22">
        <f t="shared" si="9"/>
        <v>37</v>
      </c>
      <c r="AW12" s="22" t="s">
        <v>4009</v>
      </c>
      <c r="AX12" s="22">
        <f t="array" ref="AX12">SUM((Continent=$AG12)*(YearsExp&gt;AX$6)*(YearsExp&lt;=AX$7)*Salaries)/AH12</f>
        <v>17526.95344294914</v>
      </c>
      <c r="AY12" s="22">
        <f t="array" ref="AY12">SUM((Continent=$AG12)*(YearsExp&gt;AY$6)*(YearsExp&lt;=AY$7)*Salaries)/AI12</f>
        <v>14649.306135750267</v>
      </c>
      <c r="AZ12" s="22">
        <f t="array" ref="AZ12">SUM((Continent=$AG12)*(YearsExp&gt;AZ$6)*(YearsExp&lt;=AZ$7)*Salaries)/AJ12</f>
        <v>43760.597766058636</v>
      </c>
      <c r="BA12" s="22">
        <f t="array" ref="BA12">SUM((Continent=$AG12)*(YearsExp&gt;BA$6)*(YearsExp&lt;=BA$7)*Salaries)/AK12</f>
        <v>24948.757901547349</v>
      </c>
      <c r="BB12" s="22">
        <f t="array" ref="BB12">SUM((Continent=$AG12)*(YearsExp&gt;BB$6)*(YearsExp&lt;=BB$7)*Salaries)/AL12</f>
        <v>75481.804840619778</v>
      </c>
      <c r="BC12" s="22"/>
      <c r="BD12" s="22"/>
      <c r="BE12" s="22" t="s">
        <v>4009</v>
      </c>
      <c r="BF12" s="22" t="str">
        <f t="array" ref="BF12">IFERROR(SUM((Continent=$AO12)*(CodeHours=BF$6)*Salaries)/AP12,"")</f>
        <v/>
      </c>
      <c r="BG12" s="22" t="str">
        <f t="array" ref="BG12">IFERROR(SUM((Continent=$AO12)*(CodeHours=BG$6)*Salaries)/AQ12,"")</f>
        <v/>
      </c>
      <c r="BH12" s="22">
        <f t="array" ref="BH12">IFERROR(SUM((Continent=$AO12)*(CodeHours=BH$6)*Salaries)/AR12,"")</f>
        <v>48526.945444128934</v>
      </c>
      <c r="BI12" s="22">
        <f t="array" ref="BI12">IFERROR(SUM((Continent=$AO12)*(CodeHours=BI$6)*Salaries)/AS12,"")</f>
        <v>48354.304780975122</v>
      </c>
      <c r="BJ12" s="22">
        <f t="array" ref="BJ12">IFERROR(SUM((Continent=$AO12)*(CodeHours=BJ$6)*Salaries)/AT12,"")</f>
        <v>33033.587988653853</v>
      </c>
      <c r="BL12" s="22">
        <f t="shared" si="7"/>
        <v>5</v>
      </c>
      <c r="BM12" s="22" t="str">
        <f>INDEX($BU$18:$BY$120,$BL12,COLUMNS($BL$8:BM12))</f>
        <v>Canada</v>
      </c>
      <c r="BN12" s="22">
        <f>INDEX($BU$18:$BY$120,$BL12,COLUMNS($BL$8:BN12))</f>
        <v>89799.526836779929</v>
      </c>
      <c r="BO12" s="22">
        <f>INDEX($BU$18:$BY$120,$BL12,COLUMNS($BL$8:BO12))</f>
        <v>8.75</v>
      </c>
      <c r="BP12" s="22">
        <f>INDEX($BU$18:$BY$120,$BL12,COLUMNS($BL$8:BP12))</f>
        <v>58</v>
      </c>
      <c r="CU12" s="22"/>
    </row>
    <row r="13" spans="2:101" x14ac:dyDescent="0.25">
      <c r="B13" s="13" t="s">
        <v>4001</v>
      </c>
      <c r="C13" s="18">
        <f t="array" ref="C13">SUM((Continent=C$8)*(JobType=$B13)*(YearsExp&gt;$D$4)*(YearsExp&lt;$E$4)*(CodeHours&gt;$D$5)*(CodeHours&lt;$E$5)*Salaries)</f>
        <v>446125.50022437976</v>
      </c>
      <c r="D13" s="18">
        <f t="array" ref="D13">SUM((Continent=D$8)*(JobType=$B13)*(YearsExp&gt;$D$4)*(YearsExp&lt;$E$4)*(CodeHours&gt;$D$5)*(CodeHours&lt;$E$5)*Salaries)</f>
        <v>685982.80012908578</v>
      </c>
      <c r="E13" s="18">
        <f t="array" ref="E13">SUM((Continent=E$8)*(JobType=$B13)*(YearsExp&gt;$D$4)*(YearsExp&lt;$E$4)*(CodeHours&gt;$D$5)*(CodeHours&lt;$E$5)*Salaries)</f>
        <v>139630.61358354933</v>
      </c>
      <c r="F13" s="18">
        <f t="array" ref="F13">SUM((Continent=F$8)*(JobType=$B13)*(YearsExp&gt;$D$4)*(YearsExp&lt;$E$4)*(CodeHours&gt;$D$5)*(CodeHours&lt;$E$5)*Salaries)</f>
        <v>2897836.1523030326</v>
      </c>
      <c r="G13" s="18">
        <f t="array" ref="G13">SUM((Continent=G$8)*(JobType=$B13)*(YearsExp&gt;$D$4)*(YearsExp&lt;$E$4)*(CodeHours&gt;$D$5)*(CodeHours&lt;$E$5)*Salaries)</f>
        <v>0</v>
      </c>
      <c r="H13" s="18">
        <f t="array" ref="H13">SUM((Continent=H$8)*(JobType=$B13)*(YearsExp&gt;$D$4)*(YearsExp&lt;$E$4)*(CodeHours&gt;$D$5)*(CodeHours&lt;$E$5)*Salaries)</f>
        <v>198882.38299851399</v>
      </c>
      <c r="I13" s="18">
        <f t="shared" si="6"/>
        <v>4368457.4492385611</v>
      </c>
      <c r="J13" s="18">
        <f t="shared" si="5"/>
        <v>2897836.1523030326</v>
      </c>
      <c r="N13" t="s">
        <v>4001</v>
      </c>
      <c r="O13" s="18">
        <f t="array" ref="O13">QUARTILE(IF((Continent=O$7)*(JobType=$B13)*1,Salaries),O$5)</f>
        <v>2671.1875031163854</v>
      </c>
      <c r="P13" s="18">
        <f t="array" ref="P13">QUARTILE(IF((Continent=P$7)*(JobType=$B13),Salaries),P$5)</f>
        <v>13801.135432767991</v>
      </c>
      <c r="Q13" s="18">
        <f t="array" ref="Q13">QUARTILE(IF((Continent=Q$7)*(JobType=$B13),Salaries),Q$5)</f>
        <v>30000</v>
      </c>
      <c r="R13" s="18">
        <f t="array" ref="R13">QUARTILE(IF((Continent=R$7)*(JobType=$B13),Salaries),R$5)</f>
        <v>47259.895859303215</v>
      </c>
      <c r="S13" s="18">
        <f t="array" ref="S13">QUARTILE(IF((Continent=S$7)*(JobType=$B13),Salaries),S$5)</f>
        <v>100800</v>
      </c>
      <c r="W13" s="13" t="s">
        <v>4001</v>
      </c>
      <c r="X13" s="18">
        <f t="array" ref="X13">QUARTILE(IF((Continent=X$7)*(JobType=$B13),Salaries),X$5)</f>
        <v>16000</v>
      </c>
      <c r="Y13" s="18">
        <f t="array" ref="Y13">QUARTILE(IF((Continent=Y$7)*(JobType=$B13),Salaries),Y$5)</f>
        <v>87500</v>
      </c>
      <c r="Z13" s="18">
        <f t="array" ref="Z13">QUARTILE(IF((Continent=Z$7)*(JobType=$B13),Salaries),Z$5)</f>
        <v>107500</v>
      </c>
      <c r="AA13" s="18">
        <f t="array" ref="AA13">QUARTILE(IF((Continent=AA$7)*(JobType=$B13),Salaries),AA$5)</f>
        <v>150000</v>
      </c>
      <c r="AB13" s="18">
        <f t="array" ref="AB13">QUARTILE(IF((Continent=AB$7)*(JobType=$B13),Salaries),AB$5)</f>
        <v>300000</v>
      </c>
      <c r="AC13" s="13"/>
      <c r="AD13" s="13"/>
      <c r="AG13" s="22" t="s">
        <v>4165</v>
      </c>
      <c r="AH13" s="22">
        <f t="array" ref="AH13">SUM((Continent=$AG13)*(YearsExp&gt;AH$6)*(YearsExp&lt;=AH$7))</f>
        <v>55</v>
      </c>
      <c r="AI13" s="22">
        <f t="array" ref="AI13">SUM((Continent=$AG13)*(YearsExp&gt;AI$6)*(YearsExp&lt;=AI$7))</f>
        <v>69</v>
      </c>
      <c r="AJ13" s="22">
        <f t="array" ref="AJ13">SUM((Continent=$AG13)*(YearsExp&gt;AJ$6)*(YearsExp&lt;=AJ$7))</f>
        <v>106</v>
      </c>
      <c r="AK13" s="22">
        <f t="array" ref="AK13">SUM((Continent=$AG13)*(YearsExp&gt;AK$6)*(YearsExp&lt;=AK$7))</f>
        <v>69</v>
      </c>
      <c r="AL13" s="22">
        <f t="array" ref="AL13">SUM((Continent=$AG13)*(YearsExp&gt;AL$6)*(YearsExp&lt;=AL$7))</f>
        <v>69</v>
      </c>
      <c r="AM13" s="22">
        <f t="shared" si="8"/>
        <v>368</v>
      </c>
      <c r="AO13" s="22" t="s">
        <v>4165</v>
      </c>
      <c r="AP13" s="22">
        <f t="array" ref="AP13">SUMPRODUCT((Continent=$AO13)*(CodeHours=AP$6))</f>
        <v>4</v>
      </c>
      <c r="AQ13" s="22">
        <f t="array" ref="AQ13">SUMPRODUCT((Continent=$AO13)*(CodeHours=AQ$6))</f>
        <v>50</v>
      </c>
      <c r="AR13" s="22">
        <f t="array" ref="AR13">SUMPRODUCT((Continent=$AO13)*(CodeHours=AR$6))</f>
        <v>169</v>
      </c>
      <c r="AS13" s="22">
        <f t="array" ref="AS13">SUMPRODUCT((Continent=$AO13)*(CodeHours=AS$6))</f>
        <v>312</v>
      </c>
      <c r="AT13" s="22">
        <f t="array" ref="AT13">SUMPRODUCT((Continent=$AO13)*(CodeHours=AT$6))</f>
        <v>155</v>
      </c>
      <c r="AU13" s="22">
        <f t="shared" si="9"/>
        <v>690</v>
      </c>
      <c r="AW13" s="22" t="s">
        <v>4165</v>
      </c>
      <c r="AX13" s="22">
        <f t="array" ref="AX13">SUM((Continent=$AG13)*(YearsExp&gt;AX$6)*(YearsExp&lt;=AX$7)*Salaries)/AH13</f>
        <v>51417.855048220466</v>
      </c>
      <c r="AY13" s="22">
        <f t="array" ref="AY13">SUM((Continent=$AG13)*(YearsExp&gt;AY$6)*(YearsExp&lt;=AY$7)*Salaries)/AI13</f>
        <v>58797.107319494513</v>
      </c>
      <c r="AZ13" s="22">
        <f t="array" ref="AZ13">SUM((Continent=$AG13)*(YearsExp&gt;AZ$6)*(YearsExp&lt;=AZ$7)*Salaries)/AJ13</f>
        <v>74894.327285627005</v>
      </c>
      <c r="BA13" s="22">
        <f t="array" ref="BA13">SUM((Continent=$AG13)*(YearsExp&gt;BA$6)*(YearsExp&lt;=BA$7)*Salaries)/AK13</f>
        <v>78838.123173869142</v>
      </c>
      <c r="BB13" s="22">
        <f t="array" ref="BB13">SUM((Continent=$AG13)*(YearsExp&gt;BB$6)*(YearsExp&lt;=BB$7)*Salaries)/AL13</f>
        <v>92970.089628414746</v>
      </c>
      <c r="BC13" s="22"/>
      <c r="BD13" s="22"/>
      <c r="BE13" s="22" t="s">
        <v>4165</v>
      </c>
      <c r="BF13" s="22">
        <f t="array" ref="BF13">IFERROR(SUM((Continent=$AO13)*(CodeHours=BF$6)*Salaries)/AP13,"")</f>
        <v>52000.422845454901</v>
      </c>
      <c r="BG13" s="22">
        <f t="array" ref="BG13">IFERROR(SUM((Continent=$AO13)*(CodeHours=BG$6)*Salaries)/AQ13,"")</f>
        <v>76379.760721394006</v>
      </c>
      <c r="BH13" s="22">
        <f t="array" ref="BH13">IFERROR(SUM((Continent=$AO13)*(CodeHours=BH$6)*Salaries)/AR13,"")</f>
        <v>76483.57302765589</v>
      </c>
      <c r="BI13" s="22">
        <f t="array" ref="BI13">IFERROR(SUM((Continent=$AO13)*(CodeHours=BI$6)*Salaries)/AS13,"")</f>
        <v>72974.603343195253</v>
      </c>
      <c r="BJ13" s="22">
        <f t="array" ref="BJ13">IFERROR(SUM((Continent=$AO13)*(CodeHours=BJ$6)*Salaries)/AT13,"")</f>
        <v>69858.430266342722</v>
      </c>
      <c r="BS13" s="22"/>
    </row>
    <row r="14" spans="2:101" x14ac:dyDescent="0.25">
      <c r="B14" s="13" t="s">
        <v>279</v>
      </c>
      <c r="C14" s="18">
        <f t="array" ref="C14">SUM((Continent=C$8)*(JobType=$B14)*(YearsExp&gt;$D$4)*(YearsExp&lt;$E$4)*(CodeHours&gt;$D$5)*(CodeHours&lt;$E$5)*Salaries)</f>
        <v>441771.20803030644</v>
      </c>
      <c r="D14" s="18">
        <f t="array" ref="D14">SUM((Continent=D$8)*(JobType=$B14)*(YearsExp&gt;$D$4)*(YearsExp&lt;$E$4)*(CodeHours&gt;$D$5)*(CodeHours&lt;$E$5)*Salaries)</f>
        <v>674208.16809074522</v>
      </c>
      <c r="E14" s="18">
        <f t="array" ref="E14">SUM((Continent=E$8)*(JobType=$B14)*(YearsExp&gt;$D$4)*(YearsExp&lt;$E$4)*(CodeHours&gt;$D$5)*(CodeHours&lt;$E$5)*Salaries)</f>
        <v>9376.2513877177607</v>
      </c>
      <c r="F14" s="18">
        <f t="array" ref="F14">SUM((Continent=F$8)*(JobType=$B14)*(YearsExp&gt;$D$4)*(YearsExp&lt;$E$4)*(CodeHours&gt;$D$5)*(CodeHours&lt;$E$5)*Salaries)</f>
        <v>783960</v>
      </c>
      <c r="G14" s="18">
        <f t="array" ref="G14">SUM((Continent=G$8)*(JobType=$B14)*(YearsExp&gt;$D$4)*(YearsExp&lt;$E$4)*(CodeHours&gt;$D$5)*(CodeHours&lt;$E$5)*Salaries)</f>
        <v>80000</v>
      </c>
      <c r="H14" s="18">
        <f t="array" ref="H14">SUM((Continent=H$8)*(JobType=$B14)*(YearsExp&gt;$D$4)*(YearsExp&lt;$E$4)*(CodeHours&gt;$D$5)*(CodeHours&lt;$E$5)*Salaries)</f>
        <v>367270.40438549302</v>
      </c>
      <c r="I14" s="18">
        <f t="shared" si="6"/>
        <v>2356586.0318942624</v>
      </c>
      <c r="J14" s="18">
        <f t="shared" si="5"/>
        <v>783960</v>
      </c>
      <c r="N14" t="s">
        <v>279</v>
      </c>
      <c r="O14" s="18">
        <f t="array" ref="O14">QUARTILE(IF((Continent=O$7)*(JobType=$B14)*1,Salaries),O$5)</f>
        <v>2671.1875031163854</v>
      </c>
      <c r="P14" s="18">
        <f t="array" ref="P14">QUARTILE(IF((Continent=P$7)*(JobType=$B14),Salaries),P$5)</f>
        <v>7229.5416687442566</v>
      </c>
      <c r="Q14" s="18">
        <f t="array" ref="Q14">QUARTILE(IF((Continent=Q$7)*(JobType=$B14),Salaries),Q$5)</f>
        <v>11702.410218719113</v>
      </c>
      <c r="R14" s="18">
        <f t="array" ref="R14">QUARTILE(IF((Continent=R$7)*(JobType=$B14),Salaries),R$5)</f>
        <v>24000</v>
      </c>
      <c r="S14" s="18">
        <f t="array" ref="S14">QUARTILE(IF((Continent=S$7)*(JobType=$B14),Salaries),S$5)</f>
        <v>138000</v>
      </c>
      <c r="W14" s="13" t="s">
        <v>279</v>
      </c>
      <c r="X14" s="18">
        <f t="array" ref="X14">QUARTILE(IF((Continent=X$7)*(JobType=$B14),Salaries),X$5)</f>
        <v>6629</v>
      </c>
      <c r="Y14" s="18">
        <f t="array" ref="Y14">QUARTILE(IF((Continent=Y$7)*(JobType=$B14),Salaries),Y$5)</f>
        <v>57000</v>
      </c>
      <c r="Z14" s="18">
        <f t="array" ref="Z14">QUARTILE(IF((Continent=Z$7)*(JobType=$B14),Salaries),Z$5)</f>
        <v>71250</v>
      </c>
      <c r="AA14" s="18">
        <f t="array" ref="AA14">QUARTILE(IF((Continent=AA$7)*(JobType=$B14),Salaries),AA$5)</f>
        <v>85000</v>
      </c>
      <c r="AB14" s="18">
        <f t="array" ref="AB14">QUARTILE(IF((Continent=AB$7)*(JobType=$B14),Salaries),AB$5)</f>
        <v>130000</v>
      </c>
      <c r="AC14" s="13"/>
      <c r="AD14" s="13"/>
      <c r="AG14" s="22" t="s">
        <v>4166</v>
      </c>
      <c r="AH14" s="22">
        <f t="array" ref="AH14">SUM((Continent=$AG14)*(YearsExp&gt;AH$6)*(YearsExp&lt;=AH$7))</f>
        <v>3</v>
      </c>
      <c r="AI14" s="22">
        <f t="array" ref="AI14">SUM((Continent=$AG14)*(YearsExp&gt;AI$6)*(YearsExp&lt;=AI$7))</f>
        <v>4</v>
      </c>
      <c r="AJ14" s="22">
        <f t="array" ref="AJ14">SUM((Continent=$AG14)*(YearsExp&gt;AJ$6)*(YearsExp&lt;=AJ$7))</f>
        <v>10</v>
      </c>
      <c r="AK14" s="22">
        <f t="array" ref="AK14">SUM((Continent=$AG14)*(YearsExp&gt;AK$6)*(YearsExp&lt;=AK$7))</f>
        <v>2</v>
      </c>
      <c r="AL14" s="22">
        <f t="array" ref="AL14">SUM((Continent=$AG14)*(YearsExp&gt;AL$6)*(YearsExp&lt;=AL$7))</f>
        <v>3</v>
      </c>
      <c r="AM14" s="22">
        <f t="shared" si="8"/>
        <v>22</v>
      </c>
      <c r="AO14" s="22" t="s">
        <v>4166</v>
      </c>
      <c r="AP14" s="22">
        <f t="array" ref="AP14">SUMPRODUCT((Continent=$AO14)*(CodeHours=AP$6))</f>
        <v>0</v>
      </c>
      <c r="AQ14" s="22">
        <f t="array" ref="AQ14">SUMPRODUCT((Continent=$AO14)*(CodeHours=AQ$6))</f>
        <v>8</v>
      </c>
      <c r="AR14" s="22">
        <f t="array" ref="AR14">SUMPRODUCT((Continent=$AO14)*(CodeHours=AR$6))</f>
        <v>3</v>
      </c>
      <c r="AS14" s="22">
        <f t="array" ref="AS14">SUMPRODUCT((Continent=$AO14)*(CodeHours=AS$6))</f>
        <v>8</v>
      </c>
      <c r="AT14" s="22">
        <f t="array" ref="AT14">SUMPRODUCT((Continent=$AO14)*(CodeHours=AT$6))</f>
        <v>16</v>
      </c>
      <c r="AU14" s="22">
        <f t="shared" si="9"/>
        <v>35</v>
      </c>
      <c r="AW14" s="22" t="s">
        <v>4166</v>
      </c>
      <c r="AX14" s="22">
        <f t="array" ref="AX14">SUM((Continent=$AG14)*(YearsExp&gt;AX$6)*(YearsExp&lt;=AX$7)*Salaries)/AH14</f>
        <v>16533.333333333332</v>
      </c>
      <c r="AY14" s="22">
        <f t="array" ref="AY14">SUM((Continent=$AG14)*(YearsExp&gt;AY$6)*(YearsExp&lt;=AY$7)*Salaries)/AI14</f>
        <v>49221.08751742341</v>
      </c>
      <c r="AZ14" s="22">
        <f t="array" ref="AZ14">SUM((Continent=$AG14)*(YearsExp&gt;AZ$6)*(YearsExp&lt;=AZ$7)*Salaries)/AJ14</f>
        <v>24683.138141700525</v>
      </c>
      <c r="BA14" s="22">
        <f t="array" ref="BA14">SUM((Continent=$AG14)*(YearsExp&gt;BA$6)*(YearsExp&lt;=BA$7)*Salaries)/AK14</f>
        <v>27850</v>
      </c>
      <c r="BB14" s="22">
        <f t="array" ref="BB14">SUM((Continent=$AG14)*(YearsExp&gt;BB$6)*(YearsExp&lt;=BB$7)*Salaries)/AL14</f>
        <v>15200</v>
      </c>
      <c r="BC14" s="22"/>
      <c r="BD14" s="22"/>
      <c r="BE14" s="22" t="s">
        <v>4166</v>
      </c>
      <c r="BF14" s="22" t="str">
        <f t="array" ref="BF14">IFERROR(SUM((Continent=$AO14)*(CodeHours=BF$6)*Salaries)/AP14,"")</f>
        <v/>
      </c>
      <c r="BG14" s="22">
        <f t="array" ref="BG14">IFERROR(SUM((Continent=$AO14)*(CodeHours=BG$6)*Salaries)/AQ14,"")</f>
        <v>24611.397876568106</v>
      </c>
      <c r="BH14" s="22">
        <f t="array" ref="BH14">IFERROR(SUM((Continent=$AO14)*(CodeHours=BH$6)*Salaries)/AR14,"")</f>
        <v>43133.333333333336</v>
      </c>
      <c r="BI14" s="22">
        <f t="array" ref="BI14">IFERROR(SUM((Continent=$AO14)*(CodeHours=BI$6)*Salaries)/AS14,"")</f>
        <v>24425</v>
      </c>
      <c r="BJ14" s="22">
        <f t="array" ref="BJ14">IFERROR(SUM((Continent=$AO14)*(CodeHours=BJ$6)*Salaries)/AT14,"")</f>
        <v>42899.97177963463</v>
      </c>
      <c r="CD14" s="22" t="s">
        <v>4453</v>
      </c>
    </row>
    <row r="15" spans="2:101" x14ac:dyDescent="0.25">
      <c r="B15" s="13" t="s">
        <v>52</v>
      </c>
      <c r="C15" s="18">
        <f t="array" ref="C15">SUM((Continent=C$8)*(JobType=$B15)*(YearsExp&gt;$D$4)*(YearsExp&lt;$E$4)*(CodeHours&gt;$D$5)*(CodeHours&lt;$E$5)*Salaries)</f>
        <v>3982647.2783893878</v>
      </c>
      <c r="D15" s="18">
        <f t="array" ref="D15">SUM((Continent=D$8)*(JobType=$B15)*(YearsExp&gt;$D$4)*(YearsExp&lt;$E$4)*(CodeHours&gt;$D$5)*(CodeHours&lt;$E$5)*Salaries)</f>
        <v>3621836.9914076002</v>
      </c>
      <c r="E15" s="18">
        <f t="array" ref="E15">SUM((Continent=E$8)*(JobType=$B15)*(YearsExp&gt;$D$4)*(YearsExp&lt;$E$4)*(CodeHours&gt;$D$5)*(CodeHours&lt;$E$5)*Salaries)</f>
        <v>204663.74181394919</v>
      </c>
      <c r="F15" s="18">
        <f t="array" ref="F15">SUM((Continent=F$8)*(JobType=$B15)*(YearsExp&gt;$D$4)*(YearsExp&lt;$E$4)*(CodeHours&gt;$D$5)*(CodeHours&lt;$E$5)*Salaries)</f>
        <v>6549875.5350666717</v>
      </c>
      <c r="G15" s="18">
        <f t="array" ref="G15">SUM((Continent=G$8)*(JobType=$B15)*(YearsExp&gt;$D$4)*(YearsExp&lt;$E$4)*(CodeHours&gt;$D$5)*(CodeHours&lt;$E$5)*Salaries)</f>
        <v>96091.183012544847</v>
      </c>
      <c r="H15" s="18">
        <f t="array" ref="H15">SUM((Continent=H$8)*(JobType=$B15)*(YearsExp&gt;$D$4)*(YearsExp&lt;$E$4)*(CodeHours&gt;$D$5)*(CodeHours&lt;$E$5)*Salaries)</f>
        <v>2014094.1337459837</v>
      </c>
      <c r="I15" s="18">
        <f t="shared" si="6"/>
        <v>16469208.863436136</v>
      </c>
      <c r="J15" s="18">
        <f t="shared" si="5"/>
        <v>6549875.5350666717</v>
      </c>
      <c r="N15" t="s">
        <v>52</v>
      </c>
      <c r="O15" s="18">
        <f t="array" ref="O15">QUARTILE(IF((Continent=O$7)*(JobType=$B15)*1,Salaries),O$5)</f>
        <v>1805.7739622442759</v>
      </c>
      <c r="P15" s="18">
        <f t="array" ref="P15">QUARTILE(IF((Continent=P$7)*(JobType=$B15),Salaries),P$5)</f>
        <v>7693.0200089751897</v>
      </c>
      <c r="Q15" s="18">
        <f t="array" ref="Q15">QUARTILE(IF((Continent=Q$7)*(JobType=$B15),Salaries),Q$5)</f>
        <v>11575.14584683767</v>
      </c>
      <c r="R15" s="18">
        <f t="array" ref="R15">QUARTILE(IF((Continent=R$7)*(JobType=$B15),Salaries),R$5)</f>
        <v>21369.500024931083</v>
      </c>
      <c r="S15" s="18">
        <f t="array" ref="S15">QUARTILE(IF((Continent=S$7)*(JobType=$B15),Salaries),S$5)</f>
        <v>186983.12521814698</v>
      </c>
      <c r="W15" s="13" t="s">
        <v>52</v>
      </c>
      <c r="X15" s="18">
        <f t="array" ref="X15">QUARTILE(IF((Continent=X$7)*(JobType=$B15),Salaries),X$5)</f>
        <v>11000</v>
      </c>
      <c r="Y15" s="18">
        <f t="array" ref="Y15">QUARTILE(IF((Continent=Y$7)*(JobType=$B15),Salaries),Y$5)</f>
        <v>52000</v>
      </c>
      <c r="Z15" s="18">
        <f t="array" ref="Z15">QUARTILE(IF((Continent=Z$7)*(JobType=$B15),Salaries),Z$5)</f>
        <v>68835.306612122877</v>
      </c>
      <c r="AA15" s="18">
        <f t="array" ref="AA15">QUARTILE(IF((Continent=AA$7)*(JobType=$B15),Salaries),AA$5)</f>
        <v>90000</v>
      </c>
      <c r="AB15" s="18">
        <f t="array" ref="AB15">QUARTILE(IF((Continent=AB$7)*(JobType=$B15),Salaries),AB$5)</f>
        <v>400000</v>
      </c>
      <c r="AC15" s="13"/>
      <c r="AD15" s="13"/>
      <c r="AG15" s="22" t="s">
        <v>4100</v>
      </c>
      <c r="AH15" s="22">
        <f t="array" ref="AH15">SUM((Continent=$AG15)*(YearsExp&gt;AH$6)*(YearsExp&lt;=AH$7))</f>
        <v>8</v>
      </c>
      <c r="AI15" s="22">
        <f t="array" ref="AI15">SUM((Continent=$AG15)*(YearsExp&gt;AI$6)*(YearsExp&lt;=AI$7))</f>
        <v>23</v>
      </c>
      <c r="AJ15" s="22">
        <f t="array" ref="AJ15">SUM((Continent=$AG15)*(YearsExp&gt;AJ$6)*(YearsExp&lt;=AJ$7))</f>
        <v>26</v>
      </c>
      <c r="AK15" s="22">
        <f t="array" ref="AK15">SUM((Continent=$AG15)*(YearsExp&gt;AK$6)*(YearsExp&lt;=AK$7))</f>
        <v>13</v>
      </c>
      <c r="AL15" s="22">
        <f t="array" ref="AL15">SUM((Continent=$AG15)*(YearsExp&gt;AL$6)*(YearsExp&lt;=AL$7))</f>
        <v>19</v>
      </c>
      <c r="AM15" s="22">
        <f t="shared" si="8"/>
        <v>89</v>
      </c>
      <c r="AO15" s="22" t="s">
        <v>4100</v>
      </c>
      <c r="AP15" s="22">
        <f t="array" ref="AP15">SUMPRODUCT((Continent=$AO15)*(CodeHours=AP$6))</f>
        <v>0</v>
      </c>
      <c r="AQ15" s="22">
        <f t="array" ref="AQ15">SUMPRODUCT((Continent=$AO15)*(CodeHours=AQ$6))</f>
        <v>10</v>
      </c>
      <c r="AR15" s="22">
        <f t="array" ref="AR15">SUMPRODUCT((Continent=$AO15)*(CodeHours=AR$6))</f>
        <v>29</v>
      </c>
      <c r="AS15" s="22">
        <f t="array" ref="AS15">SUMPRODUCT((Continent=$AO15)*(CodeHours=AS$6))</f>
        <v>43</v>
      </c>
      <c r="AT15" s="22">
        <f t="array" ref="AT15">SUMPRODUCT((Continent=$AO15)*(CodeHours=AT$6))</f>
        <v>14</v>
      </c>
      <c r="AU15" s="22">
        <f t="shared" si="9"/>
        <v>96</v>
      </c>
      <c r="AW15" s="22" t="s">
        <v>4100</v>
      </c>
      <c r="AX15" s="22">
        <f t="array" ref="AX15">SUM((Continent=$AG15)*(YearsExp&gt;AX$6)*(YearsExp&lt;=AX$7)*Salaries)/AH15</f>
        <v>63991.058205224173</v>
      </c>
      <c r="AY15" s="22">
        <f t="array" ref="AY15">SUM((Continent=$AG15)*(YearsExp&gt;AY$6)*(YearsExp&lt;=AY$7)*Salaries)/AI15</f>
        <v>73916.59205674447</v>
      </c>
      <c r="AZ15" s="22">
        <f t="array" ref="AZ15">SUM((Continent=$AG15)*(YearsExp&gt;AZ$6)*(YearsExp&lt;=AZ$7)*Salaries)/AJ15</f>
        <v>94882.756140380036</v>
      </c>
      <c r="BA15" s="22">
        <f t="array" ref="BA15">SUM((Continent=$AG15)*(YearsExp&gt;BA$6)*(YearsExp&lt;=BA$7)*Salaries)/AK15</f>
        <v>103362.02086396991</v>
      </c>
      <c r="BB15" s="22">
        <f t="array" ref="BB15">SUM((Continent=$AG15)*(YearsExp&gt;BB$6)*(YearsExp&lt;=BB$7)*Salaries)/AL15</f>
        <v>102453.49593802381</v>
      </c>
      <c r="BC15" s="22"/>
      <c r="BD15" s="22"/>
      <c r="BE15" s="22" t="s">
        <v>4100</v>
      </c>
      <c r="BF15" s="22" t="str">
        <f t="array" ref="BF15">IFERROR(SUM((Continent=$AO15)*(CodeHours=BF$6)*Salaries)/AP15,"")</f>
        <v/>
      </c>
      <c r="BG15" s="22">
        <f t="array" ref="BG15">IFERROR(SUM((Continent=$AO15)*(CodeHours=BG$6)*Salaries)/AQ15,"")</f>
        <v>95361.552873646448</v>
      </c>
      <c r="BH15" s="22">
        <f t="array" ref="BH15">IFERROR(SUM((Continent=$AO15)*(CodeHours=BH$6)*Salaries)/AR15,"")</f>
        <v>94419.587956928779</v>
      </c>
      <c r="BI15" s="22">
        <f t="array" ref="BI15">IFERROR(SUM((Continent=$AO15)*(CodeHours=BI$6)*Salaries)/AS15,"")</f>
        <v>87670.994255281956</v>
      </c>
      <c r="BJ15" s="22">
        <f t="array" ref="BJ15">IFERROR(SUM((Continent=$AO15)*(CodeHours=BJ$6)*Salaries)/AT15,"")</f>
        <v>79581.786449313731</v>
      </c>
    </row>
    <row r="16" spans="2:101" x14ac:dyDescent="0.25">
      <c r="B16" s="13" t="s">
        <v>4000</v>
      </c>
      <c r="C16" s="18">
        <f t="array" ref="C16">SUM((Continent=C$8)*(JobType=$B16)*(YearsExp&gt;$D$4)*(YearsExp&lt;$E$4)*(CodeHours&gt;$D$5)*(CodeHours&lt;$E$5)*Salaries)</f>
        <v>70205.33952573956</v>
      </c>
      <c r="D16" s="18">
        <f t="array" ref="D16">SUM((Continent=D$8)*(JobType=$B16)*(YearsExp&gt;$D$4)*(YearsExp&lt;$E$4)*(CodeHours&gt;$D$5)*(CodeHours&lt;$E$5)*Salaries)</f>
        <v>0</v>
      </c>
      <c r="E16" s="18">
        <f t="array" ref="E16">SUM((Continent=E$8)*(JobType=$B16)*(YearsExp&gt;$D$4)*(YearsExp&lt;$E$4)*(CodeHours&gt;$D$5)*(CodeHours&lt;$E$5)*Salaries)</f>
        <v>0</v>
      </c>
      <c r="F16" s="18">
        <f t="array" ref="F16">SUM((Continent=F$8)*(JobType=$B16)*(YearsExp&gt;$D$4)*(YearsExp&lt;$E$4)*(CodeHours&gt;$D$5)*(CodeHours&lt;$E$5)*Salaries)</f>
        <v>161461</v>
      </c>
      <c r="G16" s="18">
        <f t="array" ref="G16">SUM((Continent=G$8)*(JobType=$B16)*(YearsExp&gt;$D$4)*(YearsExp&lt;$E$4)*(CodeHours&gt;$D$5)*(CodeHours&lt;$E$5)*Salaries)</f>
        <v>0</v>
      </c>
      <c r="H16" s="18">
        <f t="array" ref="H16">SUM((Continent=H$8)*(JobType=$B16)*(YearsExp&gt;$D$4)*(YearsExp&lt;$E$4)*(CodeHours&gt;$D$5)*(CodeHours&lt;$E$5)*Salaries)</f>
        <v>0</v>
      </c>
      <c r="I16" s="18">
        <f t="shared" si="6"/>
        <v>231666.33952573955</v>
      </c>
      <c r="J16" s="18">
        <f t="shared" si="5"/>
        <v>161461</v>
      </c>
      <c r="N16" t="s">
        <v>4000</v>
      </c>
      <c r="O16" s="18">
        <f t="array" ref="O16">QUARTILE(IF((Continent=O$7)*(JobType=$B16)*1,Salaries),O$5)</f>
        <v>2493.1083362419595</v>
      </c>
      <c r="P16" s="18">
        <f t="array" ref="P16">QUARTILE(IF((Continent=P$7)*(JobType=$B16),Salaries),P$5)</f>
        <v>4373.2770840604899</v>
      </c>
      <c r="Q16" s="18">
        <f t="array" ref="Q16">QUARTILE(IF((Continent=Q$7)*(JobType=$B16),Salaries),Q$5)</f>
        <v>13000</v>
      </c>
      <c r="R16" s="18">
        <f t="array" ref="R16">QUARTILE(IF((Continent=R$7)*(JobType=$B16),Salaries),R$5)</f>
        <v>26178.0577973744</v>
      </c>
      <c r="S16" s="18">
        <f t="array" ref="S16">QUARTILE(IF((Continent=S$7)*(JobType=$B16),Salaries),S$5)</f>
        <v>41712.231189497601</v>
      </c>
      <c r="W16" s="13" t="s">
        <v>4000</v>
      </c>
      <c r="X16" s="18">
        <f t="array" ref="X16">QUARTILE(IF((Continent=X$7)*(JobType=$B16),Salaries),X$5)</f>
        <v>74461</v>
      </c>
      <c r="Y16" s="18">
        <f t="array" ref="Y16">QUARTILE(IF((Continent=Y$7)*(JobType=$B16),Salaries),Y$5)</f>
        <v>80730.5</v>
      </c>
      <c r="Z16" s="18">
        <f t="array" ref="Z16">QUARTILE(IF((Continent=Z$7)*(JobType=$B16),Salaries),Z$5)</f>
        <v>87000</v>
      </c>
      <c r="AA16" s="18">
        <f t="array" ref="AA16">QUARTILE(IF((Continent=AA$7)*(JobType=$B16),Salaries),AA$5)</f>
        <v>88500</v>
      </c>
      <c r="AB16" s="18">
        <f t="array" ref="AB16">QUARTILE(IF((Continent=AB$7)*(JobType=$B16),Salaries),AB$5)</f>
        <v>90000</v>
      </c>
      <c r="AC16" s="13"/>
      <c r="AD16" s="13"/>
      <c r="AG16" s="22" t="s">
        <v>4120</v>
      </c>
      <c r="AH16" s="22">
        <f>SUM(AH10:AH15)</f>
        <v>193</v>
      </c>
      <c r="AI16" s="22">
        <f t="shared" ref="AI16:AL16" si="10">SUM(AI10:AI15)</f>
        <v>356</v>
      </c>
      <c r="AJ16" s="22">
        <f t="shared" si="10"/>
        <v>405</v>
      </c>
      <c r="AK16" s="22">
        <f t="shared" si="10"/>
        <v>190</v>
      </c>
      <c r="AL16" s="22">
        <f t="shared" si="10"/>
        <v>179</v>
      </c>
      <c r="AM16" s="22">
        <f t="shared" si="8"/>
        <v>1323</v>
      </c>
      <c r="AO16" s="22" t="s">
        <v>4120</v>
      </c>
      <c r="AP16" s="22">
        <f>SUM(AP10:AP15)</f>
        <v>7</v>
      </c>
      <c r="AQ16" s="22">
        <f t="shared" ref="AQ16" si="11">SUM(AQ10:AQ15)</f>
        <v>174</v>
      </c>
      <c r="AR16" s="22">
        <f t="shared" ref="AR16" si="12">SUM(AR10:AR15)</f>
        <v>451</v>
      </c>
      <c r="AS16" s="22">
        <f t="shared" ref="AS16" si="13">SUM(AS10:AS15)</f>
        <v>774</v>
      </c>
      <c r="AT16" s="22">
        <f t="shared" ref="AT16" si="14">SUM(AT10:AT15)</f>
        <v>476</v>
      </c>
      <c r="AU16" s="22">
        <f t="shared" si="9"/>
        <v>1882</v>
      </c>
      <c r="AW16" s="22" t="s">
        <v>4120</v>
      </c>
      <c r="AX16" s="22">
        <f>AVERAGE(AX10:AX15)</f>
        <v>33880.100382957731</v>
      </c>
      <c r="AY16" s="22">
        <f t="shared" ref="AY16:BB16" si="15">AVERAGE(AY10:AY15)</f>
        <v>43776.19160646035</v>
      </c>
      <c r="AZ16" s="22">
        <f t="shared" si="15"/>
        <v>53164.000700434437</v>
      </c>
      <c r="BA16" s="22">
        <f t="shared" si="15"/>
        <v>54073.585451229308</v>
      </c>
      <c r="BB16" s="22">
        <f t="shared" si="15"/>
        <v>63988.140024263856</v>
      </c>
      <c r="BC16" s="22"/>
      <c r="BD16" s="22"/>
      <c r="BE16" s="22" t="s">
        <v>4120</v>
      </c>
      <c r="BF16" s="22">
        <f>AVERAGE(BF10:BF15)</f>
        <v>78075.470810461731</v>
      </c>
      <c r="BG16" s="22">
        <f t="shared" ref="BG16:BJ16" si="16">AVERAGE(BG10:BG15)</f>
        <v>57888.192729845679</v>
      </c>
      <c r="BH16" s="22">
        <f t="shared" si="16"/>
        <v>57902.644959117832</v>
      </c>
      <c r="BI16" s="22">
        <f t="shared" si="16"/>
        <v>51982.58123008228</v>
      </c>
      <c r="BJ16" s="22">
        <f t="shared" si="16"/>
        <v>49822.103053302882</v>
      </c>
      <c r="BL16" s="42" t="s">
        <v>4395</v>
      </c>
      <c r="BR16" s="9" t="s">
        <v>4424</v>
      </c>
      <c r="CB16" s="9" t="s">
        <v>4427</v>
      </c>
      <c r="CG16" s="9" t="s">
        <v>4455</v>
      </c>
      <c r="CL16" s="9" t="s">
        <v>4404</v>
      </c>
      <c r="CV16" s="22"/>
      <c r="CW16" s="22"/>
    </row>
    <row r="17" spans="2:101" x14ac:dyDescent="0.25">
      <c r="B17" s="13" t="s">
        <v>3999</v>
      </c>
      <c r="C17" s="18">
        <f t="array" ref="C17">SUM((Continent=C$8)*(JobType=$B17)*(YearsExp&gt;$D$4)*(YearsExp&lt;$E$4)*(CodeHours&gt;$D$5)*(CodeHours&lt;$E$5)*Salaries)</f>
        <v>682272.15962363582</v>
      </c>
      <c r="D17" s="18">
        <f t="array" ref="D17">SUM((Continent=D$8)*(JobType=$B17)*(YearsExp&gt;$D$4)*(YearsExp&lt;$E$4)*(CodeHours&gt;$D$5)*(CodeHours&lt;$E$5)*Salaries)</f>
        <v>133756.3007726426</v>
      </c>
      <c r="E17" s="18">
        <f t="array" ref="E17">SUM((Continent=E$8)*(JobType=$B17)*(YearsExp&gt;$D$4)*(YearsExp&lt;$E$4)*(CodeHours&gt;$D$5)*(CodeHours&lt;$E$5)*Salaries)</f>
        <v>2953.8461538461538</v>
      </c>
      <c r="F17" s="18">
        <f t="array" ref="F17">SUM((Continent=F$8)*(JobType=$B17)*(YearsExp&gt;$D$4)*(YearsExp&lt;$E$4)*(CodeHours&gt;$D$5)*(CodeHours&lt;$E$5)*Salaries)</f>
        <v>246000</v>
      </c>
      <c r="G17" s="18">
        <f t="array" ref="G17">SUM((Continent=G$8)*(JobType=$B17)*(YearsExp&gt;$D$4)*(YearsExp&lt;$E$4)*(CodeHours&gt;$D$5)*(CodeHours&lt;$E$5)*Salaries)</f>
        <v>20000</v>
      </c>
      <c r="H17" s="18">
        <f t="array" ref="H17">SUM((Continent=H$8)*(JobType=$B17)*(YearsExp&gt;$D$4)*(YearsExp&lt;$E$4)*(CodeHours&gt;$D$5)*(CodeHours&lt;$E$5)*Salaries)</f>
        <v>85000</v>
      </c>
      <c r="I17" s="18">
        <f t="shared" si="6"/>
        <v>1169982.3065501247</v>
      </c>
      <c r="J17" s="18">
        <f t="shared" si="5"/>
        <v>246000</v>
      </c>
      <c r="N17" t="s">
        <v>3999</v>
      </c>
      <c r="O17" s="18">
        <f t="array" ref="O17">QUARTILE(IF((Continent=O$7)*(JobType=$B17)*1,Salaries),O$5)</f>
        <v>1910.5359690238436</v>
      </c>
      <c r="P17" s="18">
        <f t="array" ref="P17">QUARTILE(IF((Continent=P$7)*(JobType=$B17),Salaries),P$5)</f>
        <v>4000</v>
      </c>
      <c r="Q17" s="18">
        <f t="array" ref="Q17">QUARTILE(IF((Continent=Q$7)*(JobType=$B17),Salaries),Q$5)</f>
        <v>5983.4600069807029</v>
      </c>
      <c r="R17" s="18">
        <f t="array" ref="R17">QUARTILE(IF((Continent=R$7)*(JobType=$B17),Salaries),R$5)</f>
        <v>10000</v>
      </c>
      <c r="S17" s="18">
        <f t="array" ref="S17">QUARTILE(IF((Continent=S$7)*(JobType=$B17),Salaries),S$5)</f>
        <v>100614.72928405051</v>
      </c>
      <c r="W17" s="13" t="s">
        <v>3999</v>
      </c>
      <c r="X17" s="18">
        <f t="array" ref="X17">QUARTILE(IF((Continent=X$7)*(JobType=$B17),Salaries),X$5)</f>
        <v>32000</v>
      </c>
      <c r="Y17" s="18">
        <f t="array" ref="Y17">QUARTILE(IF((Continent=Y$7)*(JobType=$B17),Salaries),Y$5)</f>
        <v>37000</v>
      </c>
      <c r="Z17" s="18">
        <f t="array" ref="Z17">QUARTILE(IF((Continent=Z$7)*(JobType=$B17),Salaries),Z$5)</f>
        <v>45000</v>
      </c>
      <c r="AA17" s="18">
        <f t="array" ref="AA17">QUARTILE(IF((Continent=AA$7)*(JobType=$B17),Salaries),AA$5)</f>
        <v>85000</v>
      </c>
      <c r="AB17" s="18">
        <f t="array" ref="AB17">QUARTILE(IF((Continent=AB$7)*(JobType=$B17),Salaries),AB$5)</f>
        <v>92000</v>
      </c>
      <c r="AC17" s="13"/>
      <c r="AD17" s="13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L17" s="11" t="s">
        <v>1788</v>
      </c>
      <c r="BM17" s="11" t="s">
        <v>4117</v>
      </c>
      <c r="BN17" s="11" t="s">
        <v>4192</v>
      </c>
      <c r="BO17" s="11" t="s">
        <v>4133</v>
      </c>
      <c r="BP17" s="11" t="s">
        <v>4396</v>
      </c>
      <c r="BQ17" s="11"/>
      <c r="BR17" s="45" t="str">
        <f>+BO3</f>
        <v>Nb responses</v>
      </c>
      <c r="BS17" s="11" t="s">
        <v>4397</v>
      </c>
      <c r="BT17" s="11" t="s">
        <v>4398</v>
      </c>
      <c r="BU17" s="11" t="s">
        <v>4399</v>
      </c>
      <c r="BV17" s="11" t="s">
        <v>4117</v>
      </c>
      <c r="BW17" s="11" t="s">
        <v>4192</v>
      </c>
      <c r="BX17" s="11" t="s">
        <v>4133</v>
      </c>
      <c r="BY17" s="11" t="s">
        <v>4396</v>
      </c>
      <c r="CB17" s="11" t="s">
        <v>4118</v>
      </c>
      <c r="CC17" s="11" t="s">
        <v>3998</v>
      </c>
      <c r="CD17" s="11" t="s">
        <v>4133</v>
      </c>
      <c r="CE17" s="11" t="s">
        <v>4402</v>
      </c>
      <c r="CF17" s="11"/>
      <c r="CG17" s="11" t="s">
        <v>4118</v>
      </c>
      <c r="CH17" s="11" t="s">
        <v>3998</v>
      </c>
      <c r="CI17" s="11" t="s">
        <v>4133</v>
      </c>
      <c r="CJ17" s="11" t="s">
        <v>4402</v>
      </c>
      <c r="CK17" s="11"/>
      <c r="CL17" s="11" t="s">
        <v>4118</v>
      </c>
      <c r="CM17" s="11" t="s">
        <v>3998</v>
      </c>
      <c r="CN17" s="11" t="s">
        <v>4133</v>
      </c>
      <c r="CO17" s="11" t="s">
        <v>4402</v>
      </c>
      <c r="CQ17" s="11" t="s">
        <v>4425</v>
      </c>
      <c r="CS17" s="11" t="s">
        <v>4420</v>
      </c>
      <c r="CT17" s="54" t="s">
        <v>4454</v>
      </c>
      <c r="CU17" s="54" t="s">
        <v>4456</v>
      </c>
      <c r="CV17" s="79" t="s">
        <v>4423</v>
      </c>
      <c r="CW17" s="79"/>
    </row>
    <row r="18" spans="2:101" x14ac:dyDescent="0.25">
      <c r="B18" s="13" t="s">
        <v>67</v>
      </c>
      <c r="C18" s="18">
        <f t="array" ref="C18">SUM((Continent=C$8)*(JobType=$B18)*(YearsExp&gt;$D$4)*(YearsExp&lt;$E$4)*(CodeHours&gt;$D$5)*(CodeHours&lt;$E$5)*Salaries)</f>
        <v>143558.58343721286</v>
      </c>
      <c r="D18" s="18">
        <f t="array" ref="D18">SUM((Continent=D$8)*(JobType=$B18)*(YearsExp&gt;$D$4)*(YearsExp&lt;$E$4)*(CodeHours&gt;$D$5)*(CodeHours&lt;$E$5)*Salaries)</f>
        <v>354887.80998348899</v>
      </c>
      <c r="E18" s="18">
        <f t="array" ref="E18">SUM((Continent=E$8)*(JobType=$B18)*(YearsExp&gt;$D$4)*(YearsExp&lt;$E$4)*(CodeHours&gt;$D$5)*(CodeHours&lt;$E$5)*Salaries)</f>
        <v>38666</v>
      </c>
      <c r="F18" s="18">
        <f t="array" ref="F18">SUM((Continent=F$8)*(JobType=$B18)*(YearsExp&gt;$D$4)*(YearsExp&lt;$E$4)*(CodeHours&gt;$D$5)*(CodeHours&lt;$E$5)*Salaries)</f>
        <v>622000</v>
      </c>
      <c r="G18" s="18">
        <f t="array" ref="G18">SUM((Continent=G$8)*(JobType=$B18)*(YearsExp&gt;$D$4)*(YearsExp&lt;$E$4)*(CodeHours&gt;$D$5)*(CodeHours&lt;$E$5)*Salaries)</f>
        <v>0</v>
      </c>
      <c r="H18" s="18">
        <f t="array" ref="H18">SUM((Continent=H$8)*(JobType=$B18)*(YearsExp&gt;$D$4)*(YearsExp&lt;$E$4)*(CodeHours&gt;$D$5)*(CodeHours&lt;$E$5)*Salaries)</f>
        <v>189703.19609089027</v>
      </c>
      <c r="I18" s="18">
        <f t="shared" si="6"/>
        <v>1348815.5895115922</v>
      </c>
      <c r="J18" s="18">
        <f t="shared" si="5"/>
        <v>622000</v>
      </c>
      <c r="N18" t="s">
        <v>67</v>
      </c>
      <c r="O18" s="18">
        <f t="array" ref="O18">QUARTILE(IF((Continent=O$7)*(JobType=$B18)*1,Salaries),O$5)</f>
        <v>4019</v>
      </c>
      <c r="P18" s="18">
        <f t="array" ref="P18">QUARTILE(IF((Continent=P$7)*(JobType=$B18),Salaries),P$5)</f>
        <v>9455.4250037396632</v>
      </c>
      <c r="Q18" s="18">
        <f t="array" ref="Q18">QUARTILE(IF((Continent=Q$7)*(JobType=$B18),Salaries),Q$5)</f>
        <v>18000</v>
      </c>
      <c r="R18" s="18">
        <f t="array" ref="R18">QUARTILE(IF((Continent=R$7)*(JobType=$B18),Salaries),R$5)</f>
        <v>28000</v>
      </c>
      <c r="S18" s="18">
        <f t="array" ref="S18">QUARTILE(IF((Continent=S$7)*(JobType=$B18),Salaries),S$5)</f>
        <v>99147</v>
      </c>
      <c r="W18" s="13" t="s">
        <v>67</v>
      </c>
      <c r="X18" s="18">
        <f t="array" ref="X18">QUARTILE(IF((Continent=X$7)*(JobType=$B18),Salaries),X$5)</f>
        <v>31000</v>
      </c>
      <c r="Y18" s="18">
        <f t="array" ref="Y18">QUARTILE(IF((Continent=Y$7)*(JobType=$B18),Salaries),Y$5)</f>
        <v>45000</v>
      </c>
      <c r="Z18" s="18">
        <f t="array" ref="Z18">QUARTILE(IF((Continent=Z$7)*(JobType=$B18),Salaries),Z$5)</f>
        <v>50000</v>
      </c>
      <c r="AA18" s="18">
        <f t="array" ref="AA18">QUARTILE(IF((Continent=AA$7)*(JobType=$B18),Salaries),AA$5)</f>
        <v>69000</v>
      </c>
      <c r="AB18" s="18">
        <f t="array" ref="AB18">QUARTILE(IF((Continent=AB$7)*(JobType=$B18),Salaries),AB$5)</f>
        <v>400000</v>
      </c>
      <c r="AC18" s="13"/>
      <c r="AD18" s="13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L18" s="37">
        <v>1</v>
      </c>
      <c r="BM18" s="22" t="s">
        <v>1074</v>
      </c>
      <c r="BN18">
        <f t="array" ref="BN18">SUM((Country=BM18)*Salaries)/SUM((Country=BM18)*1)</f>
        <v>20571</v>
      </c>
      <c r="BO18" s="22">
        <f t="array" ref="BO18">IFERROR(SUM((Country=BM18)*(YearsExp&lt;&gt;"")*YearsExp)/SUM((Country=BM18)*(YearsExp&lt;&gt;"")*1),0)</f>
        <v>8</v>
      </c>
      <c r="BP18" s="22">
        <f t="array" ref="BP18">SUM((Country=BM18)*1)</f>
        <v>1</v>
      </c>
      <c r="BR18" s="22">
        <f>CHOOSE($BN$3,104-BL18,BN18,BO18,BP18)+0.00001*ROWS($BM$18:BM18)</f>
        <v>1.0000100000000001</v>
      </c>
      <c r="BS18">
        <f>RANK(BR18,$BR$18:$BR$120)</f>
        <v>103</v>
      </c>
      <c r="BT18">
        <v>1</v>
      </c>
      <c r="BU18">
        <f t="array" ref="BU18:BU120">INDEX($BL$18:$BL$120,MATCH($BT$18:$BT$120,$BS$18:$BS$120,0))</f>
        <v>100</v>
      </c>
      <c r="BV18" t="str">
        <f t="array" ref="BV18:BV120">INDEX($BM$18:$BM$120,MATCH($BT$18:$BT$120,$BS$18:$BS$120,0))</f>
        <v>USA</v>
      </c>
      <c r="BW18">
        <f t="array" ref="BW18:BW120">INDEX($BN$18:$BN$120,MATCH($BT$18:$BT$120,$BS$18:$BS$120,0))</f>
        <v>72738.12965964344</v>
      </c>
      <c r="BX18" s="22">
        <f t="array" ref="BX18:BX120">INDEX($BO$18:$BO$120,MATCH($BT$18:$BT$120,$BS$18:$BS$120,0))</f>
        <v>10.292035398230089</v>
      </c>
      <c r="BY18" s="22">
        <f t="array" ref="BY18:BY120">INDEX($BP$18:$BP$120,MATCH($BT$18:$BT$120,$BS$18:$BS$120,0))</f>
        <v>617</v>
      </c>
      <c r="CB18" s="22">
        <f ca="1">RANDBETWEEN(1,6)</f>
        <v>4</v>
      </c>
      <c r="CC18" s="22">
        <f ca="1">RANDBETWEEN(1,9)</f>
        <v>6</v>
      </c>
      <c r="CD18" s="22">
        <f ca="1">RANDBETWEEN(2,25)</f>
        <v>15</v>
      </c>
      <c r="CE18" s="22">
        <f ca="1">RANDBETWEEN(1,5)</f>
        <v>1</v>
      </c>
      <c r="CG18" s="22" t="str">
        <f t="shared" ref="CG18:CG33" ca="1" si="17">VLOOKUP(CB18,$CB$52:$CD$57,2,0)</f>
        <v>North Amer.</v>
      </c>
      <c r="CH18" s="22" t="str">
        <f t="shared" ref="CH18:CH33" ca="1" si="18">VLOOKUP(CC18,$CB$41:$CD$49,2)</f>
        <v>Engineer</v>
      </c>
      <c r="CI18" s="22">
        <f ca="1">+CD18</f>
        <v>15</v>
      </c>
      <c r="CJ18" s="22">
        <f ca="1">VLOOKUP(CE18,$CB$60:$CD$64,2)</f>
        <v>1</v>
      </c>
      <c r="CL18" s="22" t="str">
        <f t="shared" ref="CL18:CL33" ca="1" si="19">VLOOKUP(CB18,$CB$52:$CD$57,3,0)</f>
        <v>in North America</v>
      </c>
      <c r="CM18" s="22" t="str">
        <f t="shared" ref="CM18:CM33" ca="1" si="20">VLOOKUP(CC18,$CB$41:$CD$49,3)</f>
        <v>working as Engineer</v>
      </c>
      <c r="CN18" s="22">
        <f ca="1">CD18</f>
        <v>15</v>
      </c>
      <c r="CO18" s="22" t="str">
        <f ca="1">VLOOKUP(CE18,$CB$60:$CD$64,3)</f>
        <v>0 hours a day</v>
      </c>
      <c r="CQ18" s="22">
        <f>AVERAGE(Salaries)</f>
        <v>49814.598255586949</v>
      </c>
      <c r="CS18" s="22">
        <f t="shared" ref="CS18:CS33" ca="1" si="21">RAND()</f>
        <v>0.61653438426040796</v>
      </c>
      <c r="CT18" s="37">
        <f ca="1">RANK(CS18,$CS$18:$CS$33)</f>
        <v>5</v>
      </c>
      <c r="CU18" s="61" t="str">
        <f>TEXT(CQ18,"# $")</f>
        <v>49815 $</v>
      </c>
      <c r="CV18" s="22" t="s">
        <v>4428</v>
      </c>
    </row>
    <row r="19" spans="2:101" x14ac:dyDescent="0.25">
      <c r="J19" s="18"/>
      <c r="W19" s="13"/>
      <c r="X19" s="13"/>
      <c r="Y19" s="13"/>
      <c r="Z19" s="13"/>
      <c r="AA19" s="13"/>
      <c r="AB19" s="13"/>
      <c r="AC19" s="13"/>
      <c r="AD19" s="13"/>
      <c r="AG19" s="22"/>
      <c r="AH19" s="22"/>
      <c r="AI19" s="26"/>
      <c r="AJ19" s="26"/>
      <c r="AK19" s="26"/>
      <c r="AL19" s="22"/>
      <c r="AW19" s="22"/>
      <c r="AX19" s="22"/>
      <c r="AY19" s="26"/>
      <c r="AZ19" s="26"/>
      <c r="BA19" s="26"/>
      <c r="BB19" s="22"/>
      <c r="BC19" s="22"/>
      <c r="BD19" s="22"/>
      <c r="BE19" s="22"/>
      <c r="BF19" s="22"/>
      <c r="BG19" s="22"/>
      <c r="BH19" s="22"/>
      <c r="BI19" s="22"/>
      <c r="BJ19" s="22"/>
      <c r="BL19" s="37">
        <v>2</v>
      </c>
      <c r="BM19" s="22" t="s">
        <v>4116</v>
      </c>
      <c r="BN19" s="22">
        <f t="array" ref="BN19">SUM((Country=BM19)*Salaries)/SUM((Country=BM19)*1)</f>
        <v>21000</v>
      </c>
      <c r="BO19" s="22">
        <f t="array" ref="BO19">IFERROR(SUM((Country=BM19)*(YearsExp&lt;&gt;"")*YearsExp)/SUM((Country=BM19)*(YearsExp&lt;&gt;"")*1),0)</f>
        <v>0</v>
      </c>
      <c r="BP19" s="22">
        <f t="array" ref="BP19">SUM((Country=BM19)*1)</f>
        <v>1</v>
      </c>
      <c r="BR19" s="22">
        <f>CHOOSE($BN$3,104-BL19,BN19,BO19,BP19)+0.00001*ROWS($BM$18:BM19)</f>
        <v>1.0000199999999999</v>
      </c>
      <c r="BS19" s="22">
        <f t="shared" ref="BS19:BS82" si="22">RANK(BR19,$BR$18:$BR$120)</f>
        <v>102</v>
      </c>
      <c r="BT19">
        <v>2</v>
      </c>
      <c r="BU19" s="22">
        <v>43</v>
      </c>
      <c r="BV19" t="str">
        <v>India</v>
      </c>
      <c r="BW19">
        <v>13529.430894182482</v>
      </c>
      <c r="BX19" s="22">
        <v>6.4691823899371066</v>
      </c>
      <c r="BY19" s="22">
        <v>565</v>
      </c>
      <c r="CB19" s="22">
        <f t="shared" ref="CB19:CB33" ca="1" si="23">RANDBETWEEN(1,6)</f>
        <v>4</v>
      </c>
      <c r="CC19" s="22">
        <f t="shared" ref="CC19:CC33" ca="1" si="24">RANDBETWEEN(1,9)</f>
        <v>9</v>
      </c>
      <c r="CD19" s="22">
        <f t="shared" ref="CD19:CD33" ca="1" si="25">RANDBETWEEN(2,25)</f>
        <v>23</v>
      </c>
      <c r="CE19" s="22">
        <f ca="1">RANDBETWEEN(1,5)</f>
        <v>1</v>
      </c>
      <c r="CG19" s="22" t="str">
        <f t="shared" ca="1" si="17"/>
        <v>North Amer.</v>
      </c>
      <c r="CH19" s="22" t="str">
        <f t="shared" ca="1" si="18"/>
        <v>Specialist</v>
      </c>
      <c r="CI19" s="22">
        <f t="shared" ref="CI19:CI33" ca="1" si="26">+CD19</f>
        <v>23</v>
      </c>
      <c r="CJ19" s="22">
        <f t="shared" ref="CJ19:CJ33" ca="1" si="27">VLOOKUP(CE19,$CB$60:$CD$64,2)</f>
        <v>1</v>
      </c>
      <c r="CL19" s="22" t="str">
        <f t="shared" ca="1" si="19"/>
        <v>in North America</v>
      </c>
      <c r="CM19" s="22" t="str">
        <f t="shared" ca="1" si="20"/>
        <v>working as Specialist</v>
      </c>
      <c r="CN19" s="22">
        <f t="shared" ref="CN19:CN33" ca="1" si="28">CD19</f>
        <v>23</v>
      </c>
      <c r="CO19" s="22" t="str">
        <f t="shared" ref="CO19:CO33" ca="1" si="29">VLOOKUP(CE19,$CB$60:$CD$64,3)</f>
        <v>0 hours a day</v>
      </c>
      <c r="CQ19" s="22">
        <f t="array" aca="1" ref="CQ19" ca="1">SUM((Continent=CG19)*Salaries)/SUM((Continent=CG19)*1)</f>
        <v>73259.197831138314</v>
      </c>
      <c r="CS19" s="22">
        <f t="shared" ca="1" si="21"/>
        <v>0.41843382883841762</v>
      </c>
      <c r="CT19" s="37">
        <f t="shared" ref="CT19:CT31" ca="1" si="30">RANK(CS19,$CS$18:$CS$33)</f>
        <v>9</v>
      </c>
      <c r="CU19" s="61" t="str">
        <f ca="1">TEXT(CQ19,"# $")</f>
        <v>73259 $</v>
      </c>
      <c r="CV19" s="22" t="str">
        <f ca="1">"Average salary of participants living " &amp; CL19 &amp; "."</f>
        <v>Average salary of participants living in North America.</v>
      </c>
    </row>
    <row r="20" spans="2:101" x14ac:dyDescent="0.25">
      <c r="J20" s="18"/>
      <c r="W20" s="13"/>
      <c r="X20" s="13"/>
      <c r="Y20" s="13"/>
      <c r="Z20" s="13"/>
      <c r="AA20" s="13"/>
      <c r="AB20" s="13"/>
      <c r="AC20" s="13"/>
      <c r="AD20" s="13"/>
      <c r="AW20" s="9" t="s">
        <v>4183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L20" s="37">
        <v>3</v>
      </c>
      <c r="BM20" s="22" t="s">
        <v>1331</v>
      </c>
      <c r="BN20" s="22">
        <f t="array" ref="BN20">SUM((Country=BM20)*Salaries)/SUM((Country=BM20)*1)</f>
        <v>24000</v>
      </c>
      <c r="BO20" s="22">
        <f t="array" ref="BO20">IFERROR(SUM((Country=BM20)*(YearsExp&lt;&gt;"")*YearsExp)/SUM((Country=BM20)*(YearsExp&lt;&gt;"")*1),0)</f>
        <v>21</v>
      </c>
      <c r="BP20" s="22">
        <f t="array" ref="BP20">SUM((Country=BM20)*1)</f>
        <v>1</v>
      </c>
      <c r="BR20" s="22">
        <f>CHOOSE($BN$3,104-BL20,BN20,BO20,BP20)+0.00001*ROWS($BM$18:BM20)</f>
        <v>1.00003</v>
      </c>
      <c r="BS20" s="22">
        <f t="shared" si="22"/>
        <v>101</v>
      </c>
      <c r="BT20" s="22">
        <v>3</v>
      </c>
      <c r="BU20" s="22">
        <v>97</v>
      </c>
      <c r="BV20" t="str">
        <v>UK</v>
      </c>
      <c r="BW20">
        <v>67240.730112795849</v>
      </c>
      <c r="BX20" s="22">
        <v>10.382882882882884</v>
      </c>
      <c r="BY20" s="22">
        <v>154</v>
      </c>
      <c r="CB20" s="22">
        <f t="shared" ca="1" si="23"/>
        <v>3</v>
      </c>
      <c r="CC20" s="22">
        <f t="shared" ca="1" si="24"/>
        <v>5</v>
      </c>
      <c r="CD20" s="22">
        <f t="shared" ca="1" si="25"/>
        <v>2</v>
      </c>
      <c r="CE20" s="22">
        <f t="shared" ref="CE20:CE33" ca="1" si="31">RANDBETWEEN(1,5)</f>
        <v>3</v>
      </c>
      <c r="CG20" s="22" t="str">
        <f t="shared" ca="1" si="17"/>
        <v>Africa</v>
      </c>
      <c r="CH20" s="22" t="str">
        <f t="shared" ca="1" si="18"/>
        <v>CXO or Top Mgmt.</v>
      </c>
      <c r="CI20" s="22">
        <f t="shared" ca="1" si="26"/>
        <v>2</v>
      </c>
      <c r="CJ20" s="22">
        <f t="shared" ca="1" si="27"/>
        <v>3</v>
      </c>
      <c r="CL20" s="22" t="str">
        <f t="shared" ca="1" si="19"/>
        <v>in Africa</v>
      </c>
      <c r="CM20" s="22" t="str">
        <f t="shared" ca="1" si="20"/>
        <v>working as CXO</v>
      </c>
      <c r="CN20" s="22">
        <f t="shared" ca="1" si="28"/>
        <v>2</v>
      </c>
      <c r="CO20" s="22" t="str">
        <f t="shared" ca="1" si="29"/>
        <v>2 to 3 hours per day</v>
      </c>
      <c r="CQ20" s="22">
        <f t="array" aca="1" ref="CQ20" ca="1">SUM((Continent=CG20)*1)</f>
        <v>37</v>
      </c>
      <c r="CS20" s="22">
        <f t="shared" ca="1" si="21"/>
        <v>6.9776843116918896E-2</v>
      </c>
      <c r="CT20" s="37">
        <f t="shared" ca="1" si="30"/>
        <v>16</v>
      </c>
      <c r="CU20" s="61">
        <f ca="1">+CQ20</f>
        <v>37</v>
      </c>
      <c r="CV20" s="22" t="str">
        <f ca="1">"Participants living " &amp; CL20 &amp; "."</f>
        <v>Participants living in Africa.</v>
      </c>
    </row>
    <row r="21" spans="2:101" x14ac:dyDescent="0.25">
      <c r="B21" s="9" t="s">
        <v>4446</v>
      </c>
      <c r="J21" s="18"/>
      <c r="O21" s="13" t="s">
        <v>4150</v>
      </c>
      <c r="P21" s="22" t="s">
        <v>4458</v>
      </c>
      <c r="Q21" s="13" t="s">
        <v>4151</v>
      </c>
      <c r="R21" s="22" t="s">
        <v>4460</v>
      </c>
      <c r="S21" s="13" t="s">
        <v>4152</v>
      </c>
      <c r="U21" s="13"/>
      <c r="W21" s="13"/>
      <c r="X21" s="22" t="s">
        <v>4150</v>
      </c>
      <c r="Y21" s="22" t="s">
        <v>4458</v>
      </c>
      <c r="Z21" s="22" t="s">
        <v>4151</v>
      </c>
      <c r="AA21" s="22" t="s">
        <v>4460</v>
      </c>
      <c r="AB21" s="22" t="s">
        <v>4152</v>
      </c>
      <c r="AC21" s="22"/>
      <c r="AD21" s="13"/>
      <c r="AG21" s="9" t="s">
        <v>4463</v>
      </c>
      <c r="AO21" s="9" t="s">
        <v>4463</v>
      </c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L21" s="37">
        <v>4</v>
      </c>
      <c r="BM21" s="22" t="s">
        <v>1860</v>
      </c>
      <c r="BN21" s="22">
        <f t="array" ref="BN21">SUM((Country=BM21)*Salaries)/SUM((Country=BM21)*1)</f>
        <v>6000</v>
      </c>
      <c r="BO21" s="22">
        <f t="array" ref="BO21">IFERROR(SUM((Country=BM21)*(YearsExp&lt;&gt;"")*YearsExp)/SUM((Country=BM21)*(YearsExp&lt;&gt;"")*1),0)</f>
        <v>5</v>
      </c>
      <c r="BP21" s="22">
        <f t="array" ref="BP21">SUM((Country=BM21)*1)</f>
        <v>1</v>
      </c>
      <c r="BR21" s="22">
        <f>CHOOSE($BN$3,104-BL21,BN21,BO21,BP21)+0.00001*ROWS($BM$18:BM21)</f>
        <v>1.00004</v>
      </c>
      <c r="BS21" s="22">
        <f t="shared" si="22"/>
        <v>100</v>
      </c>
      <c r="BT21" s="22">
        <v>4</v>
      </c>
      <c r="BU21" s="22">
        <v>7</v>
      </c>
      <c r="BV21" t="str">
        <v>Australia</v>
      </c>
      <c r="BW21">
        <v>92857.629854916348</v>
      </c>
      <c r="BX21" s="22">
        <v>10.26</v>
      </c>
      <c r="BY21" s="22">
        <v>81</v>
      </c>
      <c r="CB21" s="22">
        <f t="shared" ca="1" si="23"/>
        <v>5</v>
      </c>
      <c r="CC21" s="22">
        <f t="shared" ca="1" si="24"/>
        <v>8</v>
      </c>
      <c r="CD21" s="22">
        <f t="shared" ca="1" si="25"/>
        <v>7</v>
      </c>
      <c r="CE21" s="22">
        <f t="shared" ca="1" si="31"/>
        <v>4</v>
      </c>
      <c r="CG21" s="22" t="str">
        <f t="shared" ca="1" si="17"/>
        <v>South Amer.</v>
      </c>
      <c r="CH21" s="22" t="str">
        <f t="shared" ca="1" si="18"/>
        <v>Reporting</v>
      </c>
      <c r="CI21" s="22">
        <f t="shared" ca="1" si="26"/>
        <v>7</v>
      </c>
      <c r="CJ21" s="22">
        <f t="shared" ca="1" si="27"/>
        <v>4</v>
      </c>
      <c r="CL21" s="22" t="str">
        <f t="shared" ca="1" si="19"/>
        <v>in South America</v>
      </c>
      <c r="CM21" s="22" t="str">
        <f t="shared" ca="1" si="20"/>
        <v>working in Reporting</v>
      </c>
      <c r="CN21" s="22">
        <f t="shared" ca="1" si="28"/>
        <v>7</v>
      </c>
      <c r="CO21" s="22" t="str">
        <f t="shared" ca="1" si="29"/>
        <v>4 to 6 hours a day</v>
      </c>
      <c r="CQ21" s="22">
        <f t="array" aca="1" ref="CQ21" ca="1">SUM((JobType=CH21)*1)</f>
        <v>83</v>
      </c>
      <c r="CS21" s="22">
        <f t="shared" ca="1" si="21"/>
        <v>0.53429800402339211</v>
      </c>
      <c r="CT21" s="37">
        <f t="shared" ca="1" si="30"/>
        <v>7</v>
      </c>
      <c r="CU21" s="61">
        <f ca="1">+CQ21</f>
        <v>83</v>
      </c>
      <c r="CV21" s="22" t="str">
        <f ca="1">"Participants " &amp; CM21 &amp; "."</f>
        <v>Participants working in Reporting.</v>
      </c>
    </row>
    <row r="22" spans="2:101" x14ac:dyDescent="0.25">
      <c r="B22" s="13"/>
      <c r="C22" s="13" t="s">
        <v>1126</v>
      </c>
      <c r="D22" s="13" t="s">
        <v>983</v>
      </c>
      <c r="E22" s="13" t="s">
        <v>4009</v>
      </c>
      <c r="F22" s="22" t="s">
        <v>4165</v>
      </c>
      <c r="G22" s="22" t="s">
        <v>4166</v>
      </c>
      <c r="H22" s="13" t="s">
        <v>4100</v>
      </c>
      <c r="I22" s="13" t="s">
        <v>4120</v>
      </c>
      <c r="J22" s="18" t="str">
        <f t="shared" ref="J22:J32" si="32">INDEX(C22:H22,,MATCH($D$6,$C$8:$H$8,0))</f>
        <v>North Amer.</v>
      </c>
      <c r="N22" s="13" t="s">
        <v>310</v>
      </c>
      <c r="O22" s="19">
        <f>+P9-O9</f>
        <v>2500.9904605759289</v>
      </c>
      <c r="P22" s="19">
        <f>+P9</f>
        <v>4284.1573649981829</v>
      </c>
      <c r="Q22" s="19">
        <f>+Q9-P9</f>
        <v>5289.1254081533816</v>
      </c>
      <c r="R22" s="19">
        <f>+R9-Q9</f>
        <v>14176.717226848436</v>
      </c>
      <c r="S22" s="19">
        <f>+S9-R9</f>
        <v>47481.666749770273</v>
      </c>
      <c r="U22" s="19"/>
      <c r="W22" s="13" t="s">
        <v>310</v>
      </c>
      <c r="X22" s="19">
        <f>+Y9-X9</f>
        <v>29500</v>
      </c>
      <c r="Y22" s="19">
        <f>+Y9</f>
        <v>45000</v>
      </c>
      <c r="Z22" s="19">
        <f>+Z9-Y9</f>
        <v>15000</v>
      </c>
      <c r="AA22" s="19">
        <f>+AA9-Z9</f>
        <v>17000</v>
      </c>
      <c r="AB22" s="19">
        <f>+AB9-AA9</f>
        <v>1152201.9037879086</v>
      </c>
      <c r="AC22" s="19"/>
      <c r="AD22" s="19"/>
      <c r="AH22" s="22" t="s">
        <v>4184</v>
      </c>
      <c r="AI22" s="26" t="s">
        <v>4185</v>
      </c>
      <c r="AJ22" s="26" t="s">
        <v>4432</v>
      </c>
      <c r="AK22" s="26" t="s">
        <v>4186</v>
      </c>
      <c r="AL22" s="22" t="s">
        <v>4176</v>
      </c>
      <c r="AP22" s="22" t="s">
        <v>4175</v>
      </c>
      <c r="AQ22" s="26" t="s">
        <v>4171</v>
      </c>
      <c r="AR22" s="25" t="s">
        <v>4172</v>
      </c>
      <c r="AS22" s="25" t="s">
        <v>4173</v>
      </c>
      <c r="AT22" s="22" t="s">
        <v>4174</v>
      </c>
      <c r="AV22" s="22"/>
      <c r="AW22" s="22">
        <f t="array" aca="1" ref="AW22:BB29" ca="1">Graph3_Data</f>
        <v>0</v>
      </c>
      <c r="AX22" s="22" t="str">
        <f ca="1"/>
        <v>0 - 2 yrs</v>
      </c>
      <c r="AY22" s="22" t="str">
        <f ca="1"/>
        <v>2 - 5 yrs</v>
      </c>
      <c r="AZ22" s="22" t="str">
        <f ca="1"/>
        <v>5 - 10 yrs</v>
      </c>
      <c r="BA22" s="22" t="str">
        <f ca="1"/>
        <v>10 - 15 yrs</v>
      </c>
      <c r="BB22" s="22" t="str">
        <f ca="1"/>
        <v>15+ yrs</v>
      </c>
      <c r="BC22" s="22"/>
      <c r="BD22" s="22"/>
      <c r="BE22" s="22"/>
      <c r="BF22" s="22"/>
      <c r="BG22" s="22"/>
      <c r="BH22" s="22"/>
      <c r="BI22" s="22"/>
      <c r="BJ22" s="22"/>
      <c r="BL22" s="37">
        <v>5</v>
      </c>
      <c r="BM22" s="22" t="s">
        <v>992</v>
      </c>
      <c r="BN22" s="22">
        <f t="array" ref="BN22">SUM((Country=BM22)*Salaries)/SUM((Country=BM22)*1)</f>
        <v>5000</v>
      </c>
      <c r="BO22" s="22">
        <f t="array" ref="BO22">IFERROR(SUM((Country=BM22)*(YearsExp&lt;&gt;"")*YearsExp)/SUM((Country=BM22)*(YearsExp&lt;&gt;"")*1),0)</f>
        <v>13</v>
      </c>
      <c r="BP22" s="22">
        <f t="array" ref="BP22">SUM((Country=BM22)*1)</f>
        <v>1</v>
      </c>
      <c r="BR22" s="22">
        <f>CHOOSE($BN$3,104-BL22,BN22,BO22,BP22)+0.00001*ROWS($BM$18:BM22)</f>
        <v>1.0000500000000001</v>
      </c>
      <c r="BS22" s="22">
        <f t="shared" si="22"/>
        <v>99</v>
      </c>
      <c r="BT22" s="22">
        <v>5</v>
      </c>
      <c r="BU22" s="22">
        <v>19</v>
      </c>
      <c r="BV22" t="str">
        <v>Canada</v>
      </c>
      <c r="BW22">
        <v>89799.526836779929</v>
      </c>
      <c r="BX22" s="22">
        <v>8.75</v>
      </c>
      <c r="BY22" s="22">
        <v>58</v>
      </c>
      <c r="CB22" s="22">
        <f t="shared" ca="1" si="23"/>
        <v>5</v>
      </c>
      <c r="CC22" s="22">
        <f t="shared" ca="1" si="24"/>
        <v>5</v>
      </c>
      <c r="CD22" s="22">
        <f t="shared" ca="1" si="25"/>
        <v>14</v>
      </c>
      <c r="CE22" s="22">
        <f t="shared" ca="1" si="31"/>
        <v>4</v>
      </c>
      <c r="CG22" s="22" t="str">
        <f t="shared" ca="1" si="17"/>
        <v>South Amer.</v>
      </c>
      <c r="CH22" s="22" t="str">
        <f t="shared" ca="1" si="18"/>
        <v>CXO or Top Mgmt.</v>
      </c>
      <c r="CI22" s="22">
        <f t="shared" ca="1" si="26"/>
        <v>14</v>
      </c>
      <c r="CJ22" s="22">
        <f t="shared" ca="1" si="27"/>
        <v>4</v>
      </c>
      <c r="CL22" s="22" t="str">
        <f t="shared" ca="1" si="19"/>
        <v>in South America</v>
      </c>
      <c r="CM22" s="22" t="str">
        <f t="shared" ca="1" si="20"/>
        <v>working as CXO</v>
      </c>
      <c r="CN22" s="22">
        <f t="shared" ca="1" si="28"/>
        <v>14</v>
      </c>
      <c r="CO22" s="22" t="str">
        <f t="shared" ca="1" si="29"/>
        <v>4 to 6 hours a day</v>
      </c>
      <c r="CQ22" s="22">
        <f t="array" aca="1" ref="CQ22" ca="1">SUM((JobType=CH22)*(Continent=CG22)*1)</f>
        <v>1</v>
      </c>
      <c r="CS22" s="22">
        <f t="shared" ca="1" si="21"/>
        <v>0.92932556848116687</v>
      </c>
      <c r="CT22" s="37">
        <f t="shared" ca="1" si="30"/>
        <v>1</v>
      </c>
      <c r="CU22" s="61">
        <f ca="1">+CQ22</f>
        <v>1</v>
      </c>
      <c r="CV22" s="22" t="str">
        <f ca="1">"Participants " &amp; CM22 &amp; " living " &amp; CL22 &amp; "."</f>
        <v>Participants working as CXO living in South America.</v>
      </c>
    </row>
    <row r="23" spans="2:101" x14ac:dyDescent="0.25">
      <c r="B23" s="13" t="s">
        <v>310</v>
      </c>
      <c r="C23" s="22">
        <f t="array" ref="C23">SUM((Continent=C$8)*(JobType=$B23)*(YearsExp&gt;$D$4)*(YearsExp&lt;$E$4)*(CodeHours&gt;$D$5)*(CodeHours&lt;$E$5))</f>
        <v>44</v>
      </c>
      <c r="D23" s="22">
        <f t="array" ref="D23">SUM((Continent=D$8)*(JobType=$B23)*(YearsExp&gt;$D$4)*(YearsExp&lt;$E$4)*(CodeHours&gt;$D$5)*(CodeHours&lt;$E$5))</f>
        <v>19</v>
      </c>
      <c r="E23" s="22">
        <f t="array" ref="E23">SUM((Continent=E$8)*(JobType=$B23)*(YearsExp&gt;$D$4)*(YearsExp&lt;$E$4)*(CodeHours&gt;$D$5)*(CodeHours&lt;$E$5))</f>
        <v>5</v>
      </c>
      <c r="F23" s="22">
        <f t="array" ref="F23">SUM((Continent=F$8)*(JobType=$B23)*(YearsExp&gt;$D$4)*(YearsExp&lt;$E$4)*(CodeHours&gt;$D$5)*(CodeHours&lt;$E$5))</f>
        <v>24</v>
      </c>
      <c r="G23" s="22">
        <f t="array" ref="G23">SUM((Continent=G$8)*(JobType=$B23)*(YearsExp&gt;$D$4)*(YearsExp&lt;$E$4)*(CodeHours&gt;$D$5)*(CodeHours&lt;$E$5))</f>
        <v>0</v>
      </c>
      <c r="H23" s="22">
        <f t="array" ref="H23">SUM((Continent=H$8)*(JobType=$B23)*(YearsExp&gt;$D$4)*(YearsExp&lt;$E$4)*(CodeHours&gt;$D$5)*(CodeHours&lt;$E$5))</f>
        <v>9</v>
      </c>
      <c r="I23" s="13">
        <f>SUM(C23:H23)</f>
        <v>101</v>
      </c>
      <c r="J23" s="18">
        <f t="shared" si="32"/>
        <v>24</v>
      </c>
      <c r="N23" s="13" t="s">
        <v>20</v>
      </c>
      <c r="O23" s="19">
        <f t="shared" ref="O23:O31" si="33">+P10-O10</f>
        <v>3205.4250037396628</v>
      </c>
      <c r="P23" s="19">
        <f t="shared" ref="P23:P31" si="34">+P10</f>
        <v>5342.3750062327708</v>
      </c>
      <c r="Q23" s="19">
        <f t="shared" ref="Q23:S23" si="35">+Q10-P10</f>
        <v>3561.5833374885133</v>
      </c>
      <c r="R23" s="19">
        <f t="shared" si="35"/>
        <v>6232.7708406048987</v>
      </c>
      <c r="S23" s="19">
        <f t="shared" si="35"/>
        <v>145134.52100265693</v>
      </c>
      <c r="U23" s="19"/>
      <c r="W23" s="13" t="s">
        <v>20</v>
      </c>
      <c r="X23" s="19">
        <f t="shared" ref="X23:X31" si="36">+Y10-X10</f>
        <v>35000</v>
      </c>
      <c r="Y23" s="19">
        <f t="shared" ref="Y23:Y31" si="37">+Y10</f>
        <v>45000</v>
      </c>
      <c r="Z23" s="19">
        <f t="shared" ref="Z23:AB23" si="38">+Z10-Y10</f>
        <v>15000</v>
      </c>
      <c r="AA23" s="19">
        <f t="shared" si="38"/>
        <v>15000</v>
      </c>
      <c r="AB23" s="19">
        <f t="shared" si="38"/>
        <v>170840.3807575817</v>
      </c>
      <c r="AC23" s="19"/>
      <c r="AD23" s="19"/>
      <c r="AG23" s="22" t="s">
        <v>1126</v>
      </c>
      <c r="AH23">
        <f>+AH10/$AM10</f>
        <v>0.17398648648648649</v>
      </c>
      <c r="AI23" s="22">
        <f t="shared" ref="AI23:AL23" si="39">+AI10/$AM10</f>
        <v>0.34121621621621623</v>
      </c>
      <c r="AJ23" s="22">
        <f t="shared" si="39"/>
        <v>0.3125</v>
      </c>
      <c r="AK23" s="22">
        <f t="shared" si="39"/>
        <v>0.10135135135135136</v>
      </c>
      <c r="AL23" s="22">
        <f t="shared" si="39"/>
        <v>7.0945945945945943E-2</v>
      </c>
      <c r="AO23" s="22" t="s">
        <v>1126</v>
      </c>
      <c r="AP23" s="22" t="e">
        <f>IF(AP10/$AU10&lt;0.03,NA(),AP10/$AU10)</f>
        <v>#N/A</v>
      </c>
      <c r="AQ23" s="22">
        <f t="shared" ref="AQ23:AT23" si="40">IF(AQ10/$AU10&lt;0.03,NA(),AQ10/$AU10)</f>
        <v>0.10555555555555556</v>
      </c>
      <c r="AR23" s="22">
        <f t="shared" si="40"/>
        <v>0.2361111111111111</v>
      </c>
      <c r="AS23" s="22">
        <f t="shared" si="40"/>
        <v>0.37222222222222223</v>
      </c>
      <c r="AT23" s="22">
        <f t="shared" si="40"/>
        <v>0.28333333333333333</v>
      </c>
      <c r="AV23" s="26"/>
      <c r="AW23" s="22" t="str">
        <f ca="1"/>
        <v>Asia</v>
      </c>
      <c r="AX23" s="22">
        <f ca="1"/>
        <v>11347.621297343105</v>
      </c>
      <c r="AY23" s="22">
        <f ca="1"/>
        <v>13520.132611305962</v>
      </c>
      <c r="AZ23" s="22">
        <f ca="1"/>
        <v>19556.298279560633</v>
      </c>
      <c r="BA23" s="22">
        <f ca="1"/>
        <v>24530.635374159621</v>
      </c>
      <c r="BB23" s="22">
        <f ca="1"/>
        <v>20119.738696336226</v>
      </c>
      <c r="BC23" s="22"/>
      <c r="BD23" s="22"/>
      <c r="BE23" s="22"/>
      <c r="BF23" s="22"/>
      <c r="BG23" s="22"/>
      <c r="BH23" s="22"/>
      <c r="BI23" s="22"/>
      <c r="BJ23" s="22"/>
      <c r="BL23" s="37">
        <v>6</v>
      </c>
      <c r="BM23" s="22" t="s">
        <v>1126</v>
      </c>
      <c r="BN23" s="22">
        <f t="array" ref="BN23">SUM((Country=BM23)*Salaries)/SUM((Country=BM23)*1)</f>
        <v>12000</v>
      </c>
      <c r="BO23" s="22">
        <f t="array" ref="BO23">IFERROR(SUM((Country=BM23)*(YearsExp&lt;&gt;"")*YearsExp)/SUM((Country=BM23)*(YearsExp&lt;&gt;"")*1),0)</f>
        <v>3</v>
      </c>
      <c r="BP23" s="22">
        <f t="array" ref="BP23">SUM((Country=BM23)*1)</f>
        <v>1</v>
      </c>
      <c r="BR23" s="22">
        <f>CHOOSE($BN$3,104-BL23,BN23,BO23,BP23)+0.00001*ROWS($BM$18:BM23)</f>
        <v>1.0000599999999999</v>
      </c>
      <c r="BS23" s="22">
        <f t="shared" si="22"/>
        <v>98</v>
      </c>
      <c r="BT23" s="22">
        <v>6</v>
      </c>
      <c r="BU23" s="22">
        <v>70</v>
      </c>
      <c r="BV23" t="str">
        <v>Pakistan</v>
      </c>
      <c r="BW23">
        <v>11873.552586779413</v>
      </c>
      <c r="BX23" s="22">
        <v>6.88</v>
      </c>
      <c r="BY23" s="22">
        <v>29</v>
      </c>
      <c r="CB23" s="22">
        <f t="shared" ca="1" si="23"/>
        <v>5</v>
      </c>
      <c r="CC23" s="22">
        <f t="shared" ca="1" si="24"/>
        <v>9</v>
      </c>
      <c r="CD23" s="22">
        <f t="shared" ca="1" si="25"/>
        <v>3</v>
      </c>
      <c r="CE23" s="22">
        <f t="shared" ca="1" si="31"/>
        <v>5</v>
      </c>
      <c r="CG23" s="22" t="str">
        <f t="shared" ca="1" si="17"/>
        <v>South Amer.</v>
      </c>
      <c r="CH23" s="22" t="str">
        <f t="shared" ca="1" si="18"/>
        <v>Specialist</v>
      </c>
      <c r="CI23" s="22">
        <f t="shared" ca="1" si="26"/>
        <v>3</v>
      </c>
      <c r="CJ23" s="22">
        <f t="shared" ca="1" si="27"/>
        <v>5</v>
      </c>
      <c r="CL23" s="22" t="str">
        <f t="shared" ca="1" si="19"/>
        <v>in South America</v>
      </c>
      <c r="CM23" s="22" t="str">
        <f t="shared" ca="1" si="20"/>
        <v>working as Specialist</v>
      </c>
      <c r="CN23" s="22">
        <f t="shared" ca="1" si="28"/>
        <v>3</v>
      </c>
      <c r="CO23" s="22" t="str">
        <f t="shared" ca="1" si="29"/>
        <v>8 hours a day</v>
      </c>
      <c r="CS23">
        <f t="shared" ca="1" si="21"/>
        <v>0.5420316204136667</v>
      </c>
      <c r="CT23" s="37">
        <f t="shared" ca="1" si="30"/>
        <v>6</v>
      </c>
      <c r="CU23" s="62" t="s">
        <v>4430</v>
      </c>
      <c r="CV23" s="22" t="s">
        <v>4431</v>
      </c>
    </row>
    <row r="24" spans="2:101" x14ac:dyDescent="0.25">
      <c r="B24" s="13" t="s">
        <v>20</v>
      </c>
      <c r="C24" s="22">
        <f t="array" ref="C24">SUM((Continent=C$8)*(JobType=$B24)*(YearsExp&gt;$D$4)*(YearsExp&lt;$E$4)*(CodeHours&gt;$D$5)*(CodeHours&lt;$E$5))</f>
        <v>193</v>
      </c>
      <c r="D24" s="22">
        <f t="array" ref="D24">SUM((Continent=D$8)*(JobType=$B24)*(YearsExp&gt;$D$4)*(YearsExp&lt;$E$4)*(CodeHours&gt;$D$5)*(CodeHours&lt;$E$5))</f>
        <v>81</v>
      </c>
      <c r="E24" s="22">
        <f t="array" ref="E24">SUM((Continent=E$8)*(JobType=$B24)*(YearsExp&gt;$D$4)*(YearsExp&lt;$E$4)*(CodeHours&gt;$D$5)*(CodeHours&lt;$E$5))</f>
        <v>10</v>
      </c>
      <c r="F24" s="22">
        <f t="array" ref="F24">SUM((Continent=F$8)*(JobType=$B24)*(YearsExp&gt;$D$4)*(YearsExp&lt;$E$4)*(CodeHours&gt;$D$5)*(CodeHours&lt;$E$5))</f>
        <v>185</v>
      </c>
      <c r="G24" s="22">
        <f t="array" ref="G24">SUM((Continent=G$8)*(JobType=$B24)*(YearsExp&gt;$D$4)*(YearsExp&lt;$E$4)*(CodeHours&gt;$D$5)*(CodeHours&lt;$E$5))</f>
        <v>12</v>
      </c>
      <c r="H24" s="22">
        <f t="array" ref="H24">SUM((Continent=H$8)*(JobType=$B24)*(YearsExp&gt;$D$4)*(YearsExp&lt;$E$4)*(CodeHours&gt;$D$5)*(CodeHours&lt;$E$5))</f>
        <v>41</v>
      </c>
      <c r="I24" s="13">
        <f t="shared" ref="I24:I32" si="41">SUM(C24:H24)</f>
        <v>522</v>
      </c>
      <c r="J24" s="18">
        <f t="shared" si="32"/>
        <v>185</v>
      </c>
      <c r="K24" s="18"/>
      <c r="N24" s="13" t="s">
        <v>356</v>
      </c>
      <c r="O24" s="19">
        <f t="shared" si="33"/>
        <v>5849.900631824883</v>
      </c>
      <c r="P24" s="19">
        <f t="shared" si="34"/>
        <v>8414.2406348166132</v>
      </c>
      <c r="Q24" s="19">
        <f t="shared" ref="Q24:S24" si="42">+Q11-P11</f>
        <v>3585.7593651833868</v>
      </c>
      <c r="R24" s="19">
        <f t="shared" si="42"/>
        <v>13376.281279605661</v>
      </c>
      <c r="S24" s="19">
        <f t="shared" si="42"/>
        <v>94623.718720394332</v>
      </c>
      <c r="U24" s="19"/>
      <c r="W24" s="13" t="s">
        <v>356</v>
      </c>
      <c r="X24" s="19">
        <f t="shared" si="36"/>
        <v>57000</v>
      </c>
      <c r="Y24" s="19">
        <f t="shared" si="37"/>
        <v>69000</v>
      </c>
      <c r="Z24" s="19">
        <f t="shared" ref="Z24:AB24" si="43">+Z11-Y11</f>
        <v>21469.260118790073</v>
      </c>
      <c r="AA24" s="19">
        <f t="shared" si="43"/>
        <v>24530.739881209927</v>
      </c>
      <c r="AB24" s="19">
        <f t="shared" si="43"/>
        <v>135000</v>
      </c>
      <c r="AC24" s="19"/>
      <c r="AD24" s="19"/>
      <c r="AG24" s="22" t="s">
        <v>983</v>
      </c>
      <c r="AH24" s="22">
        <f t="shared" ref="AH24:AL29" si="44">+AH11/$AM11</f>
        <v>8.5972850678733032E-2</v>
      </c>
      <c r="AI24" s="22">
        <f t="shared" si="44"/>
        <v>0.23529411764705882</v>
      </c>
      <c r="AJ24" s="22">
        <f t="shared" si="44"/>
        <v>0.30316742081447962</v>
      </c>
      <c r="AK24" s="22">
        <f t="shared" si="44"/>
        <v>0.19457013574660634</v>
      </c>
      <c r="AL24" s="22">
        <f t="shared" si="44"/>
        <v>0.18099547511312217</v>
      </c>
      <c r="AO24" s="22" t="s">
        <v>983</v>
      </c>
      <c r="AP24" s="22" t="e">
        <f t="shared" ref="AP24:AT29" si="45">IF(AP11/$AU11&lt;0.03,NA(),AP11/$AU11)</f>
        <v>#N/A</v>
      </c>
      <c r="AQ24" s="22">
        <f t="shared" si="45"/>
        <v>9.8684210526315791E-2</v>
      </c>
      <c r="AR24" s="22">
        <f t="shared" si="45"/>
        <v>0.25</v>
      </c>
      <c r="AS24" s="22">
        <f t="shared" si="45"/>
        <v>0.40789473684210525</v>
      </c>
      <c r="AT24" s="22">
        <f t="shared" si="45"/>
        <v>0.24013157894736842</v>
      </c>
      <c r="AV24" s="26"/>
      <c r="AW24" s="22" t="str">
        <f ca="1"/>
        <v>Europe</v>
      </c>
      <c r="AX24" s="22">
        <f ca="1"/>
        <v>42463.780970676162</v>
      </c>
      <c r="AY24" s="22">
        <f ca="1"/>
        <v>52552.923998043538</v>
      </c>
      <c r="AZ24" s="22">
        <f ca="1"/>
        <v>61206.886589279784</v>
      </c>
      <c r="BA24" s="22">
        <f ca="1"/>
        <v>64911.975393829824</v>
      </c>
      <c r="BB24" s="22">
        <f ca="1"/>
        <v>77703.711042188574</v>
      </c>
      <c r="BC24" s="22"/>
      <c r="BD24" s="22"/>
      <c r="BE24" s="22"/>
      <c r="BF24" s="22"/>
      <c r="BG24" s="22"/>
      <c r="BH24" s="22"/>
      <c r="BI24" s="22"/>
      <c r="BJ24" s="22"/>
      <c r="BL24" s="37">
        <v>7</v>
      </c>
      <c r="BM24" s="22" t="s">
        <v>84</v>
      </c>
      <c r="BN24" s="22">
        <f t="array" ref="BN24">SUM((Country=BM24)*Salaries)/SUM((Country=BM24)*1)</f>
        <v>92857.629854916348</v>
      </c>
      <c r="BO24" s="22">
        <f t="array" ref="BO24">IFERROR(SUM((Country=BM24)*(YearsExp&lt;&gt;"")*YearsExp)/SUM((Country=BM24)*(YearsExp&lt;&gt;"")*1),0)</f>
        <v>10.26</v>
      </c>
      <c r="BP24" s="22">
        <f t="array" ref="BP24">SUM((Country=BM24)*1)</f>
        <v>81</v>
      </c>
      <c r="BR24" s="22">
        <f>CHOOSE($BN$3,104-BL24,BN24,BO24,BP24)+0.00001*ROWS($BM$18:BM24)</f>
        <v>81.000069999999994</v>
      </c>
      <c r="BS24" s="22">
        <f t="shared" si="22"/>
        <v>4</v>
      </c>
      <c r="BT24" s="22">
        <v>7</v>
      </c>
      <c r="BU24" s="22">
        <v>65</v>
      </c>
      <c r="BV24" t="str">
        <v>Netherlands</v>
      </c>
      <c r="BW24">
        <v>73006.431203838249</v>
      </c>
      <c r="BX24" s="22">
        <v>9.8421052631578956</v>
      </c>
      <c r="BY24" s="22">
        <v>23</v>
      </c>
      <c r="CB24" s="22">
        <f t="shared" ca="1" si="23"/>
        <v>3</v>
      </c>
      <c r="CC24" s="22">
        <f t="shared" ca="1" si="24"/>
        <v>7</v>
      </c>
      <c r="CD24" s="22">
        <f t="shared" ca="1" si="25"/>
        <v>9</v>
      </c>
      <c r="CE24" s="22">
        <f t="shared" ca="1" si="31"/>
        <v>5</v>
      </c>
      <c r="CG24" s="22" t="str">
        <f t="shared" ca="1" si="17"/>
        <v>Africa</v>
      </c>
      <c r="CH24" s="22" t="str">
        <f t="shared" ca="1" si="18"/>
        <v>Manager</v>
      </c>
      <c r="CI24" s="22">
        <f t="shared" ca="1" si="26"/>
        <v>9</v>
      </c>
      <c r="CJ24" s="22">
        <f t="shared" ca="1" si="27"/>
        <v>5</v>
      </c>
      <c r="CL24" s="22" t="str">
        <f t="shared" ca="1" si="19"/>
        <v>in Africa</v>
      </c>
      <c r="CM24" s="22" t="str">
        <f t="shared" ca="1" si="20"/>
        <v>working as Manager</v>
      </c>
      <c r="CN24" s="22">
        <f t="shared" ca="1" si="28"/>
        <v>9</v>
      </c>
      <c r="CO24" s="22" t="str">
        <f t="shared" ca="1" si="29"/>
        <v>8 hours a day</v>
      </c>
      <c r="CQ24" s="49">
        <f t="array" aca="1" ref="CQ24" ca="1">SUM((Continent=CG24)*(JobType=CH24)*1)/SUM((Continent=CG24)*1)</f>
        <v>0.29729729729729731</v>
      </c>
      <c r="CS24">
        <f t="shared" ca="1" si="21"/>
        <v>0.63676090226460047</v>
      </c>
      <c r="CT24" s="37">
        <f t="shared" ca="1" si="30"/>
        <v>4</v>
      </c>
      <c r="CU24" s="61" t="str">
        <f ca="1">TEXT(CQ24,"0.0%")</f>
        <v>29.7%</v>
      </c>
      <c r="CV24" s="22" t="str">
        <f ca="1">"of Participants living " &amp; CL24 &amp; " " &amp; CM24 &amp; "."</f>
        <v>of Participants living in Africa working as Manager.</v>
      </c>
    </row>
    <row r="25" spans="2:101" x14ac:dyDescent="0.25">
      <c r="B25" s="13" t="s">
        <v>356</v>
      </c>
      <c r="C25" s="22">
        <f t="array" ref="C25">SUM((Continent=C$8)*(JobType=$B25)*(YearsExp&gt;$D$4)*(YearsExp&lt;$E$4)*(CodeHours&gt;$D$5)*(CodeHours&lt;$E$5))</f>
        <v>19</v>
      </c>
      <c r="D25" s="22">
        <f t="array" ref="D25">SUM((Continent=D$8)*(JobType=$B25)*(YearsExp&gt;$D$4)*(YearsExp&lt;$E$4)*(CodeHours&gt;$D$5)*(CodeHours&lt;$E$5))</f>
        <v>19</v>
      </c>
      <c r="E25" s="22">
        <f t="array" ref="E25">SUM((Continent=E$8)*(JobType=$B25)*(YearsExp&gt;$D$4)*(YearsExp&lt;$E$4)*(CodeHours&gt;$D$5)*(CodeHours&lt;$E$5))</f>
        <v>1</v>
      </c>
      <c r="F25" s="22">
        <f t="array" ref="F25">SUM((Continent=F$8)*(JobType=$B25)*(YearsExp&gt;$D$4)*(YearsExp&lt;$E$4)*(CodeHours&gt;$D$5)*(CodeHours&lt;$E$5))</f>
        <v>9</v>
      </c>
      <c r="G25" s="22">
        <f t="array" ref="G25">SUM((Continent=G$8)*(JobType=$B25)*(YearsExp&gt;$D$4)*(YearsExp&lt;$E$4)*(CodeHours&gt;$D$5)*(CodeHours&lt;$E$5))</f>
        <v>1</v>
      </c>
      <c r="H25" s="22">
        <f t="array" ref="H25">SUM((Continent=H$8)*(JobType=$B25)*(YearsExp&gt;$D$4)*(YearsExp&lt;$E$4)*(CodeHours&gt;$D$5)*(CodeHours&lt;$E$5))</f>
        <v>7</v>
      </c>
      <c r="I25" s="13">
        <f t="shared" si="41"/>
        <v>56</v>
      </c>
      <c r="J25" s="18">
        <f t="shared" si="32"/>
        <v>9</v>
      </c>
      <c r="K25" s="18"/>
      <c r="N25" s="13" t="s">
        <v>488</v>
      </c>
      <c r="O25" s="19">
        <f t="shared" si="33"/>
        <v>9885.6599970082698</v>
      </c>
      <c r="P25" s="19">
        <f t="shared" si="34"/>
        <v>12450</v>
      </c>
      <c r="Q25" s="19">
        <f t="shared" ref="Q25:S25" si="46">+Q12-P12</f>
        <v>3363.5625093491544</v>
      </c>
      <c r="R25" s="19">
        <f t="shared" si="46"/>
        <v>23186.437490650846</v>
      </c>
      <c r="S25" s="19">
        <f t="shared" si="46"/>
        <v>46000</v>
      </c>
      <c r="U25" s="19"/>
      <c r="W25" s="13" t="s">
        <v>488</v>
      </c>
      <c r="X25" s="19">
        <f t="shared" si="36"/>
        <v>43000</v>
      </c>
      <c r="Y25" s="19">
        <f t="shared" si="37"/>
        <v>67000</v>
      </c>
      <c r="Z25" s="19">
        <f t="shared" ref="Z25:AB25" si="47">+Z12-Y12</f>
        <v>13000</v>
      </c>
      <c r="AA25" s="19">
        <f t="shared" si="47"/>
        <v>21000</v>
      </c>
      <c r="AB25" s="19">
        <f t="shared" si="47"/>
        <v>113000</v>
      </c>
      <c r="AC25" s="19"/>
      <c r="AD25" s="19"/>
      <c r="AG25" s="22" t="s">
        <v>4009</v>
      </c>
      <c r="AH25" s="22">
        <f t="shared" si="44"/>
        <v>0.16129032258064516</v>
      </c>
      <c r="AI25" s="22">
        <f t="shared" si="44"/>
        <v>0.19354838709677419</v>
      </c>
      <c r="AJ25" s="22">
        <f t="shared" si="44"/>
        <v>0.35483870967741937</v>
      </c>
      <c r="AK25" s="22">
        <f t="shared" si="44"/>
        <v>9.6774193548387094E-2</v>
      </c>
      <c r="AL25" s="22">
        <f t="shared" si="44"/>
        <v>0.19354838709677419</v>
      </c>
      <c r="AO25" s="22" t="s">
        <v>4009</v>
      </c>
      <c r="AP25" s="22" t="e">
        <f t="shared" si="45"/>
        <v>#N/A</v>
      </c>
      <c r="AQ25" s="22" t="e">
        <f t="shared" si="45"/>
        <v>#N/A</v>
      </c>
      <c r="AR25" s="22">
        <f t="shared" si="45"/>
        <v>0.10810810810810811</v>
      </c>
      <c r="AS25" s="22">
        <f t="shared" si="45"/>
        <v>0.51351351351351349</v>
      </c>
      <c r="AT25" s="22">
        <f t="shared" si="45"/>
        <v>0.3783783783783784</v>
      </c>
      <c r="AV25" s="26"/>
      <c r="AW25" s="22" t="str">
        <f ca="1"/>
        <v>Africa</v>
      </c>
      <c r="AX25" s="22">
        <f ca="1"/>
        <v>17526.95344294914</v>
      </c>
      <c r="AY25" s="22">
        <f ca="1"/>
        <v>14649.306135750267</v>
      </c>
      <c r="AZ25" s="22">
        <f ca="1"/>
        <v>43760.597766058636</v>
      </c>
      <c r="BA25" s="22">
        <f ca="1"/>
        <v>24948.757901547349</v>
      </c>
      <c r="BB25" s="22">
        <f ca="1"/>
        <v>75481.804840619778</v>
      </c>
      <c r="BC25" s="22"/>
      <c r="BD25" s="22"/>
      <c r="BE25" s="22"/>
      <c r="BF25" s="22"/>
      <c r="BG25" s="22"/>
      <c r="BH25" s="22"/>
      <c r="BI25" s="22"/>
      <c r="BJ25" s="22"/>
      <c r="BL25" s="37">
        <v>8</v>
      </c>
      <c r="BM25" s="22" t="s">
        <v>1519</v>
      </c>
      <c r="BN25" s="22">
        <f t="array" ref="BN25">SUM((Country=BM25)*Salaries)/SUM((Country=BM25)*1)</f>
        <v>50815.977559664309</v>
      </c>
      <c r="BO25" s="22">
        <f t="array" ref="BO25">IFERROR(SUM((Country=BM25)*(YearsExp&lt;&gt;"")*YearsExp)/SUM((Country=BM25)*(YearsExp&lt;&gt;"")*1),0)</f>
        <v>20</v>
      </c>
      <c r="BP25" s="22">
        <f t="array" ref="BP25">SUM((Country=BM25)*1)</f>
        <v>1</v>
      </c>
      <c r="BR25" s="22">
        <f>CHOOSE($BN$3,104-BL25,BN25,BO25,BP25)+0.00001*ROWS($BM$18:BM25)</f>
        <v>1.0000800000000001</v>
      </c>
      <c r="BS25" s="22">
        <f t="shared" si="22"/>
        <v>97</v>
      </c>
      <c r="BT25" s="22">
        <v>8</v>
      </c>
      <c r="BU25" s="22">
        <v>16</v>
      </c>
      <c r="BV25" t="str">
        <v>Brazil</v>
      </c>
      <c r="BW25">
        <v>42672.036574334947</v>
      </c>
      <c r="BX25" s="22">
        <v>7.2727272727272725</v>
      </c>
      <c r="BY25" s="22">
        <v>20</v>
      </c>
      <c r="CB25" s="22">
        <f t="shared" ca="1" si="23"/>
        <v>5</v>
      </c>
      <c r="CC25" s="22">
        <f t="shared" ca="1" si="24"/>
        <v>5</v>
      </c>
      <c r="CD25" s="22">
        <f t="shared" ca="1" si="25"/>
        <v>15</v>
      </c>
      <c r="CE25" s="22">
        <f t="shared" ca="1" si="31"/>
        <v>1</v>
      </c>
      <c r="CG25" s="22" t="str">
        <f t="shared" ca="1" si="17"/>
        <v>South Amer.</v>
      </c>
      <c r="CH25" s="22" t="str">
        <f t="shared" ca="1" si="18"/>
        <v>CXO or Top Mgmt.</v>
      </c>
      <c r="CI25" s="22">
        <f t="shared" ca="1" si="26"/>
        <v>15</v>
      </c>
      <c r="CJ25" s="22">
        <f t="shared" ca="1" si="27"/>
        <v>1</v>
      </c>
      <c r="CL25" s="22" t="str">
        <f t="shared" ca="1" si="19"/>
        <v>in South America</v>
      </c>
      <c r="CM25" s="22" t="str">
        <f t="shared" ca="1" si="20"/>
        <v>working as CXO</v>
      </c>
      <c r="CN25" s="22">
        <f t="shared" ca="1" si="28"/>
        <v>15</v>
      </c>
      <c r="CO25" s="22" t="str">
        <f t="shared" ca="1" si="29"/>
        <v>0 hours a day</v>
      </c>
      <c r="CQ25" s="22">
        <f t="array" aca="1" ref="CQ25" ca="1">SUM((YearsExp&lt;CI25)*1)</f>
        <v>1623</v>
      </c>
      <c r="CS25">
        <f t="shared" ca="1" si="21"/>
        <v>0.73886748223679288</v>
      </c>
      <c r="CT25" s="37">
        <f t="shared" ca="1" si="30"/>
        <v>3</v>
      </c>
      <c r="CU25" s="61">
        <f ca="1">+CQ25</f>
        <v>1623</v>
      </c>
      <c r="CV25" s="22" t="str">
        <f ca="1">"Participants in the world with less then " &amp; CI25 &amp; " years of experience."</f>
        <v>Participants in the world with less then 15 years of experience.</v>
      </c>
    </row>
    <row r="26" spans="2:101" x14ac:dyDescent="0.25">
      <c r="B26" s="13" t="s">
        <v>488</v>
      </c>
      <c r="C26" s="22">
        <f t="array" ref="C26">SUM((Continent=C$8)*(JobType=$B26)*(YearsExp&gt;$D$4)*(YearsExp&lt;$E$4)*(CodeHours&gt;$D$5)*(CodeHours&lt;$E$5))</f>
        <v>15</v>
      </c>
      <c r="D26" s="22">
        <f t="array" ref="D26">SUM((Continent=D$8)*(JobType=$B26)*(YearsExp&gt;$D$4)*(YearsExp&lt;$E$4)*(CodeHours&gt;$D$5)*(CodeHours&lt;$E$5))</f>
        <v>19</v>
      </c>
      <c r="E26" s="22">
        <f t="array" ref="E26">SUM((Continent=E$8)*(JobType=$B26)*(YearsExp&gt;$D$4)*(YearsExp&lt;$E$4)*(CodeHours&gt;$D$5)*(CodeHours&lt;$E$5))</f>
        <v>2</v>
      </c>
      <c r="F26" s="22">
        <f t="array" ref="F26">SUM((Continent=F$8)*(JobType=$B26)*(YearsExp&gt;$D$4)*(YearsExp&lt;$E$4)*(CodeHours&gt;$D$5)*(CodeHours&lt;$E$5))</f>
        <v>14</v>
      </c>
      <c r="G26" s="22">
        <f t="array" ref="G26">SUM((Continent=G$8)*(JobType=$B26)*(YearsExp&gt;$D$4)*(YearsExp&lt;$E$4)*(CodeHours&gt;$D$5)*(CodeHours&lt;$E$5))</f>
        <v>2</v>
      </c>
      <c r="H26" s="22">
        <f t="array" ref="H26">SUM((Continent=H$8)*(JobType=$B26)*(YearsExp&gt;$D$4)*(YearsExp&lt;$E$4)*(CodeHours&gt;$D$5)*(CodeHours&lt;$E$5))</f>
        <v>3</v>
      </c>
      <c r="I26" s="13">
        <f t="shared" si="41"/>
        <v>55</v>
      </c>
      <c r="J26" s="18">
        <f t="shared" si="32"/>
        <v>14</v>
      </c>
      <c r="K26" s="18"/>
      <c r="N26" s="13" t="s">
        <v>4001</v>
      </c>
      <c r="O26" s="19">
        <f t="shared" si="33"/>
        <v>11129.947929651606</v>
      </c>
      <c r="P26" s="19">
        <f t="shared" si="34"/>
        <v>13801.135432767991</v>
      </c>
      <c r="Q26" s="19">
        <f t="shared" ref="Q26:S26" si="48">+Q13-P13</f>
        <v>16198.864567232009</v>
      </c>
      <c r="R26" s="19">
        <f t="shared" si="48"/>
        <v>17259.895859303215</v>
      </c>
      <c r="S26" s="19">
        <f t="shared" si="48"/>
        <v>53540.104140696785</v>
      </c>
      <c r="U26" s="19"/>
      <c r="W26" s="13" t="s">
        <v>4001</v>
      </c>
      <c r="X26" s="19">
        <f t="shared" si="36"/>
        <v>71500</v>
      </c>
      <c r="Y26" s="19">
        <f t="shared" si="37"/>
        <v>87500</v>
      </c>
      <c r="Z26" s="19">
        <f t="shared" ref="Z26:AB26" si="49">+Z13-Y13</f>
        <v>20000</v>
      </c>
      <c r="AA26" s="19">
        <f t="shared" si="49"/>
        <v>42500</v>
      </c>
      <c r="AB26" s="19">
        <f t="shared" si="49"/>
        <v>150000</v>
      </c>
      <c r="AC26" s="19"/>
      <c r="AD26" s="19"/>
      <c r="AG26" s="22" t="s">
        <v>4165</v>
      </c>
      <c r="AH26" s="22">
        <f t="shared" si="44"/>
        <v>0.14945652173913043</v>
      </c>
      <c r="AI26" s="22">
        <f t="shared" si="44"/>
        <v>0.1875</v>
      </c>
      <c r="AJ26" s="22">
        <f t="shared" si="44"/>
        <v>0.28804347826086957</v>
      </c>
      <c r="AK26" s="22">
        <f t="shared" si="44"/>
        <v>0.1875</v>
      </c>
      <c r="AL26" s="22">
        <f t="shared" si="44"/>
        <v>0.1875</v>
      </c>
      <c r="AO26" s="22" t="s">
        <v>4165</v>
      </c>
      <c r="AP26" s="22" t="e">
        <f t="shared" si="45"/>
        <v>#N/A</v>
      </c>
      <c r="AQ26" s="22">
        <f t="shared" si="45"/>
        <v>7.2463768115942032E-2</v>
      </c>
      <c r="AR26" s="22">
        <f t="shared" si="45"/>
        <v>0.24492753623188407</v>
      </c>
      <c r="AS26" s="22">
        <f t="shared" si="45"/>
        <v>0.45217391304347826</v>
      </c>
      <c r="AT26" s="22">
        <f t="shared" si="45"/>
        <v>0.22463768115942029</v>
      </c>
      <c r="AV26" s="22"/>
      <c r="AW26" s="22" t="str">
        <f ca="1"/>
        <v>North Amer.</v>
      </c>
      <c r="AX26" s="22">
        <f ca="1"/>
        <v>51417.855048220466</v>
      </c>
      <c r="AY26" s="22">
        <f ca="1"/>
        <v>58797.107319494513</v>
      </c>
      <c r="AZ26" s="22">
        <f ca="1"/>
        <v>74894.327285627005</v>
      </c>
      <c r="BA26" s="22">
        <f ca="1"/>
        <v>78838.123173869142</v>
      </c>
      <c r="BB26" s="22">
        <f ca="1"/>
        <v>92970.089628414746</v>
      </c>
      <c r="BC26" s="22"/>
      <c r="BD26" s="22"/>
      <c r="BE26" s="22"/>
      <c r="BF26" s="22"/>
      <c r="BG26" s="22"/>
      <c r="BH26" s="22"/>
      <c r="BI26" s="22"/>
      <c r="BJ26" s="22"/>
      <c r="BL26" s="37">
        <v>9</v>
      </c>
      <c r="BM26" s="22" t="s">
        <v>1773</v>
      </c>
      <c r="BN26" s="22">
        <f t="array" ref="BN26">SUM((Country=BM26)*Salaries)/SUM((Country=BM26)*1)</f>
        <v>36000</v>
      </c>
      <c r="BO26" s="22">
        <f t="array" ref="BO26">IFERROR(SUM((Country=BM26)*(YearsExp&lt;&gt;"")*YearsExp)/SUM((Country=BM26)*(YearsExp&lt;&gt;"")*1),0)</f>
        <v>5</v>
      </c>
      <c r="BP26" s="22">
        <f t="array" ref="BP26">SUM((Country=BM26)*1)</f>
        <v>1</v>
      </c>
      <c r="BR26" s="22">
        <f>CHOOSE($BN$3,104-BL26,BN26,BO26,BP26)+0.00001*ROWS($BM$18:BM26)</f>
        <v>1.0000899999999999</v>
      </c>
      <c r="BS26" s="22">
        <f t="shared" si="22"/>
        <v>96</v>
      </c>
      <c r="BT26" s="22">
        <v>9</v>
      </c>
      <c r="BU26" s="22">
        <v>95</v>
      </c>
      <c r="BV26" t="str">
        <v>UAE</v>
      </c>
      <c r="BW26">
        <v>43014.900191685309</v>
      </c>
      <c r="BX26" s="22">
        <v>9.8214285714285712</v>
      </c>
      <c r="BY26" s="22">
        <v>19</v>
      </c>
      <c r="CB26" s="22">
        <f t="shared" ca="1" si="23"/>
        <v>1</v>
      </c>
      <c r="CC26" s="22">
        <f t="shared" ca="1" si="24"/>
        <v>9</v>
      </c>
      <c r="CD26" s="22">
        <f t="shared" ca="1" si="25"/>
        <v>25</v>
      </c>
      <c r="CE26" s="22">
        <f t="shared" ca="1" si="31"/>
        <v>5</v>
      </c>
      <c r="CG26" s="22" t="str">
        <f t="shared" ca="1" si="17"/>
        <v>Asia</v>
      </c>
      <c r="CH26" s="22" t="str">
        <f t="shared" ca="1" si="18"/>
        <v>Specialist</v>
      </c>
      <c r="CI26" s="22">
        <f t="shared" ca="1" si="26"/>
        <v>25</v>
      </c>
      <c r="CJ26" s="22">
        <f t="shared" ca="1" si="27"/>
        <v>5</v>
      </c>
      <c r="CL26" s="22" t="str">
        <f t="shared" ca="1" si="19"/>
        <v>in Asia</v>
      </c>
      <c r="CM26" s="22" t="str">
        <f t="shared" ca="1" si="20"/>
        <v>working as Specialist</v>
      </c>
      <c r="CN26" s="22">
        <f t="shared" ca="1" si="28"/>
        <v>25</v>
      </c>
      <c r="CO26" s="22" t="str">
        <f t="shared" ca="1" si="29"/>
        <v>8 hours a day</v>
      </c>
      <c r="CQ26" s="22">
        <f t="array" aca="1" ref="CQ26" ca="1">SUM((YearsExp&gt;CI26)*1)</f>
        <v>33</v>
      </c>
      <c r="CS26">
        <f t="shared" ca="1" si="21"/>
        <v>0.88072592492587765</v>
      </c>
      <c r="CT26" s="37">
        <f t="shared" ca="1" si="30"/>
        <v>2</v>
      </c>
      <c r="CU26" s="61">
        <f ca="1">+CQ26</f>
        <v>33</v>
      </c>
      <c r="CV26" s="22" t="str">
        <f ca="1">"Participants in the world with more then " &amp; CI26 &amp; " years of experience."</f>
        <v>Participants in the world with more then 25 years of experience.</v>
      </c>
    </row>
    <row r="27" spans="2:101" x14ac:dyDescent="0.25">
      <c r="B27" s="13" t="s">
        <v>4001</v>
      </c>
      <c r="C27" s="22">
        <f t="array" ref="C27">SUM((Continent=C$8)*(JobType=$B27)*(YearsExp&gt;$D$4)*(YearsExp&lt;$E$4)*(CodeHours&gt;$D$5)*(CodeHours&lt;$E$5))</f>
        <v>12</v>
      </c>
      <c r="D27" s="22">
        <f t="array" ref="D27">SUM((Continent=D$8)*(JobType=$B27)*(YearsExp&gt;$D$4)*(YearsExp&lt;$E$4)*(CodeHours&gt;$D$5)*(CodeHours&lt;$E$5))</f>
        <v>9</v>
      </c>
      <c r="E27" s="22">
        <f t="array" ref="E27">SUM((Continent=E$8)*(JobType=$B27)*(YearsExp&gt;$D$4)*(YearsExp&lt;$E$4)*(CodeHours&gt;$D$5)*(CodeHours&lt;$E$5))</f>
        <v>2</v>
      </c>
      <c r="F27" s="22">
        <f t="array" ref="F27">SUM((Continent=F$8)*(JobType=$B27)*(YearsExp&gt;$D$4)*(YearsExp&lt;$E$4)*(CodeHours&gt;$D$5)*(CodeHours&lt;$E$5))</f>
        <v>22</v>
      </c>
      <c r="G27" s="22">
        <f t="array" ref="G27">SUM((Continent=G$8)*(JobType=$B27)*(YearsExp&gt;$D$4)*(YearsExp&lt;$E$4)*(CodeHours&gt;$D$5)*(CodeHours&lt;$E$5))</f>
        <v>0</v>
      </c>
      <c r="H27" s="22">
        <f t="array" ref="H27">SUM((Continent=H$8)*(JobType=$B27)*(YearsExp&gt;$D$4)*(YearsExp&lt;$E$4)*(CodeHours&gt;$D$5)*(CodeHours&lt;$E$5))</f>
        <v>2</v>
      </c>
      <c r="I27" s="13">
        <f t="shared" si="41"/>
        <v>47</v>
      </c>
      <c r="J27" s="18">
        <f t="shared" si="32"/>
        <v>22</v>
      </c>
      <c r="K27" s="18"/>
      <c r="N27" s="13" t="s">
        <v>279</v>
      </c>
      <c r="O27" s="19">
        <f t="shared" si="33"/>
        <v>4558.3541656278712</v>
      </c>
      <c r="P27" s="19">
        <f t="shared" si="34"/>
        <v>7229.5416687442566</v>
      </c>
      <c r="Q27" s="19">
        <f t="shared" ref="Q27:S27" si="50">+Q14-P14</f>
        <v>4472.8685499748563</v>
      </c>
      <c r="R27" s="19">
        <f t="shared" si="50"/>
        <v>12297.589781280887</v>
      </c>
      <c r="S27" s="19">
        <f t="shared" si="50"/>
        <v>114000</v>
      </c>
      <c r="U27" s="19"/>
      <c r="W27" s="13" t="s">
        <v>279</v>
      </c>
      <c r="X27" s="19">
        <f t="shared" si="36"/>
        <v>50371</v>
      </c>
      <c r="Y27" s="19">
        <f t="shared" si="37"/>
        <v>57000</v>
      </c>
      <c r="Z27" s="19">
        <f t="shared" ref="Z27:AB27" si="51">+Z14-Y14</f>
        <v>14250</v>
      </c>
      <c r="AA27" s="19">
        <f t="shared" si="51"/>
        <v>13750</v>
      </c>
      <c r="AB27" s="19">
        <f t="shared" si="51"/>
        <v>45000</v>
      </c>
      <c r="AC27" s="19"/>
      <c r="AD27" s="19"/>
      <c r="AG27" s="22" t="s">
        <v>4166</v>
      </c>
      <c r="AH27" s="22">
        <f t="shared" si="44"/>
        <v>0.13636363636363635</v>
      </c>
      <c r="AI27" s="22">
        <f t="shared" si="44"/>
        <v>0.18181818181818182</v>
      </c>
      <c r="AJ27" s="22">
        <f t="shared" si="44"/>
        <v>0.45454545454545453</v>
      </c>
      <c r="AK27" s="22">
        <f t="shared" si="44"/>
        <v>9.0909090909090912E-2</v>
      </c>
      <c r="AL27" s="22">
        <f t="shared" si="44"/>
        <v>0.13636363636363635</v>
      </c>
      <c r="AO27" s="22" t="s">
        <v>4166</v>
      </c>
      <c r="AP27" s="22" t="e">
        <f t="shared" si="45"/>
        <v>#N/A</v>
      </c>
      <c r="AQ27" s="22">
        <f t="shared" si="45"/>
        <v>0.22857142857142856</v>
      </c>
      <c r="AR27" s="22">
        <f t="shared" si="45"/>
        <v>8.5714285714285715E-2</v>
      </c>
      <c r="AS27" s="22">
        <f t="shared" si="45"/>
        <v>0.22857142857142856</v>
      </c>
      <c r="AT27" s="22">
        <f t="shared" si="45"/>
        <v>0.45714285714285713</v>
      </c>
      <c r="AV27" s="22"/>
      <c r="AW27" s="22" t="str">
        <f ca="1"/>
        <v>South Amer.</v>
      </c>
      <c r="AX27" s="22">
        <f ca="1"/>
        <v>16533.333333333332</v>
      </c>
      <c r="AY27" s="22">
        <f ca="1"/>
        <v>49221.08751742341</v>
      </c>
      <c r="AZ27" s="22">
        <f ca="1"/>
        <v>24683.138141700525</v>
      </c>
      <c r="BA27" s="22">
        <f ca="1"/>
        <v>27850</v>
      </c>
      <c r="BB27" s="22">
        <f ca="1"/>
        <v>15200</v>
      </c>
      <c r="BC27" s="22"/>
      <c r="BD27" s="22"/>
      <c r="BE27" s="22"/>
      <c r="BF27" s="22"/>
      <c r="BG27" s="22"/>
      <c r="BH27" s="22"/>
      <c r="BI27" s="22"/>
      <c r="BJ27" s="22"/>
      <c r="BL27" s="37">
        <v>10</v>
      </c>
      <c r="BM27" s="22" t="s">
        <v>1951</v>
      </c>
      <c r="BN27" s="22">
        <f t="array" ref="BN27">SUM((Country=BM27)*Salaries)/SUM((Country=BM27)*1)</f>
        <v>8400</v>
      </c>
      <c r="BO27" s="22">
        <f t="array" ref="BO27">IFERROR(SUM((Country=BM27)*(YearsExp&lt;&gt;"")*YearsExp)/SUM((Country=BM27)*(YearsExp&lt;&gt;"")*1),0)</f>
        <v>0.3</v>
      </c>
      <c r="BP27" s="22">
        <f t="array" ref="BP27">SUM((Country=BM27)*1)</f>
        <v>1</v>
      </c>
      <c r="BR27" s="22">
        <f>CHOOSE($BN$3,104-BL27,BN27,BO27,BP27)+0.00001*ROWS($BM$18:BM27)</f>
        <v>1.0001</v>
      </c>
      <c r="BS27" s="22">
        <f t="shared" si="22"/>
        <v>95</v>
      </c>
      <c r="BT27" s="22">
        <v>10</v>
      </c>
      <c r="BU27" s="22">
        <v>87</v>
      </c>
      <c r="BV27" t="str">
        <v>South Africa</v>
      </c>
      <c r="BW27">
        <v>49555.624994016209</v>
      </c>
      <c r="BX27" s="22">
        <v>11.866666666666667</v>
      </c>
      <c r="BY27" s="22">
        <v>19</v>
      </c>
      <c r="CB27" s="22">
        <f t="shared" ca="1" si="23"/>
        <v>1</v>
      </c>
      <c r="CC27" s="22">
        <f t="shared" ca="1" si="24"/>
        <v>2</v>
      </c>
      <c r="CD27" s="22">
        <f t="shared" ca="1" si="25"/>
        <v>13</v>
      </c>
      <c r="CE27" s="22">
        <f t="shared" ca="1" si="31"/>
        <v>2</v>
      </c>
      <c r="CG27" s="22" t="str">
        <f t="shared" ca="1" si="17"/>
        <v>Asia</v>
      </c>
      <c r="CH27" s="22" t="str">
        <f t="shared" ca="1" si="18"/>
        <v>Analyst</v>
      </c>
      <c r="CI27" s="22">
        <f t="shared" ca="1" si="26"/>
        <v>13</v>
      </c>
      <c r="CJ27" s="22">
        <f t="shared" ca="1" si="27"/>
        <v>2</v>
      </c>
      <c r="CL27" s="22" t="str">
        <f t="shared" ca="1" si="19"/>
        <v>in Asia</v>
      </c>
      <c r="CM27" s="22" t="str">
        <f t="shared" ca="1" si="20"/>
        <v>working as Analyst</v>
      </c>
      <c r="CN27" s="22">
        <f t="shared" ca="1" si="28"/>
        <v>13</v>
      </c>
      <c r="CO27" s="22" t="str">
        <f t="shared" ca="1" si="29"/>
        <v>1 or 2 hours a day</v>
      </c>
      <c r="CQ27" s="22">
        <f t="array" aca="1" ref="CQ27" ca="1">SUM((YearsExp&lt;CI26)*(JobType=CH26))/SUM((JobType=CH26)*1)</f>
        <v>0.96078431372549022</v>
      </c>
      <c r="CS27">
        <f t="shared" ca="1" si="21"/>
        <v>6.9879369319787998E-2</v>
      </c>
      <c r="CT27" s="37">
        <f t="shared" ca="1" si="30"/>
        <v>15</v>
      </c>
      <c r="CU27" s="61" t="str">
        <f ca="1">TEXT(CQ27,"0.0%")</f>
        <v>96.1%</v>
      </c>
      <c r="CV27" s="22" t="str">
        <f ca="1">"Participants " &amp; CM27 &amp; " have less then " &amp; CI27 &amp; " years of experience."</f>
        <v>Participants working as Analyst have less then 13 years of experience.</v>
      </c>
    </row>
    <row r="28" spans="2:101" x14ac:dyDescent="0.25">
      <c r="B28" s="13" t="s">
        <v>279</v>
      </c>
      <c r="C28" s="22">
        <f t="array" ref="C28">SUM((Continent=C$8)*(JobType=$B28)*(YearsExp&gt;$D$4)*(YearsExp&lt;$E$4)*(CodeHours&gt;$D$5)*(CodeHours&lt;$E$5))</f>
        <v>24</v>
      </c>
      <c r="D28" s="22">
        <f t="array" ref="D28">SUM((Continent=D$8)*(JobType=$B28)*(YearsExp&gt;$D$4)*(YearsExp&lt;$E$4)*(CodeHours&gt;$D$5)*(CodeHours&lt;$E$5))</f>
        <v>8</v>
      </c>
      <c r="E28" s="22">
        <f t="array" ref="E28">SUM((Continent=E$8)*(JobType=$B28)*(YearsExp&gt;$D$4)*(YearsExp&lt;$E$4)*(CodeHours&gt;$D$5)*(CodeHours&lt;$E$5))</f>
        <v>1</v>
      </c>
      <c r="F28" s="22">
        <f t="array" ref="F28">SUM((Continent=F$8)*(JobType=$B28)*(YearsExp&gt;$D$4)*(YearsExp&lt;$E$4)*(CodeHours&gt;$D$5)*(CodeHours&lt;$E$5))</f>
        <v>12</v>
      </c>
      <c r="G28" s="22">
        <f t="array" ref="G28">SUM((Continent=G$8)*(JobType=$B28)*(YearsExp&gt;$D$4)*(YearsExp&lt;$E$4)*(CodeHours&gt;$D$5)*(CodeHours&lt;$E$5))</f>
        <v>1</v>
      </c>
      <c r="H28" s="22">
        <f t="array" ref="H28">SUM((Continent=H$8)*(JobType=$B28)*(YearsExp&gt;$D$4)*(YearsExp&lt;$E$4)*(CodeHours&gt;$D$5)*(CodeHours&lt;$E$5))</f>
        <v>3</v>
      </c>
      <c r="I28" s="13">
        <f t="shared" si="41"/>
        <v>49</v>
      </c>
      <c r="J28" s="18">
        <f t="shared" si="32"/>
        <v>12</v>
      </c>
      <c r="K28" s="18"/>
      <c r="N28" s="13" t="s">
        <v>52</v>
      </c>
      <c r="O28" s="19">
        <f t="shared" si="33"/>
        <v>5887.2460467309138</v>
      </c>
      <c r="P28" s="19">
        <f t="shared" si="34"/>
        <v>7693.0200089751897</v>
      </c>
      <c r="Q28" s="19">
        <f t="shared" ref="Q28:S28" si="52">+Q15-P15</f>
        <v>3882.1258378624798</v>
      </c>
      <c r="R28" s="19">
        <f t="shared" si="52"/>
        <v>9794.3541780934138</v>
      </c>
      <c r="S28" s="19">
        <f t="shared" si="52"/>
        <v>165613.62519321591</v>
      </c>
      <c r="U28" s="19"/>
      <c r="W28" s="13" t="s">
        <v>52</v>
      </c>
      <c r="X28" s="19">
        <f t="shared" si="36"/>
        <v>41000</v>
      </c>
      <c r="Y28" s="19">
        <f t="shared" si="37"/>
        <v>52000</v>
      </c>
      <c r="Z28" s="19">
        <f t="shared" ref="Z28:AB28" si="53">+Z15-Y15</f>
        <v>16835.306612122877</v>
      </c>
      <c r="AA28" s="19">
        <f t="shared" si="53"/>
        <v>21164.693387877123</v>
      </c>
      <c r="AB28" s="19">
        <f t="shared" si="53"/>
        <v>310000</v>
      </c>
      <c r="AC28" s="19"/>
      <c r="AD28" s="19"/>
      <c r="AG28" s="22" t="s">
        <v>4100</v>
      </c>
      <c r="AH28" s="22">
        <f t="shared" si="44"/>
        <v>8.98876404494382E-2</v>
      </c>
      <c r="AI28" s="22">
        <f t="shared" si="44"/>
        <v>0.25842696629213485</v>
      </c>
      <c r="AJ28" s="22">
        <f t="shared" si="44"/>
        <v>0.29213483146067415</v>
      </c>
      <c r="AK28" s="22">
        <f t="shared" si="44"/>
        <v>0.14606741573033707</v>
      </c>
      <c r="AL28" s="22">
        <f t="shared" si="44"/>
        <v>0.21348314606741572</v>
      </c>
      <c r="AO28" s="22" t="s">
        <v>4100</v>
      </c>
      <c r="AP28" s="22" t="e">
        <f t="shared" si="45"/>
        <v>#N/A</v>
      </c>
      <c r="AQ28" s="22">
        <f t="shared" si="45"/>
        <v>0.10416666666666667</v>
      </c>
      <c r="AR28" s="22">
        <f t="shared" si="45"/>
        <v>0.30208333333333331</v>
      </c>
      <c r="AS28" s="22">
        <f t="shared" si="45"/>
        <v>0.44791666666666669</v>
      </c>
      <c r="AT28" s="22">
        <f t="shared" si="45"/>
        <v>0.14583333333333334</v>
      </c>
      <c r="AV28" s="26"/>
      <c r="AW28" s="22" t="str">
        <f ca="1"/>
        <v>Oceania</v>
      </c>
      <c r="AX28" s="22">
        <f ca="1"/>
        <v>63991.058205224173</v>
      </c>
      <c r="AY28" s="22">
        <f ca="1"/>
        <v>73916.59205674447</v>
      </c>
      <c r="AZ28" s="22">
        <f ca="1"/>
        <v>94882.756140380036</v>
      </c>
      <c r="BA28" s="22">
        <f ca="1"/>
        <v>103362.02086396991</v>
      </c>
      <c r="BB28" s="22">
        <f ca="1"/>
        <v>102453.49593802381</v>
      </c>
      <c r="BC28" s="22"/>
      <c r="BD28" s="22"/>
      <c r="BE28" s="22"/>
      <c r="BF28" s="22"/>
      <c r="BG28" s="22"/>
      <c r="BH28" s="22"/>
      <c r="BI28" s="22"/>
      <c r="BJ28" s="22"/>
      <c r="BL28" s="37">
        <v>11</v>
      </c>
      <c r="BM28" s="22" t="s">
        <v>425</v>
      </c>
      <c r="BN28" s="22">
        <f t="array" ref="BN28">SUM((Country=BM28)*Salaries)/SUM((Country=BM28)*1)</f>
        <v>10299.008645025993</v>
      </c>
      <c r="BO28" s="22">
        <f t="array" ref="BO28">IFERROR(SUM((Country=BM28)*(YearsExp&lt;&gt;"")*YearsExp)/SUM((Country=BM28)*(YearsExp&lt;&gt;"")*1),0)</f>
        <v>12</v>
      </c>
      <c r="BP28" s="22">
        <f t="array" ref="BP28">SUM((Country=BM28)*1)</f>
        <v>2</v>
      </c>
      <c r="BR28" s="22">
        <f>CHOOSE($BN$3,104-BL28,BN28,BO28,BP28)+0.00001*ROWS($BM$18:BM28)</f>
        <v>2.0001099999999998</v>
      </c>
      <c r="BS28" s="22">
        <f t="shared" si="22"/>
        <v>57</v>
      </c>
      <c r="BT28" s="22">
        <v>11</v>
      </c>
      <c r="BU28" s="22">
        <v>36</v>
      </c>
      <c r="BV28" t="str">
        <v>Germany</v>
      </c>
      <c r="BW28">
        <v>79637.147017647629</v>
      </c>
      <c r="BX28" s="22">
        <v>7.4615384615384617</v>
      </c>
      <c r="BY28" s="22">
        <v>17</v>
      </c>
      <c r="CB28" s="22">
        <f t="shared" ca="1" si="23"/>
        <v>2</v>
      </c>
      <c r="CC28" s="22">
        <f t="shared" ca="1" si="24"/>
        <v>1</v>
      </c>
      <c r="CD28" s="22">
        <f t="shared" ca="1" si="25"/>
        <v>9</v>
      </c>
      <c r="CE28" s="22">
        <f t="shared" ca="1" si="31"/>
        <v>4</v>
      </c>
      <c r="CG28" s="22" t="str">
        <f t="shared" ca="1" si="17"/>
        <v>Europe</v>
      </c>
      <c r="CH28" s="22" t="str">
        <f t="shared" ca="1" si="18"/>
        <v>Accountant</v>
      </c>
      <c r="CI28" s="22">
        <f t="shared" ca="1" si="26"/>
        <v>9</v>
      </c>
      <c r="CJ28" s="22">
        <f t="shared" ca="1" si="27"/>
        <v>4</v>
      </c>
      <c r="CL28" s="22" t="str">
        <f t="shared" ca="1" si="19"/>
        <v>in Europe</v>
      </c>
      <c r="CM28" s="22" t="str">
        <f t="shared" ca="1" si="20"/>
        <v>working as Accountant</v>
      </c>
      <c r="CN28" s="22">
        <f t="shared" ca="1" si="28"/>
        <v>9</v>
      </c>
      <c r="CO28" s="22" t="str">
        <f t="shared" ca="1" si="29"/>
        <v>4 to 6 hours a day</v>
      </c>
      <c r="CQ28" s="22">
        <f t="array" aca="1" ref="CQ28" ca="1">SUM((YearsExp&gt;CI27)*(JobType=CH27))/SUM((JobType=CH27)*1)</f>
        <v>0.10228802153432032</v>
      </c>
      <c r="CS28">
        <f t="shared" ca="1" si="21"/>
        <v>7.2139119196955814E-2</v>
      </c>
      <c r="CT28" s="37">
        <f t="shared" ca="1" si="30"/>
        <v>14</v>
      </c>
      <c r="CU28" s="61" t="str">
        <f ca="1">TEXT(CQ28,"0.0%")</f>
        <v>10.2%</v>
      </c>
      <c r="CV28" s="22" t="str">
        <f ca="1">"Participants " &amp; CM28 &amp; " have more then " &amp; CI28 &amp; " years of experience."</f>
        <v>Participants working as Accountant have more then 9 years of experience.</v>
      </c>
    </row>
    <row r="29" spans="2:101" x14ac:dyDescent="0.25">
      <c r="B29" s="13" t="s">
        <v>52</v>
      </c>
      <c r="C29" s="22">
        <f t="array" ref="C29">SUM((Continent=C$8)*(JobType=$B29)*(YearsExp&gt;$D$4)*(YearsExp&lt;$E$4)*(CodeHours&gt;$D$5)*(CodeHours&lt;$E$5))</f>
        <v>216</v>
      </c>
      <c r="D29" s="22">
        <f t="array" ref="D29">SUM((Continent=D$8)*(JobType=$B29)*(YearsExp&gt;$D$4)*(YearsExp&lt;$E$4)*(CodeHours&gt;$D$5)*(CodeHours&lt;$E$5))</f>
        <v>55</v>
      </c>
      <c r="E29" s="22">
        <f t="array" ref="E29">SUM((Continent=E$8)*(JobType=$B29)*(YearsExp&gt;$D$4)*(YearsExp&lt;$E$4)*(CodeHours&gt;$D$5)*(CodeHours&lt;$E$5))</f>
        <v>8</v>
      </c>
      <c r="F29" s="22">
        <f t="array" ref="F29">SUM((Continent=F$8)*(JobType=$B29)*(YearsExp&gt;$D$4)*(YearsExp&lt;$E$4)*(CodeHours&gt;$D$5)*(CodeHours&lt;$E$5))</f>
        <v>84</v>
      </c>
      <c r="G29" s="22">
        <f t="array" ref="G29">SUM((Continent=G$8)*(JobType=$B29)*(YearsExp&gt;$D$4)*(YearsExp&lt;$E$4)*(CodeHours&gt;$D$5)*(CodeHours&lt;$E$5))</f>
        <v>5</v>
      </c>
      <c r="H29" s="22">
        <f t="array" ref="H29">SUM((Continent=H$8)*(JobType=$B29)*(YearsExp&gt;$D$4)*(YearsExp&lt;$E$4)*(CodeHours&gt;$D$5)*(CodeHours&lt;$E$5))</f>
        <v>21</v>
      </c>
      <c r="I29" s="13">
        <f t="shared" si="41"/>
        <v>389</v>
      </c>
      <c r="J29" s="18">
        <f t="shared" si="32"/>
        <v>84</v>
      </c>
      <c r="K29" s="18"/>
      <c r="N29" s="13" t="s">
        <v>4000</v>
      </c>
      <c r="O29" s="19">
        <f t="shared" si="33"/>
        <v>1880.1687478185304</v>
      </c>
      <c r="P29" s="19">
        <f t="shared" si="34"/>
        <v>4373.2770840604899</v>
      </c>
      <c r="Q29" s="19">
        <f t="shared" ref="Q29:S29" si="54">+Q16-P16</f>
        <v>8626.7229159395101</v>
      </c>
      <c r="R29" s="19">
        <f t="shared" si="54"/>
        <v>13178.0577973744</v>
      </c>
      <c r="S29" s="19">
        <f t="shared" si="54"/>
        <v>15534.173392123201</v>
      </c>
      <c r="U29" s="19"/>
      <c r="W29" s="13" t="s">
        <v>4000</v>
      </c>
      <c r="X29" s="19">
        <f t="shared" si="36"/>
        <v>6269.5</v>
      </c>
      <c r="Y29" s="19">
        <f t="shared" si="37"/>
        <v>80730.5</v>
      </c>
      <c r="Z29" s="19">
        <f t="shared" ref="Z29:AB29" si="55">+Z16-Y16</f>
        <v>6269.5</v>
      </c>
      <c r="AA29" s="19">
        <f t="shared" si="55"/>
        <v>1500</v>
      </c>
      <c r="AB29" s="19">
        <f t="shared" si="55"/>
        <v>1500</v>
      </c>
      <c r="AC29" s="19"/>
      <c r="AD29" s="19"/>
      <c r="AG29" s="22" t="s">
        <v>4120</v>
      </c>
      <c r="AH29" s="22">
        <f t="shared" si="44"/>
        <v>0.14588057445200303</v>
      </c>
      <c r="AI29" s="22">
        <f t="shared" si="44"/>
        <v>0.26908541194255481</v>
      </c>
      <c r="AJ29" s="22">
        <f t="shared" si="44"/>
        <v>0.30612244897959184</v>
      </c>
      <c r="AK29" s="22">
        <f t="shared" si="44"/>
        <v>0.14361300075585789</v>
      </c>
      <c r="AL29" s="22">
        <f t="shared" si="44"/>
        <v>0.13529856386999245</v>
      </c>
      <c r="AO29" s="22" t="s">
        <v>4120</v>
      </c>
      <c r="AP29" s="22" t="e">
        <f t="shared" si="45"/>
        <v>#N/A</v>
      </c>
      <c r="AQ29" s="22">
        <f t="shared" si="45"/>
        <v>9.24548352816153E-2</v>
      </c>
      <c r="AR29" s="22">
        <f t="shared" si="45"/>
        <v>0.23963868225292242</v>
      </c>
      <c r="AS29" s="22">
        <f t="shared" si="45"/>
        <v>0.4112646121147715</v>
      </c>
      <c r="AT29" s="22">
        <f t="shared" si="45"/>
        <v>0.25292242295430395</v>
      </c>
      <c r="AV29" s="26"/>
      <c r="AW29" s="22" t="str">
        <f ca="1"/>
        <v>Worldwide</v>
      </c>
      <c r="AX29" s="22">
        <f ca="1"/>
        <v>33880.100382957731</v>
      </c>
      <c r="AY29" s="22">
        <f ca="1"/>
        <v>43776.19160646035</v>
      </c>
      <c r="AZ29" s="22">
        <f ca="1"/>
        <v>53164.000700434437</v>
      </c>
      <c r="BA29" s="22">
        <f ca="1"/>
        <v>54073.585451229308</v>
      </c>
      <c r="BB29" s="22">
        <f ca="1"/>
        <v>63988.140024263856</v>
      </c>
      <c r="BC29" s="22"/>
      <c r="BD29" s="22"/>
      <c r="BE29" s="22"/>
      <c r="BF29" s="22"/>
      <c r="BG29" s="22"/>
      <c r="BH29" s="22"/>
      <c r="BI29" s="22"/>
      <c r="BJ29" s="22"/>
      <c r="BL29" s="37">
        <v>12</v>
      </c>
      <c r="BM29" s="22" t="s">
        <v>59</v>
      </c>
      <c r="BN29" s="22">
        <f t="array" ref="BN29">SUM((Country=BM29)*Salaries)/SUM((Country=BM29)*1)</f>
        <v>41707.21358209449</v>
      </c>
      <c r="BO29" s="22">
        <f t="array" ref="BO29">IFERROR(SUM((Country=BM29)*(YearsExp&lt;&gt;"")*YearsExp)/SUM((Country=BM29)*(YearsExp&lt;&gt;"")*1),0)</f>
        <v>10.5</v>
      </c>
      <c r="BP29" s="22">
        <f t="array" ref="BP29">SUM((Country=BM29)*1)</f>
        <v>4</v>
      </c>
      <c r="BR29" s="22">
        <f>CHOOSE($BN$3,104-BL29,BN29,BO29,BP29)+0.00001*ROWS($BM$18:BM29)</f>
        <v>4.0001199999999999</v>
      </c>
      <c r="BS29" s="22">
        <f t="shared" si="22"/>
        <v>39</v>
      </c>
      <c r="BT29" s="22">
        <v>12</v>
      </c>
      <c r="BU29" s="22">
        <v>66</v>
      </c>
      <c r="BV29" t="str">
        <v>New Zealand</v>
      </c>
      <c r="BW29">
        <v>70287.554967112796</v>
      </c>
      <c r="BX29" s="22">
        <v>11.714285714285714</v>
      </c>
      <c r="BY29" s="22">
        <v>15</v>
      </c>
      <c r="CB29" s="22">
        <f t="shared" ca="1" si="23"/>
        <v>3</v>
      </c>
      <c r="CC29" s="22">
        <f t="shared" ca="1" si="24"/>
        <v>9</v>
      </c>
      <c r="CD29" s="22">
        <f t="shared" ca="1" si="25"/>
        <v>22</v>
      </c>
      <c r="CE29" s="22">
        <f t="shared" ca="1" si="31"/>
        <v>4</v>
      </c>
      <c r="CG29" s="22" t="str">
        <f t="shared" ca="1" si="17"/>
        <v>Africa</v>
      </c>
      <c r="CH29" s="22" t="str">
        <f t="shared" ca="1" si="18"/>
        <v>Specialist</v>
      </c>
      <c r="CI29" s="22">
        <f t="shared" ca="1" si="26"/>
        <v>22</v>
      </c>
      <c r="CJ29" s="22">
        <f t="shared" ca="1" si="27"/>
        <v>4</v>
      </c>
      <c r="CL29" s="22" t="str">
        <f t="shared" ca="1" si="19"/>
        <v>in Africa</v>
      </c>
      <c r="CM29" s="22" t="str">
        <f t="shared" ca="1" si="20"/>
        <v>working as Specialist</v>
      </c>
      <c r="CN29" s="22">
        <f t="shared" ca="1" si="28"/>
        <v>22</v>
      </c>
      <c r="CO29" s="22" t="str">
        <f t="shared" ca="1" si="29"/>
        <v>4 to 6 hours a day</v>
      </c>
      <c r="CQ29" s="22">
        <f t="array" aca="1" ref="CQ29" ca="1">SUM((YearsExp&lt;CI29)*Salaries)/SUM((YearsExp&lt;CI29)*1)</f>
        <v>48753.25629188335</v>
      </c>
      <c r="CS29">
        <f t="shared" ca="1" si="21"/>
        <v>0.22399618939474519</v>
      </c>
      <c r="CT29" s="37">
        <f t="shared" ca="1" si="30"/>
        <v>11</v>
      </c>
      <c r="CU29" s="61" t="str">
        <f ca="1">TEXT(CQ29,"# $")</f>
        <v>48753 $</v>
      </c>
      <c r="CV29" s="22" t="str">
        <f ca="1">"Average salary of participants with less then " &amp; CN29 &amp; " years of experience."</f>
        <v>Average salary of participants with less then 22 years of experience.</v>
      </c>
    </row>
    <row r="30" spans="2:101" x14ac:dyDescent="0.25">
      <c r="B30" s="13" t="s">
        <v>4000</v>
      </c>
      <c r="C30" s="22">
        <f t="array" ref="C30">SUM((Continent=C$8)*(JobType=$B30)*(YearsExp&gt;$D$4)*(YearsExp&lt;$E$4)*(CodeHours&gt;$D$5)*(CodeHours&lt;$E$5))</f>
        <v>4</v>
      </c>
      <c r="D30" s="22">
        <f t="array" ref="D30">SUM((Continent=D$8)*(JobType=$B30)*(YearsExp&gt;$D$4)*(YearsExp&lt;$E$4)*(CodeHours&gt;$D$5)*(CodeHours&lt;$E$5))</f>
        <v>0</v>
      </c>
      <c r="E30" s="22">
        <f t="array" ref="E30">SUM((Continent=E$8)*(JobType=$B30)*(YearsExp&gt;$D$4)*(YearsExp&lt;$E$4)*(CodeHours&gt;$D$5)*(CodeHours&lt;$E$5))</f>
        <v>0</v>
      </c>
      <c r="F30" s="22">
        <f t="array" ref="F30">SUM((Continent=F$8)*(JobType=$B30)*(YearsExp&gt;$D$4)*(YearsExp&lt;$E$4)*(CodeHours&gt;$D$5)*(CodeHours&lt;$E$5))</f>
        <v>2</v>
      </c>
      <c r="G30" s="22">
        <f t="array" ref="G30">SUM((Continent=G$8)*(JobType=$B30)*(YearsExp&gt;$D$4)*(YearsExp&lt;$E$4)*(CodeHours&gt;$D$5)*(CodeHours&lt;$E$5))</f>
        <v>0</v>
      </c>
      <c r="H30" s="22">
        <f t="array" ref="H30">SUM((Continent=H$8)*(JobType=$B30)*(YearsExp&gt;$D$4)*(YearsExp&lt;$E$4)*(CodeHours&gt;$D$5)*(CodeHours&lt;$E$5))</f>
        <v>0</v>
      </c>
      <c r="I30" s="13">
        <f t="shared" si="41"/>
        <v>6</v>
      </c>
      <c r="J30" s="18">
        <f t="shared" si="32"/>
        <v>2</v>
      </c>
      <c r="K30" s="18"/>
      <c r="N30" s="13" t="s">
        <v>3999</v>
      </c>
      <c r="O30" s="19">
        <f t="shared" si="33"/>
        <v>2089.4640309761562</v>
      </c>
      <c r="P30" s="19">
        <f t="shared" si="34"/>
        <v>4000</v>
      </c>
      <c r="Q30" s="19">
        <f t="shared" ref="Q30:S30" si="56">+Q17-P17</f>
        <v>1983.4600069807029</v>
      </c>
      <c r="R30" s="19">
        <f t="shared" si="56"/>
        <v>4016.5399930192971</v>
      </c>
      <c r="S30" s="19">
        <f t="shared" si="56"/>
        <v>90614.729284050511</v>
      </c>
      <c r="U30" s="19"/>
      <c r="W30" s="13" t="s">
        <v>3999</v>
      </c>
      <c r="X30" s="19">
        <f t="shared" si="36"/>
        <v>5000</v>
      </c>
      <c r="Y30" s="19">
        <f t="shared" si="37"/>
        <v>37000</v>
      </c>
      <c r="Z30" s="19">
        <f t="shared" ref="Z30:AB30" si="57">+Z17-Y17</f>
        <v>8000</v>
      </c>
      <c r="AA30" s="19">
        <f t="shared" si="57"/>
        <v>40000</v>
      </c>
      <c r="AB30" s="19">
        <f t="shared" si="57"/>
        <v>7000</v>
      </c>
      <c r="AC30" s="19"/>
      <c r="AD30" s="19"/>
      <c r="AV30" s="26"/>
      <c r="BL30" s="37">
        <v>13</v>
      </c>
      <c r="BM30" s="22" t="s">
        <v>292</v>
      </c>
      <c r="BN30" s="22">
        <f t="array" ref="BN30">SUM((Country=BM30)*Salaries)/SUM((Country=BM30)*1)</f>
        <v>78000</v>
      </c>
      <c r="BO30" s="22">
        <f t="array" ref="BO30">IFERROR(SUM((Country=BM30)*(YearsExp&lt;&gt;"")*YearsExp)/SUM((Country=BM30)*(YearsExp&lt;&gt;"")*1),0)</f>
        <v>0</v>
      </c>
      <c r="BP30" s="22">
        <f t="array" ref="BP30">SUM((Country=BM30)*1)</f>
        <v>1</v>
      </c>
      <c r="BR30" s="22">
        <f>CHOOSE($BN$3,104-BL30,BN30,BO30,BP30)+0.00001*ROWS($BM$18:BM30)</f>
        <v>1.00013</v>
      </c>
      <c r="BS30" s="22">
        <f t="shared" si="22"/>
        <v>94</v>
      </c>
      <c r="BT30" s="22">
        <v>13</v>
      </c>
      <c r="BU30" s="22">
        <v>83</v>
      </c>
      <c r="BV30" t="str">
        <v>Singapore</v>
      </c>
      <c r="BW30">
        <v>52154.754053796576</v>
      </c>
      <c r="BX30" s="22">
        <v>7.2727272727272725</v>
      </c>
      <c r="BY30" s="22">
        <v>13</v>
      </c>
      <c r="CB30" s="22">
        <f t="shared" ca="1" si="23"/>
        <v>1</v>
      </c>
      <c r="CC30" s="22">
        <f t="shared" ca="1" si="24"/>
        <v>9</v>
      </c>
      <c r="CD30" s="22">
        <f t="shared" ca="1" si="25"/>
        <v>9</v>
      </c>
      <c r="CE30" s="22">
        <f t="shared" ca="1" si="31"/>
        <v>4</v>
      </c>
      <c r="CG30" s="22" t="str">
        <f t="shared" ca="1" si="17"/>
        <v>Asia</v>
      </c>
      <c r="CH30" s="22" t="str">
        <f t="shared" ca="1" si="18"/>
        <v>Specialist</v>
      </c>
      <c r="CI30" s="22">
        <f t="shared" ca="1" si="26"/>
        <v>9</v>
      </c>
      <c r="CJ30" s="22">
        <f t="shared" ca="1" si="27"/>
        <v>4</v>
      </c>
      <c r="CL30" s="22" t="str">
        <f t="shared" ca="1" si="19"/>
        <v>in Asia</v>
      </c>
      <c r="CM30" s="22" t="str">
        <f t="shared" ca="1" si="20"/>
        <v>working as Specialist</v>
      </c>
      <c r="CN30" s="22">
        <f t="shared" ca="1" si="28"/>
        <v>9</v>
      </c>
      <c r="CO30" s="22" t="str">
        <f t="shared" ca="1" si="29"/>
        <v>4 to 6 hours a day</v>
      </c>
      <c r="CQ30" s="22">
        <f t="array" aca="1" ref="CQ30" ca="1">SUM((YearsExp&gt;CI30)*Salaries)/SUM((YearsExp&gt;CI30)*1)</f>
        <v>63660.030849592033</v>
      </c>
      <c r="CS30">
        <f t="shared" ca="1" si="21"/>
        <v>9.3187550341592429E-2</v>
      </c>
      <c r="CT30" s="37">
        <f t="shared" ca="1" si="30"/>
        <v>13</v>
      </c>
      <c r="CU30" s="61" t="str">
        <f t="shared" ref="CU30:CU32" ca="1" si="58">TEXT(CQ30,"# $")</f>
        <v>63660 $</v>
      </c>
      <c r="CV30" s="22" t="str">
        <f ca="1">"Average salary of participants with more then " &amp; CN30 &amp; " years of experience."</f>
        <v>Average salary of participants with more then 9 years of experience.</v>
      </c>
    </row>
    <row r="31" spans="2:101" x14ac:dyDescent="0.25">
      <c r="B31" s="13" t="s">
        <v>3999</v>
      </c>
      <c r="C31" s="22">
        <f t="array" ref="C31">SUM((Continent=C$8)*(JobType=$B31)*(YearsExp&gt;$D$4)*(YearsExp&lt;$E$4)*(CodeHours&gt;$D$5)*(CodeHours&lt;$E$5))</f>
        <v>59</v>
      </c>
      <c r="D31" s="22">
        <f t="array" ref="D31">SUM((Continent=D$8)*(JobType=$B31)*(YearsExp&gt;$D$4)*(YearsExp&lt;$E$4)*(CodeHours&gt;$D$5)*(CodeHours&lt;$E$5))</f>
        <v>5</v>
      </c>
      <c r="E31" s="22">
        <f t="array" ref="E31">SUM((Continent=E$8)*(JobType=$B31)*(YearsExp&gt;$D$4)*(YearsExp&lt;$E$4)*(CodeHours&gt;$D$5)*(CodeHours&lt;$E$5))</f>
        <v>1</v>
      </c>
      <c r="F31" s="22">
        <f t="array" ref="F31">SUM((Continent=F$8)*(JobType=$B31)*(YearsExp&gt;$D$4)*(YearsExp&lt;$E$4)*(CodeHours&gt;$D$5)*(CodeHours&lt;$E$5))</f>
        <v>4</v>
      </c>
      <c r="G31" s="22">
        <f t="array" ref="G31">SUM((Continent=G$8)*(JobType=$B31)*(YearsExp&gt;$D$4)*(YearsExp&lt;$E$4)*(CodeHours&gt;$D$5)*(CodeHours&lt;$E$5))</f>
        <v>1</v>
      </c>
      <c r="H31" s="22">
        <f t="array" ref="H31">SUM((Continent=H$8)*(JobType=$B31)*(YearsExp&gt;$D$4)*(YearsExp&lt;$E$4)*(CodeHours&gt;$D$5)*(CodeHours&lt;$E$5))</f>
        <v>1</v>
      </c>
      <c r="I31" s="13">
        <f t="shared" si="41"/>
        <v>71</v>
      </c>
      <c r="J31" s="18">
        <f t="shared" si="32"/>
        <v>4</v>
      </c>
      <c r="K31" s="18"/>
      <c r="N31" s="13" t="s">
        <v>67</v>
      </c>
      <c r="O31" s="19">
        <f t="shared" si="33"/>
        <v>5436.4250037396632</v>
      </c>
      <c r="P31" s="19">
        <f t="shared" si="34"/>
        <v>9455.4250037396632</v>
      </c>
      <c r="Q31" s="19">
        <f t="shared" ref="Q31:S31" si="59">+Q18-P18</f>
        <v>8544.5749962603368</v>
      </c>
      <c r="R31" s="19">
        <f t="shared" si="59"/>
        <v>10000</v>
      </c>
      <c r="S31" s="19">
        <f t="shared" si="59"/>
        <v>71147</v>
      </c>
      <c r="U31" s="19"/>
      <c r="W31" s="13" t="s">
        <v>67</v>
      </c>
      <c r="X31" s="19">
        <f t="shared" si="36"/>
        <v>14000</v>
      </c>
      <c r="Y31" s="19">
        <f t="shared" si="37"/>
        <v>45000</v>
      </c>
      <c r="Z31" s="19">
        <f t="shared" ref="Z31:AB31" si="60">+Z18-Y18</f>
        <v>5000</v>
      </c>
      <c r="AA31" s="19">
        <f t="shared" si="60"/>
        <v>19000</v>
      </c>
      <c r="AB31" s="19">
        <f t="shared" si="60"/>
        <v>331000</v>
      </c>
      <c r="AC31" s="19"/>
      <c r="AD31" s="19"/>
      <c r="AI31" s="22"/>
      <c r="AJ31" s="22"/>
      <c r="AK31" s="22"/>
      <c r="AL31" s="22"/>
      <c r="AV31" s="22"/>
      <c r="BL31" s="37">
        <v>14</v>
      </c>
      <c r="BM31" s="22" t="s">
        <v>851</v>
      </c>
      <c r="BN31" s="22">
        <f t="array" ref="BN31">SUM((Country=BM31)*Salaries)/SUM((Country=BM31)*1)</f>
        <v>4800</v>
      </c>
      <c r="BO31" s="22">
        <f t="array" ref="BO31">IFERROR(SUM((Country=BM31)*(YearsExp&lt;&gt;"")*YearsExp)/SUM((Country=BM31)*(YearsExp&lt;&gt;"")*1),0)</f>
        <v>2</v>
      </c>
      <c r="BP31" s="22">
        <f t="array" ref="BP31">SUM((Country=BM31)*1)</f>
        <v>1</v>
      </c>
      <c r="BR31" s="22">
        <f>CHOOSE($BN$3,104-BL31,BN31,BO31,BP31)+0.00001*ROWS($BM$18:BM31)</f>
        <v>1.00014</v>
      </c>
      <c r="BS31" s="22">
        <f t="shared" si="22"/>
        <v>93</v>
      </c>
      <c r="BT31" s="22">
        <v>14</v>
      </c>
      <c r="BU31" s="22">
        <v>81</v>
      </c>
      <c r="BV31" t="str">
        <v>Saudi Arabia</v>
      </c>
      <c r="BW31">
        <v>35832.121212121208</v>
      </c>
      <c r="BX31" s="22">
        <v>11.222222222222221</v>
      </c>
      <c r="BY31" s="22">
        <v>11</v>
      </c>
      <c r="CB31" s="22">
        <f t="shared" ca="1" si="23"/>
        <v>1</v>
      </c>
      <c r="CC31" s="22">
        <f t="shared" ca="1" si="24"/>
        <v>3</v>
      </c>
      <c r="CD31" s="22">
        <f t="shared" ca="1" si="25"/>
        <v>18</v>
      </c>
      <c r="CE31" s="22">
        <f t="shared" ca="1" si="31"/>
        <v>1</v>
      </c>
      <c r="CG31" s="22" t="str">
        <f t="shared" ca="1" si="17"/>
        <v>Asia</v>
      </c>
      <c r="CH31" s="22" t="str">
        <f t="shared" ca="1" si="18"/>
        <v>Consultant</v>
      </c>
      <c r="CI31" s="22">
        <f t="shared" ca="1" si="26"/>
        <v>18</v>
      </c>
      <c r="CJ31" s="22">
        <f t="shared" ca="1" si="27"/>
        <v>1</v>
      </c>
      <c r="CL31" s="22" t="str">
        <f t="shared" ca="1" si="19"/>
        <v>in Asia</v>
      </c>
      <c r="CM31" s="22" t="str">
        <f t="shared" ca="1" si="20"/>
        <v>working as Consultant</v>
      </c>
      <c r="CN31" s="22">
        <f t="shared" ca="1" si="28"/>
        <v>18</v>
      </c>
      <c r="CO31" s="22" t="str">
        <f t="shared" ca="1" si="29"/>
        <v>0 hours a day</v>
      </c>
      <c r="CQ31" s="22">
        <f t="array" aca="1" ref="CQ31" ca="1">SUM((CodeHours&gt;=CJ31)*Salaries)/SUM((CodeHours&gt;=CJ31)*1)</f>
        <v>49814.598255586949</v>
      </c>
      <c r="CS31">
        <f t="shared" ca="1" si="21"/>
        <v>0.46610136103244582</v>
      </c>
      <c r="CT31" s="37">
        <f t="shared" ca="1" si="30"/>
        <v>8</v>
      </c>
      <c r="CU31" s="61" t="str">
        <f t="shared" ca="1" si="58"/>
        <v>49815 $</v>
      </c>
      <c r="CV31" s="22" t="str">
        <f ca="1">"Average salary of participants using Excel more then " &amp; CO31 &amp; "."</f>
        <v>Average salary of participants using Excel more then 0 hours a day.</v>
      </c>
    </row>
    <row r="32" spans="2:101" x14ac:dyDescent="0.25">
      <c r="B32" s="13" t="s">
        <v>67</v>
      </c>
      <c r="C32" s="22">
        <f t="array" ref="C32">SUM((Continent=C$8)*(JobType=$B32)*(YearsExp&gt;$D$4)*(YearsExp&lt;$E$4)*(CodeHours&gt;$D$5)*(CodeHours&lt;$E$5))</f>
        <v>6</v>
      </c>
      <c r="D32" s="22">
        <f t="array" ref="D32">SUM((Continent=D$8)*(JobType=$B32)*(YearsExp&gt;$D$4)*(YearsExp&lt;$E$4)*(CodeHours&gt;$D$5)*(CodeHours&lt;$E$5))</f>
        <v>6</v>
      </c>
      <c r="E32" s="22">
        <f t="array" ref="E32">SUM((Continent=E$8)*(JobType=$B32)*(YearsExp&gt;$D$4)*(YearsExp&lt;$E$4)*(CodeHours&gt;$D$5)*(CodeHours&lt;$E$5))</f>
        <v>1</v>
      </c>
      <c r="F32" s="22">
        <f t="array" ref="F32">SUM((Continent=F$8)*(JobType=$B32)*(YearsExp&gt;$D$4)*(YearsExp&lt;$E$4)*(CodeHours&gt;$D$5)*(CodeHours&lt;$E$5))</f>
        <v>12</v>
      </c>
      <c r="G32" s="22">
        <f t="array" ref="G32">SUM((Continent=G$8)*(JobType=$B32)*(YearsExp&gt;$D$4)*(YearsExp&lt;$E$4)*(CodeHours&gt;$D$5)*(CodeHours&lt;$E$5))</f>
        <v>0</v>
      </c>
      <c r="H32" s="22">
        <f t="array" ref="H32">SUM((Continent=H$8)*(JobType=$B32)*(YearsExp&gt;$D$4)*(YearsExp&lt;$E$4)*(CodeHours&gt;$D$5)*(CodeHours&lt;$E$5))</f>
        <v>2</v>
      </c>
      <c r="I32" s="13">
        <f t="shared" si="41"/>
        <v>27</v>
      </c>
      <c r="J32" s="18">
        <f t="shared" si="32"/>
        <v>12</v>
      </c>
      <c r="K32" s="18"/>
      <c r="AG32" s="9" t="s">
        <v>4183</v>
      </c>
      <c r="AH32" s="22"/>
      <c r="AI32" s="22"/>
      <c r="AJ32" s="22"/>
      <c r="AK32" s="22"/>
      <c r="AL32" s="22"/>
      <c r="AV32" s="22"/>
      <c r="BL32" s="37">
        <v>15</v>
      </c>
      <c r="BM32" s="22" t="s">
        <v>1671</v>
      </c>
      <c r="BN32" s="22">
        <f t="array" ref="BN32">SUM((Country=BM32)*Salaries)/SUM((Country=BM32)*1)</f>
        <v>9600</v>
      </c>
      <c r="BO32" s="22">
        <f t="array" ref="BO32">IFERROR(SUM((Country=BM32)*(YearsExp&lt;&gt;"")*YearsExp)/SUM((Country=BM32)*(YearsExp&lt;&gt;"")*1),0)</f>
        <v>2</v>
      </c>
      <c r="BP32" s="22">
        <f t="array" ref="BP32">SUM((Country=BM32)*1)</f>
        <v>1</v>
      </c>
      <c r="BR32" s="22">
        <f>CHOOSE($BN$3,104-BL32,BN32,BO32,BP32)+0.00001*ROWS($BM$18:BM32)</f>
        <v>1.0001500000000001</v>
      </c>
      <c r="BS32" s="22">
        <f t="shared" si="22"/>
        <v>92</v>
      </c>
      <c r="BT32" s="22">
        <v>15</v>
      </c>
      <c r="BU32" s="22">
        <v>74</v>
      </c>
      <c r="BV32" t="str">
        <v>Philippines</v>
      </c>
      <c r="BW32">
        <v>17479.292364753517</v>
      </c>
      <c r="BX32" s="22">
        <v>9</v>
      </c>
      <c r="BY32" s="22">
        <v>11</v>
      </c>
      <c r="CB32" s="22">
        <f t="shared" ca="1" si="23"/>
        <v>2</v>
      </c>
      <c r="CC32" s="22">
        <f t="shared" ca="1" si="24"/>
        <v>4</v>
      </c>
      <c r="CD32" s="22">
        <f t="shared" ca="1" si="25"/>
        <v>8</v>
      </c>
      <c r="CE32" s="22">
        <f t="shared" ca="1" si="31"/>
        <v>5</v>
      </c>
      <c r="CG32" s="22" t="str">
        <f t="shared" ca="1" si="17"/>
        <v>Europe</v>
      </c>
      <c r="CH32" s="22" t="str">
        <f t="shared" ca="1" si="18"/>
        <v>Controller</v>
      </c>
      <c r="CI32" s="22">
        <f t="shared" ca="1" si="26"/>
        <v>8</v>
      </c>
      <c r="CJ32" s="22">
        <f t="shared" ca="1" si="27"/>
        <v>5</v>
      </c>
      <c r="CL32" s="22" t="str">
        <f t="shared" ca="1" si="19"/>
        <v>in Europe</v>
      </c>
      <c r="CM32" s="22" t="str">
        <f t="shared" ca="1" si="20"/>
        <v>working as Controller</v>
      </c>
      <c r="CN32" s="22">
        <f t="shared" ca="1" si="28"/>
        <v>8</v>
      </c>
      <c r="CO32" s="22" t="str">
        <f t="shared" ca="1" si="29"/>
        <v>8 hours a day</v>
      </c>
      <c r="CQ32" s="22">
        <f t="array" aca="1" ref="CQ32" ca="1">SUM((CodeHours&lt;=CJ32)*Salaries)/SUM((CodeHours&lt;=CJ32)*1)</f>
        <v>49814.598255586949</v>
      </c>
      <c r="CS32" s="22">
        <f t="shared" ca="1" si="21"/>
        <v>0.14791547843258501</v>
      </c>
      <c r="CT32" s="37">
        <f ca="1">RANK(CS32,$CS$18:$CS$33)</f>
        <v>12</v>
      </c>
      <c r="CU32" s="61" t="str">
        <f t="shared" ca="1" si="58"/>
        <v>49815 $</v>
      </c>
      <c r="CV32" s="22" t="str">
        <f ca="1">"Average salary of participants using Excel less then " &amp; CO32 &amp; "."</f>
        <v>Average salary of participants using Excel less then 8 hours a day.</v>
      </c>
    </row>
    <row r="33" spans="2:100" x14ac:dyDescent="0.25">
      <c r="K33" s="18"/>
      <c r="AG33" s="22"/>
      <c r="AH33" s="22"/>
      <c r="AI33" s="22"/>
      <c r="AJ33" s="22"/>
      <c r="AK33" s="22"/>
      <c r="AL33" s="22"/>
      <c r="AV33" s="26"/>
      <c r="BL33" s="37">
        <v>16</v>
      </c>
      <c r="BM33" s="22" t="s">
        <v>143</v>
      </c>
      <c r="BN33" s="22">
        <f t="array" ref="BN33">SUM((Country=BM33)*Salaries)/SUM((Country=BM33)*1)</f>
        <v>42672.036574334947</v>
      </c>
      <c r="BO33" s="22">
        <f t="array" ref="BO33">IFERROR(SUM((Country=BM33)*(YearsExp&lt;&gt;"")*YearsExp)/SUM((Country=BM33)*(YearsExp&lt;&gt;"")*1),0)</f>
        <v>7.2727272727272725</v>
      </c>
      <c r="BP33" s="22">
        <f t="array" ref="BP33">SUM((Country=BM33)*1)</f>
        <v>20</v>
      </c>
      <c r="BR33" s="22">
        <f>CHOOSE($BN$3,104-BL33,BN33,BO33,BP33)+0.00001*ROWS($BM$18:BM33)</f>
        <v>20.000160000000001</v>
      </c>
      <c r="BS33" s="22">
        <f t="shared" si="22"/>
        <v>8</v>
      </c>
      <c r="BT33" s="22">
        <v>16</v>
      </c>
      <c r="BU33" s="22">
        <v>88</v>
      </c>
      <c r="BV33" t="str">
        <v>Spain</v>
      </c>
      <c r="BW33">
        <v>46235.660112252495</v>
      </c>
      <c r="BX33" s="22">
        <v>12.444444444444445</v>
      </c>
      <c r="BY33" s="22">
        <v>10</v>
      </c>
      <c r="CB33" s="22">
        <f t="shared" ca="1" si="23"/>
        <v>5</v>
      </c>
      <c r="CC33" s="22">
        <f t="shared" ca="1" si="24"/>
        <v>2</v>
      </c>
      <c r="CD33" s="22">
        <f t="shared" ca="1" si="25"/>
        <v>12</v>
      </c>
      <c r="CE33" s="22">
        <f t="shared" ca="1" si="31"/>
        <v>1</v>
      </c>
      <c r="CG33" s="22" t="str">
        <f t="shared" ca="1" si="17"/>
        <v>South Amer.</v>
      </c>
      <c r="CH33" s="22" t="str">
        <f t="shared" ca="1" si="18"/>
        <v>Analyst</v>
      </c>
      <c r="CI33" s="22">
        <f t="shared" ca="1" si="26"/>
        <v>12</v>
      </c>
      <c r="CJ33" s="22">
        <f t="shared" ca="1" si="27"/>
        <v>1</v>
      </c>
      <c r="CL33" s="22" t="str">
        <f t="shared" ca="1" si="19"/>
        <v>in South America</v>
      </c>
      <c r="CM33" s="22" t="str">
        <f t="shared" ca="1" si="20"/>
        <v>working as Analyst</v>
      </c>
      <c r="CN33" s="22">
        <f t="shared" ca="1" si="28"/>
        <v>12</v>
      </c>
      <c r="CO33" s="22" t="str">
        <f t="shared" ca="1" si="29"/>
        <v>0 hours a day</v>
      </c>
      <c r="CQ33" s="22">
        <f t="array" aca="1" ref="CQ33" ca="1">SUM((CodeHours=CJ33)*1)/SUM((CodeHours&lt;=99)*1)</f>
        <v>3.7174721189591076E-3</v>
      </c>
      <c r="CS33" s="22">
        <f t="shared" ca="1" si="21"/>
        <v>0.38805588372324873</v>
      </c>
      <c r="CT33" s="37">
        <f ca="1">RANK(CS33,$CS$18:$CS$33)</f>
        <v>10</v>
      </c>
      <c r="CU33" s="61" t="str">
        <f ca="1">TEXT(CQ33,"0.0%")</f>
        <v>0.4%</v>
      </c>
      <c r="CV33" t="str">
        <f t="array" aca="1" ref="CV33" ca="1">"Participants are using Excel " &amp;CO33 &amp; "."</f>
        <v>Participants are using Excel 0 hours a day.</v>
      </c>
    </row>
    <row r="34" spans="2:100" x14ac:dyDescent="0.25">
      <c r="K34" s="18"/>
      <c r="AG34" s="22">
        <f t="array" aca="1" ref="AG34:AL41" ca="1">Graph2_Data</f>
        <v>0</v>
      </c>
      <c r="AH34" s="22" t="str">
        <f ca="1"/>
        <v>0 hrs</v>
      </c>
      <c r="AI34" s="22" t="str">
        <f ca="1"/>
        <v>1 - 2 hrs</v>
      </c>
      <c r="AJ34" s="22" t="str">
        <f ca="1"/>
        <v>2 - 3  hrs</v>
      </c>
      <c r="AK34" s="22" t="str">
        <f ca="1"/>
        <v>4 - 6 hrs</v>
      </c>
      <c r="AL34" s="22" t="str">
        <f ca="1"/>
        <v>8+ hrs</v>
      </c>
      <c r="AV34" s="26"/>
      <c r="BL34" s="37">
        <v>17</v>
      </c>
      <c r="BM34" s="22" t="s">
        <v>1707</v>
      </c>
      <c r="BN34" s="22">
        <f t="array" ref="BN34">SUM((Country=BM34)*Salaries)/SUM((Country=BM34)*1)</f>
        <v>14400</v>
      </c>
      <c r="BO34" s="22">
        <f t="array" ref="BO34">IFERROR(SUM((Country=BM34)*(YearsExp&lt;&gt;"")*YearsExp)/SUM((Country=BM34)*(YearsExp&lt;&gt;"")*1),0)</f>
        <v>15</v>
      </c>
      <c r="BP34" s="22">
        <f t="array" ref="BP34">SUM((Country=BM34)*1)</f>
        <v>1</v>
      </c>
      <c r="BR34" s="22">
        <f>CHOOSE($BN$3,104-BL34,BN34,BO34,BP34)+0.00001*ROWS($BM$18:BM34)</f>
        <v>1.00017</v>
      </c>
      <c r="BS34" s="22">
        <f t="shared" si="22"/>
        <v>91</v>
      </c>
      <c r="BT34" s="22">
        <v>17</v>
      </c>
      <c r="BU34" s="22">
        <v>76</v>
      </c>
      <c r="BV34" t="str">
        <v>Portugal</v>
      </c>
      <c r="BW34">
        <v>32907.763410971675</v>
      </c>
      <c r="BX34" s="22">
        <v>9.5714285714285712</v>
      </c>
      <c r="BY34" s="22">
        <v>10</v>
      </c>
    </row>
    <row r="35" spans="2:100" x14ac:dyDescent="0.25">
      <c r="B35" s="9" t="s">
        <v>4447</v>
      </c>
      <c r="K35" s="18"/>
      <c r="AG35" t="str">
        <f ca="1"/>
        <v>Asia</v>
      </c>
      <c r="AH35" s="49" t="e">
        <f ca="1"/>
        <v>#N/A</v>
      </c>
      <c r="AI35" s="49">
        <f ca="1"/>
        <v>0.10555555555555556</v>
      </c>
      <c r="AJ35" s="49">
        <f ca="1"/>
        <v>0.2361111111111111</v>
      </c>
      <c r="AK35" s="49">
        <f ca="1"/>
        <v>0.37222222222222223</v>
      </c>
      <c r="AL35" s="49">
        <f ca="1"/>
        <v>0.28333333333333333</v>
      </c>
      <c r="AV35" s="26"/>
      <c r="BL35" s="37">
        <v>18</v>
      </c>
      <c r="BM35" s="22" t="s">
        <v>799</v>
      </c>
      <c r="BN35" s="22">
        <f t="array" ref="BN35">SUM((Country=BM35)*Salaries)/SUM((Country=BM35)*1)</f>
        <v>3000</v>
      </c>
      <c r="BO35" s="22">
        <f t="array" ref="BO35">IFERROR(SUM((Country=BM35)*(YearsExp&lt;&gt;"")*YearsExp)/SUM((Country=BM35)*(YearsExp&lt;&gt;"")*1),0)</f>
        <v>2</v>
      </c>
      <c r="BP35" s="22">
        <f t="array" ref="BP35">SUM((Country=BM35)*1)</f>
        <v>1</v>
      </c>
      <c r="BR35" s="22">
        <f>CHOOSE($BN$3,104-BL35,BN35,BO35,BP35)+0.00001*ROWS($BM$18:BM35)</f>
        <v>1.0001800000000001</v>
      </c>
      <c r="BS35" s="22">
        <f t="shared" si="22"/>
        <v>90</v>
      </c>
      <c r="BT35" s="22">
        <v>18</v>
      </c>
      <c r="BU35" s="22">
        <v>59</v>
      </c>
      <c r="BV35" t="str">
        <v>Mexico</v>
      </c>
      <c r="BW35">
        <v>32138.498288519273</v>
      </c>
      <c r="BX35" s="22">
        <v>7.4</v>
      </c>
      <c r="BY35" s="22">
        <v>10</v>
      </c>
    </row>
    <row r="36" spans="2:100" x14ac:dyDescent="0.25">
      <c r="B36" s="13"/>
      <c r="C36" s="13" t="s">
        <v>1126</v>
      </c>
      <c r="D36" s="13" t="s">
        <v>983</v>
      </c>
      <c r="E36" s="13" t="s">
        <v>4009</v>
      </c>
      <c r="F36" s="22" t="s">
        <v>4165</v>
      </c>
      <c r="G36" s="22" t="s">
        <v>4166</v>
      </c>
      <c r="H36" s="13" t="s">
        <v>4100</v>
      </c>
      <c r="I36" s="13" t="s">
        <v>4120</v>
      </c>
      <c r="J36" s="19" t="s">
        <v>4160</v>
      </c>
      <c r="K36" s="18"/>
      <c r="AG36" t="str">
        <f ca="1"/>
        <v>Europe</v>
      </c>
      <c r="AH36" s="49" t="e">
        <f ca="1"/>
        <v>#N/A</v>
      </c>
      <c r="AI36" s="49">
        <f ca="1"/>
        <v>9.8684210526315791E-2</v>
      </c>
      <c r="AJ36" s="49">
        <f ca="1"/>
        <v>0.25</v>
      </c>
      <c r="AK36" s="49">
        <f ca="1"/>
        <v>0.40789473684210525</v>
      </c>
      <c r="AL36" s="49">
        <f ca="1"/>
        <v>0.24013157894736842</v>
      </c>
      <c r="AV36" s="22"/>
      <c r="BL36" s="37">
        <v>19</v>
      </c>
      <c r="BM36" s="22" t="s">
        <v>88</v>
      </c>
      <c r="BN36" s="22">
        <f t="array" ref="BN36">SUM((Country=BM36)*Salaries)/SUM((Country=BM36)*1)</f>
        <v>89799.526836779929</v>
      </c>
      <c r="BO36" s="22">
        <f t="array" ref="BO36">IFERROR(SUM((Country=BM36)*(YearsExp&lt;&gt;"")*YearsExp)/SUM((Country=BM36)*(YearsExp&lt;&gt;"")*1),0)</f>
        <v>8.75</v>
      </c>
      <c r="BP36" s="22">
        <f t="array" ref="BP36">SUM((Country=BM36)*1)</f>
        <v>58</v>
      </c>
      <c r="BR36" s="22">
        <f>CHOOSE($BN$3,104-BL36,BN36,BO36,BP36)+0.00001*ROWS($BM$18:BM36)</f>
        <v>58.000190000000003</v>
      </c>
      <c r="BS36" s="22">
        <f t="shared" si="22"/>
        <v>5</v>
      </c>
      <c r="BT36" s="22">
        <v>19</v>
      </c>
      <c r="BU36" s="22">
        <v>80</v>
      </c>
      <c r="BV36" t="str">
        <v>Russia</v>
      </c>
      <c r="BW36">
        <v>55905.222222222219</v>
      </c>
      <c r="BX36" s="22">
        <v>12.25</v>
      </c>
      <c r="BY36" s="22">
        <v>9</v>
      </c>
      <c r="CB36" s="22"/>
      <c r="CC36" s="22"/>
      <c r="CD36" s="22"/>
    </row>
    <row r="37" spans="2:100" x14ac:dyDescent="0.25">
      <c r="B37" s="13" t="s">
        <v>310</v>
      </c>
      <c r="C37" s="18">
        <f>IFERROR(C9/C23,NA())</f>
        <v>14392.451535399538</v>
      </c>
      <c r="D37" s="18">
        <f t="shared" ref="D37:I37" si="61">IFERROR(D9/D23,NA())</f>
        <v>50506.719948955084</v>
      </c>
      <c r="E37" s="18">
        <f t="shared" si="61"/>
        <v>55503.064577089928</v>
      </c>
      <c r="F37" s="18">
        <f t="shared" si="61"/>
        <v>67720.935170252662</v>
      </c>
      <c r="G37" s="18" t="e">
        <f t="shared" si="61"/>
        <v>#N/A</v>
      </c>
      <c r="H37" s="18">
        <f t="shared" si="61"/>
        <v>84029.743977452657</v>
      </c>
      <c r="I37" s="18">
        <f t="shared" si="61"/>
        <v>42098.821874814981</v>
      </c>
      <c r="J37" s="18">
        <f>IFERROR(J9/J23,NA())</f>
        <v>67720.935170252662</v>
      </c>
      <c r="K37" s="18"/>
      <c r="AG37" t="str">
        <f ca="1"/>
        <v>Africa</v>
      </c>
      <c r="AH37" s="49" t="e">
        <f ca="1"/>
        <v>#N/A</v>
      </c>
      <c r="AI37" s="49" t="e">
        <f ca="1"/>
        <v>#N/A</v>
      </c>
      <c r="AJ37" s="49">
        <f ca="1"/>
        <v>0.10810810810810811</v>
      </c>
      <c r="AK37" s="49">
        <f ca="1"/>
        <v>0.51351351351351349</v>
      </c>
      <c r="AL37" s="49">
        <f ca="1"/>
        <v>0.3783783783783784</v>
      </c>
      <c r="AV37" s="22"/>
      <c r="BL37" s="37">
        <v>20</v>
      </c>
      <c r="BM37" s="22" t="s">
        <v>1497</v>
      </c>
      <c r="BN37" s="22">
        <f t="array" ref="BN37">SUM((Country=BM37)*Salaries)/SUM((Country=BM37)*1)</f>
        <v>87167.974754622352</v>
      </c>
      <c r="BO37" s="22">
        <f t="array" ref="BO37">IFERROR(SUM((Country=BM37)*(YearsExp&lt;&gt;"")*YearsExp)/SUM((Country=BM37)*(YearsExp&lt;&gt;"")*1),0)</f>
        <v>20</v>
      </c>
      <c r="BP37" s="22">
        <f t="array" ref="BP37">SUM((Country=BM37)*1)</f>
        <v>2</v>
      </c>
      <c r="BR37" s="22">
        <f>CHOOSE($BN$3,104-BL37,BN37,BO37,BP37)+0.00001*ROWS($BM$18:BM37)</f>
        <v>2.0002</v>
      </c>
      <c r="BS37" s="22">
        <f t="shared" si="22"/>
        <v>56</v>
      </c>
      <c r="BT37" s="22">
        <v>20</v>
      </c>
      <c r="BU37" s="22">
        <v>57</v>
      </c>
      <c r="BV37" t="str">
        <v>Malaysia</v>
      </c>
      <c r="BW37">
        <v>23371.616569936894</v>
      </c>
      <c r="BX37" s="22">
        <v>6.75</v>
      </c>
      <c r="BY37" s="22">
        <v>8</v>
      </c>
    </row>
    <row r="38" spans="2:100" x14ac:dyDescent="0.25">
      <c r="B38" s="13" t="s">
        <v>20</v>
      </c>
      <c r="C38" s="18">
        <f t="shared" ref="C38:J38" si="62">IFERROR(C10/C24,NA())</f>
        <v>13977.418231008794</v>
      </c>
      <c r="D38" s="18">
        <f t="shared" si="62"/>
        <v>52733.262075560786</v>
      </c>
      <c r="E38" s="18">
        <f t="shared" si="62"/>
        <v>40657.290308307995</v>
      </c>
      <c r="F38" s="18">
        <f t="shared" si="62"/>
        <v>62809.294224788289</v>
      </c>
      <c r="G38" s="18">
        <f t="shared" si="62"/>
        <v>30893.71237284617</v>
      </c>
      <c r="H38" s="18">
        <f t="shared" si="62"/>
        <v>82572.838951935963</v>
      </c>
      <c r="I38" s="18">
        <f t="shared" si="62"/>
        <v>43585.324189420622</v>
      </c>
      <c r="J38" s="18">
        <f t="shared" si="62"/>
        <v>62809.294224788289</v>
      </c>
      <c r="K38" s="18"/>
      <c r="AG38" t="str">
        <f ca="1"/>
        <v>North Amer.</v>
      </c>
      <c r="AH38" s="49" t="e">
        <f ca="1"/>
        <v>#N/A</v>
      </c>
      <c r="AI38" s="49">
        <f ca="1"/>
        <v>7.2463768115942032E-2</v>
      </c>
      <c r="AJ38" s="49">
        <f ca="1"/>
        <v>0.24492753623188407</v>
      </c>
      <c r="AK38" s="49">
        <f ca="1"/>
        <v>0.45217391304347826</v>
      </c>
      <c r="AL38" s="49">
        <f ca="1"/>
        <v>0.22463768115942029</v>
      </c>
      <c r="AV38" s="26"/>
      <c r="BL38" s="37">
        <v>21</v>
      </c>
      <c r="BM38" s="22" t="s">
        <v>639</v>
      </c>
      <c r="BN38" s="22">
        <f t="array" ref="BN38">SUM((Country=BM38)*Salaries)/SUM((Country=BM38)*1)</f>
        <v>95000</v>
      </c>
      <c r="BO38" s="22">
        <f t="array" ref="BO38">IFERROR(SUM((Country=BM38)*(YearsExp&lt;&gt;"")*YearsExp)/SUM((Country=BM38)*(YearsExp&lt;&gt;"")*1),0)</f>
        <v>0</v>
      </c>
      <c r="BP38" s="22">
        <f t="array" ref="BP38">SUM((Country=BM38)*1)</f>
        <v>1</v>
      </c>
      <c r="BR38" s="22">
        <f>CHOOSE($BN$3,104-BL38,BN38,BO38,BP38)+0.00001*ROWS($BM$18:BM38)</f>
        <v>1.00021</v>
      </c>
      <c r="BS38" s="22">
        <f t="shared" si="22"/>
        <v>89</v>
      </c>
      <c r="BT38" s="22">
        <v>21</v>
      </c>
      <c r="BU38" s="22">
        <v>44</v>
      </c>
      <c r="BV38" t="str">
        <v>Indonesia</v>
      </c>
      <c r="BW38">
        <v>28872.83679733074</v>
      </c>
      <c r="BX38" s="22">
        <v>7.875</v>
      </c>
      <c r="BY38" s="22">
        <v>8</v>
      </c>
    </row>
    <row r="39" spans="2:100" x14ac:dyDescent="0.25">
      <c r="B39" s="13" t="s">
        <v>356</v>
      </c>
      <c r="C39" s="18">
        <f t="shared" ref="C39:J39" si="63">IFERROR(C11/C25,NA())</f>
        <v>24396.169215462131</v>
      </c>
      <c r="D39" s="18">
        <f t="shared" si="63"/>
        <v>65789.820900618361</v>
      </c>
      <c r="E39" s="18">
        <f t="shared" si="63"/>
        <v>82000</v>
      </c>
      <c r="F39" s="18">
        <f t="shared" si="63"/>
        <v>104007.58280996646</v>
      </c>
      <c r="G39" s="18">
        <f t="shared" si="63"/>
        <v>5000</v>
      </c>
      <c r="H39" s="18">
        <f t="shared" si="63"/>
        <v>103388.89577732631</v>
      </c>
      <c r="I39" s="18">
        <f t="shared" si="63"/>
        <v>61791.505856009135</v>
      </c>
      <c r="J39" s="18">
        <f t="shared" si="63"/>
        <v>104007.58280996646</v>
      </c>
      <c r="K39" s="18"/>
      <c r="AG39" t="str">
        <f ca="1"/>
        <v>South Amer.</v>
      </c>
      <c r="AH39" s="49" t="e">
        <f ca="1"/>
        <v>#N/A</v>
      </c>
      <c r="AI39" s="49">
        <f ca="1"/>
        <v>0.22857142857142856</v>
      </c>
      <c r="AJ39" s="49">
        <f ca="1"/>
        <v>8.5714285714285715E-2</v>
      </c>
      <c r="AK39" s="49">
        <f ca="1"/>
        <v>0.22857142857142856</v>
      </c>
      <c r="AL39" s="49">
        <f ca="1"/>
        <v>0.45714285714285713</v>
      </c>
      <c r="AV39" s="26"/>
      <c r="BL39" s="37">
        <v>22</v>
      </c>
      <c r="BM39" s="22" t="s">
        <v>1123</v>
      </c>
      <c r="BN39" s="22">
        <f t="array" ref="BN39">SUM((Country=BM39)*Salaries)/SUM((Country=BM39)*1)</f>
        <v>17046.090103460039</v>
      </c>
      <c r="BO39" s="22">
        <f t="array" ref="BO39">IFERROR(SUM((Country=BM39)*(YearsExp&lt;&gt;"")*YearsExp)/SUM((Country=BM39)*(YearsExp&lt;&gt;"")*1),0)</f>
        <v>8</v>
      </c>
      <c r="BP39" s="22">
        <f t="array" ref="BP39">SUM((Country=BM39)*1)</f>
        <v>2</v>
      </c>
      <c r="BR39" s="22">
        <f>CHOOSE($BN$3,104-BL39,BN39,BO39,BP39)+0.00001*ROWS($BM$18:BM39)</f>
        <v>2.0002200000000001</v>
      </c>
      <c r="BS39" s="22">
        <f t="shared" si="22"/>
        <v>55</v>
      </c>
      <c r="BT39" s="22">
        <v>22</v>
      </c>
      <c r="BU39" s="22">
        <v>68</v>
      </c>
      <c r="BV39" t="str">
        <v>Norway</v>
      </c>
      <c r="BW39">
        <v>99016.174371435307</v>
      </c>
      <c r="BX39" s="22">
        <v>8.6</v>
      </c>
      <c r="BY39" s="22">
        <v>7</v>
      </c>
    </row>
    <row r="40" spans="2:100" x14ac:dyDescent="0.25">
      <c r="B40" s="13" t="s">
        <v>488</v>
      </c>
      <c r="C40" s="18">
        <f t="shared" ref="C40:J40" si="64">IFERROR(C12/C26,NA())</f>
        <v>18242.482670522677</v>
      </c>
      <c r="D40" s="18">
        <f t="shared" si="64"/>
        <v>83583.584042063085</v>
      </c>
      <c r="E40" s="18">
        <f t="shared" si="64"/>
        <v>11627.801648330511</v>
      </c>
      <c r="F40" s="18">
        <f t="shared" si="64"/>
        <v>88308.928571428565</v>
      </c>
      <c r="G40" s="18">
        <f t="shared" si="64"/>
        <v>11400</v>
      </c>
      <c r="H40" s="18">
        <f t="shared" si="64"/>
        <v>82952.652054081045</v>
      </c>
      <c r="I40" s="18">
        <f t="shared" si="64"/>
        <v>61690.252660289865</v>
      </c>
      <c r="J40" s="18">
        <f t="shared" si="64"/>
        <v>88308.928571428565</v>
      </c>
      <c r="K40" s="18"/>
      <c r="AG40" t="str">
        <f ca="1"/>
        <v>Oceania</v>
      </c>
      <c r="AH40" s="49" t="e">
        <f ca="1"/>
        <v>#N/A</v>
      </c>
      <c r="AI40" s="49">
        <f ca="1"/>
        <v>0.10416666666666667</v>
      </c>
      <c r="AJ40" s="49">
        <f ca="1"/>
        <v>0.30208333333333331</v>
      </c>
      <c r="AK40" s="49">
        <f ca="1"/>
        <v>0.44791666666666669</v>
      </c>
      <c r="AL40" s="49">
        <f ca="1"/>
        <v>0.14583333333333334</v>
      </c>
      <c r="AV40" s="26"/>
      <c r="BL40" s="37">
        <v>23</v>
      </c>
      <c r="BM40" s="22" t="s">
        <v>184</v>
      </c>
      <c r="BN40" s="22">
        <f t="array" ref="BN40">SUM((Country=BM40)*Salaries)/SUM((Country=BM40)*1)</f>
        <v>12362</v>
      </c>
      <c r="BO40" s="22">
        <f t="array" ref="BO40">IFERROR(SUM((Country=BM40)*(YearsExp&lt;&gt;"")*YearsExp)/SUM((Country=BM40)*(YearsExp&lt;&gt;"")*1),0)</f>
        <v>9.3333333333333339</v>
      </c>
      <c r="BP40" s="22">
        <f t="array" ref="BP40">SUM((Country=BM40)*1)</f>
        <v>5</v>
      </c>
      <c r="BR40" s="22">
        <f>CHOOSE($BN$3,104-BL40,BN40,BO40,BP40)+0.00001*ROWS($BM$18:BM40)</f>
        <v>5.0002300000000002</v>
      </c>
      <c r="BS40" s="22">
        <f t="shared" si="22"/>
        <v>33</v>
      </c>
      <c r="BT40" s="22">
        <v>23</v>
      </c>
      <c r="BU40" s="22">
        <v>79</v>
      </c>
      <c r="BV40" t="str">
        <v>Romania</v>
      </c>
      <c r="BW40">
        <v>16449.976756585475</v>
      </c>
      <c r="BX40" s="22">
        <v>5.5</v>
      </c>
      <c r="BY40" s="22">
        <v>6</v>
      </c>
      <c r="CB40" s="11" t="s">
        <v>1788</v>
      </c>
      <c r="CC40" s="11" t="s">
        <v>4131</v>
      </c>
      <c r="CD40" s="11" t="s">
        <v>4404</v>
      </c>
    </row>
    <row r="41" spans="2:100" x14ac:dyDescent="0.25">
      <c r="B41" s="13" t="s">
        <v>4001</v>
      </c>
      <c r="C41" s="18">
        <f t="shared" ref="C41:J41" si="65">IFERROR(C13/C27,NA())</f>
        <v>37177.125018698316</v>
      </c>
      <c r="D41" s="18">
        <f t="shared" si="65"/>
        <v>76220.311125453969</v>
      </c>
      <c r="E41" s="18">
        <f t="shared" si="65"/>
        <v>69815.306791774667</v>
      </c>
      <c r="F41" s="18">
        <f t="shared" si="65"/>
        <v>131719.82510468329</v>
      </c>
      <c r="G41" s="18" t="e">
        <f t="shared" si="65"/>
        <v>#N/A</v>
      </c>
      <c r="H41" s="18">
        <f t="shared" si="65"/>
        <v>99441.191499256995</v>
      </c>
      <c r="I41" s="18">
        <f t="shared" si="65"/>
        <v>92945.903175288535</v>
      </c>
      <c r="J41" s="18">
        <f t="shared" si="65"/>
        <v>131719.82510468329</v>
      </c>
      <c r="K41" s="18"/>
      <c r="AG41" s="22" t="str">
        <f ca="1"/>
        <v>Worldwide</v>
      </c>
      <c r="AH41" s="49" t="e">
        <f ca="1"/>
        <v>#N/A</v>
      </c>
      <c r="AI41" s="49">
        <f ca="1"/>
        <v>9.24548352816153E-2</v>
      </c>
      <c r="AJ41" s="49">
        <f ca="1"/>
        <v>0.23963868225292242</v>
      </c>
      <c r="AK41" s="49">
        <f ca="1"/>
        <v>0.4112646121147715</v>
      </c>
      <c r="AL41" s="49">
        <f ca="1"/>
        <v>0.25292242295430395</v>
      </c>
      <c r="AV41" s="22"/>
      <c r="BL41" s="37">
        <v>24</v>
      </c>
      <c r="BM41" s="22" t="s">
        <v>499</v>
      </c>
      <c r="BN41" s="22">
        <f t="array" ref="BN41">SUM((Country=BM41)*Salaries)/SUM((Country=BM41)*1)</f>
        <v>28109.627547434993</v>
      </c>
      <c r="BO41" s="22">
        <f t="array" ref="BO41">IFERROR(SUM((Country=BM41)*(YearsExp&lt;&gt;"")*YearsExp)/SUM((Country=BM41)*(YearsExp&lt;&gt;"")*1),0)</f>
        <v>0</v>
      </c>
      <c r="BP41" s="22">
        <f t="array" ref="BP41">SUM((Country=BM41)*1)</f>
        <v>1</v>
      </c>
      <c r="BR41" s="22">
        <f>CHOOSE($BN$3,104-BL41,BN41,BO41,BP41)+0.00001*ROWS($BM$18:BM41)</f>
        <v>1.00024</v>
      </c>
      <c r="BS41" s="22">
        <f t="shared" si="22"/>
        <v>88</v>
      </c>
      <c r="BT41" s="22">
        <v>24</v>
      </c>
      <c r="BU41" s="22">
        <v>75</v>
      </c>
      <c r="BV41" t="str">
        <v>Poland</v>
      </c>
      <c r="BW41">
        <v>34210.345381590014</v>
      </c>
      <c r="BX41" s="22">
        <v>7.5</v>
      </c>
      <c r="BY41" s="22">
        <v>6</v>
      </c>
      <c r="CB41">
        <v>1</v>
      </c>
      <c r="CC41" s="22" t="s">
        <v>310</v>
      </c>
      <c r="CD41" s="22" t="s">
        <v>4412</v>
      </c>
    </row>
    <row r="42" spans="2:100" x14ac:dyDescent="0.25">
      <c r="B42" s="13" t="s">
        <v>279</v>
      </c>
      <c r="C42" s="18">
        <f t="shared" ref="C42:J42" si="66">IFERROR(C14/C28,NA())</f>
        <v>18407.133667929436</v>
      </c>
      <c r="D42" s="18">
        <f t="shared" si="66"/>
        <v>84276.021011343153</v>
      </c>
      <c r="E42" s="18">
        <f t="shared" si="66"/>
        <v>9376.2513877177607</v>
      </c>
      <c r="F42" s="18">
        <f t="shared" si="66"/>
        <v>65330</v>
      </c>
      <c r="G42" s="18">
        <f t="shared" si="66"/>
        <v>80000</v>
      </c>
      <c r="H42" s="18">
        <f t="shared" si="66"/>
        <v>122423.46812849767</v>
      </c>
      <c r="I42" s="18">
        <f t="shared" si="66"/>
        <v>48093.592487638009</v>
      </c>
      <c r="J42" s="18">
        <f t="shared" si="66"/>
        <v>65330</v>
      </c>
      <c r="K42" s="18"/>
      <c r="AL42" s="22"/>
      <c r="AV42" s="22"/>
      <c r="BL42" s="37">
        <v>25</v>
      </c>
      <c r="BM42" s="22" t="s">
        <v>935</v>
      </c>
      <c r="BN42" s="22">
        <f t="array" ref="BN42">SUM((Country=BM42)*Salaries)/SUM((Country=BM42)*1)</f>
        <v>43489.586535798582</v>
      </c>
      <c r="BO42" s="22">
        <f t="array" ref="BO42">IFERROR(SUM((Country=BM42)*(YearsExp&lt;&gt;"")*YearsExp)/SUM((Country=BM42)*(YearsExp&lt;&gt;"")*1),0)</f>
        <v>4</v>
      </c>
      <c r="BP42" s="22">
        <f t="array" ref="BP42">SUM((Country=BM42)*1)</f>
        <v>3</v>
      </c>
      <c r="BR42" s="22">
        <f>CHOOSE($BN$3,104-BL42,BN42,BO42,BP42)+0.00001*ROWS($BM$18:BM42)</f>
        <v>3.0002499999999999</v>
      </c>
      <c r="BS42" s="22">
        <f t="shared" si="22"/>
        <v>46</v>
      </c>
      <c r="BT42" s="22">
        <v>25</v>
      </c>
      <c r="BU42" s="22">
        <v>48</v>
      </c>
      <c r="BV42" t="str">
        <v>Italy</v>
      </c>
      <c r="BW42">
        <v>47258.859130487806</v>
      </c>
      <c r="BX42" s="22">
        <v>11.666666666666666</v>
      </c>
      <c r="BY42" s="22">
        <v>6</v>
      </c>
      <c r="CB42">
        <v>2</v>
      </c>
      <c r="CC42" s="22" t="s">
        <v>20</v>
      </c>
      <c r="CD42" s="22" t="s">
        <v>4413</v>
      </c>
    </row>
    <row r="43" spans="2:100" x14ac:dyDescent="0.25">
      <c r="B43" s="13" t="s">
        <v>52</v>
      </c>
      <c r="C43" s="18">
        <f t="shared" ref="C43:J43" si="67">IFERROR(C15/C29,NA())</f>
        <v>18438.181844395313</v>
      </c>
      <c r="D43" s="18">
        <f t="shared" si="67"/>
        <v>65851.58166195637</v>
      </c>
      <c r="E43" s="18">
        <f t="shared" si="67"/>
        <v>25582.967726743649</v>
      </c>
      <c r="F43" s="18">
        <f t="shared" si="67"/>
        <v>77974.70875079371</v>
      </c>
      <c r="G43" s="18">
        <f t="shared" si="67"/>
        <v>19218.236602508969</v>
      </c>
      <c r="H43" s="18">
        <f t="shared" si="67"/>
        <v>95909.24446409446</v>
      </c>
      <c r="I43" s="18">
        <f t="shared" si="67"/>
        <v>42337.297849450224</v>
      </c>
      <c r="J43" s="18">
        <f t="shared" si="67"/>
        <v>77974.70875079371</v>
      </c>
      <c r="K43" s="18"/>
      <c r="AL43" s="22"/>
      <c r="AV43" s="26"/>
      <c r="BL43" s="37">
        <v>26</v>
      </c>
      <c r="BM43" s="22" t="s">
        <v>1052</v>
      </c>
      <c r="BN43" s="22">
        <f t="array" ref="BN43">SUM((Country=BM43)*Salaries)/SUM((Country=BM43)*1)</f>
        <v>36000</v>
      </c>
      <c r="BO43" s="22">
        <f t="array" ref="BO43">IFERROR(SUM((Country=BM43)*(YearsExp&lt;&gt;"")*YearsExp)/SUM((Country=BM43)*(YearsExp&lt;&gt;"")*1),0)</f>
        <v>9</v>
      </c>
      <c r="BP43" s="22">
        <f t="array" ref="BP43">SUM((Country=BM43)*1)</f>
        <v>1</v>
      </c>
      <c r="BR43" s="22">
        <f>CHOOSE($BN$3,104-BL43,BN43,BO43,BP43)+0.00001*ROWS($BM$18:BM43)</f>
        <v>1.0002599999999999</v>
      </c>
      <c r="BS43" s="22">
        <f t="shared" si="22"/>
        <v>87</v>
      </c>
      <c r="BT43" s="22">
        <v>26</v>
      </c>
      <c r="BU43" s="22">
        <v>35</v>
      </c>
      <c r="BV43" t="str">
        <v>France</v>
      </c>
      <c r="BW43">
        <v>56952.725049143286</v>
      </c>
      <c r="BX43" s="22">
        <v>5.25</v>
      </c>
      <c r="BY43" s="22">
        <v>6</v>
      </c>
      <c r="CB43">
        <v>3</v>
      </c>
      <c r="CC43" s="22" t="s">
        <v>356</v>
      </c>
      <c r="CD43" s="22" t="s">
        <v>4414</v>
      </c>
    </row>
    <row r="44" spans="2:100" x14ac:dyDescent="0.25">
      <c r="B44" s="13" t="s">
        <v>4000</v>
      </c>
      <c r="C44" s="18">
        <f t="shared" ref="C44:J44" si="68">IFERROR(C16/C30,NA())</f>
        <v>17551.33488143489</v>
      </c>
      <c r="D44" s="18" t="e">
        <f t="shared" si="68"/>
        <v>#N/A</v>
      </c>
      <c r="E44" s="18" t="e">
        <f t="shared" si="68"/>
        <v>#N/A</v>
      </c>
      <c r="F44" s="18">
        <f t="shared" si="68"/>
        <v>80730.5</v>
      </c>
      <c r="G44" s="18" t="e">
        <f t="shared" si="68"/>
        <v>#N/A</v>
      </c>
      <c r="H44" s="18" t="e">
        <f t="shared" si="68"/>
        <v>#N/A</v>
      </c>
      <c r="I44" s="18">
        <f t="shared" si="68"/>
        <v>38611.056587623258</v>
      </c>
      <c r="J44" s="18">
        <f t="shared" si="68"/>
        <v>80730.5</v>
      </c>
      <c r="K44" s="18"/>
      <c r="L44" s="9" t="s">
        <v>4135</v>
      </c>
      <c r="N44" s="9" t="s">
        <v>4183</v>
      </c>
      <c r="AL44" s="22"/>
      <c r="AV44" s="26"/>
      <c r="BL44" s="37">
        <v>27</v>
      </c>
      <c r="BM44" s="22" t="s">
        <v>877</v>
      </c>
      <c r="BN44" s="22">
        <f t="array" ref="BN44">SUM((Country=BM44)*Salaries)/SUM((Country=BM44)*1)</f>
        <v>82525.525402351297</v>
      </c>
      <c r="BO44" s="22">
        <f t="array" ref="BO44">IFERROR(SUM((Country=BM44)*(YearsExp&lt;&gt;"")*YearsExp)/SUM((Country=BM44)*(YearsExp&lt;&gt;"")*1),0)</f>
        <v>17</v>
      </c>
      <c r="BP44" s="22">
        <f t="array" ref="BP44">SUM((Country=BM44)*1)</f>
        <v>6</v>
      </c>
      <c r="BR44" s="22">
        <f>CHOOSE($BN$3,104-BL44,BN44,BO44,BP44)+0.00001*ROWS($BM$18:BM44)</f>
        <v>6.0002700000000004</v>
      </c>
      <c r="BS44" s="22">
        <f t="shared" si="22"/>
        <v>27</v>
      </c>
      <c r="BT44" s="22">
        <v>27</v>
      </c>
      <c r="BU44" s="22">
        <v>27</v>
      </c>
      <c r="BV44" t="str">
        <v>Denmark</v>
      </c>
      <c r="BW44">
        <v>82525.525402351297</v>
      </c>
      <c r="BX44" s="22">
        <v>17</v>
      </c>
      <c r="BY44" s="22">
        <v>6</v>
      </c>
      <c r="CB44">
        <v>4</v>
      </c>
      <c r="CC44" s="22" t="s">
        <v>488</v>
      </c>
      <c r="CD44" s="22" t="s">
        <v>4415</v>
      </c>
    </row>
    <row r="45" spans="2:100" x14ac:dyDescent="0.25">
      <c r="B45" s="13" t="s">
        <v>3999</v>
      </c>
      <c r="C45" s="18">
        <f t="shared" ref="C45:J45" si="69">IFERROR(C17/C31,NA())</f>
        <v>11563.934908875184</v>
      </c>
      <c r="D45" s="18">
        <f t="shared" si="69"/>
        <v>26751.260154528522</v>
      </c>
      <c r="E45" s="18">
        <f t="shared" si="69"/>
        <v>2953.8461538461538</v>
      </c>
      <c r="F45" s="18">
        <f t="shared" si="69"/>
        <v>61500</v>
      </c>
      <c r="G45" s="18">
        <f t="shared" si="69"/>
        <v>20000</v>
      </c>
      <c r="H45" s="18">
        <f t="shared" si="69"/>
        <v>85000</v>
      </c>
      <c r="I45" s="18">
        <f t="shared" si="69"/>
        <v>16478.624035917248</v>
      </c>
      <c r="J45" s="18">
        <f t="shared" si="69"/>
        <v>61500</v>
      </c>
      <c r="K45" s="18"/>
      <c r="O45">
        <v>0</v>
      </c>
      <c r="P45">
        <v>1</v>
      </c>
      <c r="Q45">
        <v>2</v>
      </c>
      <c r="R45">
        <v>3</v>
      </c>
      <c r="S45">
        <v>4</v>
      </c>
      <c r="AV45" s="26"/>
      <c r="BL45" s="37">
        <v>28</v>
      </c>
      <c r="BM45" s="22" t="s">
        <v>526</v>
      </c>
      <c r="BN45" s="22">
        <f t="array" ref="BN45">SUM((Country=BM45)*Salaries)/SUM((Country=BM45)*1)</f>
        <v>11016.682284980743</v>
      </c>
      <c r="BO45" s="22">
        <f t="array" ref="BO45">IFERROR(SUM((Country=BM45)*(YearsExp&lt;&gt;"")*YearsExp)/SUM((Country=BM45)*(YearsExp&lt;&gt;"")*1),0)</f>
        <v>3</v>
      </c>
      <c r="BP45" s="22">
        <f t="array" ref="BP45">SUM((Country=BM45)*1)</f>
        <v>2</v>
      </c>
      <c r="BR45" s="22">
        <f>CHOOSE($BN$3,104-BL45,BN45,BO45,BP45)+0.00001*ROWS($BM$18:BM45)</f>
        <v>2.0002800000000001</v>
      </c>
      <c r="BS45" s="22">
        <f t="shared" si="22"/>
        <v>54</v>
      </c>
      <c r="BT45" s="22">
        <v>28</v>
      </c>
      <c r="BU45" s="22">
        <v>89</v>
      </c>
      <c r="BV45" t="str">
        <v>Sri Lanka</v>
      </c>
      <c r="BW45">
        <v>22921.154792448855</v>
      </c>
      <c r="BX45" s="22">
        <v>7.9</v>
      </c>
      <c r="BY45" s="22">
        <v>5</v>
      </c>
      <c r="CB45">
        <v>5</v>
      </c>
      <c r="CC45" s="22" t="s">
        <v>4001</v>
      </c>
      <c r="CD45" s="22" t="s">
        <v>4416</v>
      </c>
    </row>
    <row r="46" spans="2:100" x14ac:dyDescent="0.25">
      <c r="B46" s="13" t="s">
        <v>67</v>
      </c>
      <c r="C46" s="18">
        <f t="shared" ref="C46:J46" si="70">IFERROR(C18/C32,NA())</f>
        <v>23926.430572868809</v>
      </c>
      <c r="D46" s="18">
        <f t="shared" si="70"/>
        <v>59147.968330581498</v>
      </c>
      <c r="E46" s="18">
        <f t="shared" si="70"/>
        <v>38666</v>
      </c>
      <c r="F46" s="18">
        <f t="shared" si="70"/>
        <v>51833.333333333336</v>
      </c>
      <c r="G46" s="18" t="e">
        <f t="shared" si="70"/>
        <v>#N/A</v>
      </c>
      <c r="H46" s="18">
        <f t="shared" si="70"/>
        <v>94851.598045445135</v>
      </c>
      <c r="I46" s="18">
        <f t="shared" si="70"/>
        <v>49956.132944873782</v>
      </c>
      <c r="J46" s="18">
        <f t="shared" si="70"/>
        <v>51833.333333333336</v>
      </c>
      <c r="K46" s="18"/>
      <c r="O46" s="13" t="s">
        <v>4150</v>
      </c>
      <c r="P46" s="22" t="s">
        <v>4458</v>
      </c>
      <c r="Q46" s="22" t="s">
        <v>4151</v>
      </c>
      <c r="R46" s="22" t="s">
        <v>4460</v>
      </c>
      <c r="S46" s="22" t="s">
        <v>4152</v>
      </c>
      <c r="T46" s="13"/>
      <c r="U46" s="13"/>
      <c r="AV46" s="22"/>
      <c r="BL46" s="37">
        <v>29</v>
      </c>
      <c r="BM46" s="22" t="s">
        <v>359</v>
      </c>
      <c r="BN46" s="22">
        <f t="array" ref="BN46">SUM((Country=BM46)*Salaries)/SUM((Country=BM46)*1)</f>
        <v>32166.959188895635</v>
      </c>
      <c r="BO46" s="22">
        <f t="array" ref="BO46">IFERROR(SUM((Country=BM46)*(YearsExp&lt;&gt;"")*YearsExp)/SUM((Country=BM46)*(YearsExp&lt;&gt;"")*1),0)</f>
        <v>6.333333333333333</v>
      </c>
      <c r="BP46" s="22">
        <f t="array" ref="BP46">SUM((Country=BM46)*1)</f>
        <v>4</v>
      </c>
      <c r="BR46" s="22">
        <f>CHOOSE($BN$3,104-BL46,BN46,BO46,BP46)+0.00001*ROWS($BM$18:BM46)</f>
        <v>4.0002899999999997</v>
      </c>
      <c r="BS46" s="22">
        <f t="shared" si="22"/>
        <v>38</v>
      </c>
      <c r="BT46" s="22">
        <v>29</v>
      </c>
      <c r="BU46" s="22">
        <v>47</v>
      </c>
      <c r="BV46" t="str">
        <v>Israel</v>
      </c>
      <c r="BW46">
        <v>66840</v>
      </c>
      <c r="BX46" s="22">
        <v>7</v>
      </c>
      <c r="BY46" s="22">
        <v>5</v>
      </c>
      <c r="CB46">
        <v>6</v>
      </c>
      <c r="CC46" s="22" t="s">
        <v>279</v>
      </c>
      <c r="CD46" s="22" t="s">
        <v>4417</v>
      </c>
    </row>
    <row r="47" spans="2:100" x14ac:dyDescent="0.25">
      <c r="B47" s="22" t="s">
        <v>4158</v>
      </c>
      <c r="C47" s="21">
        <f t="array" ref="C47">AVERAGE(IF(ISERROR(C37:C46),"",C37:C46))</f>
        <v>19807.266254659506</v>
      </c>
      <c r="D47" s="21">
        <f t="array" ref="D47">AVERAGE(IF(ISERROR(D37:D46),"",D37:D46))</f>
        <v>62762.28102789566</v>
      </c>
      <c r="E47" s="21">
        <f t="array" ref="E47">AVERAGE(IF(ISERROR(E37:E46),"",E37:E46))</f>
        <v>37353.614288201177</v>
      </c>
      <c r="F47" s="21">
        <f t="array" ref="F47">AVERAGE(IF(ISERROR(F37:F46),"",F37:F46))</f>
        <v>79193.510796524643</v>
      </c>
      <c r="G47" s="21">
        <f t="array" ref="G47">AVERAGE(IF(ISERROR(G37:G46),"",G37:G46))</f>
        <v>27751.991495892522</v>
      </c>
      <c r="H47" s="21">
        <f t="array" ref="H47">AVERAGE(IF(ISERROR(H37:H46),"",H37:H46))</f>
        <v>94507.736988676697</v>
      </c>
      <c r="I47" s="21">
        <f t="array" ref="I47">AVERAGE(IF(ISERROR(I37:I46),"",I37:I46))</f>
        <v>49758.851166132561</v>
      </c>
      <c r="J47" s="21">
        <f t="array" ref="J47">AVERAGE(IF(ISERROR(J37:J46),"",J37:J46))</f>
        <v>79193.510796524643</v>
      </c>
      <c r="K47" s="18"/>
      <c r="L47" s="13">
        <v>1</v>
      </c>
      <c r="M47" s="22">
        <v>1</v>
      </c>
      <c r="N47" s="13"/>
      <c r="O47" s="19">
        <f t="shared" ref="O47:S50" ca="1" si="71">OFFSET($N$21,$L47,$M47+O$45)</f>
        <v>2500.9904605759289</v>
      </c>
      <c r="P47" s="19">
        <f t="shared" ca="1" si="71"/>
        <v>4284.1573649981829</v>
      </c>
      <c r="Q47" s="19">
        <f t="shared" ca="1" si="71"/>
        <v>5289.1254081533816</v>
      </c>
      <c r="R47" s="19">
        <f t="shared" ca="1" si="71"/>
        <v>14176.717226848436</v>
      </c>
      <c r="S47" s="19">
        <f t="shared" ca="1" si="71"/>
        <v>47481.666749770273</v>
      </c>
      <c r="T47" s="19"/>
      <c r="U47" s="19"/>
      <c r="BL47" s="37">
        <v>30</v>
      </c>
      <c r="BM47" s="22" t="s">
        <v>847</v>
      </c>
      <c r="BN47" s="22">
        <f t="array" ref="BN47">SUM((Country=BM47)*Salaries)/SUM((Country=BM47)*1)</f>
        <v>19831.432821021317</v>
      </c>
      <c r="BO47" s="22">
        <f t="array" ref="BO47">IFERROR(SUM((Country=BM47)*(YearsExp&lt;&gt;"")*YearsExp)/SUM((Country=BM47)*(YearsExp&lt;&gt;"")*1),0)</f>
        <v>5</v>
      </c>
      <c r="BP47" s="22">
        <f t="array" ref="BP47">SUM((Country=BM47)*1)</f>
        <v>1</v>
      </c>
      <c r="BR47" s="22">
        <f>CHOOSE($BN$3,104-BL47,BN47,BO47,BP47)+0.00001*ROWS($BM$18:BM47)</f>
        <v>1.0003</v>
      </c>
      <c r="BS47" s="22">
        <f t="shared" si="22"/>
        <v>86</v>
      </c>
      <c r="BT47" s="22">
        <v>30</v>
      </c>
      <c r="BU47" s="22">
        <v>46</v>
      </c>
      <c r="BV47" t="str">
        <v>Ireland</v>
      </c>
      <c r="BW47">
        <v>61652.484774262724</v>
      </c>
      <c r="BX47" s="22">
        <v>12</v>
      </c>
      <c r="BY47" s="22">
        <v>5</v>
      </c>
      <c r="CB47">
        <v>7</v>
      </c>
      <c r="CC47" s="22" t="s">
        <v>52</v>
      </c>
      <c r="CD47" s="22" t="s">
        <v>4418</v>
      </c>
    </row>
    <row r="48" spans="2:100" x14ac:dyDescent="0.25">
      <c r="L48" s="22">
        <v>1</v>
      </c>
      <c r="M48" s="22">
        <v>10</v>
      </c>
      <c r="N48" s="13" t="s">
        <v>310</v>
      </c>
      <c r="O48" s="19">
        <f t="shared" ca="1" si="71"/>
        <v>29500</v>
      </c>
      <c r="P48" s="19">
        <f t="shared" ca="1" si="71"/>
        <v>45000</v>
      </c>
      <c r="Q48" s="19">
        <f t="shared" ca="1" si="71"/>
        <v>15000</v>
      </c>
      <c r="R48" s="19">
        <f t="shared" ca="1" si="71"/>
        <v>17000</v>
      </c>
      <c r="S48" s="19">
        <f t="shared" ca="1" si="71"/>
        <v>1152201.9037879086</v>
      </c>
      <c r="T48" s="19"/>
      <c r="U48" s="19"/>
      <c r="BL48" s="37">
        <v>31</v>
      </c>
      <c r="BM48" s="22" t="s">
        <v>574</v>
      </c>
      <c r="BN48" s="22">
        <f t="array" ref="BN48">SUM((Country=BM48)*Salaries)/SUM((Country=BM48)*1)</f>
        <v>12000</v>
      </c>
      <c r="BO48" s="22">
        <f t="array" ref="BO48">IFERROR(SUM((Country=BM48)*(YearsExp&lt;&gt;"")*YearsExp)/SUM((Country=BM48)*(YearsExp&lt;&gt;"")*1),0)</f>
        <v>0</v>
      </c>
      <c r="BP48" s="22">
        <f t="array" ref="BP48">SUM((Country=BM48)*1)</f>
        <v>1</v>
      </c>
      <c r="BR48" s="22">
        <f>CHOOSE($BN$3,104-BL48,BN48,BO48,BP48)+0.00001*ROWS($BM$18:BM48)</f>
        <v>1.00031</v>
      </c>
      <c r="BS48" s="22">
        <f t="shared" si="22"/>
        <v>85</v>
      </c>
      <c r="BT48" s="22">
        <v>31</v>
      </c>
      <c r="BU48" s="22">
        <v>41</v>
      </c>
      <c r="BV48" t="str">
        <v>Hungary</v>
      </c>
      <c r="BW48">
        <v>24716.347245901055</v>
      </c>
      <c r="BX48" s="22">
        <v>9</v>
      </c>
      <c r="BY48" s="22">
        <v>5</v>
      </c>
      <c r="CB48">
        <v>8</v>
      </c>
      <c r="CC48" s="22" t="s">
        <v>3999</v>
      </c>
      <c r="CD48" s="22" t="s">
        <v>4419</v>
      </c>
    </row>
    <row r="49" spans="2:84" x14ac:dyDescent="0.25">
      <c r="L49" s="22"/>
      <c r="M49" s="22"/>
      <c r="N49" s="13"/>
      <c r="O49" s="19"/>
      <c r="P49" s="19"/>
      <c r="Q49" s="19"/>
      <c r="R49" s="19"/>
      <c r="S49" s="19"/>
      <c r="T49" s="19"/>
      <c r="U49" s="19"/>
      <c r="BL49" s="37">
        <v>32</v>
      </c>
      <c r="BM49" s="22" t="s">
        <v>1991</v>
      </c>
      <c r="BN49" s="22">
        <f t="array" ref="BN49">SUM((Country=BM49)*Salaries)/SUM((Country=BM49)*1)</f>
        <v>2953.8461538461538</v>
      </c>
      <c r="BO49" s="22">
        <f t="array" ref="BO49">IFERROR(SUM((Country=BM49)*(YearsExp&lt;&gt;"")*YearsExp)/SUM((Country=BM49)*(YearsExp&lt;&gt;"")*1),0)</f>
        <v>3</v>
      </c>
      <c r="BP49" s="22">
        <f t="array" ref="BP49">SUM((Country=BM49)*1)</f>
        <v>1</v>
      </c>
      <c r="BR49" s="22">
        <f>CHOOSE($BN$3,104-BL49,BN49,BO49,BP49)+0.00001*ROWS($BM$18:BM49)</f>
        <v>1.0003200000000001</v>
      </c>
      <c r="BS49" s="22">
        <f t="shared" si="22"/>
        <v>84</v>
      </c>
      <c r="BT49" s="22">
        <v>32</v>
      </c>
      <c r="BU49" s="22">
        <v>33</v>
      </c>
      <c r="BV49" t="str">
        <v>Europe</v>
      </c>
      <c r="BW49">
        <v>123889.35329046159</v>
      </c>
      <c r="BX49" s="22">
        <v>13.4</v>
      </c>
      <c r="BY49" s="22">
        <v>5</v>
      </c>
      <c r="CB49">
        <v>9</v>
      </c>
      <c r="CC49" s="22" t="s">
        <v>67</v>
      </c>
      <c r="CD49" s="22" t="s">
        <v>4429</v>
      </c>
    </row>
    <row r="50" spans="2:84" x14ac:dyDescent="0.25">
      <c r="C50" s="18"/>
      <c r="D50" s="18"/>
      <c r="E50" s="18"/>
      <c r="F50" s="18"/>
      <c r="G50" s="18"/>
      <c r="H50" s="18"/>
      <c r="I50" s="18"/>
      <c r="L50" s="22">
        <v>2</v>
      </c>
      <c r="M50" s="22">
        <v>1</v>
      </c>
      <c r="N50" s="13"/>
      <c r="O50" s="19">
        <f t="shared" ca="1" si="71"/>
        <v>3205.4250037396628</v>
      </c>
      <c r="P50" s="19">
        <f t="shared" ca="1" si="71"/>
        <v>5342.3750062327708</v>
      </c>
      <c r="Q50" s="19">
        <f t="shared" ca="1" si="71"/>
        <v>3561.5833374885133</v>
      </c>
      <c r="R50" s="19">
        <f t="shared" ca="1" si="71"/>
        <v>6232.7708406048987</v>
      </c>
      <c r="S50" s="19">
        <f t="shared" ca="1" si="71"/>
        <v>145134.52100265693</v>
      </c>
      <c r="T50" s="19"/>
      <c r="U50" s="19"/>
      <c r="BL50" s="37">
        <v>33</v>
      </c>
      <c r="BM50" s="22" t="s">
        <v>983</v>
      </c>
      <c r="BN50" s="22">
        <f t="array" ref="BN50">SUM((Country=BM50)*Salaries)/SUM((Country=BM50)*1)</f>
        <v>123889.35329046159</v>
      </c>
      <c r="BO50" s="22">
        <f t="array" ref="BO50">IFERROR(SUM((Country=BM50)*(YearsExp&lt;&gt;"")*YearsExp)/SUM((Country=BM50)*(YearsExp&lt;&gt;"")*1),0)</f>
        <v>13.4</v>
      </c>
      <c r="BP50" s="22">
        <f t="array" ref="BP50">SUM((Country=BM50)*1)</f>
        <v>5</v>
      </c>
      <c r="BR50" s="22">
        <f>CHOOSE($BN$3,104-BL50,BN50,BO50,BP50)+0.00001*ROWS($BM$18:BM50)</f>
        <v>5.0003299999999999</v>
      </c>
      <c r="BS50" s="22">
        <f t="shared" si="22"/>
        <v>32</v>
      </c>
      <c r="BT50" s="22">
        <v>33</v>
      </c>
      <c r="BU50" s="22">
        <v>23</v>
      </c>
      <c r="BV50" t="str">
        <v>Colombia</v>
      </c>
      <c r="BW50">
        <v>12362</v>
      </c>
      <c r="BX50" s="22">
        <v>9.3333333333333339</v>
      </c>
      <c r="BY50" s="22">
        <v>5</v>
      </c>
    </row>
    <row r="51" spans="2:84" x14ac:dyDescent="0.25">
      <c r="C51" s="18"/>
      <c r="D51" s="18"/>
      <c r="E51" s="18"/>
      <c r="F51" s="18"/>
      <c r="G51" s="18"/>
      <c r="H51" s="18"/>
      <c r="I51" s="18"/>
      <c r="K51" s="19"/>
      <c r="L51" s="22">
        <v>2</v>
      </c>
      <c r="M51" s="22">
        <v>10</v>
      </c>
      <c r="N51" s="13" t="s">
        <v>20</v>
      </c>
      <c r="O51" s="19">
        <f t="shared" ref="O51:S51" ca="1" si="72">OFFSET($N$21,$L51,$M51+O$45)</f>
        <v>35000</v>
      </c>
      <c r="P51" s="19">
        <f t="shared" ca="1" si="72"/>
        <v>45000</v>
      </c>
      <c r="Q51" s="19">
        <f t="shared" ca="1" si="72"/>
        <v>15000</v>
      </c>
      <c r="R51" s="19">
        <f t="shared" ca="1" si="72"/>
        <v>15000</v>
      </c>
      <c r="S51" s="19">
        <f t="shared" ca="1" si="72"/>
        <v>170840.3807575817</v>
      </c>
      <c r="T51" s="19"/>
      <c r="U51" s="19"/>
      <c r="BL51" s="37">
        <v>34</v>
      </c>
      <c r="BM51" s="22" t="s">
        <v>515</v>
      </c>
      <c r="BN51" s="22">
        <f t="array" ref="BN51">SUM((Country=BM51)*Salaries)/SUM((Country=BM51)*1)</f>
        <v>75389.415540034111</v>
      </c>
      <c r="BO51" s="22">
        <f t="array" ref="BO51">IFERROR(SUM((Country=BM51)*(YearsExp&lt;&gt;"")*YearsExp)/SUM((Country=BM51)*(YearsExp&lt;&gt;"")*1),0)</f>
        <v>4.5</v>
      </c>
      <c r="BP51" s="22">
        <f t="array" ref="BP51">SUM((Country=BM51)*1)</f>
        <v>3</v>
      </c>
      <c r="BR51" s="22">
        <f>CHOOSE($BN$3,104-BL51,BN51,BO51,BP51)+0.00001*ROWS($BM$18:BM51)</f>
        <v>3.00034</v>
      </c>
      <c r="BS51" s="22">
        <f t="shared" si="22"/>
        <v>45</v>
      </c>
      <c r="BT51" s="22">
        <v>34</v>
      </c>
      <c r="BU51" s="22">
        <v>98</v>
      </c>
      <c r="BV51" t="str">
        <v>Ukraine</v>
      </c>
      <c r="BW51">
        <v>11650</v>
      </c>
      <c r="BX51" s="22">
        <v>5</v>
      </c>
      <c r="BY51" s="22">
        <v>4</v>
      </c>
      <c r="CB51" s="11" t="s">
        <v>1788</v>
      </c>
      <c r="CC51" s="11" t="s">
        <v>4118</v>
      </c>
      <c r="CD51" s="11" t="s">
        <v>4404</v>
      </c>
    </row>
    <row r="52" spans="2:84" x14ac:dyDescent="0.25">
      <c r="C52" s="18"/>
      <c r="D52" s="18"/>
      <c r="E52" s="18"/>
      <c r="F52" s="18"/>
      <c r="G52" s="18"/>
      <c r="H52" s="18"/>
      <c r="I52" s="18"/>
      <c r="K52" s="18"/>
      <c r="L52" s="22"/>
      <c r="M52" s="22"/>
      <c r="N52" s="13"/>
      <c r="O52" s="19"/>
      <c r="P52" s="19"/>
      <c r="Q52" s="19"/>
      <c r="R52" s="19"/>
      <c r="S52" s="19"/>
      <c r="T52" s="19"/>
      <c r="U52" s="19"/>
      <c r="BL52" s="37">
        <v>35</v>
      </c>
      <c r="BM52" s="22" t="s">
        <v>106</v>
      </c>
      <c r="BN52" s="22">
        <f t="array" ref="BN52">SUM((Country=BM52)*Salaries)/SUM((Country=BM52)*1)</f>
        <v>56952.725049143286</v>
      </c>
      <c r="BO52" s="22">
        <f t="array" ref="BO52">IFERROR(SUM((Country=BM52)*(YearsExp&lt;&gt;"")*YearsExp)/SUM((Country=BM52)*(YearsExp&lt;&gt;"")*1),0)</f>
        <v>5.25</v>
      </c>
      <c r="BP52" s="22">
        <f t="array" ref="BP52">SUM((Country=BM52)*1)</f>
        <v>6</v>
      </c>
      <c r="BR52" s="22">
        <f>CHOOSE($BN$3,104-BL52,BN52,BO52,BP52)+0.00001*ROWS($BM$18:BM52)</f>
        <v>6.0003500000000001</v>
      </c>
      <c r="BS52" s="22">
        <f t="shared" si="22"/>
        <v>26</v>
      </c>
      <c r="BT52" s="22">
        <v>35</v>
      </c>
      <c r="BU52" s="22">
        <v>91</v>
      </c>
      <c r="BV52" t="str">
        <v>Switzerland</v>
      </c>
      <c r="BW52">
        <v>137525.55715529469</v>
      </c>
      <c r="BX52" s="22">
        <v>13</v>
      </c>
      <c r="BY52" s="22">
        <v>4</v>
      </c>
      <c r="CB52">
        <v>1</v>
      </c>
      <c r="CC52" s="22" t="s">
        <v>1126</v>
      </c>
      <c r="CD52" s="22" t="s">
        <v>4405</v>
      </c>
    </row>
    <row r="53" spans="2:84" x14ac:dyDescent="0.25">
      <c r="C53" s="18"/>
      <c r="D53" s="18"/>
      <c r="E53" s="18"/>
      <c r="F53" s="18"/>
      <c r="G53" s="18"/>
      <c r="H53" s="18"/>
      <c r="I53" s="18"/>
      <c r="K53" s="18"/>
      <c r="L53" s="22">
        <v>3</v>
      </c>
      <c r="M53" s="22">
        <v>1</v>
      </c>
      <c r="N53" s="13"/>
      <c r="O53" s="19">
        <f t="shared" ref="O53:S53" ca="1" si="73">OFFSET($N$21,$L53,$M53+O$45)</f>
        <v>5849.900631824883</v>
      </c>
      <c r="P53" s="19">
        <f t="shared" ca="1" si="73"/>
        <v>8414.2406348166132</v>
      </c>
      <c r="Q53" s="19">
        <f t="shared" ca="1" si="73"/>
        <v>3585.7593651833868</v>
      </c>
      <c r="R53" s="19">
        <f t="shared" ca="1" si="73"/>
        <v>13376.281279605661</v>
      </c>
      <c r="S53" s="19">
        <f t="shared" ca="1" si="73"/>
        <v>94623.718720394332</v>
      </c>
      <c r="T53" s="19"/>
      <c r="U53" s="19"/>
      <c r="BL53" s="37">
        <v>36</v>
      </c>
      <c r="BM53" s="22" t="s">
        <v>24</v>
      </c>
      <c r="BN53" s="22">
        <f t="array" ref="BN53">SUM((Country=BM53)*Salaries)/SUM((Country=BM53)*1)</f>
        <v>79637.147017647629</v>
      </c>
      <c r="BO53" s="22">
        <f t="array" ref="BO53">IFERROR(SUM((Country=BM53)*(YearsExp&lt;&gt;"")*YearsExp)/SUM((Country=BM53)*(YearsExp&lt;&gt;"")*1),0)</f>
        <v>7.4615384615384617</v>
      </c>
      <c r="BP53" s="22">
        <f t="array" ref="BP53">SUM((Country=BM53)*1)</f>
        <v>17</v>
      </c>
      <c r="BR53" s="22">
        <f>CHOOSE($BN$3,104-BL53,BN53,BO53,BP53)+0.00001*ROWS($BM$18:BM53)</f>
        <v>17.000360000000001</v>
      </c>
      <c r="BS53" s="22">
        <f t="shared" si="22"/>
        <v>11</v>
      </c>
      <c r="BT53" s="22">
        <v>36</v>
      </c>
      <c r="BU53" s="22">
        <v>52</v>
      </c>
      <c r="BV53" t="str">
        <v>Kuwait</v>
      </c>
      <c r="BW53">
        <v>35900</v>
      </c>
      <c r="BX53" s="22">
        <v>10.25</v>
      </c>
      <c r="BY53" s="22">
        <v>4</v>
      </c>
      <c r="CB53">
        <v>2</v>
      </c>
      <c r="CC53" s="22" t="s">
        <v>983</v>
      </c>
      <c r="CD53" s="22" t="s">
        <v>4406</v>
      </c>
    </row>
    <row r="54" spans="2:84" x14ac:dyDescent="0.25">
      <c r="C54" s="18"/>
      <c r="D54" s="18"/>
      <c r="E54" s="18"/>
      <c r="F54" s="18"/>
      <c r="G54" s="18"/>
      <c r="H54" s="18"/>
      <c r="I54" s="18"/>
      <c r="K54" s="18"/>
      <c r="L54" s="22">
        <v>3</v>
      </c>
      <c r="M54" s="22">
        <v>10</v>
      </c>
      <c r="N54" s="13" t="s">
        <v>356</v>
      </c>
      <c r="O54" s="19">
        <f t="shared" ref="O54:S54" ca="1" si="74">OFFSET($N$21,$L54,$M54+O$45)</f>
        <v>57000</v>
      </c>
      <c r="P54" s="19">
        <f t="shared" ca="1" si="74"/>
        <v>69000</v>
      </c>
      <c r="Q54" s="19">
        <f t="shared" ca="1" si="74"/>
        <v>21469.260118790073</v>
      </c>
      <c r="R54" s="19">
        <f t="shared" ca="1" si="74"/>
        <v>24530.739881209927</v>
      </c>
      <c r="S54" s="19">
        <f t="shared" ca="1" si="74"/>
        <v>135000</v>
      </c>
      <c r="T54" s="19"/>
      <c r="U54" s="19"/>
      <c r="BL54" s="37">
        <v>37</v>
      </c>
      <c r="BM54" s="22" t="s">
        <v>1503</v>
      </c>
      <c r="BN54" s="22">
        <f t="array" ref="BN54">SUM((Country=BM54)*Salaries)/SUM((Country=BM54)*1)</f>
        <v>18000</v>
      </c>
      <c r="BO54" s="22">
        <f t="array" ref="BO54">IFERROR(SUM((Country=BM54)*(YearsExp&lt;&gt;"")*YearsExp)/SUM((Country=BM54)*(YearsExp&lt;&gt;"")*1),0)</f>
        <v>12</v>
      </c>
      <c r="BP54" s="22">
        <f t="array" ref="BP54">SUM((Country=BM54)*1)</f>
        <v>1</v>
      </c>
      <c r="BR54" s="22">
        <f>CHOOSE($BN$3,104-BL54,BN54,BO54,BP54)+0.00001*ROWS($BM$18:BM54)</f>
        <v>1.00037</v>
      </c>
      <c r="BS54" s="22">
        <f t="shared" si="22"/>
        <v>83</v>
      </c>
      <c r="BT54" s="22">
        <v>37</v>
      </c>
      <c r="BU54" s="22">
        <v>51</v>
      </c>
      <c r="BV54" t="str">
        <v>Kuwait</v>
      </c>
      <c r="BW54">
        <v>35900</v>
      </c>
      <c r="BX54" s="22">
        <v>10.25</v>
      </c>
      <c r="BY54" s="22">
        <v>4</v>
      </c>
      <c r="CB54">
        <v>3</v>
      </c>
      <c r="CC54" s="22" t="s">
        <v>4009</v>
      </c>
      <c r="CD54" s="22" t="s">
        <v>4407</v>
      </c>
    </row>
    <row r="55" spans="2:84" x14ac:dyDescent="0.25">
      <c r="C55" s="18"/>
      <c r="D55" s="18"/>
      <c r="E55" s="18"/>
      <c r="F55" s="18"/>
      <c r="G55" s="18"/>
      <c r="H55" s="18"/>
      <c r="I55" s="18"/>
      <c r="K55" s="18"/>
      <c r="L55" s="22"/>
      <c r="M55" s="22"/>
      <c r="N55" s="13"/>
      <c r="O55" s="19"/>
      <c r="P55" s="19"/>
      <c r="Q55" s="19"/>
      <c r="R55" s="19"/>
      <c r="S55" s="19"/>
      <c r="T55" s="19"/>
      <c r="U55" s="19"/>
      <c r="BL55" s="37">
        <v>38</v>
      </c>
      <c r="BM55" s="22" t="s">
        <v>169</v>
      </c>
      <c r="BN55" s="22">
        <f t="array" ref="BN55">SUM((Country=BM55)*Salaries)/SUM((Country=BM55)*1)</f>
        <v>30066.120056134718</v>
      </c>
      <c r="BO55" s="22">
        <f t="array" ref="BO55">IFERROR(SUM((Country=BM55)*(YearsExp&lt;&gt;"")*YearsExp)/SUM((Country=BM55)*(YearsExp&lt;&gt;"")*1),0)</f>
        <v>14</v>
      </c>
      <c r="BP55" s="22">
        <f t="array" ref="BP55">SUM((Country=BM55)*1)</f>
        <v>3</v>
      </c>
      <c r="BR55" s="22">
        <f>CHOOSE($BN$3,104-BL55,BN55,BO55,BP55)+0.00001*ROWS($BM$18:BM55)</f>
        <v>3.0003799999999998</v>
      </c>
      <c r="BS55" s="22">
        <f t="shared" si="22"/>
        <v>44</v>
      </c>
      <c r="BT55" s="22">
        <v>38</v>
      </c>
      <c r="BU55" s="22">
        <v>29</v>
      </c>
      <c r="BV55" t="str">
        <v>Dubai</v>
      </c>
      <c r="BW55">
        <v>32166.959188895635</v>
      </c>
      <c r="BX55" s="22">
        <v>6.333333333333333</v>
      </c>
      <c r="BY55" s="22">
        <v>4</v>
      </c>
      <c r="CB55">
        <v>4</v>
      </c>
      <c r="CC55" s="22" t="s">
        <v>4165</v>
      </c>
      <c r="CD55" s="22" t="s">
        <v>4408</v>
      </c>
    </row>
    <row r="56" spans="2:84" x14ac:dyDescent="0.25">
      <c r="C56" s="18"/>
      <c r="D56" s="18"/>
      <c r="E56" s="18"/>
      <c r="F56" s="18"/>
      <c r="G56" s="18"/>
      <c r="H56" s="18"/>
      <c r="I56" s="18"/>
      <c r="K56" s="18"/>
      <c r="L56" s="22">
        <v>4</v>
      </c>
      <c r="M56" s="22">
        <v>1</v>
      </c>
      <c r="N56" s="13"/>
      <c r="O56" s="19">
        <f t="shared" ref="O56:S57" ca="1" si="75">OFFSET($N$21,$L56,$M56+O$45)</f>
        <v>9885.6599970082698</v>
      </c>
      <c r="P56" s="19">
        <f t="shared" ca="1" si="75"/>
        <v>12450</v>
      </c>
      <c r="Q56" s="19">
        <f t="shared" ca="1" si="75"/>
        <v>3363.5625093491544</v>
      </c>
      <c r="R56" s="19">
        <f t="shared" ca="1" si="75"/>
        <v>23186.437490650846</v>
      </c>
      <c r="S56" s="19">
        <f t="shared" ca="1" si="75"/>
        <v>46000</v>
      </c>
      <c r="T56" s="19"/>
      <c r="U56" s="19"/>
      <c r="BL56" s="37">
        <v>39</v>
      </c>
      <c r="BM56" s="22" t="s">
        <v>680</v>
      </c>
      <c r="BN56" s="22">
        <f t="array" ref="BN56">SUM((Country=BM56)*Salaries)/SUM((Country=BM56)*1)</f>
        <v>6000</v>
      </c>
      <c r="BO56" s="22">
        <f t="array" ref="BO56">IFERROR(SUM((Country=BM56)*(YearsExp&lt;&gt;"")*YearsExp)/SUM((Country=BM56)*(YearsExp&lt;&gt;"")*1),0)</f>
        <v>20</v>
      </c>
      <c r="BP56" s="22">
        <f t="array" ref="BP56">SUM((Country=BM56)*1)</f>
        <v>1</v>
      </c>
      <c r="BR56" s="22">
        <f>CHOOSE($BN$3,104-BL56,BN56,BO56,BP56)+0.00001*ROWS($BM$18:BM56)</f>
        <v>1.0003899999999999</v>
      </c>
      <c r="BS56" s="22">
        <f t="shared" si="22"/>
        <v>82</v>
      </c>
      <c r="BT56" s="22">
        <v>39</v>
      </c>
      <c r="BU56" s="22">
        <v>12</v>
      </c>
      <c r="BV56" t="str">
        <v>Belgium</v>
      </c>
      <c r="BW56">
        <v>41707.21358209449</v>
      </c>
      <c r="BX56" s="22">
        <v>10.5</v>
      </c>
      <c r="BY56" s="22">
        <v>4</v>
      </c>
      <c r="CB56">
        <v>5</v>
      </c>
      <c r="CC56" s="22" t="s">
        <v>4166</v>
      </c>
      <c r="CD56" s="22" t="s">
        <v>4409</v>
      </c>
    </row>
    <row r="57" spans="2:84" x14ac:dyDescent="0.25">
      <c r="C57" s="18"/>
      <c r="D57" s="18"/>
      <c r="E57" s="18"/>
      <c r="F57" s="18"/>
      <c r="G57" s="18"/>
      <c r="H57" s="18"/>
      <c r="I57" s="18"/>
      <c r="K57" s="18"/>
      <c r="L57" s="22">
        <v>4</v>
      </c>
      <c r="M57" s="22">
        <v>10</v>
      </c>
      <c r="N57" s="13" t="s">
        <v>488</v>
      </c>
      <c r="O57" s="19">
        <f t="shared" ca="1" si="75"/>
        <v>43000</v>
      </c>
      <c r="P57" s="19">
        <f t="shared" ca="1" si="75"/>
        <v>67000</v>
      </c>
      <c r="Q57" s="19">
        <f t="shared" ca="1" si="75"/>
        <v>13000</v>
      </c>
      <c r="R57" s="19">
        <f t="shared" ca="1" si="75"/>
        <v>21000</v>
      </c>
      <c r="S57" s="19">
        <f t="shared" ca="1" si="75"/>
        <v>113000</v>
      </c>
      <c r="T57" s="19"/>
      <c r="U57" s="19"/>
      <c r="BL57" s="37">
        <v>40</v>
      </c>
      <c r="BM57" s="22" t="s">
        <v>1933</v>
      </c>
      <c r="BN57" s="22">
        <f t="array" ref="BN57">SUM((Country=BM57)*Salaries)/SUM((Country=BM57)*1)</f>
        <v>20000</v>
      </c>
      <c r="BO57" s="22">
        <f t="array" ref="BO57">IFERROR(SUM((Country=BM57)*(YearsExp&lt;&gt;"")*YearsExp)/SUM((Country=BM57)*(YearsExp&lt;&gt;"")*1),0)</f>
        <v>1</v>
      </c>
      <c r="BP57" s="22">
        <f t="array" ref="BP57">SUM((Country=BM57)*1)</f>
        <v>1</v>
      </c>
      <c r="BR57" s="22">
        <f>CHOOSE($BN$3,104-BL57,BN57,BO57,BP57)+0.00001*ROWS($BM$18:BM57)</f>
        <v>1.0004</v>
      </c>
      <c r="BS57" s="22">
        <f t="shared" si="22"/>
        <v>81</v>
      </c>
      <c r="BT57" s="22">
        <v>40</v>
      </c>
      <c r="BU57" s="22">
        <v>77</v>
      </c>
      <c r="BV57" t="str">
        <v>Qatar</v>
      </c>
      <c r="BW57">
        <v>53066.666666666664</v>
      </c>
      <c r="BX57" s="22">
        <v>15.333333333333334</v>
      </c>
      <c r="BY57" s="22">
        <v>3</v>
      </c>
      <c r="CB57">
        <v>6</v>
      </c>
      <c r="CC57" s="22" t="s">
        <v>4100</v>
      </c>
      <c r="CD57" s="22" t="s">
        <v>4410</v>
      </c>
    </row>
    <row r="58" spans="2:84" x14ac:dyDescent="0.25">
      <c r="C58" s="18"/>
      <c r="D58" s="18"/>
      <c r="E58" s="18"/>
      <c r="F58" s="18"/>
      <c r="G58" s="18"/>
      <c r="H58" s="18"/>
      <c r="I58" s="18"/>
      <c r="K58" s="18"/>
      <c r="L58" s="22"/>
      <c r="M58" s="22"/>
      <c r="N58" s="13"/>
      <c r="O58" s="19"/>
      <c r="P58" s="19"/>
      <c r="Q58" s="19"/>
      <c r="R58" s="19"/>
      <c r="S58" s="19"/>
      <c r="T58" s="19"/>
      <c r="U58" s="19"/>
      <c r="BL58" s="37">
        <v>41</v>
      </c>
      <c r="BM58" s="22" t="s">
        <v>38</v>
      </c>
      <c r="BN58" s="22">
        <f t="array" ref="BN58">SUM((Country=BM58)*Salaries)/SUM((Country=BM58)*1)</f>
        <v>24716.347245901055</v>
      </c>
      <c r="BO58" s="22">
        <f t="array" ref="BO58">IFERROR(SUM((Country=BM58)*(YearsExp&lt;&gt;"")*YearsExp)/SUM((Country=BM58)*(YearsExp&lt;&gt;"")*1),0)</f>
        <v>9</v>
      </c>
      <c r="BP58" s="22">
        <f t="array" ref="BP58">SUM((Country=BM58)*1)</f>
        <v>5</v>
      </c>
      <c r="BR58" s="22">
        <f>CHOOSE($BN$3,104-BL58,BN58,BO58,BP58)+0.00001*ROWS($BM$18:BM58)</f>
        <v>5.0004099999999996</v>
      </c>
      <c r="BS58" s="22">
        <f t="shared" si="22"/>
        <v>31</v>
      </c>
      <c r="BT58" s="22">
        <v>41</v>
      </c>
      <c r="BU58" s="22">
        <v>67</v>
      </c>
      <c r="BV58" t="str">
        <v>Nigeria</v>
      </c>
      <c r="BW58">
        <v>13494.896250642014</v>
      </c>
      <c r="BX58" s="22">
        <v>5.666666666666667</v>
      </c>
      <c r="BY58" s="22">
        <v>3</v>
      </c>
    </row>
    <row r="59" spans="2:84" x14ac:dyDescent="0.25">
      <c r="C59" s="18"/>
      <c r="D59" s="18"/>
      <c r="E59" s="18"/>
      <c r="F59" s="18"/>
      <c r="G59" s="18"/>
      <c r="H59" s="18"/>
      <c r="I59" s="18"/>
      <c r="K59" s="18"/>
      <c r="L59" s="22">
        <v>5</v>
      </c>
      <c r="M59" s="22">
        <v>1</v>
      </c>
      <c r="N59" s="13"/>
      <c r="O59" s="19">
        <f t="shared" ref="O59:S60" ca="1" si="76">OFFSET($N$21,$L59,$M59+O$45)</f>
        <v>11129.947929651606</v>
      </c>
      <c r="P59" s="19">
        <f t="shared" ca="1" si="76"/>
        <v>13801.135432767991</v>
      </c>
      <c r="Q59" s="19">
        <f t="shared" ca="1" si="76"/>
        <v>16198.864567232009</v>
      </c>
      <c r="R59" s="19">
        <f t="shared" ca="1" si="76"/>
        <v>17259.895859303215</v>
      </c>
      <c r="S59" s="19">
        <f t="shared" ca="1" si="76"/>
        <v>53540.104140696785</v>
      </c>
      <c r="T59" s="19"/>
      <c r="U59" s="19"/>
      <c r="BL59" s="37">
        <v>42</v>
      </c>
      <c r="BM59" s="22" t="s">
        <v>21</v>
      </c>
      <c r="BN59" s="22">
        <f t="array" ref="BN59">SUM((Country=BM59)*Salaries)/SUM((Country=BM59)*1)</f>
        <v>41731</v>
      </c>
      <c r="BO59" s="22">
        <f t="array" ref="BO59">IFERROR(SUM((Country=BM59)*(YearsExp&lt;&gt;"")*YearsExp)/SUM((Country=BM59)*(YearsExp&lt;&gt;"")*1),0)</f>
        <v>0</v>
      </c>
      <c r="BP59" s="22">
        <f t="array" ref="BP59">SUM((Country=BM59)*1)</f>
        <v>1</v>
      </c>
      <c r="BR59" s="22">
        <f>CHOOSE($BN$3,104-BL59,BN59,BO59,BP59)+0.00001*ROWS($BM$18:BM59)</f>
        <v>1.0004200000000001</v>
      </c>
      <c r="BS59" s="22">
        <f t="shared" si="22"/>
        <v>80</v>
      </c>
      <c r="BT59" s="22">
        <v>42</v>
      </c>
      <c r="BU59" s="22">
        <v>49</v>
      </c>
      <c r="BV59" t="str">
        <v>Japan</v>
      </c>
      <c r="BW59">
        <v>67564.774036395989</v>
      </c>
      <c r="BX59" s="22">
        <v>5</v>
      </c>
      <c r="BY59" s="22">
        <v>3</v>
      </c>
      <c r="CB59" s="11" t="s">
        <v>1788</v>
      </c>
      <c r="CC59" s="11" t="s">
        <v>4411</v>
      </c>
      <c r="CD59" s="11" t="s">
        <v>4404</v>
      </c>
    </row>
    <row r="60" spans="2:84" ht="30" x14ac:dyDescent="0.25">
      <c r="K60" s="18"/>
      <c r="L60" s="22">
        <v>5</v>
      </c>
      <c r="M60" s="22">
        <v>10</v>
      </c>
      <c r="N60" s="23" t="s">
        <v>4161</v>
      </c>
      <c r="O60" s="19">
        <f t="shared" ca="1" si="76"/>
        <v>71500</v>
      </c>
      <c r="P60" s="19">
        <f t="shared" ca="1" si="76"/>
        <v>87500</v>
      </c>
      <c r="Q60" s="19">
        <f t="shared" ca="1" si="76"/>
        <v>20000</v>
      </c>
      <c r="R60" s="19">
        <f t="shared" ca="1" si="76"/>
        <v>42500</v>
      </c>
      <c r="S60" s="19">
        <f t="shared" ca="1" si="76"/>
        <v>150000</v>
      </c>
      <c r="T60" s="19"/>
      <c r="U60" s="19"/>
      <c r="BL60" s="37">
        <v>43</v>
      </c>
      <c r="BM60" s="22" t="s">
        <v>8</v>
      </c>
      <c r="BN60" s="22">
        <f t="array" ref="BN60">SUM((Country=BM60)*Salaries)/SUM((Country=BM60)*1)</f>
        <v>13529.430894182482</v>
      </c>
      <c r="BO60" s="22">
        <f t="array" ref="BO60">IFERROR(SUM((Country=BM60)*(YearsExp&lt;&gt;"")*YearsExp)/SUM((Country=BM60)*(YearsExp&lt;&gt;"")*1),0)</f>
        <v>6.4691823899371066</v>
      </c>
      <c r="BP60" s="22">
        <f t="array" ref="BP60">SUM((Country=BM60)*1)</f>
        <v>565</v>
      </c>
      <c r="BR60" s="22">
        <f>CHOOSE($BN$3,104-BL60,BN60,BO60,BP60)+0.00001*ROWS($BM$18:BM60)</f>
        <v>565.00043000000005</v>
      </c>
      <c r="BS60" s="22">
        <f t="shared" si="22"/>
        <v>2</v>
      </c>
      <c r="BT60" s="22">
        <v>43</v>
      </c>
      <c r="BU60" s="22">
        <v>45</v>
      </c>
      <c r="BV60" t="str">
        <v>Iran</v>
      </c>
      <c r="BW60">
        <v>18000</v>
      </c>
      <c r="BX60" s="22">
        <v>16.5</v>
      </c>
      <c r="BY60" s="22">
        <v>3</v>
      </c>
      <c r="CB60">
        <v>1</v>
      </c>
      <c r="CC60" s="22">
        <v>1</v>
      </c>
      <c r="CD60" s="22" t="s">
        <v>4422</v>
      </c>
      <c r="CF60" s="22" t="s">
        <v>186</v>
      </c>
    </row>
    <row r="61" spans="2:84" x14ac:dyDescent="0.25">
      <c r="K61" s="18"/>
      <c r="L61" s="22"/>
      <c r="M61" s="22"/>
      <c r="N61" s="13"/>
      <c r="O61" s="19"/>
      <c r="P61" s="19"/>
      <c r="Q61" s="19"/>
      <c r="R61" s="19"/>
      <c r="S61" s="19"/>
      <c r="T61" s="19"/>
      <c r="U61" s="19"/>
      <c r="BL61" s="37">
        <v>44</v>
      </c>
      <c r="BM61" s="22" t="s">
        <v>726</v>
      </c>
      <c r="BN61" s="22">
        <f t="array" ref="BN61">SUM((Country=BM61)*Salaries)/SUM((Country=BM61)*1)</f>
        <v>28872.83679733074</v>
      </c>
      <c r="BO61" s="22">
        <f t="array" ref="BO61">IFERROR(SUM((Country=BM61)*(YearsExp&lt;&gt;"")*YearsExp)/SUM((Country=BM61)*(YearsExp&lt;&gt;"")*1),0)</f>
        <v>7.875</v>
      </c>
      <c r="BP61" s="22">
        <f t="array" ref="BP61">SUM((Country=BM61)*1)</f>
        <v>8</v>
      </c>
      <c r="BR61" s="22">
        <f>CHOOSE($BN$3,104-BL61,BN61,BO61,BP61)+0.00001*ROWS($BM$18:BM61)</f>
        <v>8.0004399999999993</v>
      </c>
      <c r="BS61" s="22">
        <f t="shared" si="22"/>
        <v>21</v>
      </c>
      <c r="BT61" s="22">
        <v>44</v>
      </c>
      <c r="BU61" s="22">
        <v>38</v>
      </c>
      <c r="BV61" t="str">
        <v>Greece</v>
      </c>
      <c r="BW61">
        <v>30066.120056134718</v>
      </c>
      <c r="BX61" s="22">
        <v>14</v>
      </c>
      <c r="BY61" s="22">
        <v>3</v>
      </c>
      <c r="CB61">
        <v>2</v>
      </c>
      <c r="CC61" s="22">
        <v>2</v>
      </c>
      <c r="CD61" s="22" t="s">
        <v>25</v>
      </c>
      <c r="CF61" s="22" t="s">
        <v>25</v>
      </c>
    </row>
    <row r="62" spans="2:84" x14ac:dyDescent="0.25">
      <c r="B62" s="13"/>
      <c r="C62" s="13"/>
      <c r="D62" s="13"/>
      <c r="E62" s="13"/>
      <c r="F62" s="13"/>
      <c r="G62" s="13"/>
      <c r="H62" s="13"/>
      <c r="K62" s="18"/>
      <c r="L62" s="22">
        <v>6</v>
      </c>
      <c r="M62" s="22">
        <v>1</v>
      </c>
      <c r="N62" s="13"/>
      <c r="O62" s="19">
        <f t="shared" ref="O62:S63" ca="1" si="77">OFFSET($N$21,$L62,$M62+O$45)</f>
        <v>4558.3541656278712</v>
      </c>
      <c r="P62" s="19">
        <f t="shared" ca="1" si="77"/>
        <v>7229.5416687442566</v>
      </c>
      <c r="Q62" s="19">
        <f t="shared" ca="1" si="77"/>
        <v>4472.8685499748563</v>
      </c>
      <c r="R62" s="19">
        <f t="shared" ca="1" si="77"/>
        <v>12297.589781280887</v>
      </c>
      <c r="S62" s="19">
        <f t="shared" ca="1" si="77"/>
        <v>114000</v>
      </c>
      <c r="T62" s="19"/>
      <c r="U62" s="19"/>
      <c r="BL62" s="37">
        <v>45</v>
      </c>
      <c r="BM62" s="22" t="s">
        <v>1078</v>
      </c>
      <c r="BN62" s="22">
        <f t="array" ref="BN62">SUM((Country=BM62)*Salaries)/SUM((Country=BM62)*1)</f>
        <v>18000</v>
      </c>
      <c r="BO62" s="22">
        <f t="array" ref="BO62">IFERROR(SUM((Country=BM62)*(YearsExp&lt;&gt;"")*YearsExp)/SUM((Country=BM62)*(YearsExp&lt;&gt;"")*1),0)</f>
        <v>16.5</v>
      </c>
      <c r="BP62" s="22">
        <f t="array" ref="BP62">SUM((Country=BM62)*1)</f>
        <v>3</v>
      </c>
      <c r="BR62" s="22">
        <f>CHOOSE($BN$3,104-BL62,BN62,BO62,BP62)+0.00001*ROWS($BM$18:BM62)</f>
        <v>3.0004499999999998</v>
      </c>
      <c r="BS62" s="22">
        <f t="shared" si="22"/>
        <v>43</v>
      </c>
      <c r="BT62" s="22">
        <v>45</v>
      </c>
      <c r="BU62" s="22">
        <v>34</v>
      </c>
      <c r="BV62" t="str">
        <v>Finland</v>
      </c>
      <c r="BW62">
        <v>75389.415540034111</v>
      </c>
      <c r="BX62" s="22">
        <v>4.5</v>
      </c>
      <c r="BY62" s="22">
        <v>3</v>
      </c>
      <c r="CB62">
        <v>3</v>
      </c>
      <c r="CC62" s="22">
        <v>3</v>
      </c>
      <c r="CD62" s="22" t="s">
        <v>18</v>
      </c>
      <c r="CF62" s="22" t="s">
        <v>18</v>
      </c>
    </row>
    <row r="63" spans="2:84" x14ac:dyDescent="0.25">
      <c r="B63" s="13"/>
      <c r="C63" s="20"/>
      <c r="D63" s="20"/>
      <c r="E63" s="20"/>
      <c r="F63" s="20"/>
      <c r="G63" s="20"/>
      <c r="H63" s="20"/>
      <c r="I63" s="20"/>
      <c r="K63" s="18"/>
      <c r="L63" s="22">
        <v>6</v>
      </c>
      <c r="M63" s="22">
        <v>10</v>
      </c>
      <c r="N63" s="13" t="s">
        <v>279</v>
      </c>
      <c r="O63" s="19">
        <f t="shared" ca="1" si="77"/>
        <v>50371</v>
      </c>
      <c r="P63" s="19">
        <f t="shared" ca="1" si="77"/>
        <v>57000</v>
      </c>
      <c r="Q63" s="19">
        <f t="shared" ca="1" si="77"/>
        <v>14250</v>
      </c>
      <c r="R63" s="19">
        <f t="shared" ca="1" si="77"/>
        <v>13750</v>
      </c>
      <c r="S63" s="19">
        <f t="shared" ca="1" si="77"/>
        <v>45000</v>
      </c>
      <c r="T63" s="19"/>
      <c r="U63" s="19"/>
      <c r="BL63" s="37">
        <v>46</v>
      </c>
      <c r="BM63" s="22" t="s">
        <v>36</v>
      </c>
      <c r="BN63" s="22">
        <f t="array" ref="BN63">SUM((Country=BM63)*Salaries)/SUM((Country=BM63)*1)</f>
        <v>61652.484774262724</v>
      </c>
      <c r="BO63" s="22">
        <f t="array" ref="BO63">IFERROR(SUM((Country=BM63)*(YearsExp&lt;&gt;"")*YearsExp)/SUM((Country=BM63)*(YearsExp&lt;&gt;"")*1),0)</f>
        <v>12</v>
      </c>
      <c r="BP63" s="22">
        <f t="array" ref="BP63">SUM((Country=BM63)*1)</f>
        <v>5</v>
      </c>
      <c r="BR63" s="22">
        <f>CHOOSE($BN$3,104-BL63,BN63,BO63,BP63)+0.00001*ROWS($BM$18:BM63)</f>
        <v>5.0004600000000003</v>
      </c>
      <c r="BS63" s="22">
        <f t="shared" si="22"/>
        <v>30</v>
      </c>
      <c r="BT63" s="22">
        <v>46</v>
      </c>
      <c r="BU63" s="22">
        <v>25</v>
      </c>
      <c r="BV63" t="str">
        <v>Croatia</v>
      </c>
      <c r="BW63">
        <v>43489.586535798582</v>
      </c>
      <c r="BX63" s="22">
        <v>4</v>
      </c>
      <c r="BY63" s="22">
        <v>3</v>
      </c>
      <c r="CB63">
        <v>4</v>
      </c>
      <c r="CC63" s="22">
        <v>4</v>
      </c>
      <c r="CD63" s="22" t="s">
        <v>9</v>
      </c>
      <c r="CF63" s="22" t="s">
        <v>9</v>
      </c>
    </row>
    <row r="64" spans="2:84" x14ac:dyDescent="0.25">
      <c r="B64" s="13"/>
      <c r="C64" s="20"/>
      <c r="D64" s="20"/>
      <c r="E64" s="20"/>
      <c r="F64" s="20"/>
      <c r="G64" s="20"/>
      <c r="H64" s="20"/>
      <c r="I64" s="20"/>
      <c r="K64" s="18"/>
      <c r="L64" s="22"/>
      <c r="M64" s="22"/>
      <c r="N64" s="13"/>
      <c r="O64" s="19"/>
      <c r="P64" s="19"/>
      <c r="Q64" s="19"/>
      <c r="R64" s="19"/>
      <c r="S64" s="19"/>
      <c r="T64" s="19"/>
      <c r="U64" s="19"/>
      <c r="BL64" s="37">
        <v>47</v>
      </c>
      <c r="BM64" s="22" t="s">
        <v>416</v>
      </c>
      <c r="BN64" s="22">
        <f t="array" ref="BN64">SUM((Country=BM64)*Salaries)/SUM((Country=BM64)*1)</f>
        <v>66840</v>
      </c>
      <c r="BO64" s="22">
        <f t="array" ref="BO64">IFERROR(SUM((Country=BM64)*(YearsExp&lt;&gt;"")*YearsExp)/SUM((Country=BM64)*(YearsExp&lt;&gt;"")*1),0)</f>
        <v>7</v>
      </c>
      <c r="BP64" s="22">
        <f t="array" ref="BP64">SUM((Country=BM64)*1)</f>
        <v>5</v>
      </c>
      <c r="BR64" s="22">
        <f>CHOOSE($BN$3,104-BL64,BN64,BO64,BP64)+0.00001*ROWS($BM$18:BM64)</f>
        <v>5.00047</v>
      </c>
      <c r="BS64" s="22">
        <f t="shared" si="22"/>
        <v>29</v>
      </c>
      <c r="BT64" s="22">
        <v>47</v>
      </c>
      <c r="BU64" s="22">
        <v>102</v>
      </c>
      <c r="BV64" t="str">
        <v>Zambia</v>
      </c>
      <c r="BW64">
        <v>13000</v>
      </c>
      <c r="BX64" s="22">
        <v>3.5</v>
      </c>
      <c r="BY64" s="22">
        <v>2</v>
      </c>
      <c r="CB64">
        <v>5</v>
      </c>
      <c r="CC64" s="22">
        <v>5</v>
      </c>
      <c r="CD64" s="22" t="s">
        <v>4421</v>
      </c>
      <c r="CF64" s="22" t="s">
        <v>13</v>
      </c>
    </row>
    <row r="65" spans="2:77" x14ac:dyDescent="0.25">
      <c r="B65" s="13"/>
      <c r="C65" s="20"/>
      <c r="D65" s="20"/>
      <c r="E65" s="20"/>
      <c r="F65" s="20"/>
      <c r="G65" s="20"/>
      <c r="H65" s="20"/>
      <c r="I65" s="20"/>
      <c r="K65" s="18"/>
      <c r="L65" s="22">
        <v>7</v>
      </c>
      <c r="M65" s="22">
        <v>1</v>
      </c>
      <c r="N65" s="13"/>
      <c r="O65" s="19">
        <f t="shared" ref="O65:S66" ca="1" si="78">OFFSET($N$21,$L65,$M65+O$45)</f>
        <v>5887.2460467309138</v>
      </c>
      <c r="P65" s="19">
        <f t="shared" ca="1" si="78"/>
        <v>7693.0200089751897</v>
      </c>
      <c r="Q65" s="19">
        <f t="shared" ca="1" si="78"/>
        <v>3882.1258378624798</v>
      </c>
      <c r="R65" s="19">
        <f t="shared" ca="1" si="78"/>
        <v>9794.3541780934138</v>
      </c>
      <c r="S65" s="19">
        <f t="shared" ca="1" si="78"/>
        <v>165613.62519321591</v>
      </c>
      <c r="T65" s="19"/>
      <c r="U65" s="19"/>
      <c r="BL65" s="37">
        <v>48</v>
      </c>
      <c r="BM65" s="22" t="s">
        <v>1351</v>
      </c>
      <c r="BN65" s="22">
        <f t="array" ref="BN65">SUM((Country=BM65)*Salaries)/SUM((Country=BM65)*1)</f>
        <v>47258.859130487806</v>
      </c>
      <c r="BO65" s="22">
        <f t="array" ref="BO65">IFERROR(SUM((Country=BM65)*(YearsExp&lt;&gt;"")*YearsExp)/SUM((Country=BM65)*(YearsExp&lt;&gt;"")*1),0)</f>
        <v>11.666666666666666</v>
      </c>
      <c r="BP65" s="22">
        <f t="array" ref="BP65">SUM((Country=BM65)*1)</f>
        <v>6</v>
      </c>
      <c r="BR65" s="22">
        <f>CHOOSE($BN$3,104-BL65,BN65,BO65,BP65)+0.00001*ROWS($BM$18:BM65)</f>
        <v>6.0004799999999996</v>
      </c>
      <c r="BS65" s="22">
        <f t="shared" si="22"/>
        <v>25</v>
      </c>
      <c r="BT65" s="22">
        <v>48</v>
      </c>
      <c r="BU65" s="22">
        <v>101</v>
      </c>
      <c r="BV65" t="str">
        <v>Vietnam</v>
      </c>
      <c r="BW65">
        <v>10000</v>
      </c>
      <c r="BX65" s="22">
        <v>6</v>
      </c>
      <c r="BY65" s="22">
        <v>2</v>
      </c>
    </row>
    <row r="66" spans="2:77" x14ac:dyDescent="0.25">
      <c r="B66" s="13"/>
      <c r="C66" s="20"/>
      <c r="D66" s="20"/>
      <c r="E66" s="20"/>
      <c r="F66" s="20"/>
      <c r="G66" s="20"/>
      <c r="H66" s="20"/>
      <c r="I66" s="20"/>
      <c r="L66" s="22">
        <v>7</v>
      </c>
      <c r="M66" s="22">
        <v>10</v>
      </c>
      <c r="N66" s="13" t="s">
        <v>52</v>
      </c>
      <c r="O66" s="19">
        <f t="shared" ca="1" si="78"/>
        <v>41000</v>
      </c>
      <c r="P66" s="19">
        <f t="shared" ca="1" si="78"/>
        <v>52000</v>
      </c>
      <c r="Q66" s="19">
        <f t="shared" ca="1" si="78"/>
        <v>16835.306612122877</v>
      </c>
      <c r="R66" s="19">
        <f t="shared" ca="1" si="78"/>
        <v>21164.693387877123</v>
      </c>
      <c r="S66" s="19">
        <f t="shared" ca="1" si="78"/>
        <v>310000</v>
      </c>
      <c r="T66" s="19"/>
      <c r="U66" s="19"/>
      <c r="BL66" s="37">
        <v>49</v>
      </c>
      <c r="BM66" s="22" t="s">
        <v>654</v>
      </c>
      <c r="BN66" s="22">
        <f t="array" ref="BN66">SUM((Country=BM66)*Salaries)/SUM((Country=BM66)*1)</f>
        <v>67564.774036395989</v>
      </c>
      <c r="BO66" s="22">
        <f t="array" ref="BO66">IFERROR(SUM((Country=BM66)*(YearsExp&lt;&gt;"")*YearsExp)/SUM((Country=BM66)*(YearsExp&lt;&gt;"")*1),0)</f>
        <v>5</v>
      </c>
      <c r="BP66" s="22">
        <f t="array" ref="BP66">SUM((Country=BM66)*1)</f>
        <v>3</v>
      </c>
      <c r="BR66" s="22">
        <f>CHOOSE($BN$3,104-BL66,BN66,BO66,BP66)+0.00001*ROWS($BM$18:BM66)</f>
        <v>3.0004900000000001</v>
      </c>
      <c r="BS66" s="22">
        <f t="shared" si="22"/>
        <v>42</v>
      </c>
      <c r="BT66" s="22">
        <v>49</v>
      </c>
      <c r="BU66" s="22">
        <v>94</v>
      </c>
      <c r="BV66" t="str">
        <v>Turkey</v>
      </c>
      <c r="BW66">
        <v>48000</v>
      </c>
      <c r="BX66" s="22">
        <v>10</v>
      </c>
      <c r="BY66" s="22">
        <v>2</v>
      </c>
    </row>
    <row r="67" spans="2:77" x14ac:dyDescent="0.25">
      <c r="B67" s="13"/>
      <c r="C67" s="20"/>
      <c r="D67" s="20"/>
      <c r="E67" s="20"/>
      <c r="F67" s="20"/>
      <c r="G67" s="20"/>
      <c r="H67" s="20"/>
      <c r="I67" s="20"/>
      <c r="L67" s="22"/>
      <c r="M67" s="22"/>
      <c r="O67" s="19"/>
      <c r="P67" s="19"/>
      <c r="Q67" s="19"/>
      <c r="R67" s="19"/>
      <c r="S67" s="19"/>
      <c r="T67" s="19"/>
      <c r="U67" s="19"/>
      <c r="BL67" s="37">
        <v>50</v>
      </c>
      <c r="BM67" s="22" t="s">
        <v>1344</v>
      </c>
      <c r="BN67" s="22">
        <f t="array" ref="BN67">SUM((Country=BM67)*Salaries)/SUM((Country=BM67)*1)</f>
        <v>51497.005988023957</v>
      </c>
      <c r="BO67" s="22">
        <f t="array" ref="BO67">IFERROR(SUM((Country=BM67)*(YearsExp&lt;&gt;"")*YearsExp)/SUM((Country=BM67)*(YearsExp&lt;&gt;"")*1),0)</f>
        <v>9</v>
      </c>
      <c r="BP67" s="22">
        <f t="array" ref="BP67">SUM((Country=BM67)*1)</f>
        <v>1</v>
      </c>
      <c r="BR67" s="22">
        <f>CHOOSE($BN$3,104-BL67,BN67,BO67,BP67)+0.00001*ROWS($BM$18:BM67)</f>
        <v>1.0004999999999999</v>
      </c>
      <c r="BS67" s="22">
        <f t="shared" si="22"/>
        <v>79</v>
      </c>
      <c r="BT67" s="22">
        <v>50</v>
      </c>
      <c r="BU67" s="22">
        <v>92</v>
      </c>
      <c r="BV67" t="str">
        <v>Thailand</v>
      </c>
      <c r="BW67">
        <v>73000</v>
      </c>
      <c r="BX67" s="22">
        <v>1</v>
      </c>
      <c r="BY67" s="22">
        <v>2</v>
      </c>
    </row>
    <row r="68" spans="2:77" x14ac:dyDescent="0.25">
      <c r="B68" s="13"/>
      <c r="C68" s="20"/>
      <c r="D68" s="20"/>
      <c r="E68" s="20"/>
      <c r="F68" s="20"/>
      <c r="G68" s="20"/>
      <c r="H68" s="20"/>
      <c r="I68" s="20"/>
      <c r="L68" s="22">
        <v>8</v>
      </c>
      <c r="M68" s="22">
        <v>1</v>
      </c>
      <c r="O68" s="19">
        <f t="shared" ref="O68:S69" ca="1" si="79">OFFSET($N$21,$L68,$M68+O$45)</f>
        <v>1880.1687478185304</v>
      </c>
      <c r="P68" s="19">
        <f t="shared" ca="1" si="79"/>
        <v>4373.2770840604899</v>
      </c>
      <c r="Q68" s="19">
        <f t="shared" ca="1" si="79"/>
        <v>8626.7229159395101</v>
      </c>
      <c r="R68" s="19">
        <f t="shared" ca="1" si="79"/>
        <v>13178.0577973744</v>
      </c>
      <c r="S68" s="19">
        <f t="shared" ca="1" si="79"/>
        <v>15534.173392123201</v>
      </c>
      <c r="T68" s="19"/>
      <c r="U68" s="19"/>
      <c r="BL68" s="37">
        <v>51</v>
      </c>
      <c r="BM68" s="22" t="s">
        <v>1176</v>
      </c>
      <c r="BN68" s="22">
        <f t="array" ref="BN68">SUM((Country=BM68)*Salaries)/SUM((Country=BM68)*1)</f>
        <v>35900</v>
      </c>
      <c r="BO68" s="22">
        <f t="array" ref="BO68">IFERROR(SUM((Country=BM68)*(YearsExp&lt;&gt;"")*YearsExp)/SUM((Country=BM68)*(YearsExp&lt;&gt;"")*1),0)</f>
        <v>10.25</v>
      </c>
      <c r="BP68" s="22">
        <f t="array" ref="BP68">SUM((Country=BM68)*1)</f>
        <v>4</v>
      </c>
      <c r="BR68" s="22">
        <f>CHOOSE($BN$3,104-BL68,BN68,BO68,BP68)+0.00001*ROWS($BM$18:BM68)</f>
        <v>4.0005100000000002</v>
      </c>
      <c r="BS68" s="22">
        <f t="shared" si="22"/>
        <v>37</v>
      </c>
      <c r="BT68" s="22">
        <v>51</v>
      </c>
      <c r="BU68" s="22">
        <v>90</v>
      </c>
      <c r="BV68" t="str">
        <v>Sweden</v>
      </c>
      <c r="BW68">
        <v>84477.260092140481</v>
      </c>
      <c r="BX68" s="22">
        <v>20</v>
      </c>
      <c r="BY68" s="22">
        <v>2</v>
      </c>
    </row>
    <row r="69" spans="2:77" x14ac:dyDescent="0.25">
      <c r="L69" s="22">
        <v>8</v>
      </c>
      <c r="M69" s="22">
        <v>10</v>
      </c>
      <c r="N69" t="s">
        <v>4000</v>
      </c>
      <c r="O69" s="19">
        <f t="shared" ca="1" si="79"/>
        <v>6269.5</v>
      </c>
      <c r="P69" s="19">
        <f t="shared" ca="1" si="79"/>
        <v>80730.5</v>
      </c>
      <c r="Q69" s="19">
        <f t="shared" ca="1" si="79"/>
        <v>6269.5</v>
      </c>
      <c r="R69" s="19">
        <f t="shared" ca="1" si="79"/>
        <v>1500</v>
      </c>
      <c r="S69" s="19">
        <f t="shared" ca="1" si="79"/>
        <v>1500</v>
      </c>
      <c r="T69" s="19"/>
      <c r="U69" s="19"/>
      <c r="BL69" s="37">
        <v>52</v>
      </c>
      <c r="BM69" s="22" t="s">
        <v>1176</v>
      </c>
      <c r="BN69" s="22">
        <f t="array" ref="BN69">SUM((Country=BM69)*Salaries)/SUM((Country=BM69)*1)</f>
        <v>35900</v>
      </c>
      <c r="BO69" s="22">
        <f t="array" ref="BO69">IFERROR(SUM((Country=BM69)*(YearsExp&lt;&gt;"")*YearsExp)/SUM((Country=BM69)*(YearsExp&lt;&gt;"")*1),0)</f>
        <v>10.25</v>
      </c>
      <c r="BP69" s="22">
        <f t="array" ref="BP69">SUM((Country=BM69)*1)</f>
        <v>4</v>
      </c>
      <c r="BR69" s="22">
        <f>CHOOSE($BN$3,104-BL69,BN69,BO69,BP69)+0.00001*ROWS($BM$18:BM69)</f>
        <v>4.0005199999999999</v>
      </c>
      <c r="BS69" s="22">
        <f t="shared" si="22"/>
        <v>36</v>
      </c>
      <c r="BT69" s="22">
        <v>52</v>
      </c>
      <c r="BU69" s="22">
        <v>71</v>
      </c>
      <c r="BV69" t="str">
        <v>Panama</v>
      </c>
      <c r="BW69">
        <v>44759.985974790194</v>
      </c>
      <c r="BX69" s="22">
        <v>0</v>
      </c>
      <c r="BY69" s="22">
        <v>2</v>
      </c>
    </row>
    <row r="70" spans="2:77" x14ac:dyDescent="0.25">
      <c r="L70" s="22"/>
      <c r="M70" s="22"/>
      <c r="O70" s="19"/>
      <c r="P70" s="19"/>
      <c r="Q70" s="19"/>
      <c r="R70" s="19"/>
      <c r="S70" s="19"/>
      <c r="T70" s="19"/>
      <c r="U70" s="19"/>
      <c r="BL70" s="37">
        <v>53</v>
      </c>
      <c r="BM70" s="22" t="s">
        <v>1371</v>
      </c>
      <c r="BN70" s="22">
        <f t="array" ref="BN70">SUM((Country=BM70)*Salaries)/SUM((Country=BM70)*1)</f>
        <v>4400</v>
      </c>
      <c r="BO70" s="22">
        <f t="array" ref="BO70">IFERROR(SUM((Country=BM70)*(YearsExp&lt;&gt;"")*YearsExp)/SUM((Country=BM70)*(YearsExp&lt;&gt;"")*1),0)</f>
        <v>5</v>
      </c>
      <c r="BP70" s="22">
        <f t="array" ref="BP70">SUM((Country=BM70)*1)</f>
        <v>1</v>
      </c>
      <c r="BR70" s="22">
        <f>CHOOSE($BN$3,104-BL70,BN70,BO70,BP70)+0.00001*ROWS($BM$18:BM70)</f>
        <v>1.0005299999999999</v>
      </c>
      <c r="BS70" s="22">
        <f t="shared" si="22"/>
        <v>78</v>
      </c>
      <c r="BT70" s="22">
        <v>53</v>
      </c>
      <c r="BU70" s="22">
        <v>64</v>
      </c>
      <c r="BV70" t="str">
        <v>Myanmar</v>
      </c>
      <c r="BW70">
        <v>17700</v>
      </c>
      <c r="BX70" s="22">
        <v>10</v>
      </c>
      <c r="BY70" s="22">
        <v>2</v>
      </c>
    </row>
    <row r="71" spans="2:77" x14ac:dyDescent="0.25">
      <c r="L71" s="22">
        <v>9</v>
      </c>
      <c r="M71" s="22">
        <v>1</v>
      </c>
      <c r="O71" s="19">
        <f t="shared" ref="O71:S72" ca="1" si="80">OFFSET($N$21,$L71,$M71+O$45)</f>
        <v>2089.4640309761562</v>
      </c>
      <c r="P71" s="19">
        <f t="shared" ca="1" si="80"/>
        <v>4000</v>
      </c>
      <c r="Q71" s="19">
        <f t="shared" ca="1" si="80"/>
        <v>1983.4600069807029</v>
      </c>
      <c r="R71" s="19">
        <f t="shared" ca="1" si="80"/>
        <v>4016.5399930192971</v>
      </c>
      <c r="S71" s="19">
        <f t="shared" ca="1" si="80"/>
        <v>90614.729284050511</v>
      </c>
      <c r="T71" s="19"/>
      <c r="U71" s="19"/>
      <c r="BL71" s="37">
        <v>54</v>
      </c>
      <c r="BM71" s="22" t="s">
        <v>1745</v>
      </c>
      <c r="BN71" s="22">
        <f t="array" ref="BN71">SUM((Country=BM71)*Salaries)/SUM((Country=BM71)*1)</f>
        <v>177600</v>
      </c>
      <c r="BO71" s="22">
        <f t="array" ref="BO71">IFERROR(SUM((Country=BM71)*(YearsExp&lt;&gt;"")*YearsExp)/SUM((Country=BM71)*(YearsExp&lt;&gt;"")*1),0)</f>
        <v>6</v>
      </c>
      <c r="BP71" s="22">
        <f t="array" ref="BP71">SUM((Country=BM71)*1)</f>
        <v>1</v>
      </c>
      <c r="BR71" s="22">
        <f>CHOOSE($BN$3,104-BL71,BN71,BO71,BP71)+0.00001*ROWS($BM$18:BM71)</f>
        <v>1.00054</v>
      </c>
      <c r="BS71" s="22">
        <f t="shared" si="22"/>
        <v>77</v>
      </c>
      <c r="BT71" s="22">
        <v>54</v>
      </c>
      <c r="BU71" s="22">
        <v>28</v>
      </c>
      <c r="BV71" t="str">
        <v>Dominican Republic</v>
      </c>
      <c r="BW71">
        <v>11016.682284980743</v>
      </c>
      <c r="BX71" s="22">
        <v>3</v>
      </c>
      <c r="BY71" s="22">
        <v>2</v>
      </c>
    </row>
    <row r="72" spans="2:77" x14ac:dyDescent="0.25">
      <c r="L72" s="22">
        <v>9</v>
      </c>
      <c r="M72" s="22">
        <v>10</v>
      </c>
      <c r="N72" t="s">
        <v>3999</v>
      </c>
      <c r="O72" s="19">
        <f t="shared" ca="1" si="80"/>
        <v>5000</v>
      </c>
      <c r="P72" s="19">
        <f t="shared" ca="1" si="80"/>
        <v>37000</v>
      </c>
      <c r="Q72" s="19">
        <f t="shared" ca="1" si="80"/>
        <v>8000</v>
      </c>
      <c r="R72" s="19">
        <f t="shared" ca="1" si="80"/>
        <v>40000</v>
      </c>
      <c r="S72" s="19">
        <f t="shared" ca="1" si="80"/>
        <v>7000</v>
      </c>
      <c r="T72" s="19"/>
      <c r="U72" s="19"/>
      <c r="BL72" s="37">
        <v>55</v>
      </c>
      <c r="BM72" s="22" t="s">
        <v>1700</v>
      </c>
      <c r="BN72" s="22">
        <f t="array" ref="BN72">SUM((Country=BM72)*Salaries)/SUM((Country=BM72)*1)</f>
        <v>24864</v>
      </c>
      <c r="BO72" s="22">
        <f t="array" ref="BO72">IFERROR(SUM((Country=BM72)*(YearsExp&lt;&gt;"")*YearsExp)/SUM((Country=BM72)*(YearsExp&lt;&gt;"")*1),0)</f>
        <v>8</v>
      </c>
      <c r="BP72" s="22">
        <f t="array" ref="BP72">SUM((Country=BM72)*1)</f>
        <v>1</v>
      </c>
      <c r="BR72" s="22">
        <f>CHOOSE($BN$3,104-BL72,BN72,BO72,BP72)+0.00001*ROWS($BM$18:BM72)</f>
        <v>1.0005500000000001</v>
      </c>
      <c r="BS72" s="22">
        <f t="shared" si="22"/>
        <v>76</v>
      </c>
      <c r="BT72" s="22">
        <v>55</v>
      </c>
      <c r="BU72" s="22">
        <v>22</v>
      </c>
      <c r="BV72" t="str">
        <v>China</v>
      </c>
      <c r="BW72">
        <v>17046.090103460039</v>
      </c>
      <c r="BX72" s="22">
        <v>8</v>
      </c>
      <c r="BY72" s="22">
        <v>2</v>
      </c>
    </row>
    <row r="73" spans="2:77" x14ac:dyDescent="0.25">
      <c r="L73" s="22"/>
      <c r="M73" s="22"/>
      <c r="O73" s="19"/>
      <c r="P73" s="19"/>
      <c r="Q73" s="19"/>
      <c r="R73" s="19"/>
      <c r="S73" s="19"/>
      <c r="T73" s="19"/>
      <c r="U73" s="19"/>
      <c r="BL73" s="37">
        <v>56</v>
      </c>
      <c r="BM73" s="22" t="s">
        <v>818</v>
      </c>
      <c r="BN73" s="22">
        <f t="array" ref="BN73">SUM((Country=BM73)*Salaries)/SUM((Country=BM73)*1)</f>
        <v>15000</v>
      </c>
      <c r="BO73" s="22">
        <f t="array" ref="BO73">IFERROR(SUM((Country=BM73)*(YearsExp&lt;&gt;"")*YearsExp)/SUM((Country=BM73)*(YearsExp&lt;&gt;"")*1),0)</f>
        <v>2</v>
      </c>
      <c r="BP73" s="22">
        <f t="array" ref="BP73">SUM((Country=BM73)*1)</f>
        <v>1</v>
      </c>
      <c r="BR73" s="22">
        <f>CHOOSE($BN$3,104-BL73,BN73,BO73,BP73)+0.00001*ROWS($BM$18:BM73)</f>
        <v>1.0005599999999999</v>
      </c>
      <c r="BS73" s="22">
        <f t="shared" si="22"/>
        <v>75</v>
      </c>
      <c r="BT73" s="22">
        <v>56</v>
      </c>
      <c r="BU73" s="22">
        <v>20</v>
      </c>
      <c r="BV73" t="str">
        <v>CEE</v>
      </c>
      <c r="BW73">
        <v>87167.974754622352</v>
      </c>
      <c r="BX73" s="22">
        <v>20</v>
      </c>
      <c r="BY73" s="22">
        <v>2</v>
      </c>
    </row>
    <row r="74" spans="2:77" x14ac:dyDescent="0.25">
      <c r="L74" s="22">
        <v>10</v>
      </c>
      <c r="M74" s="22">
        <v>1</v>
      </c>
      <c r="O74" s="19">
        <f t="shared" ref="O74:S75" ca="1" si="81">OFFSET($N$21,$L74,$M74+O$45)</f>
        <v>5436.4250037396632</v>
      </c>
      <c r="P74" s="19">
        <f t="shared" ca="1" si="81"/>
        <v>9455.4250037396632</v>
      </c>
      <c r="Q74" s="19">
        <f t="shared" ca="1" si="81"/>
        <v>8544.5749962603368</v>
      </c>
      <c r="R74" s="19">
        <f t="shared" ca="1" si="81"/>
        <v>10000</v>
      </c>
      <c r="S74" s="19">
        <f t="shared" ca="1" si="81"/>
        <v>71147</v>
      </c>
      <c r="T74" s="19"/>
      <c r="U74" s="19"/>
      <c r="BL74" s="37">
        <v>57</v>
      </c>
      <c r="BM74" s="22" t="s">
        <v>1131</v>
      </c>
      <c r="BN74" s="22">
        <f t="array" ref="BN74">SUM((Country=BM74)*Salaries)/SUM((Country=BM74)*1)</f>
        <v>23371.616569936894</v>
      </c>
      <c r="BO74" s="22">
        <f t="array" ref="BO74">IFERROR(SUM((Country=BM74)*(YearsExp&lt;&gt;"")*YearsExp)/SUM((Country=BM74)*(YearsExp&lt;&gt;"")*1),0)</f>
        <v>6.75</v>
      </c>
      <c r="BP74" s="22">
        <f t="array" ref="BP74">SUM((Country=BM74)*1)</f>
        <v>8</v>
      </c>
      <c r="BR74" s="22">
        <f>CHOOSE($BN$3,104-BL74,BN74,BO74,BP74)+0.00001*ROWS($BM$18:BM74)</f>
        <v>8.0005699999999997</v>
      </c>
      <c r="BS74" s="22">
        <f t="shared" si="22"/>
        <v>20</v>
      </c>
      <c r="BT74" s="22">
        <v>57</v>
      </c>
      <c r="BU74" s="22">
        <v>11</v>
      </c>
      <c r="BV74" t="str">
        <v>Bangladesh</v>
      </c>
      <c r="BW74">
        <v>10299.008645025993</v>
      </c>
      <c r="BX74" s="22">
        <v>12</v>
      </c>
      <c r="BY74" s="22">
        <v>2</v>
      </c>
    </row>
    <row r="75" spans="2:77" x14ac:dyDescent="0.25">
      <c r="L75" s="22">
        <v>10</v>
      </c>
      <c r="M75" s="22">
        <v>10</v>
      </c>
      <c r="N75" t="s">
        <v>67</v>
      </c>
      <c r="O75" s="19">
        <f t="shared" ca="1" si="81"/>
        <v>14000</v>
      </c>
      <c r="P75" s="19">
        <f t="shared" ca="1" si="81"/>
        <v>45000</v>
      </c>
      <c r="Q75" s="19">
        <f t="shared" ca="1" si="81"/>
        <v>5000</v>
      </c>
      <c r="R75" s="19">
        <f t="shared" ca="1" si="81"/>
        <v>19000</v>
      </c>
      <c r="S75" s="19">
        <f t="shared" ca="1" si="81"/>
        <v>331000</v>
      </c>
      <c r="T75" s="19"/>
      <c r="U75" s="19"/>
      <c r="BL75" s="37">
        <v>58</v>
      </c>
      <c r="BM75" s="22" t="s">
        <v>1771</v>
      </c>
      <c r="BN75" s="22">
        <f t="array" ref="BN75">SUM((Country=BM75)*Salaries)/SUM((Country=BM75)*1)</f>
        <v>9376.2513877177607</v>
      </c>
      <c r="BO75" s="22">
        <f t="array" ref="BO75">IFERROR(SUM((Country=BM75)*(YearsExp&lt;&gt;"")*YearsExp)/SUM((Country=BM75)*(YearsExp&lt;&gt;"")*1),0)</f>
        <v>7</v>
      </c>
      <c r="BP75" s="22">
        <f t="array" ref="BP75">SUM((Country=BM75)*1)</f>
        <v>1</v>
      </c>
      <c r="BR75" s="22">
        <f>CHOOSE($BN$3,104-BL75,BN75,BO75,BP75)+0.00001*ROWS($BM$18:BM75)</f>
        <v>1.00058</v>
      </c>
      <c r="BS75" s="22">
        <f t="shared" si="22"/>
        <v>74</v>
      </c>
      <c r="BT75" s="22">
        <v>58</v>
      </c>
      <c r="BU75" s="22">
        <v>103</v>
      </c>
      <c r="BV75" t="str">
        <v>Zimbabwe</v>
      </c>
      <c r="BW75">
        <v>36400</v>
      </c>
      <c r="BX75" s="22">
        <v>20</v>
      </c>
      <c r="BY75" s="22">
        <v>1</v>
      </c>
    </row>
    <row r="76" spans="2:77" x14ac:dyDescent="0.25">
      <c r="BL76" s="37">
        <v>59</v>
      </c>
      <c r="BM76" s="22" t="s">
        <v>166</v>
      </c>
      <c r="BN76" s="22">
        <f t="array" ref="BN76">SUM((Country=BM76)*Salaries)/SUM((Country=BM76)*1)</f>
        <v>32138.498288519273</v>
      </c>
      <c r="BO76" s="22">
        <f t="array" ref="BO76">IFERROR(SUM((Country=BM76)*(YearsExp&lt;&gt;"")*YearsExp)/SUM((Country=BM76)*(YearsExp&lt;&gt;"")*1),0)</f>
        <v>7.4</v>
      </c>
      <c r="BP76" s="22">
        <f t="array" ref="BP76">SUM((Country=BM76)*1)</f>
        <v>10</v>
      </c>
      <c r="BR76" s="22">
        <f>CHOOSE($BN$3,104-BL76,BN76,BO76,BP76)+0.00001*ROWS($BM$18:BM76)</f>
        <v>10.000590000000001</v>
      </c>
      <c r="BS76" s="22">
        <f t="shared" si="22"/>
        <v>18</v>
      </c>
      <c r="BT76" s="22">
        <v>59</v>
      </c>
      <c r="BU76" s="22">
        <v>99</v>
      </c>
      <c r="BV76" t="str">
        <v>Uruguay</v>
      </c>
      <c r="BW76">
        <v>35000</v>
      </c>
      <c r="BX76" s="22">
        <v>10</v>
      </c>
      <c r="BY76" s="22">
        <v>1</v>
      </c>
    </row>
    <row r="77" spans="2:77" x14ac:dyDescent="0.25">
      <c r="BL77" s="37">
        <v>60</v>
      </c>
      <c r="BM77" s="22" t="s">
        <v>1411</v>
      </c>
      <c r="BN77" s="22">
        <f t="array" ref="BN77">SUM((Country=BM77)*Salaries)/SUM((Country=BM77)*1)</f>
        <v>7261.724659606657</v>
      </c>
      <c r="BO77" s="22">
        <f t="array" ref="BO77">IFERROR(SUM((Country=BM77)*(YearsExp&lt;&gt;"")*YearsExp)/SUM((Country=BM77)*(YearsExp&lt;&gt;"")*1),0)</f>
        <v>2</v>
      </c>
      <c r="BP77" s="22">
        <f t="array" ref="BP77">SUM((Country=BM77)*1)</f>
        <v>1</v>
      </c>
      <c r="BR77" s="22">
        <f>CHOOSE($BN$3,104-BL77,BN77,BO77,BP77)+0.00001*ROWS($BM$18:BM77)</f>
        <v>1.0005999999999999</v>
      </c>
      <c r="BS77" s="22">
        <f t="shared" si="22"/>
        <v>73</v>
      </c>
      <c r="BT77" s="22">
        <v>60</v>
      </c>
      <c r="BU77" s="22">
        <v>96</v>
      </c>
      <c r="BV77" t="str">
        <v>Uganda</v>
      </c>
      <c r="BW77">
        <v>100000</v>
      </c>
      <c r="BX77" s="22">
        <v>17</v>
      </c>
      <c r="BY77" s="22">
        <v>1</v>
      </c>
    </row>
    <row r="78" spans="2:77" x14ac:dyDescent="0.25">
      <c r="BL78" s="37">
        <v>61</v>
      </c>
      <c r="BM78" s="22" t="s">
        <v>1291</v>
      </c>
      <c r="BN78" s="22">
        <f t="array" ref="BN78">SUM((Country=BM78)*Salaries)/SUM((Country=BM78)*1)</f>
        <v>13500</v>
      </c>
      <c r="BO78" s="22">
        <f t="array" ref="BO78">IFERROR(SUM((Country=BM78)*(YearsExp&lt;&gt;"")*YearsExp)/SUM((Country=BM78)*(YearsExp&lt;&gt;"")*1),0)</f>
        <v>13</v>
      </c>
      <c r="BP78" s="22">
        <f t="array" ref="BP78">SUM((Country=BM78)*1)</f>
        <v>1</v>
      </c>
      <c r="BR78" s="22">
        <f>CHOOSE($BN$3,104-BL78,BN78,BO78,BP78)+0.00001*ROWS($BM$18:BM78)</f>
        <v>1.00061</v>
      </c>
      <c r="BS78" s="22">
        <f t="shared" si="22"/>
        <v>72</v>
      </c>
      <c r="BT78" s="22">
        <v>61</v>
      </c>
      <c r="BU78" s="22">
        <v>93</v>
      </c>
      <c r="BV78" t="str">
        <v>Tunisia</v>
      </c>
      <c r="BW78">
        <v>11000</v>
      </c>
      <c r="BX78" s="22">
        <v>8</v>
      </c>
      <c r="BY78" s="22">
        <v>1</v>
      </c>
    </row>
    <row r="79" spans="2:77" x14ac:dyDescent="0.25">
      <c r="BL79" s="37">
        <v>62</v>
      </c>
      <c r="BM79" s="22" t="s">
        <v>1731</v>
      </c>
      <c r="BN79" s="22">
        <f t="array" ref="BN79">SUM((Country=BM79)*Salaries)/SUM((Country=BM79)*1)</f>
        <v>13745.704467353951</v>
      </c>
      <c r="BO79" s="22">
        <f t="array" ref="BO79">IFERROR(SUM((Country=BM79)*(YearsExp&lt;&gt;"")*YearsExp)/SUM((Country=BM79)*(YearsExp&lt;&gt;"")*1),0)</f>
        <v>8</v>
      </c>
      <c r="BP79" s="22">
        <f t="array" ref="BP79">SUM((Country=BM79)*1)</f>
        <v>1</v>
      </c>
      <c r="BR79" s="22">
        <f>CHOOSE($BN$3,104-BL79,BN79,BO79,BP79)+0.00001*ROWS($BM$18:BM79)</f>
        <v>1.0006200000000001</v>
      </c>
      <c r="BS79" s="22">
        <f t="shared" si="22"/>
        <v>71</v>
      </c>
      <c r="BT79" s="22">
        <v>62</v>
      </c>
      <c r="BU79" s="22">
        <v>86</v>
      </c>
      <c r="BV79" t="str">
        <v>Somalia</v>
      </c>
      <c r="BW79">
        <v>78000</v>
      </c>
      <c r="BX79" s="22">
        <v>0</v>
      </c>
      <c r="BY79" s="22">
        <v>1</v>
      </c>
    </row>
    <row r="80" spans="2:77" x14ac:dyDescent="0.25">
      <c r="BL80" s="37">
        <v>63</v>
      </c>
      <c r="BM80" s="22" t="s">
        <v>577</v>
      </c>
      <c r="BN80" s="22">
        <f t="array" ref="BN80">SUM((Country=BM80)*Salaries)/SUM((Country=BM80)*1)</f>
        <v>24000</v>
      </c>
      <c r="BO80" s="22">
        <f t="array" ref="BO80">IFERROR(SUM((Country=BM80)*(YearsExp&lt;&gt;"")*YearsExp)/SUM((Country=BM80)*(YearsExp&lt;&gt;"")*1),0)</f>
        <v>0</v>
      </c>
      <c r="BP80" s="22">
        <f t="array" ref="BP80">SUM((Country=BM80)*1)</f>
        <v>1</v>
      </c>
      <c r="BR80" s="22">
        <f>CHOOSE($BN$3,104-BL80,BN80,BO80,BP80)+0.00001*ROWS($BM$18:BM80)</f>
        <v>1.0006299999999999</v>
      </c>
      <c r="BS80" s="22">
        <f t="shared" si="22"/>
        <v>70</v>
      </c>
      <c r="BT80" s="22">
        <v>63</v>
      </c>
      <c r="BU80" s="22">
        <v>85</v>
      </c>
      <c r="BV80" t="str">
        <v>Slovenia</v>
      </c>
      <c r="BW80">
        <v>19055.991584874118</v>
      </c>
      <c r="BX80" s="22">
        <v>4</v>
      </c>
      <c r="BY80" s="22">
        <v>1</v>
      </c>
    </row>
    <row r="81" spans="2:77" x14ac:dyDescent="0.25">
      <c r="BL81" s="37">
        <v>64</v>
      </c>
      <c r="BM81" s="22" t="s">
        <v>1444</v>
      </c>
      <c r="BN81" s="22">
        <f t="array" ref="BN81">SUM((Country=BM81)*Salaries)/SUM((Country=BM81)*1)</f>
        <v>17700</v>
      </c>
      <c r="BO81" s="22">
        <f t="array" ref="BO81">IFERROR(SUM((Country=BM81)*(YearsExp&lt;&gt;"")*YearsExp)/SUM((Country=BM81)*(YearsExp&lt;&gt;"")*1),0)</f>
        <v>10</v>
      </c>
      <c r="BP81" s="22">
        <f t="array" ref="BP81">SUM((Country=BM81)*1)</f>
        <v>2</v>
      </c>
      <c r="BR81" s="22">
        <f>CHOOSE($BN$3,104-BL81,BN81,BO81,BP81)+0.00001*ROWS($BM$18:BM81)</f>
        <v>2.0006400000000002</v>
      </c>
      <c r="BS81" s="22">
        <f t="shared" si="22"/>
        <v>53</v>
      </c>
      <c r="BT81" s="22">
        <v>64</v>
      </c>
      <c r="BU81" s="22">
        <v>84</v>
      </c>
      <c r="BV81" t="str">
        <v>Slovakia</v>
      </c>
      <c r="BW81">
        <v>13000</v>
      </c>
      <c r="BX81" s="22">
        <v>6</v>
      </c>
      <c r="BY81" s="22">
        <v>1</v>
      </c>
    </row>
    <row r="82" spans="2:77" x14ac:dyDescent="0.25">
      <c r="BL82" s="37">
        <v>65</v>
      </c>
      <c r="BM82" s="22" t="s">
        <v>628</v>
      </c>
      <c r="BN82" s="22">
        <f t="array" ref="BN82">SUM((Country=BM82)*Salaries)/SUM((Country=BM82)*1)</f>
        <v>73006.431203838249</v>
      </c>
      <c r="BO82" s="22">
        <f t="array" ref="BO82">IFERROR(SUM((Country=BM82)*(YearsExp&lt;&gt;"")*YearsExp)/SUM((Country=BM82)*(YearsExp&lt;&gt;"")*1),0)</f>
        <v>9.8421052631578956</v>
      </c>
      <c r="BP82" s="22">
        <f t="array" ref="BP82">SUM((Country=BM82)*1)</f>
        <v>23</v>
      </c>
      <c r="BR82" s="22">
        <f>CHOOSE($BN$3,104-BL82,BN82,BO82,BP82)+0.00001*ROWS($BM$18:BM82)</f>
        <v>23.00065</v>
      </c>
      <c r="BS82" s="22">
        <f t="shared" si="22"/>
        <v>7</v>
      </c>
      <c r="BT82" s="22">
        <v>65</v>
      </c>
      <c r="BU82" s="22">
        <v>82</v>
      </c>
      <c r="BV82" t="str">
        <v>self-employed</v>
      </c>
      <c r="BW82">
        <v>50000</v>
      </c>
      <c r="BX82" s="22">
        <v>0</v>
      </c>
      <c r="BY82" s="22">
        <v>1</v>
      </c>
    </row>
    <row r="83" spans="2:77" x14ac:dyDescent="0.25">
      <c r="BL83" s="37">
        <v>66</v>
      </c>
      <c r="BM83" s="22" t="s">
        <v>672</v>
      </c>
      <c r="BN83" s="22">
        <f t="array" ref="BN83">SUM((Country=BM83)*Salaries)/SUM((Country=BM83)*1)</f>
        <v>70287.554967112796</v>
      </c>
      <c r="BO83" s="22">
        <f t="array" ref="BO83">IFERROR(SUM((Country=BM83)*(YearsExp&lt;&gt;"")*YearsExp)/SUM((Country=BM83)*(YearsExp&lt;&gt;"")*1),0)</f>
        <v>11.714285714285714</v>
      </c>
      <c r="BP83" s="22">
        <f t="array" ref="BP83">SUM((Country=BM83)*1)</f>
        <v>15</v>
      </c>
      <c r="BR83" s="22">
        <f>CHOOSE($BN$3,104-BL83,BN83,BO83,BP83)+0.00001*ROWS($BM$18:BM83)</f>
        <v>15.00066</v>
      </c>
      <c r="BS83" s="22">
        <f t="shared" ref="BS83:BS120" si="82">RANK(BR83,$BR$18:$BR$120)</f>
        <v>12</v>
      </c>
      <c r="BT83" s="22">
        <v>66</v>
      </c>
      <c r="BU83" s="22">
        <v>78</v>
      </c>
      <c r="BV83" t="str">
        <v>Republic of Georgia</v>
      </c>
      <c r="BW83">
        <v>5250</v>
      </c>
      <c r="BX83" s="22">
        <v>0</v>
      </c>
      <c r="BY83" s="22">
        <v>1</v>
      </c>
    </row>
    <row r="84" spans="2:77" x14ac:dyDescent="0.25">
      <c r="B84" s="13"/>
      <c r="C84" s="20"/>
      <c r="D84" s="20"/>
      <c r="E84" s="20"/>
      <c r="F84" s="20"/>
      <c r="G84" s="20"/>
      <c r="H84" s="20"/>
      <c r="I84" s="20"/>
      <c r="BL84" s="37">
        <v>67</v>
      </c>
      <c r="BM84" s="22" t="s">
        <v>870</v>
      </c>
      <c r="BN84" s="22">
        <f t="array" ref="BN84">SUM((Country=BM84)*Salaries)/SUM((Country=BM84)*1)</f>
        <v>13494.896250642014</v>
      </c>
      <c r="BO84" s="22">
        <f t="array" ref="BO84">IFERROR(SUM((Country=BM84)*(YearsExp&lt;&gt;"")*YearsExp)/SUM((Country=BM84)*(YearsExp&lt;&gt;"")*1),0)</f>
        <v>5.666666666666667</v>
      </c>
      <c r="BP84" s="22">
        <f t="array" ref="BP84">SUM((Country=BM84)*1)</f>
        <v>3</v>
      </c>
      <c r="BR84" s="22">
        <f>CHOOSE($BN$3,104-BL84,BN84,BO84,BP84)+0.00001*ROWS($BM$18:BM84)</f>
        <v>3.0006699999999999</v>
      </c>
      <c r="BS84" s="22">
        <f t="shared" si="82"/>
        <v>41</v>
      </c>
      <c r="BT84" s="22">
        <v>67</v>
      </c>
      <c r="BU84" s="22">
        <v>73</v>
      </c>
      <c r="BV84" t="str">
        <v>Peru</v>
      </c>
      <c r="BW84">
        <v>15840</v>
      </c>
      <c r="BX84" s="22">
        <v>8</v>
      </c>
      <c r="BY84" s="22">
        <v>1</v>
      </c>
    </row>
    <row r="85" spans="2:77" x14ac:dyDescent="0.25">
      <c r="B85" s="13"/>
      <c r="C85" s="20"/>
      <c r="D85" s="20"/>
      <c r="E85" s="20"/>
      <c r="F85" s="20"/>
      <c r="G85" s="20"/>
      <c r="H85" s="20"/>
      <c r="I85" s="20"/>
      <c r="BL85" s="37">
        <v>68</v>
      </c>
      <c r="BM85" s="22" t="s">
        <v>583</v>
      </c>
      <c r="BN85" s="22">
        <f t="array" ref="BN85">SUM((Country=BM85)*Salaries)/SUM((Country=BM85)*1)</f>
        <v>99016.174371435307</v>
      </c>
      <c r="BO85" s="22">
        <f t="array" ref="BO85">IFERROR(SUM((Country=BM85)*(YearsExp&lt;&gt;"")*YearsExp)/SUM((Country=BM85)*(YearsExp&lt;&gt;"")*1),0)</f>
        <v>8.6</v>
      </c>
      <c r="BP85" s="22">
        <f t="array" ref="BP85">SUM((Country=BM85)*1)</f>
        <v>7</v>
      </c>
      <c r="BR85" s="22">
        <f>CHOOSE($BN$3,104-BL85,BN85,BO85,BP85)+0.00001*ROWS($BM$18:BM85)</f>
        <v>7.00068</v>
      </c>
      <c r="BS85" s="22">
        <f t="shared" si="82"/>
        <v>22</v>
      </c>
      <c r="BT85" s="22">
        <v>68</v>
      </c>
      <c r="BU85" s="22">
        <v>72</v>
      </c>
      <c r="BV85" t="str">
        <v>Paraguay</v>
      </c>
      <c r="BW85">
        <v>20000</v>
      </c>
      <c r="BX85" s="22">
        <v>6</v>
      </c>
      <c r="BY85" s="22">
        <v>1</v>
      </c>
    </row>
    <row r="86" spans="2:77" x14ac:dyDescent="0.25">
      <c r="B86" s="13"/>
      <c r="C86" s="20"/>
      <c r="D86" s="20"/>
      <c r="E86" s="20"/>
      <c r="F86" s="20"/>
      <c r="G86" s="20"/>
      <c r="H86" s="20"/>
      <c r="I86" s="20"/>
      <c r="BL86" s="37">
        <v>69</v>
      </c>
      <c r="BM86" s="22" t="s">
        <v>2004</v>
      </c>
      <c r="BN86" s="22">
        <f t="array" ref="BN86">SUM((Country=BM86)*Salaries)/SUM((Country=BM86)*1)</f>
        <v>100800</v>
      </c>
      <c r="BO86" s="22">
        <f t="array" ref="BO86">IFERROR(SUM((Country=BM86)*(YearsExp&lt;&gt;"")*YearsExp)/SUM((Country=BM86)*(YearsExp&lt;&gt;"")*1),0)</f>
        <v>4</v>
      </c>
      <c r="BP86" s="22">
        <f t="array" ref="BP86">SUM((Country=BM86)*1)</f>
        <v>1</v>
      </c>
      <c r="BR86" s="22">
        <f>CHOOSE($BN$3,104-BL86,BN86,BO86,BP86)+0.00001*ROWS($BM$18:BM86)</f>
        <v>1.0006900000000001</v>
      </c>
      <c r="BS86" s="22">
        <f t="shared" si="82"/>
        <v>69</v>
      </c>
      <c r="BT86" s="22">
        <v>69</v>
      </c>
      <c r="BU86" s="22">
        <v>69</v>
      </c>
      <c r="BV86" t="str">
        <v>Oman</v>
      </c>
      <c r="BW86">
        <v>100800</v>
      </c>
      <c r="BX86" s="22">
        <v>4</v>
      </c>
      <c r="BY86" s="22">
        <v>1</v>
      </c>
    </row>
    <row r="87" spans="2:77" x14ac:dyDescent="0.25">
      <c r="B87" s="13"/>
      <c r="C87" s="20"/>
      <c r="D87" s="20"/>
      <c r="E87" s="20"/>
      <c r="F87" s="20"/>
      <c r="G87" s="20"/>
      <c r="H87" s="20"/>
      <c r="I87" s="20"/>
      <c r="BL87" s="37">
        <v>70</v>
      </c>
      <c r="BM87" s="22" t="s">
        <v>17</v>
      </c>
      <c r="BN87" s="22">
        <f t="array" ref="BN87">SUM((Country=BM87)*Salaries)/SUM((Country=BM87)*1)</f>
        <v>11873.552586779413</v>
      </c>
      <c r="BO87" s="22">
        <f t="array" ref="BO87">IFERROR(SUM((Country=BM87)*(YearsExp&lt;&gt;"")*YearsExp)/SUM((Country=BM87)*(YearsExp&lt;&gt;"")*1),0)</f>
        <v>6.88</v>
      </c>
      <c r="BP87" s="22">
        <f t="array" ref="BP87">SUM((Country=BM87)*1)</f>
        <v>29</v>
      </c>
      <c r="BR87" s="22">
        <f>CHOOSE($BN$3,104-BL87,BN87,BO87,BP87)+0.00001*ROWS($BM$18:BM87)</f>
        <v>29.000699999999998</v>
      </c>
      <c r="BS87" s="22">
        <f t="shared" si="82"/>
        <v>6</v>
      </c>
      <c r="BT87" s="22">
        <v>70</v>
      </c>
      <c r="BU87" s="22">
        <v>63</v>
      </c>
      <c r="BV87" t="str">
        <v>mozambique</v>
      </c>
      <c r="BW87">
        <v>24000</v>
      </c>
      <c r="BX87" s="22">
        <v>0</v>
      </c>
      <c r="BY87" s="22">
        <v>1</v>
      </c>
    </row>
    <row r="88" spans="2:77" x14ac:dyDescent="0.25">
      <c r="BL88" s="37">
        <v>71</v>
      </c>
      <c r="BM88" s="22" t="s">
        <v>136</v>
      </c>
      <c r="BN88" s="22">
        <f t="array" ref="BN88">SUM((Country=BM88)*Salaries)/SUM((Country=BM88)*1)</f>
        <v>44759.985974790194</v>
      </c>
      <c r="BO88" s="22">
        <f t="array" ref="BO88">IFERROR(SUM((Country=BM88)*(YearsExp&lt;&gt;"")*YearsExp)/SUM((Country=BM88)*(YearsExp&lt;&gt;"")*1),0)</f>
        <v>0</v>
      </c>
      <c r="BP88" s="22">
        <f t="array" ref="BP88">SUM((Country=BM88)*1)</f>
        <v>2</v>
      </c>
      <c r="BR88" s="22">
        <f>CHOOSE($BN$3,104-BL88,BN88,BO88,BP88)+0.00001*ROWS($BM$18:BM88)</f>
        <v>2.0007100000000002</v>
      </c>
      <c r="BS88" s="22">
        <f t="shared" si="82"/>
        <v>52</v>
      </c>
      <c r="BT88" s="22">
        <v>71</v>
      </c>
      <c r="BU88" s="22">
        <v>62</v>
      </c>
      <c r="BV88" t="str">
        <v>Morocco</v>
      </c>
      <c r="BW88">
        <v>13745.704467353951</v>
      </c>
      <c r="BX88" s="22">
        <v>8</v>
      </c>
      <c r="BY88" s="22">
        <v>1</v>
      </c>
    </row>
    <row r="89" spans="2:77" x14ac:dyDescent="0.25">
      <c r="BL89" s="37">
        <v>72</v>
      </c>
      <c r="BM89" s="22" t="s">
        <v>1156</v>
      </c>
      <c r="BN89" s="22">
        <f t="array" ref="BN89">SUM((Country=BM89)*Salaries)/SUM((Country=BM89)*1)</f>
        <v>20000</v>
      </c>
      <c r="BO89" s="22">
        <f t="array" ref="BO89">IFERROR(SUM((Country=BM89)*(YearsExp&lt;&gt;"")*YearsExp)/SUM((Country=BM89)*(YearsExp&lt;&gt;"")*1),0)</f>
        <v>6</v>
      </c>
      <c r="BP89" s="22">
        <f t="array" ref="BP89">SUM((Country=BM89)*1)</f>
        <v>1</v>
      </c>
      <c r="BR89" s="22">
        <f>CHOOSE($BN$3,104-BL89,BN89,BO89,BP89)+0.00001*ROWS($BM$18:BM89)</f>
        <v>1.0007200000000001</v>
      </c>
      <c r="BS89" s="22">
        <f t="shared" si="82"/>
        <v>68</v>
      </c>
      <c r="BT89" s="22">
        <v>72</v>
      </c>
      <c r="BU89" s="22">
        <v>61</v>
      </c>
      <c r="BV89" t="str">
        <v>Montenegro</v>
      </c>
      <c r="BW89">
        <v>13500</v>
      </c>
      <c r="BX89" s="22">
        <v>13</v>
      </c>
      <c r="BY89" s="22">
        <v>1</v>
      </c>
    </row>
    <row r="90" spans="2:77" x14ac:dyDescent="0.25">
      <c r="BL90" s="37">
        <v>73</v>
      </c>
      <c r="BM90" s="22" t="s">
        <v>1722</v>
      </c>
      <c r="BN90" s="22">
        <f t="array" ref="BN90">SUM((Country=BM90)*Salaries)/SUM((Country=BM90)*1)</f>
        <v>15840</v>
      </c>
      <c r="BO90" s="22">
        <f t="array" ref="BO90">IFERROR(SUM((Country=BM90)*(YearsExp&lt;&gt;"")*YearsExp)/SUM((Country=BM90)*(YearsExp&lt;&gt;"")*1),0)</f>
        <v>8</v>
      </c>
      <c r="BP90" s="22">
        <f t="array" ref="BP90">SUM((Country=BM90)*1)</f>
        <v>1</v>
      </c>
      <c r="BR90" s="22">
        <f>CHOOSE($BN$3,104-BL90,BN90,BO90,BP90)+0.00001*ROWS($BM$18:BM90)</f>
        <v>1.0007299999999999</v>
      </c>
      <c r="BS90" s="22">
        <f t="shared" si="82"/>
        <v>67</v>
      </c>
      <c r="BT90" s="22">
        <v>73</v>
      </c>
      <c r="BU90" s="22">
        <v>60</v>
      </c>
      <c r="BV90" t="str">
        <v>Mongolia</v>
      </c>
      <c r="BW90">
        <v>7261.724659606657</v>
      </c>
      <c r="BX90" s="22">
        <v>2</v>
      </c>
      <c r="BY90" s="22">
        <v>1</v>
      </c>
    </row>
    <row r="91" spans="2:77" x14ac:dyDescent="0.25">
      <c r="BL91" s="37">
        <v>74</v>
      </c>
      <c r="BM91" s="22" t="s">
        <v>347</v>
      </c>
      <c r="BN91" s="22">
        <f t="array" ref="BN91">SUM((Country=BM91)*Salaries)/SUM((Country=BM91)*1)</f>
        <v>17479.292364753517</v>
      </c>
      <c r="BO91" s="22">
        <f t="array" ref="BO91">IFERROR(SUM((Country=BM91)*(YearsExp&lt;&gt;"")*YearsExp)/SUM((Country=BM91)*(YearsExp&lt;&gt;"")*1),0)</f>
        <v>9</v>
      </c>
      <c r="BP91" s="22">
        <f t="array" ref="BP91">SUM((Country=BM91)*1)</f>
        <v>11</v>
      </c>
      <c r="BR91" s="22">
        <f>CHOOSE($BN$3,104-BL91,BN91,BO91,BP91)+0.00001*ROWS($BM$18:BM91)</f>
        <v>11.00074</v>
      </c>
      <c r="BS91" s="22">
        <f t="shared" si="82"/>
        <v>15</v>
      </c>
      <c r="BT91" s="22">
        <v>74</v>
      </c>
      <c r="BU91" s="22">
        <v>58</v>
      </c>
      <c r="BV91" t="str">
        <v>Mauritius</v>
      </c>
      <c r="BW91">
        <v>9376.2513877177607</v>
      </c>
      <c r="BX91" s="22">
        <v>7</v>
      </c>
      <c r="BY91" s="22">
        <v>1</v>
      </c>
    </row>
    <row r="92" spans="2:77" x14ac:dyDescent="0.25">
      <c r="BL92" s="37">
        <v>75</v>
      </c>
      <c r="BM92" s="22" t="s">
        <v>75</v>
      </c>
      <c r="BN92" s="22">
        <f t="array" ref="BN92">SUM((Country=BM92)*Salaries)/SUM((Country=BM92)*1)</f>
        <v>34210.345381590014</v>
      </c>
      <c r="BO92" s="22">
        <f t="array" ref="BO92">IFERROR(SUM((Country=BM92)*(YearsExp&lt;&gt;"")*YearsExp)/SUM((Country=BM92)*(YearsExp&lt;&gt;"")*1),0)</f>
        <v>7.5</v>
      </c>
      <c r="BP92" s="22">
        <f t="array" ref="BP92">SUM((Country=BM92)*1)</f>
        <v>6</v>
      </c>
      <c r="BR92" s="22">
        <f>CHOOSE($BN$3,104-BL92,BN92,BO92,BP92)+0.00001*ROWS($BM$18:BM92)</f>
        <v>6.00075</v>
      </c>
      <c r="BS92" s="22">
        <f t="shared" si="82"/>
        <v>24</v>
      </c>
      <c r="BT92" s="22">
        <v>75</v>
      </c>
      <c r="BU92" s="22">
        <v>56</v>
      </c>
      <c r="BV92" t="str">
        <v>Lithuania</v>
      </c>
      <c r="BW92">
        <v>15000</v>
      </c>
      <c r="BX92" s="22">
        <v>2</v>
      </c>
      <c r="BY92" s="22">
        <v>1</v>
      </c>
    </row>
    <row r="93" spans="2:77" x14ac:dyDescent="0.25">
      <c r="BL93" s="37">
        <v>76</v>
      </c>
      <c r="BM93" s="22" t="s">
        <v>30</v>
      </c>
      <c r="BN93" s="22">
        <f t="array" ref="BN93">SUM((Country=BM93)*Salaries)/SUM((Country=BM93)*1)</f>
        <v>32907.763410971675</v>
      </c>
      <c r="BO93" s="22">
        <f t="array" ref="BO93">IFERROR(SUM((Country=BM93)*(YearsExp&lt;&gt;"")*YearsExp)/SUM((Country=BM93)*(YearsExp&lt;&gt;"")*1),0)</f>
        <v>9.5714285714285712</v>
      </c>
      <c r="BP93" s="22">
        <f t="array" ref="BP93">SUM((Country=BM93)*1)</f>
        <v>10</v>
      </c>
      <c r="BR93" s="22">
        <f>CHOOSE($BN$3,104-BL93,BN93,BO93,BP93)+0.00001*ROWS($BM$18:BM93)</f>
        <v>10.00076</v>
      </c>
      <c r="BS93" s="22">
        <f t="shared" si="82"/>
        <v>17</v>
      </c>
      <c r="BT93" s="22">
        <v>76</v>
      </c>
      <c r="BU93" s="22">
        <v>55</v>
      </c>
      <c r="BV93" t="str">
        <v>Libya</v>
      </c>
      <c r="BW93">
        <v>24864</v>
      </c>
      <c r="BX93" s="22">
        <v>8</v>
      </c>
      <c r="BY93" s="22">
        <v>1</v>
      </c>
    </row>
    <row r="94" spans="2:77" x14ac:dyDescent="0.25">
      <c r="BL94" s="37">
        <v>77</v>
      </c>
      <c r="BM94" s="22" t="s">
        <v>1011</v>
      </c>
      <c r="BN94" s="22">
        <f t="array" ref="BN94">SUM((Country=BM94)*Salaries)/SUM((Country=BM94)*1)</f>
        <v>53066.666666666664</v>
      </c>
      <c r="BO94" s="22">
        <f t="array" ref="BO94">IFERROR(SUM((Country=BM94)*(YearsExp&lt;&gt;"")*YearsExp)/SUM((Country=BM94)*(YearsExp&lt;&gt;"")*1),0)</f>
        <v>15.333333333333334</v>
      </c>
      <c r="BP94" s="22">
        <f t="array" ref="BP94">SUM((Country=BM94)*1)</f>
        <v>3</v>
      </c>
      <c r="BR94" s="22">
        <f>CHOOSE($BN$3,104-BL94,BN94,BO94,BP94)+0.00001*ROWS($BM$18:BM94)</f>
        <v>3.0007700000000002</v>
      </c>
      <c r="BS94" s="22">
        <f t="shared" si="82"/>
        <v>40</v>
      </c>
      <c r="BT94" s="22">
        <v>77</v>
      </c>
      <c r="BU94" s="22">
        <v>54</v>
      </c>
      <c r="BV94" t="str">
        <v>Lesotho</v>
      </c>
      <c r="BW94">
        <v>177600</v>
      </c>
      <c r="BX94" s="22">
        <v>6</v>
      </c>
      <c r="BY94" s="22">
        <v>1</v>
      </c>
    </row>
    <row r="95" spans="2:77" x14ac:dyDescent="0.25">
      <c r="BL95" s="37">
        <v>78</v>
      </c>
      <c r="BM95" s="22" t="s">
        <v>567</v>
      </c>
      <c r="BN95" s="22">
        <f t="array" ref="BN95">SUM((Country=BM95)*Salaries)/SUM((Country=BM95)*1)</f>
        <v>5250</v>
      </c>
      <c r="BO95" s="22">
        <f t="array" ref="BO95">IFERROR(SUM((Country=BM95)*(YearsExp&lt;&gt;"")*YearsExp)/SUM((Country=BM95)*(YearsExp&lt;&gt;"")*1),0)</f>
        <v>0</v>
      </c>
      <c r="BP95" s="22">
        <f t="array" ref="BP95">SUM((Country=BM95)*1)</f>
        <v>1</v>
      </c>
      <c r="BR95" s="22">
        <f>CHOOSE($BN$3,104-BL95,BN95,BO95,BP95)+0.00001*ROWS($BM$18:BM95)</f>
        <v>1.00078</v>
      </c>
      <c r="BS95" s="22">
        <f t="shared" si="82"/>
        <v>66</v>
      </c>
      <c r="BT95" s="22">
        <v>78</v>
      </c>
      <c r="BU95" s="22">
        <v>53</v>
      </c>
      <c r="BV95" t="str">
        <v>Latin America</v>
      </c>
      <c r="BW95">
        <v>4400</v>
      </c>
      <c r="BX95" s="22">
        <v>5</v>
      </c>
      <c r="BY95" s="22">
        <v>1</v>
      </c>
    </row>
    <row r="96" spans="2:77" x14ac:dyDescent="0.25">
      <c r="BL96" s="37">
        <v>79</v>
      </c>
      <c r="BM96" s="22" t="s">
        <v>73</v>
      </c>
      <c r="BN96" s="22">
        <f t="array" ref="BN96">SUM((Country=BM96)*Salaries)/SUM((Country=BM96)*1)</f>
        <v>16449.976756585475</v>
      </c>
      <c r="BO96" s="22">
        <f t="array" ref="BO96">IFERROR(SUM((Country=BM96)*(YearsExp&lt;&gt;"")*YearsExp)/SUM((Country=BM96)*(YearsExp&lt;&gt;"")*1),0)</f>
        <v>5.5</v>
      </c>
      <c r="BP96" s="22">
        <f t="array" ref="BP96">SUM((Country=BM96)*1)</f>
        <v>6</v>
      </c>
      <c r="BR96" s="22">
        <f>CHOOSE($BN$3,104-BL96,BN96,BO96,BP96)+0.00001*ROWS($BM$18:BM96)</f>
        <v>6.0007900000000003</v>
      </c>
      <c r="BS96" s="22">
        <f t="shared" si="82"/>
        <v>23</v>
      </c>
      <c r="BT96" s="22">
        <v>79</v>
      </c>
      <c r="BU96" s="22">
        <v>50</v>
      </c>
      <c r="BV96" t="str">
        <v>Kenya</v>
      </c>
      <c r="BW96">
        <v>51497.005988023957</v>
      </c>
      <c r="BX96" s="22">
        <v>9</v>
      </c>
      <c r="BY96" s="22">
        <v>1</v>
      </c>
    </row>
    <row r="97" spans="64:77" x14ac:dyDescent="0.25">
      <c r="BL97" s="37">
        <v>80</v>
      </c>
      <c r="BM97" s="22" t="s">
        <v>65</v>
      </c>
      <c r="BN97" s="22">
        <f t="array" ref="BN97">SUM((Country=BM97)*Salaries)/SUM((Country=BM97)*1)</f>
        <v>55905.222222222219</v>
      </c>
      <c r="BO97" s="22">
        <f t="array" ref="BO97">IFERROR(SUM((Country=BM97)*(YearsExp&lt;&gt;"")*YearsExp)/SUM((Country=BM97)*(YearsExp&lt;&gt;"")*1),0)</f>
        <v>12.25</v>
      </c>
      <c r="BP97" s="22">
        <f t="array" ref="BP97">SUM((Country=BM97)*1)</f>
        <v>9</v>
      </c>
      <c r="BR97" s="22">
        <f>CHOOSE($BN$3,104-BL97,BN97,BO97,BP97)+0.00001*ROWS($BM$18:BM97)</f>
        <v>9.0007999999999999</v>
      </c>
      <c r="BS97" s="22">
        <f t="shared" si="82"/>
        <v>19</v>
      </c>
      <c r="BT97" s="22">
        <v>80</v>
      </c>
      <c r="BU97" s="22">
        <v>42</v>
      </c>
      <c r="BV97" t="str">
        <v>Iceland</v>
      </c>
      <c r="BW97">
        <v>41731</v>
      </c>
      <c r="BX97" s="22">
        <v>0</v>
      </c>
      <c r="BY97" s="22">
        <v>1</v>
      </c>
    </row>
    <row r="98" spans="64:77" x14ac:dyDescent="0.25">
      <c r="BL98" s="37">
        <v>81</v>
      </c>
      <c r="BM98" s="22" t="s">
        <v>133</v>
      </c>
      <c r="BN98" s="22">
        <f t="array" ref="BN98">SUM((Country=BM98)*Salaries)/SUM((Country=BM98)*1)</f>
        <v>35832.121212121208</v>
      </c>
      <c r="BO98" s="22">
        <f t="array" ref="BO98">IFERROR(SUM((Country=BM98)*(YearsExp&lt;&gt;"")*YearsExp)/SUM((Country=BM98)*(YearsExp&lt;&gt;"")*1),0)</f>
        <v>11.222222222222221</v>
      </c>
      <c r="BP98" s="22">
        <f t="array" ref="BP98">SUM((Country=BM98)*1)</f>
        <v>11</v>
      </c>
      <c r="BR98" s="22">
        <f>CHOOSE($BN$3,104-BL98,BN98,BO98,BP98)+0.00001*ROWS($BM$18:BM98)</f>
        <v>11.00081</v>
      </c>
      <c r="BS98" s="22">
        <f t="shared" si="82"/>
        <v>14</v>
      </c>
      <c r="BT98" s="22">
        <v>81</v>
      </c>
      <c r="BU98" s="22">
        <v>40</v>
      </c>
      <c r="BV98" t="str">
        <v>Hong Kong</v>
      </c>
      <c r="BW98">
        <v>20000</v>
      </c>
      <c r="BX98" s="22">
        <v>1</v>
      </c>
      <c r="BY98" s="22">
        <v>1</v>
      </c>
    </row>
    <row r="99" spans="64:77" x14ac:dyDescent="0.25">
      <c r="BL99" s="37">
        <v>82</v>
      </c>
      <c r="BM99" s="22" t="s">
        <v>644</v>
      </c>
      <c r="BN99" s="22">
        <f t="array" ref="BN99">SUM((Country=BM99)*Salaries)/SUM((Country=BM99)*1)</f>
        <v>50000</v>
      </c>
      <c r="BO99" s="22">
        <f t="array" ref="BO99">IFERROR(SUM((Country=BM99)*(YearsExp&lt;&gt;"")*YearsExp)/SUM((Country=BM99)*(YearsExp&lt;&gt;"")*1),0)</f>
        <v>0</v>
      </c>
      <c r="BP99" s="22">
        <f t="array" ref="BP99">SUM((Country=BM99)*1)</f>
        <v>1</v>
      </c>
      <c r="BR99" s="22">
        <f>CHOOSE($BN$3,104-BL99,BN99,BO99,BP99)+0.00001*ROWS($BM$18:BM99)</f>
        <v>1.00082</v>
      </c>
      <c r="BS99" s="22">
        <f t="shared" si="82"/>
        <v>65</v>
      </c>
      <c r="BT99" s="22">
        <v>82</v>
      </c>
      <c r="BU99" s="22">
        <v>39</v>
      </c>
      <c r="BV99" t="str">
        <v>Guyana</v>
      </c>
      <c r="BW99">
        <v>6000</v>
      </c>
      <c r="BX99" s="22">
        <v>20</v>
      </c>
      <c r="BY99" s="22">
        <v>1</v>
      </c>
    </row>
    <row r="100" spans="64:77" x14ac:dyDescent="0.25">
      <c r="BL100" s="37">
        <v>83</v>
      </c>
      <c r="BM100" s="22" t="s">
        <v>171</v>
      </c>
      <c r="BN100" s="22">
        <f t="array" ref="BN100">SUM((Country=BM100)*Salaries)/SUM((Country=BM100)*1)</f>
        <v>52154.754053796576</v>
      </c>
      <c r="BO100" s="22">
        <f t="array" ref="BO100">IFERROR(SUM((Country=BM100)*(YearsExp&lt;&gt;"")*YearsExp)/SUM((Country=BM100)*(YearsExp&lt;&gt;"")*1),0)</f>
        <v>7.2727272727272725</v>
      </c>
      <c r="BP100" s="22">
        <f t="array" ref="BP100">SUM((Country=BM100)*1)</f>
        <v>13</v>
      </c>
      <c r="BR100" s="22">
        <f>CHOOSE($BN$3,104-BL100,BN100,BO100,BP100)+0.00001*ROWS($BM$18:BM100)</f>
        <v>13.000830000000001</v>
      </c>
      <c r="BS100" s="22">
        <f t="shared" si="82"/>
        <v>13</v>
      </c>
      <c r="BT100" s="22">
        <v>83</v>
      </c>
      <c r="BU100" s="22">
        <v>37</v>
      </c>
      <c r="BV100" t="str">
        <v>Ghana</v>
      </c>
      <c r="BW100">
        <v>18000</v>
      </c>
      <c r="BX100" s="22">
        <v>12</v>
      </c>
      <c r="BY100" s="22">
        <v>1</v>
      </c>
    </row>
    <row r="101" spans="64:77" x14ac:dyDescent="0.25">
      <c r="BL101" s="37">
        <v>84</v>
      </c>
      <c r="BM101" s="22" t="s">
        <v>1804</v>
      </c>
      <c r="BN101" s="22">
        <f t="array" ref="BN101">SUM((Country=BM101)*Salaries)/SUM((Country=BM101)*1)</f>
        <v>13000</v>
      </c>
      <c r="BO101" s="22">
        <f t="array" ref="BO101">IFERROR(SUM((Country=BM101)*(YearsExp&lt;&gt;"")*YearsExp)/SUM((Country=BM101)*(YearsExp&lt;&gt;"")*1),0)</f>
        <v>6</v>
      </c>
      <c r="BP101" s="22">
        <f t="array" ref="BP101">SUM((Country=BM101)*1)</f>
        <v>1</v>
      </c>
      <c r="BR101" s="22">
        <f>CHOOSE($BN$3,104-BL101,BN101,BO101,BP101)+0.00001*ROWS($BM$18:BM101)</f>
        <v>1.00084</v>
      </c>
      <c r="BS101" s="22">
        <f t="shared" si="82"/>
        <v>64</v>
      </c>
      <c r="BT101" s="22">
        <v>84</v>
      </c>
      <c r="BU101" s="22">
        <v>32</v>
      </c>
      <c r="BV101" t="str">
        <v>Ethiopia</v>
      </c>
      <c r="BW101">
        <v>2953.8461538461538</v>
      </c>
      <c r="BX101" s="22">
        <v>3</v>
      </c>
      <c r="BY101" s="22">
        <v>1</v>
      </c>
    </row>
    <row r="102" spans="64:77" x14ac:dyDescent="0.25">
      <c r="BL102" s="37">
        <v>85</v>
      </c>
      <c r="BM102" s="22" t="s">
        <v>1066</v>
      </c>
      <c r="BN102" s="22">
        <f t="array" ref="BN102">SUM((Country=BM102)*Salaries)/SUM((Country=BM102)*1)</f>
        <v>19055.991584874118</v>
      </c>
      <c r="BO102" s="22">
        <f t="array" ref="BO102">IFERROR(SUM((Country=BM102)*(YearsExp&lt;&gt;"")*YearsExp)/SUM((Country=BM102)*(YearsExp&lt;&gt;"")*1),0)</f>
        <v>4</v>
      </c>
      <c r="BP102" s="22">
        <f t="array" ref="BP102">SUM((Country=BM102)*1)</f>
        <v>1</v>
      </c>
      <c r="BR102" s="22">
        <f>CHOOSE($BN$3,104-BL102,BN102,BO102,BP102)+0.00001*ROWS($BM$18:BM102)</f>
        <v>1.00085</v>
      </c>
      <c r="BS102" s="22">
        <f t="shared" si="82"/>
        <v>63</v>
      </c>
      <c r="BT102" s="22">
        <v>85</v>
      </c>
      <c r="BU102" s="22">
        <v>31</v>
      </c>
      <c r="BV102" t="str">
        <v>Estonia</v>
      </c>
      <c r="BW102">
        <v>12000</v>
      </c>
      <c r="BX102" s="22">
        <v>0</v>
      </c>
      <c r="BY102" s="22">
        <v>1</v>
      </c>
    </row>
    <row r="103" spans="64:77" x14ac:dyDescent="0.25">
      <c r="BL103" s="37">
        <v>86</v>
      </c>
      <c r="BM103" s="22" t="s">
        <v>548</v>
      </c>
      <c r="BN103" s="22">
        <f t="array" ref="BN103">SUM((Country=BM103)*Salaries)/SUM((Country=BM103)*1)</f>
        <v>78000</v>
      </c>
      <c r="BO103" s="22">
        <f t="array" ref="BO103">IFERROR(SUM((Country=BM103)*(YearsExp&lt;&gt;"")*YearsExp)/SUM((Country=BM103)*(YearsExp&lt;&gt;"")*1),0)</f>
        <v>0</v>
      </c>
      <c r="BP103" s="22">
        <f t="array" ref="BP103">SUM((Country=BM103)*1)</f>
        <v>1</v>
      </c>
      <c r="BR103" s="22">
        <f>CHOOSE($BN$3,104-BL103,BN103,BO103,BP103)+0.00001*ROWS($BM$18:BM103)</f>
        <v>1.0008600000000001</v>
      </c>
      <c r="BS103" s="22">
        <f t="shared" si="82"/>
        <v>62</v>
      </c>
      <c r="BT103" s="22">
        <v>86</v>
      </c>
      <c r="BU103" s="22">
        <v>30</v>
      </c>
      <c r="BV103" t="str">
        <v>Egypt</v>
      </c>
      <c r="BW103">
        <v>19831.432821021317</v>
      </c>
      <c r="BX103" s="22">
        <v>5</v>
      </c>
      <c r="BY103" s="22">
        <v>1</v>
      </c>
    </row>
    <row r="104" spans="64:77" x14ac:dyDescent="0.25">
      <c r="BL104" s="37">
        <v>87</v>
      </c>
      <c r="BM104" s="22" t="s">
        <v>48</v>
      </c>
      <c r="BN104" s="22">
        <f t="array" ref="BN104">SUM((Country=BM104)*Salaries)/SUM((Country=BM104)*1)</f>
        <v>49555.624994016209</v>
      </c>
      <c r="BO104" s="22">
        <f t="array" ref="BO104">IFERROR(SUM((Country=BM104)*(YearsExp&lt;&gt;"")*YearsExp)/SUM((Country=BM104)*(YearsExp&lt;&gt;"")*1),0)</f>
        <v>11.866666666666667</v>
      </c>
      <c r="BP104" s="22">
        <f t="array" ref="BP104">SUM((Country=BM104)*1)</f>
        <v>19</v>
      </c>
      <c r="BR104" s="22">
        <f>CHOOSE($BN$3,104-BL104,BN104,BO104,BP104)+0.00001*ROWS($BM$18:BM104)</f>
        <v>19.000869999999999</v>
      </c>
      <c r="BS104" s="22">
        <f t="shared" si="82"/>
        <v>10</v>
      </c>
      <c r="BT104" s="22">
        <v>87</v>
      </c>
      <c r="BU104" s="22">
        <v>26</v>
      </c>
      <c r="BV104" t="str">
        <v>Czech Republic</v>
      </c>
      <c r="BW104">
        <v>36000</v>
      </c>
      <c r="BX104" s="22">
        <v>9</v>
      </c>
      <c r="BY104" s="22">
        <v>1</v>
      </c>
    </row>
    <row r="105" spans="64:77" x14ac:dyDescent="0.25">
      <c r="BL105" s="37">
        <v>88</v>
      </c>
      <c r="BM105" s="22" t="s">
        <v>608</v>
      </c>
      <c r="BN105" s="22">
        <f t="array" ref="BN105">SUM((Country=BM105)*Salaries)/SUM((Country=BM105)*1)</f>
        <v>46235.660112252495</v>
      </c>
      <c r="BO105" s="22">
        <f t="array" ref="BO105">IFERROR(SUM((Country=BM105)*(YearsExp&lt;&gt;"")*YearsExp)/SUM((Country=BM105)*(YearsExp&lt;&gt;"")*1),0)</f>
        <v>12.444444444444445</v>
      </c>
      <c r="BP105" s="22">
        <f t="array" ref="BP105">SUM((Country=BM105)*1)</f>
        <v>10</v>
      </c>
      <c r="BR105" s="22">
        <f>CHOOSE($BN$3,104-BL105,BN105,BO105,BP105)+0.00001*ROWS($BM$18:BM105)</f>
        <v>10.00088</v>
      </c>
      <c r="BS105" s="22">
        <f t="shared" si="82"/>
        <v>16</v>
      </c>
      <c r="BT105" s="22">
        <v>88</v>
      </c>
      <c r="BU105" s="22">
        <v>24</v>
      </c>
      <c r="BV105" t="str">
        <v>Costa Rica</v>
      </c>
      <c r="BW105">
        <v>28109.627547434993</v>
      </c>
      <c r="BX105" s="22">
        <v>0</v>
      </c>
      <c r="BY105" s="22">
        <v>1</v>
      </c>
    </row>
    <row r="106" spans="64:77" x14ac:dyDescent="0.25">
      <c r="BL106" s="37">
        <v>89</v>
      </c>
      <c r="BM106" s="22" t="s">
        <v>716</v>
      </c>
      <c r="BN106" s="22">
        <f t="array" ref="BN106">SUM((Country=BM106)*Salaries)/SUM((Country=BM106)*1)</f>
        <v>22921.154792448855</v>
      </c>
      <c r="BO106" s="22">
        <f t="array" ref="BO106">IFERROR(SUM((Country=BM106)*(YearsExp&lt;&gt;"")*YearsExp)/SUM((Country=BM106)*(YearsExp&lt;&gt;"")*1),0)</f>
        <v>7.9</v>
      </c>
      <c r="BP106" s="22">
        <f t="array" ref="BP106">SUM((Country=BM106)*1)</f>
        <v>5</v>
      </c>
      <c r="BR106" s="22">
        <f>CHOOSE($BN$3,104-BL106,BN106,BO106,BP106)+0.00001*ROWS($BM$18:BM106)</f>
        <v>5.0008900000000001</v>
      </c>
      <c r="BS106" s="22">
        <f t="shared" si="82"/>
        <v>28</v>
      </c>
      <c r="BT106" s="22">
        <v>89</v>
      </c>
      <c r="BU106" s="22">
        <v>21</v>
      </c>
      <c r="BV106" t="str">
        <v>Central America</v>
      </c>
      <c r="BW106">
        <v>95000</v>
      </c>
      <c r="BX106" s="22">
        <v>0</v>
      </c>
      <c r="BY106" s="22">
        <v>1</v>
      </c>
    </row>
    <row r="107" spans="64:77" x14ac:dyDescent="0.25">
      <c r="BL107" s="37">
        <v>90</v>
      </c>
      <c r="BM107" s="22" t="s">
        <v>447</v>
      </c>
      <c r="BN107" s="22">
        <f t="array" ref="BN107">SUM((Country=BM107)*Salaries)/SUM((Country=BM107)*1)</f>
        <v>84477.260092140481</v>
      </c>
      <c r="BO107" s="22">
        <f t="array" ref="BO107">IFERROR(SUM((Country=BM107)*(YearsExp&lt;&gt;"")*YearsExp)/SUM((Country=BM107)*(YearsExp&lt;&gt;"")*1),0)</f>
        <v>20</v>
      </c>
      <c r="BP107" s="22">
        <f t="array" ref="BP107">SUM((Country=BM107)*1)</f>
        <v>2</v>
      </c>
      <c r="BR107" s="22">
        <f>CHOOSE($BN$3,104-BL107,BN107,BO107,BP107)+0.00001*ROWS($BM$18:BM107)</f>
        <v>2.0009000000000001</v>
      </c>
      <c r="BS107" s="22">
        <f t="shared" si="82"/>
        <v>51</v>
      </c>
      <c r="BT107" s="22">
        <v>90</v>
      </c>
      <c r="BU107" s="22">
        <v>18</v>
      </c>
      <c r="BV107" t="str">
        <v>Cambodia</v>
      </c>
      <c r="BW107">
        <v>3000</v>
      </c>
      <c r="BX107" s="22">
        <v>2</v>
      </c>
      <c r="BY107" s="22">
        <v>1</v>
      </c>
    </row>
    <row r="108" spans="64:77" x14ac:dyDescent="0.25">
      <c r="BL108" s="37">
        <v>91</v>
      </c>
      <c r="BM108" s="22" t="s">
        <v>46</v>
      </c>
      <c r="BN108" s="22">
        <f t="array" ref="BN108">SUM((Country=BM108)*Salaries)/SUM((Country=BM108)*1)</f>
        <v>137525.55715529469</v>
      </c>
      <c r="BO108" s="22">
        <f t="array" ref="BO108">IFERROR(SUM((Country=BM108)*(YearsExp&lt;&gt;"")*YearsExp)/SUM((Country=BM108)*(YearsExp&lt;&gt;"")*1),0)</f>
        <v>13</v>
      </c>
      <c r="BP108" s="22">
        <f t="array" ref="BP108">SUM((Country=BM108)*1)</f>
        <v>4</v>
      </c>
      <c r="BR108" s="22">
        <f>CHOOSE($BN$3,104-BL108,BN108,BO108,BP108)+0.00001*ROWS($BM$18:BM108)</f>
        <v>4.0009100000000002</v>
      </c>
      <c r="BS108" s="22">
        <f t="shared" si="82"/>
        <v>35</v>
      </c>
      <c r="BT108" s="22">
        <v>91</v>
      </c>
      <c r="BU108" s="22">
        <v>17</v>
      </c>
      <c r="BV108" t="str">
        <v>Bulgaria</v>
      </c>
      <c r="BW108">
        <v>14400</v>
      </c>
      <c r="BX108" s="22">
        <v>15</v>
      </c>
      <c r="BY108" s="22">
        <v>1</v>
      </c>
    </row>
    <row r="109" spans="64:77" x14ac:dyDescent="0.25">
      <c r="BL109" s="37">
        <v>92</v>
      </c>
      <c r="BM109" s="22" t="s">
        <v>299</v>
      </c>
      <c r="BN109" s="22">
        <f t="array" ref="BN109">SUM((Country=BM109)*Salaries)/SUM((Country=BM109)*1)</f>
        <v>73000</v>
      </c>
      <c r="BO109" s="22">
        <f t="array" ref="BO109">IFERROR(SUM((Country=BM109)*(YearsExp&lt;&gt;"")*YearsExp)/SUM((Country=BM109)*(YearsExp&lt;&gt;"")*1),0)</f>
        <v>1</v>
      </c>
      <c r="BP109" s="22">
        <f t="array" ref="BP109">SUM((Country=BM109)*1)</f>
        <v>2</v>
      </c>
      <c r="BR109" s="22">
        <f>CHOOSE($BN$3,104-BL109,BN109,BO109,BP109)+0.00001*ROWS($BM$18:BM109)</f>
        <v>2.0009199999999998</v>
      </c>
      <c r="BS109" s="22">
        <f t="shared" si="82"/>
        <v>50</v>
      </c>
      <c r="BT109" s="22">
        <v>92</v>
      </c>
      <c r="BU109" s="22">
        <v>15</v>
      </c>
      <c r="BV109" t="str">
        <v>Bolivia</v>
      </c>
      <c r="BW109">
        <v>9600</v>
      </c>
      <c r="BX109" s="22">
        <v>2</v>
      </c>
      <c r="BY109" s="22">
        <v>1</v>
      </c>
    </row>
    <row r="110" spans="64:77" x14ac:dyDescent="0.25">
      <c r="BL110" s="37">
        <v>93</v>
      </c>
      <c r="BM110" s="22" t="s">
        <v>1809</v>
      </c>
      <c r="BN110" s="22">
        <f t="array" ref="BN110">SUM((Country=BM110)*Salaries)/SUM((Country=BM110)*1)</f>
        <v>11000</v>
      </c>
      <c r="BO110" s="22">
        <f t="array" ref="BO110">IFERROR(SUM((Country=BM110)*(YearsExp&lt;&gt;"")*YearsExp)/SUM((Country=BM110)*(YearsExp&lt;&gt;"")*1),0)</f>
        <v>8</v>
      </c>
      <c r="BP110" s="22">
        <f t="array" ref="BP110">SUM((Country=BM110)*1)</f>
        <v>1</v>
      </c>
      <c r="BR110" s="22">
        <f>CHOOSE($BN$3,104-BL110,BN110,BO110,BP110)+0.00001*ROWS($BM$18:BM110)</f>
        <v>1.0009300000000001</v>
      </c>
      <c r="BS110" s="22">
        <f t="shared" si="82"/>
        <v>61</v>
      </c>
      <c r="BT110" s="22">
        <v>93</v>
      </c>
      <c r="BU110" s="22">
        <v>14</v>
      </c>
      <c r="BV110" t="str">
        <v>Bhutan</v>
      </c>
      <c r="BW110">
        <v>4800</v>
      </c>
      <c r="BX110" s="22">
        <v>2</v>
      </c>
      <c r="BY110" s="22">
        <v>1</v>
      </c>
    </row>
    <row r="111" spans="64:77" x14ac:dyDescent="0.25">
      <c r="BL111" s="37">
        <v>94</v>
      </c>
      <c r="BM111" s="22" t="s">
        <v>197</v>
      </c>
      <c r="BN111" s="22">
        <f t="array" ref="BN111">SUM((Country=BM111)*Salaries)/SUM((Country=BM111)*1)</f>
        <v>48000</v>
      </c>
      <c r="BO111" s="22">
        <f t="array" ref="BO111">IFERROR(SUM((Country=BM111)*(YearsExp&lt;&gt;"")*YearsExp)/SUM((Country=BM111)*(YearsExp&lt;&gt;"")*1),0)</f>
        <v>10</v>
      </c>
      <c r="BP111" s="22">
        <f t="array" ref="BP111">SUM((Country=BM111)*1)</f>
        <v>2</v>
      </c>
      <c r="BR111" s="22">
        <f>CHOOSE($BN$3,104-BL111,BN111,BO111,BP111)+0.00001*ROWS($BM$18:BM111)</f>
        <v>2.0009399999999999</v>
      </c>
      <c r="BS111" s="22">
        <f t="shared" si="82"/>
        <v>49</v>
      </c>
      <c r="BT111" s="22">
        <v>94</v>
      </c>
      <c r="BU111" s="22">
        <v>13</v>
      </c>
      <c r="BV111" t="str">
        <v>Bermuda</v>
      </c>
      <c r="BW111">
        <v>78000</v>
      </c>
      <c r="BX111" s="22">
        <v>0</v>
      </c>
      <c r="BY111" s="22">
        <v>1</v>
      </c>
    </row>
    <row r="112" spans="64:77" x14ac:dyDescent="0.25">
      <c r="BL112" s="37">
        <v>95</v>
      </c>
      <c r="BM112" s="22" t="s">
        <v>179</v>
      </c>
      <c r="BN112" s="22">
        <f t="array" ref="BN112">SUM((Country=BM112)*Salaries)/SUM((Country=BM112)*1)</f>
        <v>43014.900191685309</v>
      </c>
      <c r="BO112" s="22">
        <f t="array" ref="BO112">IFERROR(SUM((Country=BM112)*(YearsExp&lt;&gt;"")*YearsExp)/SUM((Country=BM112)*(YearsExp&lt;&gt;"")*1),0)</f>
        <v>9.8214285714285712</v>
      </c>
      <c r="BP112" s="22">
        <f t="array" ref="BP112">SUM((Country=BM112)*1)</f>
        <v>19</v>
      </c>
      <c r="BR112" s="22">
        <f>CHOOSE($BN$3,104-BL112,BN112,BO112,BP112)+0.00001*ROWS($BM$18:BM112)</f>
        <v>19.00095</v>
      </c>
      <c r="BS112" s="22">
        <f t="shared" si="82"/>
        <v>9</v>
      </c>
      <c r="BT112" s="22">
        <v>95</v>
      </c>
      <c r="BU112" s="22">
        <v>10</v>
      </c>
      <c r="BV112" t="str">
        <v>Baltic</v>
      </c>
      <c r="BW112">
        <v>8400</v>
      </c>
      <c r="BX112" s="22">
        <v>0.3</v>
      </c>
      <c r="BY112" s="22">
        <v>1</v>
      </c>
    </row>
    <row r="113" spans="64:77" x14ac:dyDescent="0.25">
      <c r="BL113" s="37">
        <v>96</v>
      </c>
      <c r="BM113" s="22" t="s">
        <v>1458</v>
      </c>
      <c r="BN113" s="22">
        <f t="array" ref="BN113">SUM((Country=BM113)*Salaries)/SUM((Country=BM113)*1)</f>
        <v>100000</v>
      </c>
      <c r="BO113" s="22">
        <f t="array" ref="BO113">IFERROR(SUM((Country=BM113)*(YearsExp&lt;&gt;"")*YearsExp)/SUM((Country=BM113)*(YearsExp&lt;&gt;"")*1),0)</f>
        <v>17</v>
      </c>
      <c r="BP113" s="22">
        <f t="array" ref="BP113">SUM((Country=BM113)*1)</f>
        <v>1</v>
      </c>
      <c r="BR113" s="22">
        <f>CHOOSE($BN$3,104-BL113,BN113,BO113,BP113)+0.00001*ROWS($BM$18:BM113)</f>
        <v>1.0009600000000001</v>
      </c>
      <c r="BS113" s="22">
        <f t="shared" si="82"/>
        <v>60</v>
      </c>
      <c r="BT113" s="22">
        <v>96</v>
      </c>
      <c r="BU113" s="22">
        <v>9</v>
      </c>
      <c r="BV113" t="str">
        <v>Azerbaijan</v>
      </c>
      <c r="BW113">
        <v>36000</v>
      </c>
      <c r="BX113" s="22">
        <v>5</v>
      </c>
      <c r="BY113" s="22">
        <v>1</v>
      </c>
    </row>
    <row r="114" spans="64:77" x14ac:dyDescent="0.25">
      <c r="BL114" s="37">
        <v>97</v>
      </c>
      <c r="BM114" s="22" t="s">
        <v>71</v>
      </c>
      <c r="BN114" s="22">
        <f t="array" ref="BN114">SUM((Country=BM114)*Salaries)/SUM((Country=BM114)*1)</f>
        <v>67240.730112795849</v>
      </c>
      <c r="BO114" s="22">
        <f t="array" ref="BO114">IFERROR(SUM((Country=BM114)*(YearsExp&lt;&gt;"")*YearsExp)/SUM((Country=BM114)*(YearsExp&lt;&gt;"")*1),0)</f>
        <v>10.382882882882884</v>
      </c>
      <c r="BP114" s="22">
        <f t="array" ref="BP114">SUM((Country=BM114)*1)</f>
        <v>154</v>
      </c>
      <c r="BR114" s="22">
        <f>CHOOSE($BN$3,104-BL114,BN114,BO114,BP114)+0.00001*ROWS($BM$18:BM114)</f>
        <v>154.00097</v>
      </c>
      <c r="BS114" s="22">
        <f t="shared" si="82"/>
        <v>3</v>
      </c>
      <c r="BT114" s="22">
        <v>97</v>
      </c>
      <c r="BU114" s="22">
        <v>8</v>
      </c>
      <c r="BV114" t="str">
        <v>Austria</v>
      </c>
      <c r="BW114">
        <v>50815.977559664309</v>
      </c>
      <c r="BX114" s="22">
        <v>20</v>
      </c>
      <c r="BY114" s="22">
        <v>1</v>
      </c>
    </row>
    <row r="115" spans="64:77" x14ac:dyDescent="0.25">
      <c r="BL115" s="37">
        <v>98</v>
      </c>
      <c r="BM115" s="22" t="s">
        <v>27</v>
      </c>
      <c r="BN115" s="22">
        <f t="array" ref="BN115">SUM((Country=BM115)*Salaries)/SUM((Country=BM115)*1)</f>
        <v>11650</v>
      </c>
      <c r="BO115" s="22">
        <f t="array" ref="BO115">IFERROR(SUM((Country=BM115)*(YearsExp&lt;&gt;"")*YearsExp)/SUM((Country=BM115)*(YearsExp&lt;&gt;"")*1),0)</f>
        <v>5</v>
      </c>
      <c r="BP115" s="22">
        <f t="array" ref="BP115">SUM((Country=BM115)*1)</f>
        <v>4</v>
      </c>
      <c r="BR115" s="22">
        <f>CHOOSE($BN$3,104-BL115,BN115,BO115,BP115)+0.00001*ROWS($BM$18:BM115)</f>
        <v>4.0009800000000002</v>
      </c>
      <c r="BS115" s="22">
        <f t="shared" si="82"/>
        <v>34</v>
      </c>
      <c r="BT115" s="22">
        <v>98</v>
      </c>
      <c r="BU115" s="22">
        <v>6</v>
      </c>
      <c r="BV115" t="str">
        <v>Asia</v>
      </c>
      <c r="BW115">
        <v>12000</v>
      </c>
      <c r="BX115" s="22">
        <v>3</v>
      </c>
      <c r="BY115" s="22">
        <v>1</v>
      </c>
    </row>
    <row r="116" spans="64:77" x14ac:dyDescent="0.25">
      <c r="BL116" s="37">
        <v>99</v>
      </c>
      <c r="BM116" s="22" t="s">
        <v>989</v>
      </c>
      <c r="BN116" s="22">
        <f t="array" ref="BN116">SUM((Country=BM116)*Salaries)/SUM((Country=BM116)*1)</f>
        <v>35000</v>
      </c>
      <c r="BO116" s="22">
        <f t="array" ref="BO116">IFERROR(SUM((Country=BM116)*(YearsExp&lt;&gt;"")*YearsExp)/SUM((Country=BM116)*(YearsExp&lt;&gt;"")*1),0)</f>
        <v>10</v>
      </c>
      <c r="BP116" s="22">
        <f t="array" ref="BP116">SUM((Country=BM116)*1)</f>
        <v>1</v>
      </c>
      <c r="BR116" s="22">
        <f>CHOOSE($BN$3,104-BL116,BN116,BO116,BP116)+0.00001*ROWS($BM$18:BM116)</f>
        <v>1.00099</v>
      </c>
      <c r="BS116" s="22">
        <f t="shared" si="82"/>
        <v>59</v>
      </c>
      <c r="BT116" s="22">
        <v>99</v>
      </c>
      <c r="BU116" s="22">
        <v>5</v>
      </c>
      <c r="BV116" t="str">
        <v>Aruba</v>
      </c>
      <c r="BW116">
        <v>5000</v>
      </c>
      <c r="BX116" s="22">
        <v>13</v>
      </c>
      <c r="BY116" s="22">
        <v>1</v>
      </c>
    </row>
    <row r="117" spans="64:77" x14ac:dyDescent="0.25">
      <c r="BL117" s="37">
        <v>100</v>
      </c>
      <c r="BM117" s="22" t="s">
        <v>15</v>
      </c>
      <c r="BN117" s="22">
        <f t="array" ref="BN117">SUM((Country=BM117)*Salaries)/SUM((Country=BM117)*1)</f>
        <v>72738.12965964344</v>
      </c>
      <c r="BO117" s="22">
        <f t="array" ref="BO117">IFERROR(SUM((Country=BM117)*(YearsExp&lt;&gt;"")*YearsExp)/SUM((Country=BM117)*(YearsExp&lt;&gt;"")*1),0)</f>
        <v>10.292035398230089</v>
      </c>
      <c r="BP117" s="22">
        <f t="array" ref="BP117">SUM((Country=BM117)*1)</f>
        <v>617</v>
      </c>
      <c r="BR117" s="22">
        <f>CHOOSE($BN$3,104-BL117,BN117,BO117,BP117)+0.00001*ROWS($BM$18:BM117)</f>
        <v>617.00099999999998</v>
      </c>
      <c r="BS117" s="22">
        <f t="shared" si="82"/>
        <v>1</v>
      </c>
      <c r="BT117" s="22">
        <v>100</v>
      </c>
      <c r="BU117" s="22">
        <v>4</v>
      </c>
      <c r="BV117" t="str">
        <v>Armenia</v>
      </c>
      <c r="BW117">
        <v>6000</v>
      </c>
      <c r="BX117" s="22">
        <v>5</v>
      </c>
      <c r="BY117" s="22">
        <v>1</v>
      </c>
    </row>
    <row r="118" spans="64:77" x14ac:dyDescent="0.25">
      <c r="BL118" s="37">
        <v>101</v>
      </c>
      <c r="BM118" s="22" t="s">
        <v>1676</v>
      </c>
      <c r="BN118" s="22">
        <f t="array" ref="BN118">SUM((Country=BM118)*Salaries)/SUM((Country=BM118)*1)</f>
        <v>10000</v>
      </c>
      <c r="BO118" s="22">
        <f t="array" ref="BO118">IFERROR(SUM((Country=BM118)*(YearsExp&lt;&gt;"")*YearsExp)/SUM((Country=BM118)*(YearsExp&lt;&gt;"")*1),0)</f>
        <v>6</v>
      </c>
      <c r="BP118" s="22">
        <f t="array" ref="BP118">SUM((Country=BM118)*1)</f>
        <v>2</v>
      </c>
      <c r="BR118" s="22">
        <f>CHOOSE($BN$3,104-BL118,BN118,BO118,BP118)+0.00001*ROWS($BM$18:BM118)</f>
        <v>2.00101</v>
      </c>
      <c r="BS118" s="22">
        <f t="shared" si="82"/>
        <v>48</v>
      </c>
      <c r="BT118" s="22">
        <v>101</v>
      </c>
      <c r="BU118" s="22">
        <v>3</v>
      </c>
      <c r="BV118" t="str">
        <v>Argentina</v>
      </c>
      <c r="BW118">
        <v>24000</v>
      </c>
      <c r="BX118" s="22">
        <v>21</v>
      </c>
      <c r="BY118" s="22">
        <v>1</v>
      </c>
    </row>
    <row r="119" spans="64:77" x14ac:dyDescent="0.25">
      <c r="BL119" s="37">
        <v>102</v>
      </c>
      <c r="BM119" s="22" t="s">
        <v>1086</v>
      </c>
      <c r="BN119" s="22">
        <f t="array" ref="BN119">SUM((Country=BM119)*Salaries)/SUM((Country=BM119)*1)</f>
        <v>13000</v>
      </c>
      <c r="BO119" s="22">
        <f t="array" ref="BO119">IFERROR(SUM((Country=BM119)*(YearsExp&lt;&gt;"")*YearsExp)/SUM((Country=BM119)*(YearsExp&lt;&gt;"")*1),0)</f>
        <v>3.5</v>
      </c>
      <c r="BP119" s="22">
        <f t="array" ref="BP119">SUM((Country=BM119)*1)</f>
        <v>2</v>
      </c>
      <c r="BR119" s="22">
        <f>CHOOSE($BN$3,104-BL119,BN119,BO119,BP119)+0.00001*ROWS($BM$18:BM119)</f>
        <v>2.00102</v>
      </c>
      <c r="BS119" s="22">
        <f t="shared" si="82"/>
        <v>47</v>
      </c>
      <c r="BT119" s="22">
        <v>102</v>
      </c>
      <c r="BU119" s="22">
        <v>2</v>
      </c>
      <c r="BV119" t="str">
        <v>Arabian Gulf</v>
      </c>
      <c r="BW119">
        <v>21000</v>
      </c>
      <c r="BX119" s="22">
        <v>0</v>
      </c>
      <c r="BY119" s="22">
        <v>1</v>
      </c>
    </row>
    <row r="120" spans="64:77" x14ac:dyDescent="0.25">
      <c r="BL120" s="37">
        <v>103</v>
      </c>
      <c r="BM120" s="22" t="s">
        <v>1055</v>
      </c>
      <c r="BN120" s="22">
        <f t="array" ref="BN120">SUM((Country=BM120)*Salaries)/SUM((Country=BM120)*1)</f>
        <v>36400</v>
      </c>
      <c r="BO120" s="22">
        <f t="array" ref="BO120">IFERROR(SUM((Country=BM120)*(YearsExp&lt;&gt;"")*YearsExp)/SUM((Country=BM120)*(YearsExp&lt;&gt;"")*1),0)</f>
        <v>20</v>
      </c>
      <c r="BP120" s="22">
        <f t="array" ref="BP120">SUM((Country=BM120)*1)</f>
        <v>1</v>
      </c>
      <c r="BR120" s="22">
        <f>CHOOSE($BN$3,104-BL120,BN120,BO120,BP120)+0.00001*ROWS($BM$18:BM120)</f>
        <v>1.0010300000000001</v>
      </c>
      <c r="BS120" s="22">
        <f t="shared" si="82"/>
        <v>58</v>
      </c>
      <c r="BT120" s="22">
        <v>103</v>
      </c>
      <c r="BU120" s="22">
        <v>1</v>
      </c>
      <c r="BV120" t="str">
        <v>Albania</v>
      </c>
      <c r="BW120">
        <v>20571</v>
      </c>
      <c r="BX120" s="22">
        <v>8</v>
      </c>
      <c r="BY120" s="22">
        <v>1</v>
      </c>
    </row>
  </sheetData>
  <sortState xmlns:xlrd2="http://schemas.microsoft.com/office/spreadsheetml/2017/richdata2" ref="M41:N70">
    <sortCondition ref="M56"/>
  </sortState>
  <mergeCells count="1">
    <mergeCell ref="CV17:CW17"/>
  </mergeCells>
  <conditionalFormatting sqref="C5">
    <cfRule type="expression" dxfId="0" priority="1">
      <formula>#REF!="ERR"</formula>
    </cfRule>
  </conditionalFormatting>
  <dataValidations disablePrompts="1" count="1">
    <dataValidation type="list" allowBlank="1" showInputMessage="1" showErrorMessage="1" sqref="C5" xr:uid="{00000000-0002-0000-0300-000000000000}">
      <formula1>INDEX(tblHours,,1)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Dashboard</vt:lpstr>
      <vt:lpstr>mapping</vt:lpstr>
      <vt:lpstr>Data</vt:lpstr>
      <vt:lpstr>Calculations</vt:lpstr>
      <vt:lpstr>Graph2_ref</vt:lpstr>
      <vt:lpstr>Graph3_ref</vt:lpstr>
      <vt:lpstr>JobType</vt:lpstr>
      <vt:lpstr>lstCleanCountry</vt:lpstr>
      <vt:lpstr>lstContinents</vt:lpstr>
      <vt:lpstr>lstContinents2</vt:lpstr>
      <vt:lpstr>lstGraph2</vt:lpstr>
      <vt:lpstr>lstJobTypes</vt:lpstr>
      <vt:lpstr>Dashboard!Print_Area</vt:lpstr>
      <vt:lpstr>rData</vt:lpstr>
      <vt:lpstr>tblHours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2012-07-05T23:20:59Z</cp:lastPrinted>
  <dcterms:created xsi:type="dcterms:W3CDTF">2012-06-21T06:10:20Z</dcterms:created>
  <dcterms:modified xsi:type="dcterms:W3CDTF">2022-12-08T09:45:58Z</dcterms:modified>
</cp:coreProperties>
</file>